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2AC2A18-03FD-42F7-A763-A88DBFAA30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definedNames>
    <definedName name="_xlnm._FilterDatabase" localSheetId="0" hidden="1">Лист2!$A$1:$G$1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7" l="1"/>
  <c r="H12" i="7"/>
  <c r="H8" i="7"/>
  <c r="H11" i="7"/>
  <c r="H2" i="7"/>
</calcChain>
</file>

<file path=xl/sharedStrings.xml><?xml version="1.0" encoding="utf-8"?>
<sst xmlns="http://schemas.openxmlformats.org/spreadsheetml/2006/main" count="88" uniqueCount="58">
  <si>
    <t>Запрошенная дата отгрузки</t>
  </si>
  <si>
    <t>Внешний код клиента</t>
  </si>
  <si>
    <t>Внешний номер заказа</t>
  </si>
  <si>
    <t>Заказ на продажу</t>
  </si>
  <si>
    <t>Код единицы продаж</t>
  </si>
  <si>
    <t>Наименование для бланков</t>
  </si>
  <si>
    <t>Урезание</t>
  </si>
  <si>
    <t>ЛогПартССт</t>
  </si>
  <si>
    <t>TSO001092153</t>
  </si>
  <si>
    <t>SU002287</t>
  </si>
  <si>
    <t>Сардельки «Сочные» Весовой п/а ТМ «Особый рецепт»</t>
  </si>
  <si>
    <t>SU002618</t>
  </si>
  <si>
    <t>Сосиски «Сочинки с сочной грудинкой» Фикс.вес 0,4 П/а мгс ТМ «Стародворье»</t>
  </si>
  <si>
    <t>SU002655</t>
  </si>
  <si>
    <t>Сосиски «Датские» Весовой п/а ТМ «Зареченские продукты»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</si>
  <si>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</si>
  <si>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</si>
  <si>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</si>
  <si>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</si>
  <si>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SU004041</t>
  </si>
  <si>
    <t>Копченые колбасы «Балыковая» Весовой фиброуз ТМ «Вязанка»</t>
  </si>
  <si>
    <t>НВДонецЧаа</t>
  </si>
  <si>
    <t>TSO001092149</t>
  </si>
  <si>
    <t>SU002945</t>
  </si>
  <si>
    <t>П/к колбасы «Сочинка зернистая с сочной грудинкой» Весовой фиброуз ТМ «Стародворье»</t>
  </si>
  <si>
    <t>SU003168</t>
  </si>
  <si>
    <t>Сосиски «Баварские с сыром» Фикс.вес 0,35 п/а ТМ «Стародворье»</t>
  </si>
  <si>
    <t>НВЛугРабоч</t>
  </si>
  <si>
    <t>TSO001092166</t>
  </si>
  <si>
    <t>TSO001092170</t>
  </si>
  <si>
    <t>SU001051</t>
  </si>
  <si>
    <t>Сардельки «Нежные» Весовые NDX мгс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</si>
  <si>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</si>
  <si>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</si>
  <si>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SU002842</t>
  </si>
  <si>
    <t>Сосиски «Сочинки Молочные» Фикс.вес 0,4 п/а мгс ТМ «Стародворье»</t>
  </si>
  <si>
    <t>TSO001092157</t>
  </si>
  <si>
    <t>SU002356</t>
  </si>
  <si>
    <t>Ветчины «Сливушка с индейкой» Фикс.вес 0,1 нарезка ТМ «Вязанка»</t>
  </si>
  <si>
    <t>SU002758</t>
  </si>
  <si>
    <t>Сардельки «Сочинки» Фикс.вес 0,4 п/а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</si>
  <si>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</si>
  <si>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</si>
  <si>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</si>
  <si>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</si>
  <si>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</si>
  <si>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</si>
  <si>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SU002984</t>
  </si>
  <si>
    <t>Сосиски Восточные халяль ТМ Вязанка полиамид в/у ф/в 0,33 кг Казахстан АК</t>
  </si>
  <si>
    <t>SU002985</t>
  </si>
  <si>
    <t>П/к колбасы «Аль-Ислами халяль» ф/в 0,35 фиброуз ТМ «Вязанка»</t>
  </si>
  <si>
    <t>SU003753</t>
  </si>
  <si>
    <t>Копченые колбасы «Балыковая » Фикс.вес 0,09 нарезка ТМ «Вязанка»</t>
  </si>
  <si>
    <t>SU003829</t>
  </si>
  <si>
    <t>Копченые колбасы «Сервелат Мясорубский Делюкс» Фикс.вес 0,3 фиброуз ТМ «Стародворье»</t>
  </si>
  <si>
    <t>SU004044</t>
  </si>
  <si>
    <t>Копченые колбасы «Сервелат Ореховый» Весовой фиброуз ТМ «Вязанка»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</si>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</sst>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pivotButton="1" applyBorder="1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1" max="1" width="29.140625" customWidth="1"/>
    <col min="2" max="2" width="22.7109375" customWidth="1"/>
    <col min="3" max="3" width="11.85546875" customWidth="1"/>
    <col min="4" max="4" width="15.42578125" customWidth="1"/>
    <col min="5" max="5" width="11.5703125" customWidth="1"/>
    <col min="6" max="6" width="75.85546875" customWidth="1"/>
    <col min="7" max="7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2">
        <v>46264</v>
      </c>
      <c r="B2" s="4" t="s">
        <v>7</v>
      </c>
      <c r="C2" s="4">
        <v>6301828</v>
      </c>
      <c r="D2" s="4" t="s">
        <v>8</v>
      </c>
      <c r="E2" s="4" t="s">
        <v>9</v>
      </c>
      <c r="F2" s="4" t="s">
        <v>10</v>
      </c>
      <c r="G2" s="4">
        <v>-207</v>
      </c>
      <c r="H2" s="5">
        <f>SUM(G2:G7)</f>
        <v>-529.20000000000005</v>
      </c>
    </row>
    <row r="3" spans="1:8" x14ac:dyDescent="0.25">
      <c r="A3" s="3"/>
      <c r="B3" s="3"/>
      <c r="C3" s="3"/>
      <c r="D3" s="3"/>
      <c r="E3" s="3" t="s">
        <v>11</v>
      </c>
      <c r="F3" s="3" t="s">
        <v>12</v>
      </c>
      <c r="G3" s="3">
        <v>-96</v>
      </c>
    </row>
    <row r="4" spans="1:8" x14ac:dyDescent="0.25">
      <c r="A4" s="3"/>
      <c r="B4" s="3"/>
      <c r="C4" s="3"/>
      <c r="D4" s="3"/>
      <c r="E4" s="3" t="s">
        <v>13</v>
      </c>
      <c r="F4" s="3" t="s">
        <v>14</v>
      </c>
      <c r="G4" s="3">
        <v>-81</v>
      </c>
    </row>
    <row r="5" spans="1:8" x14ac:dyDescent="0.25">
      <c r="A5" s="3"/>
      <c r="B5" s="3"/>
      <c r="C5" s="3"/>
      <c r="D5" s="3"/>
      <c r="E5" s="3" t="s">
        <v>15</v>
      </c>
      <c r="F5" s="3" t="s">
        <v>16</v>
      </c>
      <c r="G5" s="3">
        <v>-70.2</v>
      </c>
    </row>
    <row r="6" spans="1:8" x14ac:dyDescent="0.25">
      <c r="A6" s="3"/>
      <c r="B6" s="3"/>
      <c r="C6" s="3"/>
      <c r="D6" s="3"/>
      <c r="E6" s="3" t="s">
        <v>17</v>
      </c>
      <c r="F6" s="3" t="s">
        <v>18</v>
      </c>
      <c r="G6" s="3">
        <v>-54</v>
      </c>
    </row>
    <row r="7" spans="1:8" x14ac:dyDescent="0.25">
      <c r="A7" s="3"/>
      <c r="B7" s="3"/>
      <c r="C7" s="3"/>
      <c r="D7" s="3"/>
      <c r="E7" s="3" t="s">
        <v>19</v>
      </c>
      <c r="F7" s="3" t="s">
        <v>20</v>
      </c>
      <c r="G7" s="3">
        <v>-21</v>
      </c>
    </row>
    <row r="8" spans="1:8" x14ac:dyDescent="0.25">
      <c r="A8" s="3"/>
      <c r="B8" s="4" t="s">
        <v>21</v>
      </c>
      <c r="C8" s="4">
        <v>6303090</v>
      </c>
      <c r="D8" s="4" t="s">
        <v>22</v>
      </c>
      <c r="E8" s="4" t="s">
        <v>11</v>
      </c>
      <c r="F8" s="4" t="s">
        <v>12</v>
      </c>
      <c r="G8" s="4">
        <v>-201.6</v>
      </c>
      <c r="H8" s="5">
        <f>SUM(G8:G10)</f>
        <v>-442.49999999999994</v>
      </c>
    </row>
    <row r="9" spans="1:8" x14ac:dyDescent="0.25">
      <c r="A9" s="3"/>
      <c r="B9" s="3"/>
      <c r="C9" s="3"/>
      <c r="D9" s="3"/>
      <c r="E9" s="3" t="s">
        <v>23</v>
      </c>
      <c r="F9" s="3" t="s">
        <v>24</v>
      </c>
      <c r="G9" s="3">
        <v>-205.2</v>
      </c>
    </row>
    <row r="10" spans="1:8" x14ac:dyDescent="0.25">
      <c r="A10" s="3"/>
      <c r="B10" s="3"/>
      <c r="C10" s="3"/>
      <c r="D10" s="3"/>
      <c r="E10" s="3" t="s">
        <v>25</v>
      </c>
      <c r="F10" s="3" t="s">
        <v>26</v>
      </c>
      <c r="G10" s="3">
        <v>-35.700000000000003</v>
      </c>
    </row>
    <row r="11" spans="1:8" x14ac:dyDescent="0.25">
      <c r="A11" s="3"/>
      <c r="B11" s="4" t="s">
        <v>27</v>
      </c>
      <c r="C11" s="4">
        <v>6302685</v>
      </c>
      <c r="D11" s="4" t="s">
        <v>28</v>
      </c>
      <c r="E11" s="4" t="s">
        <v>9</v>
      </c>
      <c r="F11" s="4" t="s">
        <v>10</v>
      </c>
      <c r="G11" s="4">
        <v>-72</v>
      </c>
      <c r="H11" s="5">
        <f>G11</f>
        <v>-72</v>
      </c>
    </row>
    <row r="12" spans="1:8" x14ac:dyDescent="0.25">
      <c r="A12" s="3"/>
      <c r="B12" s="3"/>
      <c r="C12" s="4">
        <v>6303094</v>
      </c>
      <c r="D12" s="4" t="s">
        <v>29</v>
      </c>
      <c r="E12" s="4" t="s">
        <v>30</v>
      </c>
      <c r="F12" s="4" t="s">
        <v>31</v>
      </c>
      <c r="G12" s="4">
        <v>-268.8</v>
      </c>
      <c r="H12" s="5">
        <f>SUM(G12:G18)</f>
        <v>-882.6</v>
      </c>
    </row>
    <row r="13" spans="1:8" x14ac:dyDescent="0.25">
      <c r="A13" s="3"/>
      <c r="B13" s="3"/>
      <c r="C13" s="3"/>
      <c r="D13" s="3"/>
      <c r="E13" s="3" t="s">
        <v>9</v>
      </c>
      <c r="F13" s="3" t="s">
        <v>10</v>
      </c>
      <c r="G13" s="3">
        <v>-72</v>
      </c>
    </row>
    <row r="14" spans="1:8" x14ac:dyDescent="0.25">
      <c r="A14" s="3"/>
      <c r="B14" s="3"/>
      <c r="C14" s="3"/>
      <c r="D14" s="3"/>
      <c r="E14" s="3" t="s">
        <v>32</v>
      </c>
      <c r="F14" s="3" t="s">
        <v>33</v>
      </c>
      <c r="G14" s="3">
        <v>-37.799999999999997</v>
      </c>
    </row>
    <row r="15" spans="1:8" x14ac:dyDescent="0.25">
      <c r="A15" s="3"/>
      <c r="B15" s="3"/>
      <c r="C15" s="3"/>
      <c r="D15" s="3"/>
      <c r="E15" s="3" t="s">
        <v>34</v>
      </c>
      <c r="F15" s="3" t="s">
        <v>35</v>
      </c>
      <c r="G15" s="3">
        <v>-115.2</v>
      </c>
    </row>
    <row r="16" spans="1:8" x14ac:dyDescent="0.25">
      <c r="A16" s="3"/>
      <c r="B16" s="3"/>
      <c r="C16" s="3"/>
      <c r="D16" s="3"/>
      <c r="E16" s="3" t="s">
        <v>15</v>
      </c>
      <c r="F16" s="3" t="s">
        <v>16</v>
      </c>
      <c r="G16" s="3">
        <v>-194.4</v>
      </c>
    </row>
    <row r="17" spans="1:8" x14ac:dyDescent="0.25">
      <c r="A17" s="3"/>
      <c r="B17" s="3"/>
      <c r="C17" s="3"/>
      <c r="D17" s="3"/>
      <c r="E17" s="3" t="s">
        <v>17</v>
      </c>
      <c r="F17" s="3" t="s">
        <v>18</v>
      </c>
      <c r="G17" s="3">
        <v>-129.6</v>
      </c>
    </row>
    <row r="18" spans="1:8" x14ac:dyDescent="0.25">
      <c r="A18" s="3"/>
      <c r="B18" s="3"/>
      <c r="C18" s="3"/>
      <c r="D18" s="3"/>
      <c r="E18" s="3" t="s">
        <v>23</v>
      </c>
      <c r="F18" s="3" t="s">
        <v>24</v>
      </c>
      <c r="G18" s="3">
        <v>-64.8</v>
      </c>
    </row>
    <row r="19" spans="1:8" x14ac:dyDescent="0.25">
      <c r="A19" s="3"/>
      <c r="B19" s="3"/>
      <c r="C19" s="4">
        <v>6303104</v>
      </c>
      <c r="D19" s="4" t="s">
        <v>36</v>
      </c>
      <c r="E19" s="4" t="s">
        <v>30</v>
      </c>
      <c r="F19" s="4" t="s">
        <v>31</v>
      </c>
      <c r="G19" s="4">
        <v>-252</v>
      </c>
      <c r="H19" s="5">
        <f>SUM(G19:G37)</f>
        <v>-1872.6000000000001</v>
      </c>
    </row>
    <row r="20" spans="1:8" x14ac:dyDescent="0.25">
      <c r="A20" s="3"/>
      <c r="B20" s="3"/>
      <c r="C20" s="3"/>
      <c r="D20" s="3"/>
      <c r="E20" s="3" t="s">
        <v>9</v>
      </c>
      <c r="F20" s="3" t="s">
        <v>10</v>
      </c>
      <c r="G20" s="3">
        <v>-108</v>
      </c>
    </row>
    <row r="21" spans="1:8" x14ac:dyDescent="0.25">
      <c r="A21" s="3"/>
      <c r="B21" s="3"/>
      <c r="C21" s="3"/>
      <c r="D21" s="3"/>
      <c r="E21" s="3" t="s">
        <v>37</v>
      </c>
      <c r="F21" s="3" t="s">
        <v>38</v>
      </c>
      <c r="G21" s="3">
        <v>-2</v>
      </c>
    </row>
    <row r="22" spans="1:8" x14ac:dyDescent="0.25">
      <c r="A22" s="3"/>
      <c r="B22" s="3"/>
      <c r="C22" s="3"/>
      <c r="D22" s="3"/>
      <c r="E22" s="3" t="s">
        <v>13</v>
      </c>
      <c r="F22" s="3" t="s">
        <v>14</v>
      </c>
      <c r="G22" s="3">
        <v>-27</v>
      </c>
    </row>
    <row r="23" spans="1:8" x14ac:dyDescent="0.25">
      <c r="A23" s="3"/>
      <c r="B23" s="3"/>
      <c r="C23" s="3"/>
      <c r="D23" s="3"/>
      <c r="E23" s="3" t="s">
        <v>32</v>
      </c>
      <c r="F23" s="3" t="s">
        <v>33</v>
      </c>
      <c r="G23" s="3">
        <v>-35.700000000000003</v>
      </c>
    </row>
    <row r="24" spans="1:8" x14ac:dyDescent="0.25">
      <c r="A24" s="3"/>
      <c r="B24" s="3"/>
      <c r="C24" s="3"/>
      <c r="D24" s="3"/>
      <c r="E24" s="3" t="s">
        <v>39</v>
      </c>
      <c r="F24" s="3" t="s">
        <v>40</v>
      </c>
      <c r="G24" s="3">
        <v>-33.6</v>
      </c>
    </row>
    <row r="25" spans="1:8" x14ac:dyDescent="0.25">
      <c r="A25" s="3"/>
      <c r="B25" s="3"/>
      <c r="C25" s="3"/>
      <c r="D25" s="3"/>
      <c r="E25" s="3" t="s">
        <v>15</v>
      </c>
      <c r="F25" s="3" t="s">
        <v>16</v>
      </c>
      <c r="G25" s="3">
        <v>-151.19999999999999</v>
      </c>
    </row>
    <row r="26" spans="1:8" x14ac:dyDescent="0.25">
      <c r="A26" s="3"/>
      <c r="B26" s="3"/>
      <c r="C26" s="3"/>
      <c r="D26" s="3"/>
      <c r="E26" s="3" t="s">
        <v>41</v>
      </c>
      <c r="F26" s="3" t="s">
        <v>42</v>
      </c>
      <c r="G26" s="3">
        <v>-45</v>
      </c>
    </row>
    <row r="27" spans="1:8" x14ac:dyDescent="0.25">
      <c r="A27" s="3"/>
      <c r="B27" s="3"/>
      <c r="C27" s="3"/>
      <c r="D27" s="3"/>
      <c r="E27" s="3" t="s">
        <v>17</v>
      </c>
      <c r="F27" s="3" t="s">
        <v>18</v>
      </c>
      <c r="G27" s="3">
        <v>-205.2</v>
      </c>
    </row>
    <row r="28" spans="1:8" x14ac:dyDescent="0.25">
      <c r="A28" s="3"/>
      <c r="B28" s="3"/>
      <c r="C28" s="3"/>
      <c r="D28" s="3"/>
      <c r="E28" s="3" t="s">
        <v>43</v>
      </c>
      <c r="F28" s="3" t="s">
        <v>44</v>
      </c>
      <c r="G28" s="3">
        <v>-61.2</v>
      </c>
    </row>
    <row r="29" spans="1:8" x14ac:dyDescent="0.25">
      <c r="A29" s="3"/>
      <c r="B29" s="3"/>
      <c r="C29" s="3"/>
      <c r="D29" s="3"/>
      <c r="E29" s="3" t="s">
        <v>23</v>
      </c>
      <c r="F29" s="3" t="s">
        <v>24</v>
      </c>
      <c r="G29" s="3">
        <v>-351</v>
      </c>
    </row>
    <row r="30" spans="1:8" x14ac:dyDescent="0.25">
      <c r="A30" s="3"/>
      <c r="B30" s="3"/>
      <c r="C30" s="3"/>
      <c r="D30" s="3"/>
      <c r="E30" s="3" t="s">
        <v>45</v>
      </c>
      <c r="F30" s="3" t="s">
        <v>46</v>
      </c>
      <c r="G30" s="3">
        <v>-30.6</v>
      </c>
    </row>
    <row r="31" spans="1:8" x14ac:dyDescent="0.25">
      <c r="A31" s="3"/>
      <c r="B31" s="3"/>
      <c r="C31" s="3"/>
      <c r="D31" s="3"/>
      <c r="E31" s="3" t="s">
        <v>47</v>
      </c>
      <c r="F31" s="3" t="s">
        <v>48</v>
      </c>
      <c r="G31" s="3">
        <v>-13.2</v>
      </c>
    </row>
    <row r="32" spans="1:8" x14ac:dyDescent="0.25">
      <c r="A32" s="3"/>
      <c r="B32" s="3"/>
      <c r="C32" s="3"/>
      <c r="D32" s="3"/>
      <c r="E32" s="3" t="s">
        <v>49</v>
      </c>
      <c r="F32" s="3" t="s">
        <v>50</v>
      </c>
      <c r="G32" s="3">
        <v>-14</v>
      </c>
    </row>
    <row r="33" spans="1:7" x14ac:dyDescent="0.25">
      <c r="A33" s="3"/>
      <c r="B33" s="3"/>
      <c r="C33" s="3"/>
      <c r="D33" s="3"/>
      <c r="E33" s="3" t="s">
        <v>25</v>
      </c>
      <c r="F33" s="3" t="s">
        <v>26</v>
      </c>
      <c r="G33" s="3">
        <v>-35.700000000000003</v>
      </c>
    </row>
    <row r="34" spans="1:7" x14ac:dyDescent="0.25">
      <c r="A34" s="3"/>
      <c r="B34" s="3"/>
      <c r="C34" s="3"/>
      <c r="D34" s="3"/>
      <c r="E34" s="3" t="s">
        <v>51</v>
      </c>
      <c r="F34" s="3" t="s">
        <v>52</v>
      </c>
      <c r="G34" s="3">
        <v>-7.2</v>
      </c>
    </row>
    <row r="35" spans="1:7" x14ac:dyDescent="0.25">
      <c r="A35" s="3"/>
      <c r="B35" s="3"/>
      <c r="C35" s="3"/>
      <c r="D35" s="3"/>
      <c r="E35" s="3" t="s">
        <v>53</v>
      </c>
      <c r="F35" s="3" t="s">
        <v>54</v>
      </c>
      <c r="G35" s="3">
        <v>-45</v>
      </c>
    </row>
    <row r="36" spans="1:7" x14ac:dyDescent="0.25">
      <c r="A36" s="3"/>
      <c r="B36" s="3"/>
      <c r="C36" s="3"/>
      <c r="D36" s="3"/>
      <c r="E36" s="3" t="s">
        <v>19</v>
      </c>
      <c r="F36" s="3" t="s">
        <v>20</v>
      </c>
      <c r="G36" s="3">
        <v>-203</v>
      </c>
    </row>
    <row r="37" spans="1:7" x14ac:dyDescent="0.25">
      <c r="A37" s="3"/>
      <c r="B37" s="3"/>
      <c r="C37" s="3"/>
      <c r="D37" s="3"/>
      <c r="E37" s="3" t="s">
        <v>55</v>
      </c>
      <c r="F37" s="3" t="s">
        <v>56</v>
      </c>
      <c r="G37" s="3">
        <v>-252</v>
      </c>
    </row>
    <row r="38" spans="1:7" x14ac:dyDescent="0.25">
      <c r="A38" s="3" t="s">
        <v>57</v>
      </c>
      <c r="B38" s="3"/>
      <c r="C38" s="3"/>
      <c r="D38" s="3"/>
      <c r="E38" s="3"/>
      <c r="F38" s="3"/>
      <c r="G38" s="3"/>
    </row>
  </sheetData>
  <autoFilter ref="A1: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2026-08-30T07:05:23Z</dcterms:modified>
</cp:coreProperties>
</file>