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 ХИМИЧ\"/>
    </mc:Choice>
  </mc:AlternateContent>
  <xr:revisionPtr revIDLastSave="0" documentId="13_ncr:1_{9033E87F-083B-4E4F-8604-B834DA8630D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3" i="1" l="1"/>
  <c r="E104" i="1"/>
  <c r="E68" i="1" l="1"/>
  <c r="E29" i="1" l="1"/>
  <c r="E100" i="1"/>
  <c r="E65" i="1"/>
  <c r="E28" i="1" l="1"/>
  <c r="E99" i="1"/>
  <c r="E64" i="1"/>
  <c r="E27" i="1" l="1"/>
  <c r="E98" i="1"/>
  <c r="E63" i="1"/>
  <c r="E97" i="1" l="1"/>
  <c r="E61" i="1" l="1"/>
  <c r="E22" i="1" l="1"/>
  <c r="E93" i="1"/>
  <c r="E58" i="1"/>
  <c r="E21" i="1" l="1"/>
  <c r="E92" i="1"/>
  <c r="E57" i="1"/>
  <c r="E19" i="1" l="1"/>
  <c r="E90" i="1"/>
  <c r="E55" i="1"/>
  <c r="E18" i="1" l="1"/>
  <c r="E89" i="1"/>
  <c r="E54" i="1"/>
  <c r="E17" i="1"/>
  <c r="E88" i="1"/>
  <c r="E53" i="1"/>
  <c r="E16" i="1"/>
  <c r="E87" i="1"/>
  <c r="E52" i="1"/>
  <c r="E15" i="1" l="1"/>
  <c r="E86" i="1"/>
  <c r="E51" i="1"/>
  <c r="E14" i="1" l="1"/>
  <c r="E85" i="1"/>
  <c r="E50" i="1"/>
  <c r="E13" i="1" l="1"/>
  <c r="E84" i="1"/>
  <c r="E49" i="1"/>
  <c r="E83" i="1" l="1"/>
  <c r="E48" i="1"/>
  <c r="E11" i="1" l="1"/>
  <c r="E82" i="1"/>
  <c r="E47" i="1"/>
  <c r="E8" i="1" l="1"/>
  <c r="E79" i="1"/>
  <c r="E44" i="1"/>
  <c r="E7" i="1" l="1"/>
  <c r="E78" i="1"/>
  <c r="E43" i="1"/>
  <c r="E6" i="1" l="1"/>
  <c r="E77" i="1"/>
  <c r="E42" i="1"/>
  <c r="E5" i="1" l="1"/>
  <c r="E76" i="1"/>
  <c r="E41" i="1"/>
  <c r="B77" i="1" l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sharedStrings.xml><?xml version="1.0" encoding="utf-8"?>
<sst xmlns="http://schemas.openxmlformats.org/spreadsheetml/2006/main" count="147" uniqueCount="20">
  <si>
    <t>№ п/п</t>
  </si>
  <si>
    <t>План</t>
  </si>
  <si>
    <t>Факт</t>
  </si>
  <si>
    <t>КРЫМ</t>
  </si>
  <si>
    <t>ЛУГАНСК</t>
  </si>
  <si>
    <t>БЕРДЯНСК</t>
  </si>
  <si>
    <t>МЕЛИТОПОЛЬ</t>
  </si>
  <si>
    <t>ДОНЕЦК</t>
  </si>
  <si>
    <t>ПЛАН\ФАКТ ОСТАТКИ КИ ПОКОМ</t>
  </si>
  <si>
    <t>ПЛАН\ФАКТ ОСТАТКИ ЗПФ ПОКОМ</t>
  </si>
  <si>
    <t>ПЛАН\ФАКТ ОСТАТКИ КИ ОСТАНКИНО</t>
  </si>
  <si>
    <t>суббота</t>
  </si>
  <si>
    <t>воскресенье</t>
  </si>
  <si>
    <t>понедельник</t>
  </si>
  <si>
    <t>вторник</t>
  </si>
  <si>
    <t>среда</t>
  </si>
  <si>
    <t>четверг</t>
  </si>
  <si>
    <t>пятница</t>
  </si>
  <si>
    <t>Дата</t>
  </si>
  <si>
    <t>День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</si>
</sst>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workbookViewId="0">
      <selection activeCell="Q13" sqref="Q13"/>
    </sheetView>
  </sheetViews>
  <sheetFormatPr defaultRowHeight="15" x14ac:dyDescent="0.25"/>
  <cols>
    <col min="1" max="1" width="9.140625" style="2"/>
    <col min="2" max="2" width="9.85546875" style="2" customWidth="1"/>
    <col min="3" max="3" width="13.85546875" style="2" customWidth="1"/>
    <col min="4" max="13" width="10.7109375" style="2" customWidth="1"/>
  </cols>
  <sheetData>
    <row r="1" spans="1:13" ht="21" x14ac:dyDescent="0.35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</row>
    <row r="3" spans="1:13" ht="15.75" x14ac:dyDescent="0.25">
      <c r="A3" s="5" t="s">
        <v>0</v>
      </c>
      <c r="B3" s="5" t="s">
        <v>18</v>
      </c>
      <c r="C3" s="5" t="s">
        <v>19</v>
      </c>
      <c r="D3" s="6" t="s">
        <v>3</v>
      </c>
      <c r="E3" s="6"/>
      <c r="F3" s="6" t="s">
        <v>7</v>
      </c>
      <c r="G3" s="6"/>
      <c r="H3" s="6" t="s">
        <v>4</v>
      </c>
      <c r="I3" s="6"/>
      <c r="J3" s="6" t="s">
        <v>5</v>
      </c>
      <c r="K3" s="6"/>
      <c r="L3" s="6" t="s">
        <v>6</v>
      </c>
      <c r="M3" s="6"/>
    </row>
    <row r="4" spans="1:13" x14ac:dyDescent="0.25">
      <c r="A4" s="5"/>
      <c r="B4" s="5"/>
      <c r="C4" s="5"/>
      <c r="D4" s="1" t="s">
        <v>1</v>
      </c>
      <c r="E4" s="1" t="s">
        <v>2</v>
      </c>
      <c r="F4" s="1" t="s">
        <v>1</v>
      </c>
      <c r="G4" s="1" t="s">
        <v>2</v>
      </c>
      <c r="H4" s="1" t="s">
        <v>1</v>
      </c>
      <c r="I4" s="1" t="s">
        <v>2</v>
      </c>
      <c r="J4" s="1" t="s">
        <v>1</v>
      </c>
      <c r="K4" s="1" t="s">
        <v>2</v>
      </c>
      <c r="L4" s="1" t="s">
        <v>1</v>
      </c>
      <c r="M4" s="1" t="s">
        <v>2</v>
      </c>
    </row>
    <row r="5" spans="1:13" x14ac:dyDescent="0.25">
      <c r="A5" s="1">
        <v>1</v>
      </c>
      <c r="B5" s="3">
        <v>46266</v>
      </c>
      <c r="C5" s="3" t="s">
        <v>14</v>
      </c>
      <c r="D5" s="1">
        <v>45</v>
      </c>
      <c r="E5" s="1">
        <f>98.6</f>
        <v>98.6</v>
      </c>
      <c r="F5" s="1">
        <v>35.1</v>
      </c>
      <c r="G5" s="1">
        <v>74.099999999999994</v>
      </c>
      <c r="H5" s="1">
        <v>30</v>
      </c>
      <c r="I5" s="1">
        <v>56.3</v>
      </c>
      <c r="J5" s="1">
        <v>12</v>
      </c>
      <c r="K5" s="1">
        <v>13.3</v>
      </c>
      <c r="L5" s="1">
        <v>13.5</v>
      </c>
      <c r="M5" s="1">
        <v>13.9</v>
      </c>
    </row>
    <row r="6" spans="1:13" x14ac:dyDescent="0.25">
      <c r="A6" s="2">
        <v>2</v>
      </c>
      <c r="B6" s="3">
        <f>B5+1</f>
        <v>46267</v>
      </c>
      <c r="C6" s="3" t="s">
        <v>15</v>
      </c>
      <c r="D6" s="1">
        <v>45</v>
      </c>
      <c r="E6" s="1">
        <f>66.5+16</f>
        <v>82.5</v>
      </c>
      <c r="F6" s="1">
        <v>35.1</v>
      </c>
      <c r="G6" s="1">
        <v>55.5</v>
      </c>
      <c r="H6" s="1">
        <v>30</v>
      </c>
      <c r="I6" s="1">
        <v>58.2</v>
      </c>
      <c r="J6" s="1">
        <v>12</v>
      </c>
      <c r="K6" s="1">
        <v>9.1</v>
      </c>
      <c r="L6" s="1">
        <v>13.5</v>
      </c>
      <c r="M6" s="1">
        <v>20.100000000000001</v>
      </c>
    </row>
    <row r="7" spans="1:13" x14ac:dyDescent="0.25">
      <c r="A7" s="1">
        <v>3</v>
      </c>
      <c r="B7" s="3">
        <f t="shared" ref="B7:B34" si="0">B6+1</f>
        <v>46268</v>
      </c>
      <c r="C7" s="3" t="s">
        <v>16</v>
      </c>
      <c r="D7" s="1">
        <v>45</v>
      </c>
      <c r="E7" s="1">
        <f>57.4+13</f>
        <v>70.400000000000006</v>
      </c>
      <c r="F7" s="1">
        <v>35.1</v>
      </c>
      <c r="G7" s="1">
        <v>47.7</v>
      </c>
      <c r="H7" s="1">
        <v>30</v>
      </c>
      <c r="I7" s="1">
        <v>52.1</v>
      </c>
      <c r="J7" s="1">
        <v>12</v>
      </c>
      <c r="K7" s="1">
        <v>12.6</v>
      </c>
      <c r="L7" s="1">
        <v>13.5</v>
      </c>
      <c r="M7" s="1">
        <v>16.399999999999999</v>
      </c>
    </row>
    <row r="8" spans="1:13" x14ac:dyDescent="0.25">
      <c r="A8" s="2">
        <v>4</v>
      </c>
      <c r="B8" s="3">
        <f t="shared" si="0"/>
        <v>46269</v>
      </c>
      <c r="C8" s="3" t="s">
        <v>17</v>
      </c>
      <c r="D8" s="1">
        <v>45</v>
      </c>
      <c r="E8" s="1">
        <f>58.4</f>
        <v>58.4</v>
      </c>
      <c r="F8" s="1">
        <v>35.1</v>
      </c>
      <c r="G8" s="1">
        <v>55.4</v>
      </c>
      <c r="H8" s="1">
        <v>30</v>
      </c>
      <c r="I8" s="1">
        <v>43</v>
      </c>
      <c r="J8" s="1">
        <v>12</v>
      </c>
      <c r="K8" s="1">
        <v>9.8000000000000007</v>
      </c>
      <c r="L8" s="1">
        <v>13.5</v>
      </c>
      <c r="M8" s="1">
        <v>12.7</v>
      </c>
    </row>
    <row r="9" spans="1:13" x14ac:dyDescent="0.25">
      <c r="A9" s="1">
        <v>5</v>
      </c>
      <c r="B9" s="3">
        <f t="shared" si="0"/>
        <v>46270</v>
      </c>
      <c r="C9" s="3" t="s">
        <v>11</v>
      </c>
      <c r="D9" s="1">
        <v>45</v>
      </c>
      <c r="E9" s="1">
        <v>33.1</v>
      </c>
      <c r="F9" s="1">
        <v>35.1</v>
      </c>
      <c r="G9" s="1">
        <v>49.4</v>
      </c>
      <c r="H9" s="1">
        <v>30</v>
      </c>
      <c r="I9" s="1">
        <v>35.6</v>
      </c>
      <c r="J9" s="1">
        <v>12</v>
      </c>
      <c r="K9" s="1">
        <v>6</v>
      </c>
      <c r="L9" s="1">
        <v>13.5</v>
      </c>
      <c r="M9" s="1">
        <v>14.4</v>
      </c>
    </row>
    <row r="10" spans="1:13" x14ac:dyDescent="0.25">
      <c r="A10" s="2">
        <v>6</v>
      </c>
      <c r="B10" s="3">
        <f t="shared" si="0"/>
        <v>46271</v>
      </c>
      <c r="C10" s="3" t="s">
        <v>12</v>
      </c>
      <c r="D10" s="1">
        <v>45</v>
      </c>
      <c r="E10" s="1">
        <v>34.4</v>
      </c>
      <c r="F10" s="1">
        <v>35.1</v>
      </c>
      <c r="G10" s="1">
        <v>49.6</v>
      </c>
      <c r="H10" s="1">
        <v>30</v>
      </c>
      <c r="I10" s="1">
        <v>35.700000000000003</v>
      </c>
      <c r="J10" s="1">
        <v>12</v>
      </c>
      <c r="K10" s="1">
        <v>6.5</v>
      </c>
      <c r="L10" s="1">
        <v>13.5</v>
      </c>
      <c r="M10" s="1">
        <v>14.4</v>
      </c>
    </row>
    <row r="11" spans="1:13" x14ac:dyDescent="0.25">
      <c r="A11" s="1">
        <v>7</v>
      </c>
      <c r="B11" s="3">
        <f t="shared" si="0"/>
        <v>46272</v>
      </c>
      <c r="C11" s="3" t="s">
        <v>13</v>
      </c>
      <c r="D11" s="1">
        <v>45</v>
      </c>
      <c r="E11" s="1">
        <f>86.7</f>
        <v>86.7</v>
      </c>
      <c r="F11" s="1">
        <v>35.1</v>
      </c>
      <c r="G11" s="1">
        <v>49.7</v>
      </c>
      <c r="H11" s="1">
        <v>30</v>
      </c>
      <c r="I11" s="1">
        <v>35.700000000000003</v>
      </c>
      <c r="J11" s="1">
        <v>12</v>
      </c>
      <c r="K11" s="1">
        <v>6.5</v>
      </c>
      <c r="L11" s="1">
        <v>13.5</v>
      </c>
      <c r="M11" s="1">
        <v>14.4</v>
      </c>
    </row>
    <row r="12" spans="1:13" x14ac:dyDescent="0.25">
      <c r="A12" s="2">
        <v>8</v>
      </c>
      <c r="B12" s="3">
        <f t="shared" si="0"/>
        <v>46273</v>
      </c>
      <c r="C12" s="3" t="s">
        <v>14</v>
      </c>
      <c r="D12" s="1">
        <v>45</v>
      </c>
      <c r="E12" s="1">
        <v>74.8</v>
      </c>
      <c r="F12" s="1">
        <v>35.1</v>
      </c>
      <c r="G12" s="1">
        <v>49.2</v>
      </c>
      <c r="H12" s="1">
        <v>30</v>
      </c>
      <c r="I12" s="1">
        <v>43.1</v>
      </c>
      <c r="J12" s="1">
        <v>12</v>
      </c>
      <c r="K12" s="1">
        <v>16</v>
      </c>
      <c r="L12" s="1">
        <v>13.5</v>
      </c>
      <c r="M12" s="1">
        <v>20.100000000000001</v>
      </c>
    </row>
    <row r="13" spans="1:13" x14ac:dyDescent="0.25">
      <c r="A13" s="1">
        <v>9</v>
      </c>
      <c r="B13" s="3">
        <f t="shared" si="0"/>
        <v>46274</v>
      </c>
      <c r="C13" s="3" t="s">
        <v>15</v>
      </c>
      <c r="D13" s="1">
        <v>45</v>
      </c>
      <c r="E13" s="1">
        <f>61.4</f>
        <v>61.4</v>
      </c>
      <c r="F13" s="1">
        <v>35.1</v>
      </c>
      <c r="G13" s="1">
        <v>46.7</v>
      </c>
      <c r="H13" s="1">
        <v>30</v>
      </c>
      <c r="I13" s="1">
        <v>40.4</v>
      </c>
      <c r="J13" s="1">
        <v>12</v>
      </c>
      <c r="K13" s="1">
        <v>12</v>
      </c>
      <c r="L13" s="1">
        <v>13.5</v>
      </c>
      <c r="M13" s="1">
        <v>14.5</v>
      </c>
    </row>
    <row r="14" spans="1:13" x14ac:dyDescent="0.25">
      <c r="A14" s="2">
        <v>10</v>
      </c>
      <c r="B14" s="3">
        <f t="shared" si="0"/>
        <v>46275</v>
      </c>
      <c r="C14" s="3" t="s">
        <v>16</v>
      </c>
      <c r="D14" s="1">
        <v>45</v>
      </c>
      <c r="E14" s="1">
        <f>37.3</f>
        <v>37.299999999999997</v>
      </c>
      <c r="F14" s="1">
        <v>35.1</v>
      </c>
      <c r="G14" s="1">
        <v>54.9</v>
      </c>
      <c r="H14" s="1">
        <v>30</v>
      </c>
      <c r="I14" s="1">
        <v>33.799999999999997</v>
      </c>
      <c r="J14" s="1">
        <v>12</v>
      </c>
      <c r="K14" s="1">
        <v>9.9</v>
      </c>
      <c r="L14" s="1">
        <v>13.5</v>
      </c>
      <c r="M14" s="1">
        <v>10.9</v>
      </c>
    </row>
    <row r="15" spans="1:13" x14ac:dyDescent="0.25">
      <c r="A15" s="1">
        <v>11</v>
      </c>
      <c r="B15" s="3">
        <f t="shared" si="0"/>
        <v>46276</v>
      </c>
      <c r="C15" s="3" t="s">
        <v>17</v>
      </c>
      <c r="D15" s="1">
        <v>45</v>
      </c>
      <c r="E15" s="1">
        <f>37.4</f>
        <v>37.4</v>
      </c>
      <c r="F15" s="1">
        <v>35.1</v>
      </c>
      <c r="G15" s="1">
        <v>56.2</v>
      </c>
      <c r="H15" s="1">
        <v>30</v>
      </c>
      <c r="I15" s="1">
        <v>25.9</v>
      </c>
      <c r="J15" s="1">
        <v>12</v>
      </c>
      <c r="K15" s="1">
        <v>8.1</v>
      </c>
      <c r="L15" s="1">
        <v>13.5</v>
      </c>
      <c r="M15" s="1">
        <v>8.1</v>
      </c>
    </row>
    <row r="16" spans="1:13" x14ac:dyDescent="0.25">
      <c r="A16" s="2">
        <v>12</v>
      </c>
      <c r="B16" s="3">
        <f t="shared" si="0"/>
        <v>46277</v>
      </c>
      <c r="C16" s="3" t="s">
        <v>11</v>
      </c>
      <c r="D16" s="1">
        <v>45</v>
      </c>
      <c r="E16" s="1">
        <f>37.4</f>
        <v>37.4</v>
      </c>
      <c r="F16" s="1">
        <v>35.1</v>
      </c>
      <c r="G16" s="1">
        <v>48.4</v>
      </c>
      <c r="H16" s="1">
        <v>30</v>
      </c>
      <c r="I16" s="1">
        <v>35.299999999999997</v>
      </c>
      <c r="J16" s="1">
        <v>12</v>
      </c>
      <c r="K16" s="1">
        <v>6.7</v>
      </c>
      <c r="L16" s="1">
        <v>13.5</v>
      </c>
      <c r="M16" s="1">
        <v>5.2</v>
      </c>
    </row>
    <row r="17" spans="1:13" x14ac:dyDescent="0.25">
      <c r="A17" s="1">
        <v>13</v>
      </c>
      <c r="B17" s="3">
        <f t="shared" si="0"/>
        <v>46278</v>
      </c>
      <c r="C17" s="3" t="s">
        <v>12</v>
      </c>
      <c r="D17" s="1">
        <v>45</v>
      </c>
      <c r="E17" s="1">
        <f>31.7</f>
        <v>31.7</v>
      </c>
      <c r="F17" s="1">
        <v>35.1</v>
      </c>
      <c r="G17" s="1">
        <v>48.5</v>
      </c>
      <c r="H17" s="1">
        <v>30</v>
      </c>
      <c r="I17" s="1">
        <v>35.299999999999997</v>
      </c>
      <c r="J17" s="1">
        <v>12</v>
      </c>
      <c r="K17" s="1">
        <v>6.7</v>
      </c>
      <c r="L17" s="1">
        <v>13.5</v>
      </c>
      <c r="M17" s="1">
        <v>4.9000000000000004</v>
      </c>
    </row>
    <row r="18" spans="1:13" x14ac:dyDescent="0.25">
      <c r="A18" s="2">
        <v>14</v>
      </c>
      <c r="B18" s="3">
        <f t="shared" si="0"/>
        <v>46279</v>
      </c>
      <c r="C18" s="3" t="s">
        <v>13</v>
      </c>
      <c r="D18" s="1">
        <v>45</v>
      </c>
      <c r="E18" s="1">
        <f>31.7+35</f>
        <v>66.7</v>
      </c>
      <c r="F18" s="1">
        <v>35.1</v>
      </c>
      <c r="G18" s="1">
        <v>48.5</v>
      </c>
      <c r="H18" s="1">
        <v>30</v>
      </c>
      <c r="I18" s="1">
        <v>35.299999999999997</v>
      </c>
      <c r="J18" s="1">
        <v>12</v>
      </c>
      <c r="K18" s="1">
        <v>6.7</v>
      </c>
      <c r="L18" s="1">
        <v>13.5</v>
      </c>
      <c r="M18" s="1">
        <v>4.9000000000000004</v>
      </c>
    </row>
    <row r="19" spans="1:13" x14ac:dyDescent="0.25">
      <c r="A19" s="1">
        <v>15</v>
      </c>
      <c r="B19" s="3">
        <f t="shared" si="0"/>
        <v>46280</v>
      </c>
      <c r="C19" s="3" t="s">
        <v>14</v>
      </c>
      <c r="D19" s="1">
        <v>45</v>
      </c>
      <c r="E19" s="1">
        <f>35.6+35</f>
        <v>70.599999999999994</v>
      </c>
      <c r="F19" s="1">
        <v>35.1</v>
      </c>
      <c r="G19" s="1">
        <v>35.799999999999997</v>
      </c>
      <c r="H19" s="1">
        <v>30</v>
      </c>
      <c r="I19" s="1">
        <v>41.8</v>
      </c>
      <c r="J19" s="1">
        <v>12</v>
      </c>
      <c r="K19" s="1">
        <v>10.6</v>
      </c>
      <c r="L19" s="1">
        <v>13.5</v>
      </c>
      <c r="M19" s="1">
        <v>9.5</v>
      </c>
    </row>
    <row r="20" spans="1:13" x14ac:dyDescent="0.25">
      <c r="A20" s="1">
        <v>16</v>
      </c>
      <c r="B20" s="3">
        <f t="shared" si="0"/>
        <v>46281</v>
      </c>
      <c r="C20" s="3" t="s">
        <v>15</v>
      </c>
      <c r="D20" s="1">
        <v>45</v>
      </c>
      <c r="E20" s="1">
        <v>60.8</v>
      </c>
      <c r="F20" s="1">
        <v>35.1</v>
      </c>
      <c r="G20" s="1">
        <v>42.7</v>
      </c>
      <c r="H20" s="1">
        <v>30</v>
      </c>
      <c r="I20" s="1">
        <v>33.5</v>
      </c>
      <c r="J20" s="1">
        <v>12</v>
      </c>
      <c r="K20" s="1">
        <v>7.7</v>
      </c>
      <c r="L20" s="1">
        <v>13.5</v>
      </c>
      <c r="M20" s="1">
        <v>5.7</v>
      </c>
    </row>
    <row r="21" spans="1:13" x14ac:dyDescent="0.25">
      <c r="A21" s="1">
        <v>17</v>
      </c>
      <c r="B21" s="3">
        <f t="shared" si="0"/>
        <v>46282</v>
      </c>
      <c r="C21" s="3" t="s">
        <v>16</v>
      </c>
      <c r="D21" s="1">
        <v>45</v>
      </c>
      <c r="E21" s="1">
        <f>36.6</f>
        <v>36.6</v>
      </c>
      <c r="F21" s="1">
        <v>35.1</v>
      </c>
      <c r="G21" s="1">
        <v>32.5</v>
      </c>
      <c r="H21" s="1">
        <v>30</v>
      </c>
      <c r="I21" s="1">
        <v>26.9</v>
      </c>
      <c r="J21" s="1">
        <v>12</v>
      </c>
      <c r="K21" s="1">
        <v>5.4</v>
      </c>
      <c r="L21" s="1">
        <v>13.5</v>
      </c>
      <c r="M21" s="1">
        <v>3.6</v>
      </c>
    </row>
    <row r="22" spans="1:13" x14ac:dyDescent="0.25">
      <c r="A22" s="1">
        <v>18</v>
      </c>
      <c r="B22" s="3">
        <f t="shared" si="0"/>
        <v>46283</v>
      </c>
      <c r="C22" s="3" t="s">
        <v>17</v>
      </c>
      <c r="D22" s="1">
        <v>45</v>
      </c>
      <c r="E22" s="1">
        <f>16.8+35+14</f>
        <v>65.8</v>
      </c>
      <c r="F22" s="1">
        <v>35.1</v>
      </c>
      <c r="G22" s="1">
        <v>56</v>
      </c>
      <c r="H22" s="1">
        <v>30</v>
      </c>
      <c r="I22" s="1">
        <v>44.8</v>
      </c>
      <c r="J22" s="1">
        <v>12</v>
      </c>
      <c r="K22" s="1">
        <v>4.8</v>
      </c>
      <c r="L22" s="1">
        <v>13.5</v>
      </c>
      <c r="M22" s="1">
        <v>17.5</v>
      </c>
    </row>
    <row r="23" spans="1:13" x14ac:dyDescent="0.25">
      <c r="A23" s="1">
        <v>19</v>
      </c>
      <c r="B23" s="3">
        <f t="shared" si="0"/>
        <v>46284</v>
      </c>
      <c r="C23" s="3" t="s">
        <v>11</v>
      </c>
      <c r="D23" s="1">
        <v>45</v>
      </c>
      <c r="E23" s="1">
        <v>39.6</v>
      </c>
      <c r="F23" s="1">
        <v>35.1</v>
      </c>
      <c r="G23" s="1">
        <v>46</v>
      </c>
      <c r="H23" s="1">
        <v>30</v>
      </c>
      <c r="I23" s="1">
        <v>37.700000000000003</v>
      </c>
      <c r="J23" s="1">
        <v>12</v>
      </c>
      <c r="K23" s="1">
        <v>3.1</v>
      </c>
      <c r="L23" s="1">
        <v>13.5</v>
      </c>
      <c r="M23" s="1">
        <v>14.5</v>
      </c>
    </row>
    <row r="24" spans="1:13" x14ac:dyDescent="0.25">
      <c r="A24" s="1">
        <v>20</v>
      </c>
      <c r="B24" s="3">
        <f t="shared" si="0"/>
        <v>46285</v>
      </c>
      <c r="C24" s="3" t="s">
        <v>12</v>
      </c>
      <c r="D24" s="1">
        <v>45</v>
      </c>
      <c r="E24" s="1">
        <v>39.6</v>
      </c>
      <c r="F24" s="1">
        <v>35.1</v>
      </c>
      <c r="G24" s="1">
        <v>56.3</v>
      </c>
      <c r="H24" s="1">
        <v>30</v>
      </c>
      <c r="I24" s="1">
        <v>37.700000000000003</v>
      </c>
      <c r="J24" s="1">
        <v>12</v>
      </c>
      <c r="K24" s="1">
        <v>18.2</v>
      </c>
      <c r="L24" s="1">
        <v>13.5</v>
      </c>
      <c r="M24" s="1">
        <v>14.5</v>
      </c>
    </row>
    <row r="25" spans="1:13" x14ac:dyDescent="0.25">
      <c r="A25" s="1">
        <v>21</v>
      </c>
      <c r="B25" s="3">
        <f t="shared" si="0"/>
        <v>46286</v>
      </c>
      <c r="C25" s="3" t="s">
        <v>13</v>
      </c>
      <c r="D25" s="1">
        <v>45</v>
      </c>
      <c r="E25" s="1">
        <v>90.7</v>
      </c>
      <c r="F25" s="1">
        <v>35.1</v>
      </c>
      <c r="G25" s="1">
        <v>56.3</v>
      </c>
      <c r="H25" s="1">
        <v>30</v>
      </c>
      <c r="I25" s="1">
        <v>37.700000000000003</v>
      </c>
      <c r="J25" s="1">
        <v>12</v>
      </c>
      <c r="K25" s="1">
        <v>13.5</v>
      </c>
      <c r="L25" s="1">
        <v>13.5</v>
      </c>
      <c r="M25" s="1">
        <v>14.5</v>
      </c>
    </row>
    <row r="26" spans="1:13" x14ac:dyDescent="0.25">
      <c r="A26" s="1">
        <v>22</v>
      </c>
      <c r="B26" s="3">
        <f t="shared" si="0"/>
        <v>46287</v>
      </c>
      <c r="C26" s="3" t="s">
        <v>14</v>
      </c>
      <c r="D26" s="1">
        <v>45</v>
      </c>
      <c r="E26" s="1">
        <v>79.400000000000006</v>
      </c>
      <c r="F26" s="1">
        <v>35.1</v>
      </c>
      <c r="G26" s="1">
        <v>44.4</v>
      </c>
      <c r="H26" s="1">
        <v>30</v>
      </c>
      <c r="I26" s="1">
        <v>44.6</v>
      </c>
      <c r="J26" s="1">
        <v>12</v>
      </c>
      <c r="K26" s="1">
        <v>7.6</v>
      </c>
      <c r="L26" s="1">
        <v>13.5</v>
      </c>
      <c r="M26" s="1">
        <v>18.5</v>
      </c>
    </row>
    <row r="27" spans="1:13" x14ac:dyDescent="0.25">
      <c r="A27" s="1">
        <v>23</v>
      </c>
      <c r="B27" s="3">
        <f t="shared" si="0"/>
        <v>46288</v>
      </c>
      <c r="C27" s="3" t="s">
        <v>15</v>
      </c>
      <c r="D27" s="1">
        <v>45</v>
      </c>
      <c r="E27" s="1">
        <f>70.7</f>
        <v>70.7</v>
      </c>
      <c r="F27" s="1">
        <v>35.1</v>
      </c>
      <c r="G27" s="1">
        <v>36.6</v>
      </c>
      <c r="H27" s="1">
        <v>30</v>
      </c>
      <c r="I27" s="1">
        <v>52.1</v>
      </c>
      <c r="J27" s="1">
        <v>12</v>
      </c>
      <c r="K27" s="1">
        <v>14.4</v>
      </c>
      <c r="L27" s="1">
        <v>13.5</v>
      </c>
      <c r="M27" s="1">
        <v>19.600000000000001</v>
      </c>
    </row>
    <row r="28" spans="1:13" x14ac:dyDescent="0.25">
      <c r="A28" s="1">
        <v>24</v>
      </c>
      <c r="B28" s="3">
        <f t="shared" si="0"/>
        <v>46289</v>
      </c>
      <c r="C28" s="3" t="s">
        <v>16</v>
      </c>
      <c r="D28" s="1">
        <v>45</v>
      </c>
      <c r="E28" s="1">
        <f>50.2+33</f>
        <v>83.2</v>
      </c>
      <c r="F28" s="1">
        <v>35.1</v>
      </c>
      <c r="G28" s="1">
        <v>39.9</v>
      </c>
      <c r="H28" s="1">
        <v>30</v>
      </c>
      <c r="I28" s="1">
        <v>56.4</v>
      </c>
      <c r="J28" s="1">
        <v>12</v>
      </c>
      <c r="K28" s="1">
        <v>9.8000000000000007</v>
      </c>
      <c r="L28" s="1">
        <v>13.5</v>
      </c>
      <c r="M28" s="1">
        <v>15.5</v>
      </c>
    </row>
    <row r="29" spans="1:13" x14ac:dyDescent="0.25">
      <c r="A29" s="1">
        <v>25</v>
      </c>
      <c r="B29" s="3">
        <f t="shared" si="0"/>
        <v>46290</v>
      </c>
      <c r="C29" s="3" t="s">
        <v>17</v>
      </c>
      <c r="D29" s="1">
        <v>45</v>
      </c>
      <c r="E29" s="1">
        <f>60.1+17.5</f>
        <v>77.599999999999994</v>
      </c>
      <c r="F29" s="1">
        <v>35.1</v>
      </c>
      <c r="G29" s="1">
        <v>47.5</v>
      </c>
      <c r="H29" s="1">
        <v>30</v>
      </c>
      <c r="I29" s="1">
        <v>48.3</v>
      </c>
      <c r="J29" s="1">
        <v>12</v>
      </c>
      <c r="K29" s="1">
        <v>8</v>
      </c>
      <c r="L29" s="1">
        <v>13.5</v>
      </c>
      <c r="M29" s="1">
        <v>13.6</v>
      </c>
    </row>
    <row r="30" spans="1:13" x14ac:dyDescent="0.25">
      <c r="A30" s="1">
        <v>26</v>
      </c>
      <c r="B30" s="3">
        <f t="shared" si="0"/>
        <v>46291</v>
      </c>
      <c r="C30" s="3" t="s">
        <v>11</v>
      </c>
      <c r="D30" s="1">
        <v>45</v>
      </c>
      <c r="E30" s="1">
        <v>39.5</v>
      </c>
      <c r="F30" s="1">
        <v>35.1</v>
      </c>
      <c r="G30" s="1">
        <v>55.6</v>
      </c>
      <c r="H30" s="1">
        <v>30</v>
      </c>
      <c r="I30" s="1">
        <v>41.7</v>
      </c>
      <c r="J30" s="1">
        <v>12</v>
      </c>
      <c r="K30" s="1">
        <v>6.8</v>
      </c>
      <c r="L30" s="1">
        <v>13.5</v>
      </c>
      <c r="M30" s="1">
        <v>10.5</v>
      </c>
    </row>
    <row r="31" spans="1:13" x14ac:dyDescent="0.25">
      <c r="A31" s="1">
        <v>27</v>
      </c>
      <c r="B31" s="3">
        <f t="shared" si="0"/>
        <v>46292</v>
      </c>
      <c r="C31" s="3" t="s">
        <v>12</v>
      </c>
      <c r="D31" s="1">
        <v>45</v>
      </c>
      <c r="E31" s="1">
        <v>39.5</v>
      </c>
      <c r="F31" s="1">
        <v>35.1</v>
      </c>
      <c r="G31" s="1">
        <v>55.7</v>
      </c>
      <c r="H31" s="1">
        <v>30</v>
      </c>
      <c r="I31" s="1">
        <v>41.4</v>
      </c>
      <c r="J31" s="1">
        <v>12</v>
      </c>
      <c r="K31" s="1">
        <v>6.8</v>
      </c>
      <c r="L31" s="1">
        <v>13.5</v>
      </c>
      <c r="M31" s="1">
        <v>10.5</v>
      </c>
    </row>
    <row r="32" spans="1:13" x14ac:dyDescent="0.25">
      <c r="A32" s="1">
        <v>28</v>
      </c>
      <c r="B32" s="3">
        <f t="shared" si="0"/>
        <v>46293</v>
      </c>
      <c r="C32" s="3" t="s">
        <v>13</v>
      </c>
      <c r="D32" s="1">
        <v>45</v>
      </c>
      <c r="E32" s="1">
        <v>57.4</v>
      </c>
      <c r="F32" s="1">
        <v>35.1</v>
      </c>
      <c r="G32" s="1">
        <v>55.8</v>
      </c>
      <c r="H32" s="1">
        <v>30</v>
      </c>
      <c r="I32" s="1">
        <v>41.4</v>
      </c>
      <c r="J32" s="1">
        <v>12</v>
      </c>
      <c r="K32" s="1">
        <v>6.8</v>
      </c>
      <c r="L32" s="1">
        <v>13.5</v>
      </c>
      <c r="M32" s="1">
        <v>10.5</v>
      </c>
    </row>
    <row r="33" spans="1:13" x14ac:dyDescent="0.25">
      <c r="A33" s="1">
        <v>29</v>
      </c>
      <c r="B33" s="3">
        <f t="shared" si="0"/>
        <v>46294</v>
      </c>
      <c r="C33" s="3" t="s">
        <v>14</v>
      </c>
      <c r="D33" s="1">
        <v>45</v>
      </c>
      <c r="E33" s="1">
        <f>66.5+17.5</f>
        <v>84</v>
      </c>
      <c r="F33" s="1">
        <v>35.1</v>
      </c>
      <c r="G33" s="1">
        <v>55.4</v>
      </c>
      <c r="H33" s="1">
        <v>30</v>
      </c>
      <c r="I33" s="1">
        <v>48.6</v>
      </c>
      <c r="J33" s="1">
        <v>12</v>
      </c>
      <c r="K33" s="1">
        <v>22.6</v>
      </c>
      <c r="L33" s="1">
        <v>13.5</v>
      </c>
      <c r="M33" s="1">
        <v>16.7</v>
      </c>
    </row>
    <row r="34" spans="1:13" x14ac:dyDescent="0.25">
      <c r="A34" s="1">
        <v>30</v>
      </c>
      <c r="B34" s="3">
        <f t="shared" si="0"/>
        <v>46295</v>
      </c>
      <c r="C34" s="3" t="s">
        <v>15</v>
      </c>
      <c r="D34" s="1">
        <v>45</v>
      </c>
      <c r="E34" s="1"/>
      <c r="F34" s="1">
        <v>35.1</v>
      </c>
      <c r="G34" s="1"/>
      <c r="H34" s="1">
        <v>30</v>
      </c>
      <c r="I34" s="1"/>
      <c r="J34" s="1">
        <v>12</v>
      </c>
      <c r="K34" s="1"/>
      <c r="L34" s="1">
        <v>13.5</v>
      </c>
      <c r="M34" s="1"/>
    </row>
    <row r="37" spans="1:13" ht="21" x14ac:dyDescent="0.35">
      <c r="A37" s="4" t="s">
        <v>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1">
        <v>1</v>
      </c>
      <c r="B38" s="1">
        <v>2</v>
      </c>
      <c r="C38" s="1">
        <v>3</v>
      </c>
      <c r="D38" s="1">
        <v>4</v>
      </c>
      <c r="E38" s="1">
        <v>5</v>
      </c>
      <c r="F38" s="1">
        <v>6</v>
      </c>
      <c r="G38" s="1">
        <v>7</v>
      </c>
      <c r="H38" s="1">
        <v>8</v>
      </c>
      <c r="I38" s="1">
        <v>9</v>
      </c>
      <c r="J38" s="1">
        <v>10</v>
      </c>
      <c r="K38" s="1">
        <v>11</v>
      </c>
      <c r="L38" s="1">
        <v>12</v>
      </c>
      <c r="M38" s="1">
        <v>13</v>
      </c>
    </row>
    <row r="39" spans="1:13" ht="15.75" x14ac:dyDescent="0.25">
      <c r="A39" s="5" t="s">
        <v>0</v>
      </c>
      <c r="B39" s="5" t="s">
        <v>18</v>
      </c>
      <c r="C39" s="5" t="s">
        <v>19</v>
      </c>
      <c r="D39" s="6" t="s">
        <v>3</v>
      </c>
      <c r="E39" s="6"/>
      <c r="F39" s="6" t="s">
        <v>7</v>
      </c>
      <c r="G39" s="6"/>
      <c r="H39" s="6" t="s">
        <v>4</v>
      </c>
      <c r="I39" s="6"/>
      <c r="J39" s="6" t="s">
        <v>5</v>
      </c>
      <c r="K39" s="6"/>
      <c r="L39" s="6" t="s">
        <v>6</v>
      </c>
      <c r="M39" s="6"/>
    </row>
    <row r="40" spans="1:13" x14ac:dyDescent="0.25">
      <c r="A40" s="5"/>
      <c r="B40" s="5"/>
      <c r="C40" s="5"/>
      <c r="D40" s="1" t="s">
        <v>1</v>
      </c>
      <c r="E40" s="1" t="s">
        <v>2</v>
      </c>
      <c r="F40" s="1" t="s">
        <v>1</v>
      </c>
      <c r="G40" s="1" t="s">
        <v>2</v>
      </c>
      <c r="H40" s="1" t="s">
        <v>1</v>
      </c>
      <c r="I40" s="1" t="s">
        <v>2</v>
      </c>
      <c r="J40" s="1" t="s">
        <v>1</v>
      </c>
      <c r="K40" s="1" t="s">
        <v>2</v>
      </c>
      <c r="L40" s="1" t="s">
        <v>1</v>
      </c>
      <c r="M40" s="1" t="s">
        <v>2</v>
      </c>
    </row>
    <row r="41" spans="1:13" x14ac:dyDescent="0.25">
      <c r="A41" s="1">
        <v>1</v>
      </c>
      <c r="B41" s="3">
        <v>46266</v>
      </c>
      <c r="C41" s="3" t="s">
        <v>14</v>
      </c>
      <c r="D41" s="1">
        <v>15</v>
      </c>
      <c r="E41" s="1">
        <f>33.3</f>
        <v>33.299999999999997</v>
      </c>
      <c r="F41" s="1">
        <v>10</v>
      </c>
      <c r="G41" s="1">
        <v>13.8</v>
      </c>
      <c r="H41" s="1">
        <v>7.4</v>
      </c>
      <c r="I41" s="1">
        <v>16.100000000000001</v>
      </c>
      <c r="J41" s="1">
        <v>5</v>
      </c>
      <c r="K41" s="1">
        <v>10.1</v>
      </c>
      <c r="L41" s="1">
        <v>2.8</v>
      </c>
      <c r="M41" s="1">
        <v>7.7</v>
      </c>
    </row>
    <row r="42" spans="1:13" x14ac:dyDescent="0.25">
      <c r="A42" s="2">
        <v>2</v>
      </c>
      <c r="B42" s="3">
        <f>B41+1</f>
        <v>46267</v>
      </c>
      <c r="C42" s="3" t="s">
        <v>15</v>
      </c>
      <c r="D42" s="1">
        <v>15</v>
      </c>
      <c r="E42" s="1">
        <f>22.9+17</f>
        <v>39.9</v>
      </c>
      <c r="F42" s="1">
        <v>10</v>
      </c>
      <c r="G42" s="1">
        <v>11.4</v>
      </c>
      <c r="H42" s="1">
        <v>7.4</v>
      </c>
      <c r="I42" s="1">
        <v>14.1</v>
      </c>
      <c r="J42" s="1">
        <v>5</v>
      </c>
      <c r="K42" s="1">
        <v>7.7</v>
      </c>
      <c r="L42" s="1">
        <v>2.8</v>
      </c>
      <c r="M42" s="1">
        <v>7.2</v>
      </c>
    </row>
    <row r="43" spans="1:13" x14ac:dyDescent="0.25">
      <c r="A43" s="1">
        <v>3</v>
      </c>
      <c r="B43" s="3">
        <f t="shared" ref="B43:B70" si="1">B42+1</f>
        <v>46268</v>
      </c>
      <c r="C43" s="3" t="s">
        <v>16</v>
      </c>
      <c r="D43" s="1">
        <v>15</v>
      </c>
      <c r="E43" s="1">
        <f>15.5+17</f>
        <v>32.5</v>
      </c>
      <c r="F43" s="1">
        <v>10</v>
      </c>
      <c r="G43" s="1">
        <v>9.9</v>
      </c>
      <c r="H43" s="1">
        <v>7.4</v>
      </c>
      <c r="I43" s="1">
        <v>12.7</v>
      </c>
      <c r="J43" s="1">
        <v>5</v>
      </c>
      <c r="K43" s="1">
        <v>6.6</v>
      </c>
      <c r="L43" s="1">
        <v>2.8</v>
      </c>
      <c r="M43" s="1">
        <v>6.4</v>
      </c>
    </row>
    <row r="44" spans="1:13" x14ac:dyDescent="0.25">
      <c r="A44" s="2">
        <v>4</v>
      </c>
      <c r="B44" s="3">
        <f t="shared" si="1"/>
        <v>46269</v>
      </c>
      <c r="C44" s="3" t="s">
        <v>17</v>
      </c>
      <c r="D44" s="1">
        <v>15</v>
      </c>
      <c r="E44" s="1">
        <f>24.8+15</f>
        <v>39.799999999999997</v>
      </c>
      <c r="F44" s="1">
        <v>10</v>
      </c>
      <c r="G44" s="1">
        <v>8.6</v>
      </c>
      <c r="H44" s="1">
        <v>7.4</v>
      </c>
      <c r="I44" s="1">
        <v>10.9</v>
      </c>
      <c r="J44" s="1">
        <v>5</v>
      </c>
      <c r="K44" s="1">
        <v>5.8</v>
      </c>
      <c r="L44" s="1">
        <v>2.8</v>
      </c>
      <c r="M44" s="1">
        <v>6</v>
      </c>
    </row>
    <row r="45" spans="1:13" x14ac:dyDescent="0.25">
      <c r="A45" s="1">
        <v>5</v>
      </c>
      <c r="B45" s="3">
        <f t="shared" si="1"/>
        <v>46270</v>
      </c>
      <c r="C45" s="3" t="s">
        <v>11</v>
      </c>
      <c r="D45" s="1">
        <v>15</v>
      </c>
      <c r="E45" s="1">
        <v>35</v>
      </c>
      <c r="F45" s="1">
        <v>10</v>
      </c>
      <c r="G45" s="1">
        <v>6.3</v>
      </c>
      <c r="H45" s="1">
        <v>7.4</v>
      </c>
      <c r="I45" s="1">
        <v>9</v>
      </c>
      <c r="J45" s="1">
        <v>5</v>
      </c>
      <c r="K45" s="1">
        <v>4.3</v>
      </c>
      <c r="L45" s="1">
        <v>2.8</v>
      </c>
      <c r="M45" s="1">
        <v>5.4</v>
      </c>
    </row>
    <row r="46" spans="1:13" x14ac:dyDescent="0.25">
      <c r="A46" s="2">
        <v>6</v>
      </c>
      <c r="B46" s="3">
        <f t="shared" si="1"/>
        <v>46271</v>
      </c>
      <c r="C46" s="3" t="s">
        <v>12</v>
      </c>
      <c r="D46" s="1">
        <v>15</v>
      </c>
      <c r="E46" s="1">
        <v>35.700000000000003</v>
      </c>
      <c r="F46" s="1">
        <v>10</v>
      </c>
      <c r="G46" s="1">
        <v>6.3</v>
      </c>
      <c r="H46" s="1">
        <v>7.4</v>
      </c>
      <c r="I46" s="1">
        <v>9</v>
      </c>
      <c r="J46" s="1">
        <v>5</v>
      </c>
      <c r="K46" s="1">
        <v>4.4000000000000004</v>
      </c>
      <c r="L46" s="1">
        <v>2.8</v>
      </c>
      <c r="M46" s="1">
        <v>5.4</v>
      </c>
    </row>
    <row r="47" spans="1:13" x14ac:dyDescent="0.25">
      <c r="A47" s="1">
        <v>7</v>
      </c>
      <c r="B47" s="3">
        <f t="shared" si="1"/>
        <v>46272</v>
      </c>
      <c r="C47" s="3" t="s">
        <v>13</v>
      </c>
      <c r="D47" s="1">
        <v>15</v>
      </c>
      <c r="E47" s="1">
        <f>35.7</f>
        <v>35.700000000000003</v>
      </c>
      <c r="F47" s="1">
        <v>10</v>
      </c>
      <c r="G47" s="1">
        <v>6.3</v>
      </c>
      <c r="H47" s="1">
        <v>7.4</v>
      </c>
      <c r="I47" s="1">
        <v>9</v>
      </c>
      <c r="J47" s="1">
        <v>5</v>
      </c>
      <c r="K47" s="1">
        <v>4.4000000000000004</v>
      </c>
      <c r="L47" s="1">
        <v>2.8</v>
      </c>
      <c r="M47" s="1">
        <v>5.4</v>
      </c>
    </row>
    <row r="48" spans="1:13" x14ac:dyDescent="0.25">
      <c r="A48" s="2">
        <v>8</v>
      </c>
      <c r="B48" s="3">
        <f t="shared" si="1"/>
        <v>46273</v>
      </c>
      <c r="C48" s="3" t="s">
        <v>14</v>
      </c>
      <c r="D48" s="1">
        <v>15</v>
      </c>
      <c r="E48" s="1">
        <f>44.4</f>
        <v>44.4</v>
      </c>
      <c r="F48" s="1">
        <v>10</v>
      </c>
      <c r="G48" s="1">
        <v>20.7</v>
      </c>
      <c r="H48" s="1">
        <v>7.4</v>
      </c>
      <c r="I48" s="1">
        <v>19.600000000000001</v>
      </c>
      <c r="J48" s="1">
        <v>5</v>
      </c>
      <c r="K48" s="1">
        <v>3</v>
      </c>
      <c r="L48" s="1">
        <v>2.8</v>
      </c>
      <c r="M48" s="1">
        <v>10.4</v>
      </c>
    </row>
    <row r="49" spans="1:13" x14ac:dyDescent="0.25">
      <c r="A49" s="1">
        <v>9</v>
      </c>
      <c r="B49" s="3">
        <f t="shared" si="1"/>
        <v>46274</v>
      </c>
      <c r="C49" s="3" t="s">
        <v>15</v>
      </c>
      <c r="D49" s="1">
        <v>15</v>
      </c>
      <c r="E49" s="1">
        <f>32.5</f>
        <v>32.5</v>
      </c>
      <c r="F49" s="1">
        <v>10</v>
      </c>
      <c r="G49" s="1">
        <v>18.2</v>
      </c>
      <c r="H49" s="1">
        <v>7.4</v>
      </c>
      <c r="I49" s="1">
        <v>17.2</v>
      </c>
      <c r="J49" s="1">
        <v>5</v>
      </c>
      <c r="K49" s="1">
        <v>9.6</v>
      </c>
      <c r="L49" s="1">
        <v>2.8</v>
      </c>
      <c r="M49" s="1">
        <v>9.4</v>
      </c>
    </row>
    <row r="50" spans="1:13" x14ac:dyDescent="0.25">
      <c r="A50" s="2">
        <v>10</v>
      </c>
      <c r="B50" s="3">
        <f t="shared" si="1"/>
        <v>46275</v>
      </c>
      <c r="C50" s="3" t="s">
        <v>16</v>
      </c>
      <c r="D50" s="1">
        <v>15</v>
      </c>
      <c r="E50" s="1">
        <f>21.8+16.7</f>
        <v>38.5</v>
      </c>
      <c r="F50" s="1">
        <v>10</v>
      </c>
      <c r="G50" s="1">
        <v>16.100000000000001</v>
      </c>
      <c r="H50" s="1">
        <v>7.4</v>
      </c>
      <c r="I50" s="1">
        <v>15.2</v>
      </c>
      <c r="J50" s="1">
        <v>5</v>
      </c>
      <c r="K50" s="1">
        <v>8.5</v>
      </c>
      <c r="L50" s="1">
        <v>2.8</v>
      </c>
      <c r="M50" s="1">
        <v>8.6</v>
      </c>
    </row>
    <row r="51" spans="1:13" x14ac:dyDescent="0.25">
      <c r="A51" s="1">
        <v>11</v>
      </c>
      <c r="B51" s="3">
        <f t="shared" si="1"/>
        <v>46276</v>
      </c>
      <c r="C51" s="3" t="s">
        <v>17</v>
      </c>
      <c r="D51" s="1">
        <v>15</v>
      </c>
      <c r="E51" s="1">
        <f>30.6</f>
        <v>30.6</v>
      </c>
      <c r="F51" s="1">
        <v>10</v>
      </c>
      <c r="G51" s="1">
        <v>14.3</v>
      </c>
      <c r="H51" s="1">
        <v>7.4</v>
      </c>
      <c r="I51" s="1">
        <v>13.1</v>
      </c>
      <c r="J51" s="1">
        <v>5</v>
      </c>
      <c r="K51" s="1">
        <v>7.7</v>
      </c>
      <c r="L51" s="1">
        <v>2.8</v>
      </c>
      <c r="M51" s="1">
        <v>8.1999999999999993</v>
      </c>
    </row>
    <row r="52" spans="1:13" x14ac:dyDescent="0.25">
      <c r="A52" s="2">
        <v>12</v>
      </c>
      <c r="B52" s="3">
        <f t="shared" si="1"/>
        <v>46277</v>
      </c>
      <c r="C52" s="3" t="s">
        <v>11</v>
      </c>
      <c r="D52" s="1">
        <v>15</v>
      </c>
      <c r="E52" s="1">
        <f>25.1</f>
        <v>25.1</v>
      </c>
      <c r="F52" s="1">
        <v>10</v>
      </c>
      <c r="G52" s="1">
        <v>24</v>
      </c>
      <c r="H52" s="1">
        <v>7.4</v>
      </c>
      <c r="I52" s="1">
        <v>12.2</v>
      </c>
      <c r="J52" s="1">
        <v>5</v>
      </c>
      <c r="K52" s="1">
        <v>6.7</v>
      </c>
      <c r="L52" s="1">
        <v>2.8</v>
      </c>
      <c r="M52" s="1">
        <v>7.6</v>
      </c>
    </row>
    <row r="53" spans="1:13" x14ac:dyDescent="0.25">
      <c r="A53" s="1">
        <v>13</v>
      </c>
      <c r="B53" s="3">
        <f t="shared" si="1"/>
        <v>46278</v>
      </c>
      <c r="C53" s="3" t="s">
        <v>12</v>
      </c>
      <c r="D53" s="1">
        <v>15</v>
      </c>
      <c r="E53" s="1">
        <f>25.4</f>
        <v>25.4</v>
      </c>
      <c r="F53" s="1">
        <v>10</v>
      </c>
      <c r="G53" s="1">
        <v>24</v>
      </c>
      <c r="H53" s="1">
        <v>7.4</v>
      </c>
      <c r="I53" s="1">
        <v>12.3</v>
      </c>
      <c r="J53" s="1">
        <v>5</v>
      </c>
      <c r="K53" s="1">
        <v>6.7</v>
      </c>
      <c r="L53" s="1">
        <v>2.8</v>
      </c>
      <c r="M53" s="1">
        <v>7.8</v>
      </c>
    </row>
    <row r="54" spans="1:13" x14ac:dyDescent="0.25">
      <c r="A54" s="2">
        <v>14</v>
      </c>
      <c r="B54" s="3">
        <f t="shared" si="1"/>
        <v>46279</v>
      </c>
      <c r="C54" s="3" t="s">
        <v>13</v>
      </c>
      <c r="D54" s="1">
        <v>15</v>
      </c>
      <c r="E54" s="1">
        <f>25.4</f>
        <v>25.4</v>
      </c>
      <c r="F54" s="1">
        <v>10</v>
      </c>
      <c r="G54" s="1">
        <v>24.1</v>
      </c>
      <c r="H54" s="1">
        <v>7.4</v>
      </c>
      <c r="I54" s="1">
        <v>12.3</v>
      </c>
      <c r="J54" s="1">
        <v>5</v>
      </c>
      <c r="K54" s="1">
        <v>6.7</v>
      </c>
      <c r="L54" s="1">
        <v>2.8</v>
      </c>
      <c r="M54" s="1">
        <v>7.7</v>
      </c>
    </row>
    <row r="55" spans="1:13" x14ac:dyDescent="0.25">
      <c r="A55" s="1">
        <v>15</v>
      </c>
      <c r="B55" s="3">
        <f t="shared" si="1"/>
        <v>46280</v>
      </c>
      <c r="C55" s="3" t="s">
        <v>14</v>
      </c>
      <c r="D55" s="1">
        <v>15</v>
      </c>
      <c r="E55" s="1">
        <f>17.2+15.3</f>
        <v>32.5</v>
      </c>
      <c r="F55" s="1">
        <v>10</v>
      </c>
      <c r="G55" s="1">
        <v>22.2</v>
      </c>
      <c r="H55" s="1">
        <v>7.4</v>
      </c>
      <c r="I55" s="1">
        <v>10</v>
      </c>
      <c r="J55" s="1">
        <v>5</v>
      </c>
      <c r="K55" s="1">
        <v>5.7</v>
      </c>
      <c r="L55" s="1">
        <v>2.8</v>
      </c>
      <c r="M55" s="1">
        <v>7.2</v>
      </c>
    </row>
    <row r="56" spans="1:13" x14ac:dyDescent="0.25">
      <c r="A56" s="1">
        <v>16</v>
      </c>
      <c r="B56" s="3">
        <f t="shared" si="1"/>
        <v>46281</v>
      </c>
      <c r="C56" s="3" t="s">
        <v>15</v>
      </c>
      <c r="D56" s="1">
        <v>15</v>
      </c>
      <c r="E56" s="1">
        <v>39.1</v>
      </c>
      <c r="F56" s="1">
        <v>10</v>
      </c>
      <c r="G56" s="1">
        <v>19.5</v>
      </c>
      <c r="H56" s="1">
        <v>7.4</v>
      </c>
      <c r="I56" s="1">
        <v>8.1</v>
      </c>
      <c r="J56" s="1">
        <v>5</v>
      </c>
      <c r="K56" s="1">
        <v>4.0999999999999996</v>
      </c>
      <c r="L56" s="1">
        <v>2.8</v>
      </c>
      <c r="M56" s="1">
        <v>6.3</v>
      </c>
    </row>
    <row r="57" spans="1:13" x14ac:dyDescent="0.25">
      <c r="A57" s="1">
        <v>17</v>
      </c>
      <c r="B57" s="3">
        <f t="shared" si="1"/>
        <v>46282</v>
      </c>
      <c r="C57" s="3" t="s">
        <v>16</v>
      </c>
      <c r="D57" s="1">
        <v>15</v>
      </c>
      <c r="E57" s="1">
        <f>32.7</f>
        <v>32.700000000000003</v>
      </c>
      <c r="F57" s="1">
        <v>10</v>
      </c>
      <c r="G57" s="1">
        <v>17.399999999999999</v>
      </c>
      <c r="H57" s="1">
        <v>7.4</v>
      </c>
      <c r="I57" s="1">
        <v>6.7</v>
      </c>
      <c r="J57" s="1">
        <v>5</v>
      </c>
      <c r="K57" s="1">
        <v>3.1</v>
      </c>
      <c r="L57" s="1">
        <v>2.8</v>
      </c>
      <c r="M57" s="1">
        <v>5.6</v>
      </c>
    </row>
    <row r="58" spans="1:13" x14ac:dyDescent="0.25">
      <c r="A58" s="1">
        <v>18</v>
      </c>
      <c r="B58" s="3">
        <f t="shared" si="1"/>
        <v>46283</v>
      </c>
      <c r="C58" s="3" t="s">
        <v>17</v>
      </c>
      <c r="D58" s="1">
        <v>15</v>
      </c>
      <c r="E58" s="1">
        <f>26.2+15</f>
        <v>41.2</v>
      </c>
      <c r="F58" s="1">
        <v>10</v>
      </c>
      <c r="G58" s="1">
        <v>15.8</v>
      </c>
      <c r="H58" s="1">
        <v>7.4</v>
      </c>
      <c r="I58" s="1">
        <v>18.7</v>
      </c>
      <c r="J58" s="1">
        <v>5</v>
      </c>
      <c r="K58" s="1">
        <v>2.4</v>
      </c>
      <c r="L58" s="1">
        <v>2.8</v>
      </c>
      <c r="M58" s="1">
        <v>5.3</v>
      </c>
    </row>
    <row r="59" spans="1:13" x14ac:dyDescent="0.25">
      <c r="A59" s="1">
        <v>19</v>
      </c>
      <c r="B59" s="3">
        <f t="shared" si="1"/>
        <v>46284</v>
      </c>
      <c r="C59" s="3" t="s">
        <v>11</v>
      </c>
      <c r="D59" s="1">
        <v>15</v>
      </c>
      <c r="E59" s="1">
        <v>36.9</v>
      </c>
      <c r="F59" s="1">
        <v>10</v>
      </c>
      <c r="G59" s="1">
        <v>11.9</v>
      </c>
      <c r="H59" s="1">
        <v>7.4</v>
      </c>
      <c r="I59" s="1">
        <v>16.399999999999999</v>
      </c>
      <c r="J59" s="1">
        <v>5</v>
      </c>
      <c r="K59" s="1">
        <v>1.1000000000000001</v>
      </c>
      <c r="L59" s="1">
        <v>2.8</v>
      </c>
      <c r="M59" s="1">
        <v>4.7</v>
      </c>
    </row>
    <row r="60" spans="1:13" x14ac:dyDescent="0.25">
      <c r="A60" s="1">
        <v>20</v>
      </c>
      <c r="B60" s="3">
        <f t="shared" si="1"/>
        <v>46285</v>
      </c>
      <c r="C60" s="3" t="s">
        <v>12</v>
      </c>
      <c r="D60" s="1">
        <v>15</v>
      </c>
      <c r="E60" s="1">
        <v>36.9</v>
      </c>
      <c r="F60" s="1">
        <v>10</v>
      </c>
      <c r="G60" s="1">
        <v>12.8</v>
      </c>
      <c r="H60" s="1">
        <v>7.4</v>
      </c>
      <c r="I60" s="1">
        <v>16.399999999999999</v>
      </c>
      <c r="J60" s="1">
        <v>5</v>
      </c>
      <c r="K60" s="1">
        <v>1.2</v>
      </c>
      <c r="L60" s="1">
        <v>2.8</v>
      </c>
      <c r="M60" s="1">
        <v>4.7</v>
      </c>
    </row>
    <row r="61" spans="1:13" x14ac:dyDescent="0.25">
      <c r="A61" s="1">
        <v>21</v>
      </c>
      <c r="B61" s="3">
        <f t="shared" si="1"/>
        <v>46286</v>
      </c>
      <c r="C61" s="3" t="s">
        <v>13</v>
      </c>
      <c r="D61" s="1">
        <v>15</v>
      </c>
      <c r="E61" s="1">
        <f>37.2</f>
        <v>37.200000000000003</v>
      </c>
      <c r="F61" s="1">
        <v>10</v>
      </c>
      <c r="G61" s="1">
        <v>12.9</v>
      </c>
      <c r="H61" s="1">
        <v>7.4</v>
      </c>
      <c r="I61" s="1">
        <v>16.399999999999999</v>
      </c>
      <c r="J61" s="1">
        <v>5</v>
      </c>
      <c r="K61" s="1">
        <v>1.2</v>
      </c>
      <c r="L61" s="1">
        <v>2.8</v>
      </c>
      <c r="M61" s="1">
        <v>4.7</v>
      </c>
    </row>
    <row r="62" spans="1:13" x14ac:dyDescent="0.25">
      <c r="A62" s="1">
        <v>22</v>
      </c>
      <c r="B62" s="3">
        <f t="shared" si="1"/>
        <v>46287</v>
      </c>
      <c r="C62" s="3" t="s">
        <v>14</v>
      </c>
      <c r="D62" s="1">
        <v>15</v>
      </c>
      <c r="E62" s="1">
        <v>45.2</v>
      </c>
      <c r="F62" s="1">
        <v>10</v>
      </c>
      <c r="G62" s="1">
        <v>10.7</v>
      </c>
      <c r="H62" s="1">
        <v>7.4</v>
      </c>
      <c r="I62" s="1">
        <v>13.5</v>
      </c>
      <c r="J62" s="1">
        <v>5</v>
      </c>
      <c r="K62" s="1">
        <v>11.1</v>
      </c>
      <c r="L62" s="1">
        <v>2.8</v>
      </c>
      <c r="M62" s="1">
        <v>7.8</v>
      </c>
    </row>
    <row r="63" spans="1:13" x14ac:dyDescent="0.25">
      <c r="A63" s="1">
        <v>23</v>
      </c>
      <c r="B63" s="3">
        <f t="shared" si="1"/>
        <v>46288</v>
      </c>
      <c r="C63" s="3" t="s">
        <v>15</v>
      </c>
      <c r="D63" s="1">
        <v>15</v>
      </c>
      <c r="E63" s="1">
        <f>36.4</f>
        <v>36.4</v>
      </c>
      <c r="F63" s="1">
        <v>10</v>
      </c>
      <c r="G63" s="1">
        <v>14.6</v>
      </c>
      <c r="H63" s="1">
        <v>7.4</v>
      </c>
      <c r="I63" s="1">
        <v>10.8</v>
      </c>
      <c r="J63" s="1">
        <v>5</v>
      </c>
      <c r="K63" s="1">
        <v>5.8</v>
      </c>
      <c r="L63" s="1">
        <v>2.8</v>
      </c>
      <c r="M63" s="1">
        <v>7</v>
      </c>
    </row>
    <row r="64" spans="1:13" x14ac:dyDescent="0.25">
      <c r="A64" s="1">
        <v>24</v>
      </c>
      <c r="B64" s="3">
        <f t="shared" si="1"/>
        <v>46289</v>
      </c>
      <c r="C64" s="3" t="s">
        <v>16</v>
      </c>
      <c r="D64" s="1">
        <v>15</v>
      </c>
      <c r="E64" s="1">
        <f>29.7+15</f>
        <v>44.7</v>
      </c>
      <c r="F64" s="1">
        <v>10</v>
      </c>
      <c r="G64" s="1">
        <v>13.3</v>
      </c>
      <c r="H64" s="1">
        <v>7.4</v>
      </c>
      <c r="I64" s="1">
        <v>21.6</v>
      </c>
      <c r="J64" s="1">
        <v>5</v>
      </c>
      <c r="K64" s="1">
        <v>5.0999999999999996</v>
      </c>
      <c r="L64" s="1">
        <v>2.8</v>
      </c>
      <c r="M64" s="1">
        <v>5.8</v>
      </c>
    </row>
    <row r="65" spans="1:13" x14ac:dyDescent="0.25">
      <c r="A65" s="1">
        <v>25</v>
      </c>
      <c r="B65" s="3">
        <f t="shared" si="1"/>
        <v>46290</v>
      </c>
      <c r="C65" s="3" t="s">
        <v>17</v>
      </c>
      <c r="D65" s="1">
        <v>15</v>
      </c>
      <c r="E65" s="1">
        <f>38</f>
        <v>38</v>
      </c>
      <c r="F65" s="1">
        <v>10</v>
      </c>
      <c r="G65" s="1">
        <v>17.2</v>
      </c>
      <c r="H65" s="1">
        <v>7.4</v>
      </c>
      <c r="I65" s="1">
        <v>19.600000000000001</v>
      </c>
      <c r="J65" s="1">
        <v>5</v>
      </c>
      <c r="K65" s="1">
        <v>4.3</v>
      </c>
      <c r="L65" s="1">
        <v>2.8</v>
      </c>
      <c r="M65" s="1">
        <v>5.3</v>
      </c>
    </row>
    <row r="66" spans="1:13" x14ac:dyDescent="0.25">
      <c r="A66" s="1">
        <v>26</v>
      </c>
      <c r="B66" s="3">
        <f t="shared" si="1"/>
        <v>46291</v>
      </c>
      <c r="C66" s="3" t="s">
        <v>11</v>
      </c>
      <c r="D66" s="1">
        <v>15</v>
      </c>
      <c r="E66" s="1">
        <v>33.4</v>
      </c>
      <c r="F66" s="1">
        <v>10</v>
      </c>
      <c r="G66" s="1">
        <v>13.8</v>
      </c>
      <c r="H66" s="1">
        <v>7.4</v>
      </c>
      <c r="I66" s="1">
        <v>17.8</v>
      </c>
      <c r="J66" s="1">
        <v>5</v>
      </c>
      <c r="K66" s="1">
        <v>8.3000000000000007</v>
      </c>
      <c r="L66" s="1">
        <v>2.8</v>
      </c>
      <c r="M66" s="1">
        <v>6.9</v>
      </c>
    </row>
    <row r="67" spans="1:13" x14ac:dyDescent="0.25">
      <c r="A67" s="1">
        <v>27</v>
      </c>
      <c r="B67" s="3">
        <f t="shared" si="1"/>
        <v>46292</v>
      </c>
      <c r="C67" s="3" t="s">
        <v>12</v>
      </c>
      <c r="D67" s="1">
        <v>15</v>
      </c>
      <c r="E67" s="1">
        <v>33.4</v>
      </c>
      <c r="F67" s="1">
        <v>10</v>
      </c>
      <c r="G67" s="1">
        <v>13.8</v>
      </c>
      <c r="H67" s="1">
        <v>7.4</v>
      </c>
      <c r="I67" s="1">
        <v>18</v>
      </c>
      <c r="J67" s="1">
        <v>5</v>
      </c>
      <c r="K67" s="1">
        <v>8.3000000000000007</v>
      </c>
      <c r="L67" s="1">
        <v>2.8</v>
      </c>
      <c r="M67" s="1">
        <v>6.9</v>
      </c>
    </row>
    <row r="68" spans="1:13" x14ac:dyDescent="0.25">
      <c r="A68" s="1">
        <v>28</v>
      </c>
      <c r="B68" s="3">
        <f t="shared" si="1"/>
        <v>46293</v>
      </c>
      <c r="C68" s="3" t="s">
        <v>13</v>
      </c>
      <c r="D68" s="1">
        <v>15</v>
      </c>
      <c r="E68" s="1">
        <f>33.4</f>
        <v>33.4</v>
      </c>
      <c r="F68" s="1">
        <v>10</v>
      </c>
      <c r="G68" s="1">
        <v>14</v>
      </c>
      <c r="H68" s="1">
        <v>7.4</v>
      </c>
      <c r="I68" s="1">
        <v>18</v>
      </c>
      <c r="J68" s="1">
        <v>5</v>
      </c>
      <c r="K68" s="1">
        <v>8.3000000000000007</v>
      </c>
      <c r="L68" s="1">
        <v>2.8</v>
      </c>
      <c r="M68" s="1">
        <v>6.9</v>
      </c>
    </row>
    <row r="69" spans="1:13" x14ac:dyDescent="0.25">
      <c r="A69" s="1">
        <v>29</v>
      </c>
      <c r="B69" s="3">
        <f t="shared" si="1"/>
        <v>46294</v>
      </c>
      <c r="C69" s="3" t="s">
        <v>14</v>
      </c>
      <c r="D69" s="1">
        <v>15</v>
      </c>
      <c r="E69" s="1">
        <v>26.8</v>
      </c>
      <c r="F69" s="1">
        <v>10</v>
      </c>
      <c r="G69" s="1">
        <v>11.5</v>
      </c>
      <c r="H69" s="1">
        <v>7.4</v>
      </c>
      <c r="I69" s="1">
        <v>15.4</v>
      </c>
      <c r="J69" s="1">
        <v>5</v>
      </c>
      <c r="K69" s="1">
        <v>7.5</v>
      </c>
      <c r="L69" s="1">
        <v>2.8</v>
      </c>
      <c r="M69" s="1">
        <v>6.2</v>
      </c>
    </row>
    <row r="70" spans="1:13" x14ac:dyDescent="0.25">
      <c r="A70" s="1">
        <v>30</v>
      </c>
      <c r="B70" s="3">
        <f t="shared" si="1"/>
        <v>46295</v>
      </c>
      <c r="C70" s="3" t="s">
        <v>15</v>
      </c>
      <c r="D70" s="1">
        <v>15</v>
      </c>
      <c r="E70" s="1"/>
      <c r="F70" s="1">
        <v>10</v>
      </c>
      <c r="G70" s="1"/>
      <c r="H70" s="1">
        <v>7.4</v>
      </c>
      <c r="I70" s="1"/>
      <c r="J70" s="1">
        <v>5</v>
      </c>
      <c r="K70" s="1"/>
      <c r="L70" s="1">
        <v>2.8</v>
      </c>
      <c r="M70" s="1"/>
    </row>
    <row r="72" spans="1:13" ht="21" x14ac:dyDescent="0.35">
      <c r="A72" s="4" t="s">
        <v>10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5">
      <c r="A73" s="1">
        <v>1</v>
      </c>
      <c r="B73" s="1">
        <v>2</v>
      </c>
      <c r="C73" s="1">
        <v>3</v>
      </c>
      <c r="D73" s="1">
        <v>4</v>
      </c>
      <c r="E73" s="1">
        <v>5</v>
      </c>
      <c r="F73" s="1">
        <v>6</v>
      </c>
      <c r="G73" s="1">
        <v>7</v>
      </c>
      <c r="H73" s="1">
        <v>8</v>
      </c>
      <c r="I73" s="1">
        <v>9</v>
      </c>
      <c r="J73" s="1">
        <v>10</v>
      </c>
      <c r="K73" s="1">
        <v>11</v>
      </c>
      <c r="L73" s="1">
        <v>12</v>
      </c>
      <c r="M73" s="1">
        <v>13</v>
      </c>
    </row>
    <row r="74" spans="1:13" ht="15.75" x14ac:dyDescent="0.25">
      <c r="A74" s="5" t="s">
        <v>0</v>
      </c>
      <c r="B74" s="5" t="s">
        <v>18</v>
      </c>
      <c r="C74" s="5" t="s">
        <v>19</v>
      </c>
      <c r="D74" s="6" t="s">
        <v>3</v>
      </c>
      <c r="E74" s="6"/>
      <c r="F74" s="6" t="s">
        <v>7</v>
      </c>
      <c r="G74" s="6"/>
      <c r="H74" s="6" t="s">
        <v>4</v>
      </c>
      <c r="I74" s="6"/>
      <c r="J74" s="6" t="s">
        <v>5</v>
      </c>
      <c r="K74" s="6"/>
      <c r="L74" s="6" t="s">
        <v>6</v>
      </c>
      <c r="M74" s="6"/>
    </row>
    <row r="75" spans="1:13" x14ac:dyDescent="0.25">
      <c r="A75" s="5"/>
      <c r="B75" s="5"/>
      <c r="C75" s="5"/>
      <c r="D75" s="1" t="s">
        <v>1</v>
      </c>
      <c r="E75" s="1" t="s">
        <v>2</v>
      </c>
      <c r="F75" s="1" t="s">
        <v>1</v>
      </c>
      <c r="G75" s="1" t="s">
        <v>2</v>
      </c>
      <c r="H75" s="1" t="s">
        <v>1</v>
      </c>
      <c r="I75" s="1" t="s">
        <v>2</v>
      </c>
      <c r="J75" s="1" t="s">
        <v>1</v>
      </c>
      <c r="K75" s="1" t="s">
        <v>2</v>
      </c>
      <c r="L75" s="1" t="s">
        <v>1</v>
      </c>
      <c r="M75" s="1" t="s">
        <v>2</v>
      </c>
    </row>
    <row r="76" spans="1:13" x14ac:dyDescent="0.25">
      <c r="A76" s="1">
        <v>1</v>
      </c>
      <c r="B76" s="3">
        <v>46266</v>
      </c>
      <c r="C76" s="3" t="s">
        <v>14</v>
      </c>
      <c r="D76" s="1">
        <v>22</v>
      </c>
      <c r="E76" s="1">
        <f>34.3+3</f>
        <v>37.299999999999997</v>
      </c>
      <c r="F76" s="1">
        <v>6</v>
      </c>
      <c r="G76" s="1">
        <v>8.4</v>
      </c>
      <c r="H76" s="1">
        <v>4.5</v>
      </c>
      <c r="I76" s="1">
        <v>11.2</v>
      </c>
      <c r="J76" s="1">
        <v>5</v>
      </c>
      <c r="K76" s="1">
        <v>8.5</v>
      </c>
      <c r="L76" s="1">
        <v>2.7</v>
      </c>
      <c r="M76" s="1">
        <v>4.5999999999999996</v>
      </c>
    </row>
    <row r="77" spans="1:13" x14ac:dyDescent="0.25">
      <c r="A77" s="2">
        <v>2</v>
      </c>
      <c r="B77" s="3">
        <f>B76+1</f>
        <v>46267</v>
      </c>
      <c r="C77" s="3" t="s">
        <v>15</v>
      </c>
      <c r="D77" s="1">
        <v>22</v>
      </c>
      <c r="E77" s="1">
        <f>27.5+2</f>
        <v>29.5</v>
      </c>
      <c r="F77" s="1">
        <v>6</v>
      </c>
      <c r="G77" s="1">
        <v>11.9</v>
      </c>
      <c r="H77" s="1">
        <v>4.5</v>
      </c>
      <c r="I77" s="1">
        <v>10.5</v>
      </c>
      <c r="J77" s="1">
        <v>5</v>
      </c>
      <c r="K77" s="1">
        <v>6.6</v>
      </c>
      <c r="L77" s="1">
        <v>2.7</v>
      </c>
      <c r="M77" s="1">
        <v>3.2</v>
      </c>
    </row>
    <row r="78" spans="1:13" x14ac:dyDescent="0.25">
      <c r="A78" s="1">
        <v>3</v>
      </c>
      <c r="B78" s="3">
        <f t="shared" ref="B78:B105" si="2">B77+1</f>
        <v>46268</v>
      </c>
      <c r="C78" s="3" t="s">
        <v>16</v>
      </c>
      <c r="D78" s="1">
        <v>22</v>
      </c>
      <c r="E78" s="1">
        <f>22.3+18</f>
        <v>40.299999999999997</v>
      </c>
      <c r="F78" s="1">
        <v>6</v>
      </c>
      <c r="G78" s="1">
        <v>9.6999999999999993</v>
      </c>
      <c r="H78" s="1">
        <v>4.5</v>
      </c>
      <c r="I78" s="1">
        <v>14.3</v>
      </c>
      <c r="J78" s="1">
        <v>5</v>
      </c>
      <c r="K78" s="1">
        <v>5.2</v>
      </c>
      <c r="L78" s="1">
        <v>2.7</v>
      </c>
      <c r="M78" s="1">
        <v>7.8</v>
      </c>
    </row>
    <row r="79" spans="1:13" x14ac:dyDescent="0.25">
      <c r="A79" s="2">
        <v>4</v>
      </c>
      <c r="B79" s="3">
        <f t="shared" si="2"/>
        <v>46269</v>
      </c>
      <c r="C79" s="3" t="s">
        <v>17</v>
      </c>
      <c r="D79" s="1">
        <v>22</v>
      </c>
      <c r="E79" s="1">
        <f>44.1</f>
        <v>44.1</v>
      </c>
      <c r="F79" s="1">
        <v>6</v>
      </c>
      <c r="G79" s="1">
        <v>11.5</v>
      </c>
      <c r="H79" s="1">
        <v>4.5</v>
      </c>
      <c r="I79" s="1">
        <v>12.3</v>
      </c>
      <c r="J79" s="1">
        <v>5</v>
      </c>
      <c r="K79" s="1">
        <v>9.6</v>
      </c>
      <c r="L79" s="1">
        <v>2.7</v>
      </c>
      <c r="M79" s="1">
        <v>7.5</v>
      </c>
    </row>
    <row r="80" spans="1:13" x14ac:dyDescent="0.25">
      <c r="A80" s="1">
        <v>5</v>
      </c>
      <c r="B80" s="3">
        <f t="shared" si="2"/>
        <v>46270</v>
      </c>
      <c r="C80" s="3" t="s">
        <v>11</v>
      </c>
      <c r="D80" s="1">
        <v>22</v>
      </c>
      <c r="E80" s="1">
        <v>36.1</v>
      </c>
      <c r="F80" s="1">
        <v>6</v>
      </c>
      <c r="G80" s="1">
        <v>10</v>
      </c>
      <c r="H80" s="1">
        <v>4.5</v>
      </c>
      <c r="I80" s="1">
        <v>10.6</v>
      </c>
      <c r="J80" s="1">
        <v>5</v>
      </c>
      <c r="K80" s="1">
        <v>15.4</v>
      </c>
      <c r="L80" s="1">
        <v>2.7</v>
      </c>
      <c r="M80" s="1">
        <v>6.5</v>
      </c>
    </row>
    <row r="81" spans="1:13" x14ac:dyDescent="0.25">
      <c r="A81" s="2">
        <v>6</v>
      </c>
      <c r="B81" s="3">
        <f t="shared" si="2"/>
        <v>46271</v>
      </c>
      <c r="C81" s="3" t="s">
        <v>12</v>
      </c>
      <c r="D81" s="1">
        <v>22</v>
      </c>
      <c r="E81" s="1">
        <v>36.5</v>
      </c>
      <c r="F81" s="1">
        <v>6</v>
      </c>
      <c r="G81" s="1">
        <v>10</v>
      </c>
      <c r="H81" s="1">
        <v>4.5</v>
      </c>
      <c r="I81" s="1">
        <v>10.6</v>
      </c>
      <c r="J81" s="1">
        <v>5</v>
      </c>
      <c r="K81" s="1">
        <v>15.4</v>
      </c>
      <c r="L81" s="1">
        <v>2.7</v>
      </c>
      <c r="M81" s="1">
        <v>6.5</v>
      </c>
    </row>
    <row r="82" spans="1:13" x14ac:dyDescent="0.25">
      <c r="A82" s="1">
        <v>7</v>
      </c>
      <c r="B82" s="3">
        <f t="shared" si="2"/>
        <v>46272</v>
      </c>
      <c r="C82" s="3" t="s">
        <v>13</v>
      </c>
      <c r="D82" s="1">
        <v>22</v>
      </c>
      <c r="E82" s="1">
        <f>36.5+1</f>
        <v>37.5</v>
      </c>
      <c r="F82" s="1">
        <v>6</v>
      </c>
      <c r="G82" s="1">
        <v>10</v>
      </c>
      <c r="H82" s="1">
        <v>4.5</v>
      </c>
      <c r="I82" s="1">
        <v>10.6</v>
      </c>
      <c r="J82" s="1">
        <v>5</v>
      </c>
      <c r="K82" s="1">
        <v>15.4</v>
      </c>
      <c r="L82" s="1">
        <v>2.7</v>
      </c>
      <c r="M82" s="1">
        <v>6.5</v>
      </c>
    </row>
    <row r="83" spans="1:13" x14ac:dyDescent="0.25">
      <c r="A83" s="2">
        <v>8</v>
      </c>
      <c r="B83" s="3">
        <f t="shared" si="2"/>
        <v>46273</v>
      </c>
      <c r="C83" s="3" t="s">
        <v>14</v>
      </c>
      <c r="D83" s="1">
        <v>22</v>
      </c>
      <c r="E83" s="1">
        <f>28.1</f>
        <v>28.1</v>
      </c>
      <c r="F83" s="1">
        <v>6</v>
      </c>
      <c r="G83" s="1">
        <v>9.9</v>
      </c>
      <c r="H83" s="1">
        <v>4.5</v>
      </c>
      <c r="I83" s="1">
        <v>8.3000000000000007</v>
      </c>
      <c r="J83" s="1">
        <v>5</v>
      </c>
      <c r="K83" s="1">
        <v>13.7</v>
      </c>
      <c r="L83" s="1">
        <v>2.7</v>
      </c>
      <c r="M83" s="1">
        <v>6</v>
      </c>
    </row>
    <row r="84" spans="1:13" x14ac:dyDescent="0.25">
      <c r="A84" s="1">
        <v>9</v>
      </c>
      <c r="B84" s="3">
        <f t="shared" si="2"/>
        <v>46274</v>
      </c>
      <c r="C84" s="3" t="s">
        <v>15</v>
      </c>
      <c r="D84" s="1">
        <v>22</v>
      </c>
      <c r="E84" s="1">
        <f>18.9+16</f>
        <v>34.9</v>
      </c>
      <c r="F84" s="1">
        <v>6</v>
      </c>
      <c r="G84" s="1">
        <v>13.1</v>
      </c>
      <c r="H84" s="1">
        <v>4.5</v>
      </c>
      <c r="I84" s="1">
        <v>6.2</v>
      </c>
      <c r="J84" s="1">
        <v>5</v>
      </c>
      <c r="K84" s="1">
        <v>11.9</v>
      </c>
      <c r="L84" s="1">
        <v>2.7</v>
      </c>
      <c r="M84" s="1">
        <v>4.8</v>
      </c>
    </row>
    <row r="85" spans="1:13" x14ac:dyDescent="0.25">
      <c r="A85" s="2">
        <v>10</v>
      </c>
      <c r="B85" s="3">
        <f t="shared" si="2"/>
        <v>46275</v>
      </c>
      <c r="C85" s="3" t="s">
        <v>16</v>
      </c>
      <c r="D85" s="1">
        <v>22</v>
      </c>
      <c r="E85" s="1">
        <f>25.1+3</f>
        <v>28.1</v>
      </c>
      <c r="F85" s="1">
        <v>6</v>
      </c>
      <c r="G85" s="1">
        <v>10.3</v>
      </c>
      <c r="H85" s="1">
        <v>4.5</v>
      </c>
      <c r="I85" s="1">
        <v>11</v>
      </c>
      <c r="J85" s="1">
        <v>5</v>
      </c>
      <c r="K85" s="1">
        <v>10.3</v>
      </c>
      <c r="L85" s="1">
        <v>2.7</v>
      </c>
      <c r="M85" s="1">
        <v>8.9</v>
      </c>
    </row>
    <row r="86" spans="1:13" x14ac:dyDescent="0.25">
      <c r="A86" s="1">
        <v>11</v>
      </c>
      <c r="B86" s="3">
        <f t="shared" si="2"/>
        <v>46276</v>
      </c>
      <c r="C86" s="3" t="s">
        <v>17</v>
      </c>
      <c r="D86" s="1">
        <v>22</v>
      </c>
      <c r="E86" s="1">
        <f>19.4+2+12</f>
        <v>33.4</v>
      </c>
      <c r="F86" s="1">
        <v>6</v>
      </c>
      <c r="G86" s="1">
        <v>13</v>
      </c>
      <c r="H86" s="1">
        <v>4.5</v>
      </c>
      <c r="I86" s="1">
        <v>9.1</v>
      </c>
      <c r="J86" s="1">
        <v>5</v>
      </c>
      <c r="K86" s="1">
        <v>9.8000000000000007</v>
      </c>
      <c r="L86" s="1">
        <v>2.7</v>
      </c>
      <c r="M86" s="1">
        <v>8</v>
      </c>
    </row>
    <row r="87" spans="1:13" x14ac:dyDescent="0.25">
      <c r="A87" s="2">
        <v>12</v>
      </c>
      <c r="B87" s="3">
        <f t="shared" si="2"/>
        <v>46277</v>
      </c>
      <c r="C87" s="3" t="s">
        <v>11</v>
      </c>
      <c r="D87" s="1">
        <v>22</v>
      </c>
      <c r="E87" s="1">
        <f>26.1</f>
        <v>26.1</v>
      </c>
      <c r="F87" s="1">
        <v>6</v>
      </c>
      <c r="G87" s="1">
        <v>11.4</v>
      </c>
      <c r="H87" s="1">
        <v>4.5</v>
      </c>
      <c r="I87" s="1">
        <v>6.9</v>
      </c>
      <c r="J87" s="1">
        <v>5</v>
      </c>
      <c r="K87" s="1">
        <v>16.7</v>
      </c>
      <c r="L87" s="1">
        <v>2.7</v>
      </c>
      <c r="M87" s="1">
        <v>6.8</v>
      </c>
    </row>
    <row r="88" spans="1:13" x14ac:dyDescent="0.25">
      <c r="A88" s="1">
        <v>13</v>
      </c>
      <c r="B88" s="3">
        <f t="shared" si="2"/>
        <v>46278</v>
      </c>
      <c r="C88" s="3" t="s">
        <v>12</v>
      </c>
      <c r="D88" s="1">
        <v>22</v>
      </c>
      <c r="E88" s="1">
        <f>26.5</f>
        <v>26.5</v>
      </c>
      <c r="F88" s="1">
        <v>6</v>
      </c>
      <c r="G88" s="1">
        <v>11.4</v>
      </c>
      <c r="H88" s="1">
        <v>4.5</v>
      </c>
      <c r="I88" s="1">
        <v>6.9</v>
      </c>
      <c r="J88" s="1">
        <v>5</v>
      </c>
      <c r="K88" s="1">
        <v>16.7</v>
      </c>
      <c r="L88" s="1">
        <v>2.7</v>
      </c>
      <c r="M88" s="1">
        <v>6.9</v>
      </c>
    </row>
    <row r="89" spans="1:13" x14ac:dyDescent="0.25">
      <c r="A89" s="2">
        <v>14</v>
      </c>
      <c r="B89" s="3">
        <f t="shared" si="2"/>
        <v>46279</v>
      </c>
      <c r="C89" s="3" t="s">
        <v>13</v>
      </c>
      <c r="D89" s="1">
        <v>22</v>
      </c>
      <c r="E89" s="1">
        <f>32.9</f>
        <v>32.9</v>
      </c>
      <c r="F89" s="1">
        <v>6</v>
      </c>
      <c r="G89" s="1">
        <v>11.4</v>
      </c>
      <c r="H89" s="1">
        <v>4.5</v>
      </c>
      <c r="I89" s="1">
        <v>6.9</v>
      </c>
      <c r="J89" s="1">
        <v>5</v>
      </c>
      <c r="K89" s="1">
        <v>16.7</v>
      </c>
      <c r="L89" s="1">
        <v>2.7</v>
      </c>
      <c r="M89" s="1">
        <v>6.9</v>
      </c>
    </row>
    <row r="90" spans="1:13" x14ac:dyDescent="0.25">
      <c r="A90" s="1">
        <v>15</v>
      </c>
      <c r="B90" s="3">
        <f t="shared" si="2"/>
        <v>46280</v>
      </c>
      <c r="C90" s="3" t="s">
        <v>14</v>
      </c>
      <c r="D90" s="1">
        <v>22</v>
      </c>
      <c r="E90" s="1">
        <f>38.5</f>
        <v>38.5</v>
      </c>
      <c r="F90" s="1">
        <v>6</v>
      </c>
      <c r="G90" s="1">
        <v>14.9</v>
      </c>
      <c r="H90" s="1">
        <v>4.5</v>
      </c>
      <c r="I90" s="1">
        <v>5.2</v>
      </c>
      <c r="J90" s="1">
        <v>5</v>
      </c>
      <c r="K90" s="1">
        <v>15</v>
      </c>
      <c r="L90" s="1">
        <v>2.7</v>
      </c>
      <c r="M90" s="1">
        <v>6.2</v>
      </c>
    </row>
    <row r="91" spans="1:13" x14ac:dyDescent="0.25">
      <c r="A91" s="1">
        <v>16</v>
      </c>
      <c r="B91" s="3">
        <f t="shared" si="2"/>
        <v>46281</v>
      </c>
      <c r="C91" s="3" t="s">
        <v>15</v>
      </c>
      <c r="D91" s="1">
        <v>22</v>
      </c>
      <c r="E91" s="1">
        <v>31.3</v>
      </c>
      <c r="F91" s="1">
        <v>6</v>
      </c>
      <c r="G91" s="1">
        <v>13.1</v>
      </c>
      <c r="H91" s="1">
        <v>4.5</v>
      </c>
      <c r="I91" s="1">
        <v>4</v>
      </c>
      <c r="J91" s="1">
        <v>5</v>
      </c>
      <c r="K91" s="1">
        <v>20.7</v>
      </c>
      <c r="L91" s="1">
        <v>2.7</v>
      </c>
      <c r="M91" s="1">
        <v>4.7</v>
      </c>
    </row>
    <row r="92" spans="1:13" x14ac:dyDescent="0.25">
      <c r="A92" s="1">
        <v>17</v>
      </c>
      <c r="B92" s="3">
        <f t="shared" si="2"/>
        <v>46282</v>
      </c>
      <c r="C92" s="3" t="s">
        <v>16</v>
      </c>
      <c r="D92" s="1">
        <v>22</v>
      </c>
      <c r="E92" s="1">
        <f>24.7</f>
        <v>24.7</v>
      </c>
      <c r="F92" s="1">
        <v>6</v>
      </c>
      <c r="G92" s="1">
        <v>14.6</v>
      </c>
      <c r="H92" s="1">
        <v>4.5</v>
      </c>
      <c r="I92" s="1">
        <v>13.4</v>
      </c>
      <c r="J92" s="1">
        <v>5</v>
      </c>
      <c r="K92" s="1">
        <v>18.5</v>
      </c>
      <c r="L92" s="1">
        <v>2.7</v>
      </c>
      <c r="M92" s="1">
        <v>4.0999999999999996</v>
      </c>
    </row>
    <row r="93" spans="1:13" x14ac:dyDescent="0.25">
      <c r="A93" s="1">
        <v>18</v>
      </c>
      <c r="B93" s="3">
        <f t="shared" si="2"/>
        <v>46283</v>
      </c>
      <c r="C93" s="3" t="s">
        <v>17</v>
      </c>
      <c r="D93" s="1">
        <v>22</v>
      </c>
      <c r="E93" s="1">
        <f>31.8</f>
        <v>31.8</v>
      </c>
      <c r="F93" s="1">
        <v>6</v>
      </c>
      <c r="G93" s="1">
        <v>12.6</v>
      </c>
      <c r="H93" s="1">
        <v>4.5</v>
      </c>
      <c r="I93" s="1">
        <v>11.3</v>
      </c>
      <c r="J93" s="1">
        <v>5</v>
      </c>
      <c r="K93" s="1">
        <v>7.3</v>
      </c>
      <c r="L93" s="1">
        <v>2.7</v>
      </c>
      <c r="M93" s="1">
        <v>3.6</v>
      </c>
    </row>
    <row r="94" spans="1:13" x14ac:dyDescent="0.25">
      <c r="A94" s="1">
        <v>19</v>
      </c>
      <c r="B94" s="3">
        <f t="shared" si="2"/>
        <v>46284</v>
      </c>
      <c r="C94" s="3" t="s">
        <v>11</v>
      </c>
      <c r="D94" s="1">
        <v>22</v>
      </c>
      <c r="E94" s="1">
        <v>25.7</v>
      </c>
      <c r="F94" s="1">
        <v>6</v>
      </c>
      <c r="G94" s="1">
        <v>11.7</v>
      </c>
      <c r="H94" s="1">
        <v>4.5</v>
      </c>
      <c r="I94" s="1">
        <v>9.1</v>
      </c>
      <c r="J94" s="1">
        <v>5</v>
      </c>
      <c r="K94" s="1">
        <v>3.6</v>
      </c>
      <c r="L94" s="1">
        <v>2.7</v>
      </c>
      <c r="M94" s="1">
        <v>3.2</v>
      </c>
    </row>
    <row r="95" spans="1:13" x14ac:dyDescent="0.25">
      <c r="A95" s="1">
        <v>20</v>
      </c>
      <c r="B95" s="3">
        <f t="shared" si="2"/>
        <v>46285</v>
      </c>
      <c r="C95" s="3" t="s">
        <v>12</v>
      </c>
      <c r="D95" s="1">
        <v>22</v>
      </c>
      <c r="E95" s="1">
        <v>25.7</v>
      </c>
      <c r="F95" s="1">
        <v>6</v>
      </c>
      <c r="G95" s="1">
        <v>12.2</v>
      </c>
      <c r="H95" s="1">
        <v>4.5</v>
      </c>
      <c r="I95" s="1">
        <v>9.1</v>
      </c>
      <c r="J95" s="1">
        <v>5</v>
      </c>
      <c r="K95" s="1">
        <v>3.6</v>
      </c>
      <c r="L95" s="1">
        <v>2.7</v>
      </c>
      <c r="M95" s="1">
        <v>3.2</v>
      </c>
    </row>
    <row r="96" spans="1:13" x14ac:dyDescent="0.25">
      <c r="A96" s="1">
        <v>21</v>
      </c>
      <c r="B96" s="3">
        <f t="shared" si="2"/>
        <v>46286</v>
      </c>
      <c r="C96" s="3" t="s">
        <v>13</v>
      </c>
      <c r="D96" s="1">
        <v>22</v>
      </c>
      <c r="E96" s="1">
        <v>41.3</v>
      </c>
      <c r="F96" s="1">
        <v>6</v>
      </c>
      <c r="G96" s="1">
        <v>12.2</v>
      </c>
      <c r="H96" s="1">
        <v>4.5</v>
      </c>
      <c r="I96" s="1">
        <v>9.1</v>
      </c>
      <c r="J96" s="1">
        <v>5</v>
      </c>
      <c r="K96" s="1">
        <v>3.6</v>
      </c>
      <c r="L96" s="1">
        <v>2.7</v>
      </c>
      <c r="M96" s="1">
        <v>3.2</v>
      </c>
    </row>
    <row r="97" spans="1:13" x14ac:dyDescent="0.25">
      <c r="A97" s="1">
        <v>22</v>
      </c>
      <c r="B97" s="3">
        <f t="shared" si="2"/>
        <v>46287</v>
      </c>
      <c r="C97" s="3" t="s">
        <v>14</v>
      </c>
      <c r="D97" s="1">
        <v>22</v>
      </c>
      <c r="E97" s="1">
        <f>36.9</f>
        <v>36.9</v>
      </c>
      <c r="F97" s="1">
        <v>6</v>
      </c>
      <c r="G97" s="1">
        <v>16.399999999999999</v>
      </c>
      <c r="H97" s="1">
        <v>4.5</v>
      </c>
      <c r="I97" s="1">
        <v>6.9</v>
      </c>
      <c r="J97" s="1">
        <v>5</v>
      </c>
      <c r="K97" s="1">
        <v>10.7</v>
      </c>
      <c r="L97" s="1">
        <v>2.7</v>
      </c>
      <c r="M97" s="1">
        <v>5.3</v>
      </c>
    </row>
    <row r="98" spans="1:13" x14ac:dyDescent="0.25">
      <c r="A98" s="1">
        <v>23</v>
      </c>
      <c r="B98" s="3">
        <f t="shared" si="2"/>
        <v>46288</v>
      </c>
      <c r="C98" s="3" t="s">
        <v>15</v>
      </c>
      <c r="D98" s="1">
        <v>22</v>
      </c>
      <c r="E98" s="1">
        <f>29.6</f>
        <v>29.6</v>
      </c>
      <c r="F98" s="1">
        <v>6</v>
      </c>
      <c r="G98" s="1">
        <v>14.2</v>
      </c>
      <c r="H98" s="1">
        <v>4.5</v>
      </c>
      <c r="I98" s="1">
        <v>20</v>
      </c>
      <c r="J98" s="1">
        <v>5</v>
      </c>
      <c r="K98" s="1">
        <v>6.8</v>
      </c>
      <c r="L98" s="1">
        <v>2.7</v>
      </c>
      <c r="M98" s="1">
        <v>4.2</v>
      </c>
    </row>
    <row r="99" spans="1:13" x14ac:dyDescent="0.25">
      <c r="A99" s="1">
        <v>24</v>
      </c>
      <c r="B99" s="3">
        <f t="shared" si="2"/>
        <v>46289</v>
      </c>
      <c r="C99" s="3" t="s">
        <v>16</v>
      </c>
      <c r="D99" s="1">
        <v>22</v>
      </c>
      <c r="E99" s="1">
        <f>38.4</f>
        <v>38.4</v>
      </c>
      <c r="F99" s="1">
        <v>6</v>
      </c>
      <c r="G99" s="1">
        <v>15.3</v>
      </c>
      <c r="H99" s="1">
        <v>4.5</v>
      </c>
      <c r="I99" s="1">
        <v>19.100000000000001</v>
      </c>
      <c r="J99" s="1">
        <v>5</v>
      </c>
      <c r="K99" s="1">
        <v>6.1</v>
      </c>
      <c r="L99" s="1">
        <v>2.7</v>
      </c>
      <c r="M99" s="1">
        <v>3.4</v>
      </c>
    </row>
    <row r="100" spans="1:13" x14ac:dyDescent="0.25">
      <c r="A100" s="1">
        <v>25</v>
      </c>
      <c r="B100" s="3">
        <f t="shared" si="2"/>
        <v>46290</v>
      </c>
      <c r="C100" s="3" t="s">
        <v>17</v>
      </c>
      <c r="D100" s="1">
        <v>22</v>
      </c>
      <c r="E100" s="1">
        <f>30.7+6</f>
        <v>36.700000000000003</v>
      </c>
      <c r="F100" s="1">
        <v>6</v>
      </c>
      <c r="G100" s="1">
        <v>13.2</v>
      </c>
      <c r="H100" s="1">
        <v>4.5</v>
      </c>
      <c r="I100" s="1">
        <v>17.7</v>
      </c>
      <c r="J100" s="1">
        <v>5</v>
      </c>
      <c r="K100" s="1">
        <v>5.7</v>
      </c>
      <c r="L100" s="1">
        <v>2.7</v>
      </c>
      <c r="M100" s="1">
        <v>10.3</v>
      </c>
    </row>
    <row r="101" spans="1:13" x14ac:dyDescent="0.25">
      <c r="A101" s="1">
        <v>26</v>
      </c>
      <c r="B101" s="3">
        <f t="shared" si="2"/>
        <v>46291</v>
      </c>
      <c r="C101" s="3" t="s">
        <v>11</v>
      </c>
      <c r="D101" s="1">
        <v>22</v>
      </c>
      <c r="E101" s="1">
        <v>31.4</v>
      </c>
      <c r="F101" s="1">
        <v>6</v>
      </c>
      <c r="G101" s="1">
        <v>13</v>
      </c>
      <c r="H101" s="1">
        <v>4.5</v>
      </c>
      <c r="I101" s="1">
        <v>16.3</v>
      </c>
      <c r="J101" s="1">
        <v>5</v>
      </c>
      <c r="K101" s="1">
        <v>8.4</v>
      </c>
      <c r="L101" s="1">
        <v>2.7</v>
      </c>
      <c r="M101" s="1">
        <v>9</v>
      </c>
    </row>
    <row r="102" spans="1:13" x14ac:dyDescent="0.25">
      <c r="A102" s="1">
        <v>27</v>
      </c>
      <c r="B102" s="3">
        <f t="shared" si="2"/>
        <v>46292</v>
      </c>
      <c r="C102" s="3" t="s">
        <v>12</v>
      </c>
      <c r="D102" s="1">
        <v>22</v>
      </c>
      <c r="E102" s="1">
        <v>31.4</v>
      </c>
      <c r="F102" s="1">
        <v>6</v>
      </c>
      <c r="G102" s="1">
        <v>13</v>
      </c>
      <c r="H102" s="1">
        <v>4.5</v>
      </c>
      <c r="I102" s="1">
        <v>16.399999999999999</v>
      </c>
      <c r="J102" s="1">
        <v>5</v>
      </c>
      <c r="K102" s="1">
        <v>8.4</v>
      </c>
      <c r="L102" s="1">
        <v>2.7</v>
      </c>
      <c r="M102" s="1">
        <v>9</v>
      </c>
    </row>
    <row r="103" spans="1:13" x14ac:dyDescent="0.25">
      <c r="A103" s="1">
        <v>28</v>
      </c>
      <c r="B103" s="3">
        <f t="shared" si="2"/>
        <v>46293</v>
      </c>
      <c r="C103" s="3" t="s">
        <v>13</v>
      </c>
      <c r="D103" s="1">
        <v>22</v>
      </c>
      <c r="E103" s="1">
        <v>35.299999999999997</v>
      </c>
      <c r="F103" s="1">
        <v>6</v>
      </c>
      <c r="G103" s="1">
        <v>13</v>
      </c>
      <c r="H103" s="1">
        <v>4.5</v>
      </c>
      <c r="I103" s="1">
        <v>16.399999999999999</v>
      </c>
      <c r="J103" s="1">
        <v>5</v>
      </c>
      <c r="K103" s="1">
        <v>8.4</v>
      </c>
      <c r="L103" s="1">
        <v>2.7</v>
      </c>
      <c r="M103" s="1">
        <v>9</v>
      </c>
    </row>
    <row r="104" spans="1:13" x14ac:dyDescent="0.25">
      <c r="A104" s="1">
        <v>29</v>
      </c>
      <c r="B104" s="3">
        <f t="shared" si="2"/>
        <v>46294</v>
      </c>
      <c r="C104" s="3" t="s">
        <v>14</v>
      </c>
      <c r="D104" s="1">
        <v>22</v>
      </c>
      <c r="E104" s="1">
        <f>33.1</f>
        <v>33.1</v>
      </c>
      <c r="F104" s="1">
        <v>6</v>
      </c>
      <c r="G104" s="1">
        <v>15.3</v>
      </c>
      <c r="H104" s="1">
        <v>4.5</v>
      </c>
      <c r="I104" s="1">
        <v>13.8</v>
      </c>
      <c r="J104" s="1">
        <v>5</v>
      </c>
      <c r="K104" s="1">
        <v>7.9</v>
      </c>
      <c r="L104" s="1">
        <v>2.7</v>
      </c>
      <c r="M104" s="1">
        <v>8.6</v>
      </c>
    </row>
    <row r="105" spans="1:13" x14ac:dyDescent="0.25">
      <c r="A105" s="1">
        <v>30</v>
      </c>
      <c r="B105" s="3">
        <f t="shared" si="2"/>
        <v>46295</v>
      </c>
      <c r="C105" s="3" t="s">
        <v>15</v>
      </c>
      <c r="D105" s="1">
        <v>22</v>
      </c>
      <c r="E105" s="1"/>
      <c r="F105" s="1">
        <v>6</v>
      </c>
      <c r="G105" s="1"/>
      <c r="H105" s="1">
        <v>4.5</v>
      </c>
      <c r="I105" s="1"/>
      <c r="J105" s="1">
        <v>5</v>
      </c>
      <c r="K105" s="1"/>
      <c r="L105" s="1">
        <v>2.7</v>
      </c>
      <c r="M105" s="1"/>
    </row>
  </sheetData>
  <mergeCells count="27">
    <mergeCell ref="A3:A4"/>
    <mergeCell ref="A1:M1"/>
    <mergeCell ref="D3:E3"/>
    <mergeCell ref="F3:G3"/>
    <mergeCell ref="H3:I3"/>
    <mergeCell ref="J3:K3"/>
    <mergeCell ref="L3:M3"/>
    <mergeCell ref="B3:B4"/>
    <mergeCell ref="C3:C4"/>
    <mergeCell ref="A37:M37"/>
    <mergeCell ref="A39:A40"/>
    <mergeCell ref="B39:B40"/>
    <mergeCell ref="D39:E39"/>
    <mergeCell ref="F39:G39"/>
    <mergeCell ref="H39:I39"/>
    <mergeCell ref="J39:K39"/>
    <mergeCell ref="L39:M39"/>
    <mergeCell ref="C39:C40"/>
    <mergeCell ref="A72:M72"/>
    <mergeCell ref="A74:A75"/>
    <mergeCell ref="B74:B75"/>
    <mergeCell ref="D74:E74"/>
    <mergeCell ref="F74:G74"/>
    <mergeCell ref="H74:I74"/>
    <mergeCell ref="J74:K74"/>
    <mergeCell ref="L74:M74"/>
    <mergeCell ref="C74:C75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Прилепин Дмитрий</dc:creator>
  <cp:lastModifiedBy>Uaer4</cp:lastModifiedBy>
  <dcterms:created xsi:type="dcterms:W3CDTF">2015-06-05T18:19:34Z</dcterms:created>
  <dcterms:modified xsi:type="dcterms:W3CDTF">2026-09-29T07:37:40Z</dcterms:modified>
</cp:coreProperties>
</file>