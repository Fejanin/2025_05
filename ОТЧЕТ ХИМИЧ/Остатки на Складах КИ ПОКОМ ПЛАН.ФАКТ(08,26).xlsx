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91EB6ACD-B7C6-437B-8F0B-7D320E37D75B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8" i="1" l="1"/>
  <c r="E91" i="1"/>
  <c r="E55" i="1"/>
  <c r="E17" i="1" l="1"/>
  <c r="E90" i="1"/>
  <c r="E16" i="1" l="1"/>
  <c r="E89" i="1"/>
  <c r="E53" i="1"/>
  <c r="E15" i="1" l="1"/>
  <c r="E88" i="1"/>
  <c r="E14" i="1" l="1"/>
  <c r="E87" i="1"/>
  <c r="E51" i="1"/>
  <c r="E11" i="1" l="1"/>
  <c r="E84" i="1"/>
  <c r="E10" i="1" l="1"/>
  <c r="E83" i="1" l="1"/>
  <c r="E47" i="1"/>
  <c r="E9" i="1" l="1"/>
  <c r="E82" i="1"/>
  <c r="E8" i="1" l="1"/>
  <c r="E81" i="1"/>
  <c r="E45" i="1"/>
</calcChain>
</file>

<file path=xl/sharedStrings.xml><?xml version="1.0" encoding="utf-8"?>
<sst xmlns="http://schemas.openxmlformats.org/spreadsheetml/2006/main" count="150" uniqueCount="20">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</sst>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8"/>
  <sheetViews>
    <sheetView tabSelected="1" workbookViewId="0">
      <selection activeCell="O5" sqref="O5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5" t="s">
        <v>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4" t="s">
        <v>0</v>
      </c>
      <c r="B3" s="4" t="s">
        <v>18</v>
      </c>
      <c r="C3" s="4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4"/>
      <c r="B4" s="4"/>
      <c r="C4" s="4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46235</v>
      </c>
      <c r="C5" s="3" t="s">
        <v>11</v>
      </c>
      <c r="D5" s="1">
        <v>45</v>
      </c>
      <c r="E5" s="1">
        <v>70.099999999999994</v>
      </c>
      <c r="F5" s="1">
        <v>35.1</v>
      </c>
      <c r="G5" s="1">
        <v>32.200000000000003</v>
      </c>
      <c r="H5" s="1">
        <v>30</v>
      </c>
      <c r="I5" s="1">
        <v>54.9</v>
      </c>
      <c r="J5" s="1">
        <v>12</v>
      </c>
      <c r="K5" s="1">
        <v>16.5</v>
      </c>
      <c r="L5" s="1">
        <v>13.5</v>
      </c>
      <c r="M5" s="1">
        <v>27.3</v>
      </c>
    </row>
    <row r="6" spans="1:13" x14ac:dyDescent="0.25">
      <c r="A6" s="2">
        <v>2</v>
      </c>
      <c r="B6" s="3">
        <v>46236</v>
      </c>
      <c r="C6" s="3" t="s">
        <v>12</v>
      </c>
      <c r="D6" s="1">
        <v>45</v>
      </c>
      <c r="E6" s="1">
        <v>72.8</v>
      </c>
      <c r="F6" s="1">
        <v>35.1</v>
      </c>
      <c r="G6" s="1">
        <v>32.4</v>
      </c>
      <c r="H6" s="1">
        <v>30</v>
      </c>
      <c r="I6" s="1">
        <v>54.9</v>
      </c>
      <c r="J6" s="1">
        <v>12</v>
      </c>
      <c r="K6" s="1">
        <v>16.5</v>
      </c>
      <c r="L6" s="1">
        <v>13.5</v>
      </c>
      <c r="M6" s="1">
        <v>27.3</v>
      </c>
    </row>
    <row r="7" spans="1:13" x14ac:dyDescent="0.25">
      <c r="A7" s="1">
        <v>3</v>
      </c>
      <c r="B7" s="3">
        <v>46237</v>
      </c>
      <c r="C7" s="3" t="s">
        <v>13</v>
      </c>
      <c r="D7" s="1">
        <v>45</v>
      </c>
      <c r="E7" s="1">
        <v>107.8</v>
      </c>
      <c r="F7" s="1">
        <v>35.1</v>
      </c>
      <c r="G7" s="1">
        <v>32.4</v>
      </c>
      <c r="H7" s="1">
        <v>30</v>
      </c>
      <c r="I7" s="1">
        <v>54.9</v>
      </c>
      <c r="J7" s="1">
        <v>12</v>
      </c>
      <c r="K7" s="1">
        <v>16.5</v>
      </c>
      <c r="L7" s="1">
        <v>13.5</v>
      </c>
      <c r="M7" s="1">
        <v>27.3</v>
      </c>
    </row>
    <row r="8" spans="1:13" x14ac:dyDescent="0.25">
      <c r="A8" s="2">
        <v>4</v>
      </c>
      <c r="B8" s="3">
        <v>46238</v>
      </c>
      <c r="C8" s="3" t="s">
        <v>14</v>
      </c>
      <c r="D8" s="1">
        <v>45</v>
      </c>
      <c r="E8" s="1">
        <f>73.4+17.5</f>
        <v>90.9</v>
      </c>
      <c r="F8" s="1">
        <v>35.1</v>
      </c>
      <c r="G8" s="1">
        <v>23.5</v>
      </c>
      <c r="H8" s="1">
        <v>30</v>
      </c>
      <c r="I8" s="1">
        <v>56.2</v>
      </c>
      <c r="J8" s="1">
        <v>12</v>
      </c>
      <c r="K8" s="1">
        <v>27.8</v>
      </c>
      <c r="L8" s="1">
        <v>13.5</v>
      </c>
      <c r="M8" s="1">
        <v>32.799999999999997</v>
      </c>
    </row>
    <row r="9" spans="1:13" x14ac:dyDescent="0.25">
      <c r="A9" s="1">
        <v>5</v>
      </c>
      <c r="B9" s="3">
        <v>46239</v>
      </c>
      <c r="C9" s="3" t="s">
        <v>15</v>
      </c>
      <c r="D9" s="1">
        <v>45</v>
      </c>
      <c r="E9" s="1">
        <f>65.1+16</f>
        <v>81.099999999999994</v>
      </c>
      <c r="F9" s="1">
        <v>35.1</v>
      </c>
      <c r="G9" s="1">
        <v>34.5</v>
      </c>
      <c r="H9" s="1">
        <v>30</v>
      </c>
      <c r="I9" s="1">
        <v>60.9</v>
      </c>
      <c r="J9" s="1">
        <v>12</v>
      </c>
      <c r="K9" s="1">
        <v>26</v>
      </c>
      <c r="L9" s="1">
        <v>13.5</v>
      </c>
      <c r="M9" s="1">
        <v>28.1</v>
      </c>
    </row>
    <row r="10" spans="1:13" x14ac:dyDescent="0.25">
      <c r="A10" s="2">
        <v>6</v>
      </c>
      <c r="B10" s="3">
        <v>46240</v>
      </c>
      <c r="C10" s="3" t="s">
        <v>16</v>
      </c>
      <c r="D10" s="1">
        <v>45</v>
      </c>
      <c r="E10" s="1">
        <f>54.2+17.5+14.7</f>
        <v>86.4</v>
      </c>
      <c r="F10" s="1">
        <v>35.1</v>
      </c>
      <c r="G10" s="1">
        <v>48</v>
      </c>
      <c r="H10" s="1">
        <v>30</v>
      </c>
      <c r="I10" s="1">
        <v>64.400000000000006</v>
      </c>
      <c r="J10" s="1">
        <v>12</v>
      </c>
      <c r="K10" s="1">
        <v>22.3</v>
      </c>
      <c r="L10" s="1">
        <v>13.5</v>
      </c>
      <c r="M10" s="1">
        <v>25.5</v>
      </c>
    </row>
    <row r="11" spans="1:13" x14ac:dyDescent="0.25">
      <c r="A11" s="1">
        <v>7</v>
      </c>
      <c r="B11" s="3">
        <v>46241</v>
      </c>
      <c r="C11" s="3" t="s">
        <v>17</v>
      </c>
      <c r="D11" s="1">
        <v>45</v>
      </c>
      <c r="E11" s="1">
        <f>58.1+35</f>
        <v>93.1</v>
      </c>
      <c r="F11" s="1">
        <v>35.1</v>
      </c>
      <c r="G11" s="1">
        <v>54.4</v>
      </c>
      <c r="H11" s="1">
        <v>30</v>
      </c>
      <c r="I11" s="1">
        <v>73.7</v>
      </c>
      <c r="J11" s="1">
        <v>12</v>
      </c>
      <c r="K11" s="1">
        <v>25.7</v>
      </c>
      <c r="L11" s="1">
        <v>13.5</v>
      </c>
      <c r="M11" s="1">
        <v>27.1</v>
      </c>
    </row>
    <row r="12" spans="1:13" x14ac:dyDescent="0.25">
      <c r="A12" s="2">
        <v>8</v>
      </c>
      <c r="B12" s="3">
        <v>46242</v>
      </c>
      <c r="C12" s="3" t="s">
        <v>11</v>
      </c>
      <c r="D12" s="1">
        <v>45</v>
      </c>
      <c r="E12" s="1">
        <v>52</v>
      </c>
      <c r="F12" s="1">
        <v>35.1</v>
      </c>
      <c r="G12" s="1">
        <v>48.6</v>
      </c>
      <c r="H12" s="1">
        <v>30</v>
      </c>
      <c r="I12" s="1">
        <v>67.3</v>
      </c>
      <c r="J12" s="1">
        <v>12</v>
      </c>
      <c r="K12" s="1">
        <v>27.6</v>
      </c>
      <c r="L12" s="1">
        <v>13.5</v>
      </c>
      <c r="M12" s="1">
        <v>33.200000000000003</v>
      </c>
    </row>
    <row r="13" spans="1:13" x14ac:dyDescent="0.25">
      <c r="A13" s="1">
        <v>9</v>
      </c>
      <c r="B13" s="3">
        <v>46243</v>
      </c>
      <c r="C13" s="3" t="s">
        <v>12</v>
      </c>
      <c r="D13" s="1">
        <v>45</v>
      </c>
      <c r="E13" s="1">
        <v>54.5</v>
      </c>
      <c r="F13" s="1">
        <v>35.1</v>
      </c>
      <c r="G13" s="1">
        <v>49</v>
      </c>
      <c r="H13" s="1">
        <v>30</v>
      </c>
      <c r="I13" s="1">
        <v>67.3</v>
      </c>
      <c r="J13" s="1">
        <v>12</v>
      </c>
      <c r="K13" s="1">
        <v>32</v>
      </c>
      <c r="L13" s="1">
        <v>13.5</v>
      </c>
      <c r="M13" s="1">
        <v>33.200000000000003</v>
      </c>
    </row>
    <row r="14" spans="1:13" x14ac:dyDescent="0.25">
      <c r="A14" s="2">
        <v>10</v>
      </c>
      <c r="B14" s="3">
        <v>46244</v>
      </c>
      <c r="C14" s="3" t="s">
        <v>13</v>
      </c>
      <c r="D14" s="1">
        <v>45</v>
      </c>
      <c r="E14" s="1">
        <f>54.5+52.1</f>
        <v>106.6</v>
      </c>
      <c r="F14" s="1">
        <v>35.1</v>
      </c>
      <c r="G14" s="1">
        <v>49</v>
      </c>
      <c r="H14" s="1">
        <v>30</v>
      </c>
      <c r="I14" s="1">
        <v>67.3</v>
      </c>
      <c r="J14" s="1">
        <v>12</v>
      </c>
      <c r="K14" s="1">
        <v>32.1</v>
      </c>
      <c r="L14" s="1">
        <v>13.5</v>
      </c>
      <c r="M14" s="1">
        <v>33.200000000000003</v>
      </c>
    </row>
    <row r="15" spans="1:13" x14ac:dyDescent="0.25">
      <c r="A15" s="1">
        <v>11</v>
      </c>
      <c r="B15" s="3">
        <v>46245</v>
      </c>
      <c r="C15" s="3" t="s">
        <v>14</v>
      </c>
      <c r="D15" s="1">
        <v>45</v>
      </c>
      <c r="E15" s="1">
        <f>75.2+35</f>
        <v>110.2</v>
      </c>
      <c r="F15" s="1">
        <v>35.1</v>
      </c>
      <c r="G15" s="1">
        <v>51.3</v>
      </c>
      <c r="H15" s="1">
        <v>30</v>
      </c>
      <c r="I15" s="1">
        <v>57</v>
      </c>
      <c r="J15" s="1">
        <v>12</v>
      </c>
      <c r="K15" s="1">
        <v>27.6</v>
      </c>
      <c r="L15" s="1">
        <v>13.5</v>
      </c>
      <c r="M15" s="1">
        <v>30.7</v>
      </c>
    </row>
    <row r="16" spans="1:13" x14ac:dyDescent="0.25">
      <c r="A16" s="2">
        <v>12</v>
      </c>
      <c r="B16" s="3">
        <v>46246</v>
      </c>
      <c r="C16" s="3" t="s">
        <v>15</v>
      </c>
      <c r="D16" s="1">
        <v>45</v>
      </c>
      <c r="E16" s="1">
        <f>76+16.1</f>
        <v>92.1</v>
      </c>
      <c r="F16" s="1">
        <v>35.1</v>
      </c>
      <c r="G16" s="1">
        <v>57.8</v>
      </c>
      <c r="H16" s="1">
        <v>30</v>
      </c>
      <c r="I16" s="1">
        <v>57.2</v>
      </c>
      <c r="J16" s="1">
        <v>12</v>
      </c>
      <c r="K16" s="1">
        <v>23.8</v>
      </c>
      <c r="L16" s="1">
        <v>13.5</v>
      </c>
      <c r="M16" s="1">
        <v>25.4</v>
      </c>
    </row>
    <row r="17" spans="1:13" x14ac:dyDescent="0.25">
      <c r="A17" s="1">
        <v>13</v>
      </c>
      <c r="B17" s="3">
        <v>46247</v>
      </c>
      <c r="C17" s="3" t="s">
        <v>16</v>
      </c>
      <c r="D17" s="1">
        <v>45</v>
      </c>
      <c r="E17" s="1">
        <f>65.8+35</f>
        <v>100.8</v>
      </c>
      <c r="F17" s="1">
        <v>35.1</v>
      </c>
      <c r="G17" s="1">
        <v>54.6</v>
      </c>
      <c r="H17" s="1">
        <v>30</v>
      </c>
      <c r="I17" s="1">
        <v>50.3</v>
      </c>
      <c r="J17" s="1">
        <v>12</v>
      </c>
      <c r="K17" s="1">
        <v>21.1</v>
      </c>
      <c r="L17" s="1">
        <v>13.5</v>
      </c>
      <c r="M17" s="1">
        <v>21.7</v>
      </c>
    </row>
    <row r="18" spans="1:13" x14ac:dyDescent="0.25">
      <c r="A18" s="2">
        <v>14</v>
      </c>
      <c r="B18" s="3">
        <v>46248</v>
      </c>
      <c r="C18" s="3" t="s">
        <v>17</v>
      </c>
      <c r="D18" s="1">
        <v>45</v>
      </c>
      <c r="E18" s="1">
        <f>74.4+35</f>
        <v>109.4</v>
      </c>
      <c r="F18" s="1">
        <v>35.1</v>
      </c>
      <c r="G18" s="1">
        <v>55.6</v>
      </c>
      <c r="H18" s="1">
        <v>30</v>
      </c>
      <c r="I18" s="1">
        <v>57.9</v>
      </c>
      <c r="J18" s="1">
        <v>12</v>
      </c>
      <c r="K18" s="1">
        <v>19</v>
      </c>
      <c r="L18" s="1">
        <v>13.5</v>
      </c>
      <c r="M18" s="1">
        <v>19.600000000000001</v>
      </c>
    </row>
    <row r="19" spans="1:13" x14ac:dyDescent="0.25">
      <c r="A19" s="1">
        <v>15</v>
      </c>
      <c r="B19" s="3">
        <v>46249</v>
      </c>
      <c r="C19" s="3" t="s">
        <v>11</v>
      </c>
      <c r="D19" s="1">
        <v>45</v>
      </c>
      <c r="E19" s="1"/>
      <c r="F19" s="1">
        <v>35.1</v>
      </c>
      <c r="G19" s="1"/>
      <c r="H19" s="1">
        <v>30</v>
      </c>
      <c r="I19" s="1"/>
      <c r="J19" s="1">
        <v>12</v>
      </c>
      <c r="K19" s="1"/>
      <c r="L19" s="1">
        <v>13.5</v>
      </c>
      <c r="M19" s="1"/>
    </row>
    <row r="20" spans="1:13" x14ac:dyDescent="0.25">
      <c r="A20" s="1">
        <v>16</v>
      </c>
      <c r="B20" s="3">
        <v>46250</v>
      </c>
      <c r="C20" s="3" t="s">
        <v>12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12</v>
      </c>
      <c r="K20" s="1"/>
      <c r="L20" s="1">
        <v>13.5</v>
      </c>
      <c r="M20" s="1"/>
    </row>
    <row r="21" spans="1:13" x14ac:dyDescent="0.25">
      <c r="A21" s="1">
        <v>17</v>
      </c>
      <c r="B21" s="3">
        <v>46251</v>
      </c>
      <c r="C21" s="3" t="s">
        <v>13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12</v>
      </c>
      <c r="K21" s="1"/>
      <c r="L21" s="1">
        <v>13.5</v>
      </c>
      <c r="M21" s="1"/>
    </row>
    <row r="22" spans="1:13" x14ac:dyDescent="0.25">
      <c r="A22" s="1">
        <v>18</v>
      </c>
      <c r="B22" s="3">
        <v>46252</v>
      </c>
      <c r="C22" s="3" t="s">
        <v>14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</row>
    <row r="23" spans="1:13" x14ac:dyDescent="0.25">
      <c r="A23" s="1">
        <v>19</v>
      </c>
      <c r="B23" s="3">
        <v>46253</v>
      </c>
      <c r="C23" s="3" t="s">
        <v>15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</row>
    <row r="24" spans="1:13" x14ac:dyDescent="0.25">
      <c r="A24" s="1">
        <v>20</v>
      </c>
      <c r="B24" s="3">
        <v>46254</v>
      </c>
      <c r="C24" s="3" t="s">
        <v>16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</row>
    <row r="25" spans="1:13" x14ac:dyDescent="0.25">
      <c r="A25" s="1">
        <v>21</v>
      </c>
      <c r="B25" s="3">
        <v>46255</v>
      </c>
      <c r="C25" s="3" t="s">
        <v>17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</row>
    <row r="26" spans="1:13" x14ac:dyDescent="0.25">
      <c r="A26" s="1">
        <v>22</v>
      </c>
      <c r="B26" s="3">
        <v>46256</v>
      </c>
      <c r="C26" s="3" t="s">
        <v>11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v>46257</v>
      </c>
      <c r="C27" s="3" t="s">
        <v>12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v>46258</v>
      </c>
      <c r="C28" s="3" t="s">
        <v>13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v>46259</v>
      </c>
      <c r="C29" s="3" t="s">
        <v>14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v>46260</v>
      </c>
      <c r="C30" s="3" t="s">
        <v>15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v>46261</v>
      </c>
      <c r="C31" s="3" t="s">
        <v>16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v>46262</v>
      </c>
      <c r="C32" s="3" t="s">
        <v>17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v>46263</v>
      </c>
      <c r="C33" s="3" t="s">
        <v>11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v>46264</v>
      </c>
      <c r="C34" s="3" t="s">
        <v>12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5" spans="1:13" x14ac:dyDescent="0.25">
      <c r="A35" s="1">
        <v>30</v>
      </c>
      <c r="B35" s="3">
        <v>46265</v>
      </c>
      <c r="C35" s="3" t="s">
        <v>13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12</v>
      </c>
      <c r="K35" s="1"/>
      <c r="L35" s="1">
        <v>13.5</v>
      </c>
      <c r="M35" s="1"/>
    </row>
    <row r="38" spans="1:13" ht="21" x14ac:dyDescent="0.35">
      <c r="A38" s="5" t="s">
        <v>9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</row>
    <row r="39" spans="1:13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</row>
    <row r="40" spans="1:13" ht="15.75" x14ac:dyDescent="0.25">
      <c r="A40" s="4" t="s">
        <v>0</v>
      </c>
      <c r="B40" s="4" t="s">
        <v>18</v>
      </c>
      <c r="C40" s="4" t="s">
        <v>19</v>
      </c>
      <c r="D40" s="6" t="s">
        <v>3</v>
      </c>
      <c r="E40" s="6"/>
      <c r="F40" s="6" t="s">
        <v>7</v>
      </c>
      <c r="G40" s="6"/>
      <c r="H40" s="6" t="s">
        <v>4</v>
      </c>
      <c r="I40" s="6"/>
      <c r="J40" s="6" t="s">
        <v>5</v>
      </c>
      <c r="K40" s="6"/>
      <c r="L40" s="6" t="s">
        <v>6</v>
      </c>
      <c r="M40" s="6"/>
    </row>
    <row r="41" spans="1:13" x14ac:dyDescent="0.25">
      <c r="A41" s="4"/>
      <c r="B41" s="4"/>
      <c r="C41" s="4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</row>
    <row r="42" spans="1:13" x14ac:dyDescent="0.25">
      <c r="A42" s="1">
        <v>1</v>
      </c>
      <c r="B42" s="3">
        <v>46235</v>
      </c>
      <c r="C42" s="3" t="s">
        <v>11</v>
      </c>
      <c r="D42" s="1">
        <v>15</v>
      </c>
      <c r="E42" s="1">
        <v>20.100000000000001</v>
      </c>
      <c r="F42" s="1">
        <v>10</v>
      </c>
      <c r="G42" s="1">
        <v>13</v>
      </c>
      <c r="H42" s="1">
        <v>7.4</v>
      </c>
      <c r="I42" s="1">
        <v>13.4</v>
      </c>
      <c r="J42" s="1">
        <v>8</v>
      </c>
      <c r="K42" s="1">
        <v>12.5</v>
      </c>
      <c r="L42" s="1">
        <v>2.8</v>
      </c>
      <c r="M42" s="1">
        <v>10.3</v>
      </c>
    </row>
    <row r="43" spans="1:13" x14ac:dyDescent="0.25">
      <c r="A43" s="2">
        <v>2</v>
      </c>
      <c r="B43" s="3">
        <v>46236</v>
      </c>
      <c r="C43" s="3" t="s">
        <v>12</v>
      </c>
      <c r="D43" s="1">
        <v>15</v>
      </c>
      <c r="E43" s="1">
        <v>20.2</v>
      </c>
      <c r="F43" s="1">
        <v>10</v>
      </c>
      <c r="G43" s="1">
        <v>13.1</v>
      </c>
      <c r="H43" s="1">
        <v>7.4</v>
      </c>
      <c r="I43" s="1">
        <v>13.4</v>
      </c>
      <c r="J43" s="1">
        <v>8</v>
      </c>
      <c r="K43" s="1">
        <v>12.6</v>
      </c>
      <c r="L43" s="1">
        <v>2.8</v>
      </c>
      <c r="M43" s="1">
        <v>10.3</v>
      </c>
    </row>
    <row r="44" spans="1:13" x14ac:dyDescent="0.25">
      <c r="A44" s="1">
        <v>3</v>
      </c>
      <c r="B44" s="3">
        <v>46237</v>
      </c>
      <c r="C44" s="3" t="s">
        <v>13</v>
      </c>
      <c r="D44" s="1">
        <v>15</v>
      </c>
      <c r="E44" s="1">
        <v>20.2</v>
      </c>
      <c r="F44" s="1">
        <v>10</v>
      </c>
      <c r="G44" s="1">
        <v>13.1</v>
      </c>
      <c r="H44" s="1">
        <v>7.4</v>
      </c>
      <c r="I44" s="1">
        <v>13.4</v>
      </c>
      <c r="J44" s="1">
        <v>8</v>
      </c>
      <c r="K44" s="1">
        <v>12.6</v>
      </c>
      <c r="L44" s="1">
        <v>2.8</v>
      </c>
      <c r="M44" s="1">
        <v>10.3</v>
      </c>
    </row>
    <row r="45" spans="1:13" x14ac:dyDescent="0.25">
      <c r="A45" s="2">
        <v>4</v>
      </c>
      <c r="B45" s="3">
        <v>46238</v>
      </c>
      <c r="C45" s="3" t="s">
        <v>14</v>
      </c>
      <c r="D45" s="1">
        <v>15</v>
      </c>
      <c r="E45" s="1">
        <f>14.1+15.6</f>
        <v>29.7</v>
      </c>
      <c r="F45" s="1">
        <v>10</v>
      </c>
      <c r="G45" s="1">
        <v>10.9</v>
      </c>
      <c r="H45" s="1">
        <v>7.4</v>
      </c>
      <c r="I45" s="1">
        <v>11</v>
      </c>
      <c r="J45" s="1">
        <v>8</v>
      </c>
      <c r="K45" s="1">
        <v>11.8</v>
      </c>
      <c r="L45" s="1">
        <v>2.8</v>
      </c>
      <c r="M45" s="1">
        <v>9.8000000000000007</v>
      </c>
    </row>
    <row r="46" spans="1:13" x14ac:dyDescent="0.25">
      <c r="A46" s="1">
        <v>5</v>
      </c>
      <c r="B46" s="3">
        <v>46239</v>
      </c>
      <c r="C46" s="3" t="s">
        <v>15</v>
      </c>
      <c r="D46" s="1">
        <v>15</v>
      </c>
      <c r="E46" s="1">
        <v>22.9</v>
      </c>
      <c r="F46" s="1">
        <v>10</v>
      </c>
      <c r="G46" s="1">
        <v>8.8000000000000007</v>
      </c>
      <c r="H46" s="1">
        <v>7.4</v>
      </c>
      <c r="I46" s="1">
        <v>21.1</v>
      </c>
      <c r="J46" s="1">
        <v>8</v>
      </c>
      <c r="K46" s="1">
        <v>10.9</v>
      </c>
      <c r="L46" s="1">
        <v>2.8</v>
      </c>
      <c r="M46" s="1">
        <v>9.1999999999999993</v>
      </c>
    </row>
    <row r="47" spans="1:13" x14ac:dyDescent="0.25">
      <c r="A47" s="2">
        <v>6</v>
      </c>
      <c r="B47" s="3">
        <v>46240</v>
      </c>
      <c r="C47" s="3" t="s">
        <v>16</v>
      </c>
      <c r="D47" s="1">
        <v>15</v>
      </c>
      <c r="E47" s="1">
        <f>16.4+14.9</f>
        <v>31.299999999999997</v>
      </c>
      <c r="F47" s="1">
        <v>10</v>
      </c>
      <c r="G47" s="1">
        <v>13.1</v>
      </c>
      <c r="H47" s="1">
        <v>7.4</v>
      </c>
      <c r="I47" s="1">
        <v>19.600000000000001</v>
      </c>
      <c r="J47" s="1">
        <v>8</v>
      </c>
      <c r="K47" s="1">
        <v>10</v>
      </c>
      <c r="L47" s="1">
        <v>2.8</v>
      </c>
      <c r="M47" s="1">
        <v>8.1</v>
      </c>
    </row>
    <row r="48" spans="1:13" x14ac:dyDescent="0.25">
      <c r="A48" s="1">
        <v>7</v>
      </c>
      <c r="B48" s="3">
        <v>46241</v>
      </c>
      <c r="C48" s="3" t="s">
        <v>17</v>
      </c>
      <c r="D48" s="1">
        <v>15</v>
      </c>
      <c r="E48" s="1">
        <v>25.9</v>
      </c>
      <c r="F48" s="1">
        <v>10</v>
      </c>
      <c r="G48" s="1">
        <v>13.5</v>
      </c>
      <c r="H48" s="1">
        <v>7.4</v>
      </c>
      <c r="I48" s="1">
        <v>18.100000000000001</v>
      </c>
      <c r="J48" s="1">
        <v>8</v>
      </c>
      <c r="K48" s="1">
        <v>9.1999999999999993</v>
      </c>
      <c r="L48" s="1">
        <v>2.8</v>
      </c>
      <c r="M48" s="1">
        <v>7.5</v>
      </c>
    </row>
    <row r="49" spans="1:13" x14ac:dyDescent="0.25">
      <c r="A49" s="2">
        <v>8</v>
      </c>
      <c r="B49" s="3">
        <v>46242</v>
      </c>
      <c r="C49" s="3" t="s">
        <v>11</v>
      </c>
      <c r="D49" s="1">
        <v>15</v>
      </c>
      <c r="E49" s="1">
        <v>21.4</v>
      </c>
      <c r="F49" s="1">
        <v>10</v>
      </c>
      <c r="G49" s="1">
        <v>24.6</v>
      </c>
      <c r="H49" s="1">
        <v>7.4</v>
      </c>
      <c r="I49" s="1">
        <v>16.5</v>
      </c>
      <c r="J49" s="1">
        <v>8</v>
      </c>
      <c r="K49" s="1">
        <v>8.5</v>
      </c>
      <c r="L49" s="1">
        <v>2.8</v>
      </c>
      <c r="M49" s="1">
        <v>6.9</v>
      </c>
    </row>
    <row r="50" spans="1:13" x14ac:dyDescent="0.25">
      <c r="A50" s="1">
        <v>9</v>
      </c>
      <c r="B50" s="3">
        <v>46243</v>
      </c>
      <c r="C50" s="3" t="s">
        <v>12</v>
      </c>
      <c r="D50" s="1">
        <v>15</v>
      </c>
      <c r="E50" s="1">
        <v>21.8</v>
      </c>
      <c r="F50" s="1">
        <v>10</v>
      </c>
      <c r="G50" s="1">
        <v>25</v>
      </c>
      <c r="H50" s="1">
        <v>7.4</v>
      </c>
      <c r="I50" s="1">
        <v>16.5</v>
      </c>
      <c r="J50" s="1">
        <v>8</v>
      </c>
      <c r="K50" s="1">
        <v>8.6999999999999993</v>
      </c>
      <c r="L50" s="1">
        <v>2.8</v>
      </c>
      <c r="M50" s="1">
        <v>6.9</v>
      </c>
    </row>
    <row r="51" spans="1:13" x14ac:dyDescent="0.25">
      <c r="A51" s="2">
        <v>10</v>
      </c>
      <c r="B51" s="3">
        <v>46244</v>
      </c>
      <c r="C51" s="3" t="s">
        <v>13</v>
      </c>
      <c r="D51" s="1">
        <v>15</v>
      </c>
      <c r="E51" s="1">
        <f>21.8</f>
        <v>21.8</v>
      </c>
      <c r="F51" s="1">
        <v>10</v>
      </c>
      <c r="G51" s="1">
        <v>25</v>
      </c>
      <c r="H51" s="1">
        <v>7.4</v>
      </c>
      <c r="I51" s="1">
        <v>16.5</v>
      </c>
      <c r="J51" s="1">
        <v>8</v>
      </c>
      <c r="K51" s="1">
        <v>8.6999999999999993</v>
      </c>
      <c r="L51" s="1">
        <v>2.8</v>
      </c>
      <c r="M51" s="1">
        <v>6.9</v>
      </c>
    </row>
    <row r="52" spans="1:13" x14ac:dyDescent="0.25">
      <c r="A52" s="1">
        <v>11</v>
      </c>
      <c r="B52" s="3">
        <v>46245</v>
      </c>
      <c r="C52" s="3" t="s">
        <v>14</v>
      </c>
      <c r="D52" s="1">
        <v>15</v>
      </c>
      <c r="E52" s="1">
        <v>15.7</v>
      </c>
      <c r="F52" s="1">
        <v>10</v>
      </c>
      <c r="G52" s="1">
        <v>23.2</v>
      </c>
      <c r="H52" s="1">
        <v>7.4</v>
      </c>
      <c r="I52" s="1">
        <v>14</v>
      </c>
      <c r="J52" s="1">
        <v>8</v>
      </c>
      <c r="K52" s="1">
        <v>7.9</v>
      </c>
      <c r="L52" s="1">
        <v>2.8</v>
      </c>
      <c r="M52" s="1">
        <v>12.2</v>
      </c>
    </row>
    <row r="53" spans="1:13" x14ac:dyDescent="0.25">
      <c r="A53" s="2">
        <v>12</v>
      </c>
      <c r="B53" s="3">
        <v>46246</v>
      </c>
      <c r="C53" s="3" t="s">
        <v>15</v>
      </c>
      <c r="D53" s="1">
        <v>15</v>
      </c>
      <c r="E53" s="1">
        <f>7.7+14</f>
        <v>21.7</v>
      </c>
      <c r="F53" s="1">
        <v>10</v>
      </c>
      <c r="G53" s="1">
        <v>20.9</v>
      </c>
      <c r="H53" s="1">
        <v>7.4</v>
      </c>
      <c r="I53" s="1">
        <v>11.7</v>
      </c>
      <c r="J53" s="1">
        <v>8</v>
      </c>
      <c r="K53" s="1">
        <v>15.8</v>
      </c>
      <c r="L53" s="1">
        <v>2.8</v>
      </c>
      <c r="M53" s="1">
        <v>11.5</v>
      </c>
    </row>
    <row r="54" spans="1:13" x14ac:dyDescent="0.25">
      <c r="A54" s="1">
        <v>13</v>
      </c>
      <c r="B54" s="3">
        <v>46247</v>
      </c>
      <c r="C54" s="3" t="s">
        <v>16</v>
      </c>
      <c r="D54" s="1">
        <v>15</v>
      </c>
      <c r="E54" s="1">
        <v>15.4</v>
      </c>
      <c r="F54" s="1">
        <v>10</v>
      </c>
      <c r="G54" s="1">
        <v>28.3</v>
      </c>
      <c r="H54" s="1">
        <v>7.4</v>
      </c>
      <c r="I54" s="1">
        <v>10.199999999999999</v>
      </c>
      <c r="J54" s="1">
        <v>8</v>
      </c>
      <c r="K54" s="1">
        <v>15.6</v>
      </c>
      <c r="L54" s="1">
        <v>2.8</v>
      </c>
      <c r="M54" s="1">
        <v>11</v>
      </c>
    </row>
    <row r="55" spans="1:13" x14ac:dyDescent="0.25">
      <c r="A55" s="2">
        <v>14</v>
      </c>
      <c r="B55" s="3">
        <v>46248</v>
      </c>
      <c r="C55" s="3" t="s">
        <v>17</v>
      </c>
      <c r="D55" s="1">
        <v>15</v>
      </c>
      <c r="E55" s="1">
        <f>8.7+14</f>
        <v>22.7</v>
      </c>
      <c r="F55" s="1">
        <v>10</v>
      </c>
      <c r="G55" s="1">
        <v>26</v>
      </c>
      <c r="H55" s="1">
        <v>7.4</v>
      </c>
      <c r="I55" s="1">
        <v>8.4</v>
      </c>
      <c r="J55" s="1">
        <v>8</v>
      </c>
      <c r="K55" s="1">
        <v>14.3</v>
      </c>
      <c r="L55" s="1">
        <v>2.8</v>
      </c>
      <c r="M55" s="1">
        <v>10.9</v>
      </c>
    </row>
    <row r="56" spans="1:13" x14ac:dyDescent="0.25">
      <c r="A56" s="1">
        <v>15</v>
      </c>
      <c r="B56" s="3">
        <v>46249</v>
      </c>
      <c r="C56" s="3" t="s">
        <v>11</v>
      </c>
      <c r="D56" s="1">
        <v>15</v>
      </c>
      <c r="E56" s="1"/>
      <c r="F56" s="1">
        <v>10</v>
      </c>
      <c r="G56" s="1"/>
      <c r="H56" s="1">
        <v>7.4</v>
      </c>
      <c r="I56" s="1"/>
      <c r="J56" s="1">
        <v>8</v>
      </c>
      <c r="K56" s="1"/>
      <c r="L56" s="1">
        <v>2.8</v>
      </c>
      <c r="M56" s="1"/>
    </row>
    <row r="57" spans="1:13" x14ac:dyDescent="0.25">
      <c r="A57" s="1">
        <v>16</v>
      </c>
      <c r="B57" s="3">
        <v>46250</v>
      </c>
      <c r="C57" s="3" t="s">
        <v>12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8</v>
      </c>
      <c r="K57" s="1"/>
      <c r="L57" s="1">
        <v>2.8</v>
      </c>
      <c r="M57" s="1"/>
    </row>
    <row r="58" spans="1:13" x14ac:dyDescent="0.25">
      <c r="A58" s="1">
        <v>17</v>
      </c>
      <c r="B58" s="3">
        <v>46251</v>
      </c>
      <c r="C58" s="3" t="s">
        <v>13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8</v>
      </c>
      <c r="K58" s="1"/>
      <c r="L58" s="1">
        <v>2.8</v>
      </c>
      <c r="M58" s="1"/>
    </row>
    <row r="59" spans="1:13" x14ac:dyDescent="0.25">
      <c r="A59" s="1">
        <v>18</v>
      </c>
      <c r="B59" s="3">
        <v>46252</v>
      </c>
      <c r="C59" s="3" t="s">
        <v>14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8</v>
      </c>
      <c r="K59" s="1"/>
      <c r="L59" s="1">
        <v>2.8</v>
      </c>
      <c r="M59" s="1"/>
    </row>
    <row r="60" spans="1:13" x14ac:dyDescent="0.25">
      <c r="A60" s="1">
        <v>19</v>
      </c>
      <c r="B60" s="3">
        <v>46253</v>
      </c>
      <c r="C60" s="3" t="s">
        <v>15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8</v>
      </c>
      <c r="K60" s="1"/>
      <c r="L60" s="1">
        <v>2.8</v>
      </c>
      <c r="M60" s="1"/>
    </row>
    <row r="61" spans="1:13" x14ac:dyDescent="0.25">
      <c r="A61" s="1">
        <v>20</v>
      </c>
      <c r="B61" s="3">
        <v>46254</v>
      </c>
      <c r="C61" s="3" t="s">
        <v>16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8</v>
      </c>
      <c r="K61" s="1"/>
      <c r="L61" s="1">
        <v>2.8</v>
      </c>
      <c r="M61" s="1"/>
    </row>
    <row r="62" spans="1:13" x14ac:dyDescent="0.25">
      <c r="A62" s="1">
        <v>21</v>
      </c>
      <c r="B62" s="3">
        <v>46255</v>
      </c>
      <c r="C62" s="3" t="s">
        <v>17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8</v>
      </c>
      <c r="K62" s="1"/>
      <c r="L62" s="1">
        <v>2.8</v>
      </c>
      <c r="M62" s="1"/>
    </row>
    <row r="63" spans="1:13" x14ac:dyDescent="0.25">
      <c r="A63" s="1">
        <v>22</v>
      </c>
      <c r="B63" s="3">
        <v>46256</v>
      </c>
      <c r="C63" s="3" t="s">
        <v>11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8</v>
      </c>
      <c r="K63" s="1"/>
      <c r="L63" s="1">
        <v>2.8</v>
      </c>
      <c r="M63" s="1"/>
    </row>
    <row r="64" spans="1:13" x14ac:dyDescent="0.25">
      <c r="A64" s="1">
        <v>23</v>
      </c>
      <c r="B64" s="3">
        <v>46257</v>
      </c>
      <c r="C64" s="3" t="s">
        <v>12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8</v>
      </c>
      <c r="K64" s="1"/>
      <c r="L64" s="1">
        <v>2.8</v>
      </c>
      <c r="M64" s="1"/>
    </row>
    <row r="65" spans="1:13" x14ac:dyDescent="0.25">
      <c r="A65" s="1">
        <v>24</v>
      </c>
      <c r="B65" s="3">
        <v>46258</v>
      </c>
      <c r="C65" s="3" t="s">
        <v>13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8</v>
      </c>
      <c r="K65" s="1"/>
      <c r="L65" s="1">
        <v>2.8</v>
      </c>
      <c r="M65" s="1"/>
    </row>
    <row r="66" spans="1:13" x14ac:dyDescent="0.25">
      <c r="A66" s="1">
        <v>25</v>
      </c>
      <c r="B66" s="3">
        <v>46259</v>
      </c>
      <c r="C66" s="3" t="s">
        <v>14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8</v>
      </c>
      <c r="K66" s="1"/>
      <c r="L66" s="1">
        <v>2.8</v>
      </c>
      <c r="M66" s="1"/>
    </row>
    <row r="67" spans="1:13" x14ac:dyDescent="0.25">
      <c r="A67" s="1">
        <v>26</v>
      </c>
      <c r="B67" s="3">
        <v>46260</v>
      </c>
      <c r="C67" s="3" t="s">
        <v>15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8</v>
      </c>
      <c r="K67" s="1"/>
      <c r="L67" s="1">
        <v>2.8</v>
      </c>
      <c r="M67" s="1"/>
    </row>
    <row r="68" spans="1:13" x14ac:dyDescent="0.25">
      <c r="A68" s="1">
        <v>27</v>
      </c>
      <c r="B68" s="3">
        <v>46261</v>
      </c>
      <c r="C68" s="3" t="s">
        <v>16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8</v>
      </c>
      <c r="K68" s="1"/>
      <c r="L68" s="1">
        <v>2.8</v>
      </c>
      <c r="M68" s="1"/>
    </row>
    <row r="69" spans="1:13" x14ac:dyDescent="0.25">
      <c r="A69" s="1">
        <v>28</v>
      </c>
      <c r="B69" s="3">
        <v>46262</v>
      </c>
      <c r="C69" s="3" t="s">
        <v>17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8</v>
      </c>
      <c r="K69" s="1"/>
      <c r="L69" s="1">
        <v>2.8</v>
      </c>
      <c r="M69" s="1"/>
    </row>
    <row r="70" spans="1:13" x14ac:dyDescent="0.25">
      <c r="A70" s="1">
        <v>29</v>
      </c>
      <c r="B70" s="3">
        <v>46263</v>
      </c>
      <c r="C70" s="3" t="s">
        <v>11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8</v>
      </c>
      <c r="K70" s="1"/>
      <c r="L70" s="1">
        <v>2.8</v>
      </c>
      <c r="M70" s="1"/>
    </row>
    <row r="71" spans="1:13" x14ac:dyDescent="0.25">
      <c r="A71" s="1">
        <v>30</v>
      </c>
      <c r="B71" s="3">
        <v>46264</v>
      </c>
      <c r="C71" s="3" t="s">
        <v>12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8</v>
      </c>
      <c r="K71" s="1"/>
      <c r="L71" s="1">
        <v>2.8</v>
      </c>
      <c r="M71" s="1"/>
    </row>
    <row r="72" spans="1:13" x14ac:dyDescent="0.25">
      <c r="A72" s="1">
        <v>30</v>
      </c>
      <c r="B72" s="3">
        <v>46265</v>
      </c>
      <c r="C72" s="3" t="s">
        <v>13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8</v>
      </c>
      <c r="K72" s="1"/>
      <c r="L72" s="1">
        <v>2.8</v>
      </c>
      <c r="M72" s="1"/>
    </row>
    <row r="74" spans="1:13" ht="21" x14ac:dyDescent="0.35">
      <c r="A74" s="5" t="s">
        <v>10</v>
      </c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</row>
    <row r="75" spans="1:13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</row>
    <row r="76" spans="1:13" ht="15.75" x14ac:dyDescent="0.25">
      <c r="A76" s="4" t="s">
        <v>0</v>
      </c>
      <c r="B76" s="4" t="s">
        <v>18</v>
      </c>
      <c r="C76" s="4" t="s">
        <v>19</v>
      </c>
      <c r="D76" s="6" t="s">
        <v>3</v>
      </c>
      <c r="E76" s="6"/>
      <c r="F76" s="6" t="s">
        <v>7</v>
      </c>
      <c r="G76" s="6"/>
      <c r="H76" s="6" t="s">
        <v>4</v>
      </c>
      <c r="I76" s="6"/>
      <c r="J76" s="6" t="s">
        <v>5</v>
      </c>
      <c r="K76" s="6"/>
      <c r="L76" s="6" t="s">
        <v>6</v>
      </c>
      <c r="M76" s="6"/>
    </row>
    <row r="77" spans="1:13" x14ac:dyDescent="0.25">
      <c r="A77" s="4"/>
      <c r="B77" s="4"/>
      <c r="C77" s="4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</row>
    <row r="78" spans="1:13" x14ac:dyDescent="0.25">
      <c r="A78" s="1">
        <v>1</v>
      </c>
      <c r="B78" s="3">
        <v>46235</v>
      </c>
      <c r="C78" s="3" t="s">
        <v>11</v>
      </c>
      <c r="D78" s="1">
        <v>22</v>
      </c>
      <c r="E78" s="1">
        <v>34.799999999999997</v>
      </c>
      <c r="F78" s="1">
        <v>5.0999999999999996</v>
      </c>
      <c r="G78" s="1">
        <v>7.4</v>
      </c>
      <c r="H78" s="1">
        <v>3.7</v>
      </c>
      <c r="I78" s="1">
        <v>6.4</v>
      </c>
      <c r="J78" s="1">
        <v>5</v>
      </c>
      <c r="K78" s="1">
        <v>13.2</v>
      </c>
      <c r="L78" s="1">
        <v>2.7</v>
      </c>
      <c r="M78" s="1">
        <v>8.6999999999999993</v>
      </c>
    </row>
    <row r="79" spans="1:13" x14ac:dyDescent="0.25">
      <c r="A79" s="2">
        <v>2</v>
      </c>
      <c r="B79" s="3">
        <v>46236</v>
      </c>
      <c r="C79" s="3" t="s">
        <v>12</v>
      </c>
      <c r="D79" s="1">
        <v>22</v>
      </c>
      <c r="E79" s="1">
        <v>35.1</v>
      </c>
      <c r="F79" s="1">
        <v>5.0999999999999996</v>
      </c>
      <c r="G79" s="1">
        <v>7.4</v>
      </c>
      <c r="H79" s="1">
        <v>3.7</v>
      </c>
      <c r="I79" s="1">
        <v>6.4</v>
      </c>
      <c r="J79" s="1">
        <v>5</v>
      </c>
      <c r="K79" s="1">
        <v>13.3</v>
      </c>
      <c r="L79" s="1">
        <v>2.7</v>
      </c>
      <c r="M79" s="1">
        <v>8.6999999999999993</v>
      </c>
    </row>
    <row r="80" spans="1:13" x14ac:dyDescent="0.25">
      <c r="A80" s="1">
        <v>3</v>
      </c>
      <c r="B80" s="3">
        <v>46237</v>
      </c>
      <c r="C80" s="3" t="s">
        <v>13</v>
      </c>
      <c r="D80" s="1">
        <v>22</v>
      </c>
      <c r="E80" s="1">
        <v>48.2</v>
      </c>
      <c r="F80" s="1">
        <v>5.0999999999999996</v>
      </c>
      <c r="G80" s="1">
        <v>7.4</v>
      </c>
      <c r="H80" s="1">
        <v>3.7</v>
      </c>
      <c r="I80" s="1">
        <v>6.4</v>
      </c>
      <c r="J80" s="1">
        <v>5</v>
      </c>
      <c r="K80" s="1">
        <v>13.3</v>
      </c>
      <c r="L80" s="1">
        <v>2.7</v>
      </c>
      <c r="M80" s="1">
        <v>8.6999999999999993</v>
      </c>
    </row>
    <row r="81" spans="1:13" x14ac:dyDescent="0.25">
      <c r="A81" s="2">
        <v>4</v>
      </c>
      <c r="B81" s="3">
        <v>46238</v>
      </c>
      <c r="C81" s="3" t="s">
        <v>14</v>
      </c>
      <c r="D81" s="1">
        <v>22</v>
      </c>
      <c r="E81" s="1">
        <f>35.6+5.9</f>
        <v>41.5</v>
      </c>
      <c r="F81" s="1">
        <v>5.0999999999999996</v>
      </c>
      <c r="G81" s="1">
        <v>5.9</v>
      </c>
      <c r="H81" s="1">
        <v>3.7</v>
      </c>
      <c r="I81" s="1">
        <v>13.4</v>
      </c>
      <c r="J81" s="1">
        <v>5</v>
      </c>
      <c r="K81" s="1">
        <v>12.5</v>
      </c>
      <c r="L81" s="1">
        <v>2.7</v>
      </c>
      <c r="M81" s="1">
        <v>7.8</v>
      </c>
    </row>
    <row r="82" spans="1:13" x14ac:dyDescent="0.25">
      <c r="A82" s="1">
        <v>5</v>
      </c>
      <c r="B82" s="3">
        <v>46239</v>
      </c>
      <c r="C82" s="3" t="s">
        <v>15</v>
      </c>
      <c r="D82" s="1">
        <v>22</v>
      </c>
      <c r="E82" s="1">
        <f>28.8+15.8</f>
        <v>44.6</v>
      </c>
      <c r="F82" s="1">
        <v>5.0999999999999996</v>
      </c>
      <c r="G82" s="1">
        <v>9.6999999999999993</v>
      </c>
      <c r="H82" s="1">
        <v>3.7</v>
      </c>
      <c r="I82" s="1">
        <v>12.4</v>
      </c>
      <c r="J82" s="1">
        <v>5</v>
      </c>
      <c r="K82" s="1">
        <v>11.1</v>
      </c>
      <c r="L82" s="1">
        <v>2.7</v>
      </c>
      <c r="M82" s="1">
        <v>6.4</v>
      </c>
    </row>
    <row r="83" spans="1:13" x14ac:dyDescent="0.25">
      <c r="A83" s="2">
        <v>6</v>
      </c>
      <c r="B83" s="3">
        <v>46240</v>
      </c>
      <c r="C83" s="3" t="s">
        <v>16</v>
      </c>
      <c r="D83" s="1">
        <v>22</v>
      </c>
      <c r="E83" s="1">
        <f>35.6</f>
        <v>35.6</v>
      </c>
      <c r="F83" s="1">
        <v>5.0999999999999996</v>
      </c>
      <c r="G83" s="1">
        <v>13.2</v>
      </c>
      <c r="H83" s="1">
        <v>3.7</v>
      </c>
      <c r="I83" s="1">
        <v>11.7</v>
      </c>
      <c r="J83" s="1">
        <v>5</v>
      </c>
      <c r="K83" s="1">
        <v>9.6</v>
      </c>
      <c r="L83" s="1">
        <v>2.7</v>
      </c>
      <c r="M83" s="1">
        <v>5.8</v>
      </c>
    </row>
    <row r="84" spans="1:13" x14ac:dyDescent="0.25">
      <c r="A84" s="1">
        <v>7</v>
      </c>
      <c r="B84" s="3">
        <v>46241</v>
      </c>
      <c r="C84" s="3" t="s">
        <v>17</v>
      </c>
      <c r="D84" s="1">
        <v>22</v>
      </c>
      <c r="E84" s="1">
        <f>26.3+20</f>
        <v>46.3</v>
      </c>
      <c r="F84" s="1">
        <v>5.0999999999999996</v>
      </c>
      <c r="G84" s="1">
        <v>11.4</v>
      </c>
      <c r="H84" s="1">
        <v>3.7</v>
      </c>
      <c r="I84" s="1">
        <v>10.5</v>
      </c>
      <c r="J84" s="1">
        <v>5</v>
      </c>
      <c r="K84" s="1">
        <v>9</v>
      </c>
      <c r="L84" s="1">
        <v>2.7</v>
      </c>
      <c r="M84" s="1">
        <v>10.199999999999999</v>
      </c>
    </row>
    <row r="85" spans="1:13" x14ac:dyDescent="0.25">
      <c r="A85" s="2">
        <v>8</v>
      </c>
      <c r="B85" s="3">
        <v>46242</v>
      </c>
      <c r="C85" s="3" t="s">
        <v>11</v>
      </c>
      <c r="D85" s="1">
        <v>22</v>
      </c>
      <c r="E85" s="1">
        <v>38.799999999999997</v>
      </c>
      <c r="F85" s="1">
        <v>5.0999999999999996</v>
      </c>
      <c r="G85" s="1">
        <v>10</v>
      </c>
      <c r="H85" s="1">
        <v>3.7</v>
      </c>
      <c r="I85" s="1">
        <v>9.3000000000000007</v>
      </c>
      <c r="J85" s="1">
        <v>5</v>
      </c>
      <c r="K85" s="1">
        <v>7.9</v>
      </c>
      <c r="L85" s="1">
        <v>2.7</v>
      </c>
      <c r="M85" s="1">
        <v>8.8000000000000007</v>
      </c>
    </row>
    <row r="86" spans="1:13" x14ac:dyDescent="0.25">
      <c r="A86" s="1">
        <v>9</v>
      </c>
      <c r="B86" s="3">
        <v>46243</v>
      </c>
      <c r="C86" s="3" t="s">
        <v>12</v>
      </c>
      <c r="D86" s="1">
        <v>22</v>
      </c>
      <c r="E86" s="1">
        <v>39.200000000000003</v>
      </c>
      <c r="F86" s="1">
        <v>5.0999999999999996</v>
      </c>
      <c r="G86" s="1">
        <v>10.1</v>
      </c>
      <c r="H86" s="1">
        <v>3.7</v>
      </c>
      <c r="I86" s="1">
        <v>9.3000000000000007</v>
      </c>
      <c r="J86" s="1">
        <v>5</v>
      </c>
      <c r="K86" s="1">
        <v>7.8</v>
      </c>
      <c r="L86" s="1">
        <v>2.7</v>
      </c>
      <c r="M86" s="1">
        <v>8.8000000000000007</v>
      </c>
    </row>
    <row r="87" spans="1:13" x14ac:dyDescent="0.25">
      <c r="A87" s="2">
        <v>10</v>
      </c>
      <c r="B87" s="3">
        <v>46244</v>
      </c>
      <c r="C87" s="3" t="s">
        <v>13</v>
      </c>
      <c r="D87" s="1">
        <v>22</v>
      </c>
      <c r="E87" s="1">
        <f>39.2</f>
        <v>39.200000000000003</v>
      </c>
      <c r="F87" s="1">
        <v>5.0999999999999996</v>
      </c>
      <c r="G87" s="1">
        <v>10.1</v>
      </c>
      <c r="H87" s="1">
        <v>3.7</v>
      </c>
      <c r="I87" s="1">
        <v>9.3000000000000007</v>
      </c>
      <c r="J87" s="1">
        <v>5</v>
      </c>
      <c r="K87" s="1">
        <v>7.8</v>
      </c>
      <c r="L87" s="1">
        <v>2.7</v>
      </c>
      <c r="M87" s="1">
        <v>8.8000000000000007</v>
      </c>
    </row>
    <row r="88" spans="1:13" x14ac:dyDescent="0.25">
      <c r="A88" s="1">
        <v>11</v>
      </c>
      <c r="B88" s="3">
        <v>46245</v>
      </c>
      <c r="C88" s="3" t="s">
        <v>14</v>
      </c>
      <c r="D88" s="1">
        <v>22</v>
      </c>
      <c r="E88" s="1">
        <f>25.2+16.7</f>
        <v>41.9</v>
      </c>
      <c r="F88" s="1">
        <v>5.0999999999999996</v>
      </c>
      <c r="G88" s="1">
        <v>7.7</v>
      </c>
      <c r="H88" s="1">
        <v>3.7</v>
      </c>
      <c r="I88" s="1">
        <v>6</v>
      </c>
      <c r="J88" s="1">
        <v>5</v>
      </c>
      <c r="K88" s="1">
        <v>12.2</v>
      </c>
      <c r="L88" s="1">
        <v>2.7</v>
      </c>
      <c r="M88" s="1">
        <v>8.6</v>
      </c>
    </row>
    <row r="89" spans="1:13" x14ac:dyDescent="0.25">
      <c r="A89" s="2">
        <v>12</v>
      </c>
      <c r="B89" s="3">
        <v>46246</v>
      </c>
      <c r="C89" s="3" t="s">
        <v>15</v>
      </c>
      <c r="D89" s="1">
        <v>22</v>
      </c>
      <c r="E89" s="1">
        <f>31.2+10</f>
        <v>41.2</v>
      </c>
      <c r="F89" s="1">
        <v>5.0999999999999996</v>
      </c>
      <c r="G89" s="1">
        <v>12.5</v>
      </c>
      <c r="H89" s="1">
        <v>3.7</v>
      </c>
      <c r="I89" s="1">
        <v>13.7</v>
      </c>
      <c r="J89" s="1">
        <v>5</v>
      </c>
      <c r="K89" s="1">
        <v>14.2</v>
      </c>
      <c r="L89" s="1">
        <v>2.7</v>
      </c>
      <c r="M89" s="1">
        <v>7.2</v>
      </c>
    </row>
    <row r="90" spans="1:13" x14ac:dyDescent="0.25">
      <c r="A90" s="1">
        <v>13</v>
      </c>
      <c r="B90" s="3">
        <v>46247</v>
      </c>
      <c r="C90" s="3" t="s">
        <v>16</v>
      </c>
      <c r="D90" s="1">
        <v>22</v>
      </c>
      <c r="E90" s="1">
        <f>33.4+2</f>
        <v>35.4</v>
      </c>
      <c r="F90" s="1">
        <v>5.0999999999999996</v>
      </c>
      <c r="G90" s="1">
        <v>14</v>
      </c>
      <c r="H90" s="1">
        <v>3.7</v>
      </c>
      <c r="I90" s="1">
        <v>13.1</v>
      </c>
      <c r="J90" s="1">
        <v>5</v>
      </c>
      <c r="K90" s="1">
        <v>12.2</v>
      </c>
      <c r="L90" s="1">
        <v>2.7</v>
      </c>
      <c r="M90" s="1">
        <v>6.7</v>
      </c>
    </row>
    <row r="91" spans="1:13" x14ac:dyDescent="0.25">
      <c r="A91" s="2">
        <v>14</v>
      </c>
      <c r="B91" s="3">
        <v>46248</v>
      </c>
      <c r="C91" s="3" t="s">
        <v>17</v>
      </c>
      <c r="D91" s="1">
        <v>22</v>
      </c>
      <c r="E91" s="1">
        <f>23+13</f>
        <v>36</v>
      </c>
      <c r="F91" s="1">
        <v>5.0999999999999996</v>
      </c>
      <c r="G91" s="1">
        <v>12</v>
      </c>
      <c r="H91" s="1">
        <v>3.7</v>
      </c>
      <c r="I91" s="1">
        <v>11.5</v>
      </c>
      <c r="J91" s="1">
        <v>5</v>
      </c>
      <c r="K91" s="1">
        <v>11.4</v>
      </c>
      <c r="L91" s="1">
        <v>2.7</v>
      </c>
      <c r="M91" s="1">
        <v>9.6</v>
      </c>
    </row>
    <row r="92" spans="1:13" x14ac:dyDescent="0.25">
      <c r="A92" s="1">
        <v>15</v>
      </c>
      <c r="B92" s="3">
        <v>46249</v>
      </c>
      <c r="C92" s="3" t="s">
        <v>11</v>
      </c>
      <c r="D92" s="1">
        <v>22</v>
      </c>
      <c r="E92" s="1"/>
      <c r="F92" s="1">
        <v>5.0999999999999996</v>
      </c>
      <c r="G92" s="1"/>
      <c r="H92" s="1">
        <v>3.7</v>
      </c>
      <c r="I92" s="1"/>
      <c r="J92" s="1">
        <v>5</v>
      </c>
      <c r="K92" s="1"/>
      <c r="L92" s="1">
        <v>2.7</v>
      </c>
      <c r="M92" s="1"/>
    </row>
    <row r="93" spans="1:13" x14ac:dyDescent="0.25">
      <c r="A93" s="1">
        <v>16</v>
      </c>
      <c r="B93" s="3">
        <v>46250</v>
      </c>
      <c r="C93" s="3" t="s">
        <v>12</v>
      </c>
      <c r="D93" s="1">
        <v>22</v>
      </c>
      <c r="E93" s="1"/>
      <c r="F93" s="1">
        <v>5.0999999999999996</v>
      </c>
      <c r="G93" s="1"/>
      <c r="H93" s="1">
        <v>3.7</v>
      </c>
      <c r="I93" s="1"/>
      <c r="J93" s="1">
        <v>5</v>
      </c>
      <c r="K93" s="1"/>
      <c r="L93" s="1">
        <v>2.7</v>
      </c>
      <c r="M93" s="1"/>
    </row>
    <row r="94" spans="1:13" x14ac:dyDescent="0.25">
      <c r="A94" s="1">
        <v>17</v>
      </c>
      <c r="B94" s="3">
        <v>46251</v>
      </c>
      <c r="C94" s="3" t="s">
        <v>13</v>
      </c>
      <c r="D94" s="1">
        <v>22</v>
      </c>
      <c r="E94" s="1"/>
      <c r="F94" s="1">
        <v>5.0999999999999996</v>
      </c>
      <c r="G94" s="1"/>
      <c r="H94" s="1">
        <v>3.7</v>
      </c>
      <c r="I94" s="1"/>
      <c r="J94" s="1">
        <v>5</v>
      </c>
      <c r="K94" s="1"/>
      <c r="L94" s="1">
        <v>2.7</v>
      </c>
      <c r="M94" s="1"/>
    </row>
    <row r="95" spans="1:13" x14ac:dyDescent="0.25">
      <c r="A95" s="1">
        <v>18</v>
      </c>
      <c r="B95" s="3">
        <v>46252</v>
      </c>
      <c r="C95" s="3" t="s">
        <v>14</v>
      </c>
      <c r="D95" s="1">
        <v>22</v>
      </c>
      <c r="E95" s="1"/>
      <c r="F95" s="1">
        <v>5.0999999999999996</v>
      </c>
      <c r="G95" s="1"/>
      <c r="H95" s="1">
        <v>3.7</v>
      </c>
      <c r="I95" s="1"/>
      <c r="J95" s="1">
        <v>5</v>
      </c>
      <c r="K95" s="1"/>
      <c r="L95" s="1">
        <v>2.7</v>
      </c>
      <c r="M95" s="1"/>
    </row>
    <row r="96" spans="1:13" x14ac:dyDescent="0.25">
      <c r="A96" s="1">
        <v>19</v>
      </c>
      <c r="B96" s="3">
        <v>46253</v>
      </c>
      <c r="C96" s="3" t="s">
        <v>15</v>
      </c>
      <c r="D96" s="1">
        <v>22</v>
      </c>
      <c r="E96" s="1"/>
      <c r="F96" s="1">
        <v>5.0999999999999996</v>
      </c>
      <c r="G96" s="1"/>
      <c r="H96" s="1">
        <v>3.7</v>
      </c>
      <c r="I96" s="1"/>
      <c r="J96" s="1">
        <v>5</v>
      </c>
      <c r="K96" s="1"/>
      <c r="L96" s="1">
        <v>2.7</v>
      </c>
      <c r="M96" s="1"/>
    </row>
    <row r="97" spans="1:13" x14ac:dyDescent="0.25">
      <c r="A97" s="1">
        <v>20</v>
      </c>
      <c r="B97" s="3">
        <v>46254</v>
      </c>
      <c r="C97" s="3" t="s">
        <v>16</v>
      </c>
      <c r="D97" s="1">
        <v>22</v>
      </c>
      <c r="E97" s="1"/>
      <c r="F97" s="1">
        <v>5.0999999999999996</v>
      </c>
      <c r="G97" s="1"/>
      <c r="H97" s="1">
        <v>3.7</v>
      </c>
      <c r="I97" s="1"/>
      <c r="J97" s="1">
        <v>5</v>
      </c>
      <c r="K97" s="1"/>
      <c r="L97" s="1">
        <v>2.7</v>
      </c>
      <c r="M97" s="1"/>
    </row>
    <row r="98" spans="1:13" x14ac:dyDescent="0.25">
      <c r="A98" s="1">
        <v>21</v>
      </c>
      <c r="B98" s="3">
        <v>46255</v>
      </c>
      <c r="C98" s="3" t="s">
        <v>17</v>
      </c>
      <c r="D98" s="1">
        <v>22</v>
      </c>
      <c r="E98" s="1"/>
      <c r="F98" s="1">
        <v>5.0999999999999996</v>
      </c>
      <c r="G98" s="1"/>
      <c r="H98" s="1">
        <v>3.7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22</v>
      </c>
      <c r="B99" s="3">
        <v>46256</v>
      </c>
      <c r="C99" s="3" t="s">
        <v>11</v>
      </c>
      <c r="D99" s="1">
        <v>22</v>
      </c>
      <c r="E99" s="1"/>
      <c r="F99" s="1">
        <v>5.0999999999999996</v>
      </c>
      <c r="G99" s="1"/>
      <c r="H99" s="1">
        <v>3.7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23</v>
      </c>
      <c r="B100" s="3">
        <v>46257</v>
      </c>
      <c r="C100" s="3" t="s">
        <v>12</v>
      </c>
      <c r="D100" s="1">
        <v>22</v>
      </c>
      <c r="E100" s="1"/>
      <c r="F100" s="1">
        <v>5.0999999999999996</v>
      </c>
      <c r="G100" s="1"/>
      <c r="H100" s="1">
        <v>3.7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24</v>
      </c>
      <c r="B101" s="3">
        <v>46258</v>
      </c>
      <c r="C101" s="3" t="s">
        <v>13</v>
      </c>
      <c r="D101" s="1">
        <v>22</v>
      </c>
      <c r="E101" s="1"/>
      <c r="F101" s="1">
        <v>5.0999999999999996</v>
      </c>
      <c r="G101" s="1"/>
      <c r="H101" s="1">
        <v>3.7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25</v>
      </c>
      <c r="B102" s="3">
        <v>46259</v>
      </c>
      <c r="C102" s="3" t="s">
        <v>14</v>
      </c>
      <c r="D102" s="1">
        <v>22</v>
      </c>
      <c r="E102" s="1"/>
      <c r="F102" s="1">
        <v>5.0999999999999996</v>
      </c>
      <c r="G102" s="1"/>
      <c r="H102" s="1">
        <v>3.7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26</v>
      </c>
      <c r="B103" s="3">
        <v>46260</v>
      </c>
      <c r="C103" s="3" t="s">
        <v>15</v>
      </c>
      <c r="D103" s="1">
        <v>22</v>
      </c>
      <c r="E103" s="1"/>
      <c r="F103" s="1">
        <v>5.0999999999999996</v>
      </c>
      <c r="G103" s="1"/>
      <c r="H103" s="1">
        <v>3.7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27</v>
      </c>
      <c r="B104" s="3">
        <v>46261</v>
      </c>
      <c r="C104" s="3" t="s">
        <v>16</v>
      </c>
      <c r="D104" s="1">
        <v>22</v>
      </c>
      <c r="E104" s="1"/>
      <c r="F104" s="1">
        <v>5.0999999999999996</v>
      </c>
      <c r="G104" s="1"/>
      <c r="H104" s="1">
        <v>3.7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28</v>
      </c>
      <c r="B105" s="3">
        <v>46262</v>
      </c>
      <c r="C105" s="3" t="s">
        <v>17</v>
      </c>
      <c r="D105" s="1">
        <v>22</v>
      </c>
      <c r="E105" s="1"/>
      <c r="F105" s="1">
        <v>5.0999999999999996</v>
      </c>
      <c r="G105" s="1"/>
      <c r="H105" s="1">
        <v>3.7</v>
      </c>
      <c r="I105" s="1"/>
      <c r="J105" s="1">
        <v>5</v>
      </c>
      <c r="K105" s="1"/>
      <c r="L105" s="1">
        <v>2.7</v>
      </c>
      <c r="M105" s="1"/>
    </row>
    <row r="106" spans="1:13" x14ac:dyDescent="0.25">
      <c r="A106" s="1">
        <v>29</v>
      </c>
      <c r="B106" s="3">
        <v>46263</v>
      </c>
      <c r="C106" s="3" t="s">
        <v>11</v>
      </c>
      <c r="D106" s="1">
        <v>22</v>
      </c>
      <c r="E106" s="1"/>
      <c r="F106" s="1">
        <v>5.0999999999999996</v>
      </c>
      <c r="G106" s="1"/>
      <c r="H106" s="1">
        <v>3.7</v>
      </c>
      <c r="I106" s="1"/>
      <c r="J106" s="1">
        <v>5</v>
      </c>
      <c r="K106" s="1"/>
      <c r="L106" s="1">
        <v>2.7</v>
      </c>
      <c r="M106" s="1"/>
    </row>
    <row r="107" spans="1:13" x14ac:dyDescent="0.25">
      <c r="A107" s="1">
        <v>30</v>
      </c>
      <c r="B107" s="3">
        <v>46264</v>
      </c>
      <c r="C107" s="3" t="s">
        <v>12</v>
      </c>
      <c r="D107" s="1">
        <v>22</v>
      </c>
      <c r="E107" s="1"/>
      <c r="F107" s="1">
        <v>5.0999999999999996</v>
      </c>
      <c r="G107" s="1"/>
      <c r="H107" s="1">
        <v>3.7</v>
      </c>
      <c r="I107" s="1"/>
      <c r="J107" s="1">
        <v>5</v>
      </c>
      <c r="K107" s="1"/>
      <c r="L107" s="1">
        <v>2.7</v>
      </c>
      <c r="M107" s="1"/>
    </row>
    <row r="108" spans="1:13" x14ac:dyDescent="0.25">
      <c r="A108" s="1">
        <v>30</v>
      </c>
      <c r="B108" s="3">
        <v>46265</v>
      </c>
      <c r="C108" s="3" t="s">
        <v>13</v>
      </c>
      <c r="D108" s="1">
        <v>22</v>
      </c>
      <c r="E108" s="1"/>
      <c r="F108" s="1">
        <v>5.0999999999999996</v>
      </c>
      <c r="G108" s="1"/>
      <c r="H108" s="1">
        <v>3.7</v>
      </c>
      <c r="I108" s="1"/>
      <c r="J108" s="1">
        <v>5</v>
      </c>
      <c r="K108" s="1"/>
      <c r="L108" s="1">
        <v>2.7</v>
      </c>
      <c r="M108" s="1"/>
    </row>
  </sheetData>
  <mergeCells count="27">
    <mergeCell ref="A74:M74"/>
    <mergeCell ref="A76:A77"/>
    <mergeCell ref="B76:B77"/>
    <mergeCell ref="D76:E76"/>
    <mergeCell ref="F76:G76"/>
    <mergeCell ref="H76:I76"/>
    <mergeCell ref="J76:K76"/>
    <mergeCell ref="L76:M76"/>
    <mergeCell ref="C76:C77"/>
    <mergeCell ref="A38:M38"/>
    <mergeCell ref="A40:A41"/>
    <mergeCell ref="B40:B41"/>
    <mergeCell ref="D40:E40"/>
    <mergeCell ref="F40:G40"/>
    <mergeCell ref="H40:I40"/>
    <mergeCell ref="J40:K40"/>
    <mergeCell ref="L40:M40"/>
    <mergeCell ref="C40:C41"/>
    <mergeCell ref="A3:A4"/>
    <mergeCell ref="A1:M1"/>
    <mergeCell ref="D3:E3"/>
    <mergeCell ref="F3:G3"/>
    <mergeCell ref="H3:I3"/>
    <mergeCell ref="J3:K3"/>
    <mergeCell ref="L3:M3"/>
    <mergeCell ref="B3:B4"/>
    <mergeCell ref="C3:C4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2026-08-14T06:39:10Z</dcterms:modified>
</cp:coreProperties>
</file>