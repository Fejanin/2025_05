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статки филиалы 05,08,26\Останкино\"/>
    </mc:Choice>
  </mc:AlternateContent>
  <xr:revisionPtr revIDLastSave="0" documentId="13_ncr:1_{73BBC8F6-C70A-478D-A931-5EB1A40D959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</externalReferenc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11" i="1" l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3" i="1"/>
  <c r="F94" i="1"/>
  <c r="F95" i="1"/>
  <c r="F96" i="1"/>
  <c r="F10" i="1"/>
</calcChain>
</file>

<file path=xl/sharedStrings.xml><?xml version="1.0" encoding="utf-8"?>
<sst xmlns="http://schemas.openxmlformats.org/spreadsheetml/2006/main" count="188" uniqueCount="102">
  <si>
    <t>Ведомость по товарам на складах</t>
  </si>
  <si>
    <t>Параметры:</t>
  </si>
  <si>
    <t>Период: 05.08.2026 - 05.08.2026</t>
  </si>
  <si>
    <t>Количество товаров: В единицах хранения</t>
  </si>
  <si>
    <t>Отбор:</t>
  </si>
  <si>
    <t>Склад В группе из списка "АСП Луганск Останкино"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(ШТ)"</t>
  </si>
  <si>
    <t>Номенклатура</t>
  </si>
  <si>
    <t>Ед. изм.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</si>
  <si>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</si>
  <si>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</si>
  <si>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</si>
  <si>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</si>
  <si>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</si>
  <si>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</si>
  <si>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</si>
  <si>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</si>
  <si>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</si>
  <si>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</si>
  <si>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</si>
  <si>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</si>
  <si>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</si>
  <si>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</si>
  <si>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</si>
  <si>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</si>
  <si>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</si>
  <si>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</si>
  <si>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</si>
  <si>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</si>
  <si>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</si>
  <si>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</si>
  <si>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</si>
  <si>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</si>
  <si>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</si>
  <si>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</si>
  <si>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</si>
  <si>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</si>
  <si>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</si>
  <si>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</si>
  <si>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</si>
  <si>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</si>
  <si>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</si>
  <si>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</si>
  <si>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</si>
  <si>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</si>
  <si>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</si>
  <si>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</si>
  <si>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</si>
  <si>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</si>
  <si>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</si>
  <si>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</si>
  <si>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</si>
  <si>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</si>
  <si>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</si>
  <si>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</si>
  <si>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</si>
  <si>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</si>
  <si>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</si>
  <si>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</si>
  <si>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</si>
  <si>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</si>
  <si>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</si>
  <si>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</si>
  <si>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</si>
  <si>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</si>
  <si>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</si>
  <si>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</si>
  <si>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</si>
  <si>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</si>
  <si>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</si>
  <si>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</si>
  <si>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</si>
  <si>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</si>
  <si>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</si>
  <si>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</si>
  <si>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</si>
  <si>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</si>
  <si>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</si>
  <si>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</si>
  <si>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</si>
  <si>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</si>
  <si>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</si>
  <si>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</si>
  <si>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</si>
  <si>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</si>
  <si>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</si>
  <si>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</si>
  <si>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</si>
  <si>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</si>
  <si>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</si>
  <si>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</si>
  <si>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</si>
  <si>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</si>
  <si>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</si>
  <si>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</si>
  <si>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</si>
  <si>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</si>
  <si>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</si>
  <si>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Итого</t>
  </si>
  <si>
    <t>ВЕС</t>
  </si>
  <si>
    <t>Конечный остаток вес</t>
  </si>
  <si>
    <t>средние продажи в день</t>
  </si>
  <si>
    <t>запас в днях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</si>
</sst>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7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1" fontId="2" fillId="2" borderId="6" xfId="0" applyNumberFormat="1" applyFont="1" applyFill="1" applyBorder="1" applyAlignment="1">
      <alignment horizontal="left" vertical="top" wrapText="1"/>
    </xf>
    <xf numFmtId="1" fontId="0" fillId="0" borderId="0" xfId="0" applyNumberFormat="1"/>
    <xf numFmtId="1" fontId="3" fillId="2" borderId="6" xfId="0" applyNumberFormat="1" applyFont="1" applyFill="1" applyBorder="1" applyAlignment="1">
      <alignment horizontal="left" vertical="top" wrapText="1"/>
    </xf>
    <xf numFmtId="1" fontId="0" fillId="0" borderId="0" xfId="0" applyNumberFormat="1" applyAlignment="1">
      <alignment horizontal="left"/>
    </xf>
    <xf numFmtId="0" fontId="2" fillId="2" borderId="6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1;&#1091;&#1075;&#1072;&#1085;&#1089;&#1082;/&#1087;&#1088;&#1086;&#1076;&#1072;&#1078;&#1080;%20&#1051;&#1091;&#1075;&#1072;&#1085;&#1089;&#1082;%2005,07,26-04,08,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05.07.2026 - 04.08.2026</v>
          </cell>
        </row>
        <row r="3">
          <cell r="A3" t="str">
            <v>Отбор:</v>
          </cell>
          <cell r="C3" t="str">
            <v>Склад / комиссионер  / подразделение В группе из списка "АСП Луганск Останкино" И
Партнер Не в списке "ООО ЛП г. Симферополь, ул..." И
Номенклатура В группе из списка "Останкино ООО" И
Это тара Равно "Нет"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Вес</v>
          </cell>
          <cell r="F6" t="str">
            <v>Количество</v>
          </cell>
        </row>
        <row r="7">
          <cell r="A7" t="str">
            <v>3215 ВЕТЧ.МЯСНАЯ Папа может п/о 0.4кг 8шт.    ОСТАНКИНО</v>
          </cell>
          <cell r="D7">
            <v>246.8</v>
          </cell>
          <cell r="F7">
            <v>617</v>
          </cell>
        </row>
        <row r="8">
          <cell r="A8" t="str">
            <v>3287 САЛЯМИ ИТАЛЬЯНСКАЯ с/к в/у ОСТАНКИНО</v>
          </cell>
          <cell r="D8">
            <v>46.405000000000001</v>
          </cell>
          <cell r="F8">
            <v>46.405000000000001</v>
          </cell>
        </row>
        <row r="9">
          <cell r="A9" t="str">
            <v>3986 Ароматная с/к в/у 1/250 ОСТАНКИНО</v>
          </cell>
          <cell r="D9">
            <v>54.5</v>
          </cell>
          <cell r="F9">
            <v>218</v>
          </cell>
        </row>
        <row r="10">
          <cell r="A10" t="str">
            <v>4063 МЯСНАЯ Папа может вар п/о_Л   ОСТАНКИНО</v>
          </cell>
          <cell r="D10">
            <v>2780.8829999999998</v>
          </cell>
          <cell r="F10">
            <v>2780.8829999999998</v>
          </cell>
        </row>
        <row r="11">
          <cell r="A11" t="str">
            <v>4117 ЭКСТРА Папа может с/к в/у_Л   ОСТАНКИНО</v>
          </cell>
          <cell r="D11">
            <v>91.596000000000004</v>
          </cell>
          <cell r="F11">
            <v>91.596000000000004</v>
          </cell>
        </row>
        <row r="12">
          <cell r="A12" t="str">
            <v>4574 Мясная со шпиком Папа может вар п/о ОСТАНКИНО</v>
          </cell>
          <cell r="D12">
            <v>754.61900000000003</v>
          </cell>
          <cell r="F12">
            <v>754.61900000000003</v>
          </cell>
        </row>
        <row r="13">
          <cell r="A13" t="str">
            <v>4813 ФИЛЕЙНАЯ Папа может вар п/о_Л   ОСТАНКИНО</v>
          </cell>
          <cell r="D13">
            <v>1128.6120000000001</v>
          </cell>
          <cell r="F13">
            <v>1128.6120000000001</v>
          </cell>
        </row>
        <row r="14">
          <cell r="A14" t="str">
            <v>4993 САЛЯМИ ИТАЛЬЯНСКАЯ с/к в/у 1/250*8_120c ОСТАНКИНО</v>
          </cell>
          <cell r="D14">
            <v>67</v>
          </cell>
          <cell r="F14">
            <v>268</v>
          </cell>
        </row>
        <row r="15">
          <cell r="A15" t="str">
            <v>5452 ВЕТЧ.МЯСНАЯ Папа может п/о    ОСТАНКИНО</v>
          </cell>
          <cell r="D15">
            <v>173.22200000000001</v>
          </cell>
          <cell r="F15">
            <v>173.22200000000001</v>
          </cell>
        </row>
        <row r="16">
          <cell r="A16" t="str">
            <v>5483 ЭКСТРА Папа может с/к в/у 1/250 8шт.   ОСТАНКИНО</v>
          </cell>
          <cell r="D16">
            <v>129.75</v>
          </cell>
          <cell r="F16">
            <v>519</v>
          </cell>
        </row>
        <row r="17">
          <cell r="A17" t="str">
            <v>5495 ВЕТЧ.С ИНДЕЙКОЙ Папа может п/о 400*6  Останкино</v>
          </cell>
          <cell r="D17">
            <v>213.6</v>
          </cell>
          <cell r="F17">
            <v>534</v>
          </cell>
        </row>
        <row r="18">
          <cell r="A18" t="str">
            <v>5544 Сервелат Финский в/к в/у_45с НОВАЯ ОСТАНКИНО</v>
          </cell>
          <cell r="D18">
            <v>988.6</v>
          </cell>
          <cell r="F18">
            <v>988.6</v>
          </cell>
        </row>
        <row r="19">
          <cell r="A19" t="str">
            <v>5579 БЛИНЧ.КРУГЛЫЕ С САД.ЯБЛОК.пл.1/420 зам. ОСТАНКИНО</v>
          </cell>
          <cell r="D19">
            <v>13.44</v>
          </cell>
          <cell r="F19">
            <v>32</v>
          </cell>
        </row>
        <row r="20">
          <cell r="A20" t="str">
            <v>5708 ПОСОЛЬСКАЯ Папа может с/к в/у ОСТАНКИНО</v>
          </cell>
          <cell r="D20">
            <v>94.700999999999993</v>
          </cell>
          <cell r="F20">
            <v>94.700999999999993</v>
          </cell>
        </row>
        <row r="21">
          <cell r="A21" t="str">
            <v>5754 БЛИНЧ.КРУГЛЫЕ С МЯСОМ 4,5кг зам. ПМ ОСТАНКИНО</v>
          </cell>
          <cell r="D21">
            <v>94.5</v>
          </cell>
          <cell r="F21">
            <v>94.5</v>
          </cell>
        </row>
        <row r="22">
          <cell r="A22" t="str">
            <v>5755 БЛИНЧ.КРУГЛЫЕ С ТВОРОГОМ 4,5кг зам. ПМ ОСТАНКИНО</v>
          </cell>
          <cell r="D22">
            <v>54</v>
          </cell>
          <cell r="F22">
            <v>54</v>
          </cell>
        </row>
        <row r="23">
          <cell r="A23" t="str">
            <v>5819 Сосиски Папа может 400г Мясные  ОСТАНКИНО</v>
          </cell>
          <cell r="D23">
            <v>95.6</v>
          </cell>
          <cell r="F23">
            <v>239</v>
          </cell>
        </row>
        <row r="24">
          <cell r="A24" t="str">
            <v>5851 ЭКСТРА Папа может вар п/о   ОСТАНКИНО</v>
          </cell>
          <cell r="D24">
            <v>890.8</v>
          </cell>
          <cell r="F24">
            <v>890.8</v>
          </cell>
        </row>
        <row r="25">
          <cell r="A25" t="str">
            <v>5897 БЛИНЧ.КРУГЛЫЕ С ГРУШЕЙ пл.1/420 зам.   ОСТАНКИНО</v>
          </cell>
          <cell r="D25">
            <v>48.3</v>
          </cell>
          <cell r="F25">
            <v>115</v>
          </cell>
        </row>
        <row r="26">
          <cell r="A26" t="str">
            <v>5931 ОХОТНИЧЬЯ Папа может с/к в/у 1/220 8шт.   ОСТАНКИНО</v>
          </cell>
          <cell r="D26">
            <v>429</v>
          </cell>
          <cell r="F26">
            <v>1950</v>
          </cell>
        </row>
        <row r="27">
          <cell r="A27" t="str">
            <v>6008 САЛО СОЛЕНОЕ С ЧЕРНЫМ ПЕРЦЕМ мл/к в/у ОСТАНКИНО</v>
          </cell>
          <cell r="D27">
            <v>93.68</v>
          </cell>
          <cell r="F27">
            <v>93.68</v>
          </cell>
        </row>
        <row r="28">
          <cell r="A28" t="str">
            <v>6148 БЛИНЧ.КРУГЛЫЕ С ВЕТЧ.И СЫР. ПМ 1/300 зам. ОСТАНКИНО</v>
          </cell>
          <cell r="D28">
            <v>131.4</v>
          </cell>
          <cell r="F28">
            <v>438</v>
          </cell>
        </row>
        <row r="29">
          <cell r="A29" t="str">
            <v>6149 БЛИНЧ.КРУГЛЫЕ С ПЕЧЕНЬЮ ПМ 1/300 зам. ОСТАНКИНО</v>
          </cell>
          <cell r="D29">
            <v>139.19999999999999</v>
          </cell>
          <cell r="F29">
            <v>464</v>
          </cell>
        </row>
        <row r="30">
          <cell r="A30" t="str">
            <v>6168 Блинчики с мясом пл. 1/350 зам. ОСТАНКИНО</v>
          </cell>
          <cell r="D30">
            <v>99.75</v>
          </cell>
          <cell r="F30">
            <v>285</v>
          </cell>
        </row>
        <row r="31">
          <cell r="A31" t="str">
            <v>6202 БЛИНЧ.КРУГЛЫЕ С ТВОРОГОМ ПМ 1/300 зам. ОСТАНКИНО</v>
          </cell>
          <cell r="D31">
            <v>83.4</v>
          </cell>
          <cell r="F31">
            <v>278</v>
          </cell>
        </row>
        <row r="32">
          <cell r="A32" t="str">
            <v>6208 ДЫМОВИЦА ИЗ ЛОПАТКИ ПМ к/в с/н в/у 1/150  Останкино</v>
          </cell>
          <cell r="D32">
            <v>7.8</v>
          </cell>
          <cell r="F32">
            <v>52</v>
          </cell>
        </row>
        <row r="33">
          <cell r="A33" t="str">
            <v>6209 Блинчики с куриным мясом пл. 1/350 зам. ОСТАНКИНО</v>
          </cell>
          <cell r="D33">
            <v>90.3</v>
          </cell>
          <cell r="F33">
            <v>258</v>
          </cell>
        </row>
        <row r="34">
          <cell r="A34" t="str">
            <v>6220 ГОВЯЖЬЯ папа может вар п/о  Останкино</v>
          </cell>
          <cell r="D34">
            <v>543.68600000000004</v>
          </cell>
          <cell r="F34">
            <v>543.68600000000004</v>
          </cell>
        </row>
        <row r="35">
          <cell r="A35" t="str">
            <v>6221 НЕОПОЛИТАНСКИЙ ДУЭТ с/к с/н мгс 1/90  Останкино</v>
          </cell>
          <cell r="D35">
            <v>104.76</v>
          </cell>
          <cell r="F35">
            <v>1164</v>
          </cell>
        </row>
        <row r="36">
          <cell r="A36" t="str">
            <v>6228 МЯСНОЕ АССОРТИ к/з с/н мгс 1/90 10шт  Останкино</v>
          </cell>
          <cell r="D36">
            <v>52.02</v>
          </cell>
          <cell r="F36">
            <v>578</v>
          </cell>
        </row>
        <row r="37">
          <cell r="A37" t="str">
            <v>6279 КОРЕЙКА ПО-ОСТ.к/в в/с с/н в/у 1/150_45с  Останкино</v>
          </cell>
          <cell r="D37">
            <v>86.4</v>
          </cell>
          <cell r="F37">
            <v>576</v>
          </cell>
        </row>
        <row r="38">
          <cell r="A38" t="str">
            <v>6303 Мясные Папа может сос п/о мгс 1,5*3  Останкино</v>
          </cell>
          <cell r="D38">
            <v>1325.7090000000001</v>
          </cell>
          <cell r="F38">
            <v>1325.7090000000001</v>
          </cell>
        </row>
        <row r="39">
          <cell r="A39" t="str">
            <v>6324 ДОКТОРСКАЯ ГОСТ вар п/о 0,4кг 8шт  Останкино</v>
          </cell>
          <cell r="D39">
            <v>-1.2</v>
          </cell>
          <cell r="F39">
            <v>-3</v>
          </cell>
        </row>
        <row r="40">
          <cell r="A40" t="str">
            <v>6325 ДОКТОРСКАЯ ПРЕМИУМ вар п/о 0.4кг 8шт.  ОСТАНКИНО</v>
          </cell>
          <cell r="D40">
            <v>381.2</v>
          </cell>
          <cell r="F40">
            <v>953</v>
          </cell>
        </row>
        <row r="41">
          <cell r="A41" t="str">
            <v>6333 МЯСНАЯ Папа может вар п/о 0.4кг 8шт.  ОСТАНКИНО</v>
          </cell>
          <cell r="D41">
            <v>353.2</v>
          </cell>
          <cell r="F41">
            <v>883</v>
          </cell>
        </row>
        <row r="42">
          <cell r="A42" t="str">
            <v>6353 ЭКСТРА Папа может вар п/о 0.4кг 8шт.  ОСТАНКИНО</v>
          </cell>
          <cell r="D42">
            <v>118.4</v>
          </cell>
          <cell r="F42">
            <v>296</v>
          </cell>
        </row>
        <row r="43">
          <cell r="A43" t="str">
            <v>6392 ФИЛЕЙНАЯ Папа может вар п/о 0,4кг  ОСТАНКИНО</v>
          </cell>
          <cell r="D43">
            <v>332</v>
          </cell>
          <cell r="F43">
            <v>830</v>
          </cell>
        </row>
        <row r="44">
          <cell r="A44" t="str">
            <v>6453 ЭКСТРА Папа может с/к с/н в/у 1/100 14шт.   ОСТАНКИНО</v>
          </cell>
          <cell r="D44">
            <v>44.3</v>
          </cell>
          <cell r="F44">
            <v>443</v>
          </cell>
        </row>
        <row r="45">
          <cell r="A45" t="str">
            <v>6454 АРОМАТНАЯ с/к с/н в/у 1/100 10шт.  ОСТАНКИНО</v>
          </cell>
          <cell r="D45">
            <v>97.3</v>
          </cell>
          <cell r="F45">
            <v>973</v>
          </cell>
        </row>
        <row r="46">
          <cell r="A46" t="str">
            <v>6459 СЕРВЕЛАТ ШВЕЙЦАРСК. в/к с/н в/у 1/100*10  Останкино</v>
          </cell>
          <cell r="D46">
            <v>7.1</v>
          </cell>
          <cell r="F46">
            <v>71</v>
          </cell>
        </row>
        <row r="47">
          <cell r="A47" t="str">
            <v>6475 Сосиски Папа может 400г С сыром  ОСТАНКИНО</v>
          </cell>
          <cell r="D47">
            <v>146.80000000000001</v>
          </cell>
          <cell r="F47">
            <v>367</v>
          </cell>
        </row>
        <row r="48">
          <cell r="A48" t="str">
            <v>6495 ВЕТЧ.МРАМОРНАЯ в/у срез 0,3кг 6шт_45с  Останкино</v>
          </cell>
          <cell r="D48">
            <v>161.4</v>
          </cell>
          <cell r="F48">
            <v>538</v>
          </cell>
        </row>
        <row r="49">
          <cell r="A49" t="str">
            <v>6498 МОЛОЧНАЯ Папа может вар п/о  ОСТАНКИНО</v>
          </cell>
          <cell r="D49">
            <v>386.65</v>
          </cell>
          <cell r="F49">
            <v>386.65</v>
          </cell>
        </row>
        <row r="50">
          <cell r="A50" t="str">
            <v>6527 ШПИКАЧКИ СОЧНЫЕ ПМ сар б/о мгс 1*3 45с ОСТАНКИНО</v>
          </cell>
          <cell r="D50">
            <v>262.072</v>
          </cell>
          <cell r="F50">
            <v>262.072</v>
          </cell>
        </row>
        <row r="51">
          <cell r="A51" t="str">
            <v>6550 МЯСНЫЕ Папа может сар б/о мгс 1*3 О 45с  Останкино</v>
          </cell>
          <cell r="D51">
            <v>418.52699999999999</v>
          </cell>
          <cell r="F51">
            <v>418.52699999999999</v>
          </cell>
        </row>
        <row r="52">
          <cell r="A52" t="str">
            <v>6602 БАВАРСКИЕ ПМ сос ц/о мгс 0,35кг 8шт  Останкино</v>
          </cell>
          <cell r="D52">
            <v>35.35</v>
          </cell>
          <cell r="F52">
            <v>101</v>
          </cell>
        </row>
        <row r="53">
          <cell r="A53" t="str">
            <v>6608 С ГОВЯДИНОЙ ОРИГИН. сар б/о мгс 1*3_45с  ОСТАНКИНО</v>
          </cell>
          <cell r="D53">
            <v>818.58199999999999</v>
          </cell>
          <cell r="F53">
            <v>818.58199999999999</v>
          </cell>
        </row>
        <row r="54">
          <cell r="A54" t="str">
            <v>6616 МОЛОЧНЫЕ КЛАССИЧЕСКИЕ сос п/о в/у 0,3 кг  Останкино</v>
          </cell>
          <cell r="D54">
            <v>296.7</v>
          </cell>
          <cell r="F54">
            <v>989</v>
          </cell>
        </row>
        <row r="55">
          <cell r="A55" t="str">
            <v>6620 РЕБРЫШКИ к/в в/у_30с  Останкино</v>
          </cell>
          <cell r="D55">
            <v>381.03800000000001</v>
          </cell>
          <cell r="F55">
            <v>381.03800000000001</v>
          </cell>
        </row>
        <row r="56">
          <cell r="A56" t="str">
            <v>6661 СОЧНЫЙ ГРИЛЬ ПМ сос п/о мгс 1,5*4_Маяк Останкино</v>
          </cell>
          <cell r="D56">
            <v>952.27499999999998</v>
          </cell>
          <cell r="F56">
            <v>952.27499999999998</v>
          </cell>
        </row>
        <row r="57">
          <cell r="A57" t="str">
            <v>6697 СЕРВЕЛАТ ФИНСКИЙ ПМ в/к в/у 0,35кг 8шт  ОСТАНКИНО</v>
          </cell>
          <cell r="D57">
            <v>469</v>
          </cell>
          <cell r="F57">
            <v>1340</v>
          </cell>
        </row>
        <row r="58">
          <cell r="A58" t="str">
            <v>6713 СОЧНЫЙ ГРИЛЬ ПМ сос п/о мгс 0,41кг 8 шт.  ОСТАНКИНО</v>
          </cell>
          <cell r="D58">
            <v>496.92</v>
          </cell>
          <cell r="F58">
            <v>1212</v>
          </cell>
        </row>
        <row r="59">
          <cell r="A59" t="str">
            <v>6724 МОЛОЧНЫЕ ПМ сос п/о мгс 0,41кг 10шт  Останкино</v>
          </cell>
          <cell r="D59">
            <v>318.16000000000003</v>
          </cell>
          <cell r="F59">
            <v>776</v>
          </cell>
        </row>
        <row r="60">
          <cell r="A60" t="str">
            <v>6765 РУБЛЕНЫЕ сос ц/о мгс 0,36кг 6шт  Останкино</v>
          </cell>
          <cell r="D60">
            <v>330.48</v>
          </cell>
          <cell r="F60">
            <v>918</v>
          </cell>
        </row>
        <row r="61">
          <cell r="A61" t="str">
            <v>6787 СЕРВЕЛАТ КРЕМЛЕВСКИЙ в/к в/у 0,33кг 8шт  Останкино</v>
          </cell>
          <cell r="D61">
            <v>86.46</v>
          </cell>
          <cell r="F61">
            <v>262</v>
          </cell>
        </row>
        <row r="62">
          <cell r="A62" t="str">
            <v>6793 БАЛЫКОВАЯ в/к в/у 0,33кг 8шт  Останкино</v>
          </cell>
          <cell r="D62">
            <v>-1.32</v>
          </cell>
          <cell r="F62">
            <v>-4</v>
          </cell>
        </row>
        <row r="63">
          <cell r="A63" t="str">
            <v>6797 С ИНДЕЙКОЙ Папа может вар п/о 0,4кг 8шт. ОСТАНКИНО</v>
          </cell>
          <cell r="D63">
            <v>140.80000000000001</v>
          </cell>
          <cell r="F63">
            <v>352</v>
          </cell>
        </row>
        <row r="64">
          <cell r="A64" t="str">
            <v>6807 СЕРВЕЛАТ ЕВРОПЕЙСКИЙ в/к в/у 0,33кг 8шт  Останкино</v>
          </cell>
          <cell r="D64">
            <v>34.32</v>
          </cell>
          <cell r="F64">
            <v>104</v>
          </cell>
        </row>
        <row r="65">
          <cell r="A65" t="str">
            <v>6819 БЛИНЧ.КРУГЛЫЕ С САД.ЯБЛОК. пл. 1/300 зам. ОСТАНКИНО</v>
          </cell>
          <cell r="D65">
            <v>42.3</v>
          </cell>
          <cell r="F65">
            <v>141</v>
          </cell>
        </row>
        <row r="66">
          <cell r="A66" t="str">
            <v>6829  МОЛОЧНЫЕ КЛАССИЧЕСКИЕ сос п/о мгс 2*4 С  Останккино</v>
          </cell>
          <cell r="D66">
            <v>1074.7190000000001</v>
          </cell>
          <cell r="F66">
            <v>1074.7190000000001</v>
          </cell>
        </row>
        <row r="67">
          <cell r="A67" t="str">
            <v>6834 ПОСОЛЬСКАЯ с/к с/н в/у 1/100 10шт  Останкино</v>
          </cell>
          <cell r="D67">
            <v>5</v>
          </cell>
          <cell r="F67">
            <v>50</v>
          </cell>
        </row>
        <row r="68">
          <cell r="A68" t="str">
            <v>6837 ФИЛЕЙНЫЕ Папа Может сос ц/о мгс 0,4кг  Останкино</v>
          </cell>
          <cell r="D68">
            <v>195.6</v>
          </cell>
          <cell r="F68">
            <v>489</v>
          </cell>
        </row>
        <row r="69">
          <cell r="A69" t="str">
            <v>6861 ДОМАШНИЙ РЕЦЕПТ Коровино вар п/о  Останкино</v>
          </cell>
          <cell r="D69">
            <v>44.25</v>
          </cell>
          <cell r="F69">
            <v>44.25</v>
          </cell>
        </row>
        <row r="70">
          <cell r="A70" t="str">
            <v>6866 ВЕТЧ.НЕЖНАЯ Коровино п/о_Маяк  Останкино</v>
          </cell>
          <cell r="D70">
            <v>62.92</v>
          </cell>
          <cell r="F70">
            <v>62.92</v>
          </cell>
        </row>
        <row r="71">
          <cell r="A71" t="str">
            <v>6946 СЕРВЕЛАТ КРЕМЛЕВСКИЙ в/к в/у ВЕС  0,84кг ОСТАНКИНО</v>
          </cell>
          <cell r="D71">
            <v>145.68899999999999</v>
          </cell>
          <cell r="F71">
            <v>145.68899999999999</v>
          </cell>
        </row>
        <row r="72">
          <cell r="A72" t="str">
            <v>6967 БУРГУНДИЯ Папа может с/к в/у 1/250 8шт  Останкино</v>
          </cell>
          <cell r="D72">
            <v>32</v>
          </cell>
          <cell r="F72">
            <v>128</v>
          </cell>
        </row>
        <row r="73">
          <cell r="A73" t="str">
            <v>7001 КЛАССИЧЕСКИЕ Папа может сар б/о мгс 1*3  Останкино</v>
          </cell>
          <cell r="D73">
            <v>200.702</v>
          </cell>
          <cell r="F73">
            <v>200.702</v>
          </cell>
        </row>
        <row r="74">
          <cell r="A74" t="str">
            <v>7040 С ИНДЕЙКОЙ ПМ сос ц/о в/у 1/270 8шт.  ОСТАНКИНО</v>
          </cell>
          <cell r="D74">
            <v>25.92</v>
          </cell>
          <cell r="F74">
            <v>96</v>
          </cell>
        </row>
        <row r="75">
          <cell r="A75" t="str">
            <v>7059 ШПИКАЧКИ СОЧНЫЕ С БЕК. п/о мгс 0,3кг 60с ОСТАНКИНО</v>
          </cell>
          <cell r="D75">
            <v>224.1</v>
          </cell>
          <cell r="F75">
            <v>747</v>
          </cell>
        </row>
        <row r="76">
          <cell r="A76" t="str">
            <v>7066 СОЧНЫЕ ПМ сос п/о мгс 0,41кг 10шт 50с  Останкино</v>
          </cell>
          <cell r="D76">
            <v>789.66</v>
          </cell>
          <cell r="F76">
            <v>1926</v>
          </cell>
        </row>
        <row r="77">
          <cell r="A77" t="str">
            <v>7070 СОЧНЫЕ ПМ сос п/о 1,5*4_А_50с  Останкино</v>
          </cell>
          <cell r="D77">
            <v>2192.2220000000002</v>
          </cell>
          <cell r="F77">
            <v>2192.2220000000002</v>
          </cell>
        </row>
        <row r="78">
          <cell r="A78" t="str">
            <v>7073 МОЛОЧ.ПРЕМИУМ ПМ сос п/о в/у 1/350_50с  Останкино</v>
          </cell>
          <cell r="D78">
            <v>50.75</v>
          </cell>
          <cell r="F78">
            <v>145</v>
          </cell>
        </row>
        <row r="79">
          <cell r="A79" t="str">
            <v>7075 МОЛОЧ.ПРЕМИУМ ПМ сос п/о мгс 1,5*4_О_50с  Останкино</v>
          </cell>
          <cell r="D79">
            <v>205.881</v>
          </cell>
          <cell r="F79">
            <v>205.881</v>
          </cell>
        </row>
        <row r="80">
          <cell r="A80" t="str">
            <v>7080 СЛИВОЧНЫЕ ПМ сос п/о мгс 0,41кг 10шт 50с  Останкино</v>
          </cell>
          <cell r="D80">
            <v>408.77</v>
          </cell>
          <cell r="F80">
            <v>997</v>
          </cell>
        </row>
        <row r="81">
          <cell r="A81" t="str">
            <v>7083 СЛИВОЧНЫЕ ПМ сос п/о мгс 1.5*4_А_50с  ОСТАНКИНО</v>
          </cell>
          <cell r="D81">
            <v>613.60400000000004</v>
          </cell>
          <cell r="F81">
            <v>613.60400000000004</v>
          </cell>
        </row>
        <row r="82">
          <cell r="A82" t="str">
            <v>7090 СВИНИНА ПО-ДОМ.к/в мл/к в/у 0,3кг_50с  Останкино</v>
          </cell>
          <cell r="D82">
            <v>86.4</v>
          </cell>
          <cell r="F82">
            <v>288</v>
          </cell>
        </row>
        <row r="83">
          <cell r="A83" t="str">
            <v>7103 БЕКОН Останкино с/к с/н в/у 1/180_50с  Останкино</v>
          </cell>
          <cell r="D83">
            <v>219.96</v>
          </cell>
          <cell r="F83">
            <v>1222</v>
          </cell>
        </row>
        <row r="84">
          <cell r="A84" t="str">
            <v>7149 БАЛЫКОВАЯ Коровино п/к в/у 0,84кг_50с  Останкино</v>
          </cell>
          <cell r="D84">
            <v>151.19999999999999</v>
          </cell>
          <cell r="F84">
            <v>180</v>
          </cell>
        </row>
        <row r="85">
          <cell r="A85" t="str">
            <v>7154 СЕРВЕЛАТ ЗЕРНИСТЫЙ ПМ в/к в/у 0,35кг_50с  Останкино</v>
          </cell>
          <cell r="D85">
            <v>683.9</v>
          </cell>
          <cell r="F85">
            <v>1954</v>
          </cell>
        </row>
        <row r="86">
          <cell r="A86" t="str">
            <v>7157 СЕРВЕЛАТ ЗЕРНИСТЫЙ ПМ в/к в/у_50с  Останкино</v>
          </cell>
          <cell r="D86">
            <v>792.43200000000002</v>
          </cell>
          <cell r="F86">
            <v>792.43200000000002</v>
          </cell>
        </row>
        <row r="87">
          <cell r="A87" t="str">
            <v>7166 СЕРВЕЛАТ ОХОТНИЧИЙ ПМ в/к в/у_50с  Останкино</v>
          </cell>
          <cell r="D87">
            <v>892.43600000000004</v>
          </cell>
          <cell r="F87">
            <v>892.43600000000004</v>
          </cell>
        </row>
        <row r="88">
          <cell r="A88" t="str">
            <v>7169 СЕРВЕЛАТ ОХОТНИЧИЙ ПМ в/к в/у 0,35кг_50с  Останкино</v>
          </cell>
          <cell r="D88">
            <v>337.05</v>
          </cell>
          <cell r="F88">
            <v>963</v>
          </cell>
        </row>
        <row r="89">
          <cell r="A89" t="str">
            <v>7187 ГРУДИНКА ПРЕМИУМ к/в мл/к в/у 0,3кг_50с  Останкино</v>
          </cell>
          <cell r="D89">
            <v>84</v>
          </cell>
          <cell r="F89">
            <v>280</v>
          </cell>
        </row>
        <row r="90">
          <cell r="A90" t="str">
            <v>7216 СОЧНЫЕ СО СЛ.МАСЛ.ПМ пельм пл.0.7кг зам. ОСТАНКИНО</v>
          </cell>
          <cell r="D90">
            <v>90.3</v>
          </cell>
          <cell r="F90">
            <v>129</v>
          </cell>
        </row>
        <row r="91">
          <cell r="A91" t="str">
            <v>7231 КЛАССИЧЕСКАЯ ПМ вар п/о 0,3кг 8 шт_209к  Останкино</v>
          </cell>
          <cell r="D91">
            <v>107.7</v>
          </cell>
          <cell r="F91">
            <v>359</v>
          </cell>
        </row>
        <row r="92">
          <cell r="A92" t="str">
            <v>7232 БОЯNСКАЯ ПМ п/к в/у 0,28кг 8шт_209к  Останкино</v>
          </cell>
          <cell r="D92">
            <v>191.8</v>
          </cell>
          <cell r="F92">
            <v>685</v>
          </cell>
        </row>
        <row r="93">
          <cell r="A93" t="str">
            <v>7236 СЕРВЕЛАТ КАРЕЛЬСКИЙ в/к в/у 0,28кг_209к  Останкино</v>
          </cell>
          <cell r="D93">
            <v>219.52</v>
          </cell>
          <cell r="F93">
            <v>784</v>
          </cell>
        </row>
        <row r="94">
          <cell r="A94" t="str">
            <v>7237 СЕРВЕЛАТ ШВАРЦЕР ПМ в/к в/у 0,28кг_209к  Останкино</v>
          </cell>
          <cell r="D94">
            <v>56.84</v>
          </cell>
          <cell r="F94">
            <v>203</v>
          </cell>
        </row>
        <row r="95">
          <cell r="A95" t="str">
            <v>7241 САЛЯМИ Папа может п/к в/у 0,28кг ОСТАНКИНО</v>
          </cell>
          <cell r="D95">
            <v>507.36</v>
          </cell>
          <cell r="F95">
            <v>1812</v>
          </cell>
        </row>
        <row r="96">
          <cell r="A96" t="str">
            <v>7255 МЯСНЫЕ С ГОВЯД.ПМ сос п/о мгс 0.4кг 6шт.  ОСТАНКИНО</v>
          </cell>
          <cell r="D96">
            <v>266</v>
          </cell>
          <cell r="F96">
            <v>665</v>
          </cell>
        </row>
        <row r="97">
          <cell r="A97" t="str">
            <v>7271 МЯСНЫЕ С ГОВЯДИНОЙ ПМ сос п/о мгс 1.5*4  ОСТАНКИНО</v>
          </cell>
          <cell r="D97">
            <v>100.94499999999999</v>
          </cell>
          <cell r="F97">
            <v>100.94499999999999</v>
          </cell>
        </row>
        <row r="98">
          <cell r="A98" t="str">
            <v>7276 СЛИВОЧНЫЕ ПМ сос п/о мгс 0,3кг 7шт  Останкино</v>
          </cell>
          <cell r="D98">
            <v>36.6</v>
          </cell>
          <cell r="F98">
            <v>122</v>
          </cell>
        </row>
        <row r="99">
          <cell r="A99" t="str">
            <v>7284 ДЛЯ ДЕТЕЙ сос п/о мгс 0,33кг 6шт  Останкино</v>
          </cell>
          <cell r="D99">
            <v>36.630000000000003</v>
          </cell>
          <cell r="F99">
            <v>111</v>
          </cell>
        </row>
        <row r="100">
          <cell r="A100" t="str">
            <v>7288 БАЛЫК с/к с/н в/у 1/100 10шт ОСТАНКИНО</v>
          </cell>
          <cell r="D100">
            <v>11.9</v>
          </cell>
          <cell r="F100">
            <v>119</v>
          </cell>
        </row>
        <row r="101">
          <cell r="A101" t="str">
            <v>7299 НАБОР ДЛЯ ПИЦЦЫ Папа Может с/к в/у  ОСТАНКИНО</v>
          </cell>
          <cell r="D101">
            <v>155.97800000000001</v>
          </cell>
          <cell r="F101">
            <v>155.97800000000001</v>
          </cell>
        </row>
        <row r="102">
          <cell r="A102" t="str">
            <v>7343 СЕЙЧАС СЕЗОН ПМ вар п/о 0,4кг ОСТАНКИНО</v>
          </cell>
          <cell r="D102">
            <v>71.599999999999994</v>
          </cell>
          <cell r="F102">
            <v>179</v>
          </cell>
        </row>
        <row r="103">
          <cell r="A103" t="str">
            <v>7371 БРЕСТСКИЕ сос п/о в/у 0,3кг 8шт. ОСТАНКИНО</v>
          </cell>
          <cell r="D103">
            <v>18.600000000000001</v>
          </cell>
          <cell r="F103">
            <v>62</v>
          </cell>
        </row>
        <row r="104">
          <cell r="A104" t="str">
            <v>7382  САЛЯМИ МЕЛКОЗЕРНЕНАЯ с/к в/у1/120 8шт.  ОСТАНКИНО</v>
          </cell>
          <cell r="D104">
            <v>67.56</v>
          </cell>
          <cell r="F104">
            <v>563</v>
          </cell>
        </row>
        <row r="105">
          <cell r="A105" t="str">
            <v>7461 ДЛЯ ДЕТЕЙ Папа Может сос п/о мгс 0,33кг ОСТАНКИНО</v>
          </cell>
          <cell r="D105">
            <v>48.51</v>
          </cell>
          <cell r="F105">
            <v>147</v>
          </cell>
        </row>
        <row r="106">
          <cell r="A106" t="str">
            <v>7489 СЫРРРВЕЛАТ Папа Может в/к в/у 0,28кг 8шт. ОСТАНКИНО</v>
          </cell>
          <cell r="D106">
            <v>94.92</v>
          </cell>
          <cell r="F106">
            <v>339</v>
          </cell>
        </row>
        <row r="107">
          <cell r="A107" t="str">
            <v>7523 ГОВЯЖЬЯ Папа Может вар п/о 0,4кг 6шт. ОСТАНКИНО</v>
          </cell>
          <cell r="D107">
            <v>184</v>
          </cell>
          <cell r="F107">
            <v>460</v>
          </cell>
        </row>
        <row r="108">
          <cell r="A108" t="str">
            <v>7539 ДОКТОРСКАЯ ГОСТ вар п/о 0,35кг ОСТАНКИНО</v>
          </cell>
          <cell r="D108">
            <v>32.549999999999997</v>
          </cell>
          <cell r="F108">
            <v>93</v>
          </cell>
        </row>
        <row r="109">
          <cell r="A109" t="str">
            <v>7603 БАЛЫКОВАЯ в/к в/у 0.33кг 8шт. ОСТАНКИНО</v>
          </cell>
          <cell r="D109">
            <v>73.59</v>
          </cell>
          <cell r="F109">
            <v>223</v>
          </cell>
        </row>
        <row r="110">
          <cell r="A110" t="str">
            <v>7608 СЕРВЕЛАТ ШВЕЙЦАРСК.в/к с/н в/у 1/100_Л11  ОСТАНКИНО</v>
          </cell>
          <cell r="D110">
            <v>0.5</v>
          </cell>
          <cell r="F110">
            <v>5</v>
          </cell>
        </row>
        <row r="111">
          <cell r="A111" t="str">
            <v>7616 ЭКСТРА Папа может с/к с/н в/у 1/100_  ОСТАНКИНО</v>
          </cell>
          <cell r="D111">
            <v>55</v>
          </cell>
          <cell r="F111">
            <v>550</v>
          </cell>
        </row>
        <row r="112">
          <cell r="A112" t="str">
            <v>7632 ЭКСТРА Папа может вар п/о 0.4кг 8шт_195к  ОСТАНКИНО</v>
          </cell>
          <cell r="D112">
            <v>118</v>
          </cell>
          <cell r="F112">
            <v>295</v>
          </cell>
        </row>
        <row r="113">
          <cell r="A113" t="str">
            <v>7647 ХОЧУ ВЕТЧ.ИЗ СВ.ОТРУБА с/н мгс 1/100_Л11  ОСТАНКИНО</v>
          </cell>
          <cell r="D113">
            <v>8.1</v>
          </cell>
          <cell r="F113">
            <v>81</v>
          </cell>
        </row>
        <row r="114">
          <cell r="A114" t="str">
            <v>7651 ХОЧУ ВЕТЧ.МРАМОР. ПМ с/н мгс 1/100_Л11  ОСТАНКИНО</v>
          </cell>
          <cell r="D114">
            <v>8.6999999999999993</v>
          </cell>
          <cell r="F114">
            <v>87</v>
          </cell>
        </row>
        <row r="115">
          <cell r="A115" t="str">
            <v>БОНУС_6954 СОЧНЫЕ Папа может сос п/о мгс 1.5*4_Х5  ОСТАНКИНО</v>
          </cell>
          <cell r="D115">
            <v>-0.21</v>
          </cell>
          <cell r="F115">
            <v>-0.21</v>
          </cell>
        </row>
        <row r="116">
          <cell r="A116" t="str">
            <v>Сыр ПАПА МОЖЕТ "Российский традиционный"45 % 180 г Останкино</v>
          </cell>
          <cell r="D116">
            <v>0.36</v>
          </cell>
          <cell r="F116">
            <v>2</v>
          </cell>
        </row>
        <row r="117">
          <cell r="A117" t="str">
            <v>Итого</v>
          </cell>
          <cell r="D117">
            <v>30345.365000000002</v>
          </cell>
          <cell r="F117">
            <v>56428.724999999999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G97"/>
  <sheetViews>
    <sheetView tabSelected="1" workbookViewId="0">
      <selection activeCell="V6" sqref="V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7.1640625" style="1" customWidth="1"/>
    <col min="5" max="5" width="14" style="1" customWidth="1"/>
    <col min="6" max="7" width="10.5" style="10"/>
  </cols>
  <sheetData>
    <row r="1" spans="1:7" s="1" customFormat="1" ht="9.9499999999999993" customHeight="1" x14ac:dyDescent="0.2">
      <c r="F1" s="12"/>
      <c r="G1" s="12"/>
    </row>
    <row r="2" spans="1:7" ht="24.95" customHeight="1" x14ac:dyDescent="0.2">
      <c r="A2" s="2" t="s">
        <v>0</v>
      </c>
      <c r="B2" s="2"/>
      <c r="C2" s="2"/>
    </row>
    <row r="3" spans="1:7" s="1" customFormat="1" ht="9.9499999999999993" customHeight="1" x14ac:dyDescent="0.2">
      <c r="F3" s="12"/>
      <c r="G3" s="12"/>
    </row>
    <row r="4" spans="1:7" ht="12.95" customHeight="1" outlineLevel="1" x14ac:dyDescent="0.2">
      <c r="A4" s="3" t="s">
        <v>1</v>
      </c>
      <c r="B4" s="3"/>
      <c r="C4" s="3" t="s">
        <v>2</v>
      </c>
      <c r="D4" s="3"/>
    </row>
    <row r="5" spans="1:7" ht="12.95" customHeight="1" outlineLevel="1" x14ac:dyDescent="0.2">
      <c r="C5" s="3" t="s">
        <v>3</v>
      </c>
      <c r="D5" s="3"/>
    </row>
    <row r="6" spans="1:7" ht="26.1" customHeight="1" outlineLevel="1" x14ac:dyDescent="0.2">
      <c r="A6" s="3" t="s">
        <v>4</v>
      </c>
      <c r="B6" s="3"/>
      <c r="C6" s="15" t="s">
        <v>5</v>
      </c>
      <c r="D6" s="15"/>
    </row>
    <row r="7" spans="1:7" s="1" customFormat="1" ht="9.9499999999999993" customHeight="1" x14ac:dyDescent="0.2">
      <c r="F7" s="12"/>
      <c r="G7" s="12"/>
    </row>
    <row r="8" spans="1:7" ht="12.95" customHeight="1" x14ac:dyDescent="0.2">
      <c r="A8" s="16" t="s">
        <v>6</v>
      </c>
      <c r="B8" s="16"/>
      <c r="C8" s="16"/>
      <c r="D8" s="16" t="s">
        <v>7</v>
      </c>
      <c r="E8" s="4" t="s">
        <v>98</v>
      </c>
      <c r="F8" s="9" t="s">
        <v>98</v>
      </c>
    </row>
    <row r="9" spans="1:7" ht="26.1" customHeight="1" x14ac:dyDescent="0.2">
      <c r="A9" s="17"/>
      <c r="B9" s="18"/>
      <c r="C9" s="19"/>
      <c r="D9" s="20"/>
      <c r="E9" s="4" t="s">
        <v>99</v>
      </c>
      <c r="F9" s="9" t="s">
        <v>100</v>
      </c>
      <c r="G9" s="11" t="s">
        <v>101</v>
      </c>
    </row>
    <row r="10" spans="1:7" ht="11.1" customHeight="1" x14ac:dyDescent="0.2">
      <c r="A10" s="14" t="s">
        <v>8</v>
      </c>
      <c r="B10" s="14"/>
      <c r="C10" s="14"/>
      <c r="D10" s="5" t="s">
        <v>9</v>
      </c>
      <c r="E10" s="6">
        <v>124.8</v>
      </c>
      <c r="F10" s="10">
        <f>VLOOKUP(A10,[1]TDSheet!$A:$F,4,0)/22</f>
        <v>11.218181818181819</v>
      </c>
      <c r="G10" s="10">
        <f>E10/F10</f>
        <v>11.124797406807131</v>
      </c>
    </row>
    <row r="11" spans="1:7" ht="11.1" customHeight="1" x14ac:dyDescent="0.2">
      <c r="A11" s="14" t="s">
        <v>10</v>
      </c>
      <c r="B11" s="14"/>
      <c r="C11" s="14"/>
      <c r="D11" s="5" t="s">
        <v>11</v>
      </c>
      <c r="E11" s="6">
        <v>10.375</v>
      </c>
      <c r="F11" s="10">
        <f>VLOOKUP(A11,[1]TDSheet!$A:$F,4,0)/22</f>
        <v>2.1093181818181819</v>
      </c>
      <c r="G11" s="10">
        <f t="shared" ref="G11:G74" si="0">E11/F11</f>
        <v>4.9186510074345433</v>
      </c>
    </row>
    <row r="12" spans="1:7" ht="11.1" customHeight="1" x14ac:dyDescent="0.2">
      <c r="A12" s="14" t="s">
        <v>12</v>
      </c>
      <c r="B12" s="14"/>
      <c r="C12" s="14"/>
      <c r="D12" s="5" t="s">
        <v>9</v>
      </c>
      <c r="E12" s="6">
        <v>50</v>
      </c>
      <c r="F12" s="10">
        <f>VLOOKUP(A12,[1]TDSheet!$A:$F,4,0)/22</f>
        <v>2.4772727272727271</v>
      </c>
      <c r="G12" s="10">
        <f t="shared" si="0"/>
        <v>20.183486238532112</v>
      </c>
    </row>
    <row r="13" spans="1:7" ht="11.1" customHeight="1" x14ac:dyDescent="0.2">
      <c r="A13" s="14" t="s">
        <v>13</v>
      </c>
      <c r="B13" s="14"/>
      <c r="C13" s="14"/>
      <c r="D13" s="5" t="s">
        <v>11</v>
      </c>
      <c r="E13" s="7">
        <v>1128.075</v>
      </c>
      <c r="F13" s="10">
        <f>VLOOKUP(A13,[1]TDSheet!$A:$F,4,0)/22</f>
        <v>126.40377272727272</v>
      </c>
      <c r="G13" s="10">
        <f t="shared" si="0"/>
        <v>8.9243776167497888</v>
      </c>
    </row>
    <row r="14" spans="1:7" ht="11.1" customHeight="1" x14ac:dyDescent="0.2">
      <c r="A14" s="14" t="s">
        <v>14</v>
      </c>
      <c r="B14" s="14"/>
      <c r="C14" s="14"/>
      <c r="D14" s="5" t="s">
        <v>11</v>
      </c>
      <c r="E14" s="6">
        <v>89.191000000000003</v>
      </c>
      <c r="F14" s="10">
        <f>VLOOKUP(A14,[1]TDSheet!$A:$F,4,0)/22</f>
        <v>4.1634545454545453</v>
      </c>
      <c r="G14" s="10">
        <f t="shared" si="0"/>
        <v>21.422354687977641</v>
      </c>
    </row>
    <row r="15" spans="1:7" ht="11.1" customHeight="1" x14ac:dyDescent="0.2">
      <c r="A15" s="14" t="s">
        <v>15</v>
      </c>
      <c r="B15" s="14"/>
      <c r="C15" s="14"/>
      <c r="D15" s="5" t="s">
        <v>11</v>
      </c>
      <c r="E15" s="6">
        <v>288.24299999999999</v>
      </c>
      <c r="F15" s="10">
        <f>VLOOKUP(A15,[1]TDSheet!$A:$F,4,0)/22</f>
        <v>34.300863636363637</v>
      </c>
      <c r="G15" s="10">
        <f t="shared" si="0"/>
        <v>8.4033744180838266</v>
      </c>
    </row>
    <row r="16" spans="1:7" ht="11.1" customHeight="1" x14ac:dyDescent="0.2">
      <c r="A16" s="14" t="s">
        <v>16</v>
      </c>
      <c r="B16" s="14"/>
      <c r="C16" s="14"/>
      <c r="D16" s="5" t="s">
        <v>11</v>
      </c>
      <c r="E16" s="6">
        <v>367.267</v>
      </c>
      <c r="F16" s="10">
        <f>VLOOKUP(A16,[1]TDSheet!$A:$F,4,0)/22</f>
        <v>51.300545454545457</v>
      </c>
      <c r="G16" s="10">
        <f t="shared" si="0"/>
        <v>7.1591246593160447</v>
      </c>
    </row>
    <row r="17" spans="1:7" ht="11.1" customHeight="1" x14ac:dyDescent="0.2">
      <c r="A17" s="14" t="s">
        <v>17</v>
      </c>
      <c r="B17" s="14"/>
      <c r="C17" s="14"/>
      <c r="D17" s="5" t="s">
        <v>9</v>
      </c>
      <c r="E17" s="6">
        <v>44</v>
      </c>
      <c r="F17" s="10">
        <f>VLOOKUP(A17,[1]TDSheet!$A:$F,4,0)/22</f>
        <v>3.0454545454545454</v>
      </c>
      <c r="G17" s="10">
        <f t="shared" si="0"/>
        <v>14.447761194029852</v>
      </c>
    </row>
    <row r="18" spans="1:7" ht="11.1" customHeight="1" x14ac:dyDescent="0.2">
      <c r="A18" s="14" t="s">
        <v>18</v>
      </c>
      <c r="B18" s="14"/>
      <c r="C18" s="14"/>
      <c r="D18" s="5" t="s">
        <v>11</v>
      </c>
      <c r="E18" s="6">
        <v>36.055999999999997</v>
      </c>
      <c r="F18" s="10">
        <f>VLOOKUP(A18,[1]TDSheet!$A:$F,4,0)/22</f>
        <v>7.8737272727272734</v>
      </c>
      <c r="G18" s="10">
        <f t="shared" si="0"/>
        <v>4.579279768158778</v>
      </c>
    </row>
    <row r="19" spans="1:7" ht="11.1" customHeight="1" x14ac:dyDescent="0.2">
      <c r="A19" s="14" t="s">
        <v>19</v>
      </c>
      <c r="B19" s="14"/>
      <c r="C19" s="14"/>
      <c r="D19" s="5" t="s">
        <v>9</v>
      </c>
      <c r="E19" s="6">
        <v>66.5</v>
      </c>
      <c r="F19" s="10">
        <f>VLOOKUP(A19,[1]TDSheet!$A:$F,4,0)/22</f>
        <v>5.8977272727272725</v>
      </c>
      <c r="G19" s="10">
        <f t="shared" si="0"/>
        <v>11.275529865125241</v>
      </c>
    </row>
    <row r="20" spans="1:7" ht="11.1" customHeight="1" x14ac:dyDescent="0.2">
      <c r="A20" s="14" t="s">
        <v>20</v>
      </c>
      <c r="B20" s="14"/>
      <c r="C20" s="14"/>
      <c r="D20" s="5" t="s">
        <v>9</v>
      </c>
      <c r="E20" s="6">
        <v>100.8</v>
      </c>
      <c r="F20" s="10">
        <f>VLOOKUP(A20,[1]TDSheet!$A:$F,4,0)/22</f>
        <v>9.709090909090909</v>
      </c>
      <c r="G20" s="10">
        <f t="shared" si="0"/>
        <v>10.382022471910112</v>
      </c>
    </row>
    <row r="21" spans="1:7" ht="11.1" customHeight="1" x14ac:dyDescent="0.2">
      <c r="A21" s="14" t="s">
        <v>21</v>
      </c>
      <c r="B21" s="14"/>
      <c r="C21" s="14"/>
      <c r="D21" s="5" t="s">
        <v>11</v>
      </c>
      <c r="E21" s="6">
        <v>360.26100000000002</v>
      </c>
      <c r="F21" s="10">
        <f>VLOOKUP(A21,[1]TDSheet!$A:$F,4,0)/22</f>
        <v>44.936363636363637</v>
      </c>
      <c r="G21" s="10">
        <f t="shared" si="0"/>
        <v>8.0171373659720828</v>
      </c>
    </row>
    <row r="22" spans="1:7" ht="11.1" customHeight="1" x14ac:dyDescent="0.2">
      <c r="A22" s="14" t="s">
        <v>22</v>
      </c>
      <c r="B22" s="14"/>
      <c r="C22" s="14"/>
      <c r="D22" s="5" t="s">
        <v>11</v>
      </c>
      <c r="E22" s="6">
        <v>61.564999999999998</v>
      </c>
      <c r="F22" s="10">
        <f>VLOOKUP(A22,[1]TDSheet!$A:$F,4,0)/22</f>
        <v>4.3045909090909085</v>
      </c>
      <c r="G22" s="10">
        <f t="shared" si="0"/>
        <v>14.302172099555445</v>
      </c>
    </row>
    <row r="23" spans="1:7" ht="11.1" customHeight="1" x14ac:dyDescent="0.2">
      <c r="A23" s="14" t="s">
        <v>23</v>
      </c>
      <c r="B23" s="14"/>
      <c r="C23" s="14"/>
      <c r="D23" s="5" t="s">
        <v>9</v>
      </c>
      <c r="E23" s="6">
        <v>30</v>
      </c>
      <c r="F23" s="10">
        <f>VLOOKUP(A23,[1]TDSheet!$A:$F,4,0)/22</f>
        <v>4.3454545454545448</v>
      </c>
      <c r="G23" s="10">
        <f t="shared" si="0"/>
        <v>6.9037656903765701</v>
      </c>
    </row>
    <row r="24" spans="1:7" ht="11.1" customHeight="1" x14ac:dyDescent="0.2">
      <c r="A24" s="14" t="s">
        <v>24</v>
      </c>
      <c r="B24" s="14"/>
      <c r="C24" s="14"/>
      <c r="D24" s="5" t="s">
        <v>11</v>
      </c>
      <c r="E24" s="6">
        <v>439.29899999999998</v>
      </c>
      <c r="F24" s="10">
        <f>VLOOKUP(A24,[1]TDSheet!$A:$F,4,0)/22</f>
        <v>40.490909090909092</v>
      </c>
      <c r="G24" s="10">
        <f t="shared" si="0"/>
        <v>10.849324202963627</v>
      </c>
    </row>
    <row r="25" spans="1:7" ht="11.1" customHeight="1" x14ac:dyDescent="0.2">
      <c r="A25" s="14" t="s">
        <v>25</v>
      </c>
      <c r="B25" s="14"/>
      <c r="C25" s="14"/>
      <c r="D25" s="5" t="s">
        <v>9</v>
      </c>
      <c r="E25" s="6">
        <v>269.72000000000003</v>
      </c>
      <c r="F25" s="10">
        <f>VLOOKUP(A25,[1]TDSheet!$A:$F,4,0)/22</f>
        <v>19.5</v>
      </c>
      <c r="G25" s="10">
        <f t="shared" si="0"/>
        <v>13.831794871794873</v>
      </c>
    </row>
    <row r="26" spans="1:7" ht="11.1" customHeight="1" x14ac:dyDescent="0.2">
      <c r="A26" s="14" t="s">
        <v>26</v>
      </c>
      <c r="B26" s="14"/>
      <c r="C26" s="14"/>
      <c r="D26" s="5" t="s">
        <v>11</v>
      </c>
      <c r="E26" s="6">
        <v>60.082000000000001</v>
      </c>
      <c r="F26" s="10">
        <f>VLOOKUP(A26,[1]TDSheet!$A:$F,4,0)/22</f>
        <v>4.2581818181818187</v>
      </c>
      <c r="G26" s="10">
        <f t="shared" si="0"/>
        <v>14.109777967549102</v>
      </c>
    </row>
    <row r="27" spans="1:7" ht="11.1" customHeight="1" x14ac:dyDescent="0.2">
      <c r="A27" s="14" t="s">
        <v>27</v>
      </c>
      <c r="B27" s="14"/>
      <c r="C27" s="14"/>
      <c r="D27" s="5" t="s">
        <v>11</v>
      </c>
      <c r="E27" s="6">
        <v>201.16399999999999</v>
      </c>
      <c r="F27" s="10">
        <f>VLOOKUP(A27,[1]TDSheet!$A:$F,4,0)/22</f>
        <v>24.713000000000001</v>
      </c>
      <c r="G27" s="10">
        <f t="shared" si="0"/>
        <v>8.1400072836159101</v>
      </c>
    </row>
    <row r="28" spans="1:7" ht="11.1" customHeight="1" x14ac:dyDescent="0.2">
      <c r="A28" s="14" t="s">
        <v>28</v>
      </c>
      <c r="B28" s="14"/>
      <c r="C28" s="14"/>
      <c r="D28" s="5" t="s">
        <v>9</v>
      </c>
      <c r="E28" s="6">
        <v>46.44</v>
      </c>
      <c r="F28" s="10">
        <f>VLOOKUP(A28,[1]TDSheet!$A:$F,4,0)/22</f>
        <v>4.7618181818181817</v>
      </c>
      <c r="G28" s="10">
        <f t="shared" si="0"/>
        <v>9.752577319587628</v>
      </c>
    </row>
    <row r="29" spans="1:7" ht="11.1" customHeight="1" x14ac:dyDescent="0.2">
      <c r="A29" s="14" t="s">
        <v>29</v>
      </c>
      <c r="B29" s="14"/>
      <c r="C29" s="14"/>
      <c r="D29" s="5" t="s">
        <v>9</v>
      </c>
      <c r="E29" s="6">
        <v>22.32</v>
      </c>
      <c r="F29" s="10">
        <f>VLOOKUP(A29,[1]TDSheet!$A:$F,4,0)/22</f>
        <v>2.3645454545454547</v>
      </c>
      <c r="G29" s="10">
        <f t="shared" si="0"/>
        <v>9.4394463667820059</v>
      </c>
    </row>
    <row r="30" spans="1:7" ht="11.1" customHeight="1" x14ac:dyDescent="0.2">
      <c r="A30" s="14" t="s">
        <v>30</v>
      </c>
      <c r="B30" s="14"/>
      <c r="C30" s="14"/>
      <c r="D30" s="5" t="s">
        <v>9</v>
      </c>
      <c r="E30" s="6">
        <v>34.200000000000003</v>
      </c>
      <c r="F30" s="10">
        <f>VLOOKUP(A30,[1]TDSheet!$A:$F,4,0)/22</f>
        <v>3.9272727272727277</v>
      </c>
      <c r="G30" s="10">
        <f t="shared" si="0"/>
        <v>8.7083333333333339</v>
      </c>
    </row>
    <row r="31" spans="1:7" ht="11.1" customHeight="1" x14ac:dyDescent="0.2">
      <c r="A31" s="14" t="s">
        <v>31</v>
      </c>
      <c r="B31" s="14"/>
      <c r="C31" s="14"/>
      <c r="D31" s="5" t="s">
        <v>11</v>
      </c>
      <c r="E31" s="6">
        <v>670.76599999999996</v>
      </c>
      <c r="F31" s="10">
        <f>VLOOKUP(A31,[1]TDSheet!$A:$F,4,0)/22</f>
        <v>60.259500000000003</v>
      </c>
      <c r="G31" s="10">
        <f t="shared" si="0"/>
        <v>11.131290501912561</v>
      </c>
    </row>
    <row r="32" spans="1:7" ht="11.1" customHeight="1" x14ac:dyDescent="0.2">
      <c r="A32" s="14" t="s">
        <v>32</v>
      </c>
      <c r="B32" s="14"/>
      <c r="C32" s="14"/>
      <c r="D32" s="5" t="s">
        <v>9</v>
      </c>
      <c r="E32" s="6">
        <v>155.19999999999999</v>
      </c>
      <c r="F32" s="10">
        <f>VLOOKUP(A32,[1]TDSheet!$A:$F,4,0)/22</f>
        <v>17.327272727272728</v>
      </c>
      <c r="G32" s="10">
        <f t="shared" si="0"/>
        <v>8.9569779643231886</v>
      </c>
    </row>
    <row r="33" spans="1:7" ht="11.1" customHeight="1" x14ac:dyDescent="0.2">
      <c r="A33" s="14" t="s">
        <v>33</v>
      </c>
      <c r="B33" s="14"/>
      <c r="C33" s="14"/>
      <c r="D33" s="5" t="s">
        <v>9</v>
      </c>
      <c r="E33" s="6">
        <v>160</v>
      </c>
      <c r="F33" s="10">
        <f>VLOOKUP(A33,[1]TDSheet!$A:$F,4,0)/22</f>
        <v>16.054545454545455</v>
      </c>
      <c r="G33" s="10">
        <f t="shared" si="0"/>
        <v>9.9660249150622882</v>
      </c>
    </row>
    <row r="34" spans="1:7" ht="11.1" customHeight="1" x14ac:dyDescent="0.2">
      <c r="A34" s="14" t="s">
        <v>34</v>
      </c>
      <c r="B34" s="14"/>
      <c r="C34" s="14"/>
      <c r="D34" s="5" t="s">
        <v>9</v>
      </c>
      <c r="E34" s="6">
        <v>-41.6</v>
      </c>
      <c r="F34" s="10">
        <f>VLOOKUP(A34,[1]TDSheet!$A:$F,4,0)/22</f>
        <v>5.3818181818181818</v>
      </c>
      <c r="G34" s="10">
        <f t="shared" si="0"/>
        <v>-7.7297297297297298</v>
      </c>
    </row>
    <row r="35" spans="1:7" ht="11.1" customHeight="1" x14ac:dyDescent="0.2">
      <c r="A35" s="14" t="s">
        <v>35</v>
      </c>
      <c r="B35" s="14"/>
      <c r="C35" s="14"/>
      <c r="D35" s="5" t="s">
        <v>9</v>
      </c>
      <c r="E35" s="6">
        <v>179.6</v>
      </c>
      <c r="F35" s="10">
        <f>VLOOKUP(A35,[1]TDSheet!$A:$F,4,0)/22</f>
        <v>15.090909090909092</v>
      </c>
      <c r="G35" s="10">
        <f t="shared" si="0"/>
        <v>11.901204819277108</v>
      </c>
    </row>
    <row r="36" spans="1:7" ht="11.1" customHeight="1" x14ac:dyDescent="0.2">
      <c r="A36" s="14" t="s">
        <v>36</v>
      </c>
      <c r="B36" s="14"/>
      <c r="C36" s="14"/>
      <c r="D36" s="5" t="s">
        <v>9</v>
      </c>
      <c r="E36" s="6">
        <v>-10.4</v>
      </c>
      <c r="F36" s="10">
        <f>VLOOKUP(A36,[1]TDSheet!$A:$F,4,0)/22</f>
        <v>2.0136363636363637</v>
      </c>
      <c r="G36" s="10">
        <f t="shared" si="0"/>
        <v>-5.1647855530474045</v>
      </c>
    </row>
    <row r="37" spans="1:7" ht="11.1" customHeight="1" x14ac:dyDescent="0.2">
      <c r="A37" s="14" t="s">
        <v>37</v>
      </c>
      <c r="B37" s="14"/>
      <c r="C37" s="14"/>
      <c r="D37" s="5" t="s">
        <v>9</v>
      </c>
      <c r="E37" s="6">
        <v>34.1</v>
      </c>
      <c r="F37" s="10">
        <f>VLOOKUP(A37,[1]TDSheet!$A:$F,4,0)/22</f>
        <v>4.4227272727272728</v>
      </c>
      <c r="G37" s="10">
        <f t="shared" si="0"/>
        <v>7.7101747173689619</v>
      </c>
    </row>
    <row r="38" spans="1:7" ht="11.1" customHeight="1" x14ac:dyDescent="0.2">
      <c r="A38" s="14" t="s">
        <v>38</v>
      </c>
      <c r="B38" s="14"/>
      <c r="C38" s="14"/>
      <c r="D38" s="5" t="s">
        <v>9</v>
      </c>
      <c r="E38" s="6">
        <v>51.6</v>
      </c>
      <c r="F38" s="10">
        <f>VLOOKUP(A38,[1]TDSheet!$A:$F,4,0)/22</f>
        <v>7.3363636363636369</v>
      </c>
      <c r="G38" s="10">
        <f t="shared" si="0"/>
        <v>7.033457249070632</v>
      </c>
    </row>
    <row r="39" spans="1:7" ht="11.1" customHeight="1" x14ac:dyDescent="0.2">
      <c r="A39" s="14" t="s">
        <v>39</v>
      </c>
      <c r="B39" s="14"/>
      <c r="C39" s="14"/>
      <c r="D39" s="5" t="s">
        <v>11</v>
      </c>
      <c r="E39" s="6">
        <v>171.328</v>
      </c>
      <c r="F39" s="10">
        <f>VLOOKUP(A39,[1]TDSheet!$A:$F,4,0)/22</f>
        <v>17.574999999999999</v>
      </c>
      <c r="G39" s="10">
        <f t="shared" si="0"/>
        <v>9.7483926031294459</v>
      </c>
    </row>
    <row r="40" spans="1:7" ht="11.1" customHeight="1" x14ac:dyDescent="0.2">
      <c r="A40" s="14" t="s">
        <v>40</v>
      </c>
      <c r="B40" s="14"/>
      <c r="C40" s="14"/>
      <c r="D40" s="5" t="s">
        <v>11</v>
      </c>
      <c r="E40" s="6">
        <v>71.066999999999993</v>
      </c>
      <c r="F40" s="10">
        <f>VLOOKUP(A40,[1]TDSheet!$A:$F,4,0)/22</f>
        <v>11.912363636363636</v>
      </c>
      <c r="G40" s="10">
        <f t="shared" si="0"/>
        <v>5.9658185536799042</v>
      </c>
    </row>
    <row r="41" spans="1:7" ht="11.1" customHeight="1" x14ac:dyDescent="0.2">
      <c r="A41" s="14" t="s">
        <v>41</v>
      </c>
      <c r="B41" s="14"/>
      <c r="C41" s="14"/>
      <c r="D41" s="5" t="s">
        <v>11</v>
      </c>
      <c r="E41" s="6">
        <v>74.710999999999999</v>
      </c>
      <c r="F41" s="10">
        <f>VLOOKUP(A41,[1]TDSheet!$A:$F,4,0)/22</f>
        <v>19.023954545454544</v>
      </c>
      <c r="G41" s="10">
        <f t="shared" si="0"/>
        <v>3.9272066079368839</v>
      </c>
    </row>
    <row r="42" spans="1:7" ht="11.1" customHeight="1" x14ac:dyDescent="0.2">
      <c r="A42" s="14" t="s">
        <v>42</v>
      </c>
      <c r="B42" s="14"/>
      <c r="C42" s="14"/>
      <c r="D42" s="5" t="s">
        <v>11</v>
      </c>
      <c r="E42" s="6">
        <v>384.26400000000001</v>
      </c>
      <c r="F42" s="10">
        <f>VLOOKUP(A42,[1]TDSheet!$A:$F,4,0)/22</f>
        <v>37.208272727272728</v>
      </c>
      <c r="G42" s="10">
        <f t="shared" si="0"/>
        <v>10.327380763319985</v>
      </c>
    </row>
    <row r="43" spans="1:7" ht="11.1" customHeight="1" x14ac:dyDescent="0.2">
      <c r="A43" s="14" t="s">
        <v>43</v>
      </c>
      <c r="B43" s="14"/>
      <c r="C43" s="14"/>
      <c r="D43" s="5" t="s">
        <v>9</v>
      </c>
      <c r="E43" s="6">
        <v>61.8</v>
      </c>
      <c r="F43" s="10">
        <f>VLOOKUP(A43,[1]TDSheet!$A:$F,4,0)/22</f>
        <v>13.486363636363636</v>
      </c>
      <c r="G43" s="10">
        <f t="shared" si="0"/>
        <v>4.5824064711830133</v>
      </c>
    </row>
    <row r="44" spans="1:7" ht="11.1" customHeight="1" x14ac:dyDescent="0.2">
      <c r="A44" s="14" t="s">
        <v>44</v>
      </c>
      <c r="B44" s="14"/>
      <c r="C44" s="14"/>
      <c r="D44" s="5" t="s">
        <v>11</v>
      </c>
      <c r="E44" s="6">
        <v>212.41399999999999</v>
      </c>
      <c r="F44" s="10">
        <f>VLOOKUP(A44,[1]TDSheet!$A:$F,4,0)/22</f>
        <v>17.319909090909093</v>
      </c>
      <c r="G44" s="10">
        <f t="shared" si="0"/>
        <v>12.264152131808373</v>
      </c>
    </row>
    <row r="45" spans="1:7" ht="11.1" customHeight="1" x14ac:dyDescent="0.2">
      <c r="A45" s="14" t="s">
        <v>45</v>
      </c>
      <c r="B45" s="14"/>
      <c r="C45" s="14"/>
      <c r="D45" s="5" t="s">
        <v>11</v>
      </c>
      <c r="E45" s="6">
        <v>516.60799999999995</v>
      </c>
      <c r="F45" s="10">
        <f>VLOOKUP(A45,[1]TDSheet!$A:$F,4,0)/22</f>
        <v>43.285227272727269</v>
      </c>
      <c r="G45" s="10">
        <f t="shared" si="0"/>
        <v>11.934972565697933</v>
      </c>
    </row>
    <row r="46" spans="1:7" ht="11.1" customHeight="1" x14ac:dyDescent="0.2">
      <c r="A46" s="14" t="s">
        <v>46</v>
      </c>
      <c r="B46" s="14"/>
      <c r="C46" s="14"/>
      <c r="D46" s="5" t="s">
        <v>9</v>
      </c>
      <c r="E46" s="6">
        <v>239.4</v>
      </c>
      <c r="F46" s="10">
        <f>VLOOKUP(A46,[1]TDSheet!$A:$F,4,0)/22</f>
        <v>21.318181818181817</v>
      </c>
      <c r="G46" s="10">
        <f t="shared" si="0"/>
        <v>11.229850746268658</v>
      </c>
    </row>
    <row r="47" spans="1:7" ht="11.1" customHeight="1" x14ac:dyDescent="0.2">
      <c r="A47" s="14" t="s">
        <v>47</v>
      </c>
      <c r="B47" s="14"/>
      <c r="C47" s="14"/>
      <c r="D47" s="5" t="s">
        <v>9</v>
      </c>
      <c r="E47" s="6">
        <v>195.98</v>
      </c>
      <c r="F47" s="10">
        <f>VLOOKUP(A47,[1]TDSheet!$A:$F,4,0)/22</f>
        <v>22.58727272727273</v>
      </c>
      <c r="G47" s="10">
        <f t="shared" si="0"/>
        <v>8.6765676567656751</v>
      </c>
    </row>
    <row r="48" spans="1:7" ht="11.1" customHeight="1" x14ac:dyDescent="0.2">
      <c r="A48" s="14" t="s">
        <v>48</v>
      </c>
      <c r="B48" s="14"/>
      <c r="C48" s="14"/>
      <c r="D48" s="5" t="s">
        <v>9</v>
      </c>
      <c r="E48" s="6">
        <v>139.81</v>
      </c>
      <c r="F48" s="10">
        <f>VLOOKUP(A48,[1]TDSheet!$A:$F,4,0)/22</f>
        <v>14.461818181818183</v>
      </c>
      <c r="G48" s="10">
        <f t="shared" si="0"/>
        <v>9.6675257731958766</v>
      </c>
    </row>
    <row r="49" spans="1:7" ht="11.1" customHeight="1" x14ac:dyDescent="0.2">
      <c r="A49" s="14" t="s">
        <v>49</v>
      </c>
      <c r="B49" s="14"/>
      <c r="C49" s="14"/>
      <c r="D49" s="5" t="s">
        <v>9</v>
      </c>
      <c r="E49" s="6">
        <v>130.32</v>
      </c>
      <c r="F49" s="10">
        <f>VLOOKUP(A49,[1]TDSheet!$A:$F,4,0)/22</f>
        <v>15.021818181818183</v>
      </c>
      <c r="G49" s="10">
        <f t="shared" si="0"/>
        <v>8.6753812636165559</v>
      </c>
    </row>
    <row r="50" spans="1:7" ht="11.1" customHeight="1" x14ac:dyDescent="0.2">
      <c r="A50" s="14" t="s">
        <v>50</v>
      </c>
      <c r="B50" s="14"/>
      <c r="C50" s="14"/>
      <c r="D50" s="5" t="s">
        <v>9</v>
      </c>
      <c r="E50" s="6">
        <v>35.97</v>
      </c>
      <c r="F50" s="10">
        <f>VLOOKUP(A50,[1]TDSheet!$A:$F,4,0)/22</f>
        <v>3.9299999999999997</v>
      </c>
      <c r="G50" s="10">
        <f t="shared" si="0"/>
        <v>9.1526717557251906</v>
      </c>
    </row>
    <row r="51" spans="1:7" ht="11.1" customHeight="1" x14ac:dyDescent="0.2">
      <c r="A51" s="14" t="s">
        <v>51</v>
      </c>
      <c r="B51" s="14"/>
      <c r="C51" s="14"/>
      <c r="D51" s="5" t="s">
        <v>9</v>
      </c>
      <c r="E51" s="6">
        <v>72.8</v>
      </c>
      <c r="F51" s="10">
        <f>VLOOKUP(A51,[1]TDSheet!$A:$F,4,0)/22</f>
        <v>6.4</v>
      </c>
      <c r="G51" s="10">
        <f t="shared" si="0"/>
        <v>11.374999999999998</v>
      </c>
    </row>
    <row r="52" spans="1:7" ht="11.1" customHeight="1" x14ac:dyDescent="0.2">
      <c r="A52" s="14" t="s">
        <v>52</v>
      </c>
      <c r="B52" s="14"/>
      <c r="C52" s="14"/>
      <c r="D52" s="5" t="s">
        <v>9</v>
      </c>
      <c r="E52" s="6">
        <v>19.14</v>
      </c>
      <c r="F52" s="10">
        <f>VLOOKUP(A52,[1]TDSheet!$A:$F,4,0)/22</f>
        <v>1.56</v>
      </c>
      <c r="G52" s="10">
        <f t="shared" si="0"/>
        <v>12.26923076923077</v>
      </c>
    </row>
    <row r="53" spans="1:7" ht="11.1" customHeight="1" x14ac:dyDescent="0.2">
      <c r="A53" s="14" t="s">
        <v>53</v>
      </c>
      <c r="B53" s="14"/>
      <c r="C53" s="14"/>
      <c r="D53" s="5" t="s">
        <v>11</v>
      </c>
      <c r="E53" s="6">
        <v>531.21500000000003</v>
      </c>
      <c r="F53" s="10">
        <f>VLOOKUP(A53,[1]TDSheet!$A:$F,4,0)/22</f>
        <v>48.850863636363641</v>
      </c>
      <c r="G53" s="10">
        <f t="shared" si="0"/>
        <v>10.874219214510955</v>
      </c>
    </row>
    <row r="54" spans="1:7" ht="11.1" customHeight="1" x14ac:dyDescent="0.2">
      <c r="A54" s="14" t="s">
        <v>54</v>
      </c>
      <c r="B54" s="14"/>
      <c r="C54" s="14"/>
      <c r="D54" s="5" t="s">
        <v>9</v>
      </c>
      <c r="E54" s="6">
        <v>78</v>
      </c>
      <c r="F54" s="10">
        <f>VLOOKUP(A54,[1]TDSheet!$A:$F,4,0)/22</f>
        <v>8.8909090909090907</v>
      </c>
      <c r="G54" s="10">
        <f t="shared" si="0"/>
        <v>8.7730061349693251</v>
      </c>
    </row>
    <row r="55" spans="1:7" ht="11.1" customHeight="1" x14ac:dyDescent="0.2">
      <c r="A55" s="14" t="s">
        <v>55</v>
      </c>
      <c r="B55" s="14"/>
      <c r="C55" s="14"/>
      <c r="D55" s="5" t="s">
        <v>11</v>
      </c>
      <c r="E55" s="6">
        <v>62.804000000000002</v>
      </c>
      <c r="F55" s="10">
        <f>VLOOKUP(A55,[1]TDSheet!$A:$F,4,0)/22</f>
        <v>2.0113636363636362</v>
      </c>
      <c r="G55" s="10">
        <f t="shared" si="0"/>
        <v>31.224587570621473</v>
      </c>
    </row>
    <row r="56" spans="1:7" ht="11.1" customHeight="1" x14ac:dyDescent="0.2">
      <c r="A56" s="14" t="s">
        <v>56</v>
      </c>
      <c r="B56" s="14"/>
      <c r="C56" s="14"/>
      <c r="D56" s="5" t="s">
        <v>11</v>
      </c>
      <c r="E56" s="6">
        <v>27.305</v>
      </c>
      <c r="F56" s="10">
        <f>VLOOKUP(A56,[1]TDSheet!$A:$F,4,0)/22</f>
        <v>2.86</v>
      </c>
      <c r="G56" s="10">
        <f t="shared" si="0"/>
        <v>9.5472027972027966</v>
      </c>
    </row>
    <row r="57" spans="1:7" ht="11.1" customHeight="1" x14ac:dyDescent="0.2">
      <c r="A57" s="14" t="s">
        <v>57</v>
      </c>
      <c r="B57" s="14"/>
      <c r="C57" s="14"/>
      <c r="D57" s="5" t="s">
        <v>11</v>
      </c>
      <c r="E57" s="6">
        <v>5.2039999999999997</v>
      </c>
      <c r="F57" s="10">
        <f>VLOOKUP(A57,[1]TDSheet!$A:$F,4,0)/22</f>
        <v>6.6222272727272724</v>
      </c>
      <c r="G57" s="10">
        <f t="shared" si="0"/>
        <v>0.78583832684691368</v>
      </c>
    </row>
    <row r="58" spans="1:7" ht="11.1" customHeight="1" x14ac:dyDescent="0.2">
      <c r="A58" s="14" t="s">
        <v>58</v>
      </c>
      <c r="B58" s="14"/>
      <c r="C58" s="14"/>
      <c r="D58" s="5" t="s">
        <v>9</v>
      </c>
      <c r="E58" s="6">
        <v>14.25</v>
      </c>
      <c r="F58" s="10">
        <f>VLOOKUP(A58,[1]TDSheet!$A:$F,4,0)/22</f>
        <v>1.4545454545454546</v>
      </c>
      <c r="G58" s="10">
        <f t="shared" si="0"/>
        <v>9.796875</v>
      </c>
    </row>
    <row r="59" spans="1:7" ht="11.1" customHeight="1" x14ac:dyDescent="0.2">
      <c r="A59" s="14" t="s">
        <v>59</v>
      </c>
      <c r="B59" s="14"/>
      <c r="C59" s="14"/>
      <c r="D59" s="5" t="s">
        <v>11</v>
      </c>
      <c r="E59" s="6">
        <v>66.88</v>
      </c>
      <c r="F59" s="10">
        <f>VLOOKUP(A59,[1]TDSheet!$A:$F,4,0)/22</f>
        <v>9.1228181818181824</v>
      </c>
      <c r="G59" s="10">
        <f t="shared" si="0"/>
        <v>7.3310679514902679</v>
      </c>
    </row>
    <row r="60" spans="1:7" ht="11.1" customHeight="1" x14ac:dyDescent="0.2">
      <c r="A60" s="14" t="s">
        <v>60</v>
      </c>
      <c r="B60" s="14"/>
      <c r="C60" s="14"/>
      <c r="D60" s="5" t="s">
        <v>9</v>
      </c>
      <c r="E60" s="6">
        <v>39.6</v>
      </c>
      <c r="F60" s="10">
        <f>VLOOKUP(A60,[1]TDSheet!$A:$F,4,0)/22</f>
        <v>10.186363636363636</v>
      </c>
      <c r="G60" s="10">
        <f t="shared" si="0"/>
        <v>3.8875502008032132</v>
      </c>
    </row>
    <row r="61" spans="1:7" ht="11.1" customHeight="1" x14ac:dyDescent="0.2">
      <c r="A61" s="14" t="s">
        <v>61</v>
      </c>
      <c r="B61" s="14"/>
      <c r="C61" s="14"/>
      <c r="D61" s="5" t="s">
        <v>9</v>
      </c>
      <c r="E61" s="6">
        <v>230.01</v>
      </c>
      <c r="F61" s="10">
        <f>VLOOKUP(A61,[1]TDSheet!$A:$F,4,0)/22</f>
        <v>35.893636363636361</v>
      </c>
      <c r="G61" s="10">
        <f t="shared" si="0"/>
        <v>6.4080996884735208</v>
      </c>
    </row>
    <row r="62" spans="1:7" ht="11.1" customHeight="1" x14ac:dyDescent="0.2">
      <c r="A62" s="14" t="s">
        <v>62</v>
      </c>
      <c r="B62" s="14"/>
      <c r="C62" s="14"/>
      <c r="D62" s="5" t="s">
        <v>9</v>
      </c>
      <c r="E62" s="6">
        <v>20.5</v>
      </c>
      <c r="G62" s="10" t="e">
        <f t="shared" si="0"/>
        <v>#DIV/0!</v>
      </c>
    </row>
    <row r="63" spans="1:7" ht="11.1" customHeight="1" x14ac:dyDescent="0.2">
      <c r="A63" s="14" t="s">
        <v>63</v>
      </c>
      <c r="B63" s="14"/>
      <c r="C63" s="14"/>
      <c r="D63" s="5" t="s">
        <v>11</v>
      </c>
      <c r="E63" s="6">
        <v>710.27200000000005</v>
      </c>
      <c r="F63" s="10">
        <f>VLOOKUP(A63,[1]TDSheet!$A:$F,4,0)/22</f>
        <v>99.64645454545456</v>
      </c>
      <c r="G63" s="10">
        <f t="shared" si="0"/>
        <v>7.1279204387146917</v>
      </c>
    </row>
    <row r="64" spans="1:7" ht="11.1" customHeight="1" x14ac:dyDescent="0.2">
      <c r="A64" s="14" t="s">
        <v>64</v>
      </c>
      <c r="B64" s="14"/>
      <c r="C64" s="14"/>
      <c r="D64" s="5" t="s">
        <v>9</v>
      </c>
      <c r="E64" s="6">
        <v>19.95</v>
      </c>
      <c r="F64" s="10">
        <f>VLOOKUP(A64,[1]TDSheet!$A:$F,4,0)/22</f>
        <v>2.3068181818181817</v>
      </c>
      <c r="G64" s="10">
        <f t="shared" si="0"/>
        <v>8.6482758620689655</v>
      </c>
    </row>
    <row r="65" spans="1:7" ht="11.1" customHeight="1" x14ac:dyDescent="0.2">
      <c r="A65" s="14" t="s">
        <v>65</v>
      </c>
      <c r="B65" s="14"/>
      <c r="C65" s="14"/>
      <c r="D65" s="5" t="s">
        <v>11</v>
      </c>
      <c r="E65" s="6">
        <v>122.557</v>
      </c>
      <c r="F65" s="10">
        <f>VLOOKUP(A65,[1]TDSheet!$A:$F,4,0)/22</f>
        <v>9.3582272727272731</v>
      </c>
      <c r="G65" s="10">
        <f t="shared" si="0"/>
        <v>13.096176917734031</v>
      </c>
    </row>
    <row r="66" spans="1:7" ht="11.1" customHeight="1" x14ac:dyDescent="0.2">
      <c r="A66" s="14" t="s">
        <v>66</v>
      </c>
      <c r="B66" s="14"/>
      <c r="C66" s="14"/>
      <c r="D66" s="5" t="s">
        <v>9</v>
      </c>
      <c r="E66" s="6">
        <v>97.17</v>
      </c>
      <c r="F66" s="10">
        <f>VLOOKUP(A66,[1]TDSheet!$A:$F,4,0)/22</f>
        <v>18.580454545454543</v>
      </c>
      <c r="G66" s="10">
        <f t="shared" si="0"/>
        <v>5.2296890672016056</v>
      </c>
    </row>
    <row r="67" spans="1:7" ht="11.1" customHeight="1" x14ac:dyDescent="0.2">
      <c r="A67" s="14" t="s">
        <v>67</v>
      </c>
      <c r="B67" s="14"/>
      <c r="C67" s="14"/>
      <c r="D67" s="5" t="s">
        <v>11</v>
      </c>
      <c r="E67" s="6">
        <v>215.52199999999999</v>
      </c>
      <c r="F67" s="10">
        <f>VLOOKUP(A67,[1]TDSheet!$A:$F,4,0)/22</f>
        <v>27.891090909090909</v>
      </c>
      <c r="G67" s="10">
        <f t="shared" si="0"/>
        <v>7.7272703567773346</v>
      </c>
    </row>
    <row r="68" spans="1:7" ht="11.1" customHeight="1" x14ac:dyDescent="0.2">
      <c r="A68" s="14" t="s">
        <v>68</v>
      </c>
      <c r="B68" s="14"/>
      <c r="C68" s="14"/>
      <c r="D68" s="5" t="s">
        <v>9</v>
      </c>
      <c r="E68" s="6">
        <v>61.8</v>
      </c>
      <c r="F68" s="10">
        <f>VLOOKUP(A68,[1]TDSheet!$A:$F,4,0)/22</f>
        <v>3.9272727272727277</v>
      </c>
      <c r="G68" s="10">
        <f t="shared" si="0"/>
        <v>15.736111111111109</v>
      </c>
    </row>
    <row r="69" spans="1:7" ht="11.1" customHeight="1" x14ac:dyDescent="0.2">
      <c r="A69" s="14" t="s">
        <v>69</v>
      </c>
      <c r="B69" s="14"/>
      <c r="C69" s="14"/>
      <c r="D69" s="5" t="s">
        <v>9</v>
      </c>
      <c r="E69" s="6">
        <v>112.68</v>
      </c>
      <c r="F69" s="10">
        <f>VLOOKUP(A69,[1]TDSheet!$A:$F,4,0)/22</f>
        <v>9.9981818181818181</v>
      </c>
      <c r="G69" s="10">
        <f t="shared" si="0"/>
        <v>11.270049099836335</v>
      </c>
    </row>
    <row r="70" spans="1:7" ht="11.1" customHeight="1" x14ac:dyDescent="0.2">
      <c r="A70" s="14" t="s">
        <v>70</v>
      </c>
      <c r="B70" s="14"/>
      <c r="C70" s="14"/>
      <c r="D70" s="5" t="s">
        <v>9</v>
      </c>
      <c r="E70" s="6">
        <v>33.6</v>
      </c>
      <c r="F70" s="10">
        <f>VLOOKUP(A70,[1]TDSheet!$A:$F,4,0)/22</f>
        <v>6.8727272727272721</v>
      </c>
      <c r="G70" s="10">
        <f t="shared" si="0"/>
        <v>4.8888888888888893</v>
      </c>
    </row>
    <row r="71" spans="1:7" ht="11.1" customHeight="1" x14ac:dyDescent="0.2">
      <c r="A71" s="14" t="s">
        <v>71</v>
      </c>
      <c r="B71" s="14"/>
      <c r="C71" s="14"/>
      <c r="D71" s="5" t="s">
        <v>9</v>
      </c>
      <c r="E71" s="6">
        <v>254.8</v>
      </c>
      <c r="F71" s="10">
        <f>VLOOKUP(A71,[1]TDSheet!$A:$F,4,0)/22</f>
        <v>31.086363636363636</v>
      </c>
      <c r="G71" s="10">
        <f t="shared" si="0"/>
        <v>8.1965199590583424</v>
      </c>
    </row>
    <row r="72" spans="1:7" ht="11.1" customHeight="1" x14ac:dyDescent="0.2">
      <c r="A72" s="14" t="s">
        <v>72</v>
      </c>
      <c r="B72" s="14"/>
      <c r="C72" s="14"/>
      <c r="D72" s="5" t="s">
        <v>11</v>
      </c>
      <c r="E72" s="6">
        <v>210.36600000000001</v>
      </c>
      <c r="F72" s="10">
        <f>VLOOKUP(A72,[1]TDSheet!$A:$F,4,0)/22</f>
        <v>36.019636363636366</v>
      </c>
      <c r="G72" s="10">
        <f t="shared" si="0"/>
        <v>5.8403143739778303</v>
      </c>
    </row>
    <row r="73" spans="1:7" ht="11.1" customHeight="1" x14ac:dyDescent="0.2">
      <c r="A73" s="14" t="s">
        <v>73</v>
      </c>
      <c r="B73" s="14"/>
      <c r="C73" s="14"/>
      <c r="D73" s="5" t="s">
        <v>11</v>
      </c>
      <c r="E73" s="6">
        <v>474.76400000000001</v>
      </c>
      <c r="F73" s="10">
        <f>VLOOKUP(A73,[1]TDSheet!$A:$F,4,0)/22</f>
        <v>40.565272727272728</v>
      </c>
      <c r="G73" s="10">
        <f t="shared" si="0"/>
        <v>11.703705363745971</v>
      </c>
    </row>
    <row r="74" spans="1:7" ht="11.1" customHeight="1" x14ac:dyDescent="0.2">
      <c r="A74" s="14" t="s">
        <v>74</v>
      </c>
      <c r="B74" s="14"/>
      <c r="C74" s="14"/>
      <c r="D74" s="5" t="s">
        <v>9</v>
      </c>
      <c r="E74" s="6">
        <v>240.45</v>
      </c>
      <c r="F74" s="10">
        <f>VLOOKUP(A74,[1]TDSheet!$A:$F,4,0)/22</f>
        <v>15.320454545454545</v>
      </c>
      <c r="G74" s="10">
        <f t="shared" si="0"/>
        <v>15.694704049844237</v>
      </c>
    </row>
    <row r="75" spans="1:7" ht="11.1" customHeight="1" x14ac:dyDescent="0.2">
      <c r="A75" s="14" t="s">
        <v>75</v>
      </c>
      <c r="B75" s="14"/>
      <c r="C75" s="14"/>
      <c r="D75" s="5" t="s">
        <v>9</v>
      </c>
      <c r="E75" s="6">
        <v>32.4</v>
      </c>
      <c r="F75" s="10">
        <f>VLOOKUP(A75,[1]TDSheet!$A:$F,4,0)/22</f>
        <v>3.8181818181818183</v>
      </c>
      <c r="G75" s="10">
        <f t="shared" ref="G75:G97" si="1">E75/F75</f>
        <v>8.4857142857142858</v>
      </c>
    </row>
    <row r="76" spans="1:7" ht="11.1" customHeight="1" x14ac:dyDescent="0.2">
      <c r="A76" s="14" t="s">
        <v>76</v>
      </c>
      <c r="B76" s="14"/>
      <c r="C76" s="14"/>
      <c r="D76" s="5" t="s">
        <v>9</v>
      </c>
      <c r="E76" s="6">
        <v>48</v>
      </c>
      <c r="F76" s="10">
        <f>VLOOKUP(A76,[1]TDSheet!$A:$F,4,0)/22</f>
        <v>4.8954545454545455</v>
      </c>
      <c r="G76" s="10">
        <f t="shared" si="1"/>
        <v>9.8050139275766011</v>
      </c>
    </row>
    <row r="77" spans="1:7" ht="11.1" customHeight="1" x14ac:dyDescent="0.2">
      <c r="A77" s="14" t="s">
        <v>77</v>
      </c>
      <c r="B77" s="14"/>
      <c r="C77" s="14"/>
      <c r="D77" s="5" t="s">
        <v>9</v>
      </c>
      <c r="E77" s="6">
        <v>97.72</v>
      </c>
      <c r="F77" s="10">
        <f>VLOOKUP(A77,[1]TDSheet!$A:$F,4,0)/22</f>
        <v>8.7181818181818187</v>
      </c>
      <c r="G77" s="10">
        <f t="shared" si="1"/>
        <v>11.208759124087591</v>
      </c>
    </row>
    <row r="78" spans="1:7" ht="11.1" customHeight="1" x14ac:dyDescent="0.2">
      <c r="A78" s="14" t="s">
        <v>78</v>
      </c>
      <c r="B78" s="14"/>
      <c r="C78" s="14"/>
      <c r="D78" s="5" t="s">
        <v>9</v>
      </c>
      <c r="E78" s="6">
        <v>113.68</v>
      </c>
      <c r="F78" s="10">
        <f>VLOOKUP(A78,[1]TDSheet!$A:$F,4,0)/22</f>
        <v>9.9781818181818185</v>
      </c>
      <c r="G78" s="10">
        <f t="shared" si="1"/>
        <v>11.392857142857142</v>
      </c>
    </row>
    <row r="79" spans="1:7" ht="11.1" customHeight="1" x14ac:dyDescent="0.2">
      <c r="A79" s="14" t="s">
        <v>79</v>
      </c>
      <c r="B79" s="14"/>
      <c r="C79" s="14"/>
      <c r="D79" s="5" t="s">
        <v>9</v>
      </c>
      <c r="E79" s="6">
        <v>242.48</v>
      </c>
      <c r="F79" s="10">
        <f>VLOOKUP(A79,[1]TDSheet!$A:$F,4,0)/22</f>
        <v>23.061818181818182</v>
      </c>
      <c r="G79" s="10">
        <f t="shared" si="1"/>
        <v>10.514348785871963</v>
      </c>
    </row>
    <row r="80" spans="1:7" ht="11.1" customHeight="1" x14ac:dyDescent="0.2">
      <c r="A80" s="14" t="s">
        <v>80</v>
      </c>
      <c r="B80" s="14"/>
      <c r="C80" s="14"/>
      <c r="D80" s="5" t="s">
        <v>9</v>
      </c>
      <c r="E80" s="6">
        <v>72.400000000000006</v>
      </c>
      <c r="F80" s="10">
        <f>VLOOKUP(A80,[1]TDSheet!$A:$F,4,0)/22</f>
        <v>12.090909090909092</v>
      </c>
      <c r="G80" s="10">
        <f t="shared" si="1"/>
        <v>5.9879699248120302</v>
      </c>
    </row>
    <row r="81" spans="1:7" ht="11.1" customHeight="1" x14ac:dyDescent="0.2">
      <c r="A81" s="14" t="s">
        <v>81</v>
      </c>
      <c r="B81" s="14"/>
      <c r="C81" s="14"/>
      <c r="D81" s="5" t="s">
        <v>9</v>
      </c>
      <c r="E81" s="6">
        <v>2.4</v>
      </c>
      <c r="F81" s="10">
        <f>VLOOKUP(A81,[1]TDSheet!$A:$F,4,0)/22</f>
        <v>0.54090909090909089</v>
      </c>
      <c r="G81" s="10">
        <f t="shared" si="1"/>
        <v>4.4369747899159666</v>
      </c>
    </row>
    <row r="82" spans="1:7" ht="11.1" customHeight="1" x14ac:dyDescent="0.2">
      <c r="A82" s="14" t="s">
        <v>82</v>
      </c>
      <c r="B82" s="14"/>
      <c r="C82" s="14"/>
      <c r="D82" s="5" t="s">
        <v>11</v>
      </c>
      <c r="E82" s="6">
        <v>88.111000000000004</v>
      </c>
      <c r="F82" s="10">
        <f>VLOOKUP(A82,[1]TDSheet!$A:$F,4,0)/22</f>
        <v>7.0899090909090914</v>
      </c>
      <c r="G82" s="10">
        <f t="shared" si="1"/>
        <v>12.427662875533729</v>
      </c>
    </row>
    <row r="83" spans="1:7" ht="11.1" customHeight="1" x14ac:dyDescent="0.2">
      <c r="A83" s="14" t="s">
        <v>83</v>
      </c>
      <c r="B83" s="14"/>
      <c r="C83" s="14"/>
      <c r="D83" s="5" t="s">
        <v>9</v>
      </c>
      <c r="E83" s="6">
        <v>0.4</v>
      </c>
      <c r="F83" s="10">
        <f>VLOOKUP(A83,[1]TDSheet!$A:$F,4,0)/22</f>
        <v>3.2545454545454544</v>
      </c>
      <c r="G83" s="10">
        <f t="shared" si="1"/>
        <v>0.1229050279329609</v>
      </c>
    </row>
    <row r="84" spans="1:7" ht="11.1" customHeight="1" x14ac:dyDescent="0.2">
      <c r="A84" s="14" t="s">
        <v>84</v>
      </c>
      <c r="B84" s="14"/>
      <c r="C84" s="14"/>
      <c r="D84" s="5" t="s">
        <v>9</v>
      </c>
      <c r="E84" s="6">
        <v>31.68</v>
      </c>
      <c r="F84" s="10">
        <f>VLOOKUP(A84,[1]TDSheet!$A:$F,4,0)/22</f>
        <v>3.0709090909090908</v>
      </c>
      <c r="G84" s="10">
        <f t="shared" si="1"/>
        <v>10.316163410301954</v>
      </c>
    </row>
    <row r="85" spans="1:7" ht="11.1" customHeight="1" x14ac:dyDescent="0.2">
      <c r="A85" s="14" t="s">
        <v>85</v>
      </c>
      <c r="B85" s="14"/>
      <c r="C85" s="14"/>
      <c r="D85" s="5" t="s">
        <v>9</v>
      </c>
      <c r="E85" s="6">
        <v>42.9</v>
      </c>
      <c r="F85" s="10">
        <f>VLOOKUP(A85,[1]TDSheet!$A:$F,4,0)/22</f>
        <v>2.2050000000000001</v>
      </c>
      <c r="G85" s="10">
        <f t="shared" si="1"/>
        <v>19.455782312925169</v>
      </c>
    </row>
    <row r="86" spans="1:7" ht="11.1" customHeight="1" x14ac:dyDescent="0.2">
      <c r="A86" s="14" t="s">
        <v>86</v>
      </c>
      <c r="B86" s="14"/>
      <c r="C86" s="14"/>
      <c r="D86" s="5" t="s">
        <v>9</v>
      </c>
      <c r="E86" s="6">
        <v>17.36</v>
      </c>
      <c r="F86" s="10">
        <f>VLOOKUP(A86,[1]TDSheet!$A:$F,4,0)/22</f>
        <v>4.3145454545454545</v>
      </c>
      <c r="G86" s="10">
        <f t="shared" si="1"/>
        <v>4.0235988200589974</v>
      </c>
    </row>
    <row r="87" spans="1:7" ht="11.1" customHeight="1" x14ac:dyDescent="0.2">
      <c r="A87" s="14" t="s">
        <v>87</v>
      </c>
      <c r="B87" s="14"/>
      <c r="C87" s="14"/>
      <c r="D87" s="5" t="s">
        <v>9</v>
      </c>
      <c r="E87" s="6">
        <v>51.2</v>
      </c>
      <c r="F87" s="10">
        <f>VLOOKUP(A87,[1]TDSheet!$A:$F,4,0)/22</f>
        <v>8.3636363636363633</v>
      </c>
      <c r="G87" s="10">
        <f t="shared" si="1"/>
        <v>6.1217391304347828</v>
      </c>
    </row>
    <row r="88" spans="1:7" ht="11.1" customHeight="1" x14ac:dyDescent="0.2">
      <c r="A88" s="14" t="s">
        <v>88</v>
      </c>
      <c r="B88" s="14"/>
      <c r="C88" s="14"/>
      <c r="D88" s="5" t="s">
        <v>9</v>
      </c>
      <c r="E88" s="6">
        <v>4.55</v>
      </c>
      <c r="F88" s="10">
        <f>VLOOKUP(A88,[1]TDSheet!$A:$F,4,0)/22</f>
        <v>1.4795454545454545</v>
      </c>
      <c r="G88" s="10">
        <f t="shared" si="1"/>
        <v>3.075268817204301</v>
      </c>
    </row>
    <row r="89" spans="1:7" ht="11.1" customHeight="1" x14ac:dyDescent="0.2">
      <c r="A89" s="14" t="s">
        <v>89</v>
      </c>
      <c r="B89" s="14"/>
      <c r="C89" s="14"/>
      <c r="D89" s="5" t="s">
        <v>9</v>
      </c>
      <c r="E89" s="6">
        <v>40.590000000000003</v>
      </c>
      <c r="F89" s="10">
        <f>VLOOKUP(A89,[1]TDSheet!$A:$F,4,0)/22</f>
        <v>3.3450000000000002</v>
      </c>
      <c r="G89" s="10">
        <f t="shared" si="1"/>
        <v>12.134529147982063</v>
      </c>
    </row>
    <row r="90" spans="1:7" ht="11.1" customHeight="1" x14ac:dyDescent="0.2">
      <c r="A90" s="14" t="s">
        <v>90</v>
      </c>
      <c r="B90" s="14"/>
      <c r="C90" s="14"/>
      <c r="D90" s="5" t="s">
        <v>9</v>
      </c>
      <c r="E90" s="6">
        <v>5.5</v>
      </c>
      <c r="F90" s="10">
        <f>VLOOKUP(A90,[1]TDSheet!$A:$F,4,0)/22</f>
        <v>2.2727272727272728E-2</v>
      </c>
      <c r="G90" s="10">
        <f t="shared" si="1"/>
        <v>242</v>
      </c>
    </row>
    <row r="91" spans="1:7" ht="11.1" customHeight="1" x14ac:dyDescent="0.2">
      <c r="A91" s="14" t="s">
        <v>91</v>
      </c>
      <c r="B91" s="14"/>
      <c r="C91" s="14"/>
      <c r="D91" s="5" t="s">
        <v>9</v>
      </c>
      <c r="E91" s="6">
        <v>3</v>
      </c>
      <c r="G91" s="10" t="e">
        <f t="shared" si="1"/>
        <v>#DIV/0!</v>
      </c>
    </row>
    <row r="92" spans="1:7" ht="11.1" customHeight="1" x14ac:dyDescent="0.2">
      <c r="A92" s="14" t="s">
        <v>92</v>
      </c>
      <c r="B92" s="14"/>
      <c r="C92" s="14"/>
      <c r="D92" s="5" t="s">
        <v>9</v>
      </c>
      <c r="E92" s="6">
        <v>35.9</v>
      </c>
      <c r="G92" s="10" t="e">
        <f t="shared" si="1"/>
        <v>#DIV/0!</v>
      </c>
    </row>
    <row r="93" spans="1:7" ht="11.1" customHeight="1" x14ac:dyDescent="0.2">
      <c r="A93" s="14" t="s">
        <v>93</v>
      </c>
      <c r="B93" s="14"/>
      <c r="C93" s="14"/>
      <c r="D93" s="5" t="s">
        <v>9</v>
      </c>
      <c r="E93" s="6">
        <v>45</v>
      </c>
      <c r="F93" s="10">
        <f>VLOOKUP(A93,[1]TDSheet!$A:$F,4,0)/22</f>
        <v>2.5</v>
      </c>
      <c r="G93" s="10">
        <f t="shared" si="1"/>
        <v>18</v>
      </c>
    </row>
    <row r="94" spans="1:7" ht="11.1" customHeight="1" x14ac:dyDescent="0.2">
      <c r="A94" s="14" t="s">
        <v>94</v>
      </c>
      <c r="B94" s="14"/>
      <c r="C94" s="14"/>
      <c r="D94" s="5" t="s">
        <v>9</v>
      </c>
      <c r="E94" s="6">
        <v>127.6</v>
      </c>
      <c r="F94" s="10">
        <f>VLOOKUP(A94,[1]TDSheet!$A:$F,4,0)/22</f>
        <v>5.3636363636363633</v>
      </c>
      <c r="G94" s="10">
        <f t="shared" si="1"/>
        <v>23.789830508474576</v>
      </c>
    </row>
    <row r="95" spans="1:7" ht="11.1" customHeight="1" x14ac:dyDescent="0.2">
      <c r="A95" s="14" t="s">
        <v>95</v>
      </c>
      <c r="B95" s="14"/>
      <c r="C95" s="14"/>
      <c r="D95" s="5" t="s">
        <v>9</v>
      </c>
      <c r="E95" s="6">
        <v>0.1</v>
      </c>
      <c r="F95" s="10">
        <f>VLOOKUP(A95,[1]TDSheet!$A:$F,4,0)/22</f>
        <v>0.36818181818181817</v>
      </c>
      <c r="G95" s="10">
        <f t="shared" si="1"/>
        <v>0.27160493827160498</v>
      </c>
    </row>
    <row r="96" spans="1:7" ht="11.1" customHeight="1" x14ac:dyDescent="0.2">
      <c r="A96" s="14" t="s">
        <v>96</v>
      </c>
      <c r="B96" s="14"/>
      <c r="C96" s="14"/>
      <c r="D96" s="5" t="s">
        <v>9</v>
      </c>
      <c r="E96" s="6">
        <v>0.2</v>
      </c>
      <c r="F96" s="10">
        <f>VLOOKUP(A96,[1]TDSheet!$A:$F,4,0)/22</f>
        <v>0.39545454545454545</v>
      </c>
      <c r="G96" s="10">
        <f t="shared" si="1"/>
        <v>0.50574712643678166</v>
      </c>
    </row>
    <row r="97" spans="1:5" ht="12.95" customHeight="1" x14ac:dyDescent="0.2">
      <c r="A97" s="13" t="s">
        <v>97</v>
      </c>
      <c r="B97" s="13"/>
      <c r="C97" s="13"/>
      <c r="D97" s="13"/>
      <c r="E97" s="8">
        <v>12088.106</v>
      </c>
    </row>
  </sheetData>
  <mergeCells count="91">
    <mergeCell ref="C6:D6"/>
    <mergeCell ref="A8:C9"/>
    <mergeCell ref="D8:D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89:C89"/>
    <mergeCell ref="A90:C90"/>
    <mergeCell ref="A91:C91"/>
    <mergeCell ref="A97:D97"/>
    <mergeCell ref="A92:C92"/>
    <mergeCell ref="A93:C93"/>
    <mergeCell ref="A94:C94"/>
    <mergeCell ref="A95:C95"/>
    <mergeCell ref="A96:C96"/>
  </mergeCells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2026-08-05T10:52:47Z</dcterms:modified>
</cp:coreProperties>
</file>