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 ХИМИЧ\остатки филиалы 05,08,26\Останкино\Донецк\"/>
    </mc:Choice>
  </mc:AlternateContent>
  <xr:revisionPtr revIDLastSave="0" documentId="13_ncr:1_{600E08B5-4C89-4AAC-AABA-0AA50CACD90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1" i="1" l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10" i="1"/>
  <c r="F10" i="1"/>
</calcChain>
</file>

<file path=xl/sharedStrings.xml><?xml version="1.0" encoding="utf-8"?>
<sst xmlns="http://schemas.openxmlformats.org/spreadsheetml/2006/main" count="216" uniqueCount="116">
  <si>
    <t>Ведомость по товарам на складах</t>
  </si>
  <si>
    <t>Параметры:</t>
  </si>
  <si>
    <t>Период: 05.08.2026 - 05.08.2026</t>
  </si>
  <si>
    <t>Количество товаров: В единицах хранения</t>
  </si>
  <si>
    <t>Отбор:</t>
  </si>
  <si>
    <t>Склад В списке "АСП Донецк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</si>
  <si>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</si>
  <si>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</si>
  <si>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</si>
  <si>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</si>
  <si>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</si>
  <si>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</si>
  <si>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</si>
  <si>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</si>
  <si>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</si>
  <si>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</si>
  <si>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</si>
  <si>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</si>
  <si>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</si>
  <si>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</si>
  <si>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</si>
  <si>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</si>
  <si>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</si>
  <si>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</si>
  <si>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</si>
  <si>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</si>
  <si>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</si>
  <si>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</si>
  <si>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</si>
  <si>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</si>
  <si>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</si>
  <si>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</si>
  <si>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</si>
  <si>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</si>
  <si>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</si>
  <si>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</si>
  <si>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</si>
  <si>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</si>
  <si>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</si>
  <si>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</si>
  <si>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</si>
  <si>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</si>
  <si>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</si>
  <si>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</si>
  <si>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</si>
  <si>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</si>
  <si>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</si>
  <si>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</si>
  <si>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</si>
  <si>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</si>
  <si>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</si>
  <si>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6701 СЕРВЕЛАТ ШВАРЦЕР ПМ в/к в/у 0.28кг 8шт.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</si>
  <si>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</si>
  <si>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</si>
  <si>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</si>
  <si>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</si>
  <si>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</si>
  <si>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</si>
  <si>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</si>
  <si>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</si>
  <si>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</si>
  <si>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</si>
  <si>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</si>
  <si>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</si>
  <si>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6955 СОЧНЫЕ Папа может сос п/о мгс 1,5*4 А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</si>
  <si>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</si>
  <si>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</si>
  <si>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</si>
  <si>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</si>
  <si>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</si>
  <si>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</si>
  <si>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</si>
  <si>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</si>
  <si>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</si>
  <si>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</si>
  <si>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</si>
  <si>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</si>
  <si>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</si>
  <si>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</si>
  <si>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</si>
  <si>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</si>
  <si>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</si>
  <si>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</si>
  <si>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</si>
  <si>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</si>
  <si>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</si>
  <si>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</si>
  <si>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</si>
  <si>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</si>
  <si>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</si>
  <si>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</si>
  <si>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</si>
  <si>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</si>
  <si>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7299 НАБОР ДЛЯ ПИЦЦЫ Папа Может с/к в/у 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</si>
  <si>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</si>
  <si>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</si>
  <si>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</si>
  <si>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</si>
  <si>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</si>
  <si>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</si>
  <si>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</si>
  <si>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</si>
  <si>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</si>
  <si>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</si>
  <si>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</si>
  <si>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</si>
  <si>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</si>
  <si>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</si>
  <si>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</si>
  <si>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БОНУС_6086 МЯСНЫЕ  Папа может сос п/о мгс 1.3*_UZ  ОСТАНКИНО</t>
  </si>
  <si>
    <t>БОНУС_6954 СОЧНЫЕ Папа может сос п/о мгс 1.5*4_Х5  ОСТАНКИНО</t>
  </si>
  <si>
    <t>Итого</t>
  </si>
  <si>
    <t>ВЕС</t>
  </si>
  <si>
    <t>Конечный остаток вес</t>
  </si>
  <si>
    <t>средние продажи в день</t>
  </si>
  <si>
    <t>запас в днях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</si>
</sst>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4" x14ac:knownFonts="1">
    <font>
      <sz val="8"/>
      <name val="Arial"/>
    </font>
    <font>
      <b/>
      <sz val="18"/>
      <name val="Arial"/>
    </font>
    <font>
      <sz val="10"/>
      <name val="Arial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7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" fontId="2" fillId="2" borderId="6" xfId="0" applyNumberFormat="1" applyFont="1" applyFill="1" applyBorder="1" applyAlignment="1">
      <alignment horizontal="left" vertical="top" wrapText="1"/>
    </xf>
    <xf numFmtId="1" fontId="0" fillId="0" borderId="0" xfId="0" applyNumberFormat="1"/>
    <xf numFmtId="1" fontId="3" fillId="2" borderId="6" xfId="0" applyNumberFormat="1" applyFont="1" applyFill="1" applyBorder="1" applyAlignment="1">
      <alignment horizontal="left" vertical="top" wrapText="1"/>
    </xf>
    <xf numFmtId="1" fontId="0" fillId="0" borderId="0" xfId="0" applyNumberFormat="1" applyAlignment="1">
      <alignment horizontal="left"/>
    </xf>
    <xf numFmtId="0" fontId="0" fillId="0" borderId="6" xfId="0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7;&#1088;&#1086;&#1076;&#1072;&#1078;&#1080;%20&#1044;&#1086;&#1085;&#1077;&#1094;&#1082;%2005,07,26-04,08,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05.07.2026 - 04.08.2026</v>
          </cell>
        </row>
        <row r="3">
          <cell r="A3" t="str">
            <v>Отбор:</v>
          </cell>
          <cell r="C3" t="str">
            <v>Склад / комиссионер  / подразделение Не в группе из списка "Склад 3" И
Склад / комиссионер  / подразделение В группе из списка "АСП Донецк Останкино" И
Номенклатура В группе из списка "Останкино ООО" И
Это тара Равно "Нет"</v>
          </cell>
        </row>
        <row r="5">
          <cell r="A5" t="str">
            <v>Номенклатура</v>
          </cell>
          <cell r="D5" t="str">
            <v>кол-во</v>
          </cell>
          <cell r="G5" t="str">
            <v>Возвраты</v>
          </cell>
          <cell r="I5" t="str">
            <v>опт</v>
          </cell>
          <cell r="J5" t="str">
            <v>без оптов</v>
          </cell>
        </row>
        <row r="6">
          <cell r="D6" t="str">
            <v>Вес</v>
          </cell>
          <cell r="F6" t="str">
            <v>Количество</v>
          </cell>
          <cell r="G6" t="str">
            <v>Возврат вес</v>
          </cell>
          <cell r="H6" t="str">
            <v>Возврат кол-во</v>
          </cell>
          <cell r="I6" t="str">
            <v>Вес</v>
          </cell>
          <cell r="J6" t="str">
            <v>Вес</v>
          </cell>
        </row>
        <row r="7">
          <cell r="A7" t="str">
            <v>3215 ВЕТЧ.МЯСНАЯ Папа может п/о 0.4кг 8шт.    ОСТАНКИНО</v>
          </cell>
          <cell r="D7">
            <v>518.4</v>
          </cell>
          <cell r="F7">
            <v>1296</v>
          </cell>
          <cell r="G7">
            <v>4.4000000000000004</v>
          </cell>
          <cell r="H7">
            <v>11</v>
          </cell>
          <cell r="I7">
            <v>22.4</v>
          </cell>
          <cell r="J7">
            <v>496</v>
          </cell>
        </row>
        <row r="8">
          <cell r="A8" t="str">
            <v>3287 САЛЯМИ ИТАЛЬЯНСКАЯ с/к в/у ОСТАНКИНО</v>
          </cell>
          <cell r="D8">
            <v>43.621000000000002</v>
          </cell>
          <cell r="F8">
            <v>43.621000000000002</v>
          </cell>
          <cell r="I8">
            <v>0</v>
          </cell>
          <cell r="J8">
            <v>43.621000000000002</v>
          </cell>
        </row>
        <row r="9">
          <cell r="A9" t="str">
            <v>3986 Ароматная с/к в/у 1/250 ОСТАНКИНО</v>
          </cell>
          <cell r="D9">
            <v>224.75</v>
          </cell>
          <cell r="F9">
            <v>899</v>
          </cell>
          <cell r="G9">
            <v>2.75</v>
          </cell>
          <cell r="H9">
            <v>11</v>
          </cell>
          <cell r="I9">
            <v>4</v>
          </cell>
          <cell r="J9">
            <v>220.75</v>
          </cell>
        </row>
        <row r="10">
          <cell r="A10" t="str">
            <v>4063 МЯСНАЯ Папа может вар п/о_Л   ОСТАНКИНО</v>
          </cell>
          <cell r="D10">
            <v>4330.7820000000002</v>
          </cell>
          <cell r="F10">
            <v>4330.7820000000002</v>
          </cell>
          <cell r="G10">
            <v>11.558999999999999</v>
          </cell>
          <cell r="H10">
            <v>11.558999999999999</v>
          </cell>
          <cell r="I10">
            <v>374.28699999999998</v>
          </cell>
          <cell r="J10">
            <v>3956.4950000000003</v>
          </cell>
        </row>
        <row r="11">
          <cell r="A11" t="str">
            <v>4117 ЭКСТРА Папа может с/к в/у_Л   ОСТАНКИНО</v>
          </cell>
          <cell r="D11">
            <v>104.88800000000001</v>
          </cell>
          <cell r="F11">
            <v>104.88800000000001</v>
          </cell>
          <cell r="G11">
            <v>0.49299999999999999</v>
          </cell>
          <cell r="H11">
            <v>0.49299999999999999</v>
          </cell>
          <cell r="I11">
            <v>0</v>
          </cell>
          <cell r="J11">
            <v>104.88800000000001</v>
          </cell>
        </row>
        <row r="12">
          <cell r="A12" t="str">
            <v>4574 Мясная со шпиком Папа может вар п/о ОСТАНКИНО</v>
          </cell>
          <cell r="D12">
            <v>429.84800000000001</v>
          </cell>
          <cell r="F12">
            <v>429.84800000000001</v>
          </cell>
          <cell r="G12">
            <v>4.202</v>
          </cell>
          <cell r="H12">
            <v>4.202</v>
          </cell>
          <cell r="I12">
            <v>40.447000000000003</v>
          </cell>
          <cell r="J12">
            <v>389.40100000000001</v>
          </cell>
        </row>
        <row r="13">
          <cell r="A13" t="str">
            <v>4813 ФИЛЕЙНАЯ Папа может вар п/о_Л   ОСТАНКИНО</v>
          </cell>
          <cell r="D13">
            <v>1945.5719999999999</v>
          </cell>
          <cell r="F13">
            <v>1945.5719999999999</v>
          </cell>
          <cell r="G13">
            <v>10.266999999999999</v>
          </cell>
          <cell r="H13">
            <v>10.266999999999999</v>
          </cell>
          <cell r="I13">
            <v>72.222999999999999</v>
          </cell>
          <cell r="J13">
            <v>1873.3489999999999</v>
          </cell>
        </row>
        <row r="14">
          <cell r="A14" t="str">
            <v>4993 САЛЯМИ ИТАЛЬЯНСКАЯ с/к в/у 1/250*8_120c ОСТАНКИНО</v>
          </cell>
          <cell r="D14">
            <v>70.75</v>
          </cell>
          <cell r="F14">
            <v>283</v>
          </cell>
          <cell r="G14">
            <v>0.5</v>
          </cell>
          <cell r="H14">
            <v>2</v>
          </cell>
          <cell r="I14">
            <v>0</v>
          </cell>
          <cell r="J14">
            <v>70.75</v>
          </cell>
        </row>
        <row r="15">
          <cell r="A15" t="str">
            <v>5452 ВЕТЧ.МЯСНАЯ Папа может п/о    ОСТАНКИНО</v>
          </cell>
          <cell r="D15">
            <v>278.35500000000002</v>
          </cell>
          <cell r="F15">
            <v>278.35500000000002</v>
          </cell>
          <cell r="G15">
            <v>1.4830000000000001</v>
          </cell>
          <cell r="H15">
            <v>1.4830000000000001</v>
          </cell>
          <cell r="I15">
            <v>0</v>
          </cell>
          <cell r="J15">
            <v>278.35500000000002</v>
          </cell>
        </row>
        <row r="16">
          <cell r="A16" t="str">
            <v>5483 ЭКСТРА Папа может с/к в/у 1/250 8шт.   ОСТАНКИНО</v>
          </cell>
          <cell r="D16">
            <v>83</v>
          </cell>
          <cell r="F16">
            <v>332</v>
          </cell>
          <cell r="G16">
            <v>0.5</v>
          </cell>
          <cell r="H16">
            <v>2</v>
          </cell>
          <cell r="I16">
            <v>12</v>
          </cell>
          <cell r="J16">
            <v>71</v>
          </cell>
        </row>
        <row r="17">
          <cell r="A17" t="str">
            <v>5495 ВЕТЧ.С ИНДЕЙКОЙ Папа может п/о 400*6  Останкино</v>
          </cell>
          <cell r="D17">
            <v>1063.5999999999999</v>
          </cell>
          <cell r="F17">
            <v>2659</v>
          </cell>
          <cell r="G17">
            <v>1.2</v>
          </cell>
          <cell r="H17">
            <v>3</v>
          </cell>
          <cell r="I17">
            <v>38.4</v>
          </cell>
          <cell r="J17">
            <v>1025.1999999999998</v>
          </cell>
        </row>
        <row r="18">
          <cell r="A18" t="str">
            <v>5544 Сервелат Финский в/к в/у_45с НОВАЯ ОСТАНКИНО</v>
          </cell>
          <cell r="D18">
            <v>1198.933</v>
          </cell>
          <cell r="F18">
            <v>1198.933</v>
          </cell>
          <cell r="G18">
            <v>4.242</v>
          </cell>
          <cell r="H18">
            <v>4.242</v>
          </cell>
          <cell r="I18">
            <v>61.518999999999998</v>
          </cell>
          <cell r="J18">
            <v>1137.414</v>
          </cell>
        </row>
        <row r="19">
          <cell r="A19" t="str">
            <v>5579 БЛИНЧ.КРУГЛЫЕ С САД.ЯБЛОК.пл.1/420 зам. ОСТАНКИНО</v>
          </cell>
          <cell r="D19">
            <v>9.66</v>
          </cell>
          <cell r="F19">
            <v>23</v>
          </cell>
          <cell r="G19">
            <v>1.68</v>
          </cell>
          <cell r="H19">
            <v>4</v>
          </cell>
          <cell r="I19">
            <v>0</v>
          </cell>
          <cell r="J19">
            <v>9.66</v>
          </cell>
        </row>
        <row r="20">
          <cell r="A20" t="str">
            <v>5682 САЛЯМИ МЕЛКОЗЕРНЕНАЯ с/к в/у 1/120_60с   ОСТАНКИНО</v>
          </cell>
          <cell r="D20">
            <v>-0.36</v>
          </cell>
          <cell r="F20">
            <v>-3</v>
          </cell>
          <cell r="G20">
            <v>0.36</v>
          </cell>
          <cell r="H20">
            <v>3</v>
          </cell>
          <cell r="I20">
            <v>0</v>
          </cell>
          <cell r="J20">
            <v>-0.36</v>
          </cell>
        </row>
        <row r="21">
          <cell r="A21" t="str">
            <v>5706 АРОМАТНАЯ Папа может с/к в/у 1/250 8шт.  ОСТАНКИНО</v>
          </cell>
          <cell r="D21">
            <v>0.25</v>
          </cell>
          <cell r="F21">
            <v>1</v>
          </cell>
          <cell r="I21">
            <v>0</v>
          </cell>
          <cell r="J21">
            <v>0.25</v>
          </cell>
        </row>
        <row r="22">
          <cell r="A22" t="str">
            <v>5708 ПОСОЛЬСКАЯ Папа может с/к в/у ОСТАНКИНО</v>
          </cell>
          <cell r="D22">
            <v>42.072000000000003</v>
          </cell>
          <cell r="F22">
            <v>42.072000000000003</v>
          </cell>
          <cell r="G22">
            <v>1.024</v>
          </cell>
          <cell r="H22">
            <v>1.024</v>
          </cell>
          <cell r="I22">
            <v>5.38</v>
          </cell>
          <cell r="J22">
            <v>36.692</v>
          </cell>
        </row>
        <row r="23">
          <cell r="A23" t="str">
            <v>5754 БЛИНЧ.КРУГЛЫЕ С МЯСОМ 4,5кг зам. ПМ ОСТАНКИНО</v>
          </cell>
          <cell r="D23">
            <v>32.020000000000003</v>
          </cell>
          <cell r="F23">
            <v>32.020000000000003</v>
          </cell>
          <cell r="I23">
            <v>0</v>
          </cell>
          <cell r="J23">
            <v>32.020000000000003</v>
          </cell>
        </row>
        <row r="24">
          <cell r="A24" t="str">
            <v>5755 БЛИНЧ.КРУГЛЫЕ С ТВОРОГОМ 4,5кг зам. ПМ ОСТАНКИНО</v>
          </cell>
          <cell r="D24">
            <v>22.678000000000001</v>
          </cell>
          <cell r="F24">
            <v>22.678000000000001</v>
          </cell>
          <cell r="I24">
            <v>0</v>
          </cell>
          <cell r="J24">
            <v>22.678000000000001</v>
          </cell>
        </row>
        <row r="25">
          <cell r="A25" t="str">
            <v>5819 Сосиски Папа может 400г Мясные  ОСТАНКИНО</v>
          </cell>
          <cell r="D25">
            <v>422.4</v>
          </cell>
          <cell r="F25">
            <v>1056</v>
          </cell>
          <cell r="G25">
            <v>1.2</v>
          </cell>
          <cell r="H25">
            <v>3</v>
          </cell>
          <cell r="I25">
            <v>0</v>
          </cell>
          <cell r="J25">
            <v>422.4</v>
          </cell>
        </row>
        <row r="26">
          <cell r="A26" t="str">
            <v>5851 ЭКСТРА Папа может вар п/о   ОСТАНКИНО</v>
          </cell>
          <cell r="D26">
            <v>1026.434</v>
          </cell>
          <cell r="F26">
            <v>1026.434</v>
          </cell>
          <cell r="G26">
            <v>1.885</v>
          </cell>
          <cell r="H26">
            <v>1.885</v>
          </cell>
          <cell r="I26">
            <v>72.421000000000006</v>
          </cell>
          <cell r="J26">
            <v>954.01299999999992</v>
          </cell>
        </row>
        <row r="27">
          <cell r="A27" t="str">
            <v>5897 БЛИНЧ.КРУГЛЫЕ С ГРУШЕЙ пл.1/420 зам.   ОСТАНКИНО</v>
          </cell>
          <cell r="D27">
            <v>12.6</v>
          </cell>
          <cell r="F27">
            <v>30</v>
          </cell>
          <cell r="I27">
            <v>0</v>
          </cell>
          <cell r="J27">
            <v>12.6</v>
          </cell>
        </row>
        <row r="28">
          <cell r="A28" t="str">
            <v>5931 ОХОТНИЧЬЯ Папа может с/к в/у 1/220 8шт.   ОСТАНКИНО</v>
          </cell>
          <cell r="D28">
            <v>154.44</v>
          </cell>
          <cell r="F28">
            <v>702</v>
          </cell>
          <cell r="G28">
            <v>0.44</v>
          </cell>
          <cell r="H28">
            <v>2</v>
          </cell>
          <cell r="I28">
            <v>7.04</v>
          </cell>
          <cell r="J28">
            <v>147.4</v>
          </cell>
        </row>
        <row r="29">
          <cell r="A29" t="str">
            <v>6008 САЛО СОЛЕНОЕ С ЧЕРНЫМ ПЕРЦЕМ мл/к в/у ОСТАНКИНО</v>
          </cell>
          <cell r="D29">
            <v>74.617999999999995</v>
          </cell>
          <cell r="F29">
            <v>74.617999999999995</v>
          </cell>
          <cell r="G29">
            <v>2.036</v>
          </cell>
          <cell r="H29">
            <v>2.036</v>
          </cell>
          <cell r="I29">
            <v>0</v>
          </cell>
          <cell r="J29">
            <v>74.617999999999995</v>
          </cell>
        </row>
        <row r="30">
          <cell r="A30" t="str">
            <v>6148 БЛИНЧ.КРУГЛЫЕ С ВЕТЧ.И СЫР. ПМ 1/300 зам. ОСТАНКИНО</v>
          </cell>
          <cell r="D30">
            <v>50.1</v>
          </cell>
          <cell r="F30">
            <v>167</v>
          </cell>
          <cell r="I30">
            <v>0</v>
          </cell>
          <cell r="J30">
            <v>50.1</v>
          </cell>
        </row>
        <row r="31">
          <cell r="A31" t="str">
            <v>6149 БЛИНЧ.КРУГЛЫЕ С ПЕЧЕНЬЮ ПМ 1/300 зам. ОСТАНКИНО</v>
          </cell>
          <cell r="D31">
            <v>94.5</v>
          </cell>
          <cell r="F31">
            <v>315</v>
          </cell>
          <cell r="I31">
            <v>0</v>
          </cell>
          <cell r="J31">
            <v>94.5</v>
          </cell>
        </row>
        <row r="32">
          <cell r="A32" t="str">
            <v>6168 Блинчики с мясом пл. 1/350 зам. ОСТАНКИНО</v>
          </cell>
          <cell r="D32">
            <v>75.25</v>
          </cell>
          <cell r="F32">
            <v>215</v>
          </cell>
          <cell r="G32">
            <v>0.7</v>
          </cell>
          <cell r="H32">
            <v>2</v>
          </cell>
          <cell r="I32">
            <v>0</v>
          </cell>
          <cell r="J32">
            <v>75.25</v>
          </cell>
        </row>
        <row r="33">
          <cell r="A33" t="str">
            <v>6202 БЛИНЧ.КРУГЛЫЕ С ТВОРОГОМ ПМ 1/300 зам. ОСТАНКИНО</v>
          </cell>
          <cell r="D33">
            <v>70.5</v>
          </cell>
          <cell r="F33">
            <v>235</v>
          </cell>
          <cell r="I33">
            <v>0</v>
          </cell>
          <cell r="J33">
            <v>70.5</v>
          </cell>
        </row>
        <row r="34">
          <cell r="A34" t="str">
            <v>6208 ДЫМОВИЦА ИЗ ЛОПАТКИ ПМ к/в с/н в/у 1/150  Останкино</v>
          </cell>
          <cell r="D34">
            <v>9.75</v>
          </cell>
          <cell r="F34">
            <v>65</v>
          </cell>
          <cell r="G34">
            <v>1.05</v>
          </cell>
          <cell r="H34">
            <v>7</v>
          </cell>
          <cell r="I34">
            <v>0</v>
          </cell>
          <cell r="J34">
            <v>9.75</v>
          </cell>
        </row>
        <row r="35">
          <cell r="A35" t="str">
            <v>6209 Блинчики с куриным мясом пл. 1/350 зам. ОСТАНКИНО</v>
          </cell>
          <cell r="D35">
            <v>89.6</v>
          </cell>
          <cell r="F35">
            <v>256</v>
          </cell>
          <cell r="I35">
            <v>0</v>
          </cell>
          <cell r="J35">
            <v>89.6</v>
          </cell>
        </row>
        <row r="36">
          <cell r="A36" t="str">
            <v>6220 ГОВЯЖЬЯ папа может вар п/о  Останкино</v>
          </cell>
          <cell r="D36">
            <v>1213.672</v>
          </cell>
          <cell r="F36">
            <v>1213.672</v>
          </cell>
          <cell r="G36">
            <v>1.82</v>
          </cell>
          <cell r="H36">
            <v>1.82</v>
          </cell>
          <cell r="I36">
            <v>102.476</v>
          </cell>
          <cell r="J36">
            <v>1111.1959999999999</v>
          </cell>
        </row>
        <row r="37">
          <cell r="A37" t="str">
            <v>6221 НЕОПОЛИТАНСКИЙ ДУЭТ с/к с/н мгс 1/90  Останкино</v>
          </cell>
          <cell r="D37">
            <v>128.69999999999999</v>
          </cell>
          <cell r="F37">
            <v>1430</v>
          </cell>
          <cell r="G37">
            <v>2.0699999999999998</v>
          </cell>
          <cell r="H37">
            <v>23</v>
          </cell>
          <cell r="I37">
            <v>2.7</v>
          </cell>
          <cell r="J37">
            <v>125.99999999999999</v>
          </cell>
        </row>
        <row r="38">
          <cell r="A38" t="str">
            <v>6228 МЯСНОЕ АССОРТИ к/з с/н мгс 1/90 10шт  Останкино</v>
          </cell>
          <cell r="D38">
            <v>25.11</v>
          </cell>
          <cell r="F38">
            <v>279</v>
          </cell>
          <cell r="G38">
            <v>0.27</v>
          </cell>
          <cell r="H38">
            <v>3</v>
          </cell>
          <cell r="I38">
            <v>0</v>
          </cell>
          <cell r="J38">
            <v>25.11</v>
          </cell>
        </row>
        <row r="39">
          <cell r="A39" t="str">
            <v>6268 Колбаса Папа может 400г Говяжья вар п/о  ОСТАНКИНО</v>
          </cell>
          <cell r="D39">
            <v>1.2</v>
          </cell>
          <cell r="F39">
            <v>3</v>
          </cell>
          <cell r="G39">
            <v>0.4</v>
          </cell>
          <cell r="H39">
            <v>1</v>
          </cell>
          <cell r="I39">
            <v>0</v>
          </cell>
          <cell r="J39">
            <v>1.2</v>
          </cell>
        </row>
        <row r="40">
          <cell r="A40" t="str">
            <v>6279 КОРЕЙКА ПО-ОСТ.к/в в/с с/н в/у 1/150_45с  Останкино</v>
          </cell>
          <cell r="D40">
            <v>11.25</v>
          </cell>
          <cell r="F40">
            <v>75</v>
          </cell>
          <cell r="G40">
            <v>0.9</v>
          </cell>
          <cell r="H40">
            <v>6</v>
          </cell>
          <cell r="I40">
            <v>6</v>
          </cell>
          <cell r="J40">
            <v>5.25</v>
          </cell>
        </row>
        <row r="41">
          <cell r="A41" t="str">
            <v>6303 Мясные Папа может сос п/о мгс 1,5*3  Останкино</v>
          </cell>
          <cell r="D41">
            <v>1125.625</v>
          </cell>
          <cell r="F41">
            <v>1125.625</v>
          </cell>
          <cell r="G41">
            <v>1.59</v>
          </cell>
          <cell r="H41">
            <v>1.59</v>
          </cell>
          <cell r="I41">
            <v>91.012</v>
          </cell>
          <cell r="J41">
            <v>1034.6130000000001</v>
          </cell>
        </row>
        <row r="42">
          <cell r="A42" t="str">
            <v>6324 ДОКТОРСКАЯ ГОСТ вар п/о 0,4кг 8шт  Останкино</v>
          </cell>
          <cell r="D42">
            <v>0.4</v>
          </cell>
          <cell r="F42">
            <v>1</v>
          </cell>
          <cell r="I42">
            <v>0</v>
          </cell>
          <cell r="J42">
            <v>0.4</v>
          </cell>
        </row>
        <row r="43">
          <cell r="A43" t="str">
            <v>6325 ДОКТОРСКАЯ ПРЕМИУМ вар п/о 0.4кг 8шт.  ОСТАНКИНО</v>
          </cell>
          <cell r="D43">
            <v>139.19999999999999</v>
          </cell>
          <cell r="F43">
            <v>348</v>
          </cell>
          <cell r="G43">
            <v>0.4</v>
          </cell>
          <cell r="H43">
            <v>1</v>
          </cell>
          <cell r="I43">
            <v>16</v>
          </cell>
          <cell r="J43">
            <v>123.19999999999999</v>
          </cell>
        </row>
        <row r="44">
          <cell r="A44" t="str">
            <v>6333 МЯСНАЯ Папа может вар п/о 0.4кг 8шт.  ОСТАНКИНО</v>
          </cell>
          <cell r="D44">
            <v>1326.4</v>
          </cell>
          <cell r="F44">
            <v>3316</v>
          </cell>
          <cell r="G44">
            <v>1.6</v>
          </cell>
          <cell r="H44">
            <v>4</v>
          </cell>
          <cell r="I44">
            <v>3.2</v>
          </cell>
          <cell r="J44">
            <v>1323.2</v>
          </cell>
        </row>
        <row r="45">
          <cell r="A45" t="str">
            <v>6353 ЭКСТРА Папа может вар п/о 0.4кг 8шт.  ОСТАНКИНО</v>
          </cell>
          <cell r="D45">
            <v>4</v>
          </cell>
          <cell r="F45">
            <v>10</v>
          </cell>
          <cell r="G45">
            <v>1.2</v>
          </cell>
          <cell r="H45">
            <v>3</v>
          </cell>
          <cell r="I45">
            <v>0</v>
          </cell>
          <cell r="J45">
            <v>4</v>
          </cell>
        </row>
        <row r="46">
          <cell r="A46" t="str">
            <v>6392 ФИЛЕЙНАЯ Папа может вар п/о 0,4кг  ОСТАНКИНО</v>
          </cell>
          <cell r="D46">
            <v>1136.8</v>
          </cell>
          <cell r="F46">
            <v>2842</v>
          </cell>
          <cell r="G46">
            <v>5.6</v>
          </cell>
          <cell r="H46">
            <v>14</v>
          </cell>
          <cell r="I46">
            <v>22.4</v>
          </cell>
          <cell r="J46">
            <v>1114.3999999999999</v>
          </cell>
        </row>
        <row r="47">
          <cell r="A47" t="str">
            <v>6411 ВЕТЧ.РУБЛЕНАЯ ПМ в/у срез 0.3кг 6шт.  ОСТАНКИНО</v>
          </cell>
          <cell r="D47">
            <v>2.1</v>
          </cell>
          <cell r="F47">
            <v>7</v>
          </cell>
          <cell r="I47">
            <v>0</v>
          </cell>
          <cell r="J47">
            <v>2.1</v>
          </cell>
        </row>
        <row r="48">
          <cell r="A48" t="str">
            <v>6453 ЭКСТРА Папа может с/к с/н в/у 1/100 14шт.   ОСТАНКИНО</v>
          </cell>
          <cell r="D48">
            <v>41</v>
          </cell>
          <cell r="F48">
            <v>410</v>
          </cell>
          <cell r="G48">
            <v>0.3</v>
          </cell>
          <cell r="H48">
            <v>3</v>
          </cell>
          <cell r="I48">
            <v>2.8</v>
          </cell>
          <cell r="J48">
            <v>38.200000000000003</v>
          </cell>
        </row>
        <row r="49">
          <cell r="A49" t="str">
            <v>6454 АРОМАТНАЯ с/к с/н в/у 1/100 10шт.  ОСТАНКИНО</v>
          </cell>
          <cell r="D49">
            <v>38.799999999999997</v>
          </cell>
          <cell r="F49">
            <v>388</v>
          </cell>
          <cell r="G49">
            <v>0.7</v>
          </cell>
          <cell r="H49">
            <v>7</v>
          </cell>
          <cell r="I49">
            <v>2</v>
          </cell>
          <cell r="J49">
            <v>36.799999999999997</v>
          </cell>
        </row>
        <row r="50">
          <cell r="A50" t="str">
            <v>6459 СЕРВЕЛАТ ШВЕЙЦАРСК. в/к с/н в/у 1/100*10  Останкино</v>
          </cell>
          <cell r="D50">
            <v>10.6</v>
          </cell>
          <cell r="F50">
            <v>106</v>
          </cell>
          <cell r="G50">
            <v>0.2</v>
          </cell>
          <cell r="H50">
            <v>2</v>
          </cell>
          <cell r="I50">
            <v>0</v>
          </cell>
          <cell r="J50">
            <v>10.6</v>
          </cell>
        </row>
        <row r="51">
          <cell r="A51" t="str">
            <v>6470 ВЕТЧ.МРАМОРНАЯ в/у_45с  ОСТАНКИНО</v>
          </cell>
          <cell r="D51">
            <v>62.097000000000001</v>
          </cell>
          <cell r="F51">
            <v>62.097000000000001</v>
          </cell>
          <cell r="G51">
            <v>0.318</v>
          </cell>
          <cell r="H51">
            <v>0.318</v>
          </cell>
          <cell r="I51">
            <v>0</v>
          </cell>
          <cell r="J51">
            <v>62.097000000000001</v>
          </cell>
        </row>
        <row r="52">
          <cell r="A52" t="str">
            <v>6475 Сосиски Папа может 400г С сыром  ОСТАНКИНО</v>
          </cell>
          <cell r="D52">
            <v>78.8</v>
          </cell>
          <cell r="F52">
            <v>197</v>
          </cell>
          <cell r="G52">
            <v>1.2</v>
          </cell>
          <cell r="H52">
            <v>3</v>
          </cell>
          <cell r="I52">
            <v>0</v>
          </cell>
          <cell r="J52">
            <v>78.8</v>
          </cell>
        </row>
        <row r="53">
          <cell r="A53" t="str">
            <v>6495 ВЕТЧ.МРАМОРНАЯ в/у срез 0,3кг 6шт_45с  Останкино</v>
          </cell>
          <cell r="D53">
            <v>138</v>
          </cell>
          <cell r="F53">
            <v>460</v>
          </cell>
          <cell r="G53">
            <v>6.9</v>
          </cell>
          <cell r="H53">
            <v>23</v>
          </cell>
          <cell r="I53">
            <v>5.4</v>
          </cell>
          <cell r="J53">
            <v>132.6</v>
          </cell>
        </row>
        <row r="54">
          <cell r="A54" t="str">
            <v>6498 МОЛОЧНАЯ Папа может вар п/о  ОСТАНКИНО</v>
          </cell>
          <cell r="D54">
            <v>505.904</v>
          </cell>
          <cell r="F54">
            <v>505.904</v>
          </cell>
          <cell r="G54">
            <v>1.46</v>
          </cell>
          <cell r="H54">
            <v>1.46</v>
          </cell>
          <cell r="I54">
            <v>50.332999999999998</v>
          </cell>
          <cell r="J54">
            <v>455.57100000000003</v>
          </cell>
        </row>
        <row r="55">
          <cell r="A55" t="str">
            <v>6527 ШПИКАЧКИ СОЧНЫЕ ПМ сар б/о мгс 1*3 45с ОСТАНКИНО</v>
          </cell>
          <cell r="D55">
            <v>272.709</v>
          </cell>
          <cell r="F55">
            <v>272.709</v>
          </cell>
          <cell r="G55">
            <v>8.7289999999999992</v>
          </cell>
          <cell r="H55">
            <v>8.7289999999999992</v>
          </cell>
          <cell r="I55">
            <v>0</v>
          </cell>
          <cell r="J55">
            <v>272.709</v>
          </cell>
        </row>
        <row r="56">
          <cell r="A56" t="str">
            <v>6550 МЯСНЫЕ Папа может сар б/о мгс 1*3 О 45с  Останкино</v>
          </cell>
          <cell r="D56">
            <v>460.68200000000002</v>
          </cell>
          <cell r="F56">
            <v>460.68200000000002</v>
          </cell>
          <cell r="G56">
            <v>6.0640000000000001</v>
          </cell>
          <cell r="H56">
            <v>6.0640000000000001</v>
          </cell>
          <cell r="I56">
            <v>22.177</v>
          </cell>
          <cell r="J56">
            <v>438.505</v>
          </cell>
        </row>
        <row r="57">
          <cell r="A57" t="str">
            <v>6608 С ГОВЯДИНОЙ ОРИГИН. сар б/о мгс 1*3_45с  ОСТАНКИНО</v>
          </cell>
          <cell r="D57">
            <v>661.65800000000002</v>
          </cell>
          <cell r="F57">
            <v>661.65800000000002</v>
          </cell>
          <cell r="G57">
            <v>13.853999999999999</v>
          </cell>
          <cell r="H57">
            <v>13.853999999999999</v>
          </cell>
          <cell r="I57">
            <v>53.104999999999997</v>
          </cell>
          <cell r="J57">
            <v>608.553</v>
          </cell>
        </row>
        <row r="58">
          <cell r="A58" t="str">
            <v>6616 МОЛОЧНЫЕ КЛАССИЧЕСКИЕ сос п/о в/у 0,3 кг  Останкино</v>
          </cell>
          <cell r="D58">
            <v>307.2</v>
          </cell>
          <cell r="F58">
            <v>1024</v>
          </cell>
          <cell r="G58">
            <v>3.6</v>
          </cell>
          <cell r="H58">
            <v>12</v>
          </cell>
          <cell r="I58">
            <v>16.8</v>
          </cell>
          <cell r="J58">
            <v>290.39999999999998</v>
          </cell>
        </row>
        <row r="59">
          <cell r="A59" t="str">
            <v>6661 СОЧНЫЙ ГРИЛЬ ПМ сос п/о мгс 1,5*4_Маяк Останкино</v>
          </cell>
          <cell r="D59">
            <v>19.763000000000002</v>
          </cell>
          <cell r="F59">
            <v>19.763000000000002</v>
          </cell>
          <cell r="G59">
            <v>0.3</v>
          </cell>
          <cell r="H59">
            <v>0.3</v>
          </cell>
          <cell r="I59">
            <v>0</v>
          </cell>
          <cell r="J59">
            <v>19.763000000000002</v>
          </cell>
        </row>
        <row r="60">
          <cell r="A60" t="str">
            <v>6697 СЕРВЕЛАТ ФИНСКИЙ ПМ в/к в/у 0,35кг 8шт  ОСТАНКИНО</v>
          </cell>
          <cell r="D60">
            <v>1447.95</v>
          </cell>
          <cell r="F60">
            <v>4137</v>
          </cell>
          <cell r="G60">
            <v>5.6</v>
          </cell>
          <cell r="H60">
            <v>16</v>
          </cell>
          <cell r="I60">
            <v>56</v>
          </cell>
          <cell r="J60">
            <v>1391.95</v>
          </cell>
        </row>
        <row r="61">
          <cell r="A61" t="str">
            <v>6701 СЕРВЕЛАТ ШВАРЦЕР ПМ в/к в/у 0.28кг 8шт.  ОСТАНКИНО</v>
          </cell>
          <cell r="D61">
            <v>0.84</v>
          </cell>
          <cell r="F61">
            <v>3</v>
          </cell>
          <cell r="I61">
            <v>0</v>
          </cell>
          <cell r="J61">
            <v>0.84</v>
          </cell>
        </row>
        <row r="62">
          <cell r="A62" t="str">
            <v>6713 СОЧНЫЙ ГРИЛЬ ПМ сос п/о мгс 0,41кг 8 шт.  ОСТАНКИНО</v>
          </cell>
          <cell r="D62">
            <v>402.21</v>
          </cell>
          <cell r="F62">
            <v>981</v>
          </cell>
          <cell r="G62">
            <v>23.78</v>
          </cell>
          <cell r="H62">
            <v>58</v>
          </cell>
          <cell r="I62">
            <v>13.12</v>
          </cell>
          <cell r="J62">
            <v>389.09</v>
          </cell>
        </row>
        <row r="63">
          <cell r="A63" t="str">
            <v>6724 МОЛОЧНЫЕ ПМ сос п/о мгс 0,41кг 10шт  Останкино</v>
          </cell>
          <cell r="D63">
            <v>107.42</v>
          </cell>
          <cell r="F63">
            <v>262</v>
          </cell>
          <cell r="G63">
            <v>0.41</v>
          </cell>
          <cell r="H63">
            <v>1</v>
          </cell>
          <cell r="I63">
            <v>0</v>
          </cell>
          <cell r="J63">
            <v>107.42</v>
          </cell>
        </row>
        <row r="64">
          <cell r="A64" t="str">
            <v>6762 СЛИВОЧНЫЕ сос ц/о мгс 0,41кг 8шт  Останкино</v>
          </cell>
          <cell r="D64">
            <v>6.56</v>
          </cell>
          <cell r="F64">
            <v>16</v>
          </cell>
          <cell r="I64">
            <v>6.56</v>
          </cell>
          <cell r="J64">
            <v>0</v>
          </cell>
        </row>
        <row r="65">
          <cell r="A65" t="str">
            <v>6765 РУБЛЕНЫЕ сос ц/о мгс 0,36кг 6шт  Останкино</v>
          </cell>
          <cell r="D65">
            <v>293.04000000000002</v>
          </cell>
          <cell r="F65">
            <v>814</v>
          </cell>
          <cell r="G65">
            <v>2.88</v>
          </cell>
          <cell r="H65">
            <v>8</v>
          </cell>
          <cell r="I65">
            <v>41.04</v>
          </cell>
          <cell r="J65">
            <v>252.00000000000003</v>
          </cell>
        </row>
        <row r="66">
          <cell r="A66" t="str">
            <v>6787 СЕРВЕЛАТ КРЕМЛЕВСКИЙ в/к в/у 0,33кг 8шт  Останкино</v>
          </cell>
          <cell r="D66">
            <v>205.26</v>
          </cell>
          <cell r="F66">
            <v>622</v>
          </cell>
          <cell r="G66">
            <v>1.32</v>
          </cell>
          <cell r="H66">
            <v>4</v>
          </cell>
          <cell r="I66">
            <v>0</v>
          </cell>
          <cell r="J66">
            <v>205.26</v>
          </cell>
        </row>
        <row r="67">
          <cell r="A67" t="str">
            <v>6797 С ИНДЕЙКОЙ Папа может вар п/о 0,4кг 8шт. ОСТАНКИНО</v>
          </cell>
          <cell r="D67">
            <v>282</v>
          </cell>
          <cell r="F67">
            <v>705</v>
          </cell>
          <cell r="I67">
            <v>57.6</v>
          </cell>
          <cell r="J67">
            <v>224.4</v>
          </cell>
        </row>
        <row r="68">
          <cell r="A68" t="str">
            <v>6807 СЕРВЕЛАТ ЕВРОПЕЙСКИЙ в/к в/у 0,33кг 8шт  Останкино</v>
          </cell>
          <cell r="D68">
            <v>26.4</v>
          </cell>
          <cell r="F68">
            <v>80</v>
          </cell>
          <cell r="G68">
            <v>0.99</v>
          </cell>
          <cell r="H68">
            <v>3</v>
          </cell>
          <cell r="I68">
            <v>0</v>
          </cell>
          <cell r="J68">
            <v>26.4</v>
          </cell>
        </row>
        <row r="69">
          <cell r="A69" t="str">
            <v>6819 БЛИНЧ.КРУГЛЫЕ С САД.ЯБЛОК. пл. 1/300 зам. ОСТАНКИНО</v>
          </cell>
          <cell r="D69">
            <v>9.3000000000000007</v>
          </cell>
          <cell r="F69">
            <v>31</v>
          </cell>
          <cell r="I69">
            <v>0</v>
          </cell>
          <cell r="J69">
            <v>9.3000000000000007</v>
          </cell>
        </row>
        <row r="70">
          <cell r="A70" t="str">
            <v>6829  МОЛОЧНЫЕ КЛАССИЧЕСКИЕ сос п/о мгс 2*4 С  Останккино</v>
          </cell>
          <cell r="D70">
            <v>1731.5250000000001</v>
          </cell>
          <cell r="F70">
            <v>1731.5250000000001</v>
          </cell>
          <cell r="G70">
            <v>6.0289999999999999</v>
          </cell>
          <cell r="H70">
            <v>6.0289999999999999</v>
          </cell>
          <cell r="I70">
            <v>76.003</v>
          </cell>
          <cell r="J70">
            <v>1655.5220000000002</v>
          </cell>
        </row>
        <row r="71">
          <cell r="A71" t="str">
            <v>6832 АССОРТИ СЫРОКОПЧЕНЫХ КОЛБАС Коровино в/у  ОСТАНКИНО</v>
          </cell>
          <cell r="D71">
            <v>35.359000000000002</v>
          </cell>
          <cell r="F71">
            <v>35.359000000000002</v>
          </cell>
          <cell r="G71">
            <v>2.5390000000000001</v>
          </cell>
          <cell r="H71">
            <v>2.5390000000000001</v>
          </cell>
          <cell r="I71">
            <v>0</v>
          </cell>
          <cell r="J71">
            <v>35.359000000000002</v>
          </cell>
        </row>
        <row r="72">
          <cell r="A72" t="str">
            <v>6834 ПОСОЛЬСКАЯ с/к с/н в/у 1/100 10шт  Останкино</v>
          </cell>
          <cell r="D72">
            <v>-0.3</v>
          </cell>
          <cell r="F72">
            <v>-3</v>
          </cell>
          <cell r="G72">
            <v>0.3</v>
          </cell>
          <cell r="H72">
            <v>3</v>
          </cell>
          <cell r="I72">
            <v>0</v>
          </cell>
          <cell r="J72">
            <v>-0.3</v>
          </cell>
        </row>
        <row r="73">
          <cell r="A73" t="str">
            <v>6837 ФИЛЕЙНЫЕ Папа Может сос ц/о мгс 0,4кг  Останкино</v>
          </cell>
          <cell r="D73">
            <v>29.6</v>
          </cell>
          <cell r="F73">
            <v>74</v>
          </cell>
          <cell r="G73">
            <v>5.2</v>
          </cell>
          <cell r="H73">
            <v>13</v>
          </cell>
          <cell r="I73">
            <v>0</v>
          </cell>
          <cell r="J73">
            <v>29.6</v>
          </cell>
        </row>
        <row r="74">
          <cell r="A74" t="str">
            <v>6861 ДОМАШНИЙ РЕЦЕПТ Коровино вар п/о  Останкино</v>
          </cell>
          <cell r="D74">
            <v>59.756</v>
          </cell>
          <cell r="F74">
            <v>59.756</v>
          </cell>
          <cell r="G74">
            <v>0.93</v>
          </cell>
          <cell r="H74">
            <v>0.93</v>
          </cell>
          <cell r="I74">
            <v>0</v>
          </cell>
          <cell r="J74">
            <v>59.756</v>
          </cell>
        </row>
        <row r="75">
          <cell r="A75" t="str">
            <v>6866 ВЕТЧ.НЕЖНАЯ Коровино п/о_Маяк  Останкино</v>
          </cell>
          <cell r="D75">
            <v>63.265000000000001</v>
          </cell>
          <cell r="F75">
            <v>63.265000000000001</v>
          </cell>
          <cell r="I75">
            <v>0</v>
          </cell>
          <cell r="J75">
            <v>63.265000000000001</v>
          </cell>
        </row>
        <row r="76">
          <cell r="A76" t="str">
            <v>6925 ВЕТЧ.КЛАССИЧЕСКАЯ в/у 0,6кг 8шт. ОСТАНКИНО</v>
          </cell>
          <cell r="D76">
            <v>45.6</v>
          </cell>
          <cell r="F76">
            <v>76</v>
          </cell>
          <cell r="G76">
            <v>1.2</v>
          </cell>
          <cell r="H76">
            <v>2</v>
          </cell>
          <cell r="I76">
            <v>0</v>
          </cell>
          <cell r="J76">
            <v>45.6</v>
          </cell>
        </row>
        <row r="77">
          <cell r="A77" t="str">
            <v>6946 СЕРВЕЛАТ КРЕМЛЕВСКИЙ в/к в/у ВЕС  0,84кг ОСТАНКИНО</v>
          </cell>
          <cell r="D77">
            <v>17.864000000000001</v>
          </cell>
          <cell r="F77">
            <v>17.864000000000001</v>
          </cell>
          <cell r="G77">
            <v>1.72</v>
          </cell>
          <cell r="H77">
            <v>1.72</v>
          </cell>
          <cell r="I77">
            <v>0</v>
          </cell>
          <cell r="J77">
            <v>17.864000000000001</v>
          </cell>
        </row>
        <row r="78">
          <cell r="A78" t="str">
            <v>6955 СОЧНЫЕ Папа может сос п/о мгс 1,5*4 А  Останкино</v>
          </cell>
          <cell r="D78">
            <v>12.435</v>
          </cell>
          <cell r="F78">
            <v>12.435</v>
          </cell>
          <cell r="I78">
            <v>0</v>
          </cell>
          <cell r="J78">
            <v>12.435</v>
          </cell>
        </row>
        <row r="79">
          <cell r="A79" t="str">
            <v>6967 БУРГУНДИЯ Папа может с/к в/у 1/250 8шт  Останкино</v>
          </cell>
          <cell r="D79">
            <v>53.5</v>
          </cell>
          <cell r="F79">
            <v>214</v>
          </cell>
          <cell r="G79">
            <v>0.25</v>
          </cell>
          <cell r="H79">
            <v>1</v>
          </cell>
          <cell r="I79">
            <v>8</v>
          </cell>
          <cell r="J79">
            <v>45.5</v>
          </cell>
        </row>
        <row r="80">
          <cell r="A80" t="str">
            <v>7001 КЛАССИЧЕСКИЕ Папа может сар б/о мгс 1*3  Останкино</v>
          </cell>
          <cell r="D80">
            <v>57.079000000000001</v>
          </cell>
          <cell r="F80">
            <v>57.079000000000001</v>
          </cell>
          <cell r="G80">
            <v>1.484</v>
          </cell>
          <cell r="H80">
            <v>1.484</v>
          </cell>
          <cell r="I80">
            <v>0</v>
          </cell>
          <cell r="J80">
            <v>57.079000000000001</v>
          </cell>
        </row>
        <row r="81">
          <cell r="A81" t="str">
            <v>7040 С ИНДЕЙКОЙ ПМ сос ц/о в/у 1/270 8шт.  ОСТАНКИНО</v>
          </cell>
          <cell r="D81">
            <v>15.66</v>
          </cell>
          <cell r="F81">
            <v>58</v>
          </cell>
          <cell r="I81">
            <v>0</v>
          </cell>
          <cell r="J81">
            <v>15.66</v>
          </cell>
        </row>
        <row r="82">
          <cell r="A82" t="str">
            <v>7059 ШПИКАЧКИ СОЧНЫЕ С БЕК. п/о мгс 0,3кг 60с ОСТАНКИНО</v>
          </cell>
          <cell r="D82">
            <v>107.1</v>
          </cell>
          <cell r="F82">
            <v>357</v>
          </cell>
          <cell r="G82">
            <v>3.6</v>
          </cell>
          <cell r="H82">
            <v>12</v>
          </cell>
          <cell r="I82">
            <v>0</v>
          </cell>
          <cell r="J82">
            <v>107.1</v>
          </cell>
        </row>
        <row r="83">
          <cell r="A83" t="str">
            <v>7066 СОЧНЫЕ ПМ сос п/о мгс 0,41кг 10шт 50с  Останкино</v>
          </cell>
          <cell r="D83">
            <v>1924.13</v>
          </cell>
          <cell r="F83">
            <v>4693</v>
          </cell>
          <cell r="G83">
            <v>0.82</v>
          </cell>
          <cell r="H83">
            <v>2</v>
          </cell>
          <cell r="I83">
            <v>106.6</v>
          </cell>
          <cell r="J83">
            <v>1817.5300000000002</v>
          </cell>
        </row>
        <row r="84">
          <cell r="A84" t="str">
            <v>7067 СОЧНЫЕ ПМ сос. п/о мгс 0,41кг СНГ 50с ОСТАНКИНО</v>
          </cell>
          <cell r="D84">
            <v>70.11</v>
          </cell>
          <cell r="F84">
            <v>171</v>
          </cell>
          <cell r="I84">
            <v>0</v>
          </cell>
          <cell r="J84">
            <v>70.11</v>
          </cell>
        </row>
        <row r="85">
          <cell r="A85" t="str">
            <v>7070 СОЧНЫЕ ПМ сос п/о 1,5*4_А_50с  Останкино</v>
          </cell>
          <cell r="D85">
            <v>1457.8510000000001</v>
          </cell>
          <cell r="F85">
            <v>1457.8510000000001</v>
          </cell>
          <cell r="G85">
            <v>4.2169999999999996</v>
          </cell>
          <cell r="H85">
            <v>4.2169999999999996</v>
          </cell>
          <cell r="I85">
            <v>0</v>
          </cell>
          <cell r="J85">
            <v>1457.8510000000001</v>
          </cell>
        </row>
        <row r="86">
          <cell r="A86" t="str">
            <v>7073 МОЛОЧ.ПРЕМИУМ ПМ сос п/о в/у 1/350_50с  Останкино</v>
          </cell>
          <cell r="D86">
            <v>60.2</v>
          </cell>
          <cell r="F86">
            <v>172</v>
          </cell>
          <cell r="G86">
            <v>0.35</v>
          </cell>
          <cell r="H86">
            <v>1</v>
          </cell>
          <cell r="I86">
            <v>0</v>
          </cell>
          <cell r="J86">
            <v>60.2</v>
          </cell>
        </row>
        <row r="87">
          <cell r="A87" t="str">
            <v>7077 МЯСНЫЕ С ГОВЯД. ПМ сос п/о мгс 0,4кг_50с  Останкино</v>
          </cell>
          <cell r="D87">
            <v>1.2</v>
          </cell>
          <cell r="F87">
            <v>3</v>
          </cell>
          <cell r="I87">
            <v>0</v>
          </cell>
          <cell r="J87">
            <v>1.2</v>
          </cell>
        </row>
        <row r="88">
          <cell r="A88" t="str">
            <v>7080 СЛИВОЧНЫЕ ПМ сос п/о мгс 0,41кг 10шт 50с  Останкино</v>
          </cell>
          <cell r="D88">
            <v>891.75</v>
          </cell>
          <cell r="F88">
            <v>2175</v>
          </cell>
          <cell r="G88">
            <v>4.51</v>
          </cell>
          <cell r="H88">
            <v>11</v>
          </cell>
          <cell r="I88">
            <v>0</v>
          </cell>
          <cell r="J88">
            <v>891.75</v>
          </cell>
        </row>
        <row r="89">
          <cell r="A89" t="str">
            <v>7082 СЛИВОЧНЫЕ ПМ сос п/о мгс 1,5*4_50с  Останкино</v>
          </cell>
          <cell r="D89">
            <v>-0.93</v>
          </cell>
          <cell r="F89">
            <v>-0.93</v>
          </cell>
          <cell r="G89">
            <v>0.93</v>
          </cell>
          <cell r="H89">
            <v>0.93</v>
          </cell>
          <cell r="I89">
            <v>0</v>
          </cell>
          <cell r="J89">
            <v>-0.93</v>
          </cell>
        </row>
        <row r="90">
          <cell r="A90" t="str">
            <v>7083 СЛИВОЧНЫЕ ПМ сос п/о мгс 1.5*4_А_50с  ОСТАНКИНО</v>
          </cell>
          <cell r="D90">
            <v>347.75200000000001</v>
          </cell>
          <cell r="F90">
            <v>347.75200000000001</v>
          </cell>
          <cell r="G90">
            <v>1.5880000000000001</v>
          </cell>
          <cell r="H90">
            <v>1.5880000000000001</v>
          </cell>
          <cell r="I90">
            <v>18.73</v>
          </cell>
          <cell r="J90">
            <v>329.02199999999999</v>
          </cell>
        </row>
        <row r="91">
          <cell r="A91" t="str">
            <v>7090 СВИНИНА ПО-ДОМ.к/в мл/к в/у 0,3кг_50с  Останкино</v>
          </cell>
          <cell r="D91">
            <v>64.8</v>
          </cell>
          <cell r="F91">
            <v>216</v>
          </cell>
          <cell r="G91">
            <v>0.6</v>
          </cell>
          <cell r="H91">
            <v>2</v>
          </cell>
          <cell r="I91">
            <v>0</v>
          </cell>
          <cell r="J91">
            <v>64.8</v>
          </cell>
        </row>
        <row r="92">
          <cell r="A92" t="str">
            <v>7103 БЕКОН Останкино с/к с/н в/у 1/180_50с  Останкино</v>
          </cell>
          <cell r="D92">
            <v>204.84</v>
          </cell>
          <cell r="F92">
            <v>1138</v>
          </cell>
          <cell r="G92">
            <v>1.62</v>
          </cell>
          <cell r="H92">
            <v>9</v>
          </cell>
          <cell r="I92">
            <v>10.8</v>
          </cell>
          <cell r="J92">
            <v>194.04</v>
          </cell>
        </row>
        <row r="93">
          <cell r="A93" t="str">
            <v>7147 САЛЬЧИЧОН Останкино с/к в/у 1/220 8 шт  Останкино</v>
          </cell>
          <cell r="D93">
            <v>1.98</v>
          </cell>
          <cell r="F93">
            <v>9</v>
          </cell>
          <cell r="G93">
            <v>0.66</v>
          </cell>
          <cell r="H93">
            <v>3</v>
          </cell>
          <cell r="I93">
            <v>0</v>
          </cell>
          <cell r="J93">
            <v>1.98</v>
          </cell>
        </row>
        <row r="94">
          <cell r="A94" t="str">
            <v>7149 БАЛЫКОВАЯ Коровино п/к в/у 0,84кг_50с  Останкино</v>
          </cell>
          <cell r="D94">
            <v>10.08</v>
          </cell>
          <cell r="F94">
            <v>12</v>
          </cell>
          <cell r="I94">
            <v>10.08</v>
          </cell>
          <cell r="J94">
            <v>0</v>
          </cell>
        </row>
        <row r="95">
          <cell r="A95" t="str">
            <v>7154 СЕРВЕЛАТ ЗЕРНИСТЫЙ ПМ в/к в/у 0,35кг_50с  Останкино</v>
          </cell>
          <cell r="D95">
            <v>1103.2</v>
          </cell>
          <cell r="F95">
            <v>3152</v>
          </cell>
          <cell r="G95">
            <v>5.25</v>
          </cell>
          <cell r="H95">
            <v>15</v>
          </cell>
          <cell r="I95">
            <v>39.200000000000003</v>
          </cell>
          <cell r="J95">
            <v>1064</v>
          </cell>
        </row>
        <row r="96">
          <cell r="A96" t="str">
            <v>7157 СЕРВЕЛАТ ЗЕРНИСТЫЙ ПМ в/к в/у_50с  Останкино</v>
          </cell>
          <cell r="D96">
            <v>638.88300000000004</v>
          </cell>
          <cell r="F96">
            <v>638.88300000000004</v>
          </cell>
          <cell r="G96">
            <v>0.72899999999999998</v>
          </cell>
          <cell r="H96">
            <v>0.72899999999999998</v>
          </cell>
          <cell r="I96">
            <v>10.744999999999999</v>
          </cell>
          <cell r="J96">
            <v>628.13800000000003</v>
          </cell>
        </row>
        <row r="97">
          <cell r="A97" t="str">
            <v>7166 СЕРВЕЛАТ ОХОТНИЧИЙ ПМ в/к в/у_50с  Останкино</v>
          </cell>
          <cell r="D97">
            <v>1339.45</v>
          </cell>
          <cell r="F97">
            <v>1339.45</v>
          </cell>
          <cell r="G97">
            <v>2.7919999999999998</v>
          </cell>
          <cell r="H97">
            <v>2.7919999999999998</v>
          </cell>
          <cell r="I97">
            <v>61.853999999999999</v>
          </cell>
          <cell r="J97">
            <v>1277.596</v>
          </cell>
        </row>
        <row r="98">
          <cell r="A98" t="str">
            <v>7169 СЕРВЕЛАТ ОХОТНИЧИЙ ПМ в/к в/у 0,35кг_50с  Останкино</v>
          </cell>
          <cell r="D98">
            <v>1201.2</v>
          </cell>
          <cell r="F98">
            <v>3432</v>
          </cell>
          <cell r="G98">
            <v>9.8000000000000007</v>
          </cell>
          <cell r="H98">
            <v>28</v>
          </cell>
          <cell r="I98">
            <v>5.6</v>
          </cell>
          <cell r="J98">
            <v>1195.6000000000001</v>
          </cell>
        </row>
        <row r="99">
          <cell r="A99" t="str">
            <v>7187 ГРУДИНКА ПРЕМИУМ к/в мл/к в/у 0,3кг_50с  Останкино</v>
          </cell>
          <cell r="D99">
            <v>117.3</v>
          </cell>
          <cell r="F99">
            <v>391</v>
          </cell>
          <cell r="G99">
            <v>1.2</v>
          </cell>
          <cell r="H99">
            <v>4</v>
          </cell>
          <cell r="I99">
            <v>0</v>
          </cell>
          <cell r="J99">
            <v>117.3</v>
          </cell>
        </row>
        <row r="100">
          <cell r="A100" t="str">
            <v>7216 СОЧНЫЕ СО СЛ.МАСЛ.ПМ пельм пл.0.7кг зам. ОСТАНКИНО</v>
          </cell>
          <cell r="D100">
            <v>128.80000000000001</v>
          </cell>
          <cell r="F100">
            <v>184</v>
          </cell>
          <cell r="G100">
            <v>4.9000000000000004</v>
          </cell>
          <cell r="H100">
            <v>7</v>
          </cell>
          <cell r="I100">
            <v>0</v>
          </cell>
          <cell r="J100">
            <v>128.80000000000001</v>
          </cell>
        </row>
        <row r="101">
          <cell r="A101" t="str">
            <v>7231 КЛАССИЧЕСКАЯ ПМ вар п/о 0,3кг 8 шт_209к  Останкино</v>
          </cell>
          <cell r="D101">
            <v>56.7</v>
          </cell>
          <cell r="F101">
            <v>189</v>
          </cell>
          <cell r="I101">
            <v>0</v>
          </cell>
          <cell r="J101">
            <v>56.7</v>
          </cell>
        </row>
        <row r="102">
          <cell r="A102" t="str">
            <v>7232 БОЯNСКАЯ ПМ п/к в/у 0,28кг 8шт_209к  Останкино</v>
          </cell>
          <cell r="D102">
            <v>152.32</v>
          </cell>
          <cell r="F102">
            <v>544</v>
          </cell>
          <cell r="G102">
            <v>3.64</v>
          </cell>
          <cell r="H102">
            <v>13</v>
          </cell>
          <cell r="I102">
            <v>11.2</v>
          </cell>
          <cell r="J102">
            <v>141.12</v>
          </cell>
        </row>
        <row r="103">
          <cell r="A103" t="str">
            <v>7236 СЕРВЕЛАТ КАРЕЛЬСКИЙ в/к в/у 0,28кг_209к  Останкино</v>
          </cell>
          <cell r="D103">
            <v>320.60000000000002</v>
          </cell>
          <cell r="F103">
            <v>1145</v>
          </cell>
          <cell r="G103">
            <v>4.2</v>
          </cell>
          <cell r="H103">
            <v>15</v>
          </cell>
          <cell r="I103">
            <v>17.920000000000002</v>
          </cell>
          <cell r="J103">
            <v>302.68</v>
          </cell>
        </row>
        <row r="104">
          <cell r="A104" t="str">
            <v>7237 СЕРВЕЛАТ ШВАРЦЕР ПМ в/к в/у 0,28кг_209к  Останкино</v>
          </cell>
          <cell r="D104">
            <v>59.92</v>
          </cell>
          <cell r="F104">
            <v>214</v>
          </cell>
          <cell r="G104">
            <v>3.36</v>
          </cell>
          <cell r="H104">
            <v>12</v>
          </cell>
          <cell r="I104">
            <v>0</v>
          </cell>
          <cell r="J104">
            <v>59.92</v>
          </cell>
        </row>
        <row r="105">
          <cell r="A105" t="str">
            <v>7241 САЛЯМИ Папа может п/к в/у 0,28кг ОСТАНКИНО</v>
          </cell>
          <cell r="D105">
            <v>250.6</v>
          </cell>
          <cell r="F105">
            <v>895</v>
          </cell>
          <cell r="G105">
            <v>1.96</v>
          </cell>
          <cell r="H105">
            <v>7</v>
          </cell>
          <cell r="I105">
            <v>15.68</v>
          </cell>
          <cell r="J105">
            <v>234.92</v>
          </cell>
        </row>
        <row r="106">
          <cell r="A106" t="str">
            <v>7255 МЯСНЫЕ С ГОВЯД.ПМ сос п/о мгс 0.4кг 6шт.  ОСТАНКИНО</v>
          </cell>
          <cell r="D106">
            <v>472.8</v>
          </cell>
          <cell r="F106">
            <v>1182</v>
          </cell>
          <cell r="G106">
            <v>2</v>
          </cell>
          <cell r="H106">
            <v>5</v>
          </cell>
          <cell r="I106">
            <v>16.8</v>
          </cell>
          <cell r="J106">
            <v>456</v>
          </cell>
        </row>
        <row r="107">
          <cell r="A107" t="str">
            <v>7271 МЯСНЫЕ С ГОВЯДИНОЙ ПМ сос п/о мгс 1.5*4  ОСТАНКИНО</v>
          </cell>
          <cell r="D107">
            <v>63.042000000000002</v>
          </cell>
          <cell r="F107">
            <v>63.042000000000002</v>
          </cell>
          <cell r="I107">
            <v>63.042000000000002</v>
          </cell>
          <cell r="J107">
            <v>0</v>
          </cell>
        </row>
        <row r="108">
          <cell r="A108" t="str">
            <v>7276 СЛИВОЧНЫЕ ПМ сос п/о мгс 0,3кг 7шт  Останкино</v>
          </cell>
          <cell r="D108">
            <v>24.9</v>
          </cell>
          <cell r="F108">
            <v>83</v>
          </cell>
          <cell r="I108">
            <v>0</v>
          </cell>
          <cell r="J108">
            <v>24.9</v>
          </cell>
        </row>
        <row r="109">
          <cell r="A109" t="str">
            <v>7284 ДЛЯ ДЕТЕЙ сос п/о мгс 0,33кг 6шт  Останкино</v>
          </cell>
          <cell r="D109">
            <v>20.79</v>
          </cell>
          <cell r="F109">
            <v>63</v>
          </cell>
          <cell r="G109">
            <v>2.31</v>
          </cell>
          <cell r="H109">
            <v>7</v>
          </cell>
          <cell r="I109">
            <v>9.9</v>
          </cell>
          <cell r="J109">
            <v>10.889999999999999</v>
          </cell>
        </row>
        <row r="110">
          <cell r="A110" t="str">
            <v>7288 БАЛЫК с/к с/н в/у 1/100 10шт ОСТАНКИНО</v>
          </cell>
          <cell r="D110">
            <v>13.3</v>
          </cell>
          <cell r="F110">
            <v>133</v>
          </cell>
          <cell r="I110">
            <v>2</v>
          </cell>
          <cell r="J110">
            <v>11.3</v>
          </cell>
        </row>
        <row r="111">
          <cell r="A111" t="str">
            <v>7299 НАБОР ДЛЯ ПИЦЦЫ Папа Может с/к в/у  ОСТАНКИНО</v>
          </cell>
          <cell r="D111">
            <v>49.738</v>
          </cell>
          <cell r="F111">
            <v>49.738</v>
          </cell>
          <cell r="I111">
            <v>0</v>
          </cell>
          <cell r="J111">
            <v>49.738</v>
          </cell>
        </row>
        <row r="112">
          <cell r="A112" t="str">
            <v>7332 БОЯРСКАЯ ПМ п/к в/у 0,28кг ОСТАНКИНО</v>
          </cell>
          <cell r="D112">
            <v>14.84</v>
          </cell>
          <cell r="F112">
            <v>53</v>
          </cell>
          <cell r="G112">
            <v>0.28000000000000003</v>
          </cell>
          <cell r="H112">
            <v>1</v>
          </cell>
          <cell r="I112">
            <v>0</v>
          </cell>
          <cell r="J112">
            <v>14.84</v>
          </cell>
        </row>
        <row r="113">
          <cell r="A113" t="str">
            <v>7333 СЕРВЕЛАТ ОХОТНИЧИЙ ПМ в/к в/у 0,28кг ОСТАНКИНО</v>
          </cell>
          <cell r="D113">
            <v>39.479999999999997</v>
          </cell>
          <cell r="F113">
            <v>141</v>
          </cell>
          <cell r="G113">
            <v>0.28000000000000003</v>
          </cell>
          <cell r="H113">
            <v>1</v>
          </cell>
          <cell r="I113">
            <v>24.64</v>
          </cell>
          <cell r="J113">
            <v>14.839999999999996</v>
          </cell>
        </row>
        <row r="114">
          <cell r="A114" t="str">
            <v>7334 МЯСНАЯ СО ШПИКОМ ПМ вар п/о 0.4кг 8шт.</v>
          </cell>
          <cell r="D114">
            <v>19.2</v>
          </cell>
          <cell r="F114">
            <v>48</v>
          </cell>
          <cell r="I114">
            <v>19.2</v>
          </cell>
          <cell r="J114">
            <v>0</v>
          </cell>
        </row>
        <row r="115">
          <cell r="A115" t="str">
            <v>7371 БРЕСТСКИЕ сос п/о в/у 0,3кг 8шт. ОСТАНКИНО</v>
          </cell>
          <cell r="D115">
            <v>126.9</v>
          </cell>
          <cell r="F115">
            <v>423</v>
          </cell>
          <cell r="G115">
            <v>2.1</v>
          </cell>
          <cell r="H115">
            <v>7</v>
          </cell>
          <cell r="I115">
            <v>0</v>
          </cell>
          <cell r="J115">
            <v>126.9</v>
          </cell>
        </row>
        <row r="116">
          <cell r="A116" t="str">
            <v>7382  САЛЯМИ МЕЛКОЗЕРНЕНАЯ с/к в/у1/120 8шт.  ОСТАНКИНО</v>
          </cell>
          <cell r="D116">
            <v>159</v>
          </cell>
          <cell r="F116">
            <v>1325</v>
          </cell>
          <cell r="G116">
            <v>0.48</v>
          </cell>
          <cell r="H116">
            <v>4</v>
          </cell>
          <cell r="I116">
            <v>7.68</v>
          </cell>
          <cell r="J116">
            <v>151.32</v>
          </cell>
        </row>
        <row r="117">
          <cell r="A117" t="str">
            <v>7461 ДЛЯ ДЕТЕЙ Папа Может сос п/о мгс 0,33кг ОСТАНКИНО</v>
          </cell>
          <cell r="D117">
            <v>216.48</v>
          </cell>
          <cell r="F117">
            <v>656</v>
          </cell>
          <cell r="G117">
            <v>15.18</v>
          </cell>
          <cell r="H117">
            <v>46</v>
          </cell>
          <cell r="I117">
            <v>17.82</v>
          </cell>
          <cell r="J117">
            <v>198.66</v>
          </cell>
        </row>
        <row r="118">
          <cell r="A118" t="str">
            <v>7489 СЫРРРВЕЛАТ Папа Может в/к в/у 0,28кг 8шт. ОСТАНКИНО</v>
          </cell>
          <cell r="D118">
            <v>26.6</v>
          </cell>
          <cell r="F118">
            <v>95</v>
          </cell>
          <cell r="G118">
            <v>1.68</v>
          </cell>
          <cell r="H118">
            <v>6</v>
          </cell>
          <cell r="I118">
            <v>0</v>
          </cell>
          <cell r="J118">
            <v>26.6</v>
          </cell>
        </row>
        <row r="119">
          <cell r="A119" t="str">
            <v>7523 ГОВЯЖЬЯ Папа Может вар п/о 0,4кг 6шт. ОСТАНКИНО</v>
          </cell>
          <cell r="D119">
            <v>294.39999999999998</v>
          </cell>
          <cell r="F119">
            <v>736</v>
          </cell>
          <cell r="G119">
            <v>0.8</v>
          </cell>
          <cell r="H119">
            <v>2</v>
          </cell>
          <cell r="I119">
            <v>36</v>
          </cell>
          <cell r="J119">
            <v>258.39999999999998</v>
          </cell>
        </row>
        <row r="120">
          <cell r="A120" t="str">
            <v>7539 ДОКТОРСКАЯ ГОСТ вар п/о 0,35кг ОСТАНКИНО</v>
          </cell>
          <cell r="D120">
            <v>38.5</v>
          </cell>
          <cell r="F120">
            <v>110</v>
          </cell>
          <cell r="I120">
            <v>11.2</v>
          </cell>
          <cell r="J120">
            <v>27.3</v>
          </cell>
        </row>
        <row r="121">
          <cell r="A121" t="str">
            <v>7564 Балыковая в/к в/у Останкино Вес  ОСТАНКИНО</v>
          </cell>
          <cell r="D121">
            <v>30.524000000000001</v>
          </cell>
          <cell r="F121">
            <v>30.524000000000001</v>
          </cell>
          <cell r="I121">
            <v>0</v>
          </cell>
          <cell r="J121">
            <v>30.524000000000001</v>
          </cell>
        </row>
        <row r="122">
          <cell r="A122" t="str">
            <v>7601 ДЛЯ ДЕТЕЙ Папа может сос п/о мгс 0.264кг  ОСТАНКИНО</v>
          </cell>
          <cell r="D122">
            <v>3.1680000000000001</v>
          </cell>
          <cell r="F122">
            <v>12</v>
          </cell>
          <cell r="I122">
            <v>0</v>
          </cell>
          <cell r="J122">
            <v>3.1680000000000001</v>
          </cell>
        </row>
        <row r="123">
          <cell r="A123" t="str">
            <v>7603 БАЛЫКОВАЯ в/к в/у 0.33кг 8шт. ОСТАНКИНО</v>
          </cell>
          <cell r="D123">
            <v>153.78</v>
          </cell>
          <cell r="F123">
            <v>466</v>
          </cell>
          <cell r="G123">
            <v>5.28</v>
          </cell>
          <cell r="H123">
            <v>16</v>
          </cell>
          <cell r="I123">
            <v>22.77</v>
          </cell>
          <cell r="J123">
            <v>131.01</v>
          </cell>
        </row>
        <row r="124">
          <cell r="A124" t="str">
            <v>7608 СЕРВЕЛАТ ШВЕЙЦАРСК.в/к с/н в/у 1/100_Л11  ОСТАНКИНО</v>
          </cell>
          <cell r="D124">
            <v>0.4</v>
          </cell>
          <cell r="F124">
            <v>4</v>
          </cell>
          <cell r="I124">
            <v>0</v>
          </cell>
          <cell r="J124">
            <v>0.4</v>
          </cell>
        </row>
        <row r="125">
          <cell r="A125" t="str">
            <v>7612 БАЛЫК с/к с/н в/у 1/100 10шт_  ОСТАНКИНО</v>
          </cell>
          <cell r="D125">
            <v>4.5999999999999996</v>
          </cell>
          <cell r="F125">
            <v>46</v>
          </cell>
          <cell r="I125">
            <v>4</v>
          </cell>
          <cell r="J125">
            <v>0.59999999999999964</v>
          </cell>
        </row>
        <row r="126">
          <cell r="A126" t="str">
            <v>7613 АРОМАТНАЯ с/к с/н в/у 1/100 10шт_Л10  ОСТАНКИНО</v>
          </cell>
          <cell r="D126">
            <v>6.4</v>
          </cell>
          <cell r="F126">
            <v>64</v>
          </cell>
          <cell r="I126">
            <v>4</v>
          </cell>
          <cell r="J126">
            <v>2.4000000000000004</v>
          </cell>
        </row>
        <row r="127">
          <cell r="A127" t="str">
            <v>7616 ЭКСТРА Папа может с/к с/н в/у 1/100_  ОСТАНКИНО</v>
          </cell>
          <cell r="D127">
            <v>68.8</v>
          </cell>
          <cell r="F127">
            <v>688</v>
          </cell>
          <cell r="I127">
            <v>0</v>
          </cell>
          <cell r="J127">
            <v>68.8</v>
          </cell>
        </row>
        <row r="128">
          <cell r="A128" t="str">
            <v>7632 ЭКСТРА Папа может вар п/о 0.4кг 8шт_195к  ОСТАНКИНО</v>
          </cell>
          <cell r="D128">
            <v>598.79999999999995</v>
          </cell>
          <cell r="F128">
            <v>1497</v>
          </cell>
          <cell r="I128">
            <v>25.6</v>
          </cell>
          <cell r="J128">
            <v>573.19999999999993</v>
          </cell>
        </row>
        <row r="129">
          <cell r="A129" t="str">
            <v>БОНУС_6954 СОЧНЫЕ Папа может сос п/о мгс 1.5*4_Х5  ОСТАНКИНО</v>
          </cell>
          <cell r="D129">
            <v>3.1070000000000002</v>
          </cell>
          <cell r="F129">
            <v>3.1070000000000002</v>
          </cell>
          <cell r="I129">
            <v>0</v>
          </cell>
          <cell r="J129">
            <v>3.1070000000000002</v>
          </cell>
        </row>
        <row r="130">
          <cell r="A130" t="str">
            <v>Сыр ПАПА МОЖЕТ "Голландский традиционный" 45% 180 гр (10шт)  Останкино</v>
          </cell>
          <cell r="D130">
            <v>1.8</v>
          </cell>
          <cell r="F130">
            <v>10</v>
          </cell>
          <cell r="I130">
            <v>0</v>
          </cell>
          <cell r="J130">
            <v>1.8</v>
          </cell>
        </row>
        <row r="131">
          <cell r="A131" t="str">
            <v>Итого</v>
          </cell>
          <cell r="D131">
            <v>38054.188999999998</v>
          </cell>
          <cell r="F131">
            <v>74182.630999999994</v>
          </cell>
          <cell r="G131">
            <v>253.19399999999999</v>
          </cell>
          <cell r="H131">
            <v>594.28399999999999</v>
          </cell>
          <cell r="I131">
            <v>1937.904</v>
          </cell>
          <cell r="J131">
            <v>36116.284999999996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G111"/>
  <sheetViews>
    <sheetView tabSelected="1" workbookViewId="0">
      <selection activeCell="K16" sqref="K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7.1640625" style="1" customWidth="1"/>
    <col min="5" max="5" width="14" style="1" customWidth="1"/>
    <col min="6" max="7" width="10.5" style="10"/>
  </cols>
  <sheetData>
    <row r="1" spans="1:7" s="1" customFormat="1" ht="9.9499999999999993" customHeight="1" x14ac:dyDescent="0.2">
      <c r="F1" s="12"/>
      <c r="G1" s="12"/>
    </row>
    <row r="2" spans="1:7" ht="24.95" customHeight="1" x14ac:dyDescent="0.2">
      <c r="A2" s="2" t="s">
        <v>0</v>
      </c>
      <c r="B2" s="2"/>
      <c r="C2" s="2"/>
    </row>
    <row r="3" spans="1:7" s="1" customFormat="1" ht="9.9499999999999993" customHeight="1" x14ac:dyDescent="0.2">
      <c r="F3" s="12"/>
      <c r="G3" s="12"/>
    </row>
    <row r="4" spans="1:7" ht="12.95" customHeight="1" outlineLevel="1" x14ac:dyDescent="0.2">
      <c r="A4" s="3" t="s">
        <v>1</v>
      </c>
      <c r="B4" s="3"/>
      <c r="C4" s="3" t="s">
        <v>2</v>
      </c>
      <c r="D4" s="3"/>
    </row>
    <row r="5" spans="1:7" ht="12.95" customHeight="1" outlineLevel="1" x14ac:dyDescent="0.2">
      <c r="C5" s="3" t="s">
        <v>3</v>
      </c>
      <c r="D5" s="3"/>
    </row>
    <row r="6" spans="1:7" ht="26.1" customHeight="1" outlineLevel="1" x14ac:dyDescent="0.2">
      <c r="A6" s="3" t="s">
        <v>4</v>
      </c>
      <c r="B6" s="3"/>
      <c r="C6" s="15" t="s">
        <v>5</v>
      </c>
      <c r="D6" s="15"/>
    </row>
    <row r="7" spans="1:7" s="1" customFormat="1" ht="9.9499999999999993" customHeight="1" x14ac:dyDescent="0.2">
      <c r="F7" s="12"/>
      <c r="G7" s="12"/>
    </row>
    <row r="8" spans="1:7" ht="12.95" customHeight="1" x14ac:dyDescent="0.2">
      <c r="A8" s="16" t="s">
        <v>6</v>
      </c>
      <c r="B8" s="16"/>
      <c r="C8" s="16"/>
      <c r="D8" s="16" t="s">
        <v>7</v>
      </c>
      <c r="E8" s="4" t="s">
        <v>112</v>
      </c>
      <c r="F8" s="9" t="s">
        <v>112</v>
      </c>
    </row>
    <row r="9" spans="1:7" ht="26.1" customHeight="1" x14ac:dyDescent="0.2">
      <c r="A9" s="17"/>
      <c r="B9" s="18"/>
      <c r="C9" s="19"/>
      <c r="D9" s="20"/>
      <c r="E9" s="4" t="s">
        <v>113</v>
      </c>
      <c r="F9" s="9" t="s">
        <v>114</v>
      </c>
      <c r="G9" s="11" t="s">
        <v>115</v>
      </c>
    </row>
    <row r="10" spans="1:7" ht="11.1" customHeight="1" x14ac:dyDescent="0.2">
      <c r="A10" s="13" t="s">
        <v>8</v>
      </c>
      <c r="B10" s="13"/>
      <c r="C10" s="13"/>
      <c r="D10" s="5" t="s">
        <v>9</v>
      </c>
      <c r="E10" s="6">
        <v>126</v>
      </c>
      <c r="F10" s="10">
        <f>VLOOKUP(A10,[1]TDSheet!$A:$J,10,0)/22</f>
        <v>22.545454545454547</v>
      </c>
      <c r="G10" s="10">
        <f>E10/F10</f>
        <v>5.5887096774193541</v>
      </c>
    </row>
    <row r="11" spans="1:7" ht="11.1" customHeight="1" x14ac:dyDescent="0.2">
      <c r="A11" s="13" t="s">
        <v>10</v>
      </c>
      <c r="B11" s="13"/>
      <c r="C11" s="13"/>
      <c r="D11" s="5" t="s">
        <v>11</v>
      </c>
      <c r="E11" s="6">
        <v>15.909000000000001</v>
      </c>
      <c r="F11" s="10">
        <f>VLOOKUP(A11,[1]TDSheet!$A:$J,10,0)/22</f>
        <v>1.9827727272727274</v>
      </c>
      <c r="G11" s="10">
        <f t="shared" ref="G11:G74" si="0">E11/F11</f>
        <v>8.0236124802274134</v>
      </c>
    </row>
    <row r="12" spans="1:7" ht="11.1" customHeight="1" x14ac:dyDescent="0.2">
      <c r="A12" s="13" t="s">
        <v>12</v>
      </c>
      <c r="B12" s="13"/>
      <c r="C12" s="13"/>
      <c r="D12" s="5" t="s">
        <v>9</v>
      </c>
      <c r="E12" s="6">
        <v>135.5</v>
      </c>
      <c r="F12" s="10">
        <f>VLOOKUP(A12,[1]TDSheet!$A:$J,10,0)/22</f>
        <v>10.034090909090908</v>
      </c>
      <c r="G12" s="10">
        <f t="shared" si="0"/>
        <v>13.5039637599094</v>
      </c>
    </row>
    <row r="13" spans="1:7" ht="11.1" customHeight="1" x14ac:dyDescent="0.2">
      <c r="A13" s="13" t="s">
        <v>13</v>
      </c>
      <c r="B13" s="13"/>
      <c r="C13" s="13"/>
      <c r="D13" s="5" t="s">
        <v>11</v>
      </c>
      <c r="E13" s="7">
        <v>1671.4079999999999</v>
      </c>
      <c r="F13" s="10">
        <f>VLOOKUP(A13,[1]TDSheet!$A:$J,10,0)/22</f>
        <v>179.84068181818182</v>
      </c>
      <c r="G13" s="10">
        <f t="shared" si="0"/>
        <v>9.2938259747579615</v>
      </c>
    </row>
    <row r="14" spans="1:7" ht="11.1" customHeight="1" x14ac:dyDescent="0.2">
      <c r="A14" s="13" t="s">
        <v>14</v>
      </c>
      <c r="B14" s="13"/>
      <c r="C14" s="13"/>
      <c r="D14" s="5" t="s">
        <v>11</v>
      </c>
      <c r="E14" s="6">
        <v>89.265000000000001</v>
      </c>
      <c r="F14" s="10">
        <f>VLOOKUP(A14,[1]TDSheet!$A:$J,10,0)/22</f>
        <v>4.7676363636363641</v>
      </c>
      <c r="G14" s="10">
        <f t="shared" si="0"/>
        <v>18.723114178933717</v>
      </c>
    </row>
    <row r="15" spans="1:7" ht="11.1" customHeight="1" x14ac:dyDescent="0.2">
      <c r="A15" s="13" t="s">
        <v>15</v>
      </c>
      <c r="B15" s="13"/>
      <c r="C15" s="13"/>
      <c r="D15" s="5" t="s">
        <v>11</v>
      </c>
      <c r="E15" s="6">
        <v>0.89400000000000002</v>
      </c>
      <c r="F15" s="10">
        <f>VLOOKUP(A15,[1]TDSheet!$A:$J,10,0)/22</f>
        <v>17.700045454545457</v>
      </c>
      <c r="G15" s="10">
        <f t="shared" si="0"/>
        <v>5.050834486814363E-2</v>
      </c>
    </row>
    <row r="16" spans="1:7" ht="11.1" customHeight="1" x14ac:dyDescent="0.2">
      <c r="A16" s="13" t="s">
        <v>16</v>
      </c>
      <c r="B16" s="13"/>
      <c r="C16" s="13"/>
      <c r="D16" s="5" t="s">
        <v>11</v>
      </c>
      <c r="E16" s="6">
        <v>563.40700000000004</v>
      </c>
      <c r="F16" s="10">
        <f>VLOOKUP(A16,[1]TDSheet!$A:$J,10,0)/22</f>
        <v>85.152227272727274</v>
      </c>
      <c r="G16" s="10">
        <f t="shared" si="0"/>
        <v>6.6164681540919501</v>
      </c>
    </row>
    <row r="17" spans="1:7" ht="11.1" customHeight="1" x14ac:dyDescent="0.2">
      <c r="A17" s="13" t="s">
        <v>17</v>
      </c>
      <c r="B17" s="13"/>
      <c r="C17" s="13"/>
      <c r="D17" s="5" t="s">
        <v>9</v>
      </c>
      <c r="E17" s="6">
        <v>47.25</v>
      </c>
      <c r="F17" s="10">
        <f>VLOOKUP(A17,[1]TDSheet!$A:$J,10,0)/22</f>
        <v>3.2159090909090908</v>
      </c>
      <c r="G17" s="10">
        <f t="shared" si="0"/>
        <v>14.692579505300353</v>
      </c>
    </row>
    <row r="18" spans="1:7" ht="11.1" customHeight="1" x14ac:dyDescent="0.2">
      <c r="A18" s="13" t="s">
        <v>18</v>
      </c>
      <c r="B18" s="13"/>
      <c r="C18" s="13"/>
      <c r="D18" s="5" t="s">
        <v>11</v>
      </c>
      <c r="E18" s="6">
        <v>55.817999999999998</v>
      </c>
      <c r="F18" s="10">
        <f>VLOOKUP(A18,[1]TDSheet!$A:$J,10,0)/22</f>
        <v>12.652500000000002</v>
      </c>
      <c r="G18" s="10">
        <f t="shared" si="0"/>
        <v>4.4116182572614102</v>
      </c>
    </row>
    <row r="19" spans="1:7" ht="11.1" customHeight="1" x14ac:dyDescent="0.2">
      <c r="A19" s="13" t="s">
        <v>19</v>
      </c>
      <c r="B19" s="13"/>
      <c r="C19" s="13"/>
      <c r="D19" s="5" t="s">
        <v>9</v>
      </c>
      <c r="E19" s="6">
        <v>22</v>
      </c>
      <c r="F19" s="10">
        <f>VLOOKUP(A19,[1]TDSheet!$A:$J,10,0)/22</f>
        <v>3.2272727272727271</v>
      </c>
      <c r="G19" s="10">
        <f t="shared" si="0"/>
        <v>6.8169014084507049</v>
      </c>
    </row>
    <row r="20" spans="1:7" ht="11.1" customHeight="1" x14ac:dyDescent="0.2">
      <c r="A20" s="13" t="s">
        <v>20</v>
      </c>
      <c r="B20" s="13"/>
      <c r="C20" s="13"/>
      <c r="D20" s="5" t="s">
        <v>9</v>
      </c>
      <c r="E20" s="6">
        <v>252</v>
      </c>
      <c r="F20" s="10">
        <f>VLOOKUP(A20,[1]TDSheet!$A:$J,10,0)/22</f>
        <v>46.599999999999994</v>
      </c>
      <c r="G20" s="10">
        <f t="shared" si="0"/>
        <v>5.4077253218884129</v>
      </c>
    </row>
    <row r="21" spans="1:7" ht="11.1" customHeight="1" x14ac:dyDescent="0.2">
      <c r="A21" s="13" t="s">
        <v>21</v>
      </c>
      <c r="B21" s="13"/>
      <c r="C21" s="13"/>
      <c r="D21" s="5" t="s">
        <v>11</v>
      </c>
      <c r="E21" s="6">
        <v>447.23200000000003</v>
      </c>
      <c r="F21" s="10">
        <f>VLOOKUP(A21,[1]TDSheet!$A:$J,10,0)/22</f>
        <v>51.700636363636363</v>
      </c>
      <c r="G21" s="10">
        <f t="shared" si="0"/>
        <v>8.6504157676976021</v>
      </c>
    </row>
    <row r="22" spans="1:7" ht="11.1" customHeight="1" x14ac:dyDescent="0.2">
      <c r="A22" s="13" t="s">
        <v>22</v>
      </c>
      <c r="B22" s="13"/>
      <c r="C22" s="13"/>
      <c r="D22" s="5" t="s">
        <v>11</v>
      </c>
      <c r="E22" s="6">
        <v>41.664000000000001</v>
      </c>
      <c r="F22" s="10">
        <f>VLOOKUP(A22,[1]TDSheet!$A:$J,10,0)/22</f>
        <v>1.6678181818181819</v>
      </c>
      <c r="G22" s="10">
        <f t="shared" si="0"/>
        <v>24.981140303063338</v>
      </c>
    </row>
    <row r="23" spans="1:7" ht="11.1" customHeight="1" x14ac:dyDescent="0.2">
      <c r="A23" s="13" t="s">
        <v>23</v>
      </c>
      <c r="B23" s="13"/>
      <c r="C23" s="13"/>
      <c r="D23" s="5" t="s">
        <v>9</v>
      </c>
      <c r="E23" s="6">
        <v>150</v>
      </c>
      <c r="F23" s="10">
        <f>VLOOKUP(A23,[1]TDSheet!$A:$J,10,0)/22</f>
        <v>19.2</v>
      </c>
      <c r="G23" s="10">
        <f t="shared" si="0"/>
        <v>7.8125</v>
      </c>
    </row>
    <row r="24" spans="1:7" ht="11.1" customHeight="1" x14ac:dyDescent="0.2">
      <c r="A24" s="13" t="s">
        <v>24</v>
      </c>
      <c r="B24" s="13"/>
      <c r="C24" s="13"/>
      <c r="D24" s="5" t="s">
        <v>11</v>
      </c>
      <c r="E24" s="6">
        <v>301.23399999999998</v>
      </c>
      <c r="F24" s="10">
        <f>VLOOKUP(A24,[1]TDSheet!$A:$J,10,0)/22</f>
        <v>43.36422727272727</v>
      </c>
      <c r="G24" s="10">
        <f t="shared" si="0"/>
        <v>6.9466013565852878</v>
      </c>
    </row>
    <row r="25" spans="1:7" ht="11.1" customHeight="1" x14ac:dyDescent="0.2">
      <c r="A25" s="13" t="s">
        <v>25</v>
      </c>
      <c r="B25" s="13"/>
      <c r="C25" s="13"/>
      <c r="D25" s="5" t="s">
        <v>9</v>
      </c>
      <c r="E25" s="6">
        <v>92.84</v>
      </c>
      <c r="F25" s="10">
        <f>VLOOKUP(A25,[1]TDSheet!$A:$J,10,0)/22</f>
        <v>6.7</v>
      </c>
      <c r="G25" s="10">
        <f t="shared" si="0"/>
        <v>13.856716417910448</v>
      </c>
    </row>
    <row r="26" spans="1:7" ht="11.1" customHeight="1" x14ac:dyDescent="0.2">
      <c r="A26" s="13" t="s">
        <v>26</v>
      </c>
      <c r="B26" s="13"/>
      <c r="C26" s="13"/>
      <c r="D26" s="5" t="s">
        <v>11</v>
      </c>
      <c r="E26" s="6">
        <v>8.8019999999999996</v>
      </c>
      <c r="F26" s="10">
        <f>VLOOKUP(A26,[1]TDSheet!$A:$J,10,0)/22</f>
        <v>3.3917272727272727</v>
      </c>
      <c r="G26" s="10">
        <f t="shared" si="0"/>
        <v>2.595137902382803</v>
      </c>
    </row>
    <row r="27" spans="1:7" ht="11.1" customHeight="1" x14ac:dyDescent="0.2">
      <c r="A27" s="13" t="s">
        <v>27</v>
      </c>
      <c r="B27" s="13"/>
      <c r="C27" s="13"/>
      <c r="D27" s="5" t="s">
        <v>9</v>
      </c>
      <c r="E27" s="6">
        <v>3.3</v>
      </c>
      <c r="F27" s="10">
        <f>VLOOKUP(A27,[1]TDSheet!$A:$J,10,0)/22</f>
        <v>0.44318181818181818</v>
      </c>
      <c r="G27" s="10">
        <f t="shared" si="0"/>
        <v>7.4461538461538455</v>
      </c>
    </row>
    <row r="28" spans="1:7" ht="11.1" customHeight="1" x14ac:dyDescent="0.2">
      <c r="A28" s="13" t="s">
        <v>28</v>
      </c>
      <c r="B28" s="13"/>
      <c r="C28" s="13"/>
      <c r="D28" s="5" t="s">
        <v>11</v>
      </c>
      <c r="E28" s="6">
        <v>316.84800000000001</v>
      </c>
      <c r="F28" s="10">
        <f>VLOOKUP(A28,[1]TDSheet!$A:$J,10,0)/22</f>
        <v>50.508909090909086</v>
      </c>
      <c r="G28" s="10">
        <f t="shared" si="0"/>
        <v>6.2731111343093398</v>
      </c>
    </row>
    <row r="29" spans="1:7" ht="11.1" customHeight="1" x14ac:dyDescent="0.2">
      <c r="A29" s="13" t="s">
        <v>29</v>
      </c>
      <c r="B29" s="13"/>
      <c r="C29" s="13"/>
      <c r="D29" s="5" t="s">
        <v>9</v>
      </c>
      <c r="E29" s="6">
        <v>29.43</v>
      </c>
      <c r="F29" s="10">
        <f>VLOOKUP(A29,[1]TDSheet!$A:$J,10,0)/22</f>
        <v>5.7272727272727266</v>
      </c>
      <c r="G29" s="10">
        <f t="shared" si="0"/>
        <v>5.1385714285714288</v>
      </c>
    </row>
    <row r="30" spans="1:7" ht="11.1" customHeight="1" x14ac:dyDescent="0.2">
      <c r="A30" s="13" t="s">
        <v>30</v>
      </c>
      <c r="B30" s="13"/>
      <c r="C30" s="13"/>
      <c r="D30" s="5" t="s">
        <v>9</v>
      </c>
      <c r="E30" s="6">
        <v>12.96</v>
      </c>
      <c r="F30" s="10">
        <f>VLOOKUP(A30,[1]TDSheet!$A:$J,10,0)/22</f>
        <v>1.1413636363636364</v>
      </c>
      <c r="G30" s="10">
        <f t="shared" si="0"/>
        <v>11.35483870967742</v>
      </c>
    </row>
    <row r="31" spans="1:7" ht="11.1" customHeight="1" x14ac:dyDescent="0.2">
      <c r="A31" s="13" t="s">
        <v>31</v>
      </c>
      <c r="B31" s="13"/>
      <c r="C31" s="13"/>
      <c r="D31" s="5" t="s">
        <v>9</v>
      </c>
      <c r="E31" s="6">
        <v>-0.3</v>
      </c>
      <c r="F31" s="10">
        <f>VLOOKUP(A31,[1]TDSheet!$A:$J,10,0)/22</f>
        <v>0.23863636363636365</v>
      </c>
      <c r="G31" s="10">
        <f t="shared" si="0"/>
        <v>-1.2571428571428571</v>
      </c>
    </row>
    <row r="32" spans="1:7" ht="11.1" customHeight="1" x14ac:dyDescent="0.2">
      <c r="A32" s="13" t="s">
        <v>32</v>
      </c>
      <c r="B32" s="13"/>
      <c r="C32" s="13"/>
      <c r="D32" s="5" t="s">
        <v>11</v>
      </c>
      <c r="E32" s="6">
        <v>137.68700000000001</v>
      </c>
      <c r="F32" s="10">
        <f>VLOOKUP(A32,[1]TDSheet!$A:$J,10,0)/22</f>
        <v>47.027863636363641</v>
      </c>
      <c r="G32" s="10">
        <f t="shared" si="0"/>
        <v>2.9277749264700907</v>
      </c>
    </row>
    <row r="33" spans="1:7" ht="11.1" customHeight="1" x14ac:dyDescent="0.2">
      <c r="A33" s="13" t="s">
        <v>33</v>
      </c>
      <c r="B33" s="13"/>
      <c r="C33" s="13"/>
      <c r="D33" s="5" t="s">
        <v>9</v>
      </c>
      <c r="E33" s="6">
        <v>1.6</v>
      </c>
      <c r="F33" s="10">
        <f>VLOOKUP(A33,[1]TDSheet!$A:$J,10,0)/22</f>
        <v>1.8181818181818184E-2</v>
      </c>
      <c r="G33" s="10">
        <f t="shared" si="0"/>
        <v>87.999999999999986</v>
      </c>
    </row>
    <row r="34" spans="1:7" ht="11.1" customHeight="1" x14ac:dyDescent="0.2">
      <c r="A34" s="13" t="s">
        <v>34</v>
      </c>
      <c r="B34" s="13"/>
      <c r="C34" s="13"/>
      <c r="D34" s="5" t="s">
        <v>9</v>
      </c>
      <c r="E34" s="6">
        <v>16.399999999999999</v>
      </c>
      <c r="F34" s="10">
        <f>VLOOKUP(A34,[1]TDSheet!$A:$J,10,0)/22</f>
        <v>5.6</v>
      </c>
      <c r="G34" s="10">
        <f t="shared" si="0"/>
        <v>2.9285714285714284</v>
      </c>
    </row>
    <row r="35" spans="1:7" ht="11.1" customHeight="1" x14ac:dyDescent="0.2">
      <c r="A35" s="13" t="s">
        <v>35</v>
      </c>
      <c r="B35" s="13"/>
      <c r="C35" s="13"/>
      <c r="D35" s="5" t="s">
        <v>9</v>
      </c>
      <c r="E35" s="6">
        <v>93.6</v>
      </c>
      <c r="F35" s="10">
        <f>VLOOKUP(A35,[1]TDSheet!$A:$J,10,0)/22</f>
        <v>60.145454545454548</v>
      </c>
      <c r="G35" s="10">
        <f t="shared" si="0"/>
        <v>1.5562273276904472</v>
      </c>
    </row>
    <row r="36" spans="1:7" ht="11.1" customHeight="1" x14ac:dyDescent="0.2">
      <c r="A36" s="13" t="s">
        <v>36</v>
      </c>
      <c r="B36" s="13"/>
      <c r="C36" s="13"/>
      <c r="D36" s="5" t="s">
        <v>9</v>
      </c>
      <c r="E36" s="6">
        <v>-2.4</v>
      </c>
      <c r="F36" s="10">
        <f>VLOOKUP(A36,[1]TDSheet!$A:$J,10,0)/22</f>
        <v>0.18181818181818182</v>
      </c>
      <c r="G36" s="10">
        <f t="shared" si="0"/>
        <v>-13.2</v>
      </c>
    </row>
    <row r="37" spans="1:7" ht="11.1" customHeight="1" x14ac:dyDescent="0.2">
      <c r="A37" s="13" t="s">
        <v>37</v>
      </c>
      <c r="B37" s="13"/>
      <c r="C37" s="13"/>
      <c r="D37" s="5" t="s">
        <v>9</v>
      </c>
      <c r="E37" s="6">
        <v>311.60000000000002</v>
      </c>
      <c r="F37" s="10">
        <f>VLOOKUP(A37,[1]TDSheet!$A:$J,10,0)/22</f>
        <v>50.654545454545449</v>
      </c>
      <c r="G37" s="10">
        <f t="shared" si="0"/>
        <v>6.1514716439339567</v>
      </c>
    </row>
    <row r="38" spans="1:7" ht="11.1" customHeight="1" x14ac:dyDescent="0.2">
      <c r="A38" s="13" t="s">
        <v>38</v>
      </c>
      <c r="B38" s="13"/>
      <c r="C38" s="13"/>
      <c r="D38" s="5" t="s">
        <v>9</v>
      </c>
      <c r="E38" s="6">
        <v>33.9</v>
      </c>
      <c r="F38" s="10">
        <f>VLOOKUP(A38,[1]TDSheet!$A:$J,10,0)/22</f>
        <v>9.5454545454545459E-2</v>
      </c>
      <c r="G38" s="10">
        <f t="shared" si="0"/>
        <v>355.14285714285711</v>
      </c>
    </row>
    <row r="39" spans="1:7" ht="11.1" customHeight="1" x14ac:dyDescent="0.2">
      <c r="A39" s="13" t="s">
        <v>39</v>
      </c>
      <c r="B39" s="13"/>
      <c r="C39" s="13"/>
      <c r="D39" s="5" t="s">
        <v>9</v>
      </c>
      <c r="E39" s="6">
        <v>-2.2999999999999998</v>
      </c>
      <c r="F39" s="10">
        <f>VLOOKUP(A39,[1]TDSheet!$A:$J,10,0)/22</f>
        <v>1.7363636363636366</v>
      </c>
      <c r="G39" s="10">
        <f t="shared" si="0"/>
        <v>-1.3246073298429317</v>
      </c>
    </row>
    <row r="40" spans="1:7" ht="11.1" customHeight="1" x14ac:dyDescent="0.2">
      <c r="A40" s="13" t="s">
        <v>40</v>
      </c>
      <c r="B40" s="13"/>
      <c r="C40" s="13"/>
      <c r="D40" s="5" t="s">
        <v>9</v>
      </c>
      <c r="E40" s="6">
        <v>-0.1</v>
      </c>
      <c r="F40" s="10">
        <f>VLOOKUP(A40,[1]TDSheet!$A:$J,10,0)/22</f>
        <v>1.6727272727272726</v>
      </c>
      <c r="G40" s="10">
        <f t="shared" si="0"/>
        <v>-5.9782608695652183E-2</v>
      </c>
    </row>
    <row r="41" spans="1:7" ht="11.1" customHeight="1" x14ac:dyDescent="0.2">
      <c r="A41" s="13" t="s">
        <v>41</v>
      </c>
      <c r="B41" s="13"/>
      <c r="C41" s="13"/>
      <c r="D41" s="5" t="s">
        <v>9</v>
      </c>
      <c r="E41" s="6">
        <v>2</v>
      </c>
      <c r="F41" s="10">
        <f>VLOOKUP(A41,[1]TDSheet!$A:$J,10,0)/22</f>
        <v>0.48181818181818181</v>
      </c>
      <c r="G41" s="10">
        <f t="shared" si="0"/>
        <v>4.1509433962264151</v>
      </c>
    </row>
    <row r="42" spans="1:7" ht="11.1" customHeight="1" x14ac:dyDescent="0.2">
      <c r="A42" s="13" t="s">
        <v>42</v>
      </c>
      <c r="B42" s="13"/>
      <c r="C42" s="13"/>
      <c r="D42" s="5" t="s">
        <v>9</v>
      </c>
      <c r="E42" s="6">
        <v>2.8</v>
      </c>
      <c r="F42" s="10">
        <f>VLOOKUP(A42,[1]TDSheet!$A:$J,10,0)/22</f>
        <v>3.5818181818181816</v>
      </c>
      <c r="G42" s="10">
        <f t="shared" si="0"/>
        <v>0.78172588832487311</v>
      </c>
    </row>
    <row r="43" spans="1:7" ht="11.1" customHeight="1" x14ac:dyDescent="0.2">
      <c r="A43" s="13" t="s">
        <v>43</v>
      </c>
      <c r="B43" s="13"/>
      <c r="C43" s="13"/>
      <c r="D43" s="5" t="s">
        <v>9</v>
      </c>
      <c r="E43" s="6">
        <v>36.6</v>
      </c>
      <c r="F43" s="10">
        <f>VLOOKUP(A43,[1]TDSheet!$A:$J,10,0)/22</f>
        <v>6.0272727272727273</v>
      </c>
      <c r="G43" s="10">
        <f t="shared" si="0"/>
        <v>6.0723981900452486</v>
      </c>
    </row>
    <row r="44" spans="1:7" ht="11.1" customHeight="1" x14ac:dyDescent="0.2">
      <c r="A44" s="13" t="s">
        <v>44</v>
      </c>
      <c r="B44" s="13"/>
      <c r="C44" s="13"/>
      <c r="D44" s="5" t="s">
        <v>11</v>
      </c>
      <c r="E44" s="6">
        <v>135.88900000000001</v>
      </c>
      <c r="F44" s="10">
        <f>VLOOKUP(A44,[1]TDSheet!$A:$J,10,0)/22</f>
        <v>20.707772727272729</v>
      </c>
      <c r="G44" s="10">
        <f t="shared" si="0"/>
        <v>6.5622219149155674</v>
      </c>
    </row>
    <row r="45" spans="1:7" ht="11.1" customHeight="1" x14ac:dyDescent="0.2">
      <c r="A45" s="13" t="s">
        <v>45</v>
      </c>
      <c r="B45" s="13"/>
      <c r="C45" s="13"/>
      <c r="D45" s="5" t="s">
        <v>11</v>
      </c>
      <c r="E45" s="6">
        <v>19.684000000000001</v>
      </c>
      <c r="F45" s="10">
        <f>VLOOKUP(A45,[1]TDSheet!$A:$J,10,0)/22</f>
        <v>12.395863636363636</v>
      </c>
      <c r="G45" s="10">
        <f t="shared" si="0"/>
        <v>1.5879490592536367</v>
      </c>
    </row>
    <row r="46" spans="1:7" ht="11.1" customHeight="1" x14ac:dyDescent="0.2">
      <c r="A46" s="13" t="s">
        <v>46</v>
      </c>
      <c r="B46" s="13"/>
      <c r="C46" s="13"/>
      <c r="D46" s="5" t="s">
        <v>11</v>
      </c>
      <c r="E46" s="6">
        <v>58.854999999999997</v>
      </c>
      <c r="F46" s="10">
        <f>VLOOKUP(A46,[1]TDSheet!$A:$J,10,0)/22</f>
        <v>19.932045454545456</v>
      </c>
      <c r="G46" s="10">
        <f t="shared" si="0"/>
        <v>2.9527827504817501</v>
      </c>
    </row>
    <row r="47" spans="1:7" ht="11.1" customHeight="1" x14ac:dyDescent="0.2">
      <c r="A47" s="13" t="s">
        <v>47</v>
      </c>
      <c r="B47" s="13"/>
      <c r="C47" s="13"/>
      <c r="D47" s="5" t="s">
        <v>11</v>
      </c>
      <c r="E47" s="6">
        <v>151.91300000000001</v>
      </c>
      <c r="F47" s="10">
        <f>VLOOKUP(A47,[1]TDSheet!$A:$J,10,0)/22</f>
        <v>27.6615</v>
      </c>
      <c r="G47" s="10">
        <f t="shared" si="0"/>
        <v>5.4918569130379771</v>
      </c>
    </row>
    <row r="48" spans="1:7" ht="11.1" customHeight="1" x14ac:dyDescent="0.2">
      <c r="A48" s="13" t="s">
        <v>48</v>
      </c>
      <c r="B48" s="13"/>
      <c r="C48" s="13"/>
      <c r="D48" s="5" t="s">
        <v>9</v>
      </c>
      <c r="E48" s="6">
        <v>333</v>
      </c>
      <c r="F48" s="10">
        <f>VLOOKUP(A48,[1]TDSheet!$A:$J,10,0)/22</f>
        <v>13.2</v>
      </c>
      <c r="G48" s="10">
        <f t="shared" si="0"/>
        <v>25.22727272727273</v>
      </c>
    </row>
    <row r="49" spans="1:7" ht="11.1" customHeight="1" x14ac:dyDescent="0.2">
      <c r="A49" s="13" t="s">
        <v>49</v>
      </c>
      <c r="B49" s="13"/>
      <c r="C49" s="13"/>
      <c r="D49" s="5" t="s">
        <v>11</v>
      </c>
      <c r="E49" s="6">
        <v>161.39400000000001</v>
      </c>
      <c r="F49" s="10">
        <f>VLOOKUP(A49,[1]TDSheet!$A:$J,10,0)/22</f>
        <v>0.8983181818181819</v>
      </c>
      <c r="G49" s="10">
        <f t="shared" si="0"/>
        <v>179.66239943328441</v>
      </c>
    </row>
    <row r="50" spans="1:7" ht="11.1" customHeight="1" x14ac:dyDescent="0.2">
      <c r="A50" s="13" t="s">
        <v>50</v>
      </c>
      <c r="B50" s="13"/>
      <c r="C50" s="13"/>
      <c r="D50" s="5" t="s">
        <v>9</v>
      </c>
      <c r="E50" s="6">
        <v>145.25</v>
      </c>
      <c r="F50" s="10">
        <f>VLOOKUP(A50,[1]TDSheet!$A:$J,10,0)/22</f>
        <v>63.270454545454548</v>
      </c>
      <c r="G50" s="10">
        <f t="shared" si="0"/>
        <v>2.2957002765903947</v>
      </c>
    </row>
    <row r="51" spans="1:7" ht="11.1" customHeight="1" x14ac:dyDescent="0.2">
      <c r="A51" s="13" t="s">
        <v>51</v>
      </c>
      <c r="B51" s="13"/>
      <c r="C51" s="13"/>
      <c r="D51" s="5" t="s">
        <v>9</v>
      </c>
      <c r="E51" s="6">
        <v>-0.84</v>
      </c>
      <c r="F51" s="10">
        <f>VLOOKUP(A51,[1]TDSheet!$A:$J,10,0)/22</f>
        <v>3.8181818181818178E-2</v>
      </c>
      <c r="G51" s="10">
        <f t="shared" si="0"/>
        <v>-22</v>
      </c>
    </row>
    <row r="52" spans="1:7" ht="11.1" customHeight="1" x14ac:dyDescent="0.2">
      <c r="A52" s="13" t="s">
        <v>52</v>
      </c>
      <c r="B52" s="13"/>
      <c r="C52" s="13"/>
      <c r="D52" s="5" t="s">
        <v>9</v>
      </c>
      <c r="E52" s="6">
        <v>160.72</v>
      </c>
      <c r="F52" s="10">
        <f>VLOOKUP(A52,[1]TDSheet!$A:$J,10,0)/22</f>
        <v>17.685909090909089</v>
      </c>
      <c r="G52" s="10">
        <f t="shared" si="0"/>
        <v>9.0874604847207596</v>
      </c>
    </row>
    <row r="53" spans="1:7" ht="11.1" customHeight="1" x14ac:dyDescent="0.2">
      <c r="A53" s="13" t="s">
        <v>53</v>
      </c>
      <c r="B53" s="13"/>
      <c r="C53" s="13"/>
      <c r="D53" s="5" t="s">
        <v>9</v>
      </c>
      <c r="E53" s="6">
        <v>-6.97</v>
      </c>
      <c r="F53" s="10">
        <f>VLOOKUP(A53,[1]TDSheet!$A:$J,10,0)/22</f>
        <v>4.8827272727272728</v>
      </c>
      <c r="G53" s="10">
        <f t="shared" si="0"/>
        <v>-1.4274809160305342</v>
      </c>
    </row>
    <row r="54" spans="1:7" ht="11.1" customHeight="1" x14ac:dyDescent="0.2">
      <c r="A54" s="13" t="s">
        <v>54</v>
      </c>
      <c r="B54" s="13"/>
      <c r="C54" s="13"/>
      <c r="D54" s="5" t="s">
        <v>9</v>
      </c>
      <c r="E54" s="6">
        <v>44.28</v>
      </c>
      <c r="F54" s="10">
        <f>VLOOKUP(A54,[1]TDSheet!$A:$J,10,0)/22</f>
        <v>11.454545454545455</v>
      </c>
      <c r="G54" s="10">
        <f t="shared" si="0"/>
        <v>3.8657142857142857</v>
      </c>
    </row>
    <row r="55" spans="1:7" ht="11.1" customHeight="1" x14ac:dyDescent="0.2">
      <c r="A55" s="13" t="s">
        <v>55</v>
      </c>
      <c r="B55" s="13"/>
      <c r="C55" s="13"/>
      <c r="D55" s="5" t="s">
        <v>9</v>
      </c>
      <c r="E55" s="6">
        <v>92.4</v>
      </c>
      <c r="F55" s="10">
        <f>VLOOKUP(A55,[1]TDSheet!$A:$J,10,0)/22</f>
        <v>9.33</v>
      </c>
      <c r="G55" s="10">
        <f t="shared" si="0"/>
        <v>9.9035369774919619</v>
      </c>
    </row>
    <row r="56" spans="1:7" ht="11.1" customHeight="1" x14ac:dyDescent="0.2">
      <c r="A56" s="13" t="s">
        <v>56</v>
      </c>
      <c r="B56" s="13"/>
      <c r="C56" s="13"/>
      <c r="D56" s="5" t="s">
        <v>9</v>
      </c>
      <c r="E56" s="6">
        <v>165.6</v>
      </c>
      <c r="F56" s="10">
        <f>VLOOKUP(A56,[1]TDSheet!$A:$J,10,0)/22</f>
        <v>10.200000000000001</v>
      </c>
      <c r="G56" s="10">
        <f t="shared" si="0"/>
        <v>16.235294117647058</v>
      </c>
    </row>
    <row r="57" spans="1:7" ht="11.1" customHeight="1" x14ac:dyDescent="0.2">
      <c r="A57" s="13" t="s">
        <v>57</v>
      </c>
      <c r="B57" s="13"/>
      <c r="C57" s="13"/>
      <c r="D57" s="5" t="s">
        <v>9</v>
      </c>
      <c r="E57" s="6">
        <v>-2.64</v>
      </c>
      <c r="F57" s="10">
        <f>VLOOKUP(A57,[1]TDSheet!$A:$J,10,0)/22</f>
        <v>1.2</v>
      </c>
      <c r="G57" s="10">
        <f t="shared" si="0"/>
        <v>-2.2000000000000002</v>
      </c>
    </row>
    <row r="58" spans="1:7" ht="11.1" customHeight="1" x14ac:dyDescent="0.2">
      <c r="A58" s="13" t="s">
        <v>58</v>
      </c>
      <c r="B58" s="13"/>
      <c r="C58" s="13"/>
      <c r="D58" s="5" t="s">
        <v>11</v>
      </c>
      <c r="E58" s="6">
        <v>340.59399999999999</v>
      </c>
      <c r="F58" s="10">
        <f>VLOOKUP(A58,[1]TDSheet!$A:$J,10,0)/22</f>
        <v>75.251000000000005</v>
      </c>
      <c r="G58" s="10">
        <f t="shared" si="0"/>
        <v>4.526105965369231</v>
      </c>
    </row>
    <row r="59" spans="1:7" ht="11.1" customHeight="1" x14ac:dyDescent="0.2">
      <c r="A59" s="13" t="s">
        <v>59</v>
      </c>
      <c r="B59" s="13"/>
      <c r="C59" s="13"/>
      <c r="D59" s="5" t="s">
        <v>9</v>
      </c>
      <c r="E59" s="6">
        <v>-2.4</v>
      </c>
      <c r="F59" s="10">
        <f>VLOOKUP(A59,[1]TDSheet!$A:$J,10,0)/22</f>
        <v>1.3454545454545455</v>
      </c>
      <c r="G59" s="10">
        <f t="shared" si="0"/>
        <v>-1.7837837837837838</v>
      </c>
    </row>
    <row r="60" spans="1:7" ht="11.1" customHeight="1" x14ac:dyDescent="0.2">
      <c r="A60" s="13" t="s">
        <v>60</v>
      </c>
      <c r="B60" s="13"/>
      <c r="C60" s="13"/>
      <c r="D60" s="5" t="s">
        <v>11</v>
      </c>
      <c r="E60" s="6">
        <v>7.8680000000000003</v>
      </c>
      <c r="F60" s="10">
        <f>VLOOKUP(A60,[1]TDSheet!$A:$J,10,0)/22</f>
        <v>2.716181818181818</v>
      </c>
      <c r="G60" s="10">
        <f t="shared" si="0"/>
        <v>2.8967133007564096</v>
      </c>
    </row>
    <row r="61" spans="1:7" ht="11.1" customHeight="1" x14ac:dyDescent="0.2">
      <c r="A61" s="13" t="s">
        <v>61</v>
      </c>
      <c r="B61" s="13"/>
      <c r="C61" s="13"/>
      <c r="D61" s="5" t="s">
        <v>11</v>
      </c>
      <c r="E61" s="6">
        <v>21.125</v>
      </c>
      <c r="F61" s="10">
        <f>VLOOKUP(A61,[1]TDSheet!$A:$J,10,0)/22</f>
        <v>2.875681818181818</v>
      </c>
      <c r="G61" s="10">
        <f t="shared" si="0"/>
        <v>7.3460839326641905</v>
      </c>
    </row>
    <row r="62" spans="1:7" ht="11.1" customHeight="1" x14ac:dyDescent="0.2">
      <c r="A62" s="13" t="s">
        <v>62</v>
      </c>
      <c r="B62" s="13"/>
      <c r="C62" s="13"/>
      <c r="D62" s="5" t="s">
        <v>9</v>
      </c>
      <c r="E62" s="6">
        <v>18</v>
      </c>
      <c r="F62" s="10">
        <f>VLOOKUP(A62,[1]TDSheet!$A:$J,10,0)/22</f>
        <v>2.0727272727272728</v>
      </c>
      <c r="G62" s="10">
        <f t="shared" si="0"/>
        <v>8.6842105263157894</v>
      </c>
    </row>
    <row r="63" spans="1:7" ht="11.1" customHeight="1" x14ac:dyDescent="0.2">
      <c r="A63" s="13" t="s">
        <v>63</v>
      </c>
      <c r="B63" s="13"/>
      <c r="C63" s="13"/>
      <c r="D63" s="5" t="s">
        <v>11</v>
      </c>
      <c r="E63" s="6">
        <v>4.2320000000000002</v>
      </c>
      <c r="F63" s="10">
        <f>VLOOKUP(A63,[1]TDSheet!$A:$J,10,0)/22</f>
        <v>0.81200000000000006</v>
      </c>
      <c r="G63" s="10">
        <f t="shared" si="0"/>
        <v>5.2118226600985222</v>
      </c>
    </row>
    <row r="64" spans="1:7" ht="11.1" customHeight="1" x14ac:dyDescent="0.2">
      <c r="A64" s="13" t="s">
        <v>64</v>
      </c>
      <c r="B64" s="13"/>
      <c r="C64" s="13"/>
      <c r="D64" s="5" t="s">
        <v>11</v>
      </c>
      <c r="E64" s="6">
        <v>-12.435</v>
      </c>
      <c r="F64" s="10">
        <f>VLOOKUP(A64,[1]TDSheet!$A:$J,10,0)/22</f>
        <v>0.5652272727272728</v>
      </c>
      <c r="G64" s="10">
        <f t="shared" si="0"/>
        <v>-21.999999999999996</v>
      </c>
    </row>
    <row r="65" spans="1:7" ht="11.1" customHeight="1" x14ac:dyDescent="0.2">
      <c r="A65" s="13" t="s">
        <v>65</v>
      </c>
      <c r="B65" s="13"/>
      <c r="C65" s="13"/>
      <c r="D65" s="5" t="s">
        <v>9</v>
      </c>
      <c r="E65" s="6">
        <v>18</v>
      </c>
      <c r="F65" s="10">
        <f>VLOOKUP(A65,[1]TDSheet!$A:$J,10,0)/22</f>
        <v>2.0681818181818183</v>
      </c>
      <c r="G65" s="10">
        <f t="shared" si="0"/>
        <v>8.7032967032967026</v>
      </c>
    </row>
    <row r="66" spans="1:7" ht="11.1" customHeight="1" x14ac:dyDescent="0.2">
      <c r="A66" s="13" t="s">
        <v>66</v>
      </c>
      <c r="B66" s="13"/>
      <c r="C66" s="13"/>
      <c r="D66" s="5" t="s">
        <v>11</v>
      </c>
      <c r="E66" s="6">
        <v>-10.432</v>
      </c>
      <c r="F66" s="10">
        <f>VLOOKUP(A66,[1]TDSheet!$A:$J,10,0)/22</f>
        <v>2.5945</v>
      </c>
      <c r="G66" s="10">
        <f t="shared" si="0"/>
        <v>-4.0208132588167276</v>
      </c>
    </row>
    <row r="67" spans="1:7" ht="11.1" customHeight="1" x14ac:dyDescent="0.2">
      <c r="A67" s="13" t="s">
        <v>67</v>
      </c>
      <c r="B67" s="13"/>
      <c r="C67" s="13"/>
      <c r="D67" s="5" t="s">
        <v>9</v>
      </c>
      <c r="E67" s="6">
        <v>59.94</v>
      </c>
      <c r="F67" s="10">
        <f>VLOOKUP(A67,[1]TDSheet!$A:$J,10,0)/22</f>
        <v>0.71181818181818179</v>
      </c>
      <c r="G67" s="10">
        <f t="shared" si="0"/>
        <v>84.206896551724142</v>
      </c>
    </row>
    <row r="68" spans="1:7" ht="11.1" customHeight="1" x14ac:dyDescent="0.2">
      <c r="A68" s="13" t="s">
        <v>68</v>
      </c>
      <c r="B68" s="13"/>
      <c r="C68" s="13"/>
      <c r="D68" s="5" t="s">
        <v>9</v>
      </c>
      <c r="E68" s="6">
        <v>36.299999999999997</v>
      </c>
      <c r="F68" s="10">
        <f>VLOOKUP(A68,[1]TDSheet!$A:$J,10,0)/22</f>
        <v>4.8681818181818182</v>
      </c>
      <c r="G68" s="10">
        <f t="shared" si="0"/>
        <v>7.4565826330532206</v>
      </c>
    </row>
    <row r="69" spans="1:7" ht="11.1" customHeight="1" x14ac:dyDescent="0.2">
      <c r="A69" s="13" t="s">
        <v>69</v>
      </c>
      <c r="B69" s="13"/>
      <c r="C69" s="13"/>
      <c r="D69" s="5" t="s">
        <v>9</v>
      </c>
      <c r="E69" s="6">
        <v>551.04</v>
      </c>
      <c r="F69" s="10">
        <f>VLOOKUP(A69,[1]TDSheet!$A:$J,10,0)/22</f>
        <v>82.615000000000009</v>
      </c>
      <c r="G69" s="10">
        <f t="shared" si="0"/>
        <v>6.6699751861042174</v>
      </c>
    </row>
    <row r="70" spans="1:7" ht="11.1" customHeight="1" x14ac:dyDescent="0.2">
      <c r="A70" s="13" t="s">
        <v>70</v>
      </c>
      <c r="B70" s="13"/>
      <c r="C70" s="13"/>
      <c r="D70" s="5" t="s">
        <v>9</v>
      </c>
      <c r="E70" s="6">
        <v>-1.23</v>
      </c>
      <c r="F70" s="10">
        <f>VLOOKUP(A70,[1]TDSheet!$A:$J,10,0)/22</f>
        <v>3.186818181818182</v>
      </c>
      <c r="G70" s="10">
        <f t="shared" si="0"/>
        <v>-0.38596491228070173</v>
      </c>
    </row>
    <row r="71" spans="1:7" ht="11.1" customHeight="1" x14ac:dyDescent="0.2">
      <c r="A71" s="13" t="s">
        <v>71</v>
      </c>
      <c r="B71" s="13"/>
      <c r="C71" s="13"/>
      <c r="D71" s="5" t="s">
        <v>11</v>
      </c>
      <c r="E71" s="6">
        <v>451.39299999999997</v>
      </c>
      <c r="F71" s="10">
        <f>VLOOKUP(A71,[1]TDSheet!$A:$J,10,0)/22</f>
        <v>66.265954545454548</v>
      </c>
      <c r="G71" s="10">
        <f t="shared" si="0"/>
        <v>6.8118387955970805</v>
      </c>
    </row>
    <row r="72" spans="1:7" ht="11.1" customHeight="1" x14ac:dyDescent="0.2">
      <c r="A72" s="13" t="s">
        <v>72</v>
      </c>
      <c r="B72" s="13"/>
      <c r="C72" s="13"/>
      <c r="D72" s="5" t="s">
        <v>9</v>
      </c>
      <c r="E72" s="6">
        <v>10.85</v>
      </c>
      <c r="F72" s="10">
        <f>VLOOKUP(A72,[1]TDSheet!$A:$J,10,0)/22</f>
        <v>2.7363636363636363</v>
      </c>
      <c r="G72" s="10">
        <f t="shared" si="0"/>
        <v>3.9651162790697674</v>
      </c>
    </row>
    <row r="73" spans="1:7" ht="11.1" customHeight="1" x14ac:dyDescent="0.2">
      <c r="A73" s="13" t="s">
        <v>73</v>
      </c>
      <c r="B73" s="13"/>
      <c r="C73" s="13"/>
      <c r="D73" s="5" t="s">
        <v>9</v>
      </c>
      <c r="E73" s="6">
        <v>89.79</v>
      </c>
      <c r="F73" s="10">
        <f>VLOOKUP(A73,[1]TDSheet!$A:$J,10,0)/22</f>
        <v>40.534090909090907</v>
      </c>
      <c r="G73" s="10">
        <f t="shared" si="0"/>
        <v>2.2151724137931037</v>
      </c>
    </row>
    <row r="74" spans="1:7" ht="11.1" customHeight="1" x14ac:dyDescent="0.2">
      <c r="A74" s="13" t="s">
        <v>74</v>
      </c>
      <c r="B74" s="13"/>
      <c r="C74" s="13"/>
      <c r="D74" s="5" t="s">
        <v>11</v>
      </c>
      <c r="E74" s="6">
        <v>23.393999999999998</v>
      </c>
      <c r="F74" s="10">
        <f>VLOOKUP(A74,[1]TDSheet!$A:$J,10,0)/22</f>
        <v>14.955545454545454</v>
      </c>
      <c r="G74" s="10">
        <f t="shared" si="0"/>
        <v>1.5642358261757572</v>
      </c>
    </row>
    <row r="75" spans="1:7" ht="11.1" customHeight="1" x14ac:dyDescent="0.2">
      <c r="A75" s="13" t="s">
        <v>75</v>
      </c>
      <c r="B75" s="13"/>
      <c r="C75" s="13"/>
      <c r="D75" s="5" t="s">
        <v>9</v>
      </c>
      <c r="E75" s="6">
        <v>-5.0999999999999996</v>
      </c>
      <c r="F75" s="10">
        <f>VLOOKUP(A75,[1]TDSheet!$A:$J,10,0)/22</f>
        <v>2.9454545454545453</v>
      </c>
      <c r="G75" s="10">
        <f t="shared" ref="G75:G111" si="1">E75/F75</f>
        <v>-1.7314814814814814</v>
      </c>
    </row>
    <row r="76" spans="1:7" ht="11.1" customHeight="1" x14ac:dyDescent="0.2">
      <c r="A76" s="13" t="s">
        <v>76</v>
      </c>
      <c r="B76" s="13"/>
      <c r="C76" s="13"/>
      <c r="D76" s="5" t="s">
        <v>9</v>
      </c>
      <c r="E76" s="6">
        <v>79.739999999999995</v>
      </c>
      <c r="F76" s="10">
        <f>VLOOKUP(A76,[1]TDSheet!$A:$J,10,0)/22</f>
        <v>8.82</v>
      </c>
      <c r="G76" s="10">
        <f t="shared" si="1"/>
        <v>9.0408163265306118</v>
      </c>
    </row>
    <row r="77" spans="1:7" ht="11.1" customHeight="1" x14ac:dyDescent="0.2">
      <c r="A77" s="13" t="s">
        <v>77</v>
      </c>
      <c r="B77" s="13"/>
      <c r="C77" s="13"/>
      <c r="D77" s="5" t="s">
        <v>9</v>
      </c>
      <c r="E77" s="6">
        <v>-2.64</v>
      </c>
      <c r="F77" s="10">
        <f>VLOOKUP(A77,[1]TDSheet!$A:$J,10,0)/22</f>
        <v>0.09</v>
      </c>
      <c r="G77" s="10">
        <f t="shared" si="1"/>
        <v>-29.333333333333336</v>
      </c>
    </row>
    <row r="78" spans="1:7" ht="11.1" customHeight="1" x14ac:dyDescent="0.2">
      <c r="A78" s="13" t="s">
        <v>78</v>
      </c>
      <c r="B78" s="13"/>
      <c r="C78" s="13"/>
      <c r="D78" s="5" t="s">
        <v>9</v>
      </c>
      <c r="E78" s="6">
        <v>247.1</v>
      </c>
      <c r="F78" s="10">
        <f>VLOOKUP(A78,[1]TDSheet!$A:$J,10,0)/22</f>
        <v>48.363636363636367</v>
      </c>
      <c r="G78" s="10">
        <f t="shared" si="1"/>
        <v>5.1092105263157892</v>
      </c>
    </row>
    <row r="79" spans="1:7" ht="11.1" customHeight="1" x14ac:dyDescent="0.2">
      <c r="A79" s="13" t="s">
        <v>79</v>
      </c>
      <c r="B79" s="13"/>
      <c r="C79" s="13"/>
      <c r="D79" s="5" t="s">
        <v>11</v>
      </c>
      <c r="E79" s="6">
        <v>62.399000000000001</v>
      </c>
      <c r="F79" s="10">
        <f>VLOOKUP(A79,[1]TDSheet!$A:$J,10,0)/22</f>
        <v>28.551727272727273</v>
      </c>
      <c r="G79" s="10">
        <f t="shared" si="1"/>
        <v>2.1854719822714115</v>
      </c>
    </row>
    <row r="80" spans="1:7" ht="11.1" customHeight="1" x14ac:dyDescent="0.2">
      <c r="A80" s="13" t="s">
        <v>80</v>
      </c>
      <c r="B80" s="13"/>
      <c r="C80" s="13"/>
      <c r="D80" s="5" t="s">
        <v>9</v>
      </c>
      <c r="E80" s="6">
        <v>8.68</v>
      </c>
      <c r="G80" s="10" t="e">
        <f t="shared" si="1"/>
        <v>#DIV/0!</v>
      </c>
    </row>
    <row r="81" spans="1:7" ht="11.1" customHeight="1" x14ac:dyDescent="0.2">
      <c r="A81" s="13" t="s">
        <v>81</v>
      </c>
      <c r="B81" s="13"/>
      <c r="C81" s="13"/>
      <c r="D81" s="5" t="s">
        <v>11</v>
      </c>
      <c r="E81" s="6">
        <v>291.60700000000003</v>
      </c>
      <c r="F81" s="10">
        <f>VLOOKUP(A81,[1]TDSheet!$A:$J,10,0)/22</f>
        <v>58.072545454545455</v>
      </c>
      <c r="G81" s="10">
        <f t="shared" si="1"/>
        <v>5.0214261785415735</v>
      </c>
    </row>
    <row r="82" spans="1:7" ht="11.1" customHeight="1" x14ac:dyDescent="0.2">
      <c r="A82" s="13" t="s">
        <v>82</v>
      </c>
      <c r="B82" s="13"/>
      <c r="C82" s="13"/>
      <c r="D82" s="5" t="s">
        <v>9</v>
      </c>
      <c r="E82" s="6">
        <v>253.4</v>
      </c>
      <c r="F82" s="10">
        <f>VLOOKUP(A82,[1]TDSheet!$A:$J,10,0)/22</f>
        <v>54.345454545454551</v>
      </c>
      <c r="G82" s="10">
        <f t="shared" si="1"/>
        <v>4.6627634660421542</v>
      </c>
    </row>
    <row r="83" spans="1:7" ht="11.1" customHeight="1" x14ac:dyDescent="0.2">
      <c r="A83" s="13" t="s">
        <v>83</v>
      </c>
      <c r="B83" s="13"/>
      <c r="C83" s="13"/>
      <c r="D83" s="5" t="s">
        <v>9</v>
      </c>
      <c r="E83" s="6">
        <v>-1.2</v>
      </c>
      <c r="F83" s="10">
        <f>VLOOKUP(A83,[1]TDSheet!$A:$J,10,0)/22</f>
        <v>5.331818181818182</v>
      </c>
      <c r="G83" s="10">
        <f t="shared" si="1"/>
        <v>-0.22506393861892582</v>
      </c>
    </row>
    <row r="84" spans="1:7" ht="11.1" customHeight="1" x14ac:dyDescent="0.2">
      <c r="A84" s="13" t="s">
        <v>84</v>
      </c>
      <c r="B84" s="13"/>
      <c r="C84" s="13"/>
      <c r="D84" s="5" t="s">
        <v>9</v>
      </c>
      <c r="E84" s="6">
        <v>-2.1</v>
      </c>
      <c r="F84" s="10">
        <f>VLOOKUP(A84,[1]TDSheet!$A:$J,10,0)/22</f>
        <v>2.5772727272727276</v>
      </c>
      <c r="G84" s="10">
        <f t="shared" si="1"/>
        <v>-0.81481481481481477</v>
      </c>
    </row>
    <row r="85" spans="1:7" ht="11.1" customHeight="1" x14ac:dyDescent="0.2">
      <c r="A85" s="13" t="s">
        <v>85</v>
      </c>
      <c r="B85" s="13"/>
      <c r="C85" s="13"/>
      <c r="D85" s="5" t="s">
        <v>9</v>
      </c>
      <c r="E85" s="6">
        <v>31.64</v>
      </c>
      <c r="F85" s="10">
        <f>VLOOKUP(A85,[1]TDSheet!$A:$J,10,0)/22</f>
        <v>6.414545454545455</v>
      </c>
      <c r="G85" s="10">
        <f t="shared" si="1"/>
        <v>4.9325396825396819</v>
      </c>
    </row>
    <row r="86" spans="1:7" ht="11.1" customHeight="1" x14ac:dyDescent="0.2">
      <c r="A86" s="13" t="s">
        <v>86</v>
      </c>
      <c r="B86" s="13"/>
      <c r="C86" s="13"/>
      <c r="D86" s="5" t="s">
        <v>9</v>
      </c>
      <c r="E86" s="6">
        <v>62.44</v>
      </c>
      <c r="F86" s="10">
        <f>VLOOKUP(A86,[1]TDSheet!$A:$J,10,0)/22</f>
        <v>13.758181818181818</v>
      </c>
      <c r="G86" s="10">
        <f t="shared" si="1"/>
        <v>4.5383903792784457</v>
      </c>
    </row>
    <row r="87" spans="1:7" ht="11.1" customHeight="1" x14ac:dyDescent="0.2">
      <c r="A87" s="13" t="s">
        <v>87</v>
      </c>
      <c r="B87" s="13"/>
      <c r="C87" s="13"/>
      <c r="D87" s="5" t="s">
        <v>9</v>
      </c>
      <c r="E87" s="6">
        <v>1.96</v>
      </c>
      <c r="F87" s="10">
        <f>VLOOKUP(A87,[1]TDSheet!$A:$J,10,0)/22</f>
        <v>2.7236363636363636</v>
      </c>
      <c r="G87" s="10">
        <f t="shared" si="1"/>
        <v>0.71962616822429903</v>
      </c>
    </row>
    <row r="88" spans="1:7" ht="11.1" customHeight="1" x14ac:dyDescent="0.2">
      <c r="A88" s="13" t="s">
        <v>88</v>
      </c>
      <c r="B88" s="13"/>
      <c r="C88" s="13"/>
      <c r="D88" s="5" t="s">
        <v>9</v>
      </c>
      <c r="E88" s="6">
        <v>28.56</v>
      </c>
      <c r="F88" s="10">
        <f>VLOOKUP(A88,[1]TDSheet!$A:$J,10,0)/22</f>
        <v>10.678181818181818</v>
      </c>
      <c r="G88" s="10">
        <f t="shared" si="1"/>
        <v>2.6746126340882004</v>
      </c>
    </row>
    <row r="89" spans="1:7" ht="11.1" customHeight="1" x14ac:dyDescent="0.2">
      <c r="A89" s="13" t="s">
        <v>89</v>
      </c>
      <c r="B89" s="13"/>
      <c r="C89" s="13"/>
      <c r="D89" s="5" t="s">
        <v>9</v>
      </c>
      <c r="E89" s="6">
        <v>10</v>
      </c>
      <c r="F89" s="10">
        <f>VLOOKUP(A89,[1]TDSheet!$A:$J,10,0)/22</f>
        <v>20.727272727272727</v>
      </c>
      <c r="G89" s="10">
        <f t="shared" si="1"/>
        <v>0.48245614035087719</v>
      </c>
    </row>
    <row r="90" spans="1:7" ht="11.1" customHeight="1" x14ac:dyDescent="0.2">
      <c r="A90" s="13" t="s">
        <v>90</v>
      </c>
      <c r="B90" s="13"/>
      <c r="C90" s="13"/>
      <c r="D90" s="5" t="s">
        <v>9</v>
      </c>
      <c r="E90" s="6">
        <v>-1.5</v>
      </c>
      <c r="F90" s="10">
        <f>VLOOKUP(A90,[1]TDSheet!$A:$J,10,0)/22</f>
        <v>1.1318181818181818</v>
      </c>
      <c r="G90" s="10">
        <f t="shared" si="1"/>
        <v>-1.3253012048192772</v>
      </c>
    </row>
    <row r="91" spans="1:7" ht="11.1" customHeight="1" x14ac:dyDescent="0.2">
      <c r="A91" s="13" t="s">
        <v>91</v>
      </c>
      <c r="B91" s="13"/>
      <c r="C91" s="13"/>
      <c r="D91" s="5" t="s">
        <v>9</v>
      </c>
      <c r="E91" s="6">
        <v>-3.63</v>
      </c>
      <c r="F91" s="10">
        <f>VLOOKUP(A91,[1]TDSheet!$A:$J,10,0)/22</f>
        <v>0.49499999999999994</v>
      </c>
      <c r="G91" s="10">
        <f t="shared" si="1"/>
        <v>-7.3333333333333339</v>
      </c>
    </row>
    <row r="92" spans="1:7" ht="11.1" customHeight="1" x14ac:dyDescent="0.2">
      <c r="A92" s="13" t="s">
        <v>92</v>
      </c>
      <c r="B92" s="13"/>
      <c r="C92" s="13"/>
      <c r="D92" s="5" t="s">
        <v>9</v>
      </c>
      <c r="E92" s="6">
        <v>-1.3</v>
      </c>
      <c r="F92" s="10">
        <f>VLOOKUP(A92,[1]TDSheet!$A:$J,10,0)/22</f>
        <v>0.51363636363636367</v>
      </c>
      <c r="G92" s="10">
        <f t="shared" si="1"/>
        <v>-2.5309734513274336</v>
      </c>
    </row>
    <row r="93" spans="1:7" ht="11.1" customHeight="1" x14ac:dyDescent="0.2">
      <c r="A93" s="13" t="s">
        <v>93</v>
      </c>
      <c r="B93" s="13"/>
      <c r="C93" s="13"/>
      <c r="D93" s="5" t="s">
        <v>11</v>
      </c>
      <c r="E93" s="6">
        <v>-26.126000000000001</v>
      </c>
      <c r="F93" s="10">
        <f>VLOOKUP(A93,[1]TDSheet!$A:$J,10,0)/22</f>
        <v>2.2608181818181818</v>
      </c>
      <c r="G93" s="10">
        <f t="shared" si="1"/>
        <v>-11.55599340544453</v>
      </c>
    </row>
    <row r="94" spans="1:7" ht="11.1" customHeight="1" x14ac:dyDescent="0.2">
      <c r="A94" s="13" t="s">
        <v>94</v>
      </c>
      <c r="B94" s="13"/>
      <c r="C94" s="13"/>
      <c r="D94" s="5" t="s">
        <v>9</v>
      </c>
      <c r="E94" s="6">
        <v>-1.4</v>
      </c>
      <c r="F94" s="10">
        <f>VLOOKUP(A94,[1]TDSheet!$A:$J,10,0)/22</f>
        <v>0.67454545454545434</v>
      </c>
      <c r="G94" s="10">
        <f t="shared" si="1"/>
        <v>-2.075471698113208</v>
      </c>
    </row>
    <row r="95" spans="1:7" ht="11.1" customHeight="1" x14ac:dyDescent="0.2">
      <c r="A95" s="13" t="s">
        <v>95</v>
      </c>
      <c r="B95" s="13"/>
      <c r="C95" s="13"/>
      <c r="D95" s="5" t="s">
        <v>9</v>
      </c>
      <c r="E95" s="6">
        <v>-1.2</v>
      </c>
      <c r="F95" s="10">
        <f>VLOOKUP(A95,[1]TDSheet!$A:$J,10,0)/22</f>
        <v>5.7681818181818185</v>
      </c>
      <c r="G95" s="10">
        <f t="shared" si="1"/>
        <v>-0.20803782505910162</v>
      </c>
    </row>
    <row r="96" spans="1:7" ht="11.1" customHeight="1" x14ac:dyDescent="0.2">
      <c r="A96" s="13" t="s">
        <v>96</v>
      </c>
      <c r="B96" s="13"/>
      <c r="C96" s="13"/>
      <c r="D96" s="5" t="s">
        <v>9</v>
      </c>
      <c r="E96" s="6">
        <v>42.6</v>
      </c>
      <c r="F96" s="10">
        <f>VLOOKUP(A96,[1]TDSheet!$A:$J,10,0)/22</f>
        <v>6.878181818181818</v>
      </c>
      <c r="G96" s="10">
        <f t="shared" si="1"/>
        <v>6.1934972244250597</v>
      </c>
    </row>
    <row r="97" spans="1:7" ht="11.1" customHeight="1" x14ac:dyDescent="0.2">
      <c r="A97" s="13" t="s">
        <v>97</v>
      </c>
      <c r="B97" s="13"/>
      <c r="C97" s="13"/>
      <c r="D97" s="5" t="s">
        <v>9</v>
      </c>
      <c r="E97" s="6">
        <v>67.650000000000006</v>
      </c>
      <c r="F97" s="10">
        <f>VLOOKUP(A97,[1]TDSheet!$A:$J,10,0)/22</f>
        <v>9.0299999999999994</v>
      </c>
      <c r="G97" s="10">
        <f t="shared" si="1"/>
        <v>7.4916943521594694</v>
      </c>
    </row>
    <row r="98" spans="1:7" ht="11.1" customHeight="1" x14ac:dyDescent="0.2">
      <c r="A98" s="13" t="s">
        <v>98</v>
      </c>
      <c r="B98" s="13"/>
      <c r="C98" s="13"/>
      <c r="D98" s="5" t="s">
        <v>9</v>
      </c>
      <c r="E98" s="6">
        <v>45.36</v>
      </c>
      <c r="F98" s="10">
        <f>VLOOKUP(A98,[1]TDSheet!$A:$J,10,0)/22</f>
        <v>1.2090909090909092</v>
      </c>
      <c r="G98" s="10">
        <f t="shared" si="1"/>
        <v>37.515789473684208</v>
      </c>
    </row>
    <row r="99" spans="1:7" ht="11.1" customHeight="1" x14ac:dyDescent="0.2">
      <c r="A99" s="13" t="s">
        <v>99</v>
      </c>
      <c r="B99" s="13"/>
      <c r="C99" s="13"/>
      <c r="D99" s="5" t="s">
        <v>9</v>
      </c>
      <c r="E99" s="6">
        <v>21.6</v>
      </c>
      <c r="F99" s="10">
        <f>VLOOKUP(A99,[1]TDSheet!$A:$J,10,0)/22</f>
        <v>11.745454545454544</v>
      </c>
      <c r="G99" s="10">
        <f t="shared" si="1"/>
        <v>1.839009287925697</v>
      </c>
    </row>
    <row r="100" spans="1:7" ht="11.1" customHeight="1" x14ac:dyDescent="0.2">
      <c r="A100" s="13" t="s">
        <v>100</v>
      </c>
      <c r="B100" s="13"/>
      <c r="C100" s="13"/>
      <c r="D100" s="5" t="s">
        <v>9</v>
      </c>
      <c r="E100" s="6">
        <v>-24.85</v>
      </c>
      <c r="F100" s="10">
        <f>VLOOKUP(A100,[1]TDSheet!$A:$J,10,0)/22</f>
        <v>1.240909090909091</v>
      </c>
      <c r="G100" s="10">
        <f t="shared" si="1"/>
        <v>-20.025641025641026</v>
      </c>
    </row>
    <row r="101" spans="1:7" ht="11.1" customHeight="1" x14ac:dyDescent="0.2">
      <c r="A101" s="13" t="s">
        <v>101</v>
      </c>
      <c r="B101" s="13"/>
      <c r="C101" s="13"/>
      <c r="D101" s="5" t="s">
        <v>11</v>
      </c>
      <c r="E101" s="6">
        <v>10.122999999999999</v>
      </c>
      <c r="F101" s="10">
        <f>VLOOKUP(A101,[1]TDSheet!$A:$J,10,0)/22</f>
        <v>1.3874545454545455</v>
      </c>
      <c r="G101" s="10">
        <f t="shared" si="1"/>
        <v>7.2960948761630187</v>
      </c>
    </row>
    <row r="102" spans="1:7" ht="11.1" customHeight="1" x14ac:dyDescent="0.2">
      <c r="A102" s="13" t="s">
        <v>102</v>
      </c>
      <c r="B102" s="13"/>
      <c r="C102" s="13"/>
      <c r="D102" s="5" t="s">
        <v>9</v>
      </c>
      <c r="E102" s="6">
        <v>76.031999999999996</v>
      </c>
      <c r="F102" s="10">
        <f>VLOOKUP(A102,[1]TDSheet!$A:$J,10,0)/22</f>
        <v>0.14400000000000002</v>
      </c>
      <c r="G102" s="10">
        <f t="shared" si="1"/>
        <v>527.99999999999989</v>
      </c>
    </row>
    <row r="103" spans="1:7" ht="11.1" customHeight="1" x14ac:dyDescent="0.2">
      <c r="A103" s="13" t="s">
        <v>103</v>
      </c>
      <c r="B103" s="13"/>
      <c r="C103" s="13"/>
      <c r="D103" s="5" t="s">
        <v>9</v>
      </c>
      <c r="E103" s="6">
        <v>-5.94</v>
      </c>
      <c r="F103" s="10">
        <f>VLOOKUP(A103,[1]TDSheet!$A:$J,10,0)/22</f>
        <v>5.9549999999999992</v>
      </c>
      <c r="G103" s="10">
        <f t="shared" si="1"/>
        <v>-0.99748110831234282</v>
      </c>
    </row>
    <row r="104" spans="1:7" ht="11.1" customHeight="1" x14ac:dyDescent="0.2">
      <c r="A104" s="13" t="s">
        <v>104</v>
      </c>
      <c r="B104" s="13"/>
      <c r="C104" s="13"/>
      <c r="D104" s="5" t="s">
        <v>9</v>
      </c>
      <c r="E104" s="6">
        <v>10.3</v>
      </c>
      <c r="F104" s="10">
        <f>VLOOKUP(A104,[1]TDSheet!$A:$J,10,0)/22</f>
        <v>1.8181818181818184E-2</v>
      </c>
      <c r="G104" s="10">
        <f t="shared" si="1"/>
        <v>566.5</v>
      </c>
    </row>
    <row r="105" spans="1:7" ht="11.1" customHeight="1" x14ac:dyDescent="0.2">
      <c r="A105" s="13" t="s">
        <v>105</v>
      </c>
      <c r="B105" s="13"/>
      <c r="C105" s="13"/>
      <c r="D105" s="5" t="s">
        <v>9</v>
      </c>
      <c r="E105" s="6">
        <v>8.8000000000000007</v>
      </c>
      <c r="F105" s="10">
        <f>VLOOKUP(A105,[1]TDSheet!$A:$J,10,0)/22</f>
        <v>2.7272727272727258E-2</v>
      </c>
      <c r="G105" s="10">
        <f t="shared" si="1"/>
        <v>322.66666666666686</v>
      </c>
    </row>
    <row r="106" spans="1:7" ht="11.1" customHeight="1" x14ac:dyDescent="0.2">
      <c r="A106" s="13" t="s">
        <v>106</v>
      </c>
      <c r="B106" s="13"/>
      <c r="C106" s="13"/>
      <c r="D106" s="5" t="s">
        <v>9</v>
      </c>
      <c r="E106" s="6">
        <v>44.4</v>
      </c>
      <c r="F106" s="10">
        <f>VLOOKUP(A106,[1]TDSheet!$A:$J,10,0)/22</f>
        <v>0.10909090909090911</v>
      </c>
      <c r="G106" s="10">
        <f t="shared" si="1"/>
        <v>406.99999999999989</v>
      </c>
    </row>
    <row r="107" spans="1:7" ht="11.1" customHeight="1" x14ac:dyDescent="0.2">
      <c r="A107" s="13" t="s">
        <v>107</v>
      </c>
      <c r="B107" s="13"/>
      <c r="C107" s="13"/>
      <c r="D107" s="5" t="s">
        <v>9</v>
      </c>
      <c r="E107" s="6">
        <v>-3.1</v>
      </c>
      <c r="F107" s="10">
        <f>VLOOKUP(A107,[1]TDSheet!$A:$J,10,0)/22</f>
        <v>3.127272727272727</v>
      </c>
      <c r="G107" s="10">
        <f t="shared" si="1"/>
        <v>-0.99127906976744196</v>
      </c>
    </row>
    <row r="108" spans="1:7" ht="11.1" customHeight="1" x14ac:dyDescent="0.2">
      <c r="A108" s="13" t="s">
        <v>108</v>
      </c>
      <c r="B108" s="13"/>
      <c r="C108" s="13"/>
      <c r="D108" s="5" t="s">
        <v>9</v>
      </c>
      <c r="E108" s="6">
        <v>162.80000000000001</v>
      </c>
      <c r="F108" s="10">
        <f>VLOOKUP(A108,[1]TDSheet!$A:$J,10,0)/22</f>
        <v>26.054545454545451</v>
      </c>
      <c r="G108" s="10">
        <f t="shared" si="1"/>
        <v>6.2484298674110272</v>
      </c>
    </row>
    <row r="109" spans="1:7" ht="11.1" customHeight="1" x14ac:dyDescent="0.2">
      <c r="A109" s="13" t="s">
        <v>109</v>
      </c>
      <c r="B109" s="13"/>
      <c r="C109" s="13"/>
      <c r="D109" s="5" t="s">
        <v>11</v>
      </c>
      <c r="E109" s="6">
        <v>129.63</v>
      </c>
      <c r="G109" s="10" t="e">
        <f t="shared" si="1"/>
        <v>#DIV/0!</v>
      </c>
    </row>
    <row r="110" spans="1:7" ht="11.1" customHeight="1" x14ac:dyDescent="0.2">
      <c r="A110" s="13" t="s">
        <v>110</v>
      </c>
      <c r="B110" s="13"/>
      <c r="C110" s="13"/>
      <c r="D110" s="5" t="s">
        <v>11</v>
      </c>
      <c r="E110" s="6">
        <v>36.677</v>
      </c>
      <c r="F110" s="10">
        <f>VLOOKUP(A110,[1]TDSheet!$A:$J,10,0)/22</f>
        <v>0.14122727272727273</v>
      </c>
      <c r="G110" s="10">
        <f t="shared" si="1"/>
        <v>259.70196330865787</v>
      </c>
    </row>
    <row r="111" spans="1:7" ht="12.95" customHeight="1" x14ac:dyDescent="0.2">
      <c r="A111" s="14" t="s">
        <v>111</v>
      </c>
      <c r="B111" s="14"/>
      <c r="C111" s="14"/>
      <c r="D111" s="14"/>
      <c r="E111" s="8">
        <v>9732.8240000000005</v>
      </c>
    </row>
  </sheetData>
  <mergeCells count="105">
    <mergeCell ref="C6:D6"/>
    <mergeCell ref="A8:C9"/>
    <mergeCell ref="D8:D9"/>
    <mergeCell ref="A10:C10"/>
    <mergeCell ref="A11:C11"/>
    <mergeCell ref="A17:C17"/>
    <mergeCell ref="A18:C18"/>
    <mergeCell ref="A19:C19"/>
    <mergeCell ref="A20:C20"/>
    <mergeCell ref="A21:C21"/>
    <mergeCell ref="A12:C12"/>
    <mergeCell ref="A13:C13"/>
    <mergeCell ref="A14:C14"/>
    <mergeCell ref="A15:C15"/>
    <mergeCell ref="A16:C16"/>
    <mergeCell ref="A27:C27"/>
    <mergeCell ref="A28:C28"/>
    <mergeCell ref="A29:C29"/>
    <mergeCell ref="A30:C30"/>
    <mergeCell ref="A31:C31"/>
    <mergeCell ref="A22:C22"/>
    <mergeCell ref="A23:C23"/>
    <mergeCell ref="A24:C24"/>
    <mergeCell ref="A25:C25"/>
    <mergeCell ref="A26:C26"/>
    <mergeCell ref="A37:C37"/>
    <mergeCell ref="A38:C38"/>
    <mergeCell ref="A39:C39"/>
    <mergeCell ref="A40:C40"/>
    <mergeCell ref="A41:C41"/>
    <mergeCell ref="A32:C32"/>
    <mergeCell ref="A33:C33"/>
    <mergeCell ref="A34:C34"/>
    <mergeCell ref="A35:C35"/>
    <mergeCell ref="A36:C36"/>
    <mergeCell ref="A47:C47"/>
    <mergeCell ref="A48:C48"/>
    <mergeCell ref="A49:C49"/>
    <mergeCell ref="A50:C50"/>
    <mergeCell ref="A51:C51"/>
    <mergeCell ref="A42:C42"/>
    <mergeCell ref="A43:C43"/>
    <mergeCell ref="A44:C44"/>
    <mergeCell ref="A45:C45"/>
    <mergeCell ref="A46:C46"/>
    <mergeCell ref="A57:C57"/>
    <mergeCell ref="A58:C58"/>
    <mergeCell ref="A59:C59"/>
    <mergeCell ref="A60:C60"/>
    <mergeCell ref="A61:C61"/>
    <mergeCell ref="A52:C52"/>
    <mergeCell ref="A53:C53"/>
    <mergeCell ref="A54:C54"/>
    <mergeCell ref="A55:C55"/>
    <mergeCell ref="A56:C56"/>
    <mergeCell ref="A67:C67"/>
    <mergeCell ref="A68:C68"/>
    <mergeCell ref="A69:C69"/>
    <mergeCell ref="A70:C70"/>
    <mergeCell ref="A71:C71"/>
    <mergeCell ref="A62:C62"/>
    <mergeCell ref="A63:C63"/>
    <mergeCell ref="A64:C64"/>
    <mergeCell ref="A65:C65"/>
    <mergeCell ref="A66:C66"/>
    <mergeCell ref="A77:C77"/>
    <mergeCell ref="A78:C78"/>
    <mergeCell ref="A79:C79"/>
    <mergeCell ref="A80:C80"/>
    <mergeCell ref="A81:C81"/>
    <mergeCell ref="A72:C72"/>
    <mergeCell ref="A73:C73"/>
    <mergeCell ref="A74:C74"/>
    <mergeCell ref="A75:C75"/>
    <mergeCell ref="A76:C76"/>
    <mergeCell ref="A87:C87"/>
    <mergeCell ref="A88:C88"/>
    <mergeCell ref="A89:C89"/>
    <mergeCell ref="A90:C90"/>
    <mergeCell ref="A91:C91"/>
    <mergeCell ref="A82:C82"/>
    <mergeCell ref="A83:C83"/>
    <mergeCell ref="A84:C84"/>
    <mergeCell ref="A85:C85"/>
    <mergeCell ref="A86:C86"/>
    <mergeCell ref="A97:C97"/>
    <mergeCell ref="A98:C98"/>
    <mergeCell ref="A99:C99"/>
    <mergeCell ref="A100:C100"/>
    <mergeCell ref="A101:C101"/>
    <mergeCell ref="A92:C92"/>
    <mergeCell ref="A93:C93"/>
    <mergeCell ref="A94:C94"/>
    <mergeCell ref="A95:C95"/>
    <mergeCell ref="A96:C96"/>
    <mergeCell ref="A107:C107"/>
    <mergeCell ref="A108:C108"/>
    <mergeCell ref="A109:C109"/>
    <mergeCell ref="A110:C110"/>
    <mergeCell ref="A111:D111"/>
    <mergeCell ref="A102:C102"/>
    <mergeCell ref="A103:C103"/>
    <mergeCell ref="A104:C104"/>
    <mergeCell ref="A105:C105"/>
    <mergeCell ref="A106:C106"/>
  </mergeCells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2026-08-05T10:37:44Z</dcterms:modified>
</cp:coreProperties>
</file>