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статки филиалы 05,08,26\Останкино\"/>
    </mc:Choice>
  </mc:AlternateContent>
  <xr:revisionPtr revIDLastSave="0" documentId="13_ncr:1_{12269E57-11C4-4418-8EDE-D9AE79E634D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4" i="1" l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6" i="1"/>
  <c r="F37" i="1"/>
  <c r="F38" i="1"/>
  <c r="F39" i="1"/>
  <c r="F41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100" i="1"/>
  <c r="F102" i="1"/>
  <c r="F103" i="1"/>
  <c r="F104" i="1"/>
  <c r="F105" i="1"/>
  <c r="F106" i="1"/>
  <c r="F107" i="1"/>
  <c r="F108" i="1"/>
  <c r="F110" i="1"/>
  <c r="F111" i="1"/>
  <c r="F112" i="1"/>
  <c r="F113" i="1"/>
  <c r="F114" i="1"/>
  <c r="F115" i="1"/>
  <c r="F116" i="1"/>
  <c r="F117" i="1"/>
</calcChain>
</file>

<file path=xl/sharedStrings.xml><?xml version="1.0" encoding="utf-8"?>
<sst xmlns="http://schemas.openxmlformats.org/spreadsheetml/2006/main" count="230" uniqueCount="123">
  <si>
    <t>Ведомость по товарам на складах</t>
  </si>
  <si>
    <t>Параметры:</t>
  </si>
  <si>
    <t>Период: 05.08.2026 - 05.08.2026</t>
  </si>
  <si>
    <t>Количество товаров: В единицах хранения</t>
  </si>
  <si>
    <t>Отбор:</t>
  </si>
  <si>
    <t>Склад В списке "АСП Бердянск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</si>
  <si>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</si>
  <si>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</si>
  <si>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</si>
  <si>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</si>
  <si>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</si>
  <si>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</si>
  <si>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</si>
  <si>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</si>
  <si>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</si>
  <si>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</si>
  <si>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</si>
  <si>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</si>
  <si>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</si>
  <si>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</si>
  <si>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</si>
  <si>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</si>
  <si>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</si>
  <si>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</si>
  <si>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</si>
  <si>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</si>
  <si>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</si>
  <si>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</si>
  <si>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</si>
  <si>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</si>
  <si>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</si>
  <si>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</si>
  <si>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</si>
  <si>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</si>
  <si>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</si>
  <si>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</si>
  <si>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</si>
  <si>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</si>
  <si>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</si>
  <si>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</si>
  <si>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</si>
  <si>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</si>
  <si>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</si>
  <si>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</si>
  <si>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</si>
  <si>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</si>
  <si>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</si>
  <si>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</si>
  <si>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</si>
  <si>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</si>
  <si>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</si>
  <si>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</si>
  <si>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</si>
  <si>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</si>
  <si>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</si>
  <si>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</si>
  <si>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</si>
  <si>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</si>
  <si>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</si>
  <si>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</si>
  <si>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</si>
  <si>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</si>
  <si>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</si>
  <si>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</si>
  <si>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</si>
  <si>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</si>
  <si>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</si>
  <si>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</si>
  <si>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</si>
  <si>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</si>
  <si>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</si>
  <si>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</si>
  <si>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</si>
  <si>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</si>
  <si>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</si>
  <si>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</si>
  <si>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</si>
  <si>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</si>
  <si>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</si>
  <si>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</si>
  <si>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</si>
  <si>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</si>
  <si>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</si>
  <si>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</si>
  <si>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</si>
  <si>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</si>
  <si>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</si>
  <si>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</si>
  <si>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</si>
  <si>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</si>
  <si>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</si>
  <si>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</si>
  <si>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</si>
  <si>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</si>
  <si>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</si>
  <si>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</si>
  <si>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</si>
  <si>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</si>
  <si>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</si>
  <si>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</si>
  <si>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7371 БРЕСТСКИЕ сос п/о в/у 0,3кг 8шт. ОСТАНКИНО</t>
  </si>
  <si>
    <t>7377 ВЕТЧ.С ИНДЕЙКОЙ ПМ в/у срез 0.3кг 6шт.  ОСТАНКИНО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</si>
  <si>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</si>
  <si>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</si>
  <si>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</si>
  <si>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</si>
  <si>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</si>
  <si>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</si>
  <si>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</si>
  <si>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</si>
  <si>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</si>
  <si>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</si>
  <si>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</si>
  <si>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</si>
  <si>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</si>
  <si>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</si>
  <si>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</si>
  <si>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</si>
  <si>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Итого</t>
  </si>
  <si>
    <t>ВЕС</t>
  </si>
  <si>
    <t>Конечный остаток вес</t>
  </si>
  <si>
    <t>средние продажи в день</t>
  </si>
  <si>
    <t>запас в днях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</si>
</sst>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" fontId="2" fillId="2" borderId="6" xfId="0" applyNumberFormat="1" applyFont="1" applyFill="1" applyBorder="1" applyAlignment="1">
      <alignment horizontal="left" vertical="top" wrapText="1"/>
    </xf>
    <xf numFmtId="1" fontId="0" fillId="0" borderId="0" xfId="0" applyNumberFormat="1"/>
    <xf numFmtId="1" fontId="3" fillId="2" borderId="6" xfId="0" applyNumberFormat="1" applyFont="1" applyFill="1" applyBorder="1" applyAlignment="1">
      <alignment horizontal="left" vertical="top" wrapText="1"/>
    </xf>
    <xf numFmtId="1" fontId="0" fillId="0" borderId="0" xfId="0" applyNumberFormat="1" applyAlignment="1">
      <alignment horizontal="left"/>
    </xf>
    <xf numFmtId="0" fontId="0" fillId="0" borderId="6" xfId="0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77;&#1088;&#1076;&#1103;&#1085;&#1089;&#1082;/&#1087;&#1088;&#1086;&#1076;&#1072;&#1078;&#1080;%20&#1041;&#1077;&#1088;&#1076;&#1103;&#1085;&#1089;&#1082;%2005,07,26-04,08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05.07.2026 - 04.08.2026</v>
          </cell>
        </row>
        <row r="3">
          <cell r="A3" t="str">
            <v>Отбор:</v>
          </cell>
          <cell r="C3" t="str">
            <v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v>
          </cell>
        </row>
        <row r="5">
          <cell r="A5" t="str">
            <v>Номенклатура</v>
          </cell>
          <cell r="D5" t="str">
            <v>Номенклатура.Код</v>
          </cell>
          <cell r="F5" t="str">
            <v>кол-во</v>
          </cell>
        </row>
        <row r="6">
          <cell r="F6" t="str">
            <v>Вес</v>
          </cell>
          <cell r="G6" t="str">
            <v>Количество</v>
          </cell>
        </row>
        <row r="7">
          <cell r="A7" t="str">
            <v>3215 ВЕТЧ.МЯСНАЯ Папа может п/о 0.4кг 8шт.    ОСТАНКИНО</v>
          </cell>
          <cell r="D7" t="str">
            <v>00-00005413</v>
          </cell>
          <cell r="F7">
            <v>424.4</v>
          </cell>
          <cell r="G7">
            <v>1061</v>
          </cell>
        </row>
        <row r="8">
          <cell r="A8" t="str">
            <v>3287 САЛЯМИ ИТАЛЬЯНСКАЯ с/к в/у ОСТАНКИНО</v>
          </cell>
          <cell r="D8" t="str">
            <v>00-00000651</v>
          </cell>
          <cell r="F8">
            <v>44.838000000000001</v>
          </cell>
          <cell r="G8">
            <v>44.838000000000001</v>
          </cell>
        </row>
        <row r="9">
          <cell r="A9" t="str">
            <v>3323 Сыр Российский цилиндр 1/4 пленка ЮКМП м.д.ж. 50%  ОСТАНКИНО</v>
          </cell>
          <cell r="D9" t="str">
            <v>00-ko011401</v>
          </cell>
          <cell r="F9">
            <v>2.6059999999999999</v>
          </cell>
          <cell r="G9">
            <v>2.6059999999999999</v>
          </cell>
        </row>
        <row r="10">
          <cell r="A10" t="str">
            <v>3986 Ароматная с/к в/у 1/250 ОСТАНКИНО</v>
          </cell>
          <cell r="D10" t="str">
            <v>00-00000744</v>
          </cell>
          <cell r="F10">
            <v>199</v>
          </cell>
          <cell r="G10">
            <v>796</v>
          </cell>
        </row>
        <row r="11">
          <cell r="A11" t="str">
            <v>4063 МЯСНАЯ Папа может вар п/о_Л   ОСТАНКИНО</v>
          </cell>
          <cell r="D11" t="str">
            <v>00-00006364</v>
          </cell>
          <cell r="F11">
            <v>1134.8330000000001</v>
          </cell>
          <cell r="G11">
            <v>1134.8330000000001</v>
          </cell>
        </row>
        <row r="12">
          <cell r="A12" t="str">
            <v>4117 ЭКСТРА Папа может с/к в/у_Л   ОСТАНКИНО</v>
          </cell>
          <cell r="D12" t="str">
            <v>00-00006375</v>
          </cell>
          <cell r="F12">
            <v>114.96299999999999</v>
          </cell>
          <cell r="G12">
            <v>114.96299999999999</v>
          </cell>
        </row>
        <row r="13">
          <cell r="A13" t="str">
            <v>4574 Мясная со шпиком Папа может вар п/о ОСТАНКИНО</v>
          </cell>
          <cell r="D13" t="str">
            <v>00-00000698</v>
          </cell>
          <cell r="F13">
            <v>87.295000000000002</v>
          </cell>
          <cell r="G13">
            <v>87.295000000000002</v>
          </cell>
        </row>
        <row r="14">
          <cell r="A14" t="str">
            <v>4813 ФИЛЕЙНАЯ Папа может вар п/о_Л   ОСТАНКИНО</v>
          </cell>
          <cell r="D14" t="str">
            <v>00-00006365</v>
          </cell>
          <cell r="F14">
            <v>1079.9639999999999</v>
          </cell>
          <cell r="G14">
            <v>1079.9639999999999</v>
          </cell>
        </row>
        <row r="15">
          <cell r="A15" t="str">
            <v>4993 САЛЯМИ ИТАЛЬЯНСКАЯ с/к в/у 1/250*8_120c ОСТАНКИНО</v>
          </cell>
          <cell r="D15" t="str">
            <v>00-00000753</v>
          </cell>
          <cell r="F15">
            <v>198.5</v>
          </cell>
          <cell r="G15">
            <v>794</v>
          </cell>
        </row>
        <row r="16">
          <cell r="A16" t="str">
            <v>5452 ВЕТЧ.МЯСНАЯ Папа может п/о    ОСТАНКИНО</v>
          </cell>
          <cell r="D16" t="str">
            <v>00-00005378</v>
          </cell>
          <cell r="F16">
            <v>280.38400000000001</v>
          </cell>
          <cell r="G16">
            <v>280.38400000000001</v>
          </cell>
        </row>
        <row r="17">
          <cell r="A17" t="str">
            <v>5483 ЭКСТРА Папа может с/к в/у 1/250 8шт.   ОСТАНКИНО</v>
          </cell>
          <cell r="D17" t="str">
            <v>00-00005436</v>
          </cell>
          <cell r="F17">
            <v>214.75</v>
          </cell>
          <cell r="G17">
            <v>859</v>
          </cell>
        </row>
        <row r="18">
          <cell r="A18" t="str">
            <v>5495 ВЕТЧ.С ИНДЕЙКОЙ Папа может п/о 400*6  Останкино</v>
          </cell>
          <cell r="D18" t="str">
            <v>00-ko009672</v>
          </cell>
          <cell r="F18">
            <v>268.8</v>
          </cell>
          <cell r="G18">
            <v>672</v>
          </cell>
        </row>
        <row r="19">
          <cell r="A19" t="str">
            <v>5544 Сервелат Финский в/к в/у_45с НОВАЯ ОСТАНКИНО</v>
          </cell>
          <cell r="D19" t="str">
            <v>00-00005653</v>
          </cell>
          <cell r="F19">
            <v>821.16800000000001</v>
          </cell>
          <cell r="G19">
            <v>821.16800000000001</v>
          </cell>
        </row>
        <row r="20">
          <cell r="A20" t="str">
            <v>5706 АРОМАТНАЯ Папа может с/к в/у 1/250 8шт.  ОСТАНКИНО</v>
          </cell>
          <cell r="D20" t="str">
            <v>00-00005868</v>
          </cell>
        </row>
        <row r="21">
          <cell r="A21" t="str">
            <v>5708 ПОСОЛЬСКАЯ Папа может с/к в/у ОСТАНКИНО</v>
          </cell>
          <cell r="D21" t="str">
            <v>00-00005867</v>
          </cell>
          <cell r="F21">
            <v>83.944000000000003</v>
          </cell>
          <cell r="G21">
            <v>83.944000000000003</v>
          </cell>
        </row>
        <row r="22">
          <cell r="A22" t="str">
            <v>5819 Сосиски Папа может 400г Мясные  ОСТАНКИНО</v>
          </cell>
          <cell r="D22" t="str">
            <v>00-00009307</v>
          </cell>
          <cell r="F22">
            <v>18.399999999999999</v>
          </cell>
          <cell r="G22">
            <v>46</v>
          </cell>
        </row>
        <row r="23">
          <cell r="A23" t="str">
            <v>5851 ЭКСТРА Папа может вар п/о   ОСТАНКИНО</v>
          </cell>
          <cell r="D23" t="str">
            <v>00-00006074</v>
          </cell>
          <cell r="F23">
            <v>672.87</v>
          </cell>
          <cell r="G23">
            <v>672.87</v>
          </cell>
        </row>
        <row r="24">
          <cell r="A24" t="str">
            <v>5931 ОХОТНИЧЬЯ Папа может с/к в/у 1/220 8шт.   ОСТАНКИНО</v>
          </cell>
          <cell r="D24" t="str">
            <v>00-00006294</v>
          </cell>
          <cell r="F24">
            <v>278.3</v>
          </cell>
          <cell r="G24">
            <v>1265</v>
          </cell>
        </row>
        <row r="25">
          <cell r="A25" t="str">
            <v>6008 САЛО СОЛЕНОЕ С ЧЕРНЫМ ПЕРЦЕМ мл/к в/у ОСТАНКИНО</v>
          </cell>
          <cell r="D25" t="str">
            <v>00-ko011702</v>
          </cell>
          <cell r="F25">
            <v>114.54</v>
          </cell>
          <cell r="G25">
            <v>114.54</v>
          </cell>
        </row>
        <row r="26">
          <cell r="A26" t="str">
            <v>6025 ВЕТЧ.ФИРМЕННАЯ С ИНДЕЙКОЙ п/о   ОСТАНКИНО</v>
          </cell>
          <cell r="D26" t="str">
            <v>00-00006417</v>
          </cell>
          <cell r="F26">
            <v>27.22</v>
          </cell>
          <cell r="G26">
            <v>27.22</v>
          </cell>
        </row>
        <row r="27">
          <cell r="A27" t="str">
            <v>6208 ДЫМОВИЦА ИЗ ЛОПАТКИ ПМ к/в с/н в/у 1/150  Останкино</v>
          </cell>
          <cell r="D27" t="str">
            <v>00-ko010377</v>
          </cell>
          <cell r="F27">
            <v>7.2</v>
          </cell>
          <cell r="G27">
            <v>48</v>
          </cell>
        </row>
        <row r="28">
          <cell r="A28" t="str">
            <v>6220 ГОВЯЖЬЯ папа может вар п/о  Останкино</v>
          </cell>
          <cell r="D28" t="str">
            <v>00-ko009211</v>
          </cell>
          <cell r="F28">
            <v>288.97800000000001</v>
          </cell>
          <cell r="G28">
            <v>288.97800000000001</v>
          </cell>
        </row>
        <row r="29">
          <cell r="A29" t="str">
            <v>6221 НЕОПОЛИТАНСКИЙ ДУЭТ с/к с/н мгс 1/90  Останкино</v>
          </cell>
          <cell r="D29" t="str">
            <v>00-ko010380</v>
          </cell>
          <cell r="F29">
            <v>55.35</v>
          </cell>
          <cell r="G29">
            <v>615</v>
          </cell>
        </row>
        <row r="30">
          <cell r="A30" t="str">
            <v>6222 ИТАЛЬЯНСКОЕ АССОРТИ с/в с/н мгс 1/90 ОСТАНКИНО</v>
          </cell>
          <cell r="D30" t="str">
            <v>00-ko010780</v>
          </cell>
          <cell r="F30">
            <v>1.89</v>
          </cell>
          <cell r="G30">
            <v>21</v>
          </cell>
        </row>
        <row r="31">
          <cell r="A31" t="str">
            <v>6228 МЯСНОЕ АССОРТИ к/з с/н мгс 1/90 10шт  Останкино</v>
          </cell>
          <cell r="D31" t="str">
            <v>00-ko009215</v>
          </cell>
          <cell r="F31">
            <v>18.72</v>
          </cell>
          <cell r="G31">
            <v>208</v>
          </cell>
        </row>
        <row r="32">
          <cell r="A32" t="str">
            <v>6279 КОРЕЙКА ПО-ОСТ.к/в в/с с/н в/у 1/150_45с  Останкино</v>
          </cell>
          <cell r="D32" t="str">
            <v>00-ko010967</v>
          </cell>
          <cell r="F32">
            <v>14.7</v>
          </cell>
          <cell r="G32">
            <v>98</v>
          </cell>
        </row>
        <row r="33">
          <cell r="A33" t="str">
            <v>6303 Мясные Папа может сос п/о мгс 1,5*3  Останкино</v>
          </cell>
          <cell r="D33" t="str">
            <v>00-00009145</v>
          </cell>
          <cell r="F33">
            <v>1426.5740000000001</v>
          </cell>
          <cell r="G33">
            <v>1426.5740000000001</v>
          </cell>
        </row>
        <row r="34">
          <cell r="A34" t="str">
            <v>6324 ДОКТОРСКАЯ ГОСТ вар п/о 0,4кг 8шт  Останкино</v>
          </cell>
          <cell r="D34" t="str">
            <v>00-ko009919</v>
          </cell>
          <cell r="F34">
            <v>1.2</v>
          </cell>
          <cell r="G34">
            <v>3</v>
          </cell>
        </row>
        <row r="35">
          <cell r="A35" t="str">
            <v>6325 ДОКТОРСКАЯ ПРЕМИУМ вар п/о 0.4кг 8шт.  ОСТАНКИНО</v>
          </cell>
          <cell r="D35" t="str">
            <v>00-00007305</v>
          </cell>
          <cell r="F35">
            <v>150.4</v>
          </cell>
          <cell r="G35">
            <v>376</v>
          </cell>
        </row>
        <row r="36">
          <cell r="A36" t="str">
            <v>6333 МЯСНАЯ Папа может вар п/о 0.4кг 8шт.  ОСТАНКИНО</v>
          </cell>
          <cell r="D36" t="str">
            <v>00-00007020</v>
          </cell>
          <cell r="F36">
            <v>791.2</v>
          </cell>
          <cell r="G36">
            <v>1978</v>
          </cell>
        </row>
        <row r="37">
          <cell r="A37" t="str">
            <v>6353 ЭКСТРА Папа может вар п/о 0.4кг 8шт.  ОСТАНКИНО</v>
          </cell>
          <cell r="D37" t="str">
            <v>00-00007022</v>
          </cell>
          <cell r="F37">
            <v>116.4</v>
          </cell>
          <cell r="G37">
            <v>291</v>
          </cell>
        </row>
        <row r="38">
          <cell r="A38" t="str">
            <v>6392 ФИЛЕЙНАЯ Папа может вар п/о 0,4кг  ОСТАНКИНО</v>
          </cell>
          <cell r="D38" t="str">
            <v>00-00008829</v>
          </cell>
          <cell r="F38">
            <v>703.6</v>
          </cell>
          <cell r="G38">
            <v>1759</v>
          </cell>
        </row>
        <row r="39">
          <cell r="A39" t="str">
            <v>6453 ЭКСТРА Папа может с/к с/н в/у 1/100 14шт.   ОСТАНКИНО</v>
          </cell>
          <cell r="D39" t="str">
            <v>00-00007953</v>
          </cell>
          <cell r="F39">
            <v>10.199999999999999</v>
          </cell>
          <cell r="G39">
            <v>102</v>
          </cell>
        </row>
        <row r="40">
          <cell r="A40" t="str">
            <v>6454 АРОМАТНАЯ с/к с/н в/у 1/100 10шт.  ОСТАНКИНО</v>
          </cell>
          <cell r="D40" t="str">
            <v>00-00007952</v>
          </cell>
          <cell r="F40">
            <v>39.6</v>
          </cell>
          <cell r="G40">
            <v>396</v>
          </cell>
        </row>
        <row r="41">
          <cell r="A41" t="str">
            <v>6459 СЕРВЕЛАТ ШВЕЙЦАРСК. в/к с/н в/у 1/100*10  Останкино</v>
          </cell>
          <cell r="D41" t="str">
            <v>00-ko010965</v>
          </cell>
          <cell r="F41">
            <v>4.9000000000000004</v>
          </cell>
          <cell r="G41">
            <v>49</v>
          </cell>
        </row>
        <row r="42">
          <cell r="A42" t="str">
            <v>6470 ВЕТЧ.МРАМОРНАЯ в/у_45с  ОСТАНКИНО</v>
          </cell>
          <cell r="D42" t="str">
            <v>00-ko010639</v>
          </cell>
          <cell r="F42">
            <v>176.23500000000001</v>
          </cell>
          <cell r="G42">
            <v>176.23500000000001</v>
          </cell>
        </row>
        <row r="43">
          <cell r="A43" t="str">
            <v>6475 Сосиски Папа может 400г С сыром  ОСТАНКИНО</v>
          </cell>
          <cell r="D43" t="str">
            <v>00-00009308</v>
          </cell>
          <cell r="F43">
            <v>154.80000000000001</v>
          </cell>
          <cell r="G43">
            <v>387</v>
          </cell>
        </row>
        <row r="44">
          <cell r="A44" t="str">
            <v>6495 ВЕТЧ.МРАМОРНАЯ в/у срез 0,3кг 6шт_45с  Останкино</v>
          </cell>
          <cell r="D44" t="str">
            <v>00-ko009959</v>
          </cell>
          <cell r="F44">
            <v>155.69999999999999</v>
          </cell>
          <cell r="G44">
            <v>519</v>
          </cell>
        </row>
        <row r="45">
          <cell r="A45" t="str">
            <v>6498 МОЛОЧНАЯ Папа может вар п/о  ОСТАНКИНО</v>
          </cell>
          <cell r="D45" t="str">
            <v>00-00008386</v>
          </cell>
          <cell r="F45">
            <v>785.07500000000005</v>
          </cell>
          <cell r="G45">
            <v>785.07500000000005</v>
          </cell>
        </row>
        <row r="46">
          <cell r="A46" t="str">
            <v>6527 ШПИКАЧКИ СОЧНЫЕ ПМ сар б/о мгс 1*3 45с ОСТАНКИНО</v>
          </cell>
          <cell r="D46" t="str">
            <v>00-00008387</v>
          </cell>
          <cell r="F46">
            <v>301.75799999999998</v>
          </cell>
          <cell r="G46">
            <v>301.75799999999998</v>
          </cell>
        </row>
        <row r="47">
          <cell r="A47" t="str">
            <v>6550 МЯСНЫЕ Папа может сар б/о мгс 1*3 О 45с  Останкино</v>
          </cell>
          <cell r="D47" t="str">
            <v>00-ko009350</v>
          </cell>
          <cell r="F47">
            <v>309.15300000000002</v>
          </cell>
          <cell r="G47">
            <v>309.15300000000002</v>
          </cell>
        </row>
        <row r="48">
          <cell r="A48" t="str">
            <v>6608 С ГОВЯДИНОЙ ОРИГИН. сар б/о мгс 1*3_45с  ОСТАНКИНО</v>
          </cell>
          <cell r="D48" t="str">
            <v>00-00008873</v>
          </cell>
          <cell r="F48">
            <v>210.172</v>
          </cell>
          <cell r="G48">
            <v>210.172</v>
          </cell>
        </row>
        <row r="49">
          <cell r="A49" t="str">
            <v>6616 МОЛОЧНЫЕ КЛАССИЧЕСКИЕ сос п/о в/у 0,3 кг  Останкино</v>
          </cell>
          <cell r="D49" t="str">
            <v>00-ko010530</v>
          </cell>
          <cell r="F49">
            <v>366</v>
          </cell>
          <cell r="G49">
            <v>1220</v>
          </cell>
        </row>
        <row r="50">
          <cell r="A50" t="str">
            <v>6661 СОЧНЫЙ ГРИЛЬ ПМ сос п/о мгс 1,5*4_Маяк Останкино</v>
          </cell>
          <cell r="D50" t="str">
            <v>00-00009144</v>
          </cell>
          <cell r="F50">
            <v>158.07300000000001</v>
          </cell>
          <cell r="G50">
            <v>158.07300000000001</v>
          </cell>
        </row>
        <row r="51">
          <cell r="A51" t="str">
            <v>6697 СЕРВЕЛАТ ФИНСКИЙ ПМ в/к в/у 0,35кг 8шт  ОСТАНКИНО</v>
          </cell>
          <cell r="D51" t="str">
            <v>00-00008789</v>
          </cell>
          <cell r="F51">
            <v>829.15</v>
          </cell>
          <cell r="G51">
            <v>2369</v>
          </cell>
        </row>
        <row r="52">
          <cell r="A52" t="str">
            <v>6713 СОЧНЫЙ ГРИЛЬ ПМ сос п/о мгс 0,41кг 8 шт.  ОСТАНКИНО</v>
          </cell>
          <cell r="D52" t="str">
            <v>00-00009132</v>
          </cell>
          <cell r="F52">
            <v>371.87</v>
          </cell>
          <cell r="G52">
            <v>907</v>
          </cell>
        </row>
        <row r="53">
          <cell r="A53" t="str">
            <v>6724 МОЛОЧНЫЕ ПМ сос п/о мгс 0,41кг 10шт  Останкино</v>
          </cell>
          <cell r="D53" t="str">
            <v>00-ko010964</v>
          </cell>
          <cell r="F53">
            <v>201.31</v>
          </cell>
          <cell r="G53">
            <v>491</v>
          </cell>
        </row>
        <row r="54">
          <cell r="A54" t="str">
            <v>6765 РУБЛЕНЫЕ сос ц/о мгс 0,36кг 6шт  Останкино</v>
          </cell>
          <cell r="D54" t="str">
            <v>00-ko009677</v>
          </cell>
          <cell r="F54">
            <v>-3.96</v>
          </cell>
          <cell r="G54">
            <v>-11</v>
          </cell>
        </row>
        <row r="55">
          <cell r="A55" t="str">
            <v>6767 РУБЛЕНЫЕ сос ц/о мгс 1*4  Останкино</v>
          </cell>
          <cell r="D55" t="str">
            <v>00-ko009634</v>
          </cell>
          <cell r="F55">
            <v>5.3959999999999999</v>
          </cell>
          <cell r="G55">
            <v>5.3959999999999999</v>
          </cell>
        </row>
        <row r="56">
          <cell r="A56" t="str">
            <v>6787 СЕРВЕЛАТ КРЕМЛЕВСКИЙ в/к в/у 0,33кг 8шт  Останкино</v>
          </cell>
          <cell r="D56" t="str">
            <v>00-ko009922</v>
          </cell>
          <cell r="F56">
            <v>51.15</v>
          </cell>
          <cell r="G56">
            <v>155</v>
          </cell>
        </row>
        <row r="57">
          <cell r="A57" t="str">
            <v>6793 БАЛЫКОВАЯ в/к в/у 0,33кг 8шт  Останкино</v>
          </cell>
          <cell r="D57" t="str">
            <v>00-ko009562</v>
          </cell>
          <cell r="F57">
            <v>15.18</v>
          </cell>
          <cell r="G57">
            <v>46</v>
          </cell>
        </row>
        <row r="58">
          <cell r="A58" t="str">
            <v>6797 С ИНДЕЙКОЙ Папа может вар п/о 0,4кг 8шт. ОСТАНКИНО</v>
          </cell>
          <cell r="D58" t="str">
            <v>00-ko011300</v>
          </cell>
          <cell r="F58">
            <v>249.2</v>
          </cell>
          <cell r="G58">
            <v>623</v>
          </cell>
        </row>
        <row r="59">
          <cell r="A59" t="str">
            <v>6807 СЕРВЕЛАТ ЕВРОПЕЙСКИЙ в/к в/у 0,33кг 8шт  Останкино</v>
          </cell>
          <cell r="D59" t="str">
            <v>00-ko009568</v>
          </cell>
          <cell r="F59">
            <v>13.2</v>
          </cell>
          <cell r="G59">
            <v>40</v>
          </cell>
        </row>
        <row r="60">
          <cell r="A60" t="str">
            <v>6829  МОЛОЧНЫЕ КЛАССИЧЕСКИЕ сос п/о мгс 2*4 С  Останккино</v>
          </cell>
          <cell r="D60" t="str">
            <v>00-ko009595</v>
          </cell>
          <cell r="F60">
            <v>903.71100000000001</v>
          </cell>
          <cell r="G60">
            <v>903.71100000000001</v>
          </cell>
        </row>
        <row r="61">
          <cell r="A61" t="str">
            <v>6834 ПОСОЛЬСКАЯ с/к с/н в/у 1/100 10шт  Останкино</v>
          </cell>
          <cell r="D61" t="str">
            <v>00-ko009682</v>
          </cell>
          <cell r="F61">
            <v>-0.5</v>
          </cell>
          <cell r="G61">
            <v>-5</v>
          </cell>
        </row>
        <row r="62">
          <cell r="A62" t="str">
            <v>6837 ФИЛЕЙНЫЕ Папа Может сос ц/о мгс 0,4кг  Останкино</v>
          </cell>
          <cell r="D62" t="str">
            <v>00-ko010963</v>
          </cell>
          <cell r="F62">
            <v>-14.8</v>
          </cell>
          <cell r="G62">
            <v>-37</v>
          </cell>
        </row>
        <row r="63">
          <cell r="A63" t="str">
            <v>6866 ВЕТЧ.НЕЖНАЯ Коровино п/о_Маяк  Останкино</v>
          </cell>
          <cell r="D63" t="str">
            <v>00-ko009992</v>
          </cell>
          <cell r="F63">
            <v>99.344999999999999</v>
          </cell>
          <cell r="G63">
            <v>99.344999999999999</v>
          </cell>
        </row>
        <row r="64">
          <cell r="A64" t="str">
            <v>6925 ВЕТЧ.КЛАССИЧЕСКАЯ в/у 0,6кг 8шт. ОСТАНКИНО</v>
          </cell>
          <cell r="D64" t="str">
            <v>00-ko011662</v>
          </cell>
          <cell r="F64">
            <v>144</v>
          </cell>
          <cell r="G64">
            <v>240</v>
          </cell>
        </row>
        <row r="65">
          <cell r="A65" t="str">
            <v>6937 САЛЯМИ Папа может с/к в/у 1/250 8шт  Останкино</v>
          </cell>
          <cell r="D65" t="str">
            <v>00-ko010384</v>
          </cell>
          <cell r="F65">
            <v>10</v>
          </cell>
          <cell r="G65">
            <v>40</v>
          </cell>
        </row>
        <row r="66">
          <cell r="A66" t="str">
            <v>6967 БУРГУНДИЯ Папа может с/к в/у 1/250 8шт  Останкино</v>
          </cell>
          <cell r="D66" t="str">
            <v>00-ko010379</v>
          </cell>
          <cell r="F66">
            <v>89.75</v>
          </cell>
          <cell r="G66">
            <v>359</v>
          </cell>
        </row>
        <row r="67">
          <cell r="A67" t="str">
            <v>7001 КЛАССИЧЕСКИЕ Папа может сар б/о мгс 1*3  Останкино</v>
          </cell>
          <cell r="D67" t="str">
            <v>00-ko010285</v>
          </cell>
          <cell r="F67">
            <v>70.668999999999997</v>
          </cell>
          <cell r="G67">
            <v>70.668999999999997</v>
          </cell>
        </row>
        <row r="68">
          <cell r="A68" t="str">
            <v>7040 С ИНДЕЙКОЙ ПМ сос ц/о в/у 1/270 8шт.  ОСТАНКИНО</v>
          </cell>
          <cell r="D68" t="str">
            <v>00-ko011749</v>
          </cell>
          <cell r="F68">
            <v>1.35</v>
          </cell>
          <cell r="G68">
            <v>5</v>
          </cell>
        </row>
        <row r="69">
          <cell r="A69" t="str">
            <v>7059 ШПИКАЧКИ СОЧНЫЕ С БЕК. п/о мгс 0,3кг 60с ОСТАНКИНО</v>
          </cell>
          <cell r="D69" t="str">
            <v>00-ko011609</v>
          </cell>
          <cell r="F69">
            <v>181.8</v>
          </cell>
          <cell r="G69">
            <v>606</v>
          </cell>
        </row>
        <row r="70">
          <cell r="A70" t="str">
            <v>7066 СОЧНЫЕ ПМ сос п/о мгс 0,41кг 10шт 50с  Останкино</v>
          </cell>
          <cell r="D70" t="str">
            <v>00-ko010284</v>
          </cell>
          <cell r="F70">
            <v>1706.83</v>
          </cell>
          <cell r="G70">
            <v>4163</v>
          </cell>
        </row>
        <row r="71">
          <cell r="A71" t="str">
            <v>7070 СОЧНЫЕ ПМ сос п/о 1,5*4_А_50с  Останкино</v>
          </cell>
          <cell r="D71" t="str">
            <v>00-ko010282</v>
          </cell>
          <cell r="F71">
            <v>535.21400000000006</v>
          </cell>
          <cell r="G71">
            <v>535.21400000000006</v>
          </cell>
        </row>
        <row r="72">
          <cell r="A72" t="str">
            <v>7073 МОЛОЧ.ПРЕМИУМ ПМ сос п/о в/у 1/350_50с  Останкино</v>
          </cell>
          <cell r="D72" t="str">
            <v>00-ko010301</v>
          </cell>
          <cell r="F72">
            <v>247.45</v>
          </cell>
          <cell r="G72">
            <v>707</v>
          </cell>
        </row>
        <row r="73">
          <cell r="A73" t="str">
            <v>7075 МОЛОЧ.ПРЕМИУМ ПМ сос п/о мгс 1,5*4_О_50с  Останкино</v>
          </cell>
          <cell r="D73" t="str">
            <v>00-ko010300</v>
          </cell>
          <cell r="F73">
            <v>54.509</v>
          </cell>
          <cell r="G73">
            <v>54.509</v>
          </cell>
        </row>
        <row r="74">
          <cell r="A74" t="str">
            <v>7080 СЛИВОЧНЫЕ ПМ сос п/о мгс 0,41кг 10шт 50с  Останкино</v>
          </cell>
          <cell r="D74" t="str">
            <v>00-ko010283</v>
          </cell>
          <cell r="F74">
            <v>1046.73</v>
          </cell>
          <cell r="G74">
            <v>2553</v>
          </cell>
        </row>
        <row r="75">
          <cell r="A75" t="str">
            <v>7083 СЛИВОЧНЫЕ ПМ сос п/о мгс 1.5*4_А_50с  ОСТАНКИНО</v>
          </cell>
          <cell r="D75" t="str">
            <v>00-ko011523</v>
          </cell>
          <cell r="F75">
            <v>224.44499999999999</v>
          </cell>
          <cell r="G75">
            <v>224.44499999999999</v>
          </cell>
        </row>
        <row r="76">
          <cell r="A76" t="str">
            <v>7090 СВИНИНА ПО-ДОМ.к/в мл/к в/у 0,3кг_50с  Останкино</v>
          </cell>
          <cell r="D76" t="str">
            <v>00-ko010286</v>
          </cell>
          <cell r="F76">
            <v>214.8</v>
          </cell>
          <cell r="G76">
            <v>716</v>
          </cell>
        </row>
        <row r="77">
          <cell r="A77" t="str">
            <v>7092 БЕКОН Папа может с/к с/н в/у 1/140_50с  Останкино</v>
          </cell>
          <cell r="D77" t="str">
            <v>00-ko010966</v>
          </cell>
          <cell r="F77">
            <v>2.8</v>
          </cell>
          <cell r="G77">
            <v>20</v>
          </cell>
        </row>
        <row r="78">
          <cell r="A78" t="str">
            <v>7103 БЕКОН Останкино с/к с/н в/у 1/180_50с  Останкино</v>
          </cell>
          <cell r="D78" t="str">
            <v>00-ko010254</v>
          </cell>
          <cell r="F78">
            <v>109.08</v>
          </cell>
          <cell r="G78">
            <v>606</v>
          </cell>
        </row>
        <row r="79">
          <cell r="A79" t="str">
            <v>7147 САЛЬЧИЧОН Останкино с/к в/у 1/220 8 шт  Останкино</v>
          </cell>
          <cell r="D79" t="str">
            <v>00-ko010673</v>
          </cell>
          <cell r="F79">
            <v>-0.44</v>
          </cell>
          <cell r="G79">
            <v>-2</v>
          </cell>
        </row>
        <row r="80">
          <cell r="A80" t="str">
            <v>7154 СЕРВЕЛАТ ЗЕРНИСТЫЙ ПМ в/к в/у 0,35кг_50с  Останкино</v>
          </cell>
          <cell r="D80" t="str">
            <v>00-ko010401</v>
          </cell>
          <cell r="F80">
            <v>812.7</v>
          </cell>
          <cell r="G80">
            <v>2322</v>
          </cell>
        </row>
        <row r="81">
          <cell r="A81" t="str">
            <v>7157 СЕРВЕЛАТ ЗЕРНИСТЫЙ ПМ в/к в/у_50с  Останкино</v>
          </cell>
          <cell r="D81" t="str">
            <v>00-ko010432</v>
          </cell>
          <cell r="F81">
            <v>652.346</v>
          </cell>
          <cell r="G81">
            <v>652.346</v>
          </cell>
        </row>
        <row r="82">
          <cell r="A82" t="str">
            <v>7166 СЕРВЕЛАТ ОХОТНИЧИЙ ПМ в/к в/у_50с  Останкино</v>
          </cell>
          <cell r="D82" t="str">
            <v>00-ko010400</v>
          </cell>
          <cell r="F82">
            <v>1022.748</v>
          </cell>
          <cell r="G82">
            <v>1022.748</v>
          </cell>
        </row>
        <row r="83">
          <cell r="A83" t="str">
            <v>7169 СЕРВЕЛАТ ОХОТНИЧИЙ ПМ в/к в/у 0,35кг_50с  Останкино</v>
          </cell>
          <cell r="D83" t="str">
            <v>00-ko010399</v>
          </cell>
          <cell r="F83">
            <v>885.15</v>
          </cell>
          <cell r="G83">
            <v>2529</v>
          </cell>
        </row>
        <row r="84">
          <cell r="A84" t="str">
            <v>7177 ЧЕСНОЧНАЯ ПМ п/к в/у 0,35кг 8шт_50с  Останкино</v>
          </cell>
          <cell r="D84" t="str">
            <v>00-ko010429</v>
          </cell>
          <cell r="F84">
            <v>14</v>
          </cell>
          <cell r="G84">
            <v>40</v>
          </cell>
        </row>
        <row r="85">
          <cell r="A85" t="str">
            <v>7187 ГРУДИНКА ПРЕМИУМ к/в мл/к в/у 0,3кг_50с  Останкино</v>
          </cell>
          <cell r="D85" t="str">
            <v>00-ko010604</v>
          </cell>
          <cell r="F85">
            <v>150.30000000000001</v>
          </cell>
          <cell r="G85">
            <v>501</v>
          </cell>
        </row>
        <row r="86">
          <cell r="A86" t="str">
            <v>7231 КЛАССИЧЕСКАЯ ПМ вар п/о 0,3кг 8 шт_209к  Останкино</v>
          </cell>
          <cell r="D86" t="str">
            <v>00-ko010962</v>
          </cell>
          <cell r="F86">
            <v>34.5</v>
          </cell>
          <cell r="G86">
            <v>115</v>
          </cell>
        </row>
        <row r="87">
          <cell r="A87" t="str">
            <v>7232 БОЯNСКАЯ ПМ п/к в/у 0,28кг 8шт_209к  Останкино</v>
          </cell>
          <cell r="D87" t="str">
            <v>00-ko010557</v>
          </cell>
          <cell r="F87">
            <v>417.76</v>
          </cell>
          <cell r="G87">
            <v>1492</v>
          </cell>
        </row>
        <row r="88">
          <cell r="A88" t="str">
            <v>7236 СЕРВЕЛАТ КАРЕЛЬСКИЙ в/к в/у 0,28кг_209к  Останкино</v>
          </cell>
          <cell r="D88" t="str">
            <v>00-ko010598</v>
          </cell>
          <cell r="F88">
            <v>456.68</v>
          </cell>
          <cell r="G88">
            <v>1631</v>
          </cell>
        </row>
        <row r="89">
          <cell r="A89" t="str">
            <v>7237 СЕРВЕЛАТ ШВАРЦЕР ПМ в/к в/у 0,28кг_209к  Останкино</v>
          </cell>
          <cell r="D89" t="str">
            <v>00-ko010558</v>
          </cell>
          <cell r="F89">
            <v>64.400000000000006</v>
          </cell>
          <cell r="G89">
            <v>230</v>
          </cell>
        </row>
        <row r="90">
          <cell r="A90" t="str">
            <v>7238 СЕРВЕЛАТ ОРЕХОВЫЙ в/к в/у 0,31кг_209к  Останкино</v>
          </cell>
          <cell r="D90" t="str">
            <v>00-ko010569</v>
          </cell>
          <cell r="F90">
            <v>7.44</v>
          </cell>
          <cell r="G90">
            <v>24</v>
          </cell>
        </row>
        <row r="91">
          <cell r="A91" t="str">
            <v>7241 САЛЯМИ Папа может п/к в/у 0,28кг ОСТАНКИНО</v>
          </cell>
          <cell r="D91" t="str">
            <v>00-ko010555</v>
          </cell>
          <cell r="F91">
            <v>375.48</v>
          </cell>
          <cell r="G91">
            <v>1341</v>
          </cell>
        </row>
        <row r="92">
          <cell r="A92" t="str">
            <v>7255 МЯСНЫЕ С ГОВЯД.ПМ сос п/о мгс 0.4кг 6шт.  ОСТАНКИНО</v>
          </cell>
          <cell r="D92" t="str">
            <v>00-ko011229</v>
          </cell>
          <cell r="F92">
            <v>833.6</v>
          </cell>
          <cell r="G92">
            <v>2084</v>
          </cell>
        </row>
        <row r="93">
          <cell r="A93" t="str">
            <v>7284 ДЛЯ ДЕТЕЙ сос п/о мгс 0,33кг 6шт  Останкино</v>
          </cell>
          <cell r="D93" t="str">
            <v>00-ko010746</v>
          </cell>
          <cell r="F93">
            <v>5.94</v>
          </cell>
          <cell r="G93">
            <v>18</v>
          </cell>
        </row>
        <row r="94">
          <cell r="A94" t="str">
            <v>7288 БАЛЫК с/к с/н в/у 1/100 10шт ОСТАНКИНО</v>
          </cell>
          <cell r="D94" t="str">
            <v>00-ko011373</v>
          </cell>
          <cell r="F94">
            <v>6.5</v>
          </cell>
          <cell r="G94">
            <v>65</v>
          </cell>
        </row>
        <row r="95">
          <cell r="A95" t="str">
            <v>7299 НАБОР ДЛЯ ПИЦЦЫ Папа Может с/к в/у  ОСТАНКИНО</v>
          </cell>
          <cell r="D95" t="str">
            <v>00-ko011223</v>
          </cell>
          <cell r="F95">
            <v>31.802</v>
          </cell>
          <cell r="G95">
            <v>31.802</v>
          </cell>
        </row>
        <row r="96">
          <cell r="A96" t="str">
            <v>7332 БОЯРСКАЯ ПМ п/к в/у 0,28кг ОСТАНКИНО</v>
          </cell>
          <cell r="D96" t="str">
            <v>00-ko011144</v>
          </cell>
          <cell r="F96">
            <v>27.16</v>
          </cell>
          <cell r="G96">
            <v>97</v>
          </cell>
        </row>
        <row r="97">
          <cell r="A97" t="str">
            <v>7333 СЕРВЕЛАТ ОХОТНИЧИЙ ПМ в/к в/у 0,28кг ОСТАНКИНО</v>
          </cell>
          <cell r="D97" t="str">
            <v>00-ko011143</v>
          </cell>
          <cell r="F97">
            <v>9.24</v>
          </cell>
          <cell r="G97">
            <v>33</v>
          </cell>
        </row>
        <row r="98">
          <cell r="A98" t="str">
            <v>7371 БРЕСТСКИЕ сос п/о в/у 0,3кг 8шт. ОСТАНКИНО</v>
          </cell>
          <cell r="D98" t="str">
            <v>00-ko011660</v>
          </cell>
          <cell r="F98">
            <v>97.8</v>
          </cell>
          <cell r="G98">
            <v>326</v>
          </cell>
        </row>
        <row r="99">
          <cell r="A99" t="str">
            <v>7382  САЛЯМИ МЕЛКОЗЕРНЕНАЯ с/к в/у1/120 8шт.  ОСТАНКИНО</v>
          </cell>
          <cell r="D99" t="str">
            <v>00-ko011257</v>
          </cell>
          <cell r="F99">
            <v>99.72</v>
          </cell>
          <cell r="G99">
            <v>831</v>
          </cell>
        </row>
        <row r="100">
          <cell r="A100" t="str">
            <v>7386 БАРСЕЛОНА ПМ с/к в/у 1/150  ОСТАНКИНО</v>
          </cell>
          <cell r="D100" t="str">
            <v>00-ko011738</v>
          </cell>
          <cell r="F100">
            <v>9.4499999999999993</v>
          </cell>
          <cell r="G100">
            <v>63</v>
          </cell>
        </row>
        <row r="101">
          <cell r="A101" t="str">
            <v>7461 ДЛЯ ДЕТЕЙ Папа Может сос п/о мгс 0,33кг ОСТАНКИНО</v>
          </cell>
          <cell r="D101" t="str">
            <v>00-ko011659</v>
          </cell>
          <cell r="F101">
            <v>271.92</v>
          </cell>
          <cell r="G101">
            <v>824</v>
          </cell>
        </row>
        <row r="102">
          <cell r="A102" t="str">
            <v>7489 СЫРРРВЕЛАТ Папа Может в/к в/у 0,28кг 8шт. ОСТАНКИНО</v>
          </cell>
          <cell r="D102" t="str">
            <v>00-ko011701</v>
          </cell>
          <cell r="F102">
            <v>28.28</v>
          </cell>
          <cell r="G102">
            <v>101</v>
          </cell>
        </row>
        <row r="103">
          <cell r="A103" t="str">
            <v>7523 ГОВЯЖЬЯ Папа Может вар п/о 0,4кг 6шт. ОСТАНКИНО</v>
          </cell>
          <cell r="D103" t="str">
            <v>00-ko011656</v>
          </cell>
          <cell r="F103">
            <v>276.8</v>
          </cell>
          <cell r="G103">
            <v>692</v>
          </cell>
        </row>
        <row r="104">
          <cell r="A104" t="str">
            <v>7539 ДОКТОРСКАЯ ГОСТ вар п/о 0,35кг ОСТАНКИНО</v>
          </cell>
          <cell r="D104" t="str">
            <v>00-ko011655</v>
          </cell>
          <cell r="F104">
            <v>3.85</v>
          </cell>
          <cell r="G104">
            <v>11</v>
          </cell>
        </row>
        <row r="105">
          <cell r="A105" t="str">
            <v>7564 Балыковая в/к в/у Останкино Вес  ОСТАНКИНО</v>
          </cell>
          <cell r="D105" t="str">
            <v>00-ko011684</v>
          </cell>
          <cell r="F105">
            <v>155.185</v>
          </cell>
          <cell r="G105">
            <v>155.185</v>
          </cell>
        </row>
        <row r="106">
          <cell r="A106" t="str">
            <v>7603 БАЛЫКОВАЯ в/к в/у 0.33кг 8шт. ОСТАНКИНО</v>
          </cell>
          <cell r="D106" t="str">
            <v>00-ko011685</v>
          </cell>
          <cell r="F106">
            <v>124.41</v>
          </cell>
          <cell r="G106">
            <v>377</v>
          </cell>
        </row>
        <row r="107">
          <cell r="A107" t="str">
            <v>7608 СЕРВЕЛАТ ШВЕЙЦАРСК.в/к с/н в/у 1/100_Л11  ОСТАНКИНО</v>
          </cell>
          <cell r="D107" t="str">
            <v>00-ko011721</v>
          </cell>
          <cell r="F107">
            <v>0.4</v>
          </cell>
          <cell r="G107">
            <v>4</v>
          </cell>
        </row>
        <row r="108">
          <cell r="A108" t="str">
            <v>7612 БАЛЫК с/к с/н в/у 1/100 10шт_  ОСТАНКИНО</v>
          </cell>
          <cell r="D108" t="str">
            <v>00-ko011719</v>
          </cell>
          <cell r="F108">
            <v>1.2</v>
          </cell>
          <cell r="G108">
            <v>12</v>
          </cell>
        </row>
        <row r="109">
          <cell r="A109" t="str">
            <v>7613 АРОМАТНАЯ с/к с/н в/у 1/100 10шт_Л10  ОСТАНКИНО</v>
          </cell>
          <cell r="D109" t="str">
            <v>00-ko011737</v>
          </cell>
          <cell r="F109">
            <v>1.2</v>
          </cell>
          <cell r="G109">
            <v>12</v>
          </cell>
        </row>
        <row r="110">
          <cell r="A110" t="str">
            <v>7616 ЭКСТРА Папа может с/к с/н в/у 1/100_  ОСТАНКИНО</v>
          </cell>
          <cell r="D110" t="str">
            <v>00-ko011720</v>
          </cell>
          <cell r="F110">
            <v>30.9</v>
          </cell>
          <cell r="G110">
            <v>309</v>
          </cell>
        </row>
        <row r="111">
          <cell r="A111" t="str">
            <v>7632 ЭКСТРА Папа может вар п/о 0.4кг 8шт_195к  ОСТАНКИНО</v>
          </cell>
          <cell r="D111" t="str">
            <v>00-ko011715</v>
          </cell>
          <cell r="F111">
            <v>299.60000000000002</v>
          </cell>
          <cell r="G111">
            <v>749</v>
          </cell>
        </row>
        <row r="112">
          <cell r="A112" t="str">
            <v>7647 ХОЧУ ВЕТЧ.ИЗ СВ.ОТРУБА с/н мгс 1/100_Л11  ОСТАНКИНО</v>
          </cell>
          <cell r="D112" t="str">
            <v>00-ko011750</v>
          </cell>
          <cell r="F112">
            <v>2</v>
          </cell>
          <cell r="G112">
            <v>20</v>
          </cell>
        </row>
        <row r="113">
          <cell r="A113" t="str">
            <v>7651 ХОЧУ ВЕТЧ.МРАМОР. ПМ с/н мгс 1/100_Л11  ОСТАНКИНО</v>
          </cell>
          <cell r="D113" t="str">
            <v>00-ko011751</v>
          </cell>
          <cell r="F113">
            <v>1.9</v>
          </cell>
          <cell r="G113">
            <v>19</v>
          </cell>
        </row>
        <row r="114">
          <cell r="A114" t="str">
            <v>Масло "Папа может" 82,5% 180гр  Останкино</v>
          </cell>
          <cell r="D114" t="str">
            <v>00-ko009727</v>
          </cell>
          <cell r="F114">
            <v>2.7</v>
          </cell>
          <cell r="G114">
            <v>15</v>
          </cell>
        </row>
        <row r="115">
          <cell r="A115" t="str">
            <v>Масло сливочное 72,5 % 180 гр.(10 шт) СЛАВЯНА  Останкино</v>
          </cell>
          <cell r="D115" t="str">
            <v>00-ko009671</v>
          </cell>
          <cell r="F115">
            <v>1.8</v>
          </cell>
          <cell r="G115">
            <v>10</v>
          </cell>
        </row>
        <row r="116">
          <cell r="A116" t="str">
            <v>Сыр ПАПА МОЖЕТ "Гауда Голд" 45 % 180 гр (10шт) Останкино</v>
          </cell>
          <cell r="D116" t="str">
            <v>00-ko009386</v>
          </cell>
          <cell r="F116">
            <v>0.18</v>
          </cell>
          <cell r="G116">
            <v>1</v>
          </cell>
        </row>
        <row r="117">
          <cell r="A117" t="str">
            <v>Сыр ПАПА МОЖЕТ "Голландский традиционный" 45% 180 гр (10шт)  Останкино</v>
          </cell>
          <cell r="D117" t="str">
            <v>00-ko009387</v>
          </cell>
          <cell r="F117">
            <v>0.18</v>
          </cell>
          <cell r="G117">
            <v>1</v>
          </cell>
        </row>
        <row r="118">
          <cell r="A118" t="str">
            <v>Сыр ПАПА МОЖЕТ "Российский традиционный"45 % 180 г Останкино</v>
          </cell>
          <cell r="D118" t="str">
            <v>00-ko009434</v>
          </cell>
          <cell r="F118">
            <v>0.18</v>
          </cell>
          <cell r="G118">
            <v>1</v>
          </cell>
        </row>
        <row r="119">
          <cell r="A119" t="str">
            <v>Итого</v>
          </cell>
          <cell r="F119">
            <v>26891.293000000001</v>
          </cell>
          <cell r="G119">
            <v>56930.012999999999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G118"/>
  <sheetViews>
    <sheetView tabSelected="1" workbookViewId="0">
      <selection activeCell="J15" sqref="J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14" style="1" customWidth="1"/>
    <col min="6" max="7" width="10.5" style="9"/>
  </cols>
  <sheetData>
    <row r="1" spans="1:7" s="1" customFormat="1" ht="9.9499999999999993" customHeight="1" x14ac:dyDescent="0.2">
      <c r="F1" s="11"/>
      <c r="G1" s="11"/>
    </row>
    <row r="2" spans="1:7" ht="24.95" customHeight="1" x14ac:dyDescent="0.2">
      <c r="A2" s="2" t="s">
        <v>0</v>
      </c>
      <c r="B2" s="2"/>
      <c r="C2" s="2"/>
    </row>
    <row r="3" spans="1:7" s="1" customFormat="1" ht="9.9499999999999993" customHeight="1" x14ac:dyDescent="0.2">
      <c r="F3" s="11"/>
      <c r="G3" s="11"/>
    </row>
    <row r="4" spans="1:7" ht="12.95" customHeight="1" outlineLevel="1" x14ac:dyDescent="0.2">
      <c r="A4" s="3" t="s">
        <v>1</v>
      </c>
      <c r="B4" s="3"/>
      <c r="C4" s="3" t="s">
        <v>2</v>
      </c>
      <c r="D4" s="3"/>
    </row>
    <row r="5" spans="1:7" ht="12.95" customHeight="1" outlineLevel="1" x14ac:dyDescent="0.2">
      <c r="C5" s="3" t="s">
        <v>3</v>
      </c>
      <c r="D5" s="3"/>
    </row>
    <row r="6" spans="1:7" ht="26.1" customHeight="1" outlineLevel="1" x14ac:dyDescent="0.2">
      <c r="A6" s="3" t="s">
        <v>4</v>
      </c>
      <c r="B6" s="3"/>
      <c r="C6" s="13" t="s">
        <v>5</v>
      </c>
      <c r="D6" s="13"/>
    </row>
    <row r="7" spans="1:7" s="1" customFormat="1" ht="9.9499999999999993" customHeight="1" x14ac:dyDescent="0.2">
      <c r="F7" s="11"/>
      <c r="G7" s="11"/>
    </row>
    <row r="8" spans="1:7" ht="12.95" customHeight="1" x14ac:dyDescent="0.2">
      <c r="A8" s="14" t="s">
        <v>6</v>
      </c>
      <c r="B8" s="14"/>
      <c r="C8" s="14"/>
      <c r="D8" s="14" t="s">
        <v>7</v>
      </c>
      <c r="E8" s="4" t="s">
        <v>119</v>
      </c>
      <c r="F8" s="8" t="s">
        <v>119</v>
      </c>
    </row>
    <row r="9" spans="1:7" ht="26.1" customHeight="1" x14ac:dyDescent="0.2">
      <c r="A9" s="15"/>
      <c r="B9" s="16"/>
      <c r="C9" s="17"/>
      <c r="D9" s="18"/>
      <c r="E9" s="4" t="s">
        <v>120</v>
      </c>
      <c r="F9" s="8" t="s">
        <v>121</v>
      </c>
      <c r="G9" s="10" t="s">
        <v>122</v>
      </c>
    </row>
    <row r="10" spans="1:7" ht="11.1" customHeight="1" x14ac:dyDescent="0.2">
      <c r="A10" s="12" t="s">
        <v>8</v>
      </c>
      <c r="B10" s="12"/>
      <c r="C10" s="12"/>
      <c r="D10" s="5" t="s">
        <v>9</v>
      </c>
      <c r="E10" s="6">
        <v>43.765999999999998</v>
      </c>
      <c r="G10" s="9" t="e">
        <f>E10/F10</f>
        <v>#DIV/0!</v>
      </c>
    </row>
    <row r="11" spans="1:7" ht="11.1" customHeight="1" x14ac:dyDescent="0.2">
      <c r="A11" s="12" t="s">
        <v>10</v>
      </c>
      <c r="B11" s="12"/>
      <c r="C11" s="12"/>
      <c r="D11" s="5" t="s">
        <v>11</v>
      </c>
      <c r="E11" s="6">
        <v>139.19999999999999</v>
      </c>
      <c r="F11" s="9">
        <f>VLOOKUP(A11,[1]TDSheet!$A:$G,6,0)/22</f>
        <v>19.290909090909089</v>
      </c>
      <c r="G11" s="9">
        <f t="shared" ref="G11:G74" si="0">E11/F11</f>
        <v>7.2158341187558905</v>
      </c>
    </row>
    <row r="12" spans="1:7" ht="11.1" customHeight="1" x14ac:dyDescent="0.2">
      <c r="A12" s="12" t="s">
        <v>12</v>
      </c>
      <c r="B12" s="12"/>
      <c r="C12" s="12"/>
      <c r="D12" s="5" t="s">
        <v>9</v>
      </c>
      <c r="E12" s="6">
        <v>22.021999999999998</v>
      </c>
      <c r="F12" s="9">
        <f>VLOOKUP(A12,[1]TDSheet!$A:$G,6,0)/22</f>
        <v>2.0380909090909092</v>
      </c>
      <c r="G12" s="9">
        <f t="shared" si="0"/>
        <v>10.805209866630982</v>
      </c>
    </row>
    <row r="13" spans="1:7" ht="11.1" customHeight="1" x14ac:dyDescent="0.2">
      <c r="A13" s="12" t="s">
        <v>13</v>
      </c>
      <c r="B13" s="12"/>
      <c r="C13" s="12"/>
      <c r="D13" s="5" t="s">
        <v>11</v>
      </c>
      <c r="E13" s="6">
        <v>25.5</v>
      </c>
      <c r="F13" s="9">
        <f>VLOOKUP(A13,[1]TDSheet!$A:$G,6,0)/22</f>
        <v>9.045454545454545</v>
      </c>
      <c r="G13" s="9">
        <f t="shared" si="0"/>
        <v>2.8190954773869348</v>
      </c>
    </row>
    <row r="14" spans="1:7" ht="11.1" customHeight="1" x14ac:dyDescent="0.2">
      <c r="A14" s="12" t="s">
        <v>14</v>
      </c>
      <c r="B14" s="12"/>
      <c r="C14" s="12"/>
      <c r="D14" s="5" t="s">
        <v>9</v>
      </c>
      <c r="E14" s="6">
        <v>701.86900000000003</v>
      </c>
      <c r="F14" s="9">
        <f>VLOOKUP(A14,[1]TDSheet!$A:$G,6,0)/22</f>
        <v>51.583318181818186</v>
      </c>
      <c r="G14" s="9">
        <f t="shared" si="0"/>
        <v>13.60651126641541</v>
      </c>
    </row>
    <row r="15" spans="1:7" ht="11.1" customHeight="1" x14ac:dyDescent="0.2">
      <c r="A15" s="12" t="s">
        <v>15</v>
      </c>
      <c r="B15" s="12"/>
      <c r="C15" s="12"/>
      <c r="D15" s="5" t="s">
        <v>9</v>
      </c>
      <c r="E15" s="6">
        <v>21.920999999999999</v>
      </c>
      <c r="F15" s="9">
        <f>VLOOKUP(A15,[1]TDSheet!$A:$G,6,0)/22</f>
        <v>5.2255909090909087</v>
      </c>
      <c r="G15" s="9">
        <f t="shared" si="0"/>
        <v>4.194932282560476</v>
      </c>
    </row>
    <row r="16" spans="1:7" ht="11.1" customHeight="1" x14ac:dyDescent="0.2">
      <c r="A16" s="12" t="s">
        <v>16</v>
      </c>
      <c r="B16" s="12"/>
      <c r="C16" s="12"/>
      <c r="D16" s="5" t="s">
        <v>9</v>
      </c>
      <c r="E16" s="6">
        <v>99.605000000000004</v>
      </c>
      <c r="F16" s="9">
        <f>VLOOKUP(A16,[1]TDSheet!$A:$G,6,0)/22</f>
        <v>3.9679545454545457</v>
      </c>
      <c r="G16" s="9">
        <f t="shared" si="0"/>
        <v>25.102354086717451</v>
      </c>
    </row>
    <row r="17" spans="1:7" ht="11.1" customHeight="1" x14ac:dyDescent="0.2">
      <c r="A17" s="12" t="s">
        <v>17</v>
      </c>
      <c r="B17" s="12"/>
      <c r="C17" s="12"/>
      <c r="D17" s="5" t="s">
        <v>9</v>
      </c>
      <c r="E17" s="6">
        <v>591.83799999999997</v>
      </c>
      <c r="F17" s="9">
        <f>VLOOKUP(A17,[1]TDSheet!$A:$G,6,0)/22</f>
        <v>49.089272727272721</v>
      </c>
      <c r="G17" s="9">
        <f t="shared" si="0"/>
        <v>12.056361137963858</v>
      </c>
    </row>
    <row r="18" spans="1:7" ht="11.1" customHeight="1" x14ac:dyDescent="0.2">
      <c r="A18" s="12" t="s">
        <v>18</v>
      </c>
      <c r="B18" s="12"/>
      <c r="C18" s="12"/>
      <c r="D18" s="5" t="s">
        <v>11</v>
      </c>
      <c r="E18" s="6">
        <v>199.75</v>
      </c>
      <c r="F18" s="9">
        <f>VLOOKUP(A18,[1]TDSheet!$A:$G,6,0)/22</f>
        <v>9.0227272727272734</v>
      </c>
      <c r="G18" s="9">
        <f t="shared" si="0"/>
        <v>22.138539042821158</v>
      </c>
    </row>
    <row r="19" spans="1:7" ht="11.1" customHeight="1" x14ac:dyDescent="0.2">
      <c r="A19" s="12" t="s">
        <v>19</v>
      </c>
      <c r="B19" s="12"/>
      <c r="C19" s="12"/>
      <c r="D19" s="5" t="s">
        <v>9</v>
      </c>
      <c r="E19" s="6">
        <v>47.325000000000003</v>
      </c>
      <c r="F19" s="9">
        <f>VLOOKUP(A19,[1]TDSheet!$A:$G,6,0)/22</f>
        <v>12.744727272727273</v>
      </c>
      <c r="G19" s="9">
        <f t="shared" si="0"/>
        <v>3.7133003309746635</v>
      </c>
    </row>
    <row r="20" spans="1:7" ht="11.1" customHeight="1" x14ac:dyDescent="0.2">
      <c r="A20" s="12" t="s">
        <v>20</v>
      </c>
      <c r="B20" s="12"/>
      <c r="C20" s="12"/>
      <c r="D20" s="5" t="s">
        <v>11</v>
      </c>
      <c r="E20" s="6">
        <v>160.75</v>
      </c>
      <c r="F20" s="9">
        <f>VLOOKUP(A20,[1]TDSheet!$A:$G,6,0)/22</f>
        <v>9.7613636363636367</v>
      </c>
      <c r="G20" s="9">
        <f t="shared" si="0"/>
        <v>16.467986030267753</v>
      </c>
    </row>
    <row r="21" spans="1:7" ht="11.1" customHeight="1" x14ac:dyDescent="0.2">
      <c r="A21" s="12" t="s">
        <v>21</v>
      </c>
      <c r="B21" s="12"/>
      <c r="C21" s="12"/>
      <c r="D21" s="5" t="s">
        <v>11</v>
      </c>
      <c r="E21" s="6">
        <v>125.2</v>
      </c>
      <c r="F21" s="9">
        <f>VLOOKUP(A21,[1]TDSheet!$A:$G,6,0)/22</f>
        <v>12.218181818181819</v>
      </c>
      <c r="G21" s="9">
        <f t="shared" si="0"/>
        <v>10.24702380952381</v>
      </c>
    </row>
    <row r="22" spans="1:7" ht="11.1" customHeight="1" x14ac:dyDescent="0.2">
      <c r="A22" s="12" t="s">
        <v>22</v>
      </c>
      <c r="B22" s="12"/>
      <c r="C22" s="12"/>
      <c r="D22" s="5" t="s">
        <v>9</v>
      </c>
      <c r="E22" s="6">
        <v>120.983</v>
      </c>
      <c r="F22" s="9">
        <f>VLOOKUP(A22,[1]TDSheet!$A:$G,6,0)/22</f>
        <v>37.325818181818185</v>
      </c>
      <c r="G22" s="9">
        <f t="shared" si="0"/>
        <v>3.2412685345751417</v>
      </c>
    </row>
    <row r="23" spans="1:7" ht="11.1" customHeight="1" x14ac:dyDescent="0.2">
      <c r="A23" s="12" t="s">
        <v>23</v>
      </c>
      <c r="B23" s="12"/>
      <c r="C23" s="12"/>
      <c r="D23" s="5" t="s">
        <v>11</v>
      </c>
      <c r="E23" s="6">
        <v>-0.25</v>
      </c>
      <c r="F23" s="9">
        <f>VLOOKUP(A23,[1]TDSheet!$A:$G,6,0)/22</f>
        <v>0</v>
      </c>
      <c r="G23" s="9" t="e">
        <f t="shared" si="0"/>
        <v>#DIV/0!</v>
      </c>
    </row>
    <row r="24" spans="1:7" ht="11.1" customHeight="1" x14ac:dyDescent="0.2">
      <c r="A24" s="12" t="s">
        <v>24</v>
      </c>
      <c r="B24" s="12"/>
      <c r="C24" s="12"/>
      <c r="D24" s="5" t="s">
        <v>9</v>
      </c>
      <c r="E24" s="6">
        <v>72.236000000000004</v>
      </c>
      <c r="F24" s="9">
        <f>VLOOKUP(A24,[1]TDSheet!$A:$G,6,0)/22</f>
        <v>3.8156363636363637</v>
      </c>
      <c r="G24" s="9">
        <f t="shared" si="0"/>
        <v>18.931573429905651</v>
      </c>
    </row>
    <row r="25" spans="1:7" ht="11.1" customHeight="1" x14ac:dyDescent="0.2">
      <c r="A25" s="12" t="s">
        <v>25</v>
      </c>
      <c r="B25" s="12"/>
      <c r="C25" s="12"/>
      <c r="D25" s="5" t="s">
        <v>11</v>
      </c>
      <c r="E25" s="6">
        <v>88.8</v>
      </c>
      <c r="F25" s="9">
        <f>VLOOKUP(A25,[1]TDSheet!$A:$G,6,0)/22</f>
        <v>0.83636363636363631</v>
      </c>
      <c r="G25" s="9">
        <f t="shared" si="0"/>
        <v>106.17391304347827</v>
      </c>
    </row>
    <row r="26" spans="1:7" ht="11.1" customHeight="1" x14ac:dyDescent="0.2">
      <c r="A26" s="12" t="s">
        <v>26</v>
      </c>
      <c r="B26" s="12"/>
      <c r="C26" s="12"/>
      <c r="D26" s="5" t="s">
        <v>9</v>
      </c>
      <c r="E26" s="6">
        <v>489.00099999999998</v>
      </c>
      <c r="F26" s="9">
        <f>VLOOKUP(A26,[1]TDSheet!$A:$G,6,0)/22</f>
        <v>30.585000000000001</v>
      </c>
      <c r="G26" s="9">
        <f t="shared" si="0"/>
        <v>15.988262220042504</v>
      </c>
    </row>
    <row r="27" spans="1:7" ht="11.1" customHeight="1" x14ac:dyDescent="0.2">
      <c r="A27" s="12" t="s">
        <v>27</v>
      </c>
      <c r="B27" s="12"/>
      <c r="C27" s="12"/>
      <c r="D27" s="5" t="s">
        <v>11</v>
      </c>
      <c r="E27" s="6">
        <v>51.04</v>
      </c>
      <c r="F27" s="9">
        <f>VLOOKUP(A27,[1]TDSheet!$A:$G,6,0)/22</f>
        <v>12.65</v>
      </c>
      <c r="G27" s="9">
        <f t="shared" si="0"/>
        <v>4.034782608695652</v>
      </c>
    </row>
    <row r="28" spans="1:7" ht="11.1" customHeight="1" x14ac:dyDescent="0.2">
      <c r="A28" s="12" t="s">
        <v>28</v>
      </c>
      <c r="B28" s="12"/>
      <c r="C28" s="12"/>
      <c r="D28" s="5" t="s">
        <v>9</v>
      </c>
      <c r="E28" s="6">
        <v>62.293999999999997</v>
      </c>
      <c r="F28" s="9">
        <f>VLOOKUP(A28,[1]TDSheet!$A:$G,6,0)/22</f>
        <v>5.206363636363637</v>
      </c>
      <c r="G28" s="9">
        <f t="shared" si="0"/>
        <v>11.964972935219135</v>
      </c>
    </row>
    <row r="29" spans="1:7" ht="11.1" customHeight="1" x14ac:dyDescent="0.2">
      <c r="A29" s="12" t="s">
        <v>29</v>
      </c>
      <c r="B29" s="12"/>
      <c r="C29" s="12"/>
      <c r="D29" s="5" t="s">
        <v>9</v>
      </c>
      <c r="E29" s="6">
        <v>69.405000000000001</v>
      </c>
      <c r="F29" s="9">
        <f>VLOOKUP(A29,[1]TDSheet!$A:$G,6,0)/22</f>
        <v>1.2372727272727273</v>
      </c>
      <c r="G29" s="9">
        <f t="shared" si="0"/>
        <v>56.095150624540778</v>
      </c>
    </row>
    <row r="30" spans="1:7" ht="11.1" customHeight="1" x14ac:dyDescent="0.2">
      <c r="A30" s="12" t="s">
        <v>30</v>
      </c>
      <c r="B30" s="12"/>
      <c r="C30" s="12"/>
      <c r="D30" s="5" t="s">
        <v>11</v>
      </c>
      <c r="E30" s="6">
        <v>0.15</v>
      </c>
      <c r="F30" s="9">
        <f>VLOOKUP(A30,[1]TDSheet!$A:$G,6,0)/22</f>
        <v>0.32727272727272727</v>
      </c>
      <c r="G30" s="9">
        <f t="shared" si="0"/>
        <v>0.45833333333333331</v>
      </c>
    </row>
    <row r="31" spans="1:7" ht="11.1" customHeight="1" x14ac:dyDescent="0.2">
      <c r="A31" s="12" t="s">
        <v>31</v>
      </c>
      <c r="B31" s="12"/>
      <c r="C31" s="12"/>
      <c r="D31" s="5" t="s">
        <v>9</v>
      </c>
      <c r="E31" s="6">
        <v>3.3359999999999999</v>
      </c>
      <c r="F31" s="9">
        <f>VLOOKUP(A31,[1]TDSheet!$A:$G,6,0)/22</f>
        <v>13.135363636363637</v>
      </c>
      <c r="G31" s="9">
        <f t="shared" si="0"/>
        <v>0.25397089051761723</v>
      </c>
    </row>
    <row r="32" spans="1:7" ht="11.1" customHeight="1" x14ac:dyDescent="0.2">
      <c r="A32" s="12" t="s">
        <v>32</v>
      </c>
      <c r="B32" s="12"/>
      <c r="C32" s="12"/>
      <c r="D32" s="5" t="s">
        <v>11</v>
      </c>
      <c r="E32" s="6">
        <v>14.49</v>
      </c>
      <c r="F32" s="9">
        <f>VLOOKUP(A32,[1]TDSheet!$A:$G,6,0)/22</f>
        <v>2.5159090909090911</v>
      </c>
      <c r="G32" s="9">
        <f t="shared" si="0"/>
        <v>5.7593495934959344</v>
      </c>
    </row>
    <row r="33" spans="1:7" ht="11.1" customHeight="1" x14ac:dyDescent="0.2">
      <c r="A33" s="12" t="s">
        <v>33</v>
      </c>
      <c r="B33" s="12"/>
      <c r="C33" s="12"/>
      <c r="D33" s="5" t="s">
        <v>11</v>
      </c>
      <c r="E33" s="6">
        <v>8.91</v>
      </c>
      <c r="F33" s="9">
        <f>VLOOKUP(A33,[1]TDSheet!$A:$G,6,0)/22</f>
        <v>8.5909090909090907E-2</v>
      </c>
      <c r="G33" s="9">
        <f t="shared" si="0"/>
        <v>103.71428571428572</v>
      </c>
    </row>
    <row r="34" spans="1:7" ht="11.1" customHeight="1" x14ac:dyDescent="0.2">
      <c r="A34" s="12" t="s">
        <v>34</v>
      </c>
      <c r="B34" s="12"/>
      <c r="C34" s="12"/>
      <c r="D34" s="5" t="s">
        <v>11</v>
      </c>
      <c r="E34" s="6">
        <v>9.27</v>
      </c>
      <c r="F34" s="9">
        <f>VLOOKUP(A34,[1]TDSheet!$A:$G,6,0)/22</f>
        <v>0.85090909090909084</v>
      </c>
      <c r="G34" s="9">
        <f t="shared" si="0"/>
        <v>10.89423076923077</v>
      </c>
    </row>
    <row r="35" spans="1:7" ht="11.1" customHeight="1" x14ac:dyDescent="0.2">
      <c r="A35" s="12" t="s">
        <v>35</v>
      </c>
      <c r="B35" s="12"/>
      <c r="C35" s="12"/>
      <c r="D35" s="5" t="s">
        <v>11</v>
      </c>
      <c r="E35" s="6">
        <v>2</v>
      </c>
      <c r="G35" s="9" t="e">
        <f t="shared" si="0"/>
        <v>#DIV/0!</v>
      </c>
    </row>
    <row r="36" spans="1:7" ht="11.1" customHeight="1" x14ac:dyDescent="0.2">
      <c r="A36" s="12" t="s">
        <v>36</v>
      </c>
      <c r="B36" s="12"/>
      <c r="C36" s="12"/>
      <c r="D36" s="5" t="s">
        <v>11</v>
      </c>
      <c r="E36" s="6">
        <v>13.05</v>
      </c>
      <c r="F36" s="9">
        <f>VLOOKUP(A36,[1]TDSheet!$A:$G,6,0)/22</f>
        <v>0.6681818181818181</v>
      </c>
      <c r="G36" s="9">
        <f t="shared" si="0"/>
        <v>19.530612244897963</v>
      </c>
    </row>
    <row r="37" spans="1:7" ht="11.1" customHeight="1" x14ac:dyDescent="0.2">
      <c r="A37" s="12" t="s">
        <v>37</v>
      </c>
      <c r="B37" s="12"/>
      <c r="C37" s="12"/>
      <c r="D37" s="5" t="s">
        <v>9</v>
      </c>
      <c r="E37" s="6">
        <v>515.79100000000005</v>
      </c>
      <c r="F37" s="9">
        <f>VLOOKUP(A37,[1]TDSheet!$A:$G,6,0)/22</f>
        <v>64.844272727272724</v>
      </c>
      <c r="G37" s="9">
        <f t="shared" si="0"/>
        <v>7.9543031066036542</v>
      </c>
    </row>
    <row r="38" spans="1:7" ht="11.1" customHeight="1" x14ac:dyDescent="0.2">
      <c r="A38" s="12" t="s">
        <v>38</v>
      </c>
      <c r="B38" s="12"/>
      <c r="C38" s="12"/>
      <c r="D38" s="5" t="s">
        <v>11</v>
      </c>
      <c r="E38" s="6">
        <v>7.6</v>
      </c>
      <c r="F38" s="9">
        <f>VLOOKUP(A38,[1]TDSheet!$A:$G,6,0)/22</f>
        <v>6.8363636363636369</v>
      </c>
      <c r="G38" s="9">
        <f t="shared" si="0"/>
        <v>1.1117021276595744</v>
      </c>
    </row>
    <row r="39" spans="1:7" ht="11.1" customHeight="1" x14ac:dyDescent="0.2">
      <c r="A39" s="12" t="s">
        <v>39</v>
      </c>
      <c r="B39" s="12"/>
      <c r="C39" s="12"/>
      <c r="D39" s="5" t="s">
        <v>11</v>
      </c>
      <c r="E39" s="6">
        <v>314</v>
      </c>
      <c r="F39" s="9">
        <f>VLOOKUP(A39,[1]TDSheet!$A:$G,6,0)/22</f>
        <v>35.963636363636368</v>
      </c>
      <c r="G39" s="9">
        <f t="shared" si="0"/>
        <v>8.7310414560161771</v>
      </c>
    </row>
    <row r="40" spans="1:7" ht="11.1" customHeight="1" x14ac:dyDescent="0.2">
      <c r="A40" s="12" t="s">
        <v>40</v>
      </c>
      <c r="B40" s="12"/>
      <c r="C40" s="12"/>
      <c r="D40" s="5" t="s">
        <v>11</v>
      </c>
      <c r="E40" s="6">
        <v>-0.35</v>
      </c>
      <c r="G40" s="9" t="e">
        <f t="shared" si="0"/>
        <v>#DIV/0!</v>
      </c>
    </row>
    <row r="41" spans="1:7" ht="11.1" customHeight="1" x14ac:dyDescent="0.2">
      <c r="A41" s="12" t="s">
        <v>41</v>
      </c>
      <c r="B41" s="12"/>
      <c r="C41" s="12"/>
      <c r="D41" s="5" t="s">
        <v>11</v>
      </c>
      <c r="E41" s="6">
        <v>383.6</v>
      </c>
      <c r="F41" s="9">
        <f>VLOOKUP(A41,[1]TDSheet!$A:$G,6,0)/22</f>
        <v>31.981818181818184</v>
      </c>
      <c r="G41" s="9">
        <f t="shared" si="0"/>
        <v>11.994314951677088</v>
      </c>
    </row>
    <row r="42" spans="1:7" ht="11.1" customHeight="1" x14ac:dyDescent="0.2">
      <c r="A42" s="12" t="s">
        <v>42</v>
      </c>
      <c r="B42" s="12"/>
      <c r="C42" s="12"/>
      <c r="D42" s="5" t="s">
        <v>11</v>
      </c>
      <c r="E42" s="6">
        <v>59.4</v>
      </c>
      <c r="G42" s="9" t="e">
        <f t="shared" si="0"/>
        <v>#DIV/0!</v>
      </c>
    </row>
    <row r="43" spans="1:7" ht="11.1" customHeight="1" x14ac:dyDescent="0.2">
      <c r="A43" s="12" t="s">
        <v>43</v>
      </c>
      <c r="B43" s="12"/>
      <c r="C43" s="12"/>
      <c r="D43" s="5" t="s">
        <v>11</v>
      </c>
      <c r="E43" s="6">
        <v>-0.1</v>
      </c>
      <c r="F43" s="9">
        <f>VLOOKUP(A43,[1]TDSheet!$A:$G,6,0)/22</f>
        <v>0.46363636363636362</v>
      </c>
      <c r="G43" s="9">
        <f t="shared" si="0"/>
        <v>-0.21568627450980393</v>
      </c>
    </row>
    <row r="44" spans="1:7" ht="11.1" customHeight="1" x14ac:dyDescent="0.2">
      <c r="A44" s="12" t="s">
        <v>44</v>
      </c>
      <c r="B44" s="12"/>
      <c r="C44" s="12"/>
      <c r="D44" s="5" t="s">
        <v>11</v>
      </c>
      <c r="E44" s="6">
        <v>-7.7</v>
      </c>
      <c r="F44" s="9">
        <f>VLOOKUP(A44,[1]TDSheet!$A:$G,6,0)/22</f>
        <v>1.8</v>
      </c>
      <c r="G44" s="9">
        <f t="shared" si="0"/>
        <v>-4.2777777777777777</v>
      </c>
    </row>
    <row r="45" spans="1:7" ht="11.1" customHeight="1" x14ac:dyDescent="0.2">
      <c r="A45" s="12" t="s">
        <v>45</v>
      </c>
      <c r="B45" s="12"/>
      <c r="C45" s="12"/>
      <c r="D45" s="5" t="s">
        <v>11</v>
      </c>
      <c r="E45" s="6">
        <v>-0.2</v>
      </c>
      <c r="F45" s="9">
        <f>VLOOKUP(A45,[1]TDSheet!$A:$G,6,0)/22</f>
        <v>0.22272727272727275</v>
      </c>
      <c r="G45" s="9">
        <f t="shared" si="0"/>
        <v>-0.89795918367346939</v>
      </c>
    </row>
    <row r="46" spans="1:7" ht="11.1" customHeight="1" x14ac:dyDescent="0.2">
      <c r="A46" s="12" t="s">
        <v>46</v>
      </c>
      <c r="B46" s="12"/>
      <c r="C46" s="12"/>
      <c r="D46" s="5" t="s">
        <v>9</v>
      </c>
      <c r="E46" s="6">
        <v>0.88</v>
      </c>
      <c r="F46" s="9">
        <f>VLOOKUP(A46,[1]TDSheet!$A:$G,6,0)/22</f>
        <v>8.0106818181818191</v>
      </c>
      <c r="G46" s="9">
        <f t="shared" si="0"/>
        <v>0.10985332085000141</v>
      </c>
    </row>
    <row r="47" spans="1:7" ht="11.1" customHeight="1" x14ac:dyDescent="0.2">
      <c r="A47" s="12" t="s">
        <v>47</v>
      </c>
      <c r="B47" s="12"/>
      <c r="C47" s="12"/>
      <c r="D47" s="5" t="s">
        <v>11</v>
      </c>
      <c r="E47" s="6">
        <v>10.8</v>
      </c>
      <c r="F47" s="9">
        <f>VLOOKUP(A47,[1]TDSheet!$A:$G,6,0)/22</f>
        <v>7.036363636363637</v>
      </c>
      <c r="G47" s="9">
        <f t="shared" si="0"/>
        <v>1.5348837209302326</v>
      </c>
    </row>
    <row r="48" spans="1:7" ht="11.1" customHeight="1" x14ac:dyDescent="0.2">
      <c r="A48" s="12" t="s">
        <v>48</v>
      </c>
      <c r="B48" s="12"/>
      <c r="C48" s="12"/>
      <c r="D48" s="5" t="s">
        <v>11</v>
      </c>
      <c r="E48" s="6">
        <v>77.099999999999994</v>
      </c>
      <c r="F48" s="9">
        <f>VLOOKUP(A48,[1]TDSheet!$A:$G,6,0)/22</f>
        <v>7.0772727272727272</v>
      </c>
      <c r="G48" s="9">
        <f t="shared" si="0"/>
        <v>10.89402697495183</v>
      </c>
    </row>
    <row r="49" spans="1:7" ht="11.1" customHeight="1" x14ac:dyDescent="0.2">
      <c r="A49" s="12" t="s">
        <v>49</v>
      </c>
      <c r="B49" s="12"/>
      <c r="C49" s="12"/>
      <c r="D49" s="5" t="s">
        <v>9</v>
      </c>
      <c r="E49" s="6">
        <v>762.88400000000001</v>
      </c>
      <c r="F49" s="9">
        <f>VLOOKUP(A49,[1]TDSheet!$A:$G,6,0)/22</f>
        <v>35.685227272727275</v>
      </c>
      <c r="G49" s="9">
        <f t="shared" si="0"/>
        <v>21.378146037002832</v>
      </c>
    </row>
    <row r="50" spans="1:7" ht="11.1" customHeight="1" x14ac:dyDescent="0.2">
      <c r="A50" s="12" t="s">
        <v>50</v>
      </c>
      <c r="B50" s="12"/>
      <c r="C50" s="12"/>
      <c r="D50" s="5" t="s">
        <v>9</v>
      </c>
      <c r="E50" s="6">
        <v>87.283000000000001</v>
      </c>
      <c r="F50" s="9">
        <f>VLOOKUP(A50,[1]TDSheet!$A:$G,6,0)/22</f>
        <v>13.716272727272726</v>
      </c>
      <c r="G50" s="9">
        <f t="shared" si="0"/>
        <v>6.3634634375890622</v>
      </c>
    </row>
    <row r="51" spans="1:7" ht="11.1" customHeight="1" x14ac:dyDescent="0.2">
      <c r="A51" s="12" t="s">
        <v>51</v>
      </c>
      <c r="B51" s="12"/>
      <c r="C51" s="12"/>
      <c r="D51" s="5" t="s">
        <v>9</v>
      </c>
      <c r="E51" s="6">
        <v>122.657</v>
      </c>
      <c r="F51" s="9">
        <f>VLOOKUP(A51,[1]TDSheet!$A:$G,6,0)/22</f>
        <v>14.052409090909093</v>
      </c>
      <c r="G51" s="9">
        <f t="shared" si="0"/>
        <v>8.7285389435004657</v>
      </c>
    </row>
    <row r="52" spans="1:7" ht="11.1" customHeight="1" x14ac:dyDescent="0.2">
      <c r="A52" s="12" t="s">
        <v>52</v>
      </c>
      <c r="B52" s="12"/>
      <c r="C52" s="12"/>
      <c r="D52" s="5" t="s">
        <v>9</v>
      </c>
      <c r="E52" s="6">
        <v>170.91499999999999</v>
      </c>
      <c r="F52" s="9">
        <f>VLOOKUP(A52,[1]TDSheet!$A:$G,6,0)/22</f>
        <v>9.5532727272727271</v>
      </c>
      <c r="G52" s="9">
        <f t="shared" si="0"/>
        <v>17.890727594541612</v>
      </c>
    </row>
    <row r="53" spans="1:7" ht="11.1" customHeight="1" x14ac:dyDescent="0.2">
      <c r="A53" s="12" t="s">
        <v>53</v>
      </c>
      <c r="B53" s="12"/>
      <c r="C53" s="12"/>
      <c r="D53" s="5" t="s">
        <v>11</v>
      </c>
      <c r="E53" s="6">
        <v>33.9</v>
      </c>
      <c r="F53" s="9">
        <f>VLOOKUP(A53,[1]TDSheet!$A:$G,6,0)/22</f>
        <v>16.636363636363637</v>
      </c>
      <c r="G53" s="9">
        <f t="shared" si="0"/>
        <v>2.0377049180327869</v>
      </c>
    </row>
    <row r="54" spans="1:7" ht="11.1" customHeight="1" x14ac:dyDescent="0.2">
      <c r="A54" s="12" t="s">
        <v>54</v>
      </c>
      <c r="B54" s="12"/>
      <c r="C54" s="12"/>
      <c r="D54" s="5" t="s">
        <v>9</v>
      </c>
      <c r="E54" s="6">
        <v>49.918999999999997</v>
      </c>
      <c r="F54" s="9">
        <f>VLOOKUP(A54,[1]TDSheet!$A:$G,6,0)/22</f>
        <v>7.1851363636363637</v>
      </c>
      <c r="G54" s="9">
        <f t="shared" si="0"/>
        <v>6.9475368975093783</v>
      </c>
    </row>
    <row r="55" spans="1:7" ht="11.1" customHeight="1" x14ac:dyDescent="0.2">
      <c r="A55" s="12" t="s">
        <v>55</v>
      </c>
      <c r="B55" s="12"/>
      <c r="C55" s="12"/>
      <c r="D55" s="5" t="s">
        <v>11</v>
      </c>
      <c r="E55" s="6">
        <v>291.55</v>
      </c>
      <c r="F55" s="9">
        <f>VLOOKUP(A55,[1]TDSheet!$A:$G,6,0)/22</f>
        <v>37.688636363636363</v>
      </c>
      <c r="G55" s="9">
        <f t="shared" si="0"/>
        <v>7.7357534824820604</v>
      </c>
    </row>
    <row r="56" spans="1:7" ht="11.1" customHeight="1" x14ac:dyDescent="0.2">
      <c r="A56" s="12" t="s">
        <v>56</v>
      </c>
      <c r="B56" s="12"/>
      <c r="C56" s="12"/>
      <c r="D56" s="5" t="s">
        <v>11</v>
      </c>
      <c r="E56" s="6">
        <v>287</v>
      </c>
      <c r="F56" s="9">
        <f>VLOOKUP(A56,[1]TDSheet!$A:$G,6,0)/22</f>
        <v>16.903181818181817</v>
      </c>
      <c r="G56" s="9">
        <f t="shared" si="0"/>
        <v>16.979051819184125</v>
      </c>
    </row>
    <row r="57" spans="1:7" ht="11.1" customHeight="1" x14ac:dyDescent="0.2">
      <c r="A57" s="12" t="s">
        <v>57</v>
      </c>
      <c r="B57" s="12"/>
      <c r="C57" s="12"/>
      <c r="D57" s="5" t="s">
        <v>11</v>
      </c>
      <c r="E57" s="6">
        <v>88.56</v>
      </c>
      <c r="F57" s="9">
        <f>VLOOKUP(A57,[1]TDSheet!$A:$G,6,0)/22</f>
        <v>9.1504545454545454</v>
      </c>
      <c r="G57" s="9">
        <f t="shared" si="0"/>
        <v>9.6782077393075365</v>
      </c>
    </row>
    <row r="58" spans="1:7" ht="11.1" customHeight="1" x14ac:dyDescent="0.2">
      <c r="A58" s="12" t="s">
        <v>58</v>
      </c>
      <c r="B58" s="12"/>
      <c r="C58" s="12"/>
      <c r="D58" s="5" t="s">
        <v>9</v>
      </c>
      <c r="E58" s="6">
        <v>16.449000000000002</v>
      </c>
      <c r="G58" s="9" t="e">
        <f t="shared" si="0"/>
        <v>#DIV/0!</v>
      </c>
    </row>
    <row r="59" spans="1:7" ht="11.1" customHeight="1" x14ac:dyDescent="0.2">
      <c r="A59" s="12" t="s">
        <v>59</v>
      </c>
      <c r="B59" s="12"/>
      <c r="C59" s="12"/>
      <c r="D59" s="5" t="s">
        <v>11</v>
      </c>
      <c r="E59" s="6">
        <v>11.88</v>
      </c>
      <c r="F59" s="9">
        <f>VLOOKUP(A59,[1]TDSheet!$A:$G,6,0)/22</f>
        <v>-0.18</v>
      </c>
      <c r="G59" s="9">
        <f t="shared" si="0"/>
        <v>-66</v>
      </c>
    </row>
    <row r="60" spans="1:7" ht="11.1" customHeight="1" x14ac:dyDescent="0.2">
      <c r="A60" s="12" t="s">
        <v>60</v>
      </c>
      <c r="B60" s="12"/>
      <c r="C60" s="12"/>
      <c r="D60" s="5" t="s">
        <v>9</v>
      </c>
      <c r="E60" s="6">
        <v>41.893000000000001</v>
      </c>
      <c r="F60" s="9">
        <f>VLOOKUP(A60,[1]TDSheet!$A:$G,6,0)/22</f>
        <v>0.24527272727272728</v>
      </c>
      <c r="G60" s="9">
        <f t="shared" si="0"/>
        <v>170.80170496664195</v>
      </c>
    </row>
    <row r="61" spans="1:7" ht="11.1" customHeight="1" x14ac:dyDescent="0.2">
      <c r="A61" s="12" t="s">
        <v>61</v>
      </c>
      <c r="B61" s="12"/>
      <c r="C61" s="12"/>
      <c r="D61" s="5" t="s">
        <v>11</v>
      </c>
      <c r="E61" s="6">
        <v>41.58</v>
      </c>
      <c r="F61" s="9">
        <f>VLOOKUP(A61,[1]TDSheet!$A:$G,6,0)/22</f>
        <v>2.3249999999999997</v>
      </c>
      <c r="G61" s="9">
        <f t="shared" si="0"/>
        <v>17.883870967741938</v>
      </c>
    </row>
    <row r="62" spans="1:7" ht="11.1" customHeight="1" x14ac:dyDescent="0.2">
      <c r="A62" s="12" t="s">
        <v>62</v>
      </c>
      <c r="B62" s="12"/>
      <c r="C62" s="12"/>
      <c r="D62" s="5" t="s">
        <v>11</v>
      </c>
      <c r="E62" s="6">
        <v>167.2</v>
      </c>
      <c r="F62" s="9">
        <f>VLOOKUP(A62,[1]TDSheet!$A:$G,6,0)/22</f>
        <v>11.327272727272726</v>
      </c>
      <c r="G62" s="9">
        <f t="shared" si="0"/>
        <v>14.76083467094703</v>
      </c>
    </row>
    <row r="63" spans="1:7" ht="11.1" customHeight="1" x14ac:dyDescent="0.2">
      <c r="A63" s="12" t="s">
        <v>63</v>
      </c>
      <c r="B63" s="12"/>
      <c r="C63" s="12"/>
      <c r="D63" s="5" t="s">
        <v>11</v>
      </c>
      <c r="E63" s="6">
        <v>9.24</v>
      </c>
      <c r="F63" s="9">
        <f>VLOOKUP(A63,[1]TDSheet!$A:$G,6,0)/22</f>
        <v>0.6</v>
      </c>
      <c r="G63" s="9">
        <f t="shared" si="0"/>
        <v>15.4</v>
      </c>
    </row>
    <row r="64" spans="1:7" ht="11.1" customHeight="1" x14ac:dyDescent="0.2">
      <c r="A64" s="12" t="s">
        <v>64</v>
      </c>
      <c r="B64" s="12"/>
      <c r="C64" s="12"/>
      <c r="D64" s="5" t="s">
        <v>9</v>
      </c>
      <c r="E64" s="6">
        <v>391.608</v>
      </c>
      <c r="F64" s="9">
        <f>VLOOKUP(A64,[1]TDSheet!$A:$G,6,0)/22</f>
        <v>41.07777272727273</v>
      </c>
      <c r="G64" s="9">
        <f t="shared" si="0"/>
        <v>9.5333308989267582</v>
      </c>
    </row>
    <row r="65" spans="1:7" ht="11.1" customHeight="1" x14ac:dyDescent="0.2">
      <c r="A65" s="12" t="s">
        <v>65</v>
      </c>
      <c r="B65" s="12"/>
      <c r="C65" s="12"/>
      <c r="D65" s="5" t="s">
        <v>11</v>
      </c>
      <c r="E65" s="6">
        <v>45.6</v>
      </c>
      <c r="F65" s="9">
        <f>VLOOKUP(A65,[1]TDSheet!$A:$G,6,0)/22</f>
        <v>-0.67272727272727273</v>
      </c>
      <c r="G65" s="9">
        <f t="shared" si="0"/>
        <v>-67.78378378378379</v>
      </c>
    </row>
    <row r="66" spans="1:7" ht="11.1" customHeight="1" x14ac:dyDescent="0.2">
      <c r="A66" s="12" t="s">
        <v>66</v>
      </c>
      <c r="B66" s="12"/>
      <c r="C66" s="12"/>
      <c r="D66" s="5" t="s">
        <v>9</v>
      </c>
      <c r="E66" s="6">
        <v>52.87</v>
      </c>
      <c r="F66" s="9">
        <f>VLOOKUP(A66,[1]TDSheet!$A:$G,6,0)/22</f>
        <v>4.5156818181818181</v>
      </c>
      <c r="G66" s="9">
        <f t="shared" si="0"/>
        <v>11.7080879762444</v>
      </c>
    </row>
    <row r="67" spans="1:7" ht="11.1" customHeight="1" x14ac:dyDescent="0.2">
      <c r="A67" s="12" t="s">
        <v>67</v>
      </c>
      <c r="B67" s="12"/>
      <c r="C67" s="12"/>
      <c r="D67" s="5" t="s">
        <v>11</v>
      </c>
      <c r="E67" s="6">
        <v>16.2</v>
      </c>
      <c r="F67" s="9">
        <f>VLOOKUP(A67,[1]TDSheet!$A:$G,6,0)/22</f>
        <v>6.5454545454545459</v>
      </c>
      <c r="G67" s="9">
        <f t="shared" si="0"/>
        <v>2.4749999999999996</v>
      </c>
    </row>
    <row r="68" spans="1:7" ht="11.1" customHeight="1" x14ac:dyDescent="0.2">
      <c r="A68" s="12" t="s">
        <v>68</v>
      </c>
      <c r="B68" s="12"/>
      <c r="C68" s="12"/>
      <c r="D68" s="5" t="s">
        <v>11</v>
      </c>
      <c r="E68" s="6">
        <v>40</v>
      </c>
      <c r="F68" s="9">
        <f>VLOOKUP(A68,[1]TDSheet!$A:$G,6,0)/22</f>
        <v>0.45454545454545453</v>
      </c>
      <c r="G68" s="9">
        <f t="shared" si="0"/>
        <v>88</v>
      </c>
    </row>
    <row r="69" spans="1:7" ht="11.1" customHeight="1" x14ac:dyDescent="0.2">
      <c r="A69" s="12" t="s">
        <v>69</v>
      </c>
      <c r="B69" s="12"/>
      <c r="C69" s="12"/>
      <c r="D69" s="5" t="s">
        <v>11</v>
      </c>
      <c r="E69" s="6">
        <v>93.75</v>
      </c>
      <c r="F69" s="9">
        <f>VLOOKUP(A69,[1]TDSheet!$A:$G,6,0)/22</f>
        <v>4.0795454545454541</v>
      </c>
      <c r="G69" s="9">
        <f t="shared" si="0"/>
        <v>22.980501392757663</v>
      </c>
    </row>
    <row r="70" spans="1:7" ht="11.1" customHeight="1" x14ac:dyDescent="0.2">
      <c r="A70" s="12" t="s">
        <v>70</v>
      </c>
      <c r="B70" s="12"/>
      <c r="C70" s="12"/>
      <c r="D70" s="5" t="s">
        <v>9</v>
      </c>
      <c r="E70" s="6">
        <v>5.7939999999999996</v>
      </c>
      <c r="F70" s="9">
        <f>VLOOKUP(A70,[1]TDSheet!$A:$G,6,0)/22</f>
        <v>3.2122272727272727</v>
      </c>
      <c r="G70" s="9">
        <f t="shared" si="0"/>
        <v>1.8037328956119372</v>
      </c>
    </row>
    <row r="71" spans="1:7" ht="11.1" customHeight="1" x14ac:dyDescent="0.2">
      <c r="A71" s="12" t="s">
        <v>71</v>
      </c>
      <c r="B71" s="12"/>
      <c r="C71" s="12"/>
      <c r="D71" s="5" t="s">
        <v>11</v>
      </c>
      <c r="E71" s="6">
        <v>64.8</v>
      </c>
      <c r="F71" s="9">
        <f>VLOOKUP(A71,[1]TDSheet!$A:$G,6,0)/22</f>
        <v>6.136363636363637E-2</v>
      </c>
      <c r="G71" s="9">
        <f t="shared" si="0"/>
        <v>1055.9999999999998</v>
      </c>
    </row>
    <row r="72" spans="1:7" ht="11.1" customHeight="1" x14ac:dyDescent="0.2">
      <c r="A72" s="12" t="s">
        <v>72</v>
      </c>
      <c r="B72" s="12"/>
      <c r="C72" s="12"/>
      <c r="D72" s="5" t="s">
        <v>11</v>
      </c>
      <c r="E72" s="6">
        <v>91.2</v>
      </c>
      <c r="F72" s="9">
        <f>VLOOKUP(A72,[1]TDSheet!$A:$G,6,0)/22</f>
        <v>8.2636363636363637</v>
      </c>
      <c r="G72" s="9">
        <f t="shared" si="0"/>
        <v>11.036303630363037</v>
      </c>
    </row>
    <row r="73" spans="1:7" ht="11.1" customHeight="1" x14ac:dyDescent="0.2">
      <c r="A73" s="12" t="s">
        <v>73</v>
      </c>
      <c r="B73" s="12"/>
      <c r="C73" s="12"/>
      <c r="D73" s="5" t="s">
        <v>11</v>
      </c>
      <c r="E73" s="6">
        <v>18.86</v>
      </c>
      <c r="F73" s="9">
        <f>VLOOKUP(A73,[1]TDSheet!$A:$G,6,0)/22</f>
        <v>77.583181818181814</v>
      </c>
      <c r="G73" s="9">
        <f t="shared" si="0"/>
        <v>0.24309392265193372</v>
      </c>
    </row>
    <row r="74" spans="1:7" ht="11.1" customHeight="1" x14ac:dyDescent="0.2">
      <c r="A74" s="12" t="s">
        <v>74</v>
      </c>
      <c r="B74" s="12"/>
      <c r="C74" s="12"/>
      <c r="D74" s="5" t="s">
        <v>9</v>
      </c>
      <c r="E74" s="6">
        <v>381.17399999999998</v>
      </c>
      <c r="F74" s="9">
        <f>VLOOKUP(A74,[1]TDSheet!$A:$G,6,0)/22</f>
        <v>24.327909090909092</v>
      </c>
      <c r="G74" s="9">
        <f t="shared" si="0"/>
        <v>15.668177588777571</v>
      </c>
    </row>
    <row r="75" spans="1:7" ht="11.1" customHeight="1" x14ac:dyDescent="0.2">
      <c r="A75" s="12" t="s">
        <v>75</v>
      </c>
      <c r="B75" s="12"/>
      <c r="C75" s="12"/>
      <c r="D75" s="5" t="s">
        <v>11</v>
      </c>
      <c r="E75" s="6">
        <v>43.75</v>
      </c>
      <c r="F75" s="9">
        <f>VLOOKUP(A75,[1]TDSheet!$A:$G,6,0)/22</f>
        <v>11.247727272727273</v>
      </c>
      <c r="G75" s="9">
        <f t="shared" ref="G75:G117" si="1">E75/F75</f>
        <v>3.8896746817538896</v>
      </c>
    </row>
    <row r="76" spans="1:7" ht="11.1" customHeight="1" x14ac:dyDescent="0.2">
      <c r="A76" s="12" t="s">
        <v>76</v>
      </c>
      <c r="B76" s="12"/>
      <c r="C76" s="12"/>
      <c r="D76" s="5" t="s">
        <v>9</v>
      </c>
      <c r="E76" s="6">
        <v>1.143</v>
      </c>
      <c r="F76" s="9">
        <f>VLOOKUP(A76,[1]TDSheet!$A:$G,6,0)/22</f>
        <v>2.4776818181818183</v>
      </c>
      <c r="G76" s="9">
        <f t="shared" si="1"/>
        <v>0.46131831440679522</v>
      </c>
    </row>
    <row r="77" spans="1:7" ht="11.1" customHeight="1" x14ac:dyDescent="0.2">
      <c r="A77" s="12" t="s">
        <v>77</v>
      </c>
      <c r="B77" s="12"/>
      <c r="C77" s="12"/>
      <c r="D77" s="5" t="s">
        <v>11</v>
      </c>
      <c r="E77" s="6">
        <v>66.010000000000005</v>
      </c>
      <c r="F77" s="9">
        <f>VLOOKUP(A77,[1]TDSheet!$A:$G,6,0)/22</f>
        <v>47.578636363636363</v>
      </c>
      <c r="G77" s="9">
        <f t="shared" si="1"/>
        <v>1.3873873873873874</v>
      </c>
    </row>
    <row r="78" spans="1:7" ht="11.1" customHeight="1" x14ac:dyDescent="0.2">
      <c r="A78" s="12" t="s">
        <v>78</v>
      </c>
      <c r="B78" s="12"/>
      <c r="C78" s="12"/>
      <c r="D78" s="5" t="s">
        <v>9</v>
      </c>
      <c r="E78" s="6">
        <v>102.32299999999999</v>
      </c>
      <c r="F78" s="9">
        <f>VLOOKUP(A78,[1]TDSheet!$A:$G,6,0)/22</f>
        <v>10.202045454545454</v>
      </c>
      <c r="G78" s="9">
        <f t="shared" si="1"/>
        <v>10.029655372140168</v>
      </c>
    </row>
    <row r="79" spans="1:7" ht="11.1" customHeight="1" x14ac:dyDescent="0.2">
      <c r="A79" s="12" t="s">
        <v>79</v>
      </c>
      <c r="B79" s="12"/>
      <c r="C79" s="12"/>
      <c r="D79" s="5" t="s">
        <v>11</v>
      </c>
      <c r="E79" s="6">
        <v>130.19999999999999</v>
      </c>
      <c r="F79" s="9">
        <f>VLOOKUP(A79,[1]TDSheet!$A:$G,6,0)/22</f>
        <v>9.7636363636363637</v>
      </c>
      <c r="G79" s="9">
        <f t="shared" si="1"/>
        <v>13.335195530726256</v>
      </c>
    </row>
    <row r="80" spans="1:7" ht="11.1" customHeight="1" x14ac:dyDescent="0.2">
      <c r="A80" s="12" t="s">
        <v>80</v>
      </c>
      <c r="B80" s="12"/>
      <c r="C80" s="12"/>
      <c r="D80" s="5" t="s">
        <v>11</v>
      </c>
      <c r="E80" s="6">
        <v>32.04</v>
      </c>
      <c r="F80" s="9">
        <f>VLOOKUP(A80,[1]TDSheet!$A:$G,6,0)/22</f>
        <v>4.958181818181818</v>
      </c>
      <c r="G80" s="9">
        <f t="shared" si="1"/>
        <v>6.4620462046204619</v>
      </c>
    </row>
    <row r="81" spans="1:7" ht="11.1" customHeight="1" x14ac:dyDescent="0.2">
      <c r="A81" s="12" t="s">
        <v>81</v>
      </c>
      <c r="B81" s="12"/>
      <c r="C81" s="12"/>
      <c r="D81" s="5" t="s">
        <v>11</v>
      </c>
      <c r="E81" s="6">
        <v>145.25</v>
      </c>
      <c r="F81" s="9">
        <f>VLOOKUP(A81,[1]TDSheet!$A:$G,6,0)/22</f>
        <v>36.940909090909095</v>
      </c>
      <c r="G81" s="9">
        <f t="shared" si="1"/>
        <v>3.9319552110249782</v>
      </c>
    </row>
    <row r="82" spans="1:7" ht="11.1" customHeight="1" x14ac:dyDescent="0.2">
      <c r="A82" s="12" t="s">
        <v>82</v>
      </c>
      <c r="B82" s="12"/>
      <c r="C82" s="12"/>
      <c r="D82" s="5" t="s">
        <v>9</v>
      </c>
      <c r="E82" s="6">
        <v>353.49900000000002</v>
      </c>
      <c r="F82" s="9">
        <f>VLOOKUP(A82,[1]TDSheet!$A:$G,6,0)/22</f>
        <v>29.652090909090909</v>
      </c>
      <c r="G82" s="9">
        <f t="shared" si="1"/>
        <v>11.921553899311103</v>
      </c>
    </row>
    <row r="83" spans="1:7" ht="11.1" customHeight="1" x14ac:dyDescent="0.2">
      <c r="A83" s="12" t="s">
        <v>83</v>
      </c>
      <c r="B83" s="12"/>
      <c r="C83" s="12"/>
      <c r="D83" s="5" t="s">
        <v>9</v>
      </c>
      <c r="E83" s="6">
        <v>512.16999999999996</v>
      </c>
      <c r="F83" s="9">
        <f>VLOOKUP(A83,[1]TDSheet!$A:$G,6,0)/22</f>
        <v>46.488545454545459</v>
      </c>
      <c r="G83" s="9">
        <f t="shared" si="1"/>
        <v>11.017122497428495</v>
      </c>
    </row>
    <row r="84" spans="1:7" ht="11.1" customHeight="1" x14ac:dyDescent="0.2">
      <c r="A84" s="12" t="s">
        <v>84</v>
      </c>
      <c r="B84" s="12"/>
      <c r="C84" s="12"/>
      <c r="D84" s="5" t="s">
        <v>11</v>
      </c>
      <c r="E84" s="6">
        <v>153.30000000000001</v>
      </c>
      <c r="F84" s="9">
        <f>VLOOKUP(A84,[1]TDSheet!$A:$G,6,0)/22</f>
        <v>40.234090909090909</v>
      </c>
      <c r="G84" s="9">
        <f t="shared" si="1"/>
        <v>3.8102016607354687</v>
      </c>
    </row>
    <row r="85" spans="1:7" ht="11.1" customHeight="1" x14ac:dyDescent="0.2">
      <c r="A85" s="12" t="s">
        <v>85</v>
      </c>
      <c r="B85" s="12"/>
      <c r="C85" s="12"/>
      <c r="D85" s="5" t="s">
        <v>11</v>
      </c>
      <c r="E85" s="6">
        <v>56</v>
      </c>
      <c r="F85" s="9">
        <f>VLOOKUP(A85,[1]TDSheet!$A:$G,6,0)/22</f>
        <v>0.63636363636363635</v>
      </c>
      <c r="G85" s="9">
        <f t="shared" si="1"/>
        <v>88</v>
      </c>
    </row>
    <row r="86" spans="1:7" ht="11.1" customHeight="1" x14ac:dyDescent="0.2">
      <c r="A86" s="12" t="s">
        <v>86</v>
      </c>
      <c r="B86" s="12"/>
      <c r="C86" s="12"/>
      <c r="D86" s="5" t="s">
        <v>11</v>
      </c>
      <c r="E86" s="6">
        <v>48.6</v>
      </c>
      <c r="F86" s="9">
        <f>VLOOKUP(A86,[1]TDSheet!$A:$G,6,0)/22</f>
        <v>6.831818181818182</v>
      </c>
      <c r="G86" s="9">
        <f t="shared" si="1"/>
        <v>7.11377245508982</v>
      </c>
    </row>
    <row r="87" spans="1:7" ht="11.1" customHeight="1" x14ac:dyDescent="0.2">
      <c r="A87" s="12" t="s">
        <v>87</v>
      </c>
      <c r="B87" s="12"/>
      <c r="C87" s="12"/>
      <c r="D87" s="5" t="s">
        <v>11</v>
      </c>
      <c r="E87" s="6">
        <v>13.2</v>
      </c>
      <c r="F87" s="9">
        <f>VLOOKUP(A87,[1]TDSheet!$A:$G,6,0)/22</f>
        <v>1.5681818181818181</v>
      </c>
      <c r="G87" s="9">
        <f t="shared" si="1"/>
        <v>8.4173913043478255</v>
      </c>
    </row>
    <row r="88" spans="1:7" ht="11.1" customHeight="1" x14ac:dyDescent="0.2">
      <c r="A88" s="12" t="s">
        <v>88</v>
      </c>
      <c r="B88" s="12"/>
      <c r="C88" s="12"/>
      <c r="D88" s="5" t="s">
        <v>11</v>
      </c>
      <c r="E88" s="6">
        <v>132.72</v>
      </c>
      <c r="F88" s="9">
        <f>VLOOKUP(A88,[1]TDSheet!$A:$G,6,0)/22</f>
        <v>18.989090909090908</v>
      </c>
      <c r="G88" s="9">
        <f t="shared" si="1"/>
        <v>6.9892761394101877</v>
      </c>
    </row>
    <row r="89" spans="1:7" ht="11.1" customHeight="1" x14ac:dyDescent="0.2">
      <c r="A89" s="12" t="s">
        <v>89</v>
      </c>
      <c r="B89" s="12"/>
      <c r="C89" s="12"/>
      <c r="D89" s="5" t="s">
        <v>11</v>
      </c>
      <c r="E89" s="6">
        <v>175.28</v>
      </c>
      <c r="F89" s="9">
        <f>VLOOKUP(A89,[1]TDSheet!$A:$G,6,0)/22</f>
        <v>20.758181818181818</v>
      </c>
      <c r="G89" s="9">
        <f t="shared" si="1"/>
        <v>8.4438994481912939</v>
      </c>
    </row>
    <row r="90" spans="1:7" ht="11.1" customHeight="1" x14ac:dyDescent="0.2">
      <c r="A90" s="12" t="s">
        <v>90</v>
      </c>
      <c r="B90" s="12"/>
      <c r="C90" s="12"/>
      <c r="D90" s="5" t="s">
        <v>11</v>
      </c>
      <c r="E90" s="6">
        <v>0.28000000000000003</v>
      </c>
      <c r="F90" s="9">
        <f>VLOOKUP(A90,[1]TDSheet!$A:$G,6,0)/22</f>
        <v>2.9272727272727277</v>
      </c>
      <c r="G90" s="9">
        <f t="shared" si="1"/>
        <v>9.5652173913043467E-2</v>
      </c>
    </row>
    <row r="91" spans="1:7" ht="11.1" customHeight="1" x14ac:dyDescent="0.2">
      <c r="A91" s="12" t="s">
        <v>91</v>
      </c>
      <c r="B91" s="12"/>
      <c r="C91" s="12"/>
      <c r="D91" s="5" t="s">
        <v>11</v>
      </c>
      <c r="E91" s="6">
        <v>54.56</v>
      </c>
      <c r="F91" s="9">
        <f>VLOOKUP(A91,[1]TDSheet!$A:$G,6,0)/22</f>
        <v>0.33818181818181819</v>
      </c>
      <c r="G91" s="9">
        <f t="shared" si="1"/>
        <v>161.33333333333334</v>
      </c>
    </row>
    <row r="92" spans="1:7" ht="11.1" customHeight="1" x14ac:dyDescent="0.2">
      <c r="A92" s="12" t="s">
        <v>92</v>
      </c>
      <c r="B92" s="12"/>
      <c r="C92" s="12"/>
      <c r="D92" s="5" t="s">
        <v>11</v>
      </c>
      <c r="E92" s="6">
        <v>216.16</v>
      </c>
      <c r="F92" s="9">
        <f>VLOOKUP(A92,[1]TDSheet!$A:$G,6,0)/22</f>
        <v>17.067272727272726</v>
      </c>
      <c r="G92" s="9">
        <f t="shared" si="1"/>
        <v>12.665175242356451</v>
      </c>
    </row>
    <row r="93" spans="1:7" ht="11.1" customHeight="1" x14ac:dyDescent="0.2">
      <c r="A93" s="12" t="s">
        <v>93</v>
      </c>
      <c r="B93" s="12"/>
      <c r="C93" s="12"/>
      <c r="D93" s="5" t="s">
        <v>11</v>
      </c>
      <c r="E93" s="6">
        <v>223.6</v>
      </c>
      <c r="F93" s="9">
        <f>VLOOKUP(A93,[1]TDSheet!$A:$G,6,0)/22</f>
        <v>37.890909090909091</v>
      </c>
      <c r="G93" s="9">
        <f t="shared" si="1"/>
        <v>5.9011516314779273</v>
      </c>
    </row>
    <row r="94" spans="1:7" ht="11.1" customHeight="1" x14ac:dyDescent="0.2">
      <c r="A94" s="12" t="s">
        <v>94</v>
      </c>
      <c r="B94" s="12"/>
      <c r="C94" s="12"/>
      <c r="D94" s="5" t="s">
        <v>11</v>
      </c>
      <c r="E94" s="6">
        <v>6.6</v>
      </c>
      <c r="F94" s="9">
        <f>VLOOKUP(A94,[1]TDSheet!$A:$G,6,0)/22</f>
        <v>0.27</v>
      </c>
      <c r="G94" s="9">
        <f t="shared" si="1"/>
        <v>24.444444444444443</v>
      </c>
    </row>
    <row r="95" spans="1:7" ht="11.1" customHeight="1" x14ac:dyDescent="0.2">
      <c r="A95" s="12" t="s">
        <v>95</v>
      </c>
      <c r="B95" s="12"/>
      <c r="C95" s="12"/>
      <c r="D95" s="5" t="s">
        <v>11</v>
      </c>
      <c r="E95" s="6">
        <v>-2</v>
      </c>
      <c r="F95" s="9">
        <f>VLOOKUP(A95,[1]TDSheet!$A:$G,6,0)/22</f>
        <v>0.29545454545454547</v>
      </c>
      <c r="G95" s="9">
        <f t="shared" si="1"/>
        <v>-6.7692307692307692</v>
      </c>
    </row>
    <row r="96" spans="1:7" ht="11.1" customHeight="1" x14ac:dyDescent="0.2">
      <c r="A96" s="12" t="s">
        <v>96</v>
      </c>
      <c r="B96" s="12"/>
      <c r="C96" s="12"/>
      <c r="D96" s="5" t="s">
        <v>9</v>
      </c>
      <c r="E96" s="6">
        <v>18.361999999999998</v>
      </c>
      <c r="F96" s="9">
        <f>VLOOKUP(A96,[1]TDSheet!$A:$G,6,0)/22</f>
        <v>1.4455454545454545</v>
      </c>
      <c r="G96" s="9">
        <f t="shared" si="1"/>
        <v>12.702471542670272</v>
      </c>
    </row>
    <row r="97" spans="1:7" ht="11.1" customHeight="1" x14ac:dyDescent="0.2">
      <c r="A97" s="12" t="s">
        <v>97</v>
      </c>
      <c r="B97" s="12"/>
      <c r="C97" s="12"/>
      <c r="D97" s="5" t="s">
        <v>11</v>
      </c>
      <c r="E97" s="6">
        <v>7</v>
      </c>
      <c r="F97" s="9">
        <f>VLOOKUP(A97,[1]TDSheet!$A:$G,6,0)/22</f>
        <v>1.2345454545454546</v>
      </c>
      <c r="G97" s="9">
        <f t="shared" si="1"/>
        <v>5.6701030927835046</v>
      </c>
    </row>
    <row r="98" spans="1:7" ht="11.1" customHeight="1" x14ac:dyDescent="0.2">
      <c r="A98" s="12" t="s">
        <v>98</v>
      </c>
      <c r="B98" s="12"/>
      <c r="C98" s="12"/>
      <c r="D98" s="5" t="s">
        <v>11</v>
      </c>
      <c r="E98" s="6">
        <v>-0.84</v>
      </c>
      <c r="F98" s="9">
        <f>VLOOKUP(A98,[1]TDSheet!$A:$G,6,0)/22</f>
        <v>0.42</v>
      </c>
      <c r="G98" s="9">
        <f t="shared" si="1"/>
        <v>-2</v>
      </c>
    </row>
    <row r="99" spans="1:7" ht="11.1" customHeight="1" x14ac:dyDescent="0.2">
      <c r="A99" s="12" t="s">
        <v>99</v>
      </c>
      <c r="B99" s="12"/>
      <c r="C99" s="12"/>
      <c r="D99" s="5" t="s">
        <v>11</v>
      </c>
      <c r="E99" s="6">
        <v>96</v>
      </c>
      <c r="G99" s="9" t="e">
        <f t="shared" si="1"/>
        <v>#DIV/0!</v>
      </c>
    </row>
    <row r="100" spans="1:7" ht="11.1" customHeight="1" x14ac:dyDescent="0.2">
      <c r="A100" s="12" t="s">
        <v>100</v>
      </c>
      <c r="B100" s="12"/>
      <c r="C100" s="12"/>
      <c r="D100" s="5" t="s">
        <v>11</v>
      </c>
      <c r="E100" s="6">
        <v>-2.4</v>
      </c>
      <c r="F100" s="9">
        <f>VLOOKUP(A100,[1]TDSheet!$A:$G,6,0)/22</f>
        <v>4.4454545454545453</v>
      </c>
      <c r="G100" s="9">
        <f t="shared" si="1"/>
        <v>-0.53987730061349692</v>
      </c>
    </row>
    <row r="101" spans="1:7" ht="11.1" customHeight="1" x14ac:dyDescent="0.2">
      <c r="A101" s="12" t="s">
        <v>101</v>
      </c>
      <c r="B101" s="12"/>
      <c r="C101" s="12"/>
      <c r="D101" s="5" t="s">
        <v>11</v>
      </c>
      <c r="E101" s="6">
        <v>28.8</v>
      </c>
      <c r="G101" s="9" t="e">
        <f t="shared" si="1"/>
        <v>#DIV/0!</v>
      </c>
    </row>
    <row r="102" spans="1:7" ht="11.1" customHeight="1" x14ac:dyDescent="0.2">
      <c r="A102" s="12" t="s">
        <v>102</v>
      </c>
      <c r="B102" s="12"/>
      <c r="C102" s="12"/>
      <c r="D102" s="5" t="s">
        <v>11</v>
      </c>
      <c r="E102" s="6">
        <v>32.28</v>
      </c>
      <c r="F102" s="9">
        <f>VLOOKUP(A102,[1]TDSheet!$A:$G,6,0)/22</f>
        <v>4.5327272727272723</v>
      </c>
      <c r="G102" s="9">
        <f t="shared" si="1"/>
        <v>7.1215403128760535</v>
      </c>
    </row>
    <row r="103" spans="1:7" ht="11.1" customHeight="1" x14ac:dyDescent="0.2">
      <c r="A103" s="12" t="s">
        <v>103</v>
      </c>
      <c r="B103" s="12"/>
      <c r="C103" s="12"/>
      <c r="D103" s="5" t="s">
        <v>11</v>
      </c>
      <c r="E103" s="6">
        <v>16.05</v>
      </c>
      <c r="F103" s="9">
        <f>VLOOKUP(A103,[1]TDSheet!$A:$G,6,0)/22</f>
        <v>0.42954545454545451</v>
      </c>
      <c r="G103" s="9">
        <f t="shared" si="1"/>
        <v>37.365079365079367</v>
      </c>
    </row>
    <row r="104" spans="1:7" ht="11.1" customHeight="1" x14ac:dyDescent="0.2">
      <c r="A104" s="12" t="s">
        <v>104</v>
      </c>
      <c r="B104" s="12"/>
      <c r="C104" s="12"/>
      <c r="D104" s="5" t="s">
        <v>11</v>
      </c>
      <c r="E104" s="6">
        <v>-5.28</v>
      </c>
      <c r="F104" s="9">
        <f>VLOOKUP(A104,[1]TDSheet!$A:$G,6,0)/22</f>
        <v>12.360000000000001</v>
      </c>
      <c r="G104" s="9">
        <f t="shared" si="1"/>
        <v>-0.42718446601941745</v>
      </c>
    </row>
    <row r="105" spans="1:7" ht="11.1" customHeight="1" x14ac:dyDescent="0.2">
      <c r="A105" s="12" t="s">
        <v>105</v>
      </c>
      <c r="B105" s="12"/>
      <c r="C105" s="12"/>
      <c r="D105" s="5" t="s">
        <v>11</v>
      </c>
      <c r="E105" s="6">
        <v>0.28000000000000003</v>
      </c>
      <c r="F105" s="9">
        <f>VLOOKUP(A105,[1]TDSheet!$A:$G,6,0)/22</f>
        <v>1.2854545454545454</v>
      </c>
      <c r="G105" s="9">
        <f t="shared" si="1"/>
        <v>0.21782178217821785</v>
      </c>
    </row>
    <row r="106" spans="1:7" ht="11.1" customHeight="1" x14ac:dyDescent="0.2">
      <c r="A106" s="12" t="s">
        <v>106</v>
      </c>
      <c r="B106" s="12"/>
      <c r="C106" s="12"/>
      <c r="D106" s="5" t="s">
        <v>11</v>
      </c>
      <c r="E106" s="6">
        <v>125.6</v>
      </c>
      <c r="F106" s="9">
        <f>VLOOKUP(A106,[1]TDSheet!$A:$G,6,0)/22</f>
        <v>12.581818181818182</v>
      </c>
      <c r="G106" s="9">
        <f t="shared" si="1"/>
        <v>9.9826589595375719</v>
      </c>
    </row>
    <row r="107" spans="1:7" ht="11.1" customHeight="1" x14ac:dyDescent="0.2">
      <c r="A107" s="12" t="s">
        <v>107</v>
      </c>
      <c r="B107" s="12"/>
      <c r="C107" s="12"/>
      <c r="D107" s="5" t="s">
        <v>11</v>
      </c>
      <c r="E107" s="6">
        <v>25.2</v>
      </c>
      <c r="F107" s="9">
        <f>VLOOKUP(A107,[1]TDSheet!$A:$G,6,0)/22</f>
        <v>0.17500000000000002</v>
      </c>
      <c r="G107" s="9">
        <f t="shared" si="1"/>
        <v>143.99999999999997</v>
      </c>
    </row>
    <row r="108" spans="1:7" ht="11.1" customHeight="1" x14ac:dyDescent="0.2">
      <c r="A108" s="12" t="s">
        <v>108</v>
      </c>
      <c r="B108" s="12"/>
      <c r="C108" s="12"/>
      <c r="D108" s="5" t="s">
        <v>9</v>
      </c>
      <c r="E108" s="6">
        <v>6.2E-2</v>
      </c>
      <c r="F108" s="9">
        <f>VLOOKUP(A108,[1]TDSheet!$A:$G,6,0)/22</f>
        <v>7.0538636363636362</v>
      </c>
      <c r="G108" s="9">
        <f t="shared" si="1"/>
        <v>8.7895092953571546E-3</v>
      </c>
    </row>
    <row r="109" spans="1:7" ht="11.1" customHeight="1" x14ac:dyDescent="0.2">
      <c r="A109" s="12" t="s">
        <v>109</v>
      </c>
      <c r="B109" s="12"/>
      <c r="C109" s="12"/>
      <c r="D109" s="5" t="s">
        <v>11</v>
      </c>
      <c r="E109" s="6">
        <v>52.271999999999998</v>
      </c>
      <c r="G109" s="9" t="e">
        <f t="shared" si="1"/>
        <v>#DIV/0!</v>
      </c>
    </row>
    <row r="110" spans="1:7" ht="11.1" customHeight="1" x14ac:dyDescent="0.2">
      <c r="A110" s="12" t="s">
        <v>110</v>
      </c>
      <c r="B110" s="12"/>
      <c r="C110" s="12"/>
      <c r="D110" s="5" t="s">
        <v>11</v>
      </c>
      <c r="E110" s="6">
        <v>165.99</v>
      </c>
      <c r="F110" s="9">
        <f>VLOOKUP(A110,[1]TDSheet!$A:$G,6,0)/22</f>
        <v>5.6550000000000002</v>
      </c>
      <c r="G110" s="9">
        <f t="shared" si="1"/>
        <v>29.352785145888596</v>
      </c>
    </row>
    <row r="111" spans="1:7" ht="11.1" customHeight="1" x14ac:dyDescent="0.2">
      <c r="A111" s="12" t="s">
        <v>111</v>
      </c>
      <c r="B111" s="12"/>
      <c r="C111" s="12"/>
      <c r="D111" s="5" t="s">
        <v>11</v>
      </c>
      <c r="E111" s="6">
        <v>5.5</v>
      </c>
      <c r="F111" s="9">
        <f>VLOOKUP(A111,[1]TDSheet!$A:$G,6,0)/22</f>
        <v>1.8181818181818184E-2</v>
      </c>
      <c r="G111" s="9">
        <f t="shared" si="1"/>
        <v>302.49999999999994</v>
      </c>
    </row>
    <row r="112" spans="1:7" ht="11.1" customHeight="1" x14ac:dyDescent="0.2">
      <c r="A112" s="12" t="s">
        <v>112</v>
      </c>
      <c r="B112" s="12"/>
      <c r="C112" s="12"/>
      <c r="D112" s="5" t="s">
        <v>11</v>
      </c>
      <c r="E112" s="6">
        <v>9.8000000000000007</v>
      </c>
      <c r="F112" s="9">
        <f>VLOOKUP(A112,[1]TDSheet!$A:$G,6,0)/22</f>
        <v>5.4545454545454543E-2</v>
      </c>
      <c r="G112" s="9">
        <f t="shared" si="1"/>
        <v>179.66666666666669</v>
      </c>
    </row>
    <row r="113" spans="1:7" ht="11.1" customHeight="1" x14ac:dyDescent="0.2">
      <c r="A113" s="12" t="s">
        <v>113</v>
      </c>
      <c r="B113" s="12"/>
      <c r="C113" s="12"/>
      <c r="D113" s="5" t="s">
        <v>11</v>
      </c>
      <c r="E113" s="6">
        <v>49.8</v>
      </c>
      <c r="F113" s="9">
        <f>VLOOKUP(A113,[1]TDSheet!$A:$G,6,0)/22</f>
        <v>5.4545454545454543E-2</v>
      </c>
      <c r="G113" s="9">
        <f t="shared" si="1"/>
        <v>913</v>
      </c>
    </row>
    <row r="114" spans="1:7" ht="11.1" customHeight="1" x14ac:dyDescent="0.2">
      <c r="A114" s="12" t="s">
        <v>114</v>
      </c>
      <c r="B114" s="12"/>
      <c r="C114" s="12"/>
      <c r="D114" s="5" t="s">
        <v>11</v>
      </c>
      <c r="E114" s="6">
        <v>5.5</v>
      </c>
      <c r="F114" s="9">
        <f>VLOOKUP(A114,[1]TDSheet!$A:$G,6,0)/22</f>
        <v>1.4045454545454545</v>
      </c>
      <c r="G114" s="9">
        <f t="shared" si="1"/>
        <v>3.9158576051779934</v>
      </c>
    </row>
    <row r="115" spans="1:7" ht="11.1" customHeight="1" x14ac:dyDescent="0.2">
      <c r="A115" s="12" t="s">
        <v>115</v>
      </c>
      <c r="B115" s="12"/>
      <c r="C115" s="12"/>
      <c r="D115" s="5" t="s">
        <v>11</v>
      </c>
      <c r="E115" s="6">
        <v>72</v>
      </c>
      <c r="F115" s="9">
        <f>VLOOKUP(A115,[1]TDSheet!$A:$G,6,0)/22</f>
        <v>13.618181818181819</v>
      </c>
      <c r="G115" s="9">
        <f t="shared" si="1"/>
        <v>5.2870493991989314</v>
      </c>
    </row>
    <row r="116" spans="1:7" ht="11.1" customHeight="1" x14ac:dyDescent="0.2">
      <c r="A116" s="12" t="s">
        <v>116</v>
      </c>
      <c r="B116" s="12"/>
      <c r="C116" s="12"/>
      <c r="D116" s="5" t="s">
        <v>11</v>
      </c>
      <c r="E116" s="6">
        <v>7.1</v>
      </c>
      <c r="F116" s="9">
        <f>VLOOKUP(A116,[1]TDSheet!$A:$G,6,0)/22</f>
        <v>9.0909090909090912E-2</v>
      </c>
      <c r="G116" s="9">
        <f t="shared" si="1"/>
        <v>78.099999999999994</v>
      </c>
    </row>
    <row r="117" spans="1:7" ht="11.1" customHeight="1" x14ac:dyDescent="0.2">
      <c r="A117" s="12" t="s">
        <v>117</v>
      </c>
      <c r="B117" s="12"/>
      <c r="C117" s="12"/>
      <c r="D117" s="5" t="s">
        <v>11</v>
      </c>
      <c r="E117" s="6">
        <v>7</v>
      </c>
      <c r="F117" s="9">
        <f>VLOOKUP(A117,[1]TDSheet!$A:$G,6,0)/22</f>
        <v>8.6363636363636365E-2</v>
      </c>
      <c r="G117" s="9">
        <f t="shared" si="1"/>
        <v>81.05263157894737</v>
      </c>
    </row>
    <row r="118" spans="1:7" ht="12.95" customHeight="1" x14ac:dyDescent="0.2">
      <c r="A118" s="19" t="s">
        <v>118</v>
      </c>
      <c r="B118" s="19"/>
      <c r="C118" s="19"/>
      <c r="D118" s="19"/>
      <c r="E118" s="7">
        <v>11109.808999999999</v>
      </c>
    </row>
  </sheetData>
  <mergeCells count="112">
    <mergeCell ref="A117:C117"/>
    <mergeCell ref="A118:D118"/>
    <mergeCell ref="A112:C112"/>
    <mergeCell ref="A113:C113"/>
    <mergeCell ref="A114:C114"/>
    <mergeCell ref="A115:C115"/>
    <mergeCell ref="A116:C116"/>
    <mergeCell ref="A107:C107"/>
    <mergeCell ref="A108:C108"/>
    <mergeCell ref="A109:C109"/>
    <mergeCell ref="A110:C110"/>
    <mergeCell ref="A111:C111"/>
    <mergeCell ref="A102:C102"/>
    <mergeCell ref="A103:C103"/>
    <mergeCell ref="A104:C104"/>
    <mergeCell ref="A105:C105"/>
    <mergeCell ref="A106:C106"/>
    <mergeCell ref="A97:C97"/>
    <mergeCell ref="A98:C98"/>
    <mergeCell ref="A99:C99"/>
    <mergeCell ref="A100:C100"/>
    <mergeCell ref="A101:C101"/>
    <mergeCell ref="A92:C92"/>
    <mergeCell ref="A93:C93"/>
    <mergeCell ref="A94:C94"/>
    <mergeCell ref="A95:C95"/>
    <mergeCell ref="A96:C96"/>
    <mergeCell ref="A87:C87"/>
    <mergeCell ref="A88:C88"/>
    <mergeCell ref="A89:C89"/>
    <mergeCell ref="A90:C90"/>
    <mergeCell ref="A91:C91"/>
    <mergeCell ref="A82:C82"/>
    <mergeCell ref="A83:C83"/>
    <mergeCell ref="A84:C84"/>
    <mergeCell ref="A85:C85"/>
    <mergeCell ref="A86:C86"/>
    <mergeCell ref="A77:C77"/>
    <mergeCell ref="A78:C78"/>
    <mergeCell ref="A79:C79"/>
    <mergeCell ref="A80:C80"/>
    <mergeCell ref="A81:C81"/>
    <mergeCell ref="A72:C72"/>
    <mergeCell ref="A73:C73"/>
    <mergeCell ref="A74:C74"/>
    <mergeCell ref="A75:C75"/>
    <mergeCell ref="A76:C76"/>
    <mergeCell ref="A67:C67"/>
    <mergeCell ref="A68:C68"/>
    <mergeCell ref="A69:C69"/>
    <mergeCell ref="A70:C70"/>
    <mergeCell ref="A71:C71"/>
    <mergeCell ref="A62:C62"/>
    <mergeCell ref="A63:C63"/>
    <mergeCell ref="A64:C64"/>
    <mergeCell ref="A65:C65"/>
    <mergeCell ref="A66:C66"/>
    <mergeCell ref="A57:C57"/>
    <mergeCell ref="A58:C58"/>
    <mergeCell ref="A59:C59"/>
    <mergeCell ref="A60:C60"/>
    <mergeCell ref="A61:C61"/>
    <mergeCell ref="A52:C52"/>
    <mergeCell ref="A53:C53"/>
    <mergeCell ref="A54:C54"/>
    <mergeCell ref="A55:C55"/>
    <mergeCell ref="A56:C56"/>
    <mergeCell ref="A47:C47"/>
    <mergeCell ref="A48:C48"/>
    <mergeCell ref="A49:C49"/>
    <mergeCell ref="A50:C50"/>
    <mergeCell ref="A51:C51"/>
    <mergeCell ref="A42:C42"/>
    <mergeCell ref="A43:C43"/>
    <mergeCell ref="A44:C44"/>
    <mergeCell ref="A45:C45"/>
    <mergeCell ref="A46:C46"/>
    <mergeCell ref="A37:C37"/>
    <mergeCell ref="A38:C38"/>
    <mergeCell ref="A39:C39"/>
    <mergeCell ref="A40:C40"/>
    <mergeCell ref="A41:C41"/>
    <mergeCell ref="A32:C32"/>
    <mergeCell ref="A33:C33"/>
    <mergeCell ref="A34:C34"/>
    <mergeCell ref="A35:C35"/>
    <mergeCell ref="A36:C36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C6:D6"/>
    <mergeCell ref="A8:C9"/>
    <mergeCell ref="D8:D9"/>
    <mergeCell ref="A10:C10"/>
    <mergeCell ref="A11:C11"/>
  </mergeCells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2026-08-05T10:43:47Z</dcterms:modified>
</cp:coreProperties>
</file>