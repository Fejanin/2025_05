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Донецк\"/>
    </mc:Choice>
  </mc:AlternateContent>
  <xr:revisionPtr revIDLastSave="0" documentId="13_ncr:1_{7D9CB117-F50D-40AD-BE3B-A641A4A660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7" i="1"/>
</calcChain>
</file>

<file path=xl/sharedStrings.xml><?xml version="1.0" encoding="utf-8"?>
<sst xmlns="http://schemas.openxmlformats.org/spreadsheetml/2006/main" count="140" uniqueCount="138">
  <si>
    <t>Параметры:</t>
  </si>
  <si>
    <t>Период отчета: 05.07.2026 - 04.08.2026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</si>
  <si>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</si>
  <si>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</si>
  <si>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</si>
  <si>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</si>
  <si>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</si>
  <si>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</si>
  <si>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</si>
  <si>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</si>
  <si>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</si>
  <si>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</si>
  <si>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</si>
  <si>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</si>
  <si>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</si>
  <si>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</si>
  <si>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</si>
  <si>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</si>
  <si>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</si>
  <si>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</si>
  <si>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</si>
  <si>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</si>
  <si>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</si>
  <si>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</si>
  <si>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</si>
  <si>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</si>
  <si>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</si>
  <si>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</si>
  <si>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</si>
  <si>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</si>
  <si>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</si>
  <si>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</si>
  <si>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</si>
  <si>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</si>
  <si>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</si>
  <si>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</si>
  <si>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</si>
  <si>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</si>
  <si>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</si>
  <si>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</si>
  <si>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</si>
  <si>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</si>
  <si>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</si>
  <si>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</si>
  <si>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</si>
  <si>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</si>
  <si>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</si>
  <si>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</si>
  <si>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</si>
  <si>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</si>
  <si>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</si>
  <si>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</si>
  <si>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</si>
  <si>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</si>
  <si>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</si>
  <si>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</si>
  <si>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</si>
  <si>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</si>
  <si>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</si>
  <si>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</si>
  <si>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</si>
  <si>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</si>
  <si>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</si>
  <si>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</si>
  <si>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</si>
  <si>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</si>
  <si>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</si>
  <si>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</si>
  <si>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</si>
  <si>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</si>
  <si>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</si>
  <si>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</si>
  <si>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</si>
  <si>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</si>
  <si>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</si>
  <si>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</si>
  <si>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</si>
  <si>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</si>
  <si>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</si>
  <si>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</si>
  <si>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</si>
  <si>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</si>
  <si>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</si>
  <si>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</si>
  <si>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</si>
  <si>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</si>
  <si>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</si>
  <si>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</si>
  <si>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</si>
  <si>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</si>
  <si>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</si>
  <si>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</si>
  <si>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</si>
  <si>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</si>
  <si>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</si>
  <si>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</si>
  <si>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</si>
  <si>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</si>
  <si>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</si>
  <si>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</si>
  <si>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</si>
  <si>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</si>
  <si>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</si>
  <si>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</si>
  <si>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</si>
  <si>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</si>
  <si>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</si>
  <si>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</si>
  <si>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</si>
  <si>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</si>
  <si>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</si>
  <si>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</si>
  <si>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</si>
  <si>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</si>
  <si>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</si>
  <si>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</si>
  <si>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</si>
  <si>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</si>
  <si>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</si>
  <si>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</si>
  <si>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</si>
  <si>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</si>
  <si>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</si>
  <si>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</si>
  <si>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</si>
  <si>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</si>
  <si>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</si>
  <si>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</si>
  <si>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</si>
  <si>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</si>
  <si>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</si>
  <si>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</si>
  <si>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</si>
  <si>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БОНУС_6954 СОЧНЫЕ Папа может сос п/о мгс 1.5*4_Х5  ОСТАНКИНО</t>
  </si>
  <si>
    <t>Сыр ПАПА МОЖЕТ "Голландский традиционный" 45% 180 гр (10шт)  Останкино</t>
  </si>
  <si>
    <t>Итого</t>
  </si>
  <si>
    <t>опт</t>
  </si>
  <si>
    <t>без оптов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</si>
</sst>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0.000"/>
    <numFmt numFmtId="167" formatCode="#,##0.0"/>
  </numFmts>
  <fonts count="4" x14ac:knownFonts="1">
    <font>
      <sz val="8"/>
      <name val="Arial"/>
    </font>
    <font>
      <b/>
      <sz val="10"/>
      <color rgb="FF64512D"/>
      <name val="Arial"/>
    </font>
    <font>
      <sz val="8"/>
      <name val="Arial"/>
      <family val="2"/>
      <charset val="204"/>
    </font>
    <font>
      <b/>
      <sz val="10"/>
      <color rgb="FF64512D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2" fillId="0" borderId="0" xfId="0" applyFont="1"/>
    <xf numFmtId="0" fontId="3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6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4;&#1055;&#1058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В группе из списка "ИП Малахутин А.В. Дон. об...; ИП Малахутин М.В., Дон. о...; ЛОГИСТИКДОН ООО; Малахутин Александр Влади..." И
Склад / комиссионер  / подразделение В списке "АСП Донецк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22.4</v>
          </cell>
          <cell r="G7">
            <v>56</v>
          </cell>
        </row>
        <row r="8">
          <cell r="A8" t="str">
            <v>3986 Ароматная с/к в/у 1/250 ОСТАНКИНО</v>
          </cell>
          <cell r="D8" t="str">
            <v>00-00000744</v>
          </cell>
          <cell r="F8">
            <v>4</v>
          </cell>
          <cell r="G8">
            <v>16</v>
          </cell>
        </row>
        <row r="9">
          <cell r="A9" t="str">
            <v>4063 МЯСНАЯ Папа может вар п/о_Л   ОСТАНКИНО</v>
          </cell>
          <cell r="D9" t="str">
            <v>00-00006364</v>
          </cell>
          <cell r="F9">
            <v>374.28699999999998</v>
          </cell>
          <cell r="G9">
            <v>374.28699999999998</v>
          </cell>
        </row>
        <row r="10">
          <cell r="A10" t="str">
            <v>4574 Мясная со шпиком Папа может вар п/о ОСТАНКИНО</v>
          </cell>
          <cell r="D10" t="str">
            <v>00-00000698</v>
          </cell>
          <cell r="F10">
            <v>40.447000000000003</v>
          </cell>
          <cell r="G10">
            <v>40.447000000000003</v>
          </cell>
        </row>
        <row r="11">
          <cell r="A11" t="str">
            <v>4813 ФИЛЕЙНАЯ Папа может вар п/о_Л   ОСТАНКИНО</v>
          </cell>
          <cell r="D11" t="str">
            <v>00-00006365</v>
          </cell>
          <cell r="F11">
            <v>72.222999999999999</v>
          </cell>
          <cell r="G11">
            <v>72.222999999999999</v>
          </cell>
        </row>
        <row r="12">
          <cell r="A12" t="str">
            <v>5483 ЭКСТРА Папа может с/к в/у 1/250 8шт.   ОСТАНКИНО</v>
          </cell>
          <cell r="D12" t="str">
            <v>00-00005436</v>
          </cell>
          <cell r="F12">
            <v>12</v>
          </cell>
          <cell r="G12">
            <v>48</v>
          </cell>
        </row>
        <row r="13">
          <cell r="A13" t="str">
            <v>5495 ВЕТЧ.С ИНДЕЙКОЙ Папа может п/о 400*6  Останкино</v>
          </cell>
          <cell r="D13" t="str">
            <v>00-ko009672</v>
          </cell>
          <cell r="F13">
            <v>38.4</v>
          </cell>
          <cell r="G13">
            <v>96</v>
          </cell>
        </row>
        <row r="14">
          <cell r="A14" t="str">
            <v>5544 Сервелат Финский в/к в/у_45с НОВАЯ ОСТАНКИНО</v>
          </cell>
          <cell r="D14" t="str">
            <v>00-00005653</v>
          </cell>
          <cell r="F14">
            <v>61.518999999999998</v>
          </cell>
          <cell r="G14">
            <v>61.518999999999998</v>
          </cell>
        </row>
        <row r="15">
          <cell r="A15" t="str">
            <v>5708 ПОСОЛЬСКАЯ Папа может с/к в/у ОСТАНКИНО</v>
          </cell>
          <cell r="D15" t="str">
            <v>00-00005867</v>
          </cell>
          <cell r="F15">
            <v>5.38</v>
          </cell>
          <cell r="G15">
            <v>5.38</v>
          </cell>
        </row>
        <row r="16">
          <cell r="A16" t="str">
            <v>5851 ЭКСТРА Папа может вар п/о   ОСТАНКИНО</v>
          </cell>
          <cell r="D16" t="str">
            <v>00-00006074</v>
          </cell>
          <cell r="F16">
            <v>72.421000000000006</v>
          </cell>
          <cell r="G16">
            <v>72.421000000000006</v>
          </cell>
        </row>
        <row r="17">
          <cell r="A17" t="str">
            <v>5931 ОХОТНИЧЬЯ Папа может с/к в/у 1/220 8шт.   ОСТАНКИНО</v>
          </cell>
          <cell r="D17" t="str">
            <v>00-00006294</v>
          </cell>
          <cell r="F17">
            <v>7.04</v>
          </cell>
          <cell r="G17">
            <v>32</v>
          </cell>
        </row>
        <row r="18">
          <cell r="A18" t="str">
            <v>6220 ГОВЯЖЬЯ папа может вар п/о  Останкино</v>
          </cell>
          <cell r="D18" t="str">
            <v>00-ko009211</v>
          </cell>
          <cell r="F18">
            <v>102.476</v>
          </cell>
          <cell r="G18">
            <v>102.476</v>
          </cell>
        </row>
        <row r="19">
          <cell r="A19" t="str">
            <v>6221 НЕОПОЛИТАНСКИЙ ДУЭТ с/к с/н мгс 1/90  Останкино</v>
          </cell>
          <cell r="D19" t="str">
            <v>00-ko010380</v>
          </cell>
          <cell r="F19">
            <v>2.7</v>
          </cell>
          <cell r="G19">
            <v>30</v>
          </cell>
        </row>
        <row r="20">
          <cell r="A20" t="str">
            <v>6279 КОРЕЙКА ПО-ОСТ.к/в в/с с/н в/у 1/150_45с  Останкино</v>
          </cell>
          <cell r="D20" t="str">
            <v>00-ko010967</v>
          </cell>
          <cell r="F20">
            <v>6</v>
          </cell>
          <cell r="G20">
            <v>40</v>
          </cell>
        </row>
        <row r="21">
          <cell r="A21" t="str">
            <v>6303 Мясные Папа может сос п/о мгс 1,5*3  Останкино</v>
          </cell>
          <cell r="D21" t="str">
            <v>00-00009145</v>
          </cell>
          <cell r="F21">
            <v>91.012</v>
          </cell>
          <cell r="G21">
            <v>91.012</v>
          </cell>
        </row>
        <row r="22">
          <cell r="A22" t="str">
            <v>6325 ДОКТОРСКАЯ ПРЕМИУМ вар п/о 0.4кг 8шт.  ОСТАНКИНО</v>
          </cell>
          <cell r="D22" t="str">
            <v>00-00007305</v>
          </cell>
          <cell r="F22">
            <v>16</v>
          </cell>
          <cell r="G22">
            <v>40</v>
          </cell>
        </row>
        <row r="23">
          <cell r="A23" t="str">
            <v>6333 МЯСНАЯ Папа может вар п/о 0.4кг 8шт.  ОСТАНКИНО</v>
          </cell>
          <cell r="D23" t="str">
            <v>00-00007020</v>
          </cell>
          <cell r="F23">
            <v>3.2</v>
          </cell>
          <cell r="G23">
            <v>8</v>
          </cell>
        </row>
        <row r="24">
          <cell r="A24" t="str">
            <v>6392 ФИЛЕЙНАЯ Папа может вар п/о 0,4кг  ОСТАНКИНО</v>
          </cell>
          <cell r="D24" t="str">
            <v>00-00008829</v>
          </cell>
          <cell r="F24">
            <v>22.4</v>
          </cell>
          <cell r="G24">
            <v>56</v>
          </cell>
        </row>
        <row r="25">
          <cell r="A25" t="str">
            <v>6453 ЭКСТРА Папа может с/к с/н в/у 1/100 14шт.   ОСТАНКИНО</v>
          </cell>
          <cell r="D25" t="str">
            <v>00-00007953</v>
          </cell>
          <cell r="F25">
            <v>2.8</v>
          </cell>
          <cell r="G25">
            <v>28</v>
          </cell>
        </row>
        <row r="26">
          <cell r="A26" t="str">
            <v>6454 АРОМАТНАЯ с/к с/н в/у 1/100 10шт.  ОСТАНКИНО</v>
          </cell>
          <cell r="D26" t="str">
            <v>00-00007952</v>
          </cell>
          <cell r="F26">
            <v>2</v>
          </cell>
          <cell r="G26">
            <v>20</v>
          </cell>
        </row>
        <row r="27">
          <cell r="A27" t="str">
            <v>6495 ВЕТЧ.МРАМОРНАЯ в/у срез 0,3кг 6шт_45с  Останкино</v>
          </cell>
          <cell r="D27" t="str">
            <v>00-ko009959</v>
          </cell>
          <cell r="F27">
            <v>5.4</v>
          </cell>
          <cell r="G27">
            <v>18</v>
          </cell>
        </row>
        <row r="28">
          <cell r="A28" t="str">
            <v>6498 МОЛОЧНАЯ Папа может вар п/о  ОСТАНКИНО</v>
          </cell>
          <cell r="D28" t="str">
            <v>00-00008386</v>
          </cell>
          <cell r="F28">
            <v>50.332999999999998</v>
          </cell>
          <cell r="G28">
            <v>50.332999999999998</v>
          </cell>
        </row>
        <row r="29">
          <cell r="A29" t="str">
            <v>6550 МЯСНЫЕ Папа может сар б/о мгс 1*3 О 45с  Останкино</v>
          </cell>
          <cell r="D29" t="str">
            <v>00-ko009350</v>
          </cell>
          <cell r="F29">
            <v>22.177</v>
          </cell>
          <cell r="G29">
            <v>22.177</v>
          </cell>
        </row>
        <row r="30">
          <cell r="A30" t="str">
            <v>6608 С ГОВЯДИНОЙ ОРИГИН. сар б/о мгс 1*3_45с  ОСТАНКИНО</v>
          </cell>
          <cell r="D30" t="str">
            <v>00-00008873</v>
          </cell>
          <cell r="F30">
            <v>53.104999999999997</v>
          </cell>
          <cell r="G30">
            <v>53.104999999999997</v>
          </cell>
        </row>
        <row r="31">
          <cell r="A31" t="str">
            <v>6616 МОЛОЧНЫЕ КЛАССИЧЕСКИЕ сос п/о в/у 0,3 кг  Останкино</v>
          </cell>
          <cell r="D31" t="str">
            <v>00-ko010530</v>
          </cell>
          <cell r="F31">
            <v>16.8</v>
          </cell>
          <cell r="G31">
            <v>56</v>
          </cell>
        </row>
        <row r="32">
          <cell r="A32" t="str">
            <v>6697 СЕРВЕЛАТ ФИНСКИЙ ПМ в/к в/у 0,35кг 8шт  ОСТАНКИНО</v>
          </cell>
          <cell r="D32" t="str">
            <v>00-00008789</v>
          </cell>
          <cell r="F32">
            <v>56</v>
          </cell>
          <cell r="G32">
            <v>160</v>
          </cell>
        </row>
        <row r="33">
          <cell r="A33" t="str">
            <v>6713 СОЧНЫЙ ГРИЛЬ ПМ сос п/о мгс 0,41кг 8 шт.  ОСТАНКИНО</v>
          </cell>
          <cell r="D33" t="str">
            <v>00-00009132</v>
          </cell>
          <cell r="F33">
            <v>13.12</v>
          </cell>
          <cell r="G33">
            <v>32</v>
          </cell>
        </row>
        <row r="34">
          <cell r="A34" t="str">
            <v>6762 СЛИВОЧНЫЕ сос ц/о мгс 0,41кг 8шт  Останкино</v>
          </cell>
          <cell r="D34" t="str">
            <v>00-ko009676</v>
          </cell>
          <cell r="F34">
            <v>6.56</v>
          </cell>
          <cell r="G34">
            <v>16</v>
          </cell>
        </row>
        <row r="35">
          <cell r="A35" t="str">
            <v>6765 РУБЛЕНЫЕ сос ц/о мгс 0,36кг 6шт  Останкино</v>
          </cell>
          <cell r="D35" t="str">
            <v>00-ko009677</v>
          </cell>
          <cell r="F35">
            <v>41.04</v>
          </cell>
          <cell r="G35">
            <v>114</v>
          </cell>
        </row>
        <row r="36">
          <cell r="A36" t="str">
            <v>6797 С ИНДЕЙКОЙ Папа может вар п/о 0,4кг 8шт. ОСТАНКИНО</v>
          </cell>
          <cell r="D36" t="str">
            <v>00-ko011300</v>
          </cell>
          <cell r="F36">
            <v>57.6</v>
          </cell>
          <cell r="G36">
            <v>144</v>
          </cell>
        </row>
        <row r="37">
          <cell r="A37" t="str">
            <v>6829  МОЛОЧНЫЕ КЛАССИЧЕСКИЕ сос п/о мгс 2*4 С  Останккино</v>
          </cell>
          <cell r="D37" t="str">
            <v>00-ko009595</v>
          </cell>
          <cell r="F37">
            <v>76.003</v>
          </cell>
          <cell r="G37">
            <v>76.003</v>
          </cell>
        </row>
        <row r="38">
          <cell r="A38" t="str">
            <v>6967 БУРГУНДИЯ Папа может с/к в/у 1/250 8шт  Останкино</v>
          </cell>
          <cell r="D38" t="str">
            <v>00-ko010379</v>
          </cell>
          <cell r="F38">
            <v>8</v>
          </cell>
          <cell r="G38">
            <v>32</v>
          </cell>
        </row>
        <row r="39">
          <cell r="A39" t="str">
            <v>7066 СОЧНЫЕ ПМ сос п/о мгс 0,41кг 10шт 50с  Останкино</v>
          </cell>
          <cell r="D39" t="str">
            <v>00-ko010284</v>
          </cell>
          <cell r="F39">
            <v>106.6</v>
          </cell>
          <cell r="G39">
            <v>260</v>
          </cell>
        </row>
        <row r="40">
          <cell r="A40" t="str">
            <v>7083 СЛИВОЧНЫЕ ПМ сос п/о мгс 1.5*4_А_50с  ОСТАНКИНО</v>
          </cell>
          <cell r="D40" t="str">
            <v>00-ko011523</v>
          </cell>
          <cell r="F40">
            <v>18.73</v>
          </cell>
          <cell r="G40">
            <v>18.73</v>
          </cell>
        </row>
        <row r="41">
          <cell r="A41" t="str">
            <v>7103 БЕКОН Останкино с/к с/н в/у 1/180_50с  Останкино</v>
          </cell>
          <cell r="D41" t="str">
            <v>00-ko010254</v>
          </cell>
          <cell r="F41">
            <v>10.8</v>
          </cell>
          <cell r="G41">
            <v>60</v>
          </cell>
        </row>
        <row r="42">
          <cell r="A42" t="str">
            <v>7149 БАЛЫКОВАЯ Коровино п/к в/у 0,84кг_50с  Останкино</v>
          </cell>
          <cell r="D42" t="str">
            <v>00-ko010403</v>
          </cell>
          <cell r="F42">
            <v>10.08</v>
          </cell>
          <cell r="G42">
            <v>12</v>
          </cell>
        </row>
        <row r="43">
          <cell r="A43" t="str">
            <v>7154 СЕРВЕЛАТ ЗЕРНИСТЫЙ ПМ в/к в/у 0,35кг_50с  Останкино</v>
          </cell>
          <cell r="D43" t="str">
            <v>00-ko010401</v>
          </cell>
          <cell r="F43">
            <v>39.200000000000003</v>
          </cell>
          <cell r="G43">
            <v>112</v>
          </cell>
        </row>
        <row r="44">
          <cell r="A44" t="str">
            <v>7157 СЕРВЕЛАТ ЗЕРНИСТЫЙ ПМ в/к в/у_50с  Останкино</v>
          </cell>
          <cell r="D44" t="str">
            <v>00-ko010432</v>
          </cell>
          <cell r="F44">
            <v>10.744999999999999</v>
          </cell>
          <cell r="G44">
            <v>10.744999999999999</v>
          </cell>
        </row>
        <row r="45">
          <cell r="A45" t="str">
            <v>7166 СЕРВЕЛАТ ОХОТНИЧИЙ ПМ в/к в/у_50с  Останкино</v>
          </cell>
          <cell r="D45" t="str">
            <v>00-ko010400</v>
          </cell>
          <cell r="F45">
            <v>61.853999999999999</v>
          </cell>
          <cell r="G45">
            <v>61.853999999999999</v>
          </cell>
        </row>
        <row r="46">
          <cell r="A46" t="str">
            <v>7169 СЕРВЕЛАТ ОХОТНИЧИЙ ПМ в/к в/у 0,35кг_50с  Останкино</v>
          </cell>
          <cell r="D46" t="str">
            <v>00-ko010399</v>
          </cell>
          <cell r="F46">
            <v>5.6</v>
          </cell>
          <cell r="G46">
            <v>16</v>
          </cell>
        </row>
        <row r="47">
          <cell r="A47" t="str">
            <v>7232 БОЯNСКАЯ ПМ п/к в/у 0,28кг 8шт_209к  Останкино</v>
          </cell>
          <cell r="D47" t="str">
            <v>00-ko010557</v>
          </cell>
          <cell r="F47">
            <v>11.2</v>
          </cell>
          <cell r="G47">
            <v>40</v>
          </cell>
        </row>
        <row r="48">
          <cell r="A48" t="str">
            <v>7236 СЕРВЕЛАТ КАРЕЛЬСКИЙ в/к в/у 0,28кг_209к  Останкино</v>
          </cell>
          <cell r="D48" t="str">
            <v>00-ko010598</v>
          </cell>
          <cell r="F48">
            <v>17.920000000000002</v>
          </cell>
          <cell r="G48">
            <v>64</v>
          </cell>
        </row>
        <row r="49">
          <cell r="A49" t="str">
            <v>7241 САЛЯМИ Папа может п/к в/у 0,28кг ОСТАНКИНО</v>
          </cell>
          <cell r="D49" t="str">
            <v>00-ko010555</v>
          </cell>
          <cell r="F49">
            <v>15.68</v>
          </cell>
          <cell r="G49">
            <v>56</v>
          </cell>
        </row>
        <row r="50">
          <cell r="A50" t="str">
            <v>7255 МЯСНЫЕ С ГОВЯД.ПМ сос п/о мгс 0.4кг 6шт.  ОСТАНКИНО</v>
          </cell>
          <cell r="D50" t="str">
            <v>00-ko011229</v>
          </cell>
          <cell r="F50">
            <v>16.8</v>
          </cell>
          <cell r="G50">
            <v>42</v>
          </cell>
        </row>
        <row r="51">
          <cell r="A51" t="str">
            <v>7271 МЯСНЫЕ С ГОВЯДИНОЙ ПМ сос п/о мгс 1.5*4  ОСТАНКИНО</v>
          </cell>
          <cell r="D51" t="str">
            <v>00-ko011425</v>
          </cell>
          <cell r="F51">
            <v>63.042000000000002</v>
          </cell>
          <cell r="G51">
            <v>63.042000000000002</v>
          </cell>
        </row>
        <row r="52">
          <cell r="A52" t="str">
            <v>7284 ДЛЯ ДЕТЕЙ сос п/о мгс 0,33кг 6шт  Останкино</v>
          </cell>
          <cell r="D52" t="str">
            <v>00-ko010746</v>
          </cell>
          <cell r="F52">
            <v>9.9</v>
          </cell>
          <cell r="G52">
            <v>30</v>
          </cell>
        </row>
        <row r="53">
          <cell r="A53" t="str">
            <v>7288 БАЛЫК с/к с/н в/у 1/100 10шт ОСТАНКИНО</v>
          </cell>
          <cell r="D53" t="str">
            <v>00-ko011373</v>
          </cell>
          <cell r="F53">
            <v>2</v>
          </cell>
          <cell r="G53">
            <v>20</v>
          </cell>
        </row>
        <row r="54">
          <cell r="A54" t="str">
            <v>7333 СЕРВЕЛАТ ОХОТНИЧИЙ ПМ в/к в/у 0,28кг ОСТАНКИНО</v>
          </cell>
          <cell r="D54" t="str">
            <v>00-ko011143</v>
          </cell>
          <cell r="F54">
            <v>24.64</v>
          </cell>
          <cell r="G54">
            <v>88</v>
          </cell>
        </row>
        <row r="55">
          <cell r="A55" t="str">
            <v>7334 МЯСНАЯ СО ШПИКОМ ПМ вар п/о 0.4кг 8шт.</v>
          </cell>
          <cell r="D55" t="str">
            <v>00-ko011145</v>
          </cell>
          <cell r="F55">
            <v>19.2</v>
          </cell>
          <cell r="G55">
            <v>48</v>
          </cell>
        </row>
        <row r="56">
          <cell r="A56" t="str">
            <v>7382  САЛЯМИ МЕЛКОЗЕРНЕНАЯ с/к в/у1/120 8шт.  ОСТАНКИНО</v>
          </cell>
          <cell r="D56" t="str">
            <v>00-ko011257</v>
          </cell>
          <cell r="F56">
            <v>7.68</v>
          </cell>
          <cell r="G56">
            <v>64</v>
          </cell>
        </row>
        <row r="57">
          <cell r="A57" t="str">
            <v>7461 ДЛЯ ДЕТЕЙ Папа Может сос п/о мгс 0,33кг ОСТАНКИНО</v>
          </cell>
          <cell r="D57" t="str">
            <v>00-ko011659</v>
          </cell>
          <cell r="F57">
            <v>17.82</v>
          </cell>
          <cell r="G57">
            <v>54</v>
          </cell>
        </row>
        <row r="58">
          <cell r="A58" t="str">
            <v>7523 ГОВЯЖЬЯ Папа Может вар п/о 0,4кг 6шт. ОСТАНКИНО</v>
          </cell>
          <cell r="D58" t="str">
            <v>00-ko011656</v>
          </cell>
          <cell r="F58">
            <v>36</v>
          </cell>
          <cell r="G58">
            <v>90</v>
          </cell>
        </row>
        <row r="59">
          <cell r="A59" t="str">
            <v>7539 ДОКТОРСКАЯ ГОСТ вар п/о 0,35кг ОСТАНКИНО</v>
          </cell>
          <cell r="D59" t="str">
            <v>00-ko011655</v>
          </cell>
          <cell r="F59">
            <v>11.2</v>
          </cell>
          <cell r="G59">
            <v>32</v>
          </cell>
        </row>
        <row r="60">
          <cell r="A60" t="str">
            <v>7603 БАЛЫКОВАЯ в/к в/у 0.33кг 8шт. ОСТАНКИНО</v>
          </cell>
          <cell r="D60" t="str">
            <v>00-ko011685</v>
          </cell>
          <cell r="F60">
            <v>22.77</v>
          </cell>
          <cell r="G60">
            <v>69</v>
          </cell>
        </row>
        <row r="61">
          <cell r="A61" t="str">
            <v>7612 БАЛЫК с/к с/н в/у 1/100 10шт_  ОСТАНКИНО</v>
          </cell>
          <cell r="D61" t="str">
            <v>00-ko011719</v>
          </cell>
          <cell r="F61">
            <v>4</v>
          </cell>
          <cell r="G61">
            <v>40</v>
          </cell>
        </row>
        <row r="62">
          <cell r="A62" t="str">
            <v>7613 АРОМАТНАЯ с/к с/н в/у 1/100 10шт_Л10  ОСТАНКИНО</v>
          </cell>
          <cell r="D62" t="str">
            <v>00-ko011737</v>
          </cell>
          <cell r="F62">
            <v>4</v>
          </cell>
          <cell r="G62">
            <v>40</v>
          </cell>
        </row>
        <row r="63">
          <cell r="A63" t="str">
            <v>7632 ЭКСТРА Папа может вар п/о 0.4кг 8шт_195к  ОСТАНКИНО</v>
          </cell>
          <cell r="D63" t="str">
            <v>00-ko011715</v>
          </cell>
          <cell r="F63">
            <v>25.6</v>
          </cell>
          <cell r="G63">
            <v>64</v>
          </cell>
        </row>
        <row r="64">
          <cell r="A64" t="str">
            <v>Итого</v>
          </cell>
          <cell r="F64">
            <v>1937.904</v>
          </cell>
          <cell r="G64">
            <v>3518.7539999999999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31"/>
  <sheetViews>
    <sheetView tabSelected="1" workbookViewId="0">
      <selection activeCell="L8" sqref="L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44.1" customHeight="1" outlineLevel="1" x14ac:dyDescent="0.2">
      <c r="A3" s="2" t="s">
        <v>2</v>
      </c>
      <c r="B3" s="2"/>
      <c r="C3" s="24" t="s">
        <v>3</v>
      </c>
      <c r="D3" s="24"/>
      <c r="E3" s="24"/>
    </row>
    <row r="4" spans="1:10" s="1" customFormat="1" ht="9.9499999999999993" customHeight="1" x14ac:dyDescent="0.2"/>
    <row r="5" spans="1:10" ht="12.95" customHeight="1" x14ac:dyDescent="0.2">
      <c r="A5" s="25" t="s">
        <v>4</v>
      </c>
      <c r="B5" s="25"/>
      <c r="C5" s="25"/>
      <c r="D5" s="29" t="s">
        <v>5</v>
      </c>
      <c r="E5" s="29"/>
      <c r="F5" s="29"/>
      <c r="G5" s="29" t="s">
        <v>6</v>
      </c>
      <c r="H5" s="29"/>
      <c r="I5" s="12" t="s">
        <v>136</v>
      </c>
      <c r="J5" t="s">
        <v>137</v>
      </c>
    </row>
    <row r="6" spans="1:10" ht="26.1" customHeight="1" x14ac:dyDescent="0.2">
      <c r="A6" s="26"/>
      <c r="B6" s="27"/>
      <c r="C6" s="28"/>
      <c r="D6" s="29" t="s">
        <v>7</v>
      </c>
      <c r="E6" s="29"/>
      <c r="F6" s="3" t="s">
        <v>8</v>
      </c>
      <c r="G6" s="3" t="s">
        <v>9</v>
      </c>
      <c r="H6" s="3" t="s">
        <v>10</v>
      </c>
      <c r="I6" s="13" t="s">
        <v>7</v>
      </c>
      <c r="J6" s="13" t="s">
        <v>7</v>
      </c>
    </row>
    <row r="7" spans="1:10" ht="11.1" customHeight="1" x14ac:dyDescent="0.2">
      <c r="A7" s="14" t="s">
        <v>11</v>
      </c>
      <c r="B7" s="14"/>
      <c r="C7" s="14"/>
      <c r="D7" s="16">
        <v>518.4</v>
      </c>
      <c r="E7" s="16"/>
      <c r="F7" s="5">
        <v>1296</v>
      </c>
      <c r="G7" s="4">
        <v>4.4000000000000004</v>
      </c>
      <c r="H7" s="6">
        <v>11</v>
      </c>
      <c r="I7">
        <f>IFERROR(VLOOKUP(A7,[1]TDSheet!$A:$H,6,0),0)</f>
        <v>22.4</v>
      </c>
      <c r="J7" s="30">
        <f>D7-I7</f>
        <v>496</v>
      </c>
    </row>
    <row r="8" spans="1:10" ht="11.1" customHeight="1" x14ac:dyDescent="0.2">
      <c r="A8" s="14" t="s">
        <v>12</v>
      </c>
      <c r="B8" s="14"/>
      <c r="C8" s="14"/>
      <c r="D8" s="15">
        <v>43.621000000000002</v>
      </c>
      <c r="E8" s="15"/>
      <c r="F8" s="6">
        <v>43.621000000000002</v>
      </c>
      <c r="G8" s="7"/>
      <c r="H8" s="7"/>
      <c r="I8">
        <f>IFERROR(VLOOKUP(A8,[1]TDSheet!$A:$H,6,0),0)</f>
        <v>0</v>
      </c>
      <c r="J8" s="30">
        <f t="shared" ref="J8:J71" si="0">D8-I8</f>
        <v>43.621000000000002</v>
      </c>
    </row>
    <row r="9" spans="1:10" ht="11.1" customHeight="1" x14ac:dyDescent="0.2">
      <c r="A9" s="14" t="s">
        <v>13</v>
      </c>
      <c r="B9" s="14"/>
      <c r="C9" s="14"/>
      <c r="D9" s="19">
        <v>224.75</v>
      </c>
      <c r="E9" s="19"/>
      <c r="F9" s="6">
        <v>899</v>
      </c>
      <c r="G9" s="8">
        <v>2.75</v>
      </c>
      <c r="H9" s="6">
        <v>11</v>
      </c>
      <c r="I9">
        <f>IFERROR(VLOOKUP(A9,[1]TDSheet!$A:$H,6,0),0)</f>
        <v>4</v>
      </c>
      <c r="J9" s="30">
        <f t="shared" si="0"/>
        <v>220.75</v>
      </c>
    </row>
    <row r="10" spans="1:10" ht="11.1" customHeight="1" x14ac:dyDescent="0.2">
      <c r="A10" s="14" t="s">
        <v>14</v>
      </c>
      <c r="B10" s="14"/>
      <c r="C10" s="14"/>
      <c r="D10" s="23">
        <v>4330.7820000000002</v>
      </c>
      <c r="E10" s="23"/>
      <c r="F10" s="5">
        <v>4330.7820000000002</v>
      </c>
      <c r="G10" s="6">
        <v>11.558999999999999</v>
      </c>
      <c r="H10" s="6">
        <v>11.558999999999999</v>
      </c>
      <c r="I10">
        <f>IFERROR(VLOOKUP(A10,[1]TDSheet!$A:$H,6,0),0)</f>
        <v>374.28699999999998</v>
      </c>
      <c r="J10" s="30">
        <f t="shared" si="0"/>
        <v>3956.4950000000003</v>
      </c>
    </row>
    <row r="11" spans="1:10" ht="11.1" customHeight="1" x14ac:dyDescent="0.2">
      <c r="A11" s="14" t="s">
        <v>15</v>
      </c>
      <c r="B11" s="14"/>
      <c r="C11" s="14"/>
      <c r="D11" s="15">
        <v>104.88800000000001</v>
      </c>
      <c r="E11" s="15"/>
      <c r="F11" s="6">
        <v>104.88800000000001</v>
      </c>
      <c r="G11" s="6">
        <v>0.49299999999999999</v>
      </c>
      <c r="H11" s="6">
        <v>0.49299999999999999</v>
      </c>
      <c r="I11">
        <f>IFERROR(VLOOKUP(A11,[1]TDSheet!$A:$H,6,0),0)</f>
        <v>0</v>
      </c>
      <c r="J11" s="30">
        <f t="shared" si="0"/>
        <v>104.88800000000001</v>
      </c>
    </row>
    <row r="12" spans="1:10" ht="11.1" customHeight="1" x14ac:dyDescent="0.2">
      <c r="A12" s="14" t="s">
        <v>16</v>
      </c>
      <c r="B12" s="14"/>
      <c r="C12" s="14"/>
      <c r="D12" s="15">
        <v>429.84800000000001</v>
      </c>
      <c r="E12" s="15"/>
      <c r="F12" s="6">
        <v>429.84800000000001</v>
      </c>
      <c r="G12" s="6">
        <v>4.202</v>
      </c>
      <c r="H12" s="6">
        <v>4.202</v>
      </c>
      <c r="I12">
        <f>IFERROR(VLOOKUP(A12,[1]TDSheet!$A:$H,6,0),0)</f>
        <v>40.447000000000003</v>
      </c>
      <c r="J12" s="30">
        <f t="shared" si="0"/>
        <v>389.40100000000001</v>
      </c>
    </row>
    <row r="13" spans="1:10" ht="11.1" customHeight="1" x14ac:dyDescent="0.2">
      <c r="A13" s="14" t="s">
        <v>17</v>
      </c>
      <c r="B13" s="14"/>
      <c r="C13" s="14"/>
      <c r="D13" s="23">
        <v>1945.5719999999999</v>
      </c>
      <c r="E13" s="23"/>
      <c r="F13" s="5">
        <v>1945.5719999999999</v>
      </c>
      <c r="G13" s="6">
        <v>10.266999999999999</v>
      </c>
      <c r="H13" s="6">
        <v>10.266999999999999</v>
      </c>
      <c r="I13">
        <f>IFERROR(VLOOKUP(A13,[1]TDSheet!$A:$H,6,0),0)</f>
        <v>72.222999999999999</v>
      </c>
      <c r="J13" s="30">
        <f t="shared" si="0"/>
        <v>1873.3489999999999</v>
      </c>
    </row>
    <row r="14" spans="1:10" ht="11.1" customHeight="1" x14ac:dyDescent="0.2">
      <c r="A14" s="14" t="s">
        <v>18</v>
      </c>
      <c r="B14" s="14"/>
      <c r="C14" s="14"/>
      <c r="D14" s="19">
        <v>70.75</v>
      </c>
      <c r="E14" s="19"/>
      <c r="F14" s="6">
        <v>283</v>
      </c>
      <c r="G14" s="4">
        <v>0.5</v>
      </c>
      <c r="H14" s="6">
        <v>2</v>
      </c>
      <c r="I14">
        <f>IFERROR(VLOOKUP(A14,[1]TDSheet!$A:$H,6,0),0)</f>
        <v>0</v>
      </c>
      <c r="J14" s="30">
        <f t="shared" si="0"/>
        <v>70.75</v>
      </c>
    </row>
    <row r="15" spans="1:10" ht="11.1" customHeight="1" x14ac:dyDescent="0.2">
      <c r="A15" s="14" t="s">
        <v>19</v>
      </c>
      <c r="B15" s="14"/>
      <c r="C15" s="14"/>
      <c r="D15" s="15">
        <v>278.35500000000002</v>
      </c>
      <c r="E15" s="15"/>
      <c r="F15" s="6">
        <v>278.35500000000002</v>
      </c>
      <c r="G15" s="6">
        <v>1.4830000000000001</v>
      </c>
      <c r="H15" s="6">
        <v>1.4830000000000001</v>
      </c>
      <c r="I15">
        <f>IFERROR(VLOOKUP(A15,[1]TDSheet!$A:$H,6,0),0)</f>
        <v>0</v>
      </c>
      <c r="J15" s="30">
        <f t="shared" si="0"/>
        <v>278.35500000000002</v>
      </c>
    </row>
    <row r="16" spans="1:10" ht="11.1" customHeight="1" x14ac:dyDescent="0.2">
      <c r="A16" s="14" t="s">
        <v>20</v>
      </c>
      <c r="B16" s="14"/>
      <c r="C16" s="14"/>
      <c r="D16" s="20">
        <v>83</v>
      </c>
      <c r="E16" s="20"/>
      <c r="F16" s="6">
        <v>332</v>
      </c>
      <c r="G16" s="4">
        <v>0.5</v>
      </c>
      <c r="H16" s="6">
        <v>2</v>
      </c>
      <c r="I16">
        <f>IFERROR(VLOOKUP(A16,[1]TDSheet!$A:$H,6,0),0)</f>
        <v>12</v>
      </c>
      <c r="J16" s="30">
        <f t="shared" si="0"/>
        <v>71</v>
      </c>
    </row>
    <row r="17" spans="1:10" ht="11.1" customHeight="1" x14ac:dyDescent="0.2">
      <c r="A17" s="14" t="s">
        <v>21</v>
      </c>
      <c r="B17" s="14"/>
      <c r="C17" s="14"/>
      <c r="D17" s="21">
        <v>1063.5999999999999</v>
      </c>
      <c r="E17" s="21"/>
      <c r="F17" s="5">
        <v>2659</v>
      </c>
      <c r="G17" s="4">
        <v>1.2</v>
      </c>
      <c r="H17" s="6">
        <v>3</v>
      </c>
      <c r="I17">
        <f>IFERROR(VLOOKUP(A17,[1]TDSheet!$A:$H,6,0),0)</f>
        <v>38.4</v>
      </c>
      <c r="J17" s="30">
        <f t="shared" si="0"/>
        <v>1025.1999999999998</v>
      </c>
    </row>
    <row r="18" spans="1:10" ht="11.1" customHeight="1" x14ac:dyDescent="0.2">
      <c r="A18" s="14" t="s">
        <v>22</v>
      </c>
      <c r="B18" s="14"/>
      <c r="C18" s="14"/>
      <c r="D18" s="23">
        <v>1198.933</v>
      </c>
      <c r="E18" s="23"/>
      <c r="F18" s="5">
        <v>1198.933</v>
      </c>
      <c r="G18" s="6">
        <v>4.242</v>
      </c>
      <c r="H18" s="6">
        <v>4.242</v>
      </c>
      <c r="I18">
        <f>IFERROR(VLOOKUP(A18,[1]TDSheet!$A:$H,6,0),0)</f>
        <v>61.518999999999998</v>
      </c>
      <c r="J18" s="30">
        <f t="shared" si="0"/>
        <v>1137.414</v>
      </c>
    </row>
    <row r="19" spans="1:10" ht="11.1" customHeight="1" x14ac:dyDescent="0.2">
      <c r="A19" s="14" t="s">
        <v>23</v>
      </c>
      <c r="B19" s="14"/>
      <c r="C19" s="14"/>
      <c r="D19" s="19">
        <v>9.66</v>
      </c>
      <c r="E19" s="19"/>
      <c r="F19" s="6">
        <v>23</v>
      </c>
      <c r="G19" s="8">
        <v>1.68</v>
      </c>
      <c r="H19" s="6">
        <v>4</v>
      </c>
      <c r="I19">
        <f>IFERROR(VLOOKUP(A19,[1]TDSheet!$A:$H,6,0),0)</f>
        <v>0</v>
      </c>
      <c r="J19" s="30">
        <f t="shared" si="0"/>
        <v>9.66</v>
      </c>
    </row>
    <row r="20" spans="1:10" ht="11.1" customHeight="1" x14ac:dyDescent="0.2">
      <c r="A20" s="14" t="s">
        <v>24</v>
      </c>
      <c r="B20" s="14"/>
      <c r="C20" s="14"/>
      <c r="D20" s="19">
        <v>-0.36</v>
      </c>
      <c r="E20" s="19"/>
      <c r="F20" s="6">
        <v>-3</v>
      </c>
      <c r="G20" s="8">
        <v>0.36</v>
      </c>
      <c r="H20" s="6">
        <v>3</v>
      </c>
      <c r="I20">
        <f>IFERROR(VLOOKUP(A20,[1]TDSheet!$A:$H,6,0),0)</f>
        <v>0</v>
      </c>
      <c r="J20" s="30">
        <f t="shared" si="0"/>
        <v>-0.36</v>
      </c>
    </row>
    <row r="21" spans="1:10" ht="11.1" customHeight="1" x14ac:dyDescent="0.2">
      <c r="A21" s="14" t="s">
        <v>25</v>
      </c>
      <c r="B21" s="14"/>
      <c r="C21" s="14"/>
      <c r="D21" s="19">
        <v>0.25</v>
      </c>
      <c r="E21" s="19"/>
      <c r="F21" s="6">
        <v>1</v>
      </c>
      <c r="G21" s="7"/>
      <c r="H21" s="7"/>
      <c r="I21">
        <f>IFERROR(VLOOKUP(A21,[1]TDSheet!$A:$H,6,0),0)</f>
        <v>0</v>
      </c>
      <c r="J21" s="30">
        <f t="shared" si="0"/>
        <v>0.25</v>
      </c>
    </row>
    <row r="22" spans="1:10" ht="11.1" customHeight="1" x14ac:dyDescent="0.2">
      <c r="A22" s="14" t="s">
        <v>26</v>
      </c>
      <c r="B22" s="14"/>
      <c r="C22" s="14"/>
      <c r="D22" s="15">
        <v>42.072000000000003</v>
      </c>
      <c r="E22" s="15"/>
      <c r="F22" s="6">
        <v>42.072000000000003</v>
      </c>
      <c r="G22" s="6">
        <v>1.024</v>
      </c>
      <c r="H22" s="6">
        <v>1.024</v>
      </c>
      <c r="I22">
        <f>IFERROR(VLOOKUP(A22,[1]TDSheet!$A:$H,6,0),0)</f>
        <v>5.38</v>
      </c>
      <c r="J22" s="30">
        <f t="shared" si="0"/>
        <v>36.692</v>
      </c>
    </row>
    <row r="23" spans="1:10" ht="11.1" customHeight="1" x14ac:dyDescent="0.2">
      <c r="A23" s="14" t="s">
        <v>27</v>
      </c>
      <c r="B23" s="14"/>
      <c r="C23" s="14"/>
      <c r="D23" s="19">
        <v>32.020000000000003</v>
      </c>
      <c r="E23" s="19"/>
      <c r="F23" s="6">
        <v>32.020000000000003</v>
      </c>
      <c r="G23" s="7"/>
      <c r="H23" s="7"/>
      <c r="I23">
        <f>IFERROR(VLOOKUP(A23,[1]TDSheet!$A:$H,6,0),0)</f>
        <v>0</v>
      </c>
      <c r="J23" s="30">
        <f t="shared" si="0"/>
        <v>32.020000000000003</v>
      </c>
    </row>
    <row r="24" spans="1:10" ht="11.1" customHeight="1" x14ac:dyDescent="0.2">
      <c r="A24" s="14" t="s">
        <v>28</v>
      </c>
      <c r="B24" s="14"/>
      <c r="C24" s="14"/>
      <c r="D24" s="15">
        <v>22.678000000000001</v>
      </c>
      <c r="E24" s="15"/>
      <c r="F24" s="6">
        <v>22.678000000000001</v>
      </c>
      <c r="G24" s="7"/>
      <c r="H24" s="7"/>
      <c r="I24">
        <f>IFERROR(VLOOKUP(A24,[1]TDSheet!$A:$H,6,0),0)</f>
        <v>0</v>
      </c>
      <c r="J24" s="30">
        <f t="shared" si="0"/>
        <v>22.678000000000001</v>
      </c>
    </row>
    <row r="25" spans="1:10" ht="11.1" customHeight="1" x14ac:dyDescent="0.2">
      <c r="A25" s="14" t="s">
        <v>29</v>
      </c>
      <c r="B25" s="14"/>
      <c r="C25" s="14"/>
      <c r="D25" s="16">
        <v>422.4</v>
      </c>
      <c r="E25" s="16"/>
      <c r="F25" s="5">
        <v>1056</v>
      </c>
      <c r="G25" s="4">
        <v>1.2</v>
      </c>
      <c r="H25" s="6">
        <v>3</v>
      </c>
      <c r="I25">
        <f>IFERROR(VLOOKUP(A25,[1]TDSheet!$A:$H,6,0),0)</f>
        <v>0</v>
      </c>
      <c r="J25" s="30">
        <f t="shared" si="0"/>
        <v>422.4</v>
      </c>
    </row>
    <row r="26" spans="1:10" ht="11.1" customHeight="1" x14ac:dyDescent="0.2">
      <c r="A26" s="14" t="s">
        <v>30</v>
      </c>
      <c r="B26" s="14"/>
      <c r="C26" s="14"/>
      <c r="D26" s="23">
        <v>1026.434</v>
      </c>
      <c r="E26" s="23"/>
      <c r="F26" s="5">
        <v>1026.434</v>
      </c>
      <c r="G26" s="6">
        <v>1.885</v>
      </c>
      <c r="H26" s="6">
        <v>1.885</v>
      </c>
      <c r="I26">
        <f>IFERROR(VLOOKUP(A26,[1]TDSheet!$A:$H,6,0),0)</f>
        <v>72.421000000000006</v>
      </c>
      <c r="J26" s="30">
        <f t="shared" si="0"/>
        <v>954.01299999999992</v>
      </c>
    </row>
    <row r="27" spans="1:10" ht="11.1" customHeight="1" x14ac:dyDescent="0.2">
      <c r="A27" s="14" t="s">
        <v>31</v>
      </c>
      <c r="B27" s="14"/>
      <c r="C27" s="14"/>
      <c r="D27" s="16">
        <v>12.6</v>
      </c>
      <c r="E27" s="16"/>
      <c r="F27" s="6">
        <v>30</v>
      </c>
      <c r="G27" s="7"/>
      <c r="H27" s="7"/>
      <c r="I27">
        <f>IFERROR(VLOOKUP(A27,[1]TDSheet!$A:$H,6,0),0)</f>
        <v>0</v>
      </c>
      <c r="J27" s="30">
        <f t="shared" si="0"/>
        <v>12.6</v>
      </c>
    </row>
    <row r="28" spans="1:10" ht="11.1" customHeight="1" x14ac:dyDescent="0.2">
      <c r="A28" s="14" t="s">
        <v>32</v>
      </c>
      <c r="B28" s="14"/>
      <c r="C28" s="14"/>
      <c r="D28" s="19">
        <v>154.44</v>
      </c>
      <c r="E28" s="19"/>
      <c r="F28" s="6">
        <v>702</v>
      </c>
      <c r="G28" s="8">
        <v>0.44</v>
      </c>
      <c r="H28" s="6">
        <v>2</v>
      </c>
      <c r="I28">
        <f>IFERROR(VLOOKUP(A28,[1]TDSheet!$A:$H,6,0),0)</f>
        <v>7.04</v>
      </c>
      <c r="J28" s="30">
        <f t="shared" si="0"/>
        <v>147.4</v>
      </c>
    </row>
    <row r="29" spans="1:10" ht="11.1" customHeight="1" x14ac:dyDescent="0.2">
      <c r="A29" s="14" t="s">
        <v>33</v>
      </c>
      <c r="B29" s="14"/>
      <c r="C29" s="14"/>
      <c r="D29" s="15">
        <v>74.617999999999995</v>
      </c>
      <c r="E29" s="15"/>
      <c r="F29" s="6">
        <v>74.617999999999995</v>
      </c>
      <c r="G29" s="6">
        <v>2.036</v>
      </c>
      <c r="H29" s="6">
        <v>2.036</v>
      </c>
      <c r="I29">
        <f>IFERROR(VLOOKUP(A29,[1]TDSheet!$A:$H,6,0),0)</f>
        <v>0</v>
      </c>
      <c r="J29" s="30">
        <f t="shared" si="0"/>
        <v>74.617999999999995</v>
      </c>
    </row>
    <row r="30" spans="1:10" ht="11.1" customHeight="1" x14ac:dyDescent="0.2">
      <c r="A30" s="14" t="s">
        <v>34</v>
      </c>
      <c r="B30" s="14"/>
      <c r="C30" s="14"/>
      <c r="D30" s="16">
        <v>50.1</v>
      </c>
      <c r="E30" s="16"/>
      <c r="F30" s="6">
        <v>167</v>
      </c>
      <c r="G30" s="7"/>
      <c r="H30" s="7"/>
      <c r="I30">
        <f>IFERROR(VLOOKUP(A30,[1]TDSheet!$A:$H,6,0),0)</f>
        <v>0</v>
      </c>
      <c r="J30" s="30">
        <f t="shared" si="0"/>
        <v>50.1</v>
      </c>
    </row>
    <row r="31" spans="1:10" ht="11.1" customHeight="1" x14ac:dyDescent="0.2">
      <c r="A31" s="14" t="s">
        <v>35</v>
      </c>
      <c r="B31" s="14"/>
      <c r="C31" s="14"/>
      <c r="D31" s="16">
        <v>94.5</v>
      </c>
      <c r="E31" s="16"/>
      <c r="F31" s="6">
        <v>315</v>
      </c>
      <c r="G31" s="7"/>
      <c r="H31" s="7"/>
      <c r="I31">
        <f>IFERROR(VLOOKUP(A31,[1]TDSheet!$A:$H,6,0),0)</f>
        <v>0</v>
      </c>
      <c r="J31" s="30">
        <f t="shared" si="0"/>
        <v>94.5</v>
      </c>
    </row>
    <row r="32" spans="1:10" ht="11.1" customHeight="1" x14ac:dyDescent="0.2">
      <c r="A32" s="14" t="s">
        <v>36</v>
      </c>
      <c r="B32" s="14"/>
      <c r="C32" s="14"/>
      <c r="D32" s="19">
        <v>75.25</v>
      </c>
      <c r="E32" s="19"/>
      <c r="F32" s="6">
        <v>215</v>
      </c>
      <c r="G32" s="4">
        <v>0.7</v>
      </c>
      <c r="H32" s="6">
        <v>2</v>
      </c>
      <c r="I32">
        <f>IFERROR(VLOOKUP(A32,[1]TDSheet!$A:$H,6,0),0)</f>
        <v>0</v>
      </c>
      <c r="J32" s="30">
        <f t="shared" si="0"/>
        <v>75.25</v>
      </c>
    </row>
    <row r="33" spans="1:10" ht="11.1" customHeight="1" x14ac:dyDescent="0.2">
      <c r="A33" s="14" t="s">
        <v>37</v>
      </c>
      <c r="B33" s="14"/>
      <c r="C33" s="14"/>
      <c r="D33" s="16">
        <v>70.5</v>
      </c>
      <c r="E33" s="16"/>
      <c r="F33" s="6">
        <v>235</v>
      </c>
      <c r="G33" s="7"/>
      <c r="H33" s="7"/>
      <c r="I33">
        <f>IFERROR(VLOOKUP(A33,[1]TDSheet!$A:$H,6,0),0)</f>
        <v>0</v>
      </c>
      <c r="J33" s="30">
        <f t="shared" si="0"/>
        <v>70.5</v>
      </c>
    </row>
    <row r="34" spans="1:10" ht="11.1" customHeight="1" x14ac:dyDescent="0.2">
      <c r="A34" s="14" t="s">
        <v>38</v>
      </c>
      <c r="B34" s="14"/>
      <c r="C34" s="14"/>
      <c r="D34" s="19">
        <v>9.75</v>
      </c>
      <c r="E34" s="19"/>
      <c r="F34" s="6">
        <v>65</v>
      </c>
      <c r="G34" s="8">
        <v>1.05</v>
      </c>
      <c r="H34" s="6">
        <v>7</v>
      </c>
      <c r="I34">
        <f>IFERROR(VLOOKUP(A34,[1]TDSheet!$A:$H,6,0),0)</f>
        <v>0</v>
      </c>
      <c r="J34" s="30">
        <f t="shared" si="0"/>
        <v>9.75</v>
      </c>
    </row>
    <row r="35" spans="1:10" ht="11.1" customHeight="1" x14ac:dyDescent="0.2">
      <c r="A35" s="14" t="s">
        <v>39</v>
      </c>
      <c r="B35" s="14"/>
      <c r="C35" s="14"/>
      <c r="D35" s="16">
        <v>89.6</v>
      </c>
      <c r="E35" s="16"/>
      <c r="F35" s="6">
        <v>256</v>
      </c>
      <c r="G35" s="7"/>
      <c r="H35" s="7"/>
      <c r="I35">
        <f>IFERROR(VLOOKUP(A35,[1]TDSheet!$A:$H,6,0),0)</f>
        <v>0</v>
      </c>
      <c r="J35" s="30">
        <f t="shared" si="0"/>
        <v>89.6</v>
      </c>
    </row>
    <row r="36" spans="1:10" ht="11.1" customHeight="1" x14ac:dyDescent="0.2">
      <c r="A36" s="14" t="s">
        <v>40</v>
      </c>
      <c r="B36" s="14"/>
      <c r="C36" s="14"/>
      <c r="D36" s="23">
        <v>1213.672</v>
      </c>
      <c r="E36" s="23"/>
      <c r="F36" s="5">
        <v>1213.672</v>
      </c>
      <c r="G36" s="8">
        <v>1.82</v>
      </c>
      <c r="H36" s="6">
        <v>1.82</v>
      </c>
      <c r="I36">
        <f>IFERROR(VLOOKUP(A36,[1]TDSheet!$A:$H,6,0),0)</f>
        <v>102.476</v>
      </c>
      <c r="J36" s="30">
        <f t="shared" si="0"/>
        <v>1111.1959999999999</v>
      </c>
    </row>
    <row r="37" spans="1:10" ht="11.1" customHeight="1" x14ac:dyDescent="0.2">
      <c r="A37" s="14" t="s">
        <v>41</v>
      </c>
      <c r="B37" s="14"/>
      <c r="C37" s="14"/>
      <c r="D37" s="16">
        <v>128.69999999999999</v>
      </c>
      <c r="E37" s="16"/>
      <c r="F37" s="5">
        <v>1430</v>
      </c>
      <c r="G37" s="8">
        <v>2.0699999999999998</v>
      </c>
      <c r="H37" s="6">
        <v>23</v>
      </c>
      <c r="I37">
        <f>IFERROR(VLOOKUP(A37,[1]TDSheet!$A:$H,6,0),0)</f>
        <v>2.7</v>
      </c>
      <c r="J37" s="30">
        <f t="shared" si="0"/>
        <v>125.99999999999999</v>
      </c>
    </row>
    <row r="38" spans="1:10" ht="11.1" customHeight="1" x14ac:dyDescent="0.2">
      <c r="A38" s="14" t="s">
        <v>42</v>
      </c>
      <c r="B38" s="14"/>
      <c r="C38" s="14"/>
      <c r="D38" s="19">
        <v>25.11</v>
      </c>
      <c r="E38" s="19"/>
      <c r="F38" s="6">
        <v>279</v>
      </c>
      <c r="G38" s="8">
        <v>0.27</v>
      </c>
      <c r="H38" s="6">
        <v>3</v>
      </c>
      <c r="I38">
        <f>IFERROR(VLOOKUP(A38,[1]TDSheet!$A:$H,6,0),0)</f>
        <v>0</v>
      </c>
      <c r="J38" s="30">
        <f t="shared" si="0"/>
        <v>25.11</v>
      </c>
    </row>
    <row r="39" spans="1:10" ht="11.1" customHeight="1" x14ac:dyDescent="0.2">
      <c r="A39" s="14" t="s">
        <v>43</v>
      </c>
      <c r="B39" s="14"/>
      <c r="C39" s="14"/>
      <c r="D39" s="16">
        <v>1.2</v>
      </c>
      <c r="E39" s="16"/>
      <c r="F39" s="6">
        <v>3</v>
      </c>
      <c r="G39" s="4">
        <v>0.4</v>
      </c>
      <c r="H39" s="6">
        <v>1</v>
      </c>
      <c r="I39">
        <f>IFERROR(VLOOKUP(A39,[1]TDSheet!$A:$H,6,0),0)</f>
        <v>0</v>
      </c>
      <c r="J39" s="30">
        <f t="shared" si="0"/>
        <v>1.2</v>
      </c>
    </row>
    <row r="40" spans="1:10" ht="11.1" customHeight="1" x14ac:dyDescent="0.2">
      <c r="A40" s="14" t="s">
        <v>44</v>
      </c>
      <c r="B40" s="14"/>
      <c r="C40" s="14"/>
      <c r="D40" s="19">
        <v>11.25</v>
      </c>
      <c r="E40" s="19"/>
      <c r="F40" s="6">
        <v>75</v>
      </c>
      <c r="G40" s="4">
        <v>0.9</v>
      </c>
      <c r="H40" s="6">
        <v>6</v>
      </c>
      <c r="I40">
        <f>IFERROR(VLOOKUP(A40,[1]TDSheet!$A:$H,6,0),0)</f>
        <v>6</v>
      </c>
      <c r="J40" s="30">
        <f t="shared" si="0"/>
        <v>5.25</v>
      </c>
    </row>
    <row r="41" spans="1:10" ht="11.1" customHeight="1" x14ac:dyDescent="0.2">
      <c r="A41" s="14" t="s">
        <v>45</v>
      </c>
      <c r="B41" s="14"/>
      <c r="C41" s="14"/>
      <c r="D41" s="23">
        <v>1125.625</v>
      </c>
      <c r="E41" s="23"/>
      <c r="F41" s="5">
        <v>1125.625</v>
      </c>
      <c r="G41" s="8">
        <v>1.59</v>
      </c>
      <c r="H41" s="6">
        <v>1.59</v>
      </c>
      <c r="I41">
        <f>IFERROR(VLOOKUP(A41,[1]TDSheet!$A:$H,6,0),0)</f>
        <v>91.012</v>
      </c>
      <c r="J41" s="30">
        <f t="shared" si="0"/>
        <v>1034.6130000000001</v>
      </c>
    </row>
    <row r="42" spans="1:10" ht="11.1" customHeight="1" x14ac:dyDescent="0.2">
      <c r="A42" s="14" t="s">
        <v>46</v>
      </c>
      <c r="B42" s="14"/>
      <c r="C42" s="14"/>
      <c r="D42" s="16">
        <v>0.4</v>
      </c>
      <c r="E42" s="16"/>
      <c r="F42" s="6">
        <v>1</v>
      </c>
      <c r="G42" s="7"/>
      <c r="H42" s="7"/>
      <c r="I42">
        <f>IFERROR(VLOOKUP(A42,[1]TDSheet!$A:$H,6,0),0)</f>
        <v>0</v>
      </c>
      <c r="J42" s="30">
        <f t="shared" si="0"/>
        <v>0.4</v>
      </c>
    </row>
    <row r="43" spans="1:10" ht="11.1" customHeight="1" x14ac:dyDescent="0.2">
      <c r="A43" s="14" t="s">
        <v>47</v>
      </c>
      <c r="B43" s="14"/>
      <c r="C43" s="14"/>
      <c r="D43" s="16">
        <v>139.19999999999999</v>
      </c>
      <c r="E43" s="16"/>
      <c r="F43" s="6">
        <v>348</v>
      </c>
      <c r="G43" s="4">
        <v>0.4</v>
      </c>
      <c r="H43" s="6">
        <v>1</v>
      </c>
      <c r="I43">
        <f>IFERROR(VLOOKUP(A43,[1]TDSheet!$A:$H,6,0),0)</f>
        <v>16</v>
      </c>
      <c r="J43" s="30">
        <f t="shared" si="0"/>
        <v>123.19999999999999</v>
      </c>
    </row>
    <row r="44" spans="1:10" ht="11.1" customHeight="1" x14ac:dyDescent="0.2">
      <c r="A44" s="14" t="s">
        <v>48</v>
      </c>
      <c r="B44" s="14"/>
      <c r="C44" s="14"/>
      <c r="D44" s="21">
        <v>1326.4</v>
      </c>
      <c r="E44" s="21"/>
      <c r="F44" s="5">
        <v>3316</v>
      </c>
      <c r="G44" s="4">
        <v>1.6</v>
      </c>
      <c r="H44" s="6">
        <v>4</v>
      </c>
      <c r="I44">
        <f>IFERROR(VLOOKUP(A44,[1]TDSheet!$A:$H,6,0),0)</f>
        <v>3.2</v>
      </c>
      <c r="J44" s="30">
        <f t="shared" si="0"/>
        <v>1323.2</v>
      </c>
    </row>
    <row r="45" spans="1:10" ht="11.1" customHeight="1" x14ac:dyDescent="0.2">
      <c r="A45" s="14" t="s">
        <v>49</v>
      </c>
      <c r="B45" s="14"/>
      <c r="C45" s="14"/>
      <c r="D45" s="20">
        <v>4</v>
      </c>
      <c r="E45" s="20"/>
      <c r="F45" s="6">
        <v>10</v>
      </c>
      <c r="G45" s="4">
        <v>1.2</v>
      </c>
      <c r="H45" s="6">
        <v>3</v>
      </c>
      <c r="I45">
        <f>IFERROR(VLOOKUP(A45,[1]TDSheet!$A:$H,6,0),0)</f>
        <v>0</v>
      </c>
      <c r="J45" s="30">
        <f t="shared" si="0"/>
        <v>4</v>
      </c>
    </row>
    <row r="46" spans="1:10" ht="11.1" customHeight="1" x14ac:dyDescent="0.2">
      <c r="A46" s="14" t="s">
        <v>50</v>
      </c>
      <c r="B46" s="14"/>
      <c r="C46" s="14"/>
      <c r="D46" s="21">
        <v>1136.8</v>
      </c>
      <c r="E46" s="21"/>
      <c r="F46" s="5">
        <v>2842</v>
      </c>
      <c r="G46" s="4">
        <v>5.6</v>
      </c>
      <c r="H46" s="6">
        <v>14</v>
      </c>
      <c r="I46">
        <f>IFERROR(VLOOKUP(A46,[1]TDSheet!$A:$H,6,0),0)</f>
        <v>22.4</v>
      </c>
      <c r="J46" s="30">
        <f t="shared" si="0"/>
        <v>1114.3999999999999</v>
      </c>
    </row>
    <row r="47" spans="1:10" ht="11.1" customHeight="1" x14ac:dyDescent="0.2">
      <c r="A47" s="14" t="s">
        <v>51</v>
      </c>
      <c r="B47" s="14"/>
      <c r="C47" s="14"/>
      <c r="D47" s="16">
        <v>2.1</v>
      </c>
      <c r="E47" s="16"/>
      <c r="F47" s="6">
        <v>7</v>
      </c>
      <c r="G47" s="7"/>
      <c r="H47" s="7"/>
      <c r="I47">
        <f>IFERROR(VLOOKUP(A47,[1]TDSheet!$A:$H,6,0),0)</f>
        <v>0</v>
      </c>
      <c r="J47" s="30">
        <f t="shared" si="0"/>
        <v>2.1</v>
      </c>
    </row>
    <row r="48" spans="1:10" ht="11.1" customHeight="1" x14ac:dyDescent="0.2">
      <c r="A48" s="14" t="s">
        <v>52</v>
      </c>
      <c r="B48" s="14"/>
      <c r="C48" s="14"/>
      <c r="D48" s="20">
        <v>41</v>
      </c>
      <c r="E48" s="20"/>
      <c r="F48" s="6">
        <v>410</v>
      </c>
      <c r="G48" s="4">
        <v>0.3</v>
      </c>
      <c r="H48" s="6">
        <v>3</v>
      </c>
      <c r="I48">
        <f>IFERROR(VLOOKUP(A48,[1]TDSheet!$A:$H,6,0),0)</f>
        <v>2.8</v>
      </c>
      <c r="J48" s="30">
        <f t="shared" si="0"/>
        <v>38.200000000000003</v>
      </c>
    </row>
    <row r="49" spans="1:10" ht="11.1" customHeight="1" x14ac:dyDescent="0.2">
      <c r="A49" s="14" t="s">
        <v>53</v>
      </c>
      <c r="B49" s="14"/>
      <c r="C49" s="14"/>
      <c r="D49" s="16">
        <v>38.799999999999997</v>
      </c>
      <c r="E49" s="16"/>
      <c r="F49" s="6">
        <v>388</v>
      </c>
      <c r="G49" s="4">
        <v>0.7</v>
      </c>
      <c r="H49" s="6">
        <v>7</v>
      </c>
      <c r="I49">
        <f>IFERROR(VLOOKUP(A49,[1]TDSheet!$A:$H,6,0),0)</f>
        <v>2</v>
      </c>
      <c r="J49" s="30">
        <f t="shared" si="0"/>
        <v>36.799999999999997</v>
      </c>
    </row>
    <row r="50" spans="1:10" ht="11.1" customHeight="1" x14ac:dyDescent="0.2">
      <c r="A50" s="14" t="s">
        <v>54</v>
      </c>
      <c r="B50" s="14"/>
      <c r="C50" s="14"/>
      <c r="D50" s="16">
        <v>10.6</v>
      </c>
      <c r="E50" s="16"/>
      <c r="F50" s="6">
        <v>106</v>
      </c>
      <c r="G50" s="4">
        <v>0.2</v>
      </c>
      <c r="H50" s="6">
        <v>2</v>
      </c>
      <c r="I50">
        <f>IFERROR(VLOOKUP(A50,[1]TDSheet!$A:$H,6,0),0)</f>
        <v>0</v>
      </c>
      <c r="J50" s="30">
        <f t="shared" si="0"/>
        <v>10.6</v>
      </c>
    </row>
    <row r="51" spans="1:10" ht="11.1" customHeight="1" x14ac:dyDescent="0.2">
      <c r="A51" s="14" t="s">
        <v>55</v>
      </c>
      <c r="B51" s="14"/>
      <c r="C51" s="14"/>
      <c r="D51" s="15">
        <v>62.097000000000001</v>
      </c>
      <c r="E51" s="15"/>
      <c r="F51" s="6">
        <v>62.097000000000001</v>
      </c>
      <c r="G51" s="6">
        <v>0.318</v>
      </c>
      <c r="H51" s="6">
        <v>0.318</v>
      </c>
      <c r="I51">
        <f>IFERROR(VLOOKUP(A51,[1]TDSheet!$A:$H,6,0),0)</f>
        <v>0</v>
      </c>
      <c r="J51" s="30">
        <f t="shared" si="0"/>
        <v>62.097000000000001</v>
      </c>
    </row>
    <row r="52" spans="1:10" ht="11.1" customHeight="1" x14ac:dyDescent="0.2">
      <c r="A52" s="14" t="s">
        <v>56</v>
      </c>
      <c r="B52" s="14"/>
      <c r="C52" s="14"/>
      <c r="D52" s="16">
        <v>78.8</v>
      </c>
      <c r="E52" s="16"/>
      <c r="F52" s="6">
        <v>197</v>
      </c>
      <c r="G52" s="4">
        <v>1.2</v>
      </c>
      <c r="H52" s="6">
        <v>3</v>
      </c>
      <c r="I52">
        <f>IFERROR(VLOOKUP(A52,[1]TDSheet!$A:$H,6,0),0)</f>
        <v>0</v>
      </c>
      <c r="J52" s="30">
        <f t="shared" si="0"/>
        <v>78.8</v>
      </c>
    </row>
    <row r="53" spans="1:10" ht="11.1" customHeight="1" x14ac:dyDescent="0.2">
      <c r="A53" s="14" t="s">
        <v>57</v>
      </c>
      <c r="B53" s="14"/>
      <c r="C53" s="14"/>
      <c r="D53" s="20">
        <v>138</v>
      </c>
      <c r="E53" s="20"/>
      <c r="F53" s="6">
        <v>460</v>
      </c>
      <c r="G53" s="4">
        <v>6.9</v>
      </c>
      <c r="H53" s="6">
        <v>23</v>
      </c>
      <c r="I53">
        <f>IFERROR(VLOOKUP(A53,[1]TDSheet!$A:$H,6,0),0)</f>
        <v>5.4</v>
      </c>
      <c r="J53" s="30">
        <f t="shared" si="0"/>
        <v>132.6</v>
      </c>
    </row>
    <row r="54" spans="1:10" ht="11.1" customHeight="1" x14ac:dyDescent="0.2">
      <c r="A54" s="14" t="s">
        <v>58</v>
      </c>
      <c r="B54" s="14"/>
      <c r="C54" s="14"/>
      <c r="D54" s="15">
        <v>505.904</v>
      </c>
      <c r="E54" s="15"/>
      <c r="F54" s="6">
        <v>505.904</v>
      </c>
      <c r="G54" s="8">
        <v>1.46</v>
      </c>
      <c r="H54" s="6">
        <v>1.46</v>
      </c>
      <c r="I54">
        <f>IFERROR(VLOOKUP(A54,[1]TDSheet!$A:$H,6,0),0)</f>
        <v>50.332999999999998</v>
      </c>
      <c r="J54" s="30">
        <f t="shared" si="0"/>
        <v>455.57100000000003</v>
      </c>
    </row>
    <row r="55" spans="1:10" ht="11.1" customHeight="1" x14ac:dyDescent="0.2">
      <c r="A55" s="14" t="s">
        <v>59</v>
      </c>
      <c r="B55" s="14"/>
      <c r="C55" s="14"/>
      <c r="D55" s="15">
        <v>272.709</v>
      </c>
      <c r="E55" s="15"/>
      <c r="F55" s="6">
        <v>272.709</v>
      </c>
      <c r="G55" s="6">
        <v>8.7289999999999992</v>
      </c>
      <c r="H55" s="6">
        <v>8.7289999999999992</v>
      </c>
      <c r="I55">
        <f>IFERROR(VLOOKUP(A55,[1]TDSheet!$A:$H,6,0),0)</f>
        <v>0</v>
      </c>
      <c r="J55" s="30">
        <f t="shared" si="0"/>
        <v>272.709</v>
      </c>
    </row>
    <row r="56" spans="1:10" ht="11.1" customHeight="1" x14ac:dyDescent="0.2">
      <c r="A56" s="14" t="s">
        <v>60</v>
      </c>
      <c r="B56" s="14"/>
      <c r="C56" s="14"/>
      <c r="D56" s="15">
        <v>460.68200000000002</v>
      </c>
      <c r="E56" s="15"/>
      <c r="F56" s="6">
        <v>460.68200000000002</v>
      </c>
      <c r="G56" s="6">
        <v>6.0640000000000001</v>
      </c>
      <c r="H56" s="6">
        <v>6.0640000000000001</v>
      </c>
      <c r="I56">
        <f>IFERROR(VLOOKUP(A56,[1]TDSheet!$A:$H,6,0),0)</f>
        <v>22.177</v>
      </c>
      <c r="J56" s="30">
        <f t="shared" si="0"/>
        <v>438.505</v>
      </c>
    </row>
    <row r="57" spans="1:10" ht="11.1" customHeight="1" x14ac:dyDescent="0.2">
      <c r="A57" s="14" t="s">
        <v>61</v>
      </c>
      <c r="B57" s="14"/>
      <c r="C57" s="14"/>
      <c r="D57" s="15">
        <v>661.65800000000002</v>
      </c>
      <c r="E57" s="15"/>
      <c r="F57" s="6">
        <v>661.65800000000002</v>
      </c>
      <c r="G57" s="6">
        <v>13.853999999999999</v>
      </c>
      <c r="H57" s="6">
        <v>13.853999999999999</v>
      </c>
      <c r="I57">
        <f>IFERROR(VLOOKUP(A57,[1]TDSheet!$A:$H,6,0),0)</f>
        <v>53.104999999999997</v>
      </c>
      <c r="J57" s="30">
        <f t="shared" si="0"/>
        <v>608.553</v>
      </c>
    </row>
    <row r="58" spans="1:10" ht="11.1" customHeight="1" x14ac:dyDescent="0.2">
      <c r="A58" s="14" t="s">
        <v>62</v>
      </c>
      <c r="B58" s="14"/>
      <c r="C58" s="14"/>
      <c r="D58" s="16">
        <v>307.2</v>
      </c>
      <c r="E58" s="16"/>
      <c r="F58" s="5">
        <v>1024</v>
      </c>
      <c r="G58" s="4">
        <v>3.6</v>
      </c>
      <c r="H58" s="6">
        <v>12</v>
      </c>
      <c r="I58">
        <f>IFERROR(VLOOKUP(A58,[1]TDSheet!$A:$H,6,0),0)</f>
        <v>16.8</v>
      </c>
      <c r="J58" s="30">
        <f t="shared" si="0"/>
        <v>290.39999999999998</v>
      </c>
    </row>
    <row r="59" spans="1:10" ht="11.1" customHeight="1" x14ac:dyDescent="0.2">
      <c r="A59" s="14" t="s">
        <v>63</v>
      </c>
      <c r="B59" s="14"/>
      <c r="C59" s="14"/>
      <c r="D59" s="15">
        <v>19.763000000000002</v>
      </c>
      <c r="E59" s="15"/>
      <c r="F59" s="6">
        <v>19.763000000000002</v>
      </c>
      <c r="G59" s="4">
        <v>0.3</v>
      </c>
      <c r="H59" s="6">
        <v>0.3</v>
      </c>
      <c r="I59">
        <f>IFERROR(VLOOKUP(A59,[1]TDSheet!$A:$H,6,0),0)</f>
        <v>0</v>
      </c>
      <c r="J59" s="30">
        <f t="shared" si="0"/>
        <v>19.763000000000002</v>
      </c>
    </row>
    <row r="60" spans="1:10" ht="11.1" customHeight="1" x14ac:dyDescent="0.2">
      <c r="A60" s="14" t="s">
        <v>64</v>
      </c>
      <c r="B60" s="14"/>
      <c r="C60" s="14"/>
      <c r="D60" s="22">
        <v>1447.95</v>
      </c>
      <c r="E60" s="22"/>
      <c r="F60" s="5">
        <v>4137</v>
      </c>
      <c r="G60" s="4">
        <v>5.6</v>
      </c>
      <c r="H60" s="6">
        <v>16</v>
      </c>
      <c r="I60">
        <f>IFERROR(VLOOKUP(A60,[1]TDSheet!$A:$H,6,0),0)</f>
        <v>56</v>
      </c>
      <c r="J60" s="30">
        <f t="shared" si="0"/>
        <v>1391.95</v>
      </c>
    </row>
    <row r="61" spans="1:10" ht="11.1" customHeight="1" x14ac:dyDescent="0.2">
      <c r="A61" s="14" t="s">
        <v>65</v>
      </c>
      <c r="B61" s="14"/>
      <c r="C61" s="14"/>
      <c r="D61" s="19">
        <v>0.84</v>
      </c>
      <c r="E61" s="19"/>
      <c r="F61" s="6">
        <v>3</v>
      </c>
      <c r="G61" s="7"/>
      <c r="H61" s="7"/>
      <c r="I61">
        <f>IFERROR(VLOOKUP(A61,[1]TDSheet!$A:$H,6,0),0)</f>
        <v>0</v>
      </c>
      <c r="J61" s="30">
        <f t="shared" si="0"/>
        <v>0.84</v>
      </c>
    </row>
    <row r="62" spans="1:10" ht="11.1" customHeight="1" x14ac:dyDescent="0.2">
      <c r="A62" s="14" t="s">
        <v>66</v>
      </c>
      <c r="B62" s="14"/>
      <c r="C62" s="14"/>
      <c r="D62" s="19">
        <v>402.21</v>
      </c>
      <c r="E62" s="19"/>
      <c r="F62" s="6">
        <v>981</v>
      </c>
      <c r="G62" s="8">
        <v>23.78</v>
      </c>
      <c r="H62" s="6">
        <v>58</v>
      </c>
      <c r="I62">
        <f>IFERROR(VLOOKUP(A62,[1]TDSheet!$A:$H,6,0),0)</f>
        <v>13.12</v>
      </c>
      <c r="J62" s="30">
        <f t="shared" si="0"/>
        <v>389.09</v>
      </c>
    </row>
    <row r="63" spans="1:10" ht="11.1" customHeight="1" x14ac:dyDescent="0.2">
      <c r="A63" s="14" t="s">
        <v>67</v>
      </c>
      <c r="B63" s="14"/>
      <c r="C63" s="14"/>
      <c r="D63" s="19">
        <v>107.42</v>
      </c>
      <c r="E63" s="19"/>
      <c r="F63" s="6">
        <v>262</v>
      </c>
      <c r="G63" s="8">
        <v>0.41</v>
      </c>
      <c r="H63" s="6">
        <v>1</v>
      </c>
      <c r="I63">
        <f>IFERROR(VLOOKUP(A63,[1]TDSheet!$A:$H,6,0),0)</f>
        <v>0</v>
      </c>
      <c r="J63" s="30">
        <f t="shared" si="0"/>
        <v>107.42</v>
      </c>
    </row>
    <row r="64" spans="1:10" ht="11.1" customHeight="1" x14ac:dyDescent="0.2">
      <c r="A64" s="14" t="s">
        <v>68</v>
      </c>
      <c r="B64" s="14"/>
      <c r="C64" s="14"/>
      <c r="D64" s="19">
        <v>6.56</v>
      </c>
      <c r="E64" s="19"/>
      <c r="F64" s="6">
        <v>16</v>
      </c>
      <c r="G64" s="7"/>
      <c r="H64" s="7"/>
      <c r="I64">
        <f>IFERROR(VLOOKUP(A64,[1]TDSheet!$A:$H,6,0),0)</f>
        <v>6.56</v>
      </c>
      <c r="J64" s="30">
        <f t="shared" si="0"/>
        <v>0</v>
      </c>
    </row>
    <row r="65" spans="1:10" ht="11.1" customHeight="1" x14ac:dyDescent="0.2">
      <c r="A65" s="14" t="s">
        <v>69</v>
      </c>
      <c r="B65" s="14"/>
      <c r="C65" s="14"/>
      <c r="D65" s="19">
        <v>293.04000000000002</v>
      </c>
      <c r="E65" s="19"/>
      <c r="F65" s="6">
        <v>814</v>
      </c>
      <c r="G65" s="8">
        <v>2.88</v>
      </c>
      <c r="H65" s="6">
        <v>8</v>
      </c>
      <c r="I65">
        <f>IFERROR(VLOOKUP(A65,[1]TDSheet!$A:$H,6,0),0)</f>
        <v>41.04</v>
      </c>
      <c r="J65" s="30">
        <f t="shared" si="0"/>
        <v>252.00000000000003</v>
      </c>
    </row>
    <row r="66" spans="1:10" ht="11.1" customHeight="1" x14ac:dyDescent="0.2">
      <c r="A66" s="14" t="s">
        <v>70</v>
      </c>
      <c r="B66" s="14"/>
      <c r="C66" s="14"/>
      <c r="D66" s="19">
        <v>205.26</v>
      </c>
      <c r="E66" s="19"/>
      <c r="F66" s="6">
        <v>622</v>
      </c>
      <c r="G66" s="8">
        <v>1.32</v>
      </c>
      <c r="H66" s="6">
        <v>4</v>
      </c>
      <c r="I66">
        <f>IFERROR(VLOOKUP(A66,[1]TDSheet!$A:$H,6,0),0)</f>
        <v>0</v>
      </c>
      <c r="J66" s="30">
        <f t="shared" si="0"/>
        <v>205.26</v>
      </c>
    </row>
    <row r="67" spans="1:10" ht="11.1" customHeight="1" x14ac:dyDescent="0.2">
      <c r="A67" s="14" t="s">
        <v>71</v>
      </c>
      <c r="B67" s="14"/>
      <c r="C67" s="14"/>
      <c r="D67" s="20">
        <v>282</v>
      </c>
      <c r="E67" s="20"/>
      <c r="F67" s="6">
        <v>705</v>
      </c>
      <c r="G67" s="7"/>
      <c r="H67" s="7"/>
      <c r="I67">
        <f>IFERROR(VLOOKUP(A67,[1]TDSheet!$A:$H,6,0),0)</f>
        <v>57.6</v>
      </c>
      <c r="J67" s="30">
        <f t="shared" si="0"/>
        <v>224.4</v>
      </c>
    </row>
    <row r="68" spans="1:10" ht="11.1" customHeight="1" x14ac:dyDescent="0.2">
      <c r="A68" s="14" t="s">
        <v>72</v>
      </c>
      <c r="B68" s="14"/>
      <c r="C68" s="14"/>
      <c r="D68" s="16">
        <v>26.4</v>
      </c>
      <c r="E68" s="16"/>
      <c r="F68" s="6">
        <v>80</v>
      </c>
      <c r="G68" s="8">
        <v>0.99</v>
      </c>
      <c r="H68" s="6">
        <v>3</v>
      </c>
      <c r="I68">
        <f>IFERROR(VLOOKUP(A68,[1]TDSheet!$A:$H,6,0),0)</f>
        <v>0</v>
      </c>
      <c r="J68" s="30">
        <f t="shared" si="0"/>
        <v>26.4</v>
      </c>
    </row>
    <row r="69" spans="1:10" ht="11.1" customHeight="1" x14ac:dyDescent="0.2">
      <c r="A69" s="14" t="s">
        <v>73</v>
      </c>
      <c r="B69" s="14"/>
      <c r="C69" s="14"/>
      <c r="D69" s="16">
        <v>9.3000000000000007</v>
      </c>
      <c r="E69" s="16"/>
      <c r="F69" s="6">
        <v>31</v>
      </c>
      <c r="G69" s="7"/>
      <c r="H69" s="7"/>
      <c r="I69">
        <f>IFERROR(VLOOKUP(A69,[1]TDSheet!$A:$H,6,0),0)</f>
        <v>0</v>
      </c>
      <c r="J69" s="30">
        <f t="shared" si="0"/>
        <v>9.3000000000000007</v>
      </c>
    </row>
    <row r="70" spans="1:10" ht="11.1" customHeight="1" x14ac:dyDescent="0.2">
      <c r="A70" s="14" t="s">
        <v>74</v>
      </c>
      <c r="B70" s="14"/>
      <c r="C70" s="14"/>
      <c r="D70" s="23">
        <v>1731.5250000000001</v>
      </c>
      <c r="E70" s="23"/>
      <c r="F70" s="5">
        <v>1731.5250000000001</v>
      </c>
      <c r="G70" s="6">
        <v>6.0289999999999999</v>
      </c>
      <c r="H70" s="6">
        <v>6.0289999999999999</v>
      </c>
      <c r="I70">
        <f>IFERROR(VLOOKUP(A70,[1]TDSheet!$A:$H,6,0),0)</f>
        <v>76.003</v>
      </c>
      <c r="J70" s="30">
        <f t="shared" si="0"/>
        <v>1655.5220000000002</v>
      </c>
    </row>
    <row r="71" spans="1:10" ht="11.1" customHeight="1" x14ac:dyDescent="0.2">
      <c r="A71" s="14" t="s">
        <v>75</v>
      </c>
      <c r="B71" s="14"/>
      <c r="C71" s="14"/>
      <c r="D71" s="15">
        <v>35.359000000000002</v>
      </c>
      <c r="E71" s="15"/>
      <c r="F71" s="6">
        <v>35.359000000000002</v>
      </c>
      <c r="G71" s="6">
        <v>2.5390000000000001</v>
      </c>
      <c r="H71" s="6">
        <v>2.5390000000000001</v>
      </c>
      <c r="I71">
        <f>IFERROR(VLOOKUP(A71,[1]TDSheet!$A:$H,6,0),0)</f>
        <v>0</v>
      </c>
      <c r="J71" s="30">
        <f t="shared" si="0"/>
        <v>35.359000000000002</v>
      </c>
    </row>
    <row r="72" spans="1:10" ht="11.1" customHeight="1" x14ac:dyDescent="0.2">
      <c r="A72" s="14" t="s">
        <v>76</v>
      </c>
      <c r="B72" s="14"/>
      <c r="C72" s="14"/>
      <c r="D72" s="16">
        <v>-0.3</v>
      </c>
      <c r="E72" s="16"/>
      <c r="F72" s="6">
        <v>-3</v>
      </c>
      <c r="G72" s="4">
        <v>0.3</v>
      </c>
      <c r="H72" s="6">
        <v>3</v>
      </c>
      <c r="I72">
        <f>IFERROR(VLOOKUP(A72,[1]TDSheet!$A:$H,6,0),0)</f>
        <v>0</v>
      </c>
      <c r="J72" s="30">
        <f t="shared" ref="J72:J131" si="1">D72-I72</f>
        <v>-0.3</v>
      </c>
    </row>
    <row r="73" spans="1:10" ht="11.1" customHeight="1" x14ac:dyDescent="0.2">
      <c r="A73" s="14" t="s">
        <v>77</v>
      </c>
      <c r="B73" s="14"/>
      <c r="C73" s="14"/>
      <c r="D73" s="16">
        <v>29.6</v>
      </c>
      <c r="E73" s="16"/>
      <c r="F73" s="6">
        <v>74</v>
      </c>
      <c r="G73" s="4">
        <v>5.2</v>
      </c>
      <c r="H73" s="6">
        <v>13</v>
      </c>
      <c r="I73">
        <f>IFERROR(VLOOKUP(A73,[1]TDSheet!$A:$H,6,0),0)</f>
        <v>0</v>
      </c>
      <c r="J73" s="30">
        <f t="shared" si="1"/>
        <v>29.6</v>
      </c>
    </row>
    <row r="74" spans="1:10" ht="11.1" customHeight="1" x14ac:dyDescent="0.2">
      <c r="A74" s="14" t="s">
        <v>78</v>
      </c>
      <c r="B74" s="14"/>
      <c r="C74" s="14"/>
      <c r="D74" s="15">
        <v>59.756</v>
      </c>
      <c r="E74" s="15"/>
      <c r="F74" s="6">
        <v>59.756</v>
      </c>
      <c r="G74" s="8">
        <v>0.93</v>
      </c>
      <c r="H74" s="6">
        <v>0.93</v>
      </c>
      <c r="I74">
        <f>IFERROR(VLOOKUP(A74,[1]TDSheet!$A:$H,6,0),0)</f>
        <v>0</v>
      </c>
      <c r="J74" s="30">
        <f t="shared" si="1"/>
        <v>59.756</v>
      </c>
    </row>
    <row r="75" spans="1:10" ht="11.1" customHeight="1" x14ac:dyDescent="0.2">
      <c r="A75" s="14" t="s">
        <v>79</v>
      </c>
      <c r="B75" s="14"/>
      <c r="C75" s="14"/>
      <c r="D75" s="15">
        <v>63.265000000000001</v>
      </c>
      <c r="E75" s="15"/>
      <c r="F75" s="6">
        <v>63.265000000000001</v>
      </c>
      <c r="G75" s="7"/>
      <c r="H75" s="7"/>
      <c r="I75">
        <f>IFERROR(VLOOKUP(A75,[1]TDSheet!$A:$H,6,0),0)</f>
        <v>0</v>
      </c>
      <c r="J75" s="30">
        <f t="shared" si="1"/>
        <v>63.265000000000001</v>
      </c>
    </row>
    <row r="76" spans="1:10" ht="11.1" customHeight="1" x14ac:dyDescent="0.2">
      <c r="A76" s="14" t="s">
        <v>80</v>
      </c>
      <c r="B76" s="14"/>
      <c r="C76" s="14"/>
      <c r="D76" s="16">
        <v>45.6</v>
      </c>
      <c r="E76" s="16"/>
      <c r="F76" s="6">
        <v>76</v>
      </c>
      <c r="G76" s="4">
        <v>1.2</v>
      </c>
      <c r="H76" s="6">
        <v>2</v>
      </c>
      <c r="I76">
        <f>IFERROR(VLOOKUP(A76,[1]TDSheet!$A:$H,6,0),0)</f>
        <v>0</v>
      </c>
      <c r="J76" s="30">
        <f t="shared" si="1"/>
        <v>45.6</v>
      </c>
    </row>
    <row r="77" spans="1:10" ht="11.1" customHeight="1" x14ac:dyDescent="0.2">
      <c r="A77" s="14" t="s">
        <v>81</v>
      </c>
      <c r="B77" s="14"/>
      <c r="C77" s="14"/>
      <c r="D77" s="15">
        <v>17.864000000000001</v>
      </c>
      <c r="E77" s="15"/>
      <c r="F77" s="6">
        <v>17.864000000000001</v>
      </c>
      <c r="G77" s="8">
        <v>1.72</v>
      </c>
      <c r="H77" s="6">
        <v>1.72</v>
      </c>
      <c r="I77">
        <f>IFERROR(VLOOKUP(A77,[1]TDSheet!$A:$H,6,0),0)</f>
        <v>0</v>
      </c>
      <c r="J77" s="30">
        <f t="shared" si="1"/>
        <v>17.864000000000001</v>
      </c>
    </row>
    <row r="78" spans="1:10" ht="11.1" customHeight="1" x14ac:dyDescent="0.2">
      <c r="A78" s="14" t="s">
        <v>82</v>
      </c>
      <c r="B78" s="14"/>
      <c r="C78" s="14"/>
      <c r="D78" s="15">
        <v>12.435</v>
      </c>
      <c r="E78" s="15"/>
      <c r="F78" s="6">
        <v>12.435</v>
      </c>
      <c r="G78" s="7"/>
      <c r="H78" s="7"/>
      <c r="I78">
        <f>IFERROR(VLOOKUP(A78,[1]TDSheet!$A:$H,6,0),0)</f>
        <v>0</v>
      </c>
      <c r="J78" s="30">
        <f t="shared" si="1"/>
        <v>12.435</v>
      </c>
    </row>
    <row r="79" spans="1:10" ht="11.1" customHeight="1" x14ac:dyDescent="0.2">
      <c r="A79" s="14" t="s">
        <v>83</v>
      </c>
      <c r="B79" s="14"/>
      <c r="C79" s="14"/>
      <c r="D79" s="16">
        <v>53.5</v>
      </c>
      <c r="E79" s="16"/>
      <c r="F79" s="6">
        <v>214</v>
      </c>
      <c r="G79" s="8">
        <v>0.25</v>
      </c>
      <c r="H79" s="6">
        <v>1</v>
      </c>
      <c r="I79">
        <f>IFERROR(VLOOKUP(A79,[1]TDSheet!$A:$H,6,0),0)</f>
        <v>8</v>
      </c>
      <c r="J79" s="30">
        <f t="shared" si="1"/>
        <v>45.5</v>
      </c>
    </row>
    <row r="80" spans="1:10" ht="11.1" customHeight="1" x14ac:dyDescent="0.2">
      <c r="A80" s="14" t="s">
        <v>84</v>
      </c>
      <c r="B80" s="14"/>
      <c r="C80" s="14"/>
      <c r="D80" s="15">
        <v>57.079000000000001</v>
      </c>
      <c r="E80" s="15"/>
      <c r="F80" s="6">
        <v>57.079000000000001</v>
      </c>
      <c r="G80" s="6">
        <v>1.484</v>
      </c>
      <c r="H80" s="6">
        <v>1.484</v>
      </c>
      <c r="I80">
        <f>IFERROR(VLOOKUP(A80,[1]TDSheet!$A:$H,6,0),0)</f>
        <v>0</v>
      </c>
      <c r="J80" s="30">
        <f t="shared" si="1"/>
        <v>57.079000000000001</v>
      </c>
    </row>
    <row r="81" spans="1:10" ht="11.1" customHeight="1" x14ac:dyDescent="0.2">
      <c r="A81" s="14" t="s">
        <v>85</v>
      </c>
      <c r="B81" s="14"/>
      <c r="C81" s="14"/>
      <c r="D81" s="19">
        <v>15.66</v>
      </c>
      <c r="E81" s="19"/>
      <c r="F81" s="6">
        <v>58</v>
      </c>
      <c r="G81" s="7"/>
      <c r="H81" s="7"/>
      <c r="I81">
        <f>IFERROR(VLOOKUP(A81,[1]TDSheet!$A:$H,6,0),0)</f>
        <v>0</v>
      </c>
      <c r="J81" s="30">
        <f t="shared" si="1"/>
        <v>15.66</v>
      </c>
    </row>
    <row r="82" spans="1:10" ht="11.1" customHeight="1" x14ac:dyDescent="0.2">
      <c r="A82" s="14" t="s">
        <v>86</v>
      </c>
      <c r="B82" s="14"/>
      <c r="C82" s="14"/>
      <c r="D82" s="16">
        <v>107.1</v>
      </c>
      <c r="E82" s="16"/>
      <c r="F82" s="6">
        <v>357</v>
      </c>
      <c r="G82" s="4">
        <v>3.6</v>
      </c>
      <c r="H82" s="6">
        <v>12</v>
      </c>
      <c r="I82">
        <f>IFERROR(VLOOKUP(A82,[1]TDSheet!$A:$H,6,0),0)</f>
        <v>0</v>
      </c>
      <c r="J82" s="30">
        <f t="shared" si="1"/>
        <v>107.1</v>
      </c>
    </row>
    <row r="83" spans="1:10" ht="11.1" customHeight="1" x14ac:dyDescent="0.2">
      <c r="A83" s="14" t="s">
        <v>87</v>
      </c>
      <c r="B83" s="14"/>
      <c r="C83" s="14"/>
      <c r="D83" s="22">
        <v>1924.13</v>
      </c>
      <c r="E83" s="22"/>
      <c r="F83" s="5">
        <v>4693</v>
      </c>
      <c r="G83" s="8">
        <v>0.82</v>
      </c>
      <c r="H83" s="6">
        <v>2</v>
      </c>
      <c r="I83">
        <f>IFERROR(VLOOKUP(A83,[1]TDSheet!$A:$H,6,0),0)</f>
        <v>106.6</v>
      </c>
      <c r="J83" s="30">
        <f t="shared" si="1"/>
        <v>1817.5300000000002</v>
      </c>
    </row>
    <row r="84" spans="1:10" ht="11.1" customHeight="1" x14ac:dyDescent="0.2">
      <c r="A84" s="14" t="s">
        <v>88</v>
      </c>
      <c r="B84" s="14"/>
      <c r="C84" s="14"/>
      <c r="D84" s="19">
        <v>70.11</v>
      </c>
      <c r="E84" s="19"/>
      <c r="F84" s="6">
        <v>171</v>
      </c>
      <c r="G84" s="7"/>
      <c r="H84" s="7"/>
      <c r="I84">
        <f>IFERROR(VLOOKUP(A84,[1]TDSheet!$A:$H,6,0),0)</f>
        <v>0</v>
      </c>
      <c r="J84" s="30">
        <f t="shared" si="1"/>
        <v>70.11</v>
      </c>
    </row>
    <row r="85" spans="1:10" ht="11.1" customHeight="1" x14ac:dyDescent="0.2">
      <c r="A85" s="14" t="s">
        <v>89</v>
      </c>
      <c r="B85" s="14"/>
      <c r="C85" s="14"/>
      <c r="D85" s="23">
        <v>1457.8510000000001</v>
      </c>
      <c r="E85" s="23"/>
      <c r="F85" s="5">
        <v>1457.8510000000001</v>
      </c>
      <c r="G85" s="6">
        <v>4.2169999999999996</v>
      </c>
      <c r="H85" s="6">
        <v>4.2169999999999996</v>
      </c>
      <c r="I85">
        <f>IFERROR(VLOOKUP(A85,[1]TDSheet!$A:$H,6,0),0)</f>
        <v>0</v>
      </c>
      <c r="J85" s="30">
        <f t="shared" si="1"/>
        <v>1457.8510000000001</v>
      </c>
    </row>
    <row r="86" spans="1:10" ht="11.1" customHeight="1" x14ac:dyDescent="0.2">
      <c r="A86" s="14" t="s">
        <v>90</v>
      </c>
      <c r="B86" s="14"/>
      <c r="C86" s="14"/>
      <c r="D86" s="16">
        <v>60.2</v>
      </c>
      <c r="E86" s="16"/>
      <c r="F86" s="6">
        <v>172</v>
      </c>
      <c r="G86" s="8">
        <v>0.35</v>
      </c>
      <c r="H86" s="6">
        <v>1</v>
      </c>
      <c r="I86">
        <f>IFERROR(VLOOKUP(A86,[1]TDSheet!$A:$H,6,0),0)</f>
        <v>0</v>
      </c>
      <c r="J86" s="30">
        <f t="shared" si="1"/>
        <v>60.2</v>
      </c>
    </row>
    <row r="87" spans="1:10" ht="11.1" customHeight="1" x14ac:dyDescent="0.2">
      <c r="A87" s="14" t="s">
        <v>91</v>
      </c>
      <c r="B87" s="14"/>
      <c r="C87" s="14"/>
      <c r="D87" s="16">
        <v>1.2</v>
      </c>
      <c r="E87" s="16"/>
      <c r="F87" s="6">
        <v>3</v>
      </c>
      <c r="G87" s="7"/>
      <c r="H87" s="7"/>
      <c r="I87">
        <f>IFERROR(VLOOKUP(A87,[1]TDSheet!$A:$H,6,0),0)</f>
        <v>0</v>
      </c>
      <c r="J87" s="30">
        <f t="shared" si="1"/>
        <v>1.2</v>
      </c>
    </row>
    <row r="88" spans="1:10" ht="11.1" customHeight="1" x14ac:dyDescent="0.2">
      <c r="A88" s="14" t="s">
        <v>92</v>
      </c>
      <c r="B88" s="14"/>
      <c r="C88" s="14"/>
      <c r="D88" s="19">
        <v>891.75</v>
      </c>
      <c r="E88" s="19"/>
      <c r="F88" s="5">
        <v>2175</v>
      </c>
      <c r="G88" s="8">
        <v>4.51</v>
      </c>
      <c r="H88" s="6">
        <v>11</v>
      </c>
      <c r="I88">
        <f>IFERROR(VLOOKUP(A88,[1]TDSheet!$A:$H,6,0),0)</f>
        <v>0</v>
      </c>
      <c r="J88" s="30">
        <f t="shared" si="1"/>
        <v>891.75</v>
      </c>
    </row>
    <row r="89" spans="1:10" ht="11.1" customHeight="1" x14ac:dyDescent="0.2">
      <c r="A89" s="14" t="s">
        <v>93</v>
      </c>
      <c r="B89" s="14"/>
      <c r="C89" s="14"/>
      <c r="D89" s="19">
        <v>-0.93</v>
      </c>
      <c r="E89" s="19"/>
      <c r="F89" s="6">
        <v>-0.93</v>
      </c>
      <c r="G89" s="8">
        <v>0.93</v>
      </c>
      <c r="H89" s="6">
        <v>0.93</v>
      </c>
      <c r="I89">
        <f>IFERROR(VLOOKUP(A89,[1]TDSheet!$A:$H,6,0),0)</f>
        <v>0</v>
      </c>
      <c r="J89" s="30">
        <f t="shared" si="1"/>
        <v>-0.93</v>
      </c>
    </row>
    <row r="90" spans="1:10" ht="11.1" customHeight="1" x14ac:dyDescent="0.2">
      <c r="A90" s="14" t="s">
        <v>94</v>
      </c>
      <c r="B90" s="14"/>
      <c r="C90" s="14"/>
      <c r="D90" s="15">
        <v>347.75200000000001</v>
      </c>
      <c r="E90" s="15"/>
      <c r="F90" s="6">
        <v>347.75200000000001</v>
      </c>
      <c r="G90" s="6">
        <v>1.5880000000000001</v>
      </c>
      <c r="H90" s="6">
        <v>1.5880000000000001</v>
      </c>
      <c r="I90">
        <f>IFERROR(VLOOKUP(A90,[1]TDSheet!$A:$H,6,0),0)</f>
        <v>18.73</v>
      </c>
      <c r="J90" s="30">
        <f t="shared" si="1"/>
        <v>329.02199999999999</v>
      </c>
    </row>
    <row r="91" spans="1:10" ht="11.1" customHeight="1" x14ac:dyDescent="0.2">
      <c r="A91" s="14" t="s">
        <v>95</v>
      </c>
      <c r="B91" s="14"/>
      <c r="C91" s="14"/>
      <c r="D91" s="16">
        <v>64.8</v>
      </c>
      <c r="E91" s="16"/>
      <c r="F91" s="6">
        <v>216</v>
      </c>
      <c r="G91" s="4">
        <v>0.6</v>
      </c>
      <c r="H91" s="6">
        <v>2</v>
      </c>
      <c r="I91">
        <f>IFERROR(VLOOKUP(A91,[1]TDSheet!$A:$H,6,0),0)</f>
        <v>0</v>
      </c>
      <c r="J91" s="30">
        <f t="shared" si="1"/>
        <v>64.8</v>
      </c>
    </row>
    <row r="92" spans="1:10" ht="11.1" customHeight="1" x14ac:dyDescent="0.2">
      <c r="A92" s="14" t="s">
        <v>96</v>
      </c>
      <c r="B92" s="14"/>
      <c r="C92" s="14"/>
      <c r="D92" s="19">
        <v>204.84</v>
      </c>
      <c r="E92" s="19"/>
      <c r="F92" s="5">
        <v>1138</v>
      </c>
      <c r="G92" s="8">
        <v>1.62</v>
      </c>
      <c r="H92" s="6">
        <v>9</v>
      </c>
      <c r="I92">
        <f>IFERROR(VLOOKUP(A92,[1]TDSheet!$A:$H,6,0),0)</f>
        <v>10.8</v>
      </c>
      <c r="J92" s="30">
        <f t="shared" si="1"/>
        <v>194.04</v>
      </c>
    </row>
    <row r="93" spans="1:10" ht="11.1" customHeight="1" x14ac:dyDescent="0.2">
      <c r="A93" s="14" t="s">
        <v>97</v>
      </c>
      <c r="B93" s="14"/>
      <c r="C93" s="14"/>
      <c r="D93" s="19">
        <v>1.98</v>
      </c>
      <c r="E93" s="19"/>
      <c r="F93" s="6">
        <v>9</v>
      </c>
      <c r="G93" s="8">
        <v>0.66</v>
      </c>
      <c r="H93" s="6">
        <v>3</v>
      </c>
      <c r="I93">
        <f>IFERROR(VLOOKUP(A93,[1]TDSheet!$A:$H,6,0),0)</f>
        <v>0</v>
      </c>
      <c r="J93" s="30">
        <f t="shared" si="1"/>
        <v>1.98</v>
      </c>
    </row>
    <row r="94" spans="1:10" ht="11.1" customHeight="1" x14ac:dyDescent="0.2">
      <c r="A94" s="14" t="s">
        <v>98</v>
      </c>
      <c r="B94" s="14"/>
      <c r="C94" s="14"/>
      <c r="D94" s="19">
        <v>10.08</v>
      </c>
      <c r="E94" s="19"/>
      <c r="F94" s="6">
        <v>12</v>
      </c>
      <c r="G94" s="7"/>
      <c r="H94" s="7"/>
      <c r="I94">
        <f>IFERROR(VLOOKUP(A94,[1]TDSheet!$A:$H,6,0),0)</f>
        <v>10.08</v>
      </c>
      <c r="J94" s="30">
        <f t="shared" si="1"/>
        <v>0</v>
      </c>
    </row>
    <row r="95" spans="1:10" ht="11.1" customHeight="1" x14ac:dyDescent="0.2">
      <c r="A95" s="14" t="s">
        <v>99</v>
      </c>
      <c r="B95" s="14"/>
      <c r="C95" s="14"/>
      <c r="D95" s="21">
        <v>1103.2</v>
      </c>
      <c r="E95" s="21"/>
      <c r="F95" s="5">
        <v>3152</v>
      </c>
      <c r="G95" s="8">
        <v>5.25</v>
      </c>
      <c r="H95" s="6">
        <v>15</v>
      </c>
      <c r="I95">
        <f>IFERROR(VLOOKUP(A95,[1]TDSheet!$A:$H,6,0),0)</f>
        <v>39.200000000000003</v>
      </c>
      <c r="J95" s="30">
        <f t="shared" si="1"/>
        <v>1064</v>
      </c>
    </row>
    <row r="96" spans="1:10" ht="11.1" customHeight="1" x14ac:dyDescent="0.2">
      <c r="A96" s="14" t="s">
        <v>100</v>
      </c>
      <c r="B96" s="14"/>
      <c r="C96" s="14"/>
      <c r="D96" s="15">
        <v>638.88300000000004</v>
      </c>
      <c r="E96" s="15"/>
      <c r="F96" s="6">
        <v>638.88300000000004</v>
      </c>
      <c r="G96" s="6">
        <v>0.72899999999999998</v>
      </c>
      <c r="H96" s="6">
        <v>0.72899999999999998</v>
      </c>
      <c r="I96">
        <f>IFERROR(VLOOKUP(A96,[1]TDSheet!$A:$H,6,0),0)</f>
        <v>10.744999999999999</v>
      </c>
      <c r="J96" s="30">
        <f t="shared" si="1"/>
        <v>628.13800000000003</v>
      </c>
    </row>
    <row r="97" spans="1:10" ht="11.1" customHeight="1" x14ac:dyDescent="0.2">
      <c r="A97" s="14" t="s">
        <v>101</v>
      </c>
      <c r="B97" s="14"/>
      <c r="C97" s="14"/>
      <c r="D97" s="22">
        <v>1339.45</v>
      </c>
      <c r="E97" s="22"/>
      <c r="F97" s="5">
        <v>1339.45</v>
      </c>
      <c r="G97" s="6">
        <v>2.7919999999999998</v>
      </c>
      <c r="H97" s="6">
        <v>2.7919999999999998</v>
      </c>
      <c r="I97">
        <f>IFERROR(VLOOKUP(A97,[1]TDSheet!$A:$H,6,0),0)</f>
        <v>61.853999999999999</v>
      </c>
      <c r="J97" s="30">
        <f t="shared" si="1"/>
        <v>1277.596</v>
      </c>
    </row>
    <row r="98" spans="1:10" ht="11.1" customHeight="1" x14ac:dyDescent="0.2">
      <c r="A98" s="14" t="s">
        <v>102</v>
      </c>
      <c r="B98" s="14"/>
      <c r="C98" s="14"/>
      <c r="D98" s="21">
        <v>1201.2</v>
      </c>
      <c r="E98" s="21"/>
      <c r="F98" s="5">
        <v>3432</v>
      </c>
      <c r="G98" s="4">
        <v>9.8000000000000007</v>
      </c>
      <c r="H98" s="6">
        <v>28</v>
      </c>
      <c r="I98">
        <f>IFERROR(VLOOKUP(A98,[1]TDSheet!$A:$H,6,0),0)</f>
        <v>5.6</v>
      </c>
      <c r="J98" s="30">
        <f t="shared" si="1"/>
        <v>1195.6000000000001</v>
      </c>
    </row>
    <row r="99" spans="1:10" ht="11.1" customHeight="1" x14ac:dyDescent="0.2">
      <c r="A99" s="14" t="s">
        <v>103</v>
      </c>
      <c r="B99" s="14"/>
      <c r="C99" s="14"/>
      <c r="D99" s="16">
        <v>117.3</v>
      </c>
      <c r="E99" s="16"/>
      <c r="F99" s="6">
        <v>391</v>
      </c>
      <c r="G99" s="4">
        <v>1.2</v>
      </c>
      <c r="H99" s="6">
        <v>4</v>
      </c>
      <c r="I99">
        <f>IFERROR(VLOOKUP(A99,[1]TDSheet!$A:$H,6,0),0)</f>
        <v>0</v>
      </c>
      <c r="J99" s="30">
        <f t="shared" si="1"/>
        <v>117.3</v>
      </c>
    </row>
    <row r="100" spans="1:10" ht="11.1" customHeight="1" x14ac:dyDescent="0.2">
      <c r="A100" s="14" t="s">
        <v>104</v>
      </c>
      <c r="B100" s="14"/>
      <c r="C100" s="14"/>
      <c r="D100" s="16">
        <v>128.80000000000001</v>
      </c>
      <c r="E100" s="16"/>
      <c r="F100" s="6">
        <v>184</v>
      </c>
      <c r="G100" s="4">
        <v>4.9000000000000004</v>
      </c>
      <c r="H100" s="6">
        <v>7</v>
      </c>
      <c r="I100">
        <f>IFERROR(VLOOKUP(A100,[1]TDSheet!$A:$H,6,0),0)</f>
        <v>0</v>
      </c>
      <c r="J100" s="30">
        <f t="shared" si="1"/>
        <v>128.80000000000001</v>
      </c>
    </row>
    <row r="101" spans="1:10" ht="11.1" customHeight="1" x14ac:dyDescent="0.2">
      <c r="A101" s="14" t="s">
        <v>105</v>
      </c>
      <c r="B101" s="14"/>
      <c r="C101" s="14"/>
      <c r="D101" s="16">
        <v>56.7</v>
      </c>
      <c r="E101" s="16"/>
      <c r="F101" s="6">
        <v>189</v>
      </c>
      <c r="G101" s="7"/>
      <c r="H101" s="7"/>
      <c r="I101">
        <f>IFERROR(VLOOKUP(A101,[1]TDSheet!$A:$H,6,0),0)</f>
        <v>0</v>
      </c>
      <c r="J101" s="30">
        <f t="shared" si="1"/>
        <v>56.7</v>
      </c>
    </row>
    <row r="102" spans="1:10" ht="11.1" customHeight="1" x14ac:dyDescent="0.2">
      <c r="A102" s="14" t="s">
        <v>106</v>
      </c>
      <c r="B102" s="14"/>
      <c r="C102" s="14"/>
      <c r="D102" s="19">
        <v>152.32</v>
      </c>
      <c r="E102" s="19"/>
      <c r="F102" s="6">
        <v>544</v>
      </c>
      <c r="G102" s="8">
        <v>3.64</v>
      </c>
      <c r="H102" s="6">
        <v>13</v>
      </c>
      <c r="I102">
        <f>IFERROR(VLOOKUP(A102,[1]TDSheet!$A:$H,6,0),0)</f>
        <v>11.2</v>
      </c>
      <c r="J102" s="30">
        <f t="shared" si="1"/>
        <v>141.12</v>
      </c>
    </row>
    <row r="103" spans="1:10" ht="11.1" customHeight="1" x14ac:dyDescent="0.2">
      <c r="A103" s="14" t="s">
        <v>107</v>
      </c>
      <c r="B103" s="14"/>
      <c r="C103" s="14"/>
      <c r="D103" s="16">
        <v>320.60000000000002</v>
      </c>
      <c r="E103" s="16"/>
      <c r="F103" s="5">
        <v>1145</v>
      </c>
      <c r="G103" s="4">
        <v>4.2</v>
      </c>
      <c r="H103" s="6">
        <v>15</v>
      </c>
      <c r="I103">
        <f>IFERROR(VLOOKUP(A103,[1]TDSheet!$A:$H,6,0),0)</f>
        <v>17.920000000000002</v>
      </c>
      <c r="J103" s="30">
        <f t="shared" si="1"/>
        <v>302.68</v>
      </c>
    </row>
    <row r="104" spans="1:10" ht="11.1" customHeight="1" x14ac:dyDescent="0.2">
      <c r="A104" s="14" t="s">
        <v>108</v>
      </c>
      <c r="B104" s="14"/>
      <c r="C104" s="14"/>
      <c r="D104" s="19">
        <v>59.92</v>
      </c>
      <c r="E104" s="19"/>
      <c r="F104" s="6">
        <v>214</v>
      </c>
      <c r="G104" s="8">
        <v>3.36</v>
      </c>
      <c r="H104" s="6">
        <v>12</v>
      </c>
      <c r="I104">
        <f>IFERROR(VLOOKUP(A104,[1]TDSheet!$A:$H,6,0),0)</f>
        <v>0</v>
      </c>
      <c r="J104" s="30">
        <f t="shared" si="1"/>
        <v>59.92</v>
      </c>
    </row>
    <row r="105" spans="1:10" ht="11.1" customHeight="1" x14ac:dyDescent="0.2">
      <c r="A105" s="14" t="s">
        <v>109</v>
      </c>
      <c r="B105" s="14"/>
      <c r="C105" s="14"/>
      <c r="D105" s="16">
        <v>250.6</v>
      </c>
      <c r="E105" s="16"/>
      <c r="F105" s="6">
        <v>895</v>
      </c>
      <c r="G105" s="8">
        <v>1.96</v>
      </c>
      <c r="H105" s="6">
        <v>7</v>
      </c>
      <c r="I105">
        <f>IFERROR(VLOOKUP(A105,[1]TDSheet!$A:$H,6,0),0)</f>
        <v>15.68</v>
      </c>
      <c r="J105" s="30">
        <f t="shared" si="1"/>
        <v>234.92</v>
      </c>
    </row>
    <row r="106" spans="1:10" ht="11.1" customHeight="1" x14ac:dyDescent="0.2">
      <c r="A106" s="14" t="s">
        <v>110</v>
      </c>
      <c r="B106" s="14"/>
      <c r="C106" s="14"/>
      <c r="D106" s="16">
        <v>472.8</v>
      </c>
      <c r="E106" s="16"/>
      <c r="F106" s="5">
        <v>1182</v>
      </c>
      <c r="G106" s="9">
        <v>2</v>
      </c>
      <c r="H106" s="6">
        <v>5</v>
      </c>
      <c r="I106">
        <f>IFERROR(VLOOKUP(A106,[1]TDSheet!$A:$H,6,0),0)</f>
        <v>16.8</v>
      </c>
      <c r="J106" s="30">
        <f t="shared" si="1"/>
        <v>456</v>
      </c>
    </row>
    <row r="107" spans="1:10" ht="11.1" customHeight="1" x14ac:dyDescent="0.2">
      <c r="A107" s="14" t="s">
        <v>111</v>
      </c>
      <c r="B107" s="14"/>
      <c r="C107" s="14"/>
      <c r="D107" s="15">
        <v>63.042000000000002</v>
      </c>
      <c r="E107" s="15"/>
      <c r="F107" s="6">
        <v>63.042000000000002</v>
      </c>
      <c r="G107" s="7"/>
      <c r="H107" s="7"/>
      <c r="I107">
        <f>IFERROR(VLOOKUP(A107,[1]TDSheet!$A:$H,6,0),0)</f>
        <v>63.042000000000002</v>
      </c>
      <c r="J107" s="30">
        <f t="shared" si="1"/>
        <v>0</v>
      </c>
    </row>
    <row r="108" spans="1:10" ht="11.1" customHeight="1" x14ac:dyDescent="0.2">
      <c r="A108" s="14" t="s">
        <v>112</v>
      </c>
      <c r="B108" s="14"/>
      <c r="C108" s="14"/>
      <c r="D108" s="16">
        <v>24.9</v>
      </c>
      <c r="E108" s="16"/>
      <c r="F108" s="6">
        <v>83</v>
      </c>
      <c r="G108" s="7"/>
      <c r="H108" s="7"/>
      <c r="I108">
        <f>IFERROR(VLOOKUP(A108,[1]TDSheet!$A:$H,6,0),0)</f>
        <v>0</v>
      </c>
      <c r="J108" s="30">
        <f t="shared" si="1"/>
        <v>24.9</v>
      </c>
    </row>
    <row r="109" spans="1:10" ht="11.1" customHeight="1" x14ac:dyDescent="0.2">
      <c r="A109" s="14" t="s">
        <v>113</v>
      </c>
      <c r="B109" s="14"/>
      <c r="C109" s="14"/>
      <c r="D109" s="19">
        <v>20.79</v>
      </c>
      <c r="E109" s="19"/>
      <c r="F109" s="6">
        <v>63</v>
      </c>
      <c r="G109" s="8">
        <v>2.31</v>
      </c>
      <c r="H109" s="6">
        <v>7</v>
      </c>
      <c r="I109">
        <f>IFERROR(VLOOKUP(A109,[1]TDSheet!$A:$H,6,0),0)</f>
        <v>9.9</v>
      </c>
      <c r="J109" s="30">
        <f t="shared" si="1"/>
        <v>10.889999999999999</v>
      </c>
    </row>
    <row r="110" spans="1:10" ht="11.1" customHeight="1" x14ac:dyDescent="0.2">
      <c r="A110" s="14" t="s">
        <v>114</v>
      </c>
      <c r="B110" s="14"/>
      <c r="C110" s="14"/>
      <c r="D110" s="16">
        <v>13.3</v>
      </c>
      <c r="E110" s="16"/>
      <c r="F110" s="6">
        <v>133</v>
      </c>
      <c r="G110" s="7"/>
      <c r="H110" s="7"/>
      <c r="I110">
        <f>IFERROR(VLOOKUP(A110,[1]TDSheet!$A:$H,6,0),0)</f>
        <v>2</v>
      </c>
      <c r="J110" s="30">
        <f t="shared" si="1"/>
        <v>11.3</v>
      </c>
    </row>
    <row r="111" spans="1:10" ht="11.1" customHeight="1" x14ac:dyDescent="0.2">
      <c r="A111" s="14" t="s">
        <v>115</v>
      </c>
      <c r="B111" s="14"/>
      <c r="C111" s="14"/>
      <c r="D111" s="15">
        <v>49.738</v>
      </c>
      <c r="E111" s="15"/>
      <c r="F111" s="6">
        <v>49.738</v>
      </c>
      <c r="G111" s="7"/>
      <c r="H111" s="7"/>
      <c r="I111">
        <f>IFERROR(VLOOKUP(A111,[1]TDSheet!$A:$H,6,0),0)</f>
        <v>0</v>
      </c>
      <c r="J111" s="30">
        <f t="shared" si="1"/>
        <v>49.738</v>
      </c>
    </row>
    <row r="112" spans="1:10" ht="11.1" customHeight="1" x14ac:dyDescent="0.2">
      <c r="A112" s="14" t="s">
        <v>116</v>
      </c>
      <c r="B112" s="14"/>
      <c r="C112" s="14"/>
      <c r="D112" s="19">
        <v>14.84</v>
      </c>
      <c r="E112" s="19"/>
      <c r="F112" s="6">
        <v>53</v>
      </c>
      <c r="G112" s="8">
        <v>0.28000000000000003</v>
      </c>
      <c r="H112" s="6">
        <v>1</v>
      </c>
      <c r="I112">
        <f>IFERROR(VLOOKUP(A112,[1]TDSheet!$A:$H,6,0),0)</f>
        <v>0</v>
      </c>
      <c r="J112" s="30">
        <f t="shared" si="1"/>
        <v>14.84</v>
      </c>
    </row>
    <row r="113" spans="1:10" ht="11.1" customHeight="1" x14ac:dyDescent="0.2">
      <c r="A113" s="14" t="s">
        <v>117</v>
      </c>
      <c r="B113" s="14"/>
      <c r="C113" s="14"/>
      <c r="D113" s="19">
        <v>39.479999999999997</v>
      </c>
      <c r="E113" s="19"/>
      <c r="F113" s="6">
        <v>141</v>
      </c>
      <c r="G113" s="8">
        <v>0.28000000000000003</v>
      </c>
      <c r="H113" s="6">
        <v>1</v>
      </c>
      <c r="I113">
        <f>IFERROR(VLOOKUP(A113,[1]TDSheet!$A:$H,6,0),0)</f>
        <v>24.64</v>
      </c>
      <c r="J113" s="30">
        <f t="shared" si="1"/>
        <v>14.839999999999996</v>
      </c>
    </row>
    <row r="114" spans="1:10" ht="11.1" customHeight="1" x14ac:dyDescent="0.2">
      <c r="A114" s="14" t="s">
        <v>118</v>
      </c>
      <c r="B114" s="14"/>
      <c r="C114" s="14"/>
      <c r="D114" s="16">
        <v>19.2</v>
      </c>
      <c r="E114" s="16"/>
      <c r="F114" s="6">
        <v>48</v>
      </c>
      <c r="G114" s="7"/>
      <c r="H114" s="7"/>
      <c r="I114">
        <f>IFERROR(VLOOKUP(A114,[1]TDSheet!$A:$H,6,0),0)</f>
        <v>19.2</v>
      </c>
      <c r="J114" s="30">
        <f t="shared" si="1"/>
        <v>0</v>
      </c>
    </row>
    <row r="115" spans="1:10" ht="11.1" customHeight="1" x14ac:dyDescent="0.2">
      <c r="A115" s="14" t="s">
        <v>119</v>
      </c>
      <c r="B115" s="14"/>
      <c r="C115" s="14"/>
      <c r="D115" s="16">
        <v>126.9</v>
      </c>
      <c r="E115" s="16"/>
      <c r="F115" s="6">
        <v>423</v>
      </c>
      <c r="G115" s="4">
        <v>2.1</v>
      </c>
      <c r="H115" s="6">
        <v>7</v>
      </c>
      <c r="I115">
        <f>IFERROR(VLOOKUP(A115,[1]TDSheet!$A:$H,6,0),0)</f>
        <v>0</v>
      </c>
      <c r="J115" s="30">
        <f t="shared" si="1"/>
        <v>126.9</v>
      </c>
    </row>
    <row r="116" spans="1:10" ht="11.1" customHeight="1" x14ac:dyDescent="0.2">
      <c r="A116" s="14" t="s">
        <v>120</v>
      </c>
      <c r="B116" s="14"/>
      <c r="C116" s="14"/>
      <c r="D116" s="20">
        <v>159</v>
      </c>
      <c r="E116" s="20"/>
      <c r="F116" s="5">
        <v>1325</v>
      </c>
      <c r="G116" s="8">
        <v>0.48</v>
      </c>
      <c r="H116" s="6">
        <v>4</v>
      </c>
      <c r="I116">
        <f>IFERROR(VLOOKUP(A116,[1]TDSheet!$A:$H,6,0),0)</f>
        <v>7.68</v>
      </c>
      <c r="J116" s="30">
        <f t="shared" si="1"/>
        <v>151.32</v>
      </c>
    </row>
    <row r="117" spans="1:10" ht="11.1" customHeight="1" x14ac:dyDescent="0.2">
      <c r="A117" s="14" t="s">
        <v>121</v>
      </c>
      <c r="B117" s="14"/>
      <c r="C117" s="14"/>
      <c r="D117" s="19">
        <v>216.48</v>
      </c>
      <c r="E117" s="19"/>
      <c r="F117" s="6">
        <v>656</v>
      </c>
      <c r="G117" s="8">
        <v>15.18</v>
      </c>
      <c r="H117" s="6">
        <v>46</v>
      </c>
      <c r="I117">
        <f>IFERROR(VLOOKUP(A117,[1]TDSheet!$A:$H,6,0),0)</f>
        <v>17.82</v>
      </c>
      <c r="J117" s="30">
        <f t="shared" si="1"/>
        <v>198.66</v>
      </c>
    </row>
    <row r="118" spans="1:10" ht="11.1" customHeight="1" x14ac:dyDescent="0.2">
      <c r="A118" s="14" t="s">
        <v>122</v>
      </c>
      <c r="B118" s="14"/>
      <c r="C118" s="14"/>
      <c r="D118" s="16">
        <v>26.6</v>
      </c>
      <c r="E118" s="16"/>
      <c r="F118" s="6">
        <v>95</v>
      </c>
      <c r="G118" s="8">
        <v>1.68</v>
      </c>
      <c r="H118" s="6">
        <v>6</v>
      </c>
      <c r="I118">
        <f>IFERROR(VLOOKUP(A118,[1]TDSheet!$A:$H,6,0),0)</f>
        <v>0</v>
      </c>
      <c r="J118" s="30">
        <f t="shared" si="1"/>
        <v>26.6</v>
      </c>
    </row>
    <row r="119" spans="1:10" ht="11.1" customHeight="1" x14ac:dyDescent="0.2">
      <c r="A119" s="14" t="s">
        <v>123</v>
      </c>
      <c r="B119" s="14"/>
      <c r="C119" s="14"/>
      <c r="D119" s="16">
        <v>294.39999999999998</v>
      </c>
      <c r="E119" s="16"/>
      <c r="F119" s="6">
        <v>736</v>
      </c>
      <c r="G119" s="4">
        <v>0.8</v>
      </c>
      <c r="H119" s="6">
        <v>2</v>
      </c>
      <c r="I119">
        <f>IFERROR(VLOOKUP(A119,[1]TDSheet!$A:$H,6,0),0)</f>
        <v>36</v>
      </c>
      <c r="J119" s="30">
        <f t="shared" si="1"/>
        <v>258.39999999999998</v>
      </c>
    </row>
    <row r="120" spans="1:10" ht="11.1" customHeight="1" x14ac:dyDescent="0.2">
      <c r="A120" s="14" t="s">
        <v>124</v>
      </c>
      <c r="B120" s="14"/>
      <c r="C120" s="14"/>
      <c r="D120" s="16">
        <v>38.5</v>
      </c>
      <c r="E120" s="16"/>
      <c r="F120" s="6">
        <v>110</v>
      </c>
      <c r="G120" s="7"/>
      <c r="H120" s="7"/>
      <c r="I120">
        <f>IFERROR(VLOOKUP(A120,[1]TDSheet!$A:$H,6,0),0)</f>
        <v>11.2</v>
      </c>
      <c r="J120" s="30">
        <f t="shared" si="1"/>
        <v>27.3</v>
      </c>
    </row>
    <row r="121" spans="1:10" ht="11.1" customHeight="1" x14ac:dyDescent="0.2">
      <c r="A121" s="14" t="s">
        <v>125</v>
      </c>
      <c r="B121" s="14"/>
      <c r="C121" s="14"/>
      <c r="D121" s="15">
        <v>30.524000000000001</v>
      </c>
      <c r="E121" s="15"/>
      <c r="F121" s="6">
        <v>30.524000000000001</v>
      </c>
      <c r="G121" s="7"/>
      <c r="H121" s="7"/>
      <c r="I121">
        <f>IFERROR(VLOOKUP(A121,[1]TDSheet!$A:$H,6,0),0)</f>
        <v>0</v>
      </c>
      <c r="J121" s="30">
        <f t="shared" si="1"/>
        <v>30.524000000000001</v>
      </c>
    </row>
    <row r="122" spans="1:10" ht="11.1" customHeight="1" x14ac:dyDescent="0.2">
      <c r="A122" s="14" t="s">
        <v>126</v>
      </c>
      <c r="B122" s="14"/>
      <c r="C122" s="14"/>
      <c r="D122" s="15">
        <v>3.1680000000000001</v>
      </c>
      <c r="E122" s="15"/>
      <c r="F122" s="6">
        <v>12</v>
      </c>
      <c r="G122" s="7"/>
      <c r="H122" s="7"/>
      <c r="I122">
        <f>IFERROR(VLOOKUP(A122,[1]TDSheet!$A:$H,6,0),0)</f>
        <v>0</v>
      </c>
      <c r="J122" s="30">
        <f t="shared" si="1"/>
        <v>3.1680000000000001</v>
      </c>
    </row>
    <row r="123" spans="1:10" ht="11.1" customHeight="1" x14ac:dyDescent="0.2">
      <c r="A123" s="14" t="s">
        <v>127</v>
      </c>
      <c r="B123" s="14"/>
      <c r="C123" s="14"/>
      <c r="D123" s="19">
        <v>153.78</v>
      </c>
      <c r="E123" s="19"/>
      <c r="F123" s="6">
        <v>466</v>
      </c>
      <c r="G123" s="8">
        <v>5.28</v>
      </c>
      <c r="H123" s="6">
        <v>16</v>
      </c>
      <c r="I123">
        <f>IFERROR(VLOOKUP(A123,[1]TDSheet!$A:$H,6,0),0)</f>
        <v>22.77</v>
      </c>
      <c r="J123" s="30">
        <f t="shared" si="1"/>
        <v>131.01</v>
      </c>
    </row>
    <row r="124" spans="1:10" ht="11.1" customHeight="1" x14ac:dyDescent="0.2">
      <c r="A124" s="14" t="s">
        <v>128</v>
      </c>
      <c r="B124" s="14"/>
      <c r="C124" s="14"/>
      <c r="D124" s="16">
        <v>0.4</v>
      </c>
      <c r="E124" s="16"/>
      <c r="F124" s="6">
        <v>4</v>
      </c>
      <c r="G124" s="7"/>
      <c r="H124" s="7"/>
      <c r="I124">
        <f>IFERROR(VLOOKUP(A124,[1]TDSheet!$A:$H,6,0),0)</f>
        <v>0</v>
      </c>
      <c r="J124" s="30">
        <f t="shared" si="1"/>
        <v>0.4</v>
      </c>
    </row>
    <row r="125" spans="1:10" ht="11.1" customHeight="1" x14ac:dyDescent="0.2">
      <c r="A125" s="14" t="s">
        <v>129</v>
      </c>
      <c r="B125" s="14"/>
      <c r="C125" s="14"/>
      <c r="D125" s="16">
        <v>4.5999999999999996</v>
      </c>
      <c r="E125" s="16"/>
      <c r="F125" s="6">
        <v>46</v>
      </c>
      <c r="G125" s="7"/>
      <c r="H125" s="7"/>
      <c r="I125">
        <f>IFERROR(VLOOKUP(A125,[1]TDSheet!$A:$H,6,0),0)</f>
        <v>4</v>
      </c>
      <c r="J125" s="30">
        <f t="shared" si="1"/>
        <v>0.59999999999999964</v>
      </c>
    </row>
    <row r="126" spans="1:10" ht="11.1" customHeight="1" x14ac:dyDescent="0.2">
      <c r="A126" s="14" t="s">
        <v>130</v>
      </c>
      <c r="B126" s="14"/>
      <c r="C126" s="14"/>
      <c r="D126" s="16">
        <v>6.4</v>
      </c>
      <c r="E126" s="16"/>
      <c r="F126" s="6">
        <v>64</v>
      </c>
      <c r="G126" s="7"/>
      <c r="H126" s="7"/>
      <c r="I126">
        <f>IFERROR(VLOOKUP(A126,[1]TDSheet!$A:$H,6,0),0)</f>
        <v>4</v>
      </c>
      <c r="J126" s="30">
        <f t="shared" si="1"/>
        <v>2.4000000000000004</v>
      </c>
    </row>
    <row r="127" spans="1:10" ht="11.1" customHeight="1" x14ac:dyDescent="0.2">
      <c r="A127" s="14" t="s">
        <v>131</v>
      </c>
      <c r="B127" s="14"/>
      <c r="C127" s="14"/>
      <c r="D127" s="16">
        <v>68.8</v>
      </c>
      <c r="E127" s="16"/>
      <c r="F127" s="6">
        <v>688</v>
      </c>
      <c r="G127" s="7"/>
      <c r="H127" s="7"/>
      <c r="I127">
        <f>IFERROR(VLOOKUP(A127,[1]TDSheet!$A:$H,6,0),0)</f>
        <v>0</v>
      </c>
      <c r="J127" s="30">
        <f t="shared" si="1"/>
        <v>68.8</v>
      </c>
    </row>
    <row r="128" spans="1:10" ht="11.1" customHeight="1" x14ac:dyDescent="0.2">
      <c r="A128" s="14" t="s">
        <v>132</v>
      </c>
      <c r="B128" s="14"/>
      <c r="C128" s="14"/>
      <c r="D128" s="16">
        <v>598.79999999999995</v>
      </c>
      <c r="E128" s="16"/>
      <c r="F128" s="5">
        <v>1497</v>
      </c>
      <c r="G128" s="7"/>
      <c r="H128" s="7"/>
      <c r="I128">
        <f>IFERROR(VLOOKUP(A128,[1]TDSheet!$A:$H,6,0),0)</f>
        <v>25.6</v>
      </c>
      <c r="J128" s="30">
        <f t="shared" si="1"/>
        <v>573.19999999999993</v>
      </c>
    </row>
    <row r="129" spans="1:10" ht="11.1" customHeight="1" x14ac:dyDescent="0.2">
      <c r="A129" s="14" t="s">
        <v>133</v>
      </c>
      <c r="B129" s="14"/>
      <c r="C129" s="14"/>
      <c r="D129" s="15">
        <v>3.1070000000000002</v>
      </c>
      <c r="E129" s="15"/>
      <c r="F129" s="6">
        <v>3.1070000000000002</v>
      </c>
      <c r="G129" s="7"/>
      <c r="H129" s="7"/>
      <c r="I129">
        <f>IFERROR(VLOOKUP(A129,[1]TDSheet!$A:$H,6,0),0)</f>
        <v>0</v>
      </c>
      <c r="J129" s="30">
        <f t="shared" si="1"/>
        <v>3.1070000000000002</v>
      </c>
    </row>
    <row r="130" spans="1:10" ht="11.1" customHeight="1" x14ac:dyDescent="0.2">
      <c r="A130" s="14" t="s">
        <v>134</v>
      </c>
      <c r="B130" s="14"/>
      <c r="C130" s="14"/>
      <c r="D130" s="16">
        <v>1.8</v>
      </c>
      <c r="E130" s="16"/>
      <c r="F130" s="6">
        <v>10</v>
      </c>
      <c r="G130" s="7"/>
      <c r="H130" s="7"/>
      <c r="I130">
        <f>IFERROR(VLOOKUP(A130,[1]TDSheet!$A:$H,6,0),0)</f>
        <v>0</v>
      </c>
      <c r="J130" s="30">
        <f t="shared" si="1"/>
        <v>1.8</v>
      </c>
    </row>
    <row r="131" spans="1:10" ht="12.95" customHeight="1" x14ac:dyDescent="0.2">
      <c r="A131" s="17" t="s">
        <v>135</v>
      </c>
      <c r="B131" s="17"/>
      <c r="C131" s="17"/>
      <c r="D131" s="18">
        <v>38054.188999999998</v>
      </c>
      <c r="E131" s="18"/>
      <c r="F131" s="10">
        <v>74182.630999999994</v>
      </c>
      <c r="G131" s="11">
        <v>253.19399999999999</v>
      </c>
      <c r="H131" s="11">
        <v>594.28399999999999</v>
      </c>
      <c r="I131">
        <f>IFERROR(VLOOKUP(A131,[1]TDSheet!$A:$H,6,0),0)</f>
        <v>1937.904</v>
      </c>
      <c r="J131" s="30">
        <f t="shared" si="1"/>
        <v>36116.284999999996</v>
      </c>
    </row>
  </sheetData>
  <mergeCells count="255">
    <mergeCell ref="C3:E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9:C129"/>
    <mergeCell ref="D129:E129"/>
    <mergeCell ref="A130:C130"/>
    <mergeCell ref="D130:E130"/>
    <mergeCell ref="A131:C131"/>
    <mergeCell ref="D131:E131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2026-08-05T10:36:17Z</dcterms:modified>
</cp:coreProperties>
</file>