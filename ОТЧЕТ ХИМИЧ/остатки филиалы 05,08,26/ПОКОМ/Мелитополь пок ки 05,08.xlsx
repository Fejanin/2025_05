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ПОКОМ\"/>
    </mc:Choice>
  </mc:AlternateContent>
  <xr:revisionPtr revIDLastSave="0" documentId="13_ncr:1_{020F8A00-3F46-40D1-8451-16D5AA0A52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0" i="1"/>
</calcChain>
</file>

<file path=xl/sharedStrings.xml><?xml version="1.0" encoding="utf-8"?>
<sst xmlns="http://schemas.openxmlformats.org/spreadsheetml/2006/main" count="232" uniqueCount="124">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</sst>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" fontId="0" fillId="0" borderId="0" xfId="0" applyNumberFormat="1" applyAlignment="1">
      <alignment horizontal="left"/>
    </xf>
    <xf numFmtId="1" fontId="0" fillId="0" borderId="0" xfId="0" applyNumberFormat="1"/>
    <xf numFmtId="1" fontId="3" fillId="2" borderId="6" xfId="0" applyNumberFormat="1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7;&#1083;&#1080;&#1090;&#1086;&#1087;&#1086;&#1083;&#1100;/&#1087;&#1088;&#1086;&#1076;&#1072;&#1078;&#1080;%20&#1052;&#1077;&#1083;&#1080;&#1090;&#1086;&#1087;&#1086;&#1083;&#1100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1157.1310000000001</v>
          </cell>
          <cell r="G7">
            <v>1157.1310000000001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3112.76</v>
          </cell>
          <cell r="G8">
            <v>3112.76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3261.0680000000002</v>
          </cell>
          <cell r="G9">
            <v>3261.0680000000002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 t="str">
            <v>00-00000979</v>
          </cell>
          <cell r="F10">
            <v>7.6</v>
          </cell>
          <cell r="G10">
            <v>19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 t="str">
            <v>00-00000967</v>
          </cell>
          <cell r="F11">
            <v>515.70000000000005</v>
          </cell>
          <cell r="G11">
            <v>1146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 t="str">
            <v>00-00000968</v>
          </cell>
          <cell r="F12">
            <v>740.7</v>
          </cell>
          <cell r="G12">
            <v>1646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135.6</v>
          </cell>
          <cell r="G13">
            <v>452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66.3</v>
          </cell>
          <cell r="G14">
            <v>390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1557.768</v>
          </cell>
          <cell r="G15">
            <v>1557.768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7030.3559999999998</v>
          </cell>
          <cell r="G16">
            <v>7030.3559999999998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369.351</v>
          </cell>
          <cell r="G17">
            <v>369.351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-0.71699999999999997</v>
          </cell>
          <cell r="G18">
            <v>-0.71699999999999997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190.011</v>
          </cell>
          <cell r="G19">
            <v>190.011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75.361000000000004</v>
          </cell>
          <cell r="G20">
            <v>75.361000000000004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2019.6510000000001</v>
          </cell>
          <cell r="G21">
            <v>2019.6510000000001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464.81799999999998</v>
          </cell>
          <cell r="G22">
            <v>464.81799999999998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986.43399999999997</v>
          </cell>
          <cell r="G23">
            <v>986.43399999999997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73.540000000000006</v>
          </cell>
          <cell r="G24">
            <v>73.540000000000006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1044.0260000000001</v>
          </cell>
          <cell r="G25">
            <v>1044.0260000000001</v>
          </cell>
        </row>
        <row r="26">
          <cell r="A26" t="str">
            <v xml:space="preserve"> 243  Колбаса Сервелат Зернистый, ВЕС.  ПОКОМ</v>
          </cell>
          <cell r="D26" t="str">
            <v>00-00000887</v>
          </cell>
          <cell r="F26">
            <v>111.598</v>
          </cell>
          <cell r="G26">
            <v>111.598</v>
          </cell>
        </row>
        <row r="27">
          <cell r="A27" t="str">
            <v xml:space="preserve"> 247  Сардельки Нежные, ВЕС.  ПОКОМ</v>
          </cell>
          <cell r="D27" t="str">
            <v>00-00000890</v>
          </cell>
          <cell r="F27">
            <v>778.58199999999999</v>
          </cell>
          <cell r="G27">
            <v>778.58199999999999</v>
          </cell>
        </row>
        <row r="28">
          <cell r="A28" t="str">
            <v xml:space="preserve"> 248  Сардельки Сочные ТМ Особый рецепт,   ПОКОМ</v>
          </cell>
          <cell r="D28" t="str">
            <v>00-00006239</v>
          </cell>
          <cell r="F28">
            <v>1376.3869999999999</v>
          </cell>
          <cell r="G28">
            <v>1376.3869999999999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D29" t="str">
            <v>00-00006052</v>
          </cell>
          <cell r="F29">
            <v>1038.569</v>
          </cell>
          <cell r="G29">
            <v>1038.569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D30" t="str">
            <v>00-00006302</v>
          </cell>
          <cell r="F30">
            <v>2306.5149999999999</v>
          </cell>
          <cell r="G30">
            <v>2306.5149999999999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D31" t="str">
            <v>00-00005822</v>
          </cell>
          <cell r="F31">
            <v>40.994</v>
          </cell>
          <cell r="G31">
            <v>40.994</v>
          </cell>
        </row>
        <row r="32">
          <cell r="A32" t="str">
            <v xml:space="preserve"> 263  Шпикачки Стародворские, ВЕС.  ПОКОМ</v>
          </cell>
          <cell r="D32" t="str">
            <v>00-00000899</v>
          </cell>
          <cell r="F32">
            <v>149.56399999999999</v>
          </cell>
          <cell r="G32">
            <v>149.56399999999999</v>
          </cell>
        </row>
        <row r="33">
          <cell r="A33" t="str">
            <v xml:space="preserve"> 265  Колбаса Балыкбургская, ВЕС, ТМ Баварушка  ПОКОМ</v>
          </cell>
          <cell r="D33" t="str">
            <v>00-00006426</v>
          </cell>
          <cell r="F33">
            <v>320.221</v>
          </cell>
          <cell r="G33">
            <v>320.221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 t="str">
            <v>00-00006428</v>
          </cell>
          <cell r="F34">
            <v>199.23400000000001</v>
          </cell>
          <cell r="G34">
            <v>199.23400000000001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 t="str">
            <v>00-00006480</v>
          </cell>
          <cell r="F35">
            <v>227.244</v>
          </cell>
          <cell r="G35">
            <v>227.244</v>
          </cell>
        </row>
        <row r="36">
          <cell r="A36" t="str">
            <v xml:space="preserve"> 273  Сосиски Сочинки с сочной грудинкой, МГС 0.4кг,   ПОКОМ</v>
          </cell>
          <cell r="D36" t="str">
            <v>00-00007884</v>
          </cell>
          <cell r="F36">
            <v>1884.72</v>
          </cell>
          <cell r="G36">
            <v>4711.8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 t="str">
            <v>00-00007904</v>
          </cell>
          <cell r="F37">
            <v>419.85</v>
          </cell>
          <cell r="G37">
            <v>933</v>
          </cell>
        </row>
        <row r="38">
          <cell r="A38" t="str">
            <v xml:space="preserve"> 278  Сосиски Сочинки с сочным окороком, МГС 0.4кг,   ПОКОМ</v>
          </cell>
          <cell r="D38" t="str">
            <v>00-00008111</v>
          </cell>
          <cell r="F38">
            <v>402.4</v>
          </cell>
          <cell r="G38">
            <v>1006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D39" t="str">
            <v>00-00008552</v>
          </cell>
          <cell r="F39">
            <v>67.599999999999994</v>
          </cell>
          <cell r="G39">
            <v>169</v>
          </cell>
        </row>
        <row r="40">
          <cell r="A40" t="str">
            <v xml:space="preserve"> 283  Сосиски Сочинки, ВЕС, ТМ Стародворье ПОКОМ</v>
          </cell>
          <cell r="D40" t="str">
            <v>00-00007182</v>
          </cell>
          <cell r="F40">
            <v>66.846999999999994</v>
          </cell>
          <cell r="G40">
            <v>66.846999999999994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 t="str">
            <v>00-00008448</v>
          </cell>
          <cell r="F41">
            <v>131.9</v>
          </cell>
          <cell r="G41">
            <v>1319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 t="str">
            <v>00-00007883</v>
          </cell>
          <cell r="F42">
            <v>186.9</v>
          </cell>
          <cell r="G42">
            <v>534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 t="str">
            <v>00-00007882</v>
          </cell>
          <cell r="F43">
            <v>462.91</v>
          </cell>
          <cell r="G43">
            <v>462.91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 t="str">
            <v>00-00007885</v>
          </cell>
          <cell r="F44">
            <v>76.8</v>
          </cell>
          <cell r="G44">
            <v>192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 t="str">
            <v>00-00007886</v>
          </cell>
          <cell r="F45">
            <v>142</v>
          </cell>
          <cell r="G45">
            <v>355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 t="str">
            <v>00-ko009206</v>
          </cell>
          <cell r="F46">
            <v>179.02</v>
          </cell>
          <cell r="G46">
            <v>179.02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 t="str">
            <v>00-00008651</v>
          </cell>
          <cell r="F47">
            <v>513.04600000000005</v>
          </cell>
          <cell r="G47">
            <v>513.04600000000005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 t="str">
            <v>00-00008268</v>
          </cell>
          <cell r="F48">
            <v>525.70000000000005</v>
          </cell>
          <cell r="G48">
            <v>1502</v>
          </cell>
        </row>
        <row r="49">
          <cell r="A49" t="str">
            <v xml:space="preserve"> 309  Сосиски Сочинки с сыром 0,4 кг ТМ Стародворье  ПОКОМ</v>
          </cell>
          <cell r="D49" t="str">
            <v>00-00008169</v>
          </cell>
          <cell r="F49">
            <v>343.2</v>
          </cell>
          <cell r="G49">
            <v>858</v>
          </cell>
        </row>
        <row r="50">
          <cell r="A50" t="str">
            <v xml:space="preserve"> 312  Ветчина Филейская ВЕС ТМ  Вязанка ТС Столичная  ПОКОМ</v>
          </cell>
          <cell r="D50" t="str">
            <v>00-00007957</v>
          </cell>
          <cell r="F50">
            <v>186.29599999999999</v>
          </cell>
          <cell r="G50">
            <v>186.29599999999999</v>
          </cell>
        </row>
        <row r="51">
          <cell r="A51" t="str">
            <v xml:space="preserve"> 315  Колбаса вареная Молокуша ТМ Вязанка ВЕС, ПОКОМ</v>
          </cell>
          <cell r="D51" t="str">
            <v>00-00008011</v>
          </cell>
          <cell r="F51">
            <v>509.23700000000002</v>
          </cell>
          <cell r="G51">
            <v>509.23700000000002</v>
          </cell>
        </row>
        <row r="52">
          <cell r="A52" t="str">
            <v xml:space="preserve"> 318  Сосиски Датские ТМ Зареченские, ВЕС  ПОКОМ</v>
          </cell>
          <cell r="D52" t="str">
            <v>00-00008108</v>
          </cell>
          <cell r="F52">
            <v>210.721</v>
          </cell>
          <cell r="G52">
            <v>210.721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 t="str">
            <v>00-00008110</v>
          </cell>
          <cell r="F53">
            <v>223.2</v>
          </cell>
          <cell r="G53">
            <v>496</v>
          </cell>
        </row>
        <row r="54">
          <cell r="A54" t="str">
            <v xml:space="preserve"> 322  Колбаса вареная Молокуша 0,45кг ТМ Вязанка  ПОКОМ</v>
          </cell>
          <cell r="D54" t="str">
            <v>00-00008752</v>
          </cell>
          <cell r="F54">
            <v>364.95</v>
          </cell>
          <cell r="G54">
            <v>811</v>
          </cell>
        </row>
        <row r="55">
          <cell r="A55" t="str">
            <v xml:space="preserve"> 328  Сардельки Сочинки Стародворье ТМ  0,4 кг ПОКОМ</v>
          </cell>
          <cell r="D55" t="str">
            <v>00-00008901</v>
          </cell>
          <cell r="F55">
            <v>176</v>
          </cell>
          <cell r="G55">
            <v>440</v>
          </cell>
        </row>
        <row r="56">
          <cell r="A56" t="str">
            <v xml:space="preserve"> 329  Сардельки Сочинки с сыром Стародворье ТМ, 0,4 кг. ПОКОМ</v>
          </cell>
          <cell r="D56" t="str">
            <v>00-00008517</v>
          </cell>
          <cell r="F56">
            <v>112.8</v>
          </cell>
          <cell r="G56">
            <v>282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D57" t="str">
            <v>00-00008056</v>
          </cell>
          <cell r="F57">
            <v>383.46300000000002</v>
          </cell>
          <cell r="G57">
            <v>383.46300000000002</v>
          </cell>
        </row>
        <row r="58">
          <cell r="A58" t="str">
            <v xml:space="preserve"> 334  Паштет Любительский ТМ Стародворье ламистер 0,1 кг  ПОКОМ</v>
          </cell>
          <cell r="D58" t="str">
            <v>00-00009323</v>
          </cell>
          <cell r="F58">
            <v>84.8</v>
          </cell>
          <cell r="G58">
            <v>848</v>
          </cell>
        </row>
        <row r="59">
          <cell r="A59" t="str">
            <v xml:space="preserve"> 335  Колбаса Сливушка ТМ Вязанка. ВЕС.  ПОКОМ </v>
          </cell>
          <cell r="D59" t="str">
            <v>00-00008855</v>
          </cell>
          <cell r="F59">
            <v>340.07499999999999</v>
          </cell>
          <cell r="G59">
            <v>340.07499999999999</v>
          </cell>
        </row>
        <row r="60">
          <cell r="A60" t="str">
            <v xml:space="preserve"> 336  Ветчина Сливушка с индейкой ТМ Вязанка. ВЕС  ПОКОМ</v>
          </cell>
          <cell r="D60" t="str">
            <v>00-00008856</v>
          </cell>
          <cell r="F60">
            <v>122.348</v>
          </cell>
          <cell r="G60">
            <v>122.348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D61" t="str">
            <v>00-00009324</v>
          </cell>
          <cell r="F61">
            <v>82.6</v>
          </cell>
          <cell r="G61">
            <v>826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D62" t="str">
            <v>00-00008397</v>
          </cell>
          <cell r="F62">
            <v>45.6</v>
          </cell>
          <cell r="G62">
            <v>114</v>
          </cell>
        </row>
        <row r="63">
          <cell r="A63" t="str">
            <v xml:space="preserve"> 340  Сосиски Сочинки Молочные ТМ Стародворье, ВЕС ПОКОМ</v>
          </cell>
          <cell r="D63" t="str">
            <v>00-ko009080</v>
          </cell>
          <cell r="F63">
            <v>86.730999999999995</v>
          </cell>
          <cell r="G63">
            <v>86.730999999999995</v>
          </cell>
        </row>
        <row r="64">
          <cell r="A64" t="str">
            <v xml:space="preserve"> 341 Сосиски Сочинки Сливочные ТМ Стародворье ВЕС ПОКОМ</v>
          </cell>
          <cell r="D64" t="str">
            <v>00-00000799</v>
          </cell>
          <cell r="F64">
            <v>178.339</v>
          </cell>
          <cell r="G64">
            <v>178.339</v>
          </cell>
        </row>
        <row r="65">
          <cell r="A65" t="str">
            <v xml:space="preserve"> 342 Сосиски Сочинки Молочные ТМ Стародворье 0,4 кг ПОКОМ</v>
          </cell>
          <cell r="D65" t="str">
            <v>00-00008857</v>
          </cell>
          <cell r="F65">
            <v>446</v>
          </cell>
          <cell r="G65">
            <v>1115</v>
          </cell>
        </row>
        <row r="66">
          <cell r="A66" t="str">
            <v xml:space="preserve"> 343 Сосиски Сочинки Сливочные ТМ Стародворье  0,4 кг ПОКОМ</v>
          </cell>
          <cell r="D66" t="str">
            <v>00-00008858</v>
          </cell>
          <cell r="F66">
            <v>375.6</v>
          </cell>
          <cell r="G66">
            <v>939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 t="str">
            <v>00-00008906</v>
          </cell>
          <cell r="F67">
            <v>627.322</v>
          </cell>
          <cell r="G67">
            <v>627.322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 t="str">
            <v>00-00008907</v>
          </cell>
          <cell r="F68">
            <v>654.34500000000003</v>
          </cell>
          <cell r="G68">
            <v>654.34500000000003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 t="str">
            <v>00-ko009147</v>
          </cell>
          <cell r="F69">
            <v>1465.165</v>
          </cell>
          <cell r="G69">
            <v>1465.165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 t="str">
            <v>00-00009321</v>
          </cell>
          <cell r="F70">
            <v>621.62</v>
          </cell>
          <cell r="G70">
            <v>621.62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 t="str">
            <v>00-ko011463</v>
          </cell>
          <cell r="F71">
            <v>27.6</v>
          </cell>
          <cell r="G71">
            <v>46</v>
          </cell>
        </row>
        <row r="72">
          <cell r="A72" t="str">
            <v xml:space="preserve"> 364  Сардельки Филейские Вязанка ВЕС NDX ТМ Вязанка  ПОКОМ</v>
          </cell>
          <cell r="D72" t="str">
            <v>00-00008656</v>
          </cell>
          <cell r="F72">
            <v>1208.239</v>
          </cell>
          <cell r="G72">
            <v>1208.239</v>
          </cell>
        </row>
        <row r="73">
          <cell r="A73" t="str">
            <v xml:space="preserve"> 377  Колбаса Молочная Дугушка 0,6кг ТМ Стародворье  ПОКОМ</v>
          </cell>
          <cell r="D73" t="str">
            <v>00-ko009847</v>
          </cell>
          <cell r="F73">
            <v>154.19999999999999</v>
          </cell>
          <cell r="G73">
            <v>257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 t="str">
            <v>00-00009009</v>
          </cell>
          <cell r="F74">
            <v>143.19999999999999</v>
          </cell>
          <cell r="G74">
            <v>358</v>
          </cell>
        </row>
        <row r="75">
          <cell r="A75" t="str">
            <v xml:space="preserve"> 388  Сосиски Восточные Халяль ТМ Вязанка 0,33 кг АК. ПОКОМ</v>
          </cell>
          <cell r="D75" t="str">
            <v>00-00009010</v>
          </cell>
          <cell r="F75">
            <v>164.34</v>
          </cell>
          <cell r="G75">
            <v>498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 t="str">
            <v>00-ko011455</v>
          </cell>
          <cell r="F76">
            <v>99.75</v>
          </cell>
          <cell r="G76">
            <v>285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D77" t="str">
            <v>00-00009080</v>
          </cell>
          <cell r="F77">
            <v>242.72</v>
          </cell>
          <cell r="G77">
            <v>656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 t="str">
            <v>00-00009325</v>
          </cell>
          <cell r="F78">
            <v>56.76</v>
          </cell>
          <cell r="G78">
            <v>172</v>
          </cell>
        </row>
        <row r="79">
          <cell r="A79" t="str">
            <v xml:space="preserve"> 408  Ветчина Сливушка с индейкой ТМ Вязанка, 0,4кг  ПОКОМ</v>
          </cell>
          <cell r="D79" t="str">
            <v>00-00009082</v>
          </cell>
          <cell r="F79">
            <v>126.8</v>
          </cell>
          <cell r="G79">
            <v>317</v>
          </cell>
        </row>
        <row r="80">
          <cell r="A80" t="str">
            <v xml:space="preserve"> 410  Сосиски Баварские с сыром ТМ Стародворье 0,35 кг. ПОКОМ</v>
          </cell>
          <cell r="D80" t="str">
            <v>00-ko009100</v>
          </cell>
          <cell r="F80">
            <v>35.700000000000003</v>
          </cell>
          <cell r="G80">
            <v>102</v>
          </cell>
        </row>
        <row r="81">
          <cell r="A81" t="str">
            <v xml:space="preserve"> 412  Сосиски Баварские ТМ Стародворье 0,35 кг ПОКОМ</v>
          </cell>
          <cell r="D81" t="str">
            <v>00-ko009128</v>
          </cell>
          <cell r="F81">
            <v>40.950000000000003</v>
          </cell>
          <cell r="G81">
            <v>117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 t="str">
            <v>00-ko009414</v>
          </cell>
          <cell r="F82">
            <v>100.4</v>
          </cell>
          <cell r="G82">
            <v>251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 t="str">
            <v>00-ko009364</v>
          </cell>
          <cell r="F83">
            <v>31.667999999999999</v>
          </cell>
          <cell r="G83">
            <v>31.667999999999999</v>
          </cell>
        </row>
        <row r="84">
          <cell r="A84" t="str">
            <v xml:space="preserve"> 449  Колбаса Дугушка Стародворская ВЕС ТС Дугушка ПОКОМ</v>
          </cell>
          <cell r="D84" t="str">
            <v>00-ko009715</v>
          </cell>
          <cell r="F84">
            <v>1153.096</v>
          </cell>
          <cell r="G84">
            <v>1153.096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D85" t="str">
            <v>00-ko009574</v>
          </cell>
          <cell r="F85">
            <v>7222.2240000000002</v>
          </cell>
          <cell r="G85">
            <v>7222.2240000000002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D86" t="str">
            <v>00-ko009644</v>
          </cell>
          <cell r="F86">
            <v>6977.5230000000001</v>
          </cell>
          <cell r="G86">
            <v>6977.5230000000001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D87" t="str">
            <v>00-ko009646</v>
          </cell>
          <cell r="F87">
            <v>10635.508</v>
          </cell>
          <cell r="G87">
            <v>10635.508</v>
          </cell>
        </row>
        <row r="88">
          <cell r="A88" t="str">
            <v xml:space="preserve"> 498  Колбаса Сочинка рубленая с сочным окороком 0,3кг ТМ Стародворье  ПОКОМ</v>
          </cell>
          <cell r="D88" t="str">
            <v>00-ko010045</v>
          </cell>
          <cell r="F88">
            <v>154.5</v>
          </cell>
          <cell r="G88">
            <v>515</v>
          </cell>
        </row>
        <row r="89">
          <cell r="A89" t="str">
            <v xml:space="preserve"> 523  Колбаса Сальчичон нарезка 0,07кг ТМ Стародворье  ПОКОМ </v>
          </cell>
          <cell r="D89" t="str">
            <v>00-ko011123</v>
          </cell>
          <cell r="F89">
            <v>18.690000000000001</v>
          </cell>
          <cell r="G89">
            <v>267</v>
          </cell>
        </row>
        <row r="90">
          <cell r="A90" t="str">
            <v xml:space="preserve"> 524  Колбаса Сервелат Ореховый нарезка 0,07кг ТМ Стародворье  ПОКОМ</v>
          </cell>
          <cell r="D90" t="str">
            <v>00-ko011142</v>
          </cell>
          <cell r="F90">
            <v>8.5399999999999991</v>
          </cell>
          <cell r="G90">
            <v>122</v>
          </cell>
        </row>
        <row r="91">
          <cell r="A91" t="str">
            <v xml:space="preserve"> 525  Колбаса Фуэт нарезка 0,07кг ТМ Стародворье  ПОКОМ</v>
          </cell>
          <cell r="D91" t="str">
            <v>00-ko011128</v>
          </cell>
          <cell r="F91">
            <v>15.26</v>
          </cell>
          <cell r="G91">
            <v>218</v>
          </cell>
        </row>
        <row r="92">
          <cell r="A92" t="str">
            <v xml:space="preserve"> 526  Корейка вяленая выдержанная нарезка 0,05кг ТМ Стародворье  ПОКОМ</v>
          </cell>
          <cell r="D92" t="str">
            <v>00-ko011127</v>
          </cell>
          <cell r="F92">
            <v>12.35</v>
          </cell>
          <cell r="G92">
            <v>247</v>
          </cell>
        </row>
        <row r="93">
          <cell r="A93" t="str">
            <v xml:space="preserve"> 527  Окорок Прошутто выдержанный нарезка 0,055кг ТМ Стародворье  ПОКОМ</v>
          </cell>
          <cell r="D93" t="str">
            <v>00-ko011193</v>
          </cell>
          <cell r="F93">
            <v>-0.55000000000000004</v>
          </cell>
          <cell r="G93">
            <v>-10</v>
          </cell>
        </row>
        <row r="94">
          <cell r="A94" t="str">
            <v xml:space="preserve"> 530  Окорок Хамон выдержанный нарезка 0,055кг ТМ Стародворье  ПОКОМ</v>
          </cell>
          <cell r="D94" t="str">
            <v>00-ko011124</v>
          </cell>
          <cell r="F94">
            <v>2.2000000000000002</v>
          </cell>
          <cell r="G94">
            <v>40</v>
          </cell>
        </row>
        <row r="95">
          <cell r="A95" t="str">
            <v xml:space="preserve"> 547  Колбаса Мясная Классическая ТМ Вязанка в оболочке полиамид. ВЕС  ПОКОМ</v>
          </cell>
          <cell r="D95" t="str">
            <v>00-ko011537</v>
          </cell>
          <cell r="F95">
            <v>74.977000000000004</v>
          </cell>
          <cell r="G95">
            <v>74.977000000000004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D96" t="str">
            <v>00-ko011467</v>
          </cell>
          <cell r="F96">
            <v>23.44</v>
          </cell>
          <cell r="G96">
            <v>293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D97" t="str">
            <v>00-ko011468</v>
          </cell>
          <cell r="F97">
            <v>25.28</v>
          </cell>
          <cell r="G97">
            <v>316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D98" t="str">
            <v>00-ko011536</v>
          </cell>
          <cell r="F98">
            <v>829.32899999999995</v>
          </cell>
          <cell r="G98">
            <v>829.32899999999995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D99" t="str">
            <v>00-ko011534</v>
          </cell>
          <cell r="F99">
            <v>889.82</v>
          </cell>
          <cell r="G99">
            <v>889.82</v>
          </cell>
        </row>
        <row r="100">
          <cell r="A100" t="str">
            <v xml:space="preserve"> 558  Колбаса Балыковая НОВАЯ ВЕС Вязанка фиброуз в/у ПОКОМ</v>
          </cell>
          <cell r="D100" t="str">
            <v>00-ko011531</v>
          </cell>
          <cell r="F100">
            <v>1181.182</v>
          </cell>
          <cell r="G100">
            <v>1181.182</v>
          </cell>
        </row>
        <row r="101">
          <cell r="A101" t="str">
            <v xml:space="preserve"> 569  Колбаса Балыковая ТМ Вязанка в оболочке фиброуз в вакуумной упаковке 0,28 кг срез.  ПОКОМ</v>
          </cell>
          <cell r="D101" t="str">
            <v>00-ko011578</v>
          </cell>
          <cell r="F101">
            <v>187.04</v>
          </cell>
          <cell r="G101">
            <v>668</v>
          </cell>
        </row>
        <row r="102">
          <cell r="A102" t="str">
            <v xml:space="preserve"> 570  Колбаса Сервелат Финский ТМ Вязанка в оболочке фиброуз в вак. упаковке 0,28 кг срез  ПОКОМ</v>
          </cell>
          <cell r="D102" t="str">
            <v>00-ko011690</v>
          </cell>
          <cell r="F102">
            <v>184.8</v>
          </cell>
          <cell r="G102">
            <v>660</v>
          </cell>
        </row>
        <row r="103">
          <cell r="A103" t="str">
            <v xml:space="preserve"> 571  Колбаса Сервелат Ореховый ТМ Вязанка в оболочке фиброуз в вак. упаковке 0,28 кг срез  ПОКОМ</v>
          </cell>
          <cell r="D103" t="str">
            <v>00-ko011580</v>
          </cell>
          <cell r="F103">
            <v>218.12</v>
          </cell>
          <cell r="G103">
            <v>779</v>
          </cell>
        </row>
        <row r="104">
          <cell r="A104" t="str">
            <v xml:space="preserve"> 579  Колбаса Ветчинно-рубленая ТМ Особый рецепт в оболочке полиамид.ВЕС  ПОКОМ</v>
          </cell>
          <cell r="D104" t="str">
            <v>00-ko011582</v>
          </cell>
          <cell r="F104">
            <v>362.476</v>
          </cell>
          <cell r="G104">
            <v>362.476</v>
          </cell>
        </row>
        <row r="105">
          <cell r="A105" t="str">
            <v xml:space="preserve"> 580  Ветчина Нежная с индейкой ТМ Особый рецепт в оболочке полиамид.ВЕС  ПОКОМ</v>
          </cell>
          <cell r="D105" t="str">
            <v>00-ko011583</v>
          </cell>
          <cell r="F105">
            <v>267.59399999999999</v>
          </cell>
          <cell r="G105">
            <v>267.59399999999999</v>
          </cell>
        </row>
        <row r="106">
          <cell r="A106" t="str">
            <v xml:space="preserve"> 585  Колбаса Молочная ТМ Стародворье в оболочке вектор НД ВЕС.  ПОКОМ</v>
          </cell>
          <cell r="D106" t="str">
            <v>00-ko011661</v>
          </cell>
          <cell r="F106">
            <v>332.16699999999997</v>
          </cell>
          <cell r="G106">
            <v>332.16699999999997</v>
          </cell>
        </row>
        <row r="107">
          <cell r="A107" t="str">
            <v xml:space="preserve"> 586  Колбаса Мясная ТМ Стародворье в оболочке вектор НД ВЕС.  ПОКОМ</v>
          </cell>
          <cell r="D107" t="str">
            <v>00-ko011581</v>
          </cell>
          <cell r="F107">
            <v>837.68100000000004</v>
          </cell>
          <cell r="G107">
            <v>837.68100000000004</v>
          </cell>
        </row>
        <row r="108">
          <cell r="A108" t="str">
            <v xml:space="preserve"> 588 Колбаса Со шпиком ТМ Стародворье в оболочке вектор ВЕС  ПОКОМ</v>
          </cell>
          <cell r="D108" t="str">
            <v>00-ko011611</v>
          </cell>
          <cell r="F108">
            <v>242.083</v>
          </cell>
          <cell r="G108">
            <v>242.083</v>
          </cell>
        </row>
        <row r="109">
          <cell r="A109" t="str">
            <v xml:space="preserve"> 597  Колбаса Классическая ТМ Особый рецепт в оболочке полиамид ВЕС. ПОКОМ</v>
          </cell>
          <cell r="D109" t="str">
            <v>00-ko011707</v>
          </cell>
          <cell r="F109">
            <v>3605.9029999999998</v>
          </cell>
          <cell r="G109">
            <v>3605.9029999999998</v>
          </cell>
        </row>
        <row r="110">
          <cell r="A110" t="str">
            <v xml:space="preserve"> 614  Буженина в пряном маринаде 0,25 кг консервы из мяса индейки ТМ Стародворье  ПОКОМ</v>
          </cell>
          <cell r="D110" t="str">
            <v>00-ko011745</v>
          </cell>
          <cell r="F110">
            <v>41.25</v>
          </cell>
          <cell r="G110">
            <v>165</v>
          </cell>
        </row>
        <row r="111">
          <cell r="A111" t="str">
            <v xml:space="preserve"> 615  Гречка по-купечески с говядиной и овощами 0,325кг ТМ Стародворье  ПОКОМ</v>
          </cell>
          <cell r="D111" t="str">
            <v>00-ko011746</v>
          </cell>
          <cell r="F111">
            <v>35.424999999999997</v>
          </cell>
          <cell r="G111">
            <v>109</v>
          </cell>
        </row>
        <row r="112">
          <cell r="A112" t="str">
            <v xml:space="preserve"> 616  Индейка томлёная в собственном соку 0,25кг ТМ Стародлворье Консервый из мяс.птицы  ПОКОМ</v>
          </cell>
          <cell r="D112" t="str">
            <v>00-ko011747</v>
          </cell>
          <cell r="F112">
            <v>36.75</v>
          </cell>
          <cell r="G112">
            <v>147</v>
          </cell>
        </row>
        <row r="113">
          <cell r="A113" t="str">
            <v>495  Колбаса Сочинка по-европейски с сочной грудинкой 0,3кг ТМ Стародворье  ПОКОМ</v>
          </cell>
          <cell r="D113" t="str">
            <v>00-ko010043</v>
          </cell>
          <cell r="F113">
            <v>234.3</v>
          </cell>
          <cell r="G113">
            <v>781</v>
          </cell>
        </row>
        <row r="114">
          <cell r="A114" t="str">
            <v>496  Колбаса Сочинка по-фински с сочным окроком 0,3кг ТМ Стародворье  ПОКОМ</v>
          </cell>
          <cell r="D114" t="str">
            <v>00-ko010044</v>
          </cell>
          <cell r="F114">
            <v>24</v>
          </cell>
          <cell r="G114">
            <v>80</v>
          </cell>
        </row>
        <row r="115">
          <cell r="A115" t="str">
            <v>503 Колбаса Филейская со шпиком ТМ Вязанка в оболочке полиамид.ПОКОМ</v>
          </cell>
          <cell r="D115" t="str">
            <v>00-ko010042</v>
          </cell>
          <cell r="F115">
            <v>56.875999999999998</v>
          </cell>
          <cell r="G115">
            <v>56.875999999999998</v>
          </cell>
        </row>
        <row r="116">
          <cell r="A116" t="str">
            <v>515  Колбаса Сервелат Мясорубский Делюкс 0,3кг ТМ Стародворье  ПОКОМ</v>
          </cell>
          <cell r="D116" t="str">
            <v>00-ko010491</v>
          </cell>
          <cell r="F116">
            <v>180</v>
          </cell>
          <cell r="G116">
            <v>600</v>
          </cell>
        </row>
        <row r="117">
          <cell r="A117" t="str">
            <v>519  Грудинка 0,12 кг нарезка ТМ Стародворье  ПОКОМ</v>
          </cell>
          <cell r="D117" t="str">
            <v>00-ko010568</v>
          </cell>
          <cell r="F117">
            <v>28.32</v>
          </cell>
          <cell r="G117">
            <v>236</v>
          </cell>
        </row>
        <row r="118">
          <cell r="A118" t="str">
            <v>БОНУС_615  Гречка по-купечески с говядиной и овощами 0,325кг ТМ Стародворье  ПОКОМ</v>
          </cell>
          <cell r="D118" t="str">
            <v>00-ko011755</v>
          </cell>
          <cell r="F118">
            <v>0.97499999999999998</v>
          </cell>
          <cell r="G118">
            <v>3</v>
          </cell>
        </row>
        <row r="119">
          <cell r="A119" t="str">
            <v>Пельмени Бульмени со сливочным маслом ТМ Горячая штучка флоу-пак сфера 0,7 кг .  Поком</v>
          </cell>
          <cell r="D119" t="str">
            <v>00-ko009910</v>
          </cell>
          <cell r="F119">
            <v>3.5</v>
          </cell>
          <cell r="G119">
            <v>5</v>
          </cell>
        </row>
        <row r="120">
          <cell r="A120" t="str">
            <v>Итого</v>
          </cell>
          <cell r="F120">
            <v>80591.426999999996</v>
          </cell>
          <cell r="G120">
            <v>100810.09699999999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V9" sqref="V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14" style="1" customWidth="1"/>
    <col min="7" max="7" width="12.83203125" style="10" customWidth="1"/>
    <col min="8" max="8" width="10.5" style="10"/>
  </cols>
  <sheetData>
    <row r="1" spans="1:8" s="1" customFormat="1" ht="9.9499999999999993" customHeight="1" x14ac:dyDescent="0.2">
      <c r="G1" s="9"/>
      <c r="H1" s="9"/>
    </row>
    <row r="2" spans="1:8" ht="24.95" customHeight="1" x14ac:dyDescent="0.2">
      <c r="A2" s="2" t="s">
        <v>0</v>
      </c>
      <c r="B2" s="2"/>
      <c r="C2" s="2"/>
    </row>
    <row r="3" spans="1:8" s="1" customFormat="1" ht="9.9499999999999993" customHeight="1" x14ac:dyDescent="0.2">
      <c r="G3" s="9"/>
      <c r="H3" s="9"/>
    </row>
    <row r="4" spans="1:8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8" ht="12.95" customHeight="1" outlineLevel="1" x14ac:dyDescent="0.2">
      <c r="C5" s="3" t="s">
        <v>3</v>
      </c>
      <c r="D5" s="3"/>
      <c r="E5" s="3"/>
    </row>
    <row r="6" spans="1:8" ht="26.1" customHeight="1" outlineLevel="1" x14ac:dyDescent="0.2">
      <c r="A6" s="3" t="s">
        <v>4</v>
      </c>
      <c r="B6" s="3"/>
      <c r="C6" s="14" t="s">
        <v>5</v>
      </c>
      <c r="D6" s="15"/>
      <c r="E6" s="15"/>
      <c r="F6" s="14"/>
    </row>
    <row r="7" spans="1:8" s="1" customFormat="1" ht="9.9499999999999993" customHeight="1" x14ac:dyDescent="0.2">
      <c r="G7" s="9"/>
      <c r="H7" s="9"/>
    </row>
    <row r="8" spans="1:8" ht="12.95" customHeight="1" x14ac:dyDescent="0.2">
      <c r="A8" s="16" t="s">
        <v>6</v>
      </c>
      <c r="B8" s="16"/>
      <c r="C8" s="16"/>
      <c r="D8" s="16"/>
      <c r="E8" s="16" t="s">
        <v>7</v>
      </c>
      <c r="F8" s="4" t="s">
        <v>8</v>
      </c>
      <c r="G8" s="4" t="s">
        <v>8</v>
      </c>
    </row>
    <row r="9" spans="1:8" ht="39" customHeight="1" x14ac:dyDescent="0.2">
      <c r="A9" s="17"/>
      <c r="B9" s="18"/>
      <c r="C9" s="18"/>
      <c r="D9" s="19"/>
      <c r="E9" s="20"/>
      <c r="F9" s="4" t="s">
        <v>9</v>
      </c>
      <c r="G9" s="4" t="s">
        <v>122</v>
      </c>
      <c r="H9" s="11" t="s">
        <v>123</v>
      </c>
    </row>
    <row r="10" spans="1:8" ht="11.1" customHeight="1" x14ac:dyDescent="0.2">
      <c r="A10" s="12" t="s">
        <v>10</v>
      </c>
      <c r="B10" s="12"/>
      <c r="C10" s="12"/>
      <c r="D10" s="12"/>
      <c r="E10" s="5" t="s">
        <v>11</v>
      </c>
      <c r="F10" s="6">
        <v>313.65100000000001</v>
      </c>
      <c r="G10" s="10">
        <f>VLOOKUP(A10,[1]TDSheet!$A:$G,6,0)/22</f>
        <v>52.596863636363643</v>
      </c>
      <c r="H10" s="10">
        <f>F10/G10</f>
        <v>5.9633023400116318</v>
      </c>
    </row>
    <row r="11" spans="1:8" ht="11.1" customHeight="1" x14ac:dyDescent="0.2">
      <c r="A11" s="12" t="s">
        <v>12</v>
      </c>
      <c r="B11" s="12"/>
      <c r="C11" s="12"/>
      <c r="D11" s="12"/>
      <c r="E11" s="5" t="s">
        <v>11</v>
      </c>
      <c r="F11" s="6">
        <v>763.77599999999995</v>
      </c>
      <c r="G11" s="10">
        <f>VLOOKUP(A11,[1]TDSheet!$A:$G,6,0)/22</f>
        <v>141.48909090909092</v>
      </c>
      <c r="H11" s="10">
        <f t="shared" ref="H11:H74" si="0">F11/G11</f>
        <v>5.3981264215679969</v>
      </c>
    </row>
    <row r="12" spans="1:8" ht="11.1" customHeight="1" x14ac:dyDescent="0.2">
      <c r="A12" s="12" t="s">
        <v>13</v>
      </c>
      <c r="B12" s="12"/>
      <c r="C12" s="12"/>
      <c r="D12" s="12"/>
      <c r="E12" s="5" t="s">
        <v>11</v>
      </c>
      <c r="F12" s="7">
        <v>1618.2660000000001</v>
      </c>
      <c r="G12" s="10">
        <f>VLOOKUP(A12,[1]TDSheet!$A:$G,6,0)/22</f>
        <v>148.23036363636365</v>
      </c>
      <c r="H12" s="10">
        <f t="shared" si="0"/>
        <v>10.917236929742035</v>
      </c>
    </row>
    <row r="13" spans="1:8" ht="11.1" customHeight="1" x14ac:dyDescent="0.2">
      <c r="A13" s="12" t="s">
        <v>14</v>
      </c>
      <c r="B13" s="12"/>
      <c r="C13" s="12"/>
      <c r="D13" s="12"/>
      <c r="E13" s="5" t="s">
        <v>15</v>
      </c>
      <c r="F13" s="6">
        <v>16</v>
      </c>
      <c r="G13" s="10">
        <f>VLOOKUP(A13,[1]TDSheet!$A:$G,6,0)/22</f>
        <v>0.34545454545454546</v>
      </c>
      <c r="H13" s="10">
        <f t="shared" si="0"/>
        <v>46.315789473684212</v>
      </c>
    </row>
    <row r="14" spans="1:8" ht="11.1" customHeight="1" x14ac:dyDescent="0.2">
      <c r="A14" s="12" t="s">
        <v>16</v>
      </c>
      <c r="B14" s="12"/>
      <c r="C14" s="12"/>
      <c r="D14" s="12"/>
      <c r="E14" s="5" t="s">
        <v>15</v>
      </c>
      <c r="F14" s="6">
        <v>168.75</v>
      </c>
      <c r="G14" s="10">
        <f>VLOOKUP(A14,[1]TDSheet!$A:$G,6,0)/22</f>
        <v>23.440909090909091</v>
      </c>
      <c r="H14" s="10">
        <f t="shared" si="0"/>
        <v>7.1989528795811513</v>
      </c>
    </row>
    <row r="15" spans="1:8" ht="11.1" customHeight="1" x14ac:dyDescent="0.2">
      <c r="A15" s="12" t="s">
        <v>17</v>
      </c>
      <c r="B15" s="12"/>
      <c r="C15" s="12"/>
      <c r="D15" s="12"/>
      <c r="E15" s="5" t="s">
        <v>15</v>
      </c>
      <c r="F15" s="6">
        <v>184.95</v>
      </c>
      <c r="G15" s="10">
        <f>VLOOKUP(A15,[1]TDSheet!$A:$G,6,0)/22</f>
        <v>33.668181818181822</v>
      </c>
      <c r="H15" s="10">
        <f t="shared" si="0"/>
        <v>5.4933171324422831</v>
      </c>
    </row>
    <row r="16" spans="1:8" ht="11.1" customHeight="1" x14ac:dyDescent="0.2">
      <c r="A16" s="12" t="s">
        <v>18</v>
      </c>
      <c r="B16" s="12"/>
      <c r="C16" s="12"/>
      <c r="D16" s="12"/>
      <c r="E16" s="5" t="s">
        <v>15</v>
      </c>
      <c r="F16" s="6">
        <v>41.7</v>
      </c>
      <c r="G16" s="10">
        <f>VLOOKUP(A16,[1]TDSheet!$A:$G,6,0)/22</f>
        <v>6.1636363636363631</v>
      </c>
      <c r="H16" s="10">
        <f t="shared" si="0"/>
        <v>6.7654867256637177</v>
      </c>
    </row>
    <row r="17" spans="1:8" ht="11.1" customHeight="1" x14ac:dyDescent="0.2">
      <c r="A17" s="12" t="s">
        <v>19</v>
      </c>
      <c r="B17" s="12"/>
      <c r="C17" s="12"/>
      <c r="D17" s="12"/>
      <c r="E17" s="5" t="s">
        <v>15</v>
      </c>
      <c r="F17" s="6">
        <v>8.16</v>
      </c>
      <c r="G17" s="10">
        <f>VLOOKUP(A17,[1]TDSheet!$A:$G,6,0)/22</f>
        <v>3.0136363636363637</v>
      </c>
      <c r="H17" s="10">
        <f t="shared" si="0"/>
        <v>2.7076923076923078</v>
      </c>
    </row>
    <row r="18" spans="1:8" ht="11.1" customHeight="1" x14ac:dyDescent="0.2">
      <c r="A18" s="12" t="s">
        <v>20</v>
      </c>
      <c r="B18" s="12"/>
      <c r="C18" s="12"/>
      <c r="D18" s="12"/>
      <c r="E18" s="5" t="s">
        <v>11</v>
      </c>
      <c r="F18" s="6">
        <v>416.37200000000001</v>
      </c>
      <c r="G18" s="10">
        <f>VLOOKUP(A18,[1]TDSheet!$A:$G,6,0)/22</f>
        <v>70.807636363636362</v>
      </c>
      <c r="H18" s="10">
        <f t="shared" si="0"/>
        <v>5.8803262103214342</v>
      </c>
    </row>
    <row r="19" spans="1:8" ht="11.1" customHeight="1" x14ac:dyDescent="0.2">
      <c r="A19" s="12" t="s">
        <v>21</v>
      </c>
      <c r="B19" s="12"/>
      <c r="C19" s="12"/>
      <c r="D19" s="12"/>
      <c r="E19" s="5" t="s">
        <v>11</v>
      </c>
      <c r="F19" s="7">
        <v>4139.3490000000002</v>
      </c>
      <c r="G19" s="10">
        <f>VLOOKUP(A19,[1]TDSheet!$A:$G,6,0)/22</f>
        <v>319.56163636363635</v>
      </c>
      <c r="H19" s="10">
        <f t="shared" si="0"/>
        <v>12.953210050813928</v>
      </c>
    </row>
    <row r="20" spans="1:8" ht="11.1" customHeight="1" x14ac:dyDescent="0.2">
      <c r="A20" s="12" t="s">
        <v>22</v>
      </c>
      <c r="B20" s="12"/>
      <c r="C20" s="12"/>
      <c r="D20" s="12"/>
      <c r="E20" s="5" t="s">
        <v>11</v>
      </c>
      <c r="F20" s="6">
        <v>156.179</v>
      </c>
      <c r="G20" s="10">
        <f>VLOOKUP(A20,[1]TDSheet!$A:$G,6,0)/22</f>
        <v>16.788681818181818</v>
      </c>
      <c r="H20" s="10">
        <f t="shared" si="0"/>
        <v>9.3026362457391478</v>
      </c>
    </row>
    <row r="21" spans="1:8" ht="11.1" customHeight="1" x14ac:dyDescent="0.2">
      <c r="A21" s="12" t="s">
        <v>23</v>
      </c>
      <c r="B21" s="12"/>
      <c r="C21" s="12"/>
      <c r="D21" s="12"/>
      <c r="E21" s="5" t="s">
        <v>11</v>
      </c>
      <c r="F21" s="6">
        <v>69.704999999999998</v>
      </c>
      <c r="G21" s="10">
        <f>VLOOKUP(A21,[1]TDSheet!$A:$G,6,0)/22</f>
        <v>8.6368636363636355</v>
      </c>
      <c r="H21" s="10">
        <f t="shared" si="0"/>
        <v>8.0706380156938291</v>
      </c>
    </row>
    <row r="22" spans="1:8" ht="21.95" customHeight="1" x14ac:dyDescent="0.2">
      <c r="A22" s="12" t="s">
        <v>24</v>
      </c>
      <c r="B22" s="12"/>
      <c r="C22" s="12"/>
      <c r="D22" s="12"/>
      <c r="E22" s="5" t="s">
        <v>11</v>
      </c>
      <c r="F22" s="6">
        <v>35.991</v>
      </c>
      <c r="G22" s="10">
        <f>VLOOKUP(A22,[1]TDSheet!$A:$G,6,0)/22</f>
        <v>3.4255</v>
      </c>
      <c r="H22" s="10">
        <f t="shared" si="0"/>
        <v>10.506787330316742</v>
      </c>
    </row>
    <row r="23" spans="1:8" ht="11.1" customHeight="1" x14ac:dyDescent="0.2">
      <c r="A23" s="12" t="s">
        <v>25</v>
      </c>
      <c r="B23" s="12"/>
      <c r="C23" s="12"/>
      <c r="D23" s="12"/>
      <c r="E23" s="5" t="s">
        <v>11</v>
      </c>
      <c r="F23" s="6">
        <v>513.59900000000005</v>
      </c>
      <c r="G23" s="10">
        <f>VLOOKUP(A23,[1]TDSheet!$A:$G,6,0)/22</f>
        <v>91.80231818181818</v>
      </c>
      <c r="H23" s="10">
        <f t="shared" si="0"/>
        <v>5.5946190703245273</v>
      </c>
    </row>
    <row r="24" spans="1:8" ht="11.1" customHeight="1" x14ac:dyDescent="0.2">
      <c r="A24" s="12" t="s">
        <v>26</v>
      </c>
      <c r="B24" s="12"/>
      <c r="C24" s="12"/>
      <c r="D24" s="12"/>
      <c r="E24" s="5" t="s">
        <v>11</v>
      </c>
      <c r="F24" s="6">
        <v>237.90299999999999</v>
      </c>
      <c r="G24" s="10">
        <f>VLOOKUP(A24,[1]TDSheet!$A:$G,6,0)/22</f>
        <v>21.128090909090908</v>
      </c>
      <c r="H24" s="10">
        <f t="shared" si="0"/>
        <v>11.260032959136694</v>
      </c>
    </row>
    <row r="25" spans="1:8" ht="21.95" customHeight="1" x14ac:dyDescent="0.2">
      <c r="A25" s="12" t="s">
        <v>27</v>
      </c>
      <c r="B25" s="12"/>
      <c r="C25" s="12"/>
      <c r="D25" s="12"/>
      <c r="E25" s="5" t="s">
        <v>11</v>
      </c>
      <c r="F25" s="6">
        <v>359.779</v>
      </c>
      <c r="G25" s="10">
        <f>VLOOKUP(A25,[1]TDSheet!$A:$G,6,0)/22</f>
        <v>44.837909090909086</v>
      </c>
      <c r="H25" s="10">
        <f t="shared" si="0"/>
        <v>8.0239914682583944</v>
      </c>
    </row>
    <row r="26" spans="1:8" ht="11.1" customHeight="1" x14ac:dyDescent="0.2">
      <c r="A26" s="12" t="s">
        <v>28</v>
      </c>
      <c r="B26" s="12"/>
      <c r="C26" s="12"/>
      <c r="D26" s="12"/>
      <c r="E26" s="5" t="s">
        <v>11</v>
      </c>
      <c r="F26" s="6">
        <v>7.0759999999999996</v>
      </c>
      <c r="G26" s="10">
        <f>VLOOKUP(A26,[1]TDSheet!$A:$G,6,0)/22</f>
        <v>3.3427272727272732</v>
      </c>
      <c r="H26" s="10">
        <f t="shared" si="0"/>
        <v>2.1168343758498773</v>
      </c>
    </row>
    <row r="27" spans="1:8" ht="11.1" customHeight="1" x14ac:dyDescent="0.2">
      <c r="A27" s="12" t="s">
        <v>29</v>
      </c>
      <c r="B27" s="12"/>
      <c r="C27" s="12"/>
      <c r="D27" s="12"/>
      <c r="E27" s="5" t="s">
        <v>11</v>
      </c>
      <c r="F27" s="6">
        <v>290.78399999999999</v>
      </c>
      <c r="G27" s="10">
        <f>VLOOKUP(A27,[1]TDSheet!$A:$G,6,0)/22</f>
        <v>47.455727272727273</v>
      </c>
      <c r="H27" s="10">
        <f t="shared" si="0"/>
        <v>6.1274795838417813</v>
      </c>
    </row>
    <row r="28" spans="1:8" ht="11.1" customHeight="1" x14ac:dyDescent="0.2">
      <c r="A28" s="12" t="s">
        <v>30</v>
      </c>
      <c r="B28" s="12"/>
      <c r="C28" s="12"/>
      <c r="D28" s="12"/>
      <c r="E28" s="5" t="s">
        <v>11</v>
      </c>
      <c r="F28" s="6">
        <v>1.0980000000000001</v>
      </c>
      <c r="G28" s="10">
        <f>VLOOKUP(A28,[1]TDSheet!$A:$G,6,0)/22</f>
        <v>5.0726363636363638</v>
      </c>
      <c r="H28" s="10">
        <f t="shared" si="0"/>
        <v>0.21645549203390743</v>
      </c>
    </row>
    <row r="29" spans="1:8" ht="11.1" customHeight="1" x14ac:dyDescent="0.2">
      <c r="A29" s="12" t="s">
        <v>31</v>
      </c>
      <c r="B29" s="12"/>
      <c r="C29" s="12"/>
      <c r="D29" s="12"/>
      <c r="E29" s="5" t="s">
        <v>11</v>
      </c>
      <c r="F29" s="6">
        <v>58.62</v>
      </c>
      <c r="G29" s="10">
        <f>VLOOKUP(A29,[1]TDSheet!$A:$G,6,0)/22</f>
        <v>35.390090909090908</v>
      </c>
      <c r="H29" s="10">
        <f t="shared" si="0"/>
        <v>1.6563958581112843</v>
      </c>
    </row>
    <row r="30" spans="1:8" ht="11.1" customHeight="1" x14ac:dyDescent="0.2">
      <c r="A30" s="12" t="s">
        <v>32</v>
      </c>
      <c r="B30" s="12"/>
      <c r="C30" s="12"/>
      <c r="D30" s="12"/>
      <c r="E30" s="5" t="s">
        <v>11</v>
      </c>
      <c r="F30" s="6">
        <v>9.7530000000000001</v>
      </c>
      <c r="G30" s="10">
        <f>VLOOKUP(A30,[1]TDSheet!$A:$G,6,0)/22</f>
        <v>62.563045454545453</v>
      </c>
      <c r="H30" s="10">
        <f t="shared" si="0"/>
        <v>0.15589074875016984</v>
      </c>
    </row>
    <row r="31" spans="1:8" ht="11.1" customHeight="1" x14ac:dyDescent="0.2">
      <c r="A31" s="12" t="s">
        <v>33</v>
      </c>
      <c r="B31" s="12"/>
      <c r="C31" s="12"/>
      <c r="D31" s="12"/>
      <c r="E31" s="5" t="s">
        <v>11</v>
      </c>
      <c r="F31" s="6">
        <v>-8.6080000000000005</v>
      </c>
      <c r="G31" s="10">
        <f>VLOOKUP(A31,[1]TDSheet!$A:$G,6,0)/22</f>
        <v>47.207681818181818</v>
      </c>
      <c r="H31" s="10">
        <f t="shared" si="0"/>
        <v>-0.18234320492908995</v>
      </c>
    </row>
    <row r="32" spans="1:8" ht="21.95" customHeight="1" x14ac:dyDescent="0.2">
      <c r="A32" s="12" t="s">
        <v>34</v>
      </c>
      <c r="B32" s="12"/>
      <c r="C32" s="12"/>
      <c r="D32" s="12"/>
      <c r="E32" s="5" t="s">
        <v>11</v>
      </c>
      <c r="F32" s="6">
        <v>-6.8019999999999996</v>
      </c>
      <c r="G32" s="10">
        <f>VLOOKUP(A32,[1]TDSheet!$A:$G,6,0)/22</f>
        <v>104.8415909090909</v>
      </c>
      <c r="H32" s="10">
        <f t="shared" si="0"/>
        <v>-6.4878832350971055E-2</v>
      </c>
    </row>
    <row r="33" spans="1:8" ht="11.1" customHeight="1" x14ac:dyDescent="0.2">
      <c r="A33" s="12" t="s">
        <v>35</v>
      </c>
      <c r="B33" s="12"/>
      <c r="C33" s="12"/>
      <c r="D33" s="12"/>
      <c r="E33" s="5" t="s">
        <v>11</v>
      </c>
      <c r="F33" s="6">
        <v>1.4E-2</v>
      </c>
      <c r="G33" s="10">
        <f>VLOOKUP(A33,[1]TDSheet!$A:$G,6,0)/22</f>
        <v>1.8633636363636363</v>
      </c>
      <c r="H33" s="10">
        <f t="shared" si="0"/>
        <v>7.513294628482217E-3</v>
      </c>
    </row>
    <row r="34" spans="1:8" ht="11.1" customHeight="1" x14ac:dyDescent="0.2">
      <c r="A34" s="12" t="s">
        <v>36</v>
      </c>
      <c r="B34" s="12"/>
      <c r="C34" s="12"/>
      <c r="D34" s="12"/>
      <c r="E34" s="5" t="s">
        <v>11</v>
      </c>
      <c r="F34" s="6">
        <v>54.564999999999998</v>
      </c>
      <c r="G34" s="10">
        <f>VLOOKUP(A34,[1]TDSheet!$A:$G,6,0)/22</f>
        <v>6.7983636363636357</v>
      </c>
      <c r="H34" s="10">
        <f t="shared" si="0"/>
        <v>8.026196143456982</v>
      </c>
    </row>
    <row r="35" spans="1:8" ht="11.1" customHeight="1" x14ac:dyDescent="0.2">
      <c r="A35" s="12" t="s">
        <v>37</v>
      </c>
      <c r="B35" s="12"/>
      <c r="C35" s="12"/>
      <c r="D35" s="12"/>
      <c r="E35" s="5" t="s">
        <v>11</v>
      </c>
      <c r="F35" s="6">
        <v>23.006</v>
      </c>
      <c r="G35" s="10">
        <f>VLOOKUP(A35,[1]TDSheet!$A:$G,6,0)/22</f>
        <v>14.5555</v>
      </c>
      <c r="H35" s="10">
        <f t="shared" si="0"/>
        <v>1.5805709182096115</v>
      </c>
    </row>
    <row r="36" spans="1:8" ht="11.1" customHeight="1" x14ac:dyDescent="0.2">
      <c r="A36" s="12" t="s">
        <v>38</v>
      </c>
      <c r="B36" s="12"/>
      <c r="C36" s="12"/>
      <c r="D36" s="12"/>
      <c r="E36" s="5" t="s">
        <v>11</v>
      </c>
      <c r="F36" s="6">
        <v>42.328000000000003</v>
      </c>
      <c r="G36" s="10">
        <f>VLOOKUP(A36,[1]TDSheet!$A:$G,6,0)/22</f>
        <v>9.0560909090909103</v>
      </c>
      <c r="H36" s="10">
        <f t="shared" si="0"/>
        <v>4.6739813485650039</v>
      </c>
    </row>
    <row r="37" spans="1:8" ht="21.95" customHeight="1" x14ac:dyDescent="0.2">
      <c r="A37" s="12" t="s">
        <v>39</v>
      </c>
      <c r="B37" s="12"/>
      <c r="C37" s="12"/>
      <c r="D37" s="12"/>
      <c r="E37" s="5" t="s">
        <v>11</v>
      </c>
      <c r="F37" s="6">
        <v>68.468999999999994</v>
      </c>
      <c r="G37" s="10">
        <f>VLOOKUP(A37,[1]TDSheet!$A:$G,6,0)/22</f>
        <v>10.329272727272727</v>
      </c>
      <c r="H37" s="10">
        <f t="shared" si="0"/>
        <v>6.6286370597243485</v>
      </c>
    </row>
    <row r="38" spans="1:8" ht="11.1" customHeight="1" x14ac:dyDescent="0.2">
      <c r="A38" s="12" t="s">
        <v>40</v>
      </c>
      <c r="B38" s="12"/>
      <c r="C38" s="12"/>
      <c r="D38" s="12"/>
      <c r="E38" s="5" t="s">
        <v>15</v>
      </c>
      <c r="F38" s="6">
        <v>422.8</v>
      </c>
      <c r="G38" s="10">
        <f>VLOOKUP(A38,[1]TDSheet!$A:$G,6,0)/22</f>
        <v>85.669090909090912</v>
      </c>
      <c r="H38" s="10">
        <f t="shared" si="0"/>
        <v>4.9352688993590563</v>
      </c>
    </row>
    <row r="39" spans="1:8" ht="11.1" customHeight="1" x14ac:dyDescent="0.2">
      <c r="A39" s="12" t="s">
        <v>41</v>
      </c>
      <c r="B39" s="12"/>
      <c r="C39" s="12"/>
      <c r="D39" s="12"/>
      <c r="E39" s="5" t="s">
        <v>15</v>
      </c>
      <c r="F39" s="6">
        <v>201.15</v>
      </c>
      <c r="G39" s="10">
        <f>VLOOKUP(A39,[1]TDSheet!$A:$G,6,0)/22</f>
        <v>19.084090909090911</v>
      </c>
      <c r="H39" s="10">
        <f t="shared" si="0"/>
        <v>10.540192926045016</v>
      </c>
    </row>
    <row r="40" spans="1:8" ht="11.1" customHeight="1" x14ac:dyDescent="0.2">
      <c r="A40" s="12" t="s">
        <v>42</v>
      </c>
      <c r="B40" s="12"/>
      <c r="C40" s="12"/>
      <c r="D40" s="12"/>
      <c r="E40" s="5" t="s">
        <v>15</v>
      </c>
      <c r="F40" s="6">
        <v>104.4</v>
      </c>
      <c r="G40" s="10">
        <f>VLOOKUP(A40,[1]TDSheet!$A:$G,6,0)/22</f>
        <v>18.290909090909089</v>
      </c>
      <c r="H40" s="10">
        <f t="shared" si="0"/>
        <v>5.7077534791252491</v>
      </c>
    </row>
    <row r="41" spans="1:8" ht="11.1" customHeight="1" x14ac:dyDescent="0.2">
      <c r="A41" s="12" t="s">
        <v>43</v>
      </c>
      <c r="B41" s="12"/>
      <c r="C41" s="12"/>
      <c r="D41" s="12"/>
      <c r="E41" s="5" t="s">
        <v>15</v>
      </c>
      <c r="F41" s="6">
        <v>30.4</v>
      </c>
      <c r="G41" s="10">
        <f>VLOOKUP(A41,[1]TDSheet!$A:$G,6,0)/22</f>
        <v>3.0727272727272723</v>
      </c>
      <c r="H41" s="10">
        <f t="shared" si="0"/>
        <v>9.8934911242603558</v>
      </c>
    </row>
    <row r="42" spans="1:8" ht="11.1" customHeight="1" x14ac:dyDescent="0.2">
      <c r="A42" s="12" t="s">
        <v>44</v>
      </c>
      <c r="B42" s="12"/>
      <c r="C42" s="12"/>
      <c r="D42" s="12"/>
      <c r="E42" s="5" t="s">
        <v>11</v>
      </c>
      <c r="F42" s="6">
        <v>2.488</v>
      </c>
      <c r="G42" s="10">
        <f>VLOOKUP(A42,[1]TDSheet!$A:$G,6,0)/22</f>
        <v>3.0384999999999995</v>
      </c>
      <c r="H42" s="10">
        <f t="shared" si="0"/>
        <v>0.81882507816356764</v>
      </c>
    </row>
    <row r="43" spans="1:8" ht="11.1" customHeight="1" x14ac:dyDescent="0.2">
      <c r="A43" s="12" t="s">
        <v>45</v>
      </c>
      <c r="B43" s="12"/>
      <c r="C43" s="12"/>
      <c r="D43" s="12"/>
      <c r="E43" s="5" t="s">
        <v>15</v>
      </c>
      <c r="F43" s="6">
        <v>108</v>
      </c>
      <c r="G43" s="10">
        <f>VLOOKUP(A43,[1]TDSheet!$A:$G,6,0)/22</f>
        <v>5.995454545454546</v>
      </c>
      <c r="H43" s="10">
        <f t="shared" si="0"/>
        <v>18.013646702047005</v>
      </c>
    </row>
    <row r="44" spans="1:8" ht="21.95" customHeight="1" x14ac:dyDescent="0.2">
      <c r="A44" s="12" t="s">
        <v>46</v>
      </c>
      <c r="B44" s="12"/>
      <c r="C44" s="12"/>
      <c r="D44" s="12"/>
      <c r="E44" s="5" t="s">
        <v>15</v>
      </c>
      <c r="F44" s="6">
        <v>3.15</v>
      </c>
      <c r="G44" s="10">
        <f>VLOOKUP(A44,[1]TDSheet!$A:$G,6,0)/22</f>
        <v>8.495454545454546</v>
      </c>
      <c r="H44" s="10">
        <f t="shared" si="0"/>
        <v>0.37078651685393255</v>
      </c>
    </row>
    <row r="45" spans="1:8" ht="11.1" customHeight="1" x14ac:dyDescent="0.2">
      <c r="A45" s="12" t="s">
        <v>47</v>
      </c>
      <c r="B45" s="12"/>
      <c r="C45" s="12"/>
      <c r="D45" s="12"/>
      <c r="E45" s="5" t="s">
        <v>11</v>
      </c>
      <c r="F45" s="6">
        <v>137.93299999999999</v>
      </c>
      <c r="G45" s="10">
        <f>VLOOKUP(A45,[1]TDSheet!$A:$G,6,0)/22</f>
        <v>21.041363636363638</v>
      </c>
      <c r="H45" s="10">
        <f t="shared" si="0"/>
        <v>6.5553260893046152</v>
      </c>
    </row>
    <row r="46" spans="1:8" ht="11.1" customHeight="1" x14ac:dyDescent="0.2">
      <c r="A46" s="12" t="s">
        <v>48</v>
      </c>
      <c r="B46" s="12"/>
      <c r="C46" s="12"/>
      <c r="D46" s="12"/>
      <c r="E46" s="5" t="s">
        <v>15</v>
      </c>
      <c r="F46" s="6">
        <v>32.799999999999997</v>
      </c>
      <c r="G46" s="10">
        <f>VLOOKUP(A46,[1]TDSheet!$A:$G,6,0)/22</f>
        <v>3.4909090909090907</v>
      </c>
      <c r="H46" s="10">
        <f t="shared" si="0"/>
        <v>9.3958333333333321</v>
      </c>
    </row>
    <row r="47" spans="1:8" ht="11.1" customHeight="1" x14ac:dyDescent="0.2">
      <c r="A47" s="12" t="s">
        <v>49</v>
      </c>
      <c r="B47" s="12"/>
      <c r="C47" s="12"/>
      <c r="D47" s="12"/>
      <c r="E47" s="5" t="s">
        <v>15</v>
      </c>
      <c r="F47" s="6">
        <v>98</v>
      </c>
      <c r="G47" s="10">
        <f>VLOOKUP(A47,[1]TDSheet!$A:$G,6,0)/22</f>
        <v>6.4545454545454541</v>
      </c>
      <c r="H47" s="10">
        <f t="shared" si="0"/>
        <v>15.183098591549296</v>
      </c>
    </row>
    <row r="48" spans="1:8" ht="21.95" customHeight="1" x14ac:dyDescent="0.2">
      <c r="A48" s="12" t="s">
        <v>50</v>
      </c>
      <c r="B48" s="12"/>
      <c r="C48" s="12"/>
      <c r="D48" s="12"/>
      <c r="E48" s="5" t="s">
        <v>11</v>
      </c>
      <c r="F48" s="6">
        <v>3.63</v>
      </c>
      <c r="G48" s="10">
        <f>VLOOKUP(A48,[1]TDSheet!$A:$G,6,0)/22</f>
        <v>8.1372727272727285</v>
      </c>
      <c r="H48" s="10">
        <f t="shared" si="0"/>
        <v>0.44609540833426425</v>
      </c>
    </row>
    <row r="49" spans="1:8" ht="21.95" customHeight="1" x14ac:dyDescent="0.2">
      <c r="A49" s="12" t="s">
        <v>51</v>
      </c>
      <c r="B49" s="12"/>
      <c r="C49" s="12"/>
      <c r="D49" s="12"/>
      <c r="E49" s="5" t="s">
        <v>11</v>
      </c>
      <c r="F49" s="6">
        <v>203.285</v>
      </c>
      <c r="G49" s="10">
        <f>VLOOKUP(A49,[1]TDSheet!$A:$G,6,0)/22</f>
        <v>23.32027272727273</v>
      </c>
      <c r="H49" s="10">
        <f t="shared" si="0"/>
        <v>8.7170935939467409</v>
      </c>
    </row>
    <row r="50" spans="1:8" ht="21.95" customHeight="1" x14ac:dyDescent="0.2">
      <c r="A50" s="12" t="s">
        <v>52</v>
      </c>
      <c r="B50" s="12"/>
      <c r="C50" s="12"/>
      <c r="D50" s="12"/>
      <c r="E50" s="5" t="s">
        <v>15</v>
      </c>
      <c r="F50" s="6">
        <v>306.25</v>
      </c>
      <c r="G50" s="10">
        <f>VLOOKUP(A50,[1]TDSheet!$A:$G,6,0)/22</f>
        <v>23.895454545454548</v>
      </c>
      <c r="H50" s="10">
        <f t="shared" si="0"/>
        <v>12.816245006657788</v>
      </c>
    </row>
    <row r="51" spans="1:8" ht="11.1" customHeight="1" x14ac:dyDescent="0.2">
      <c r="A51" s="12" t="s">
        <v>53</v>
      </c>
      <c r="B51" s="12"/>
      <c r="C51" s="12"/>
      <c r="D51" s="12"/>
      <c r="E51" s="5" t="s">
        <v>15</v>
      </c>
      <c r="F51" s="6">
        <v>116.4</v>
      </c>
      <c r="G51" s="10">
        <f>VLOOKUP(A51,[1]TDSheet!$A:$G,6,0)/22</f>
        <v>15.6</v>
      </c>
      <c r="H51" s="10">
        <f t="shared" si="0"/>
        <v>7.4615384615384617</v>
      </c>
    </row>
    <row r="52" spans="1:8" ht="11.1" customHeight="1" x14ac:dyDescent="0.2">
      <c r="A52" s="12" t="s">
        <v>54</v>
      </c>
      <c r="B52" s="12"/>
      <c r="C52" s="12"/>
      <c r="D52" s="12"/>
      <c r="E52" s="5" t="s">
        <v>11</v>
      </c>
      <c r="F52" s="6">
        <v>75.811999999999998</v>
      </c>
      <c r="G52" s="10">
        <f>VLOOKUP(A52,[1]TDSheet!$A:$G,6,0)/22</f>
        <v>8.468</v>
      </c>
      <c r="H52" s="10">
        <f t="shared" si="0"/>
        <v>8.952763344355219</v>
      </c>
    </row>
    <row r="53" spans="1:8" ht="11.1" customHeight="1" x14ac:dyDescent="0.2">
      <c r="A53" s="12" t="s">
        <v>55</v>
      </c>
      <c r="B53" s="12"/>
      <c r="C53" s="12"/>
      <c r="D53" s="12"/>
      <c r="E53" s="5" t="s">
        <v>11</v>
      </c>
      <c r="F53" s="6">
        <v>245.06299999999999</v>
      </c>
      <c r="G53" s="10">
        <f>VLOOKUP(A53,[1]TDSheet!$A:$G,6,0)/22</f>
        <v>23.147136363636363</v>
      </c>
      <c r="H53" s="10">
        <f t="shared" si="0"/>
        <v>10.587184356203496</v>
      </c>
    </row>
    <row r="54" spans="1:8" ht="11.1" customHeight="1" x14ac:dyDescent="0.2">
      <c r="A54" s="12" t="s">
        <v>56</v>
      </c>
      <c r="B54" s="12"/>
      <c r="C54" s="12"/>
      <c r="D54" s="12"/>
      <c r="E54" s="5" t="s">
        <v>11</v>
      </c>
      <c r="F54" s="6">
        <v>2.7719999999999998</v>
      </c>
      <c r="G54" s="10">
        <f>VLOOKUP(A54,[1]TDSheet!$A:$G,6,0)/22</f>
        <v>9.5782272727272737</v>
      </c>
      <c r="H54" s="10">
        <f t="shared" si="0"/>
        <v>0.28940637145799419</v>
      </c>
    </row>
    <row r="55" spans="1:8" ht="11.1" customHeight="1" x14ac:dyDescent="0.2">
      <c r="A55" s="12" t="s">
        <v>57</v>
      </c>
      <c r="B55" s="12"/>
      <c r="C55" s="12"/>
      <c r="D55" s="12"/>
      <c r="E55" s="5" t="s">
        <v>15</v>
      </c>
      <c r="F55" s="6">
        <v>108.9</v>
      </c>
      <c r="G55" s="10">
        <f>VLOOKUP(A55,[1]TDSheet!$A:$G,6,0)/22</f>
        <v>10.145454545454545</v>
      </c>
      <c r="H55" s="10">
        <f t="shared" si="0"/>
        <v>10.733870967741938</v>
      </c>
    </row>
    <row r="56" spans="1:8" ht="11.1" customHeight="1" x14ac:dyDescent="0.2">
      <c r="A56" s="12" t="s">
        <v>58</v>
      </c>
      <c r="B56" s="12"/>
      <c r="C56" s="12"/>
      <c r="D56" s="12"/>
      <c r="E56" s="5" t="s">
        <v>15</v>
      </c>
      <c r="F56" s="6">
        <v>197.1</v>
      </c>
      <c r="G56" s="10">
        <f>VLOOKUP(A56,[1]TDSheet!$A:$G,6,0)/22</f>
        <v>16.588636363636365</v>
      </c>
      <c r="H56" s="10">
        <f t="shared" si="0"/>
        <v>11.881627620221947</v>
      </c>
    </row>
    <row r="57" spans="1:8" ht="11.1" customHeight="1" x14ac:dyDescent="0.2">
      <c r="A57" s="12" t="s">
        <v>59</v>
      </c>
      <c r="B57" s="12"/>
      <c r="C57" s="12"/>
      <c r="D57" s="12"/>
      <c r="E57" s="5" t="s">
        <v>15</v>
      </c>
      <c r="F57" s="6">
        <v>77.2</v>
      </c>
      <c r="G57" s="10">
        <f>VLOOKUP(A57,[1]TDSheet!$A:$G,6,0)/22</f>
        <v>8</v>
      </c>
      <c r="H57" s="10">
        <f t="shared" si="0"/>
        <v>9.65</v>
      </c>
    </row>
    <row r="58" spans="1:8" ht="11.1" customHeight="1" x14ac:dyDescent="0.2">
      <c r="A58" s="12" t="s">
        <v>60</v>
      </c>
      <c r="B58" s="12"/>
      <c r="C58" s="12"/>
      <c r="D58" s="12"/>
      <c r="E58" s="5" t="s">
        <v>15</v>
      </c>
      <c r="F58" s="6">
        <v>69.599999999999994</v>
      </c>
      <c r="G58" s="10">
        <f>VLOOKUP(A58,[1]TDSheet!$A:$G,6,0)/22</f>
        <v>5.127272727272727</v>
      </c>
      <c r="H58" s="10">
        <f t="shared" si="0"/>
        <v>13.574468085106382</v>
      </c>
    </row>
    <row r="59" spans="1:8" ht="11.1" customHeight="1" x14ac:dyDescent="0.2">
      <c r="A59" s="12" t="s">
        <v>61</v>
      </c>
      <c r="B59" s="12"/>
      <c r="C59" s="12"/>
      <c r="D59" s="12"/>
      <c r="E59" s="5" t="s">
        <v>11</v>
      </c>
      <c r="F59" s="6">
        <v>83.021000000000001</v>
      </c>
      <c r="G59" s="10">
        <f>VLOOKUP(A59,[1]TDSheet!$A:$G,6,0)/22</f>
        <v>17.430136363636365</v>
      </c>
      <c r="H59" s="10">
        <f t="shared" si="0"/>
        <v>4.7630723172770253</v>
      </c>
    </row>
    <row r="60" spans="1:8" ht="11.1" customHeight="1" x14ac:dyDescent="0.2">
      <c r="A60" s="12" t="s">
        <v>62</v>
      </c>
      <c r="B60" s="12"/>
      <c r="C60" s="12"/>
      <c r="D60" s="12"/>
      <c r="E60" s="5" t="s">
        <v>15</v>
      </c>
      <c r="F60" s="6">
        <v>11.2</v>
      </c>
      <c r="G60" s="10">
        <f>VLOOKUP(A60,[1]TDSheet!$A:$G,6,0)/22</f>
        <v>3.8545454545454545</v>
      </c>
      <c r="H60" s="10">
        <f t="shared" si="0"/>
        <v>2.9056603773584904</v>
      </c>
    </row>
    <row r="61" spans="1:8" ht="11.1" customHeight="1" x14ac:dyDescent="0.2">
      <c r="A61" s="12" t="s">
        <v>63</v>
      </c>
      <c r="B61" s="12"/>
      <c r="C61" s="12"/>
      <c r="D61" s="12"/>
      <c r="E61" s="5" t="s">
        <v>11</v>
      </c>
      <c r="F61" s="6">
        <v>75.863</v>
      </c>
      <c r="G61" s="10">
        <f>VLOOKUP(A61,[1]TDSheet!$A:$G,6,0)/22</f>
        <v>15.457954545454545</v>
      </c>
      <c r="H61" s="10">
        <f t="shared" si="0"/>
        <v>4.907699772109094</v>
      </c>
    </row>
    <row r="62" spans="1:8" ht="11.1" customHeight="1" x14ac:dyDescent="0.2">
      <c r="A62" s="12" t="s">
        <v>64</v>
      </c>
      <c r="B62" s="12"/>
      <c r="C62" s="12"/>
      <c r="D62" s="12"/>
      <c r="E62" s="5" t="s">
        <v>11</v>
      </c>
      <c r="F62" s="6">
        <v>31.361000000000001</v>
      </c>
      <c r="G62" s="10">
        <f>VLOOKUP(A62,[1]TDSheet!$A:$G,6,0)/22</f>
        <v>5.5612727272727271</v>
      </c>
      <c r="H62" s="10">
        <f t="shared" si="0"/>
        <v>5.6391767744466605</v>
      </c>
    </row>
    <row r="63" spans="1:8" ht="11.1" customHeight="1" x14ac:dyDescent="0.2">
      <c r="A63" s="12" t="s">
        <v>65</v>
      </c>
      <c r="B63" s="12"/>
      <c r="C63" s="12"/>
      <c r="D63" s="12"/>
      <c r="E63" s="5" t="s">
        <v>15</v>
      </c>
      <c r="F63" s="6">
        <v>44.4</v>
      </c>
      <c r="G63" s="10">
        <f>VLOOKUP(A63,[1]TDSheet!$A:$G,6,0)/22</f>
        <v>3.7545454545454544</v>
      </c>
      <c r="H63" s="10">
        <f t="shared" si="0"/>
        <v>11.825665859564165</v>
      </c>
    </row>
    <row r="64" spans="1:8" ht="11.1" customHeight="1" x14ac:dyDescent="0.2">
      <c r="A64" s="12" t="s">
        <v>66</v>
      </c>
      <c r="B64" s="12"/>
      <c r="C64" s="12"/>
      <c r="D64" s="12"/>
      <c r="E64" s="5" t="s">
        <v>15</v>
      </c>
      <c r="F64" s="6">
        <v>34</v>
      </c>
      <c r="G64" s="10">
        <f>VLOOKUP(A64,[1]TDSheet!$A:$G,6,0)/22</f>
        <v>2.0727272727272728</v>
      </c>
      <c r="H64" s="10">
        <f t="shared" si="0"/>
        <v>16.403508771929825</v>
      </c>
    </row>
    <row r="65" spans="1:8" ht="11.1" customHeight="1" x14ac:dyDescent="0.2">
      <c r="A65" s="12" t="s">
        <v>67</v>
      </c>
      <c r="B65" s="12"/>
      <c r="C65" s="12"/>
      <c r="D65" s="12"/>
      <c r="E65" s="5" t="s">
        <v>11</v>
      </c>
      <c r="F65" s="6">
        <v>1.2010000000000001</v>
      </c>
      <c r="G65" s="10">
        <f>VLOOKUP(A65,[1]TDSheet!$A:$G,6,0)/22</f>
        <v>3.9423181818181816</v>
      </c>
      <c r="H65" s="10">
        <f t="shared" si="0"/>
        <v>0.30464309185873567</v>
      </c>
    </row>
    <row r="66" spans="1:8" ht="11.1" customHeight="1" x14ac:dyDescent="0.2">
      <c r="A66" s="12" t="s">
        <v>68</v>
      </c>
      <c r="B66" s="12"/>
      <c r="C66" s="12"/>
      <c r="D66" s="12"/>
      <c r="E66" s="5" t="s">
        <v>11</v>
      </c>
      <c r="F66" s="6">
        <v>8.7409999999999997</v>
      </c>
      <c r="G66" s="10">
        <f>VLOOKUP(A66,[1]TDSheet!$A:$G,6,0)/22</f>
        <v>8.1063181818181818</v>
      </c>
      <c r="H66" s="10">
        <f t="shared" si="0"/>
        <v>1.0782947083924437</v>
      </c>
    </row>
    <row r="67" spans="1:8" ht="11.1" customHeight="1" x14ac:dyDescent="0.2">
      <c r="A67" s="12" t="s">
        <v>69</v>
      </c>
      <c r="B67" s="12"/>
      <c r="C67" s="12"/>
      <c r="D67" s="12"/>
      <c r="E67" s="5" t="s">
        <v>15</v>
      </c>
      <c r="F67" s="6">
        <v>212</v>
      </c>
      <c r="G67" s="10">
        <f>VLOOKUP(A67,[1]TDSheet!$A:$G,6,0)/22</f>
        <v>20.272727272727273</v>
      </c>
      <c r="H67" s="10">
        <f t="shared" si="0"/>
        <v>10.457399103139013</v>
      </c>
    </row>
    <row r="68" spans="1:8" ht="11.1" customHeight="1" x14ac:dyDescent="0.2">
      <c r="A68" s="12" t="s">
        <v>70</v>
      </c>
      <c r="B68" s="12"/>
      <c r="C68" s="12"/>
      <c r="D68" s="12"/>
      <c r="E68" s="5" t="s">
        <v>15</v>
      </c>
      <c r="F68" s="6">
        <v>4.4000000000000004</v>
      </c>
      <c r="G68" s="10">
        <f>VLOOKUP(A68,[1]TDSheet!$A:$G,6,0)/22</f>
        <v>17.072727272727274</v>
      </c>
      <c r="H68" s="10">
        <f t="shared" si="0"/>
        <v>0.25772097976570818</v>
      </c>
    </row>
    <row r="69" spans="1:8" ht="21.95" customHeight="1" x14ac:dyDescent="0.2">
      <c r="A69" s="12" t="s">
        <v>71</v>
      </c>
      <c r="B69" s="12"/>
      <c r="C69" s="12"/>
      <c r="D69" s="12"/>
      <c r="E69" s="5" t="s">
        <v>11</v>
      </c>
      <c r="F69" s="6">
        <v>260.50299999999999</v>
      </c>
      <c r="G69" s="10">
        <f>VLOOKUP(A69,[1]TDSheet!$A:$G,6,0)/22</f>
        <v>28.514636363636363</v>
      </c>
      <c r="H69" s="10">
        <f t="shared" si="0"/>
        <v>9.1357644080711342</v>
      </c>
    </row>
    <row r="70" spans="1:8" ht="11.1" customHeight="1" x14ac:dyDescent="0.2">
      <c r="A70" s="12" t="s">
        <v>72</v>
      </c>
      <c r="B70" s="12"/>
      <c r="C70" s="12"/>
      <c r="D70" s="12"/>
      <c r="E70" s="5" t="s">
        <v>11</v>
      </c>
      <c r="F70" s="6">
        <v>116.62</v>
      </c>
      <c r="G70" s="10">
        <f>VLOOKUP(A70,[1]TDSheet!$A:$G,6,0)/22</f>
        <v>29.742954545454548</v>
      </c>
      <c r="H70" s="10">
        <f t="shared" si="0"/>
        <v>3.9209285621499359</v>
      </c>
    </row>
    <row r="71" spans="1:8" ht="11.1" customHeight="1" x14ac:dyDescent="0.2">
      <c r="A71" s="12" t="s">
        <v>73</v>
      </c>
      <c r="B71" s="12"/>
      <c r="C71" s="12"/>
      <c r="D71" s="12"/>
      <c r="E71" s="5" t="s">
        <v>11</v>
      </c>
      <c r="F71" s="6">
        <v>406.97199999999998</v>
      </c>
      <c r="G71" s="10">
        <f>VLOOKUP(A71,[1]TDSheet!$A:$G,6,0)/22</f>
        <v>66.598409090909087</v>
      </c>
      <c r="H71" s="10">
        <f t="shared" si="0"/>
        <v>6.1108366634474613</v>
      </c>
    </row>
    <row r="72" spans="1:8" ht="11.1" customHeight="1" x14ac:dyDescent="0.2">
      <c r="A72" s="12" t="s">
        <v>74</v>
      </c>
      <c r="B72" s="12"/>
      <c r="C72" s="12"/>
      <c r="D72" s="12"/>
      <c r="E72" s="5" t="s">
        <v>11</v>
      </c>
      <c r="F72" s="6">
        <v>196.52099999999999</v>
      </c>
      <c r="G72" s="10">
        <f>VLOOKUP(A72,[1]TDSheet!$A:$G,6,0)/22</f>
        <v>28.255454545454544</v>
      </c>
      <c r="H72" s="10">
        <f t="shared" si="0"/>
        <v>6.9551526656156497</v>
      </c>
    </row>
    <row r="73" spans="1:8" ht="11.1" customHeight="1" x14ac:dyDescent="0.2">
      <c r="A73" s="12" t="s">
        <v>75</v>
      </c>
      <c r="B73" s="12"/>
      <c r="C73" s="12"/>
      <c r="D73" s="12"/>
      <c r="E73" s="5" t="s">
        <v>15</v>
      </c>
      <c r="F73" s="6">
        <v>37.200000000000003</v>
      </c>
      <c r="G73" s="10">
        <f>VLOOKUP(A73,[1]TDSheet!$A:$G,6,0)/22</f>
        <v>1.2545454545454546</v>
      </c>
      <c r="H73" s="10">
        <f t="shared" si="0"/>
        <v>29.65217391304348</v>
      </c>
    </row>
    <row r="74" spans="1:8" ht="11.1" customHeight="1" x14ac:dyDescent="0.2">
      <c r="A74" s="12" t="s">
        <v>76</v>
      </c>
      <c r="B74" s="12"/>
      <c r="C74" s="12"/>
      <c r="D74" s="12"/>
      <c r="E74" s="5" t="s">
        <v>11</v>
      </c>
      <c r="F74" s="6">
        <v>383.73599999999999</v>
      </c>
      <c r="G74" s="10">
        <f>VLOOKUP(A74,[1]TDSheet!$A:$G,6,0)/22</f>
        <v>54.919954545454544</v>
      </c>
      <c r="H74" s="10">
        <f t="shared" si="0"/>
        <v>6.987187137644125</v>
      </c>
    </row>
    <row r="75" spans="1:8" ht="11.1" customHeight="1" x14ac:dyDescent="0.2">
      <c r="A75" s="12" t="s">
        <v>77</v>
      </c>
      <c r="B75" s="12"/>
      <c r="C75" s="12"/>
      <c r="D75" s="12"/>
      <c r="E75" s="5" t="s">
        <v>15</v>
      </c>
      <c r="F75" s="6">
        <v>135.6</v>
      </c>
      <c r="G75" s="10">
        <f>VLOOKUP(A75,[1]TDSheet!$A:$G,6,0)/22</f>
        <v>7.0090909090909088</v>
      </c>
      <c r="H75" s="10">
        <f t="shared" ref="H75:H119" si="1">F75/G75</f>
        <v>19.346303501945524</v>
      </c>
    </row>
    <row r="76" spans="1:8" ht="11.1" customHeight="1" x14ac:dyDescent="0.2">
      <c r="A76" s="12" t="s">
        <v>78</v>
      </c>
      <c r="B76" s="12"/>
      <c r="C76" s="12"/>
      <c r="D76" s="12"/>
      <c r="E76" s="5" t="s">
        <v>15</v>
      </c>
      <c r="F76" s="6">
        <v>60</v>
      </c>
      <c r="G76" s="10">
        <f>VLOOKUP(A76,[1]TDSheet!$A:$G,6,0)/22</f>
        <v>6.5090909090909088</v>
      </c>
      <c r="H76" s="10">
        <f t="shared" si="1"/>
        <v>9.2178770949720672</v>
      </c>
    </row>
    <row r="77" spans="1:8" ht="11.1" customHeight="1" x14ac:dyDescent="0.2">
      <c r="A77" s="12" t="s">
        <v>79</v>
      </c>
      <c r="B77" s="12"/>
      <c r="C77" s="12"/>
      <c r="D77" s="12"/>
      <c r="E77" s="5" t="s">
        <v>15</v>
      </c>
      <c r="F77" s="6">
        <v>22.44</v>
      </c>
      <c r="G77" s="10">
        <f>VLOOKUP(A77,[1]TDSheet!$A:$G,6,0)/22</f>
        <v>7.47</v>
      </c>
      <c r="H77" s="10">
        <f t="shared" si="1"/>
        <v>3.0040160642570282</v>
      </c>
    </row>
    <row r="78" spans="1:8" ht="21.95" customHeight="1" x14ac:dyDescent="0.2">
      <c r="A78" s="12" t="s">
        <v>80</v>
      </c>
      <c r="B78" s="12"/>
      <c r="C78" s="12"/>
      <c r="D78" s="12"/>
      <c r="E78" s="5" t="s">
        <v>15</v>
      </c>
      <c r="F78" s="6">
        <v>29.05</v>
      </c>
      <c r="G78" s="10">
        <f>VLOOKUP(A78,[1]TDSheet!$A:$G,6,0)/22</f>
        <v>4.5340909090909092</v>
      </c>
      <c r="H78" s="10">
        <f t="shared" si="1"/>
        <v>6.4070175438596495</v>
      </c>
    </row>
    <row r="79" spans="1:8" ht="11.1" customHeight="1" x14ac:dyDescent="0.2">
      <c r="A79" s="12" t="s">
        <v>81</v>
      </c>
      <c r="B79" s="12"/>
      <c r="C79" s="12"/>
      <c r="D79" s="12"/>
      <c r="E79" s="5" t="s">
        <v>15</v>
      </c>
      <c r="F79" s="6">
        <v>123.58</v>
      </c>
      <c r="G79" s="10">
        <f>VLOOKUP(A79,[1]TDSheet!$A:$G,6,0)/22</f>
        <v>11.032727272727273</v>
      </c>
      <c r="H79" s="10">
        <f t="shared" si="1"/>
        <v>11.201219512195122</v>
      </c>
    </row>
    <row r="80" spans="1:8" ht="11.1" customHeight="1" x14ac:dyDescent="0.2">
      <c r="A80" s="12" t="s">
        <v>82</v>
      </c>
      <c r="B80" s="12"/>
      <c r="C80" s="12"/>
      <c r="D80" s="12"/>
      <c r="E80" s="5" t="s">
        <v>15</v>
      </c>
      <c r="F80" s="6">
        <v>21.12</v>
      </c>
      <c r="G80" s="10">
        <f>VLOOKUP(A80,[1]TDSheet!$A:$G,6,0)/22</f>
        <v>2.58</v>
      </c>
      <c r="H80" s="10">
        <f t="shared" si="1"/>
        <v>8.1860465116279073</v>
      </c>
    </row>
    <row r="81" spans="1:8" ht="11.1" customHeight="1" x14ac:dyDescent="0.2">
      <c r="A81" s="12" t="s">
        <v>83</v>
      </c>
      <c r="B81" s="12"/>
      <c r="C81" s="12"/>
      <c r="D81" s="12"/>
      <c r="E81" s="5" t="s">
        <v>15</v>
      </c>
      <c r="F81" s="6">
        <v>166.4</v>
      </c>
      <c r="G81" s="10">
        <f>VLOOKUP(A81,[1]TDSheet!$A:$G,6,0)/22</f>
        <v>5.7636363636363637</v>
      </c>
      <c r="H81" s="10">
        <f t="shared" si="1"/>
        <v>28.870662460567825</v>
      </c>
    </row>
    <row r="82" spans="1:8" ht="11.1" customHeight="1" x14ac:dyDescent="0.2">
      <c r="A82" s="12" t="s">
        <v>84</v>
      </c>
      <c r="B82" s="12"/>
      <c r="C82" s="12"/>
      <c r="D82" s="12"/>
      <c r="E82" s="5" t="s">
        <v>15</v>
      </c>
      <c r="F82" s="6">
        <v>1.75</v>
      </c>
      <c r="G82" s="10">
        <f>VLOOKUP(A82,[1]TDSheet!$A:$G,6,0)/22</f>
        <v>1.6227272727272728</v>
      </c>
      <c r="H82" s="10">
        <f t="shared" si="1"/>
        <v>1.0784313725490196</v>
      </c>
    </row>
    <row r="83" spans="1:8" ht="11.1" customHeight="1" x14ac:dyDescent="0.2">
      <c r="A83" s="12" t="s">
        <v>85</v>
      </c>
      <c r="B83" s="12"/>
      <c r="C83" s="12"/>
      <c r="D83" s="12"/>
      <c r="E83" s="5" t="s">
        <v>15</v>
      </c>
      <c r="F83" s="6">
        <v>1.05</v>
      </c>
      <c r="G83" s="10">
        <f>VLOOKUP(A83,[1]TDSheet!$A:$G,6,0)/22</f>
        <v>1.8613636363636366</v>
      </c>
      <c r="H83" s="10">
        <f t="shared" si="1"/>
        <v>0.5641025641025641</v>
      </c>
    </row>
    <row r="84" spans="1:8" ht="21.95" customHeight="1" x14ac:dyDescent="0.2">
      <c r="A84" s="12" t="s">
        <v>86</v>
      </c>
      <c r="B84" s="12"/>
      <c r="C84" s="12"/>
      <c r="D84" s="12"/>
      <c r="E84" s="5" t="s">
        <v>15</v>
      </c>
      <c r="F84" s="6">
        <v>2</v>
      </c>
      <c r="G84" s="10">
        <f>VLOOKUP(A84,[1]TDSheet!$A:$G,6,0)/22</f>
        <v>4.5636363636363635</v>
      </c>
      <c r="H84" s="10">
        <f t="shared" si="1"/>
        <v>0.43824701195219123</v>
      </c>
    </row>
    <row r="85" spans="1:8" ht="11.1" customHeight="1" x14ac:dyDescent="0.2">
      <c r="A85" s="12" t="s">
        <v>87</v>
      </c>
      <c r="B85" s="12"/>
      <c r="C85" s="12"/>
      <c r="D85" s="12"/>
      <c r="E85" s="5" t="s">
        <v>11</v>
      </c>
      <c r="F85" s="6">
        <v>35.844999999999999</v>
      </c>
      <c r="G85" s="10">
        <f>VLOOKUP(A85,[1]TDSheet!$A:$G,6,0)/22</f>
        <v>1.4394545454545453</v>
      </c>
      <c r="H85" s="10">
        <f t="shared" si="1"/>
        <v>24.901793608690163</v>
      </c>
    </row>
    <row r="86" spans="1:8" ht="11.1" customHeight="1" x14ac:dyDescent="0.2">
      <c r="A86" s="12" t="s">
        <v>88</v>
      </c>
      <c r="B86" s="12"/>
      <c r="C86" s="12"/>
      <c r="D86" s="12"/>
      <c r="E86" s="5" t="s">
        <v>11</v>
      </c>
      <c r="F86" s="6">
        <v>465.69400000000002</v>
      </c>
      <c r="G86" s="10">
        <f>VLOOKUP(A86,[1]TDSheet!$A:$G,6,0)/22</f>
        <v>52.413454545454549</v>
      </c>
      <c r="H86" s="10">
        <f t="shared" si="1"/>
        <v>8.8850087069940393</v>
      </c>
    </row>
    <row r="87" spans="1:8" ht="11.1" customHeight="1" x14ac:dyDescent="0.2">
      <c r="A87" s="12" t="s">
        <v>89</v>
      </c>
      <c r="B87" s="12"/>
      <c r="C87" s="12"/>
      <c r="D87" s="12"/>
      <c r="E87" s="5" t="s">
        <v>11</v>
      </c>
      <c r="F87" s="7">
        <v>3180.1309999999999</v>
      </c>
      <c r="G87" s="10">
        <f>VLOOKUP(A87,[1]TDSheet!$A:$G,6,0)/22</f>
        <v>328.28290909090907</v>
      </c>
      <c r="H87" s="10">
        <f t="shared" si="1"/>
        <v>9.6871658923899346</v>
      </c>
    </row>
    <row r="88" spans="1:8" ht="11.1" customHeight="1" x14ac:dyDescent="0.2">
      <c r="A88" s="12" t="s">
        <v>90</v>
      </c>
      <c r="B88" s="12"/>
      <c r="C88" s="12"/>
      <c r="D88" s="12"/>
      <c r="E88" s="5" t="s">
        <v>11</v>
      </c>
      <c r="F88" s="7">
        <v>2892.2280000000001</v>
      </c>
      <c r="G88" s="10">
        <f>VLOOKUP(A88,[1]TDSheet!$A:$G,6,0)/22</f>
        <v>317.16013636363635</v>
      </c>
      <c r="H88" s="10">
        <f t="shared" si="1"/>
        <v>9.119140990291255</v>
      </c>
    </row>
    <row r="89" spans="1:8" ht="11.1" customHeight="1" x14ac:dyDescent="0.2">
      <c r="A89" s="12" t="s">
        <v>91</v>
      </c>
      <c r="B89" s="12"/>
      <c r="C89" s="12"/>
      <c r="D89" s="12"/>
      <c r="E89" s="5" t="s">
        <v>11</v>
      </c>
      <c r="F89" s="7">
        <v>3079.424</v>
      </c>
      <c r="G89" s="10">
        <f>VLOOKUP(A89,[1]TDSheet!$A:$G,6,0)/22</f>
        <v>483.43218181818179</v>
      </c>
      <c r="H89" s="10">
        <f t="shared" si="1"/>
        <v>6.3699193306046125</v>
      </c>
    </row>
    <row r="90" spans="1:8" ht="11.1" customHeight="1" x14ac:dyDescent="0.2">
      <c r="A90" s="12" t="s">
        <v>92</v>
      </c>
      <c r="B90" s="12"/>
      <c r="C90" s="12"/>
      <c r="D90" s="12"/>
      <c r="E90" s="5" t="s">
        <v>15</v>
      </c>
      <c r="F90" s="6">
        <v>95.4</v>
      </c>
      <c r="G90" s="10">
        <f>VLOOKUP(A90,[1]TDSheet!$A:$G,6,0)/22</f>
        <v>7.0227272727272725</v>
      </c>
      <c r="H90" s="10">
        <f t="shared" si="1"/>
        <v>13.584466019417476</v>
      </c>
    </row>
    <row r="91" spans="1:8" ht="11.1" customHeight="1" x14ac:dyDescent="0.2">
      <c r="A91" s="12" t="s">
        <v>93</v>
      </c>
      <c r="B91" s="12"/>
      <c r="C91" s="12"/>
      <c r="D91" s="12"/>
      <c r="E91" s="5" t="s">
        <v>15</v>
      </c>
      <c r="F91" s="6">
        <v>7.98</v>
      </c>
      <c r="G91" s="10">
        <f>VLOOKUP(A91,[1]TDSheet!$A:$G,6,0)/22</f>
        <v>0.8495454545454546</v>
      </c>
      <c r="H91" s="10">
        <f t="shared" si="1"/>
        <v>9.3932584269662929</v>
      </c>
    </row>
    <row r="92" spans="1:8" ht="11.1" customHeight="1" x14ac:dyDescent="0.2">
      <c r="A92" s="12" t="s">
        <v>94</v>
      </c>
      <c r="B92" s="12"/>
      <c r="C92" s="12"/>
      <c r="D92" s="12"/>
      <c r="E92" s="5" t="s">
        <v>15</v>
      </c>
      <c r="F92" s="6">
        <v>8.4700000000000006</v>
      </c>
      <c r="G92" s="10">
        <f>VLOOKUP(A92,[1]TDSheet!$A:$G,6,0)/22</f>
        <v>0.69363636363636361</v>
      </c>
      <c r="H92" s="10">
        <f t="shared" si="1"/>
        <v>12.211009174311927</v>
      </c>
    </row>
    <row r="93" spans="1:8" ht="11.1" customHeight="1" x14ac:dyDescent="0.2">
      <c r="A93" s="12" t="s">
        <v>95</v>
      </c>
      <c r="B93" s="12"/>
      <c r="C93" s="12"/>
      <c r="D93" s="12"/>
      <c r="E93" s="5" t="s">
        <v>15</v>
      </c>
      <c r="F93" s="6">
        <v>0.35</v>
      </c>
      <c r="G93" s="10">
        <f>VLOOKUP(A93,[1]TDSheet!$A:$G,6,0)/22</f>
        <v>0.5613636363636364</v>
      </c>
      <c r="H93" s="10">
        <f t="shared" si="1"/>
        <v>0.62348178137651811</v>
      </c>
    </row>
    <row r="94" spans="1:8" ht="11.1" customHeight="1" x14ac:dyDescent="0.2">
      <c r="A94" s="12" t="s">
        <v>96</v>
      </c>
      <c r="B94" s="12"/>
      <c r="C94" s="12"/>
      <c r="D94" s="12"/>
      <c r="E94" s="5" t="s">
        <v>15</v>
      </c>
      <c r="F94" s="6">
        <v>5.5E-2</v>
      </c>
      <c r="G94" s="10">
        <f>VLOOKUP(A94,[1]TDSheet!$A:$G,6,0)/22</f>
        <v>0.1</v>
      </c>
      <c r="H94" s="10">
        <f t="shared" si="1"/>
        <v>0.54999999999999993</v>
      </c>
    </row>
    <row r="95" spans="1:8" ht="11.1" customHeight="1" x14ac:dyDescent="0.2">
      <c r="A95" s="12" t="s">
        <v>97</v>
      </c>
      <c r="B95" s="12"/>
      <c r="C95" s="12"/>
      <c r="D95" s="12"/>
      <c r="E95" s="5" t="s">
        <v>11</v>
      </c>
      <c r="F95" s="6">
        <v>-3.173</v>
      </c>
      <c r="G95" s="10">
        <f>VLOOKUP(A95,[1]TDSheet!$A:$G,6,0)/22</f>
        <v>3.4080454545454546</v>
      </c>
      <c r="H95" s="10">
        <f t="shared" si="1"/>
        <v>-0.93103218320284886</v>
      </c>
    </row>
    <row r="96" spans="1:8" ht="21.95" customHeight="1" x14ac:dyDescent="0.2">
      <c r="A96" s="12" t="s">
        <v>98</v>
      </c>
      <c r="B96" s="12"/>
      <c r="C96" s="12"/>
      <c r="D96" s="12"/>
      <c r="E96" s="5" t="s">
        <v>15</v>
      </c>
      <c r="F96" s="6">
        <v>6.56</v>
      </c>
      <c r="G96" s="10">
        <f>VLOOKUP(A96,[1]TDSheet!$A:$G,6,0)/22</f>
        <v>1.0654545454545454</v>
      </c>
      <c r="H96" s="10">
        <f t="shared" si="1"/>
        <v>6.1569965870307168</v>
      </c>
    </row>
    <row r="97" spans="1:8" ht="21.95" customHeight="1" x14ac:dyDescent="0.2">
      <c r="A97" s="12" t="s">
        <v>99</v>
      </c>
      <c r="B97" s="12"/>
      <c r="C97" s="12"/>
      <c r="D97" s="12"/>
      <c r="E97" s="5" t="s">
        <v>15</v>
      </c>
      <c r="F97" s="6">
        <v>7.6</v>
      </c>
      <c r="G97" s="10">
        <f>VLOOKUP(A97,[1]TDSheet!$A:$G,6,0)/22</f>
        <v>1.1490909090909092</v>
      </c>
      <c r="H97" s="10">
        <f t="shared" si="1"/>
        <v>6.6139240506329111</v>
      </c>
    </row>
    <row r="98" spans="1:8" ht="21.95" customHeight="1" x14ac:dyDescent="0.2">
      <c r="A98" s="12" t="s">
        <v>100</v>
      </c>
      <c r="B98" s="12"/>
      <c r="C98" s="12"/>
      <c r="D98" s="12"/>
      <c r="E98" s="5" t="s">
        <v>11</v>
      </c>
      <c r="F98" s="6">
        <v>179.87100000000001</v>
      </c>
      <c r="G98" s="10">
        <f>VLOOKUP(A98,[1]TDSheet!$A:$G,6,0)/22</f>
        <v>37.696772727272723</v>
      </c>
      <c r="H98" s="10">
        <f t="shared" si="1"/>
        <v>4.7715225200131677</v>
      </c>
    </row>
    <row r="99" spans="1:8" ht="21.95" customHeight="1" x14ac:dyDescent="0.2">
      <c r="A99" s="12" t="s">
        <v>101</v>
      </c>
      <c r="B99" s="12"/>
      <c r="C99" s="12"/>
      <c r="D99" s="12"/>
      <c r="E99" s="5" t="s">
        <v>11</v>
      </c>
      <c r="F99" s="6">
        <v>239.577</v>
      </c>
      <c r="G99" s="10">
        <f>VLOOKUP(A99,[1]TDSheet!$A:$G,6,0)/22</f>
        <v>40.446363636363635</v>
      </c>
      <c r="H99" s="10">
        <f t="shared" si="1"/>
        <v>5.9233260659459219</v>
      </c>
    </row>
    <row r="100" spans="1:8" ht="11.1" customHeight="1" x14ac:dyDescent="0.2">
      <c r="A100" s="12" t="s">
        <v>102</v>
      </c>
      <c r="B100" s="12"/>
      <c r="C100" s="12"/>
      <c r="D100" s="12"/>
      <c r="E100" s="5" t="s">
        <v>11</v>
      </c>
      <c r="F100" s="6">
        <v>289.875</v>
      </c>
      <c r="G100" s="10">
        <f>VLOOKUP(A100,[1]TDSheet!$A:$G,6,0)/22</f>
        <v>53.690090909090912</v>
      </c>
      <c r="H100" s="10">
        <f t="shared" si="1"/>
        <v>5.3990409606648253</v>
      </c>
    </row>
    <row r="101" spans="1:8" ht="21.95" customHeight="1" x14ac:dyDescent="0.2">
      <c r="A101" s="12" t="s">
        <v>103</v>
      </c>
      <c r="B101" s="12"/>
      <c r="C101" s="12"/>
      <c r="D101" s="12"/>
      <c r="E101" s="5" t="s">
        <v>15</v>
      </c>
      <c r="F101" s="6">
        <v>7.56</v>
      </c>
      <c r="G101" s="10">
        <f>VLOOKUP(A101,[1]TDSheet!$A:$G,6,0)/22</f>
        <v>8.5018181818181819</v>
      </c>
      <c r="H101" s="10">
        <f t="shared" si="1"/>
        <v>0.8892215568862275</v>
      </c>
    </row>
    <row r="102" spans="1:8" ht="21.95" customHeight="1" x14ac:dyDescent="0.2">
      <c r="A102" s="12" t="s">
        <v>104</v>
      </c>
      <c r="B102" s="12"/>
      <c r="C102" s="12"/>
      <c r="D102" s="12"/>
      <c r="E102" s="5" t="s">
        <v>15</v>
      </c>
      <c r="F102" s="6">
        <v>44.8</v>
      </c>
      <c r="G102" s="10">
        <f>VLOOKUP(A102,[1]TDSheet!$A:$G,6,0)/22</f>
        <v>8.4</v>
      </c>
      <c r="H102" s="10">
        <f t="shared" si="1"/>
        <v>5.333333333333333</v>
      </c>
    </row>
    <row r="103" spans="1:8" ht="21.95" customHeight="1" x14ac:dyDescent="0.2">
      <c r="A103" s="12" t="s">
        <v>105</v>
      </c>
      <c r="B103" s="12"/>
      <c r="C103" s="12"/>
      <c r="D103" s="12"/>
      <c r="E103" s="5" t="s">
        <v>15</v>
      </c>
      <c r="F103" s="6">
        <v>38.36</v>
      </c>
      <c r="G103" s="10">
        <f>VLOOKUP(A103,[1]TDSheet!$A:$G,6,0)/22</f>
        <v>9.9145454545454541</v>
      </c>
      <c r="H103" s="10">
        <f t="shared" si="1"/>
        <v>3.8690629011553272</v>
      </c>
    </row>
    <row r="104" spans="1:8" ht="21.95" customHeight="1" x14ac:dyDescent="0.2">
      <c r="A104" s="12" t="s">
        <v>106</v>
      </c>
      <c r="B104" s="12"/>
      <c r="C104" s="12"/>
      <c r="D104" s="12"/>
      <c r="E104" s="5" t="s">
        <v>11</v>
      </c>
      <c r="F104" s="6">
        <v>67.046999999999997</v>
      </c>
      <c r="G104" s="10">
        <f>VLOOKUP(A104,[1]TDSheet!$A:$G,6,0)/22</f>
        <v>16.476181818181818</v>
      </c>
      <c r="H104" s="10">
        <f t="shared" si="1"/>
        <v>4.0693287279709551</v>
      </c>
    </row>
    <row r="105" spans="1:8" ht="21.95" customHeight="1" x14ac:dyDescent="0.2">
      <c r="A105" s="12" t="s">
        <v>107</v>
      </c>
      <c r="B105" s="12"/>
      <c r="C105" s="12"/>
      <c r="D105" s="12"/>
      <c r="E105" s="5" t="s">
        <v>11</v>
      </c>
      <c r="F105" s="6">
        <v>149.58000000000001</v>
      </c>
      <c r="G105" s="10">
        <f>VLOOKUP(A105,[1]TDSheet!$A:$G,6,0)/22</f>
        <v>12.163363636363636</v>
      </c>
      <c r="H105" s="10">
        <f t="shared" si="1"/>
        <v>12.297585147649052</v>
      </c>
    </row>
    <row r="106" spans="1:8" ht="11.1" customHeight="1" x14ac:dyDescent="0.2">
      <c r="A106" s="12" t="s">
        <v>108</v>
      </c>
      <c r="B106" s="12"/>
      <c r="C106" s="12"/>
      <c r="D106" s="12"/>
      <c r="E106" s="5" t="s">
        <v>11</v>
      </c>
      <c r="F106" s="6">
        <v>41.165999999999997</v>
      </c>
      <c r="G106" s="10">
        <f>VLOOKUP(A106,[1]TDSheet!$A:$G,6,0)/22</f>
        <v>15.0985</v>
      </c>
      <c r="H106" s="10">
        <f t="shared" si="1"/>
        <v>2.7264960095373709</v>
      </c>
    </row>
    <row r="107" spans="1:8" ht="11.1" customHeight="1" x14ac:dyDescent="0.2">
      <c r="A107" s="12" t="s">
        <v>109</v>
      </c>
      <c r="B107" s="12"/>
      <c r="C107" s="12"/>
      <c r="D107" s="12"/>
      <c r="E107" s="5" t="s">
        <v>11</v>
      </c>
      <c r="F107" s="6">
        <v>374.291</v>
      </c>
      <c r="G107" s="10">
        <f>VLOOKUP(A107,[1]TDSheet!$A:$G,6,0)/22</f>
        <v>38.076409090909095</v>
      </c>
      <c r="H107" s="10">
        <f t="shared" si="1"/>
        <v>9.8299973378887646</v>
      </c>
    </row>
    <row r="108" spans="1:8" ht="11.1" customHeight="1" x14ac:dyDescent="0.2">
      <c r="A108" s="12" t="s">
        <v>110</v>
      </c>
      <c r="B108" s="12"/>
      <c r="C108" s="12"/>
      <c r="D108" s="12"/>
      <c r="E108" s="5" t="s">
        <v>11</v>
      </c>
      <c r="F108" s="6">
        <v>175.70400000000001</v>
      </c>
      <c r="G108" s="10">
        <f>VLOOKUP(A108,[1]TDSheet!$A:$G,6,0)/22</f>
        <v>11.003772727272727</v>
      </c>
      <c r="H108" s="10">
        <f t="shared" si="1"/>
        <v>15.967614413238437</v>
      </c>
    </row>
    <row r="109" spans="1:8" ht="11.1" customHeight="1" x14ac:dyDescent="0.2">
      <c r="A109" s="12" t="s">
        <v>111</v>
      </c>
      <c r="B109" s="12"/>
      <c r="C109" s="12"/>
      <c r="D109" s="12"/>
      <c r="E109" s="5" t="s">
        <v>11</v>
      </c>
      <c r="F109" s="7">
        <v>1964.423</v>
      </c>
      <c r="G109" s="10">
        <f>VLOOKUP(A109,[1]TDSheet!$A:$G,6,0)/22</f>
        <v>163.90468181818181</v>
      </c>
      <c r="H109" s="10">
        <f t="shared" si="1"/>
        <v>11.98515489740018</v>
      </c>
    </row>
    <row r="110" spans="1:8" ht="21.95" customHeight="1" x14ac:dyDescent="0.2">
      <c r="A110" s="12" t="s">
        <v>112</v>
      </c>
      <c r="B110" s="12"/>
      <c r="C110" s="12"/>
      <c r="D110" s="12"/>
      <c r="E110" s="5" t="s">
        <v>15</v>
      </c>
      <c r="F110" s="6">
        <v>7.25</v>
      </c>
      <c r="G110" s="10">
        <f>VLOOKUP(A110,[1]TDSheet!$A:$G,6,0)/22</f>
        <v>1.875</v>
      </c>
      <c r="H110" s="10">
        <f t="shared" si="1"/>
        <v>3.8666666666666667</v>
      </c>
    </row>
    <row r="111" spans="1:8" ht="11.1" customHeight="1" x14ac:dyDescent="0.2">
      <c r="A111" s="12" t="s">
        <v>113</v>
      </c>
      <c r="B111" s="12"/>
      <c r="C111" s="12"/>
      <c r="D111" s="12"/>
      <c r="E111" s="5" t="s">
        <v>15</v>
      </c>
      <c r="F111" s="6">
        <v>12.35</v>
      </c>
      <c r="G111" s="10">
        <f>VLOOKUP(A111,[1]TDSheet!$A:$G,6,0)/22</f>
        <v>1.6102272727272726</v>
      </c>
      <c r="H111" s="10">
        <f t="shared" si="1"/>
        <v>7.669724770642202</v>
      </c>
    </row>
    <row r="112" spans="1:8" ht="21.95" customHeight="1" x14ac:dyDescent="0.2">
      <c r="A112" s="12" t="s">
        <v>114</v>
      </c>
      <c r="B112" s="12"/>
      <c r="C112" s="12"/>
      <c r="D112" s="12"/>
      <c r="E112" s="5" t="s">
        <v>15</v>
      </c>
      <c r="F112" s="6">
        <v>11.25</v>
      </c>
      <c r="G112" s="10">
        <f>VLOOKUP(A112,[1]TDSheet!$A:$G,6,0)/22</f>
        <v>1.6704545454545454</v>
      </c>
      <c r="H112" s="10">
        <f t="shared" si="1"/>
        <v>6.7346938775510203</v>
      </c>
    </row>
    <row r="113" spans="1:8" ht="11.1" customHeight="1" x14ac:dyDescent="0.2">
      <c r="A113" s="12" t="s">
        <v>115</v>
      </c>
      <c r="B113" s="12"/>
      <c r="C113" s="12"/>
      <c r="D113" s="12"/>
      <c r="E113" s="5" t="s">
        <v>15</v>
      </c>
      <c r="F113" s="6">
        <v>0.6</v>
      </c>
      <c r="G113" s="10">
        <f>VLOOKUP(A113,[1]TDSheet!$A:$G,6,0)/22</f>
        <v>1.0909090909090908</v>
      </c>
      <c r="H113" s="10">
        <f t="shared" si="1"/>
        <v>0.55000000000000004</v>
      </c>
    </row>
    <row r="114" spans="1:8" ht="11.1" customHeight="1" x14ac:dyDescent="0.2">
      <c r="A114" s="12" t="s">
        <v>116</v>
      </c>
      <c r="B114" s="12"/>
      <c r="C114" s="12"/>
      <c r="D114" s="12"/>
      <c r="E114" s="5" t="s">
        <v>11</v>
      </c>
      <c r="F114" s="6">
        <v>42.975000000000001</v>
      </c>
      <c r="G114" s="10">
        <f>VLOOKUP(A114,[1]TDSheet!$A:$G,6,0)/22</f>
        <v>2.5852727272727272</v>
      </c>
      <c r="H114" s="10">
        <f t="shared" si="1"/>
        <v>16.623004430691331</v>
      </c>
    </row>
    <row r="115" spans="1:8" ht="11.1" customHeight="1" x14ac:dyDescent="0.2">
      <c r="A115" s="12" t="s">
        <v>117</v>
      </c>
      <c r="B115" s="12"/>
      <c r="C115" s="12"/>
      <c r="D115" s="12"/>
      <c r="E115" s="5" t="s">
        <v>15</v>
      </c>
      <c r="F115" s="6">
        <v>12.3</v>
      </c>
      <c r="G115" s="10">
        <f>VLOOKUP(A115,[1]TDSheet!$A:$G,6,0)/22</f>
        <v>8.1818181818181817</v>
      </c>
      <c r="H115" s="10">
        <f t="shared" si="1"/>
        <v>1.5033333333333334</v>
      </c>
    </row>
    <row r="116" spans="1:8" ht="11.1" customHeight="1" x14ac:dyDescent="0.2">
      <c r="A116" s="12" t="s">
        <v>118</v>
      </c>
      <c r="B116" s="12"/>
      <c r="C116" s="12"/>
      <c r="D116" s="12"/>
      <c r="E116" s="5" t="s">
        <v>15</v>
      </c>
      <c r="F116" s="6">
        <v>14.52</v>
      </c>
      <c r="G116" s="10">
        <f>VLOOKUP(A116,[1]TDSheet!$A:$G,6,0)/22</f>
        <v>1.2872727272727273</v>
      </c>
      <c r="H116" s="10">
        <f t="shared" si="1"/>
        <v>11.279661016949152</v>
      </c>
    </row>
    <row r="117" spans="1:8" ht="21.95" customHeight="1" x14ac:dyDescent="0.2">
      <c r="A117" s="12" t="s">
        <v>119</v>
      </c>
      <c r="B117" s="12"/>
      <c r="C117" s="12"/>
      <c r="D117" s="12"/>
      <c r="E117" s="5" t="s">
        <v>15</v>
      </c>
      <c r="F117" s="6">
        <v>13.975</v>
      </c>
      <c r="G117" s="10">
        <f>VLOOKUP(A117,[1]TDSheet!$A:$G,6,0)/22</f>
        <v>4.4318181818181819E-2</v>
      </c>
      <c r="H117" s="10">
        <f t="shared" si="1"/>
        <v>315.33333333333331</v>
      </c>
    </row>
    <row r="118" spans="1:8" ht="21.95" customHeight="1" x14ac:dyDescent="0.2">
      <c r="A118" s="12" t="s">
        <v>120</v>
      </c>
      <c r="B118" s="12"/>
      <c r="C118" s="12"/>
      <c r="D118" s="12"/>
      <c r="E118" s="5" t="s">
        <v>15</v>
      </c>
      <c r="F118" s="6">
        <v>-3.5</v>
      </c>
      <c r="G118" s="10">
        <f>VLOOKUP(A118,[1]TDSheet!$A:$G,6,0)/22</f>
        <v>0.15909090909090909</v>
      </c>
      <c r="H118" s="10">
        <f t="shared" si="1"/>
        <v>-22</v>
      </c>
    </row>
    <row r="119" spans="1:8" ht="12.95" customHeight="1" x14ac:dyDescent="0.2">
      <c r="A119" s="13" t="s">
        <v>121</v>
      </c>
      <c r="B119" s="13"/>
      <c r="C119" s="13"/>
      <c r="D119" s="13"/>
      <c r="E119" s="13"/>
      <c r="F119" s="8">
        <v>28062.832999999999</v>
      </c>
    </row>
  </sheetData>
  <mergeCells count="113">
    <mergeCell ref="A12:D12"/>
    <mergeCell ref="A13:D13"/>
    <mergeCell ref="A14:D14"/>
    <mergeCell ref="A15:D15"/>
    <mergeCell ref="A16:D16"/>
    <mergeCell ref="C6:F6"/>
    <mergeCell ref="A8:D9"/>
    <mergeCell ref="E8:E9"/>
    <mergeCell ref="A10:D10"/>
    <mergeCell ref="A11:D11"/>
    <mergeCell ref="A22:D22"/>
    <mergeCell ref="A23:D23"/>
    <mergeCell ref="A24:D24"/>
    <mergeCell ref="A25:D25"/>
    <mergeCell ref="A26:D26"/>
    <mergeCell ref="A17:D17"/>
    <mergeCell ref="A18:D18"/>
    <mergeCell ref="A19:D19"/>
    <mergeCell ref="A20:D20"/>
    <mergeCell ref="A21:D21"/>
    <mergeCell ref="A32:D32"/>
    <mergeCell ref="A33:D33"/>
    <mergeCell ref="A34:D34"/>
    <mergeCell ref="A35:D35"/>
    <mergeCell ref="A36:D36"/>
    <mergeCell ref="A27:D27"/>
    <mergeCell ref="A28:D28"/>
    <mergeCell ref="A29:D29"/>
    <mergeCell ref="A30:D30"/>
    <mergeCell ref="A31:D31"/>
    <mergeCell ref="A42:D42"/>
    <mergeCell ref="A43:D43"/>
    <mergeCell ref="A44:D44"/>
    <mergeCell ref="A45:D45"/>
    <mergeCell ref="A46:D46"/>
    <mergeCell ref="A37:D37"/>
    <mergeCell ref="A38:D38"/>
    <mergeCell ref="A39:D39"/>
    <mergeCell ref="A40:D40"/>
    <mergeCell ref="A41:D41"/>
    <mergeCell ref="A52:D52"/>
    <mergeCell ref="A53:D53"/>
    <mergeCell ref="A54:D54"/>
    <mergeCell ref="A55:D55"/>
    <mergeCell ref="A56:D56"/>
    <mergeCell ref="A47:D47"/>
    <mergeCell ref="A48:D48"/>
    <mergeCell ref="A49:D49"/>
    <mergeCell ref="A50:D50"/>
    <mergeCell ref="A51:D51"/>
    <mergeCell ref="A62:D62"/>
    <mergeCell ref="A63:D63"/>
    <mergeCell ref="A64:D64"/>
    <mergeCell ref="A65:D65"/>
    <mergeCell ref="A66:D66"/>
    <mergeCell ref="A57:D57"/>
    <mergeCell ref="A58:D58"/>
    <mergeCell ref="A59:D59"/>
    <mergeCell ref="A60:D60"/>
    <mergeCell ref="A61:D61"/>
    <mergeCell ref="A72:D72"/>
    <mergeCell ref="A73:D73"/>
    <mergeCell ref="A74:D74"/>
    <mergeCell ref="A75:D75"/>
    <mergeCell ref="A76:D76"/>
    <mergeCell ref="A67:D67"/>
    <mergeCell ref="A68:D68"/>
    <mergeCell ref="A69:D69"/>
    <mergeCell ref="A70:D70"/>
    <mergeCell ref="A71:D71"/>
    <mergeCell ref="A82:D82"/>
    <mergeCell ref="A83:D83"/>
    <mergeCell ref="A84:D84"/>
    <mergeCell ref="A85:D85"/>
    <mergeCell ref="A86:D86"/>
    <mergeCell ref="A77:D77"/>
    <mergeCell ref="A78:D78"/>
    <mergeCell ref="A79:D79"/>
    <mergeCell ref="A80:D80"/>
    <mergeCell ref="A81:D81"/>
    <mergeCell ref="A92:D92"/>
    <mergeCell ref="A93:D93"/>
    <mergeCell ref="A94:D94"/>
    <mergeCell ref="A95:D95"/>
    <mergeCell ref="A96:D96"/>
    <mergeCell ref="A87:D87"/>
    <mergeCell ref="A88:D88"/>
    <mergeCell ref="A89:D89"/>
    <mergeCell ref="A90:D90"/>
    <mergeCell ref="A91:D91"/>
    <mergeCell ref="A102:D102"/>
    <mergeCell ref="A103:D103"/>
    <mergeCell ref="A104:D104"/>
    <mergeCell ref="A105:D105"/>
    <mergeCell ref="A106:D106"/>
    <mergeCell ref="A97:D97"/>
    <mergeCell ref="A98:D98"/>
    <mergeCell ref="A99:D99"/>
    <mergeCell ref="A100:D100"/>
    <mergeCell ref="A101:D101"/>
    <mergeCell ref="A117:D117"/>
    <mergeCell ref="A118:D118"/>
    <mergeCell ref="A119:E119"/>
    <mergeCell ref="A112:D112"/>
    <mergeCell ref="A113:D113"/>
    <mergeCell ref="A114:D114"/>
    <mergeCell ref="A115:D115"/>
    <mergeCell ref="A116:D116"/>
    <mergeCell ref="A107:D107"/>
    <mergeCell ref="A108:D108"/>
    <mergeCell ref="A109:D109"/>
    <mergeCell ref="A110:D110"/>
    <mergeCell ref="A111:D111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2026-08-05T10:16:58Z</dcterms:modified>
</cp:coreProperties>
</file>