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Луганск\"/>
    </mc:Choice>
  </mc:AlternateContent>
  <xr:revisionPtr revIDLastSave="0" documentId="13_ncr:1_{4C7BE14C-D7F6-48C0-8086-8C0342F02C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0" i="1" l="1"/>
</calcChain>
</file>

<file path=xl/sharedStrings.xml><?xml version="1.0" encoding="utf-8"?>
<sst xmlns="http://schemas.openxmlformats.org/spreadsheetml/2006/main" count="242" uniqueCount="129">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</sst>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" fontId="2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1;&#1091;&#1075;&#1072;&#1085;&#1089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F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10750.8</v>
          </cell>
          <cell r="F7">
            <v>10750.8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5259.5619999999999</v>
          </cell>
          <cell r="F8">
            <v>5259.5619999999999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4899.8059999999996</v>
          </cell>
          <cell r="F9">
            <v>4899.8059999999996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>
            <v>1185.3</v>
          </cell>
          <cell r="F10">
            <v>2634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>
            <v>2240.6579999999999</v>
          </cell>
          <cell r="F11">
            <v>4979.24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>
            <v>51.51</v>
          </cell>
          <cell r="F12">
            <v>303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>
            <v>123.9</v>
          </cell>
          <cell r="F13">
            <v>413</v>
          </cell>
        </row>
        <row r="14">
          <cell r="A14" t="str">
            <v xml:space="preserve"> 083  Колбаса Швейцарская 0,17 кг., ШТ., сырокопченая   ПОКОМ</v>
          </cell>
          <cell r="D14">
            <v>163.37</v>
          </cell>
          <cell r="F14">
            <v>961</v>
          </cell>
        </row>
        <row r="15">
          <cell r="A15" t="str">
            <v xml:space="preserve"> 104  Сосиски Молочные по-стародворски, амицел МГС 0.45кг, ТМ Стародворье    ПОКОМ</v>
          </cell>
          <cell r="D15">
            <v>0.45</v>
          </cell>
          <cell r="F15">
            <v>1</v>
          </cell>
        </row>
        <row r="16">
          <cell r="A16" t="str">
            <v xml:space="preserve"> 108  Сосиски С сыром,  0.42кг,ядрена копоть ПОКОМ</v>
          </cell>
          <cell r="D16">
            <v>0.42</v>
          </cell>
          <cell r="F16">
            <v>1</v>
          </cell>
        </row>
        <row r="17">
          <cell r="A17" t="str">
            <v xml:space="preserve"> 200  Ветчина Дугушка ТМ Стародворье, вектор в/у    ПОКОМ</v>
          </cell>
          <cell r="D17">
            <v>4893.3370000000004</v>
          </cell>
          <cell r="F17">
            <v>4893.3370000000004</v>
          </cell>
        </row>
        <row r="18">
          <cell r="A18" t="str">
            <v xml:space="preserve"> 201  Ветчина Нежная ТМ Особый рецепт, (2,5кг), ПОКОМ</v>
          </cell>
          <cell r="D18">
            <v>15600.120999999999</v>
          </cell>
          <cell r="F18">
            <v>15600.120999999999</v>
          </cell>
        </row>
        <row r="19">
          <cell r="A19" t="str">
            <v xml:space="preserve"> 215  Колбаса Докторская ГОСТ Дугушка, ВЕС, ТМ Стародворье ПОКОМ</v>
          </cell>
          <cell r="D19">
            <v>452.733</v>
          </cell>
          <cell r="F19">
            <v>452.733</v>
          </cell>
        </row>
        <row r="20">
          <cell r="A20" t="str">
            <v xml:space="preserve"> 219  Колбаса Докторская Особая ТМ Особый рецепт, ВЕС  ПОКОМ</v>
          </cell>
          <cell r="D20">
            <v>-2.61</v>
          </cell>
          <cell r="F20">
            <v>-2.61</v>
          </cell>
        </row>
        <row r="21">
          <cell r="A21" t="str">
            <v xml:space="preserve"> 225  Колбаса Дугушка со шпиком, ВЕС, ТМ Стародворье   ПОКОМ</v>
          </cell>
          <cell r="D21">
            <v>322.04199999999997</v>
          </cell>
          <cell r="F21">
            <v>322.04199999999997</v>
          </cell>
        </row>
        <row r="22">
          <cell r="A22" t="str">
            <v xml:space="preserve"> 226  Колбаса Княжеская, с/к белков.обол в термоусад. пакете, ВЕС, ТМ Стародворье ПОКОМ</v>
          </cell>
          <cell r="D22">
            <v>33.777999999999999</v>
          </cell>
          <cell r="F22">
            <v>33.777999999999999</v>
          </cell>
        </row>
        <row r="23">
          <cell r="A23" t="str">
            <v xml:space="preserve"> 229  Колбаса Молочная Дугушка, в/у, ВЕС, ТМ Стародворье   ПОКОМ</v>
          </cell>
          <cell r="D23">
            <v>5991.2610000000004</v>
          </cell>
          <cell r="F23">
            <v>5991.2610000000004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D24">
            <v>787.87800000000004</v>
          </cell>
          <cell r="F24">
            <v>787.87800000000004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D25">
            <v>1965.1179999999999</v>
          </cell>
          <cell r="F25">
            <v>1965.1179999999999</v>
          </cell>
        </row>
        <row r="26">
          <cell r="A26" t="str">
            <v xml:space="preserve"> 242  Колбаса Сервелат ЗАПЕЧ.Дугушка ТМ Стародворье, вектор, в/к     ПОКОМ</v>
          </cell>
          <cell r="D26">
            <v>2755.596</v>
          </cell>
          <cell r="F26">
            <v>2755.596</v>
          </cell>
        </row>
        <row r="27">
          <cell r="A27" t="str">
            <v xml:space="preserve"> 244  Колбаса Сервелат Кремлевский, ВЕС. ПОКОМ</v>
          </cell>
          <cell r="D27">
            <v>382.74799999999999</v>
          </cell>
          <cell r="F27">
            <v>382.74799999999999</v>
          </cell>
        </row>
        <row r="28">
          <cell r="A28" t="str">
            <v xml:space="preserve"> 247  Сардельки Нежные, ВЕС.  ПОКОМ</v>
          </cell>
          <cell r="D28">
            <v>1171.519</v>
          </cell>
          <cell r="F28">
            <v>1171.519</v>
          </cell>
        </row>
        <row r="29">
          <cell r="A29" t="str">
            <v xml:space="preserve"> 248  Сардельки Сочные ТМ Особый рецепт,   ПОКОМ</v>
          </cell>
          <cell r="D29">
            <v>899.85599999999999</v>
          </cell>
          <cell r="F29">
            <v>899.85599999999999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8286.9519999999993</v>
          </cell>
          <cell r="F30">
            <v>8286.9519999999993</v>
          </cell>
        </row>
        <row r="31">
          <cell r="A31" t="str">
            <v xml:space="preserve"> 251  Сосиски Баварские, ВЕС.  ПОКОМ</v>
          </cell>
          <cell r="D31">
            <v>91.908000000000001</v>
          </cell>
          <cell r="F31">
            <v>91.908000000000001</v>
          </cell>
        </row>
        <row r="32">
          <cell r="A32" t="str">
            <v xml:space="preserve"> 253  Сосиски Ганноверские   ПОКОМ</v>
          </cell>
          <cell r="D32">
            <v>237.52600000000001</v>
          </cell>
          <cell r="F32">
            <v>237.52600000000001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10751.949000000001</v>
          </cell>
          <cell r="F33">
            <v>10751.949000000001</v>
          </cell>
        </row>
        <row r="34">
          <cell r="A34" t="str">
            <v xml:space="preserve"> 263  Шпикачки Стародворские, ВЕС.  ПОКОМ</v>
          </cell>
          <cell r="D34">
            <v>977.38699999999994</v>
          </cell>
          <cell r="F34">
            <v>977.38699999999994</v>
          </cell>
        </row>
        <row r="35">
          <cell r="A35" t="str">
            <v xml:space="preserve"> 273  Сосиски Сочинки с сочной грудинкой, МГС 0.4кг,   ПОКОМ</v>
          </cell>
          <cell r="D35">
            <v>7743.5411999999997</v>
          </cell>
          <cell r="F35">
            <v>19358.852999999999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>
            <v>872.55</v>
          </cell>
          <cell r="F36">
            <v>1939</v>
          </cell>
        </row>
        <row r="37">
          <cell r="A37" t="str">
            <v xml:space="preserve"> 278  Сосиски Сочинки с сочным окороком, МГС 0.4кг,   ПОКОМ</v>
          </cell>
          <cell r="D37">
            <v>1716.8</v>
          </cell>
          <cell r="F37">
            <v>4292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>
            <v>23.2</v>
          </cell>
          <cell r="F38">
            <v>58</v>
          </cell>
        </row>
        <row r="39">
          <cell r="A39" t="str">
            <v xml:space="preserve"> 283  Сосиски Сочинки, ВЕС, ТМ Стародворье ПОКОМ</v>
          </cell>
          <cell r="D39">
            <v>1074.963</v>
          </cell>
          <cell r="F39">
            <v>1074.963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135.6</v>
          </cell>
          <cell r="F40">
            <v>1356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319.89999999999998</v>
          </cell>
          <cell r="F41">
            <v>914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187.83699999999999</v>
          </cell>
          <cell r="F42">
            <v>187.83699999999999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273.2</v>
          </cell>
          <cell r="F43">
            <v>683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267.2</v>
          </cell>
          <cell r="F44">
            <v>668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476.03899999999999</v>
          </cell>
          <cell r="F45">
            <v>476.03899999999999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D46">
            <v>2033.15</v>
          </cell>
          <cell r="F46">
            <v>5809</v>
          </cell>
        </row>
        <row r="47">
          <cell r="A47" t="str">
            <v xml:space="preserve"> 309  Сосиски Сочинки с сыром 0,4 кг ТМ Стародворье  ПОКОМ</v>
          </cell>
          <cell r="D47">
            <v>929.2</v>
          </cell>
          <cell r="F47">
            <v>2323</v>
          </cell>
        </row>
        <row r="48">
          <cell r="A48" t="str">
            <v xml:space="preserve"> 312  Ветчина Филейская ВЕС ТМ  Вязанка ТС Столичная  ПОКОМ</v>
          </cell>
          <cell r="D48">
            <v>2101.7559999999999</v>
          </cell>
          <cell r="F48">
            <v>2101.7559999999999</v>
          </cell>
        </row>
        <row r="49">
          <cell r="A49" t="str">
            <v xml:space="preserve"> 315  Колбаса вареная Молокуша ТМ Вязанка ВЕС, ПОКОМ</v>
          </cell>
          <cell r="D49">
            <v>2441.4450000000002</v>
          </cell>
          <cell r="F49">
            <v>2441.4450000000002</v>
          </cell>
        </row>
        <row r="50">
          <cell r="A50" t="str">
            <v xml:space="preserve"> 318  Сосиски Датские ТМ Зареченские, ВЕС  ПОКОМ</v>
          </cell>
          <cell r="D50">
            <v>245.23699999999999</v>
          </cell>
          <cell r="F50">
            <v>245.23699999999999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D51">
            <v>492.3</v>
          </cell>
          <cell r="F51">
            <v>1094</v>
          </cell>
        </row>
        <row r="52">
          <cell r="A52" t="str">
            <v xml:space="preserve"> 322  Колбаса вареная Молокуша 0,45кг ТМ Вязанка  ПОКОМ</v>
          </cell>
          <cell r="D52">
            <v>975.15</v>
          </cell>
          <cell r="F52">
            <v>2167</v>
          </cell>
        </row>
        <row r="53">
          <cell r="A53" t="str">
            <v xml:space="preserve"> 328  Сардельки Сочинки Стародворье ТМ  0,4 кг ПОКОМ</v>
          </cell>
          <cell r="D53">
            <v>246</v>
          </cell>
          <cell r="F53">
            <v>615</v>
          </cell>
        </row>
        <row r="54">
          <cell r="A54" t="str">
            <v xml:space="preserve"> 329  Сардельки Сочинки с сыром Стародворье ТМ, 0,4 кг. ПОКОМ</v>
          </cell>
          <cell r="D54">
            <v>113.2</v>
          </cell>
          <cell r="F54">
            <v>283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D55">
            <v>3133.069</v>
          </cell>
          <cell r="F55">
            <v>3133.069</v>
          </cell>
        </row>
        <row r="56">
          <cell r="A56" t="str">
            <v xml:space="preserve"> 334  Паштет Любительский ТМ Стародворье ламистер 0,1 кг  ПОКОМ</v>
          </cell>
          <cell r="D56">
            <v>87.5</v>
          </cell>
          <cell r="F56">
            <v>875</v>
          </cell>
        </row>
        <row r="57">
          <cell r="A57" t="str">
            <v xml:space="preserve"> 335  Колбаса Сливушка ТМ Вязанка. ВЕС.  ПОКОМ </v>
          </cell>
          <cell r="D57">
            <v>3779.9789999999998</v>
          </cell>
          <cell r="F57">
            <v>3779.9789999999998</v>
          </cell>
        </row>
        <row r="58">
          <cell r="A58" t="str">
            <v xml:space="preserve"> 336  Ветчина Сливушка с индейкой ТМ Вязанка. ВЕС  ПОКОМ</v>
          </cell>
          <cell r="D58">
            <v>406.01</v>
          </cell>
          <cell r="F58">
            <v>406.01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D59">
            <v>73</v>
          </cell>
          <cell r="F59">
            <v>730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D60">
            <v>432</v>
          </cell>
          <cell r="F60">
            <v>1080</v>
          </cell>
        </row>
        <row r="61">
          <cell r="A61" t="str">
            <v xml:space="preserve"> 340  Сосиски Сочинки Молочные ТМ Стародворье, ВЕС ПОКОМ</v>
          </cell>
          <cell r="D61">
            <v>260.43799999999999</v>
          </cell>
          <cell r="F61">
            <v>260.43799999999999</v>
          </cell>
        </row>
        <row r="62">
          <cell r="A62" t="str">
            <v xml:space="preserve"> 341 Сосиски Сочинки Сливочные ТМ Стародворье ВЕС ПОКОМ</v>
          </cell>
          <cell r="D62">
            <v>1.3620000000000001</v>
          </cell>
          <cell r="F62">
            <v>1.3620000000000001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1436.8</v>
          </cell>
          <cell r="F63">
            <v>3592</v>
          </cell>
        </row>
        <row r="64">
          <cell r="A64" t="str">
            <v xml:space="preserve"> 343 Сосиски Сочинки Сливочные ТМ Стародворье  0,4 кг ПОКОМ</v>
          </cell>
          <cell r="D64">
            <v>781.2</v>
          </cell>
          <cell r="F64">
            <v>1953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1237.4880000000001</v>
          </cell>
          <cell r="F65">
            <v>1237.4880000000001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1513.058</v>
          </cell>
          <cell r="F66">
            <v>1513.058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3373.2809999999999</v>
          </cell>
          <cell r="F67">
            <v>3373.2809999999999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1086.6849999999999</v>
          </cell>
          <cell r="F68">
            <v>1086.6849999999999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D69">
            <v>13.8</v>
          </cell>
          <cell r="F69">
            <v>23</v>
          </cell>
        </row>
        <row r="70">
          <cell r="A70" t="str">
            <v xml:space="preserve"> 364  Сардельки Филейские Вязанка ВЕС NDX ТМ Вязанка  ПОКОМ</v>
          </cell>
          <cell r="D70">
            <v>1395.05</v>
          </cell>
          <cell r="F70">
            <v>1395.05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>
            <v>288</v>
          </cell>
          <cell r="F71">
            <v>480</v>
          </cell>
        </row>
        <row r="72">
          <cell r="A72" t="str">
            <v xml:space="preserve"> 377  Колбаса Молочная Дугушка 0,6кг ТМ Стародворье  ПОКОМ</v>
          </cell>
          <cell r="D72">
            <v>65.400000000000006</v>
          </cell>
          <cell r="F72">
            <v>109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D73">
            <v>168</v>
          </cell>
          <cell r="F73">
            <v>420</v>
          </cell>
        </row>
        <row r="74">
          <cell r="A74" t="str">
            <v xml:space="preserve"> 388  Сосиски Восточные Халяль ТМ Вязанка 0,33 кг АК. ПОКОМ</v>
          </cell>
          <cell r="D74">
            <v>178.2</v>
          </cell>
          <cell r="F74">
            <v>540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D75">
            <v>120.05</v>
          </cell>
          <cell r="F75">
            <v>343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D76">
            <v>722.24</v>
          </cell>
          <cell r="F76">
            <v>1952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D77">
            <v>273.60000000000002</v>
          </cell>
          <cell r="F77">
            <v>456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63.03</v>
          </cell>
          <cell r="F78">
            <v>191</v>
          </cell>
        </row>
        <row r="79">
          <cell r="A79" t="str">
            <v xml:space="preserve"> 408  Ветчина Сливушка с индейкой ТМ Вязанка, 0,4кг  ПОКОМ</v>
          </cell>
          <cell r="D79">
            <v>430.8</v>
          </cell>
          <cell r="F79">
            <v>1077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112</v>
          </cell>
          <cell r="F80">
            <v>320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381.5</v>
          </cell>
          <cell r="F81">
            <v>1090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208</v>
          </cell>
          <cell r="F82">
            <v>520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D83">
            <v>84.384</v>
          </cell>
          <cell r="F83">
            <v>84.384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30.8</v>
          </cell>
          <cell r="F84">
            <v>77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816.774</v>
          </cell>
          <cell r="F85">
            <v>816.774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3624.8989999999999</v>
          </cell>
          <cell r="F86">
            <v>3624.8989999999999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8945.3179999999993</v>
          </cell>
          <cell r="F87">
            <v>8945.3179999999993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9926.2579999999998</v>
          </cell>
          <cell r="F88">
            <v>9926.2579999999998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12801.588</v>
          </cell>
          <cell r="F89">
            <v>12801.588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D90">
            <v>145.91399999999999</v>
          </cell>
          <cell r="F90">
            <v>145.91399999999999</v>
          </cell>
        </row>
        <row r="91">
          <cell r="A91" t="str">
            <v xml:space="preserve"> 469  Колбаса Филедворская по-стародворски ТМ Стародворье в оболочке полиамид.ВЕС  ПОКОМ </v>
          </cell>
          <cell r="D91">
            <v>72.275999999999996</v>
          </cell>
          <cell r="F91">
            <v>72.275999999999996</v>
          </cell>
        </row>
        <row r="92">
          <cell r="A92" t="str">
            <v xml:space="preserve"> 485  Колбаса Молочная по-стародворски ТМ Стародворье в оболочке полиамид. ВЕС ПОКОМ </v>
          </cell>
          <cell r="D92">
            <v>40.256</v>
          </cell>
          <cell r="F92">
            <v>40.256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D93">
            <v>258.60000000000002</v>
          </cell>
          <cell r="F93">
            <v>862</v>
          </cell>
        </row>
        <row r="94">
          <cell r="A94" t="str">
            <v xml:space="preserve"> 517  Сосиски С сыром ТМ Ядрена копоть 0,3кг  ПОКОМ</v>
          </cell>
          <cell r="D94">
            <v>258</v>
          </cell>
          <cell r="F94">
            <v>860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D95">
            <v>13.37</v>
          </cell>
          <cell r="F95">
            <v>191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D96">
            <v>51.17</v>
          </cell>
          <cell r="F96">
            <v>731</v>
          </cell>
        </row>
        <row r="97">
          <cell r="A97" t="str">
            <v xml:space="preserve"> 525  Колбаса Фуэт нарезка 0,07кг ТМ Стародворье  ПОКОМ</v>
          </cell>
          <cell r="D97">
            <v>40.25</v>
          </cell>
          <cell r="F97">
            <v>575</v>
          </cell>
        </row>
        <row r="98">
          <cell r="A98" t="str">
            <v xml:space="preserve"> 526  Корейка вяленая выдержанная нарезка 0,05кг ТМ Стародворье  ПОКОМ</v>
          </cell>
          <cell r="D98">
            <v>20.350000000000001</v>
          </cell>
          <cell r="F98">
            <v>407</v>
          </cell>
        </row>
        <row r="99">
          <cell r="A99" t="str">
            <v xml:space="preserve"> 527  Окорок Прошутто выдержанный нарезка 0,055кг ТМ Стародворье  ПОКОМ</v>
          </cell>
          <cell r="D99">
            <v>-0.27500000000000002</v>
          </cell>
          <cell r="F99">
            <v>-5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D100">
            <v>4.7850000000000001</v>
          </cell>
          <cell r="F100">
            <v>87</v>
          </cell>
        </row>
        <row r="101">
          <cell r="A101" t="str">
            <v xml:space="preserve"> 537  Колбаса Докторская ТМ Стародворье ТС Дугушка в оболочке полиамид 0,4 кг  ПОКОМ</v>
          </cell>
          <cell r="D101">
            <v>3.6</v>
          </cell>
          <cell r="F101">
            <v>9</v>
          </cell>
        </row>
        <row r="102">
          <cell r="A102" t="str">
            <v xml:space="preserve"> 544  Сосиски Мясные для гриля ТС Ядрена копоть 0,3 кг  ПОКОМ</v>
          </cell>
          <cell r="D102">
            <v>183.6</v>
          </cell>
          <cell r="F102">
            <v>612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D103">
            <v>387.03699999999998</v>
          </cell>
          <cell r="F103">
            <v>387.03699999999998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D104">
            <v>3.8</v>
          </cell>
          <cell r="F104">
            <v>38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D105">
            <v>73.92</v>
          </cell>
          <cell r="F105">
            <v>924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D106">
            <v>62.72</v>
          </cell>
          <cell r="F106">
            <v>784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D107">
            <v>4.93</v>
          </cell>
          <cell r="F107">
            <v>29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D108">
            <v>1703.7639999999999</v>
          </cell>
          <cell r="F108">
            <v>1703.7639999999999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D109">
            <v>1186.9970000000001</v>
          </cell>
          <cell r="F109">
            <v>1186.9970000000001</v>
          </cell>
        </row>
        <row r="110">
          <cell r="A110" t="str">
            <v xml:space="preserve"> 558  Колбаса Балыковая НОВАЯ ВЕС Вязанка фиброуз в/у ПОКОМ</v>
          </cell>
          <cell r="D110">
            <v>1932.076</v>
          </cell>
          <cell r="F110">
            <v>1932.076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D111">
            <v>14.568</v>
          </cell>
          <cell r="F111">
            <v>14.568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D112">
            <v>399.84</v>
          </cell>
          <cell r="F112">
            <v>1428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D113">
            <v>383.32</v>
          </cell>
          <cell r="F113">
            <v>1369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D114">
            <v>675.73199999999997</v>
          </cell>
          <cell r="F114">
            <v>675.73199999999997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D115">
            <v>231.005</v>
          </cell>
          <cell r="F115">
            <v>231.005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D116">
            <v>1344.308</v>
          </cell>
          <cell r="F116">
            <v>1344.308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D117">
            <v>1756.9760000000001</v>
          </cell>
          <cell r="F117">
            <v>1756.9760000000001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D118">
            <v>633.67499999999995</v>
          </cell>
          <cell r="F118">
            <v>633.67499999999995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D119">
            <v>4930.723</v>
          </cell>
          <cell r="F119">
            <v>4930.723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D120">
            <v>50.5</v>
          </cell>
          <cell r="F120">
            <v>202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D121">
            <v>58.174999999999997</v>
          </cell>
          <cell r="F121">
            <v>179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D122">
            <v>37.75</v>
          </cell>
          <cell r="F122">
            <v>151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D123">
            <v>424.8</v>
          </cell>
          <cell r="F123">
            <v>1416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D124">
            <v>438.9</v>
          </cell>
          <cell r="F124">
            <v>1463</v>
          </cell>
        </row>
        <row r="125">
          <cell r="A125" t="str">
            <v>503 Колбаса Филейская со шпиком ТМ Вязанка в оболочке полиамид.ПОКОМ</v>
          </cell>
          <cell r="D125">
            <v>1205.0170000000001</v>
          </cell>
          <cell r="F125">
            <v>1205.0170000000001</v>
          </cell>
        </row>
        <row r="126">
          <cell r="A126" t="str">
            <v>515  Колбаса Сервелат Мясорубский Делюкс 0,3кг ТМ Стародворье  ПОКОМ</v>
          </cell>
          <cell r="D126">
            <v>339.6</v>
          </cell>
          <cell r="F126">
            <v>1132</v>
          </cell>
        </row>
        <row r="127">
          <cell r="A127" t="str">
            <v>519  Грудинка 0,12 кг нарезка ТМ Стародворье  ПОКОМ</v>
          </cell>
          <cell r="D127">
            <v>23.4</v>
          </cell>
          <cell r="F127">
            <v>195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D128">
            <v>1.625</v>
          </cell>
          <cell r="F128">
            <v>5</v>
          </cell>
        </row>
        <row r="129">
          <cell r="A129" t="str">
            <v>Готовые чебупели острые с мясом ТМ Горячая штучка флоу-пак 0,24 кг  Поком</v>
          </cell>
          <cell r="D129">
            <v>0.48</v>
          </cell>
          <cell r="F129">
            <v>2</v>
          </cell>
        </row>
        <row r="130">
          <cell r="A130" t="str">
            <v>Готовые чебупели с ветчиной и сыром ТМ Горячая штучка флоу-пак 0,24 кг.  ПОКОМ</v>
          </cell>
          <cell r="D130">
            <v>0.48</v>
          </cell>
          <cell r="F130">
            <v>2</v>
          </cell>
        </row>
        <row r="131">
          <cell r="A131" t="str">
            <v>Готовые чебупели сочные с мясом ТМ Горячая штучка флоу-пак 0,24 кг  ПОКОМ</v>
          </cell>
          <cell r="D131">
            <v>0.24</v>
          </cell>
          <cell r="F131">
            <v>1</v>
          </cell>
        </row>
        <row r="132">
          <cell r="A132" t="str">
            <v>Чебупицца курочка по-итальянски Горячая штучка 0,25 кг зам  ПОКОМ</v>
          </cell>
          <cell r="D132">
            <v>0.75</v>
          </cell>
          <cell r="F132">
            <v>3</v>
          </cell>
        </row>
        <row r="133">
          <cell r="A133" t="str">
            <v>Чебупицца Пепперони ТМ Горячая штучка ТС Чебупицца 0.25кг зам  ПОКОМ</v>
          </cell>
          <cell r="D133">
            <v>0.75</v>
          </cell>
          <cell r="F133">
            <v>3</v>
          </cell>
        </row>
        <row r="134">
          <cell r="A134" t="str">
            <v>Чебуреки сочные ТМ Зареченские ТС Зареченские продукты.  Поком</v>
          </cell>
          <cell r="D134">
            <v>5</v>
          </cell>
          <cell r="F134">
            <v>5</v>
          </cell>
        </row>
        <row r="135">
          <cell r="A135" t="str">
            <v>Итого</v>
          </cell>
          <cell r="D135">
            <v>180599.45819999999</v>
          </cell>
          <cell r="F135">
            <v>232022.60200000001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14" style="1" customWidth="1"/>
    <col min="7" max="8" width="10.5" style="19"/>
  </cols>
  <sheetData>
    <row r="1" spans="1:8" s="1" customFormat="1" ht="9.9499999999999993" customHeight="1" x14ac:dyDescent="0.2">
      <c r="G1" s="21"/>
      <c r="H1" s="21"/>
    </row>
    <row r="2" spans="1:8" ht="24.95" customHeight="1" x14ac:dyDescent="0.2">
      <c r="A2" s="2" t="s">
        <v>0</v>
      </c>
      <c r="B2" s="2"/>
      <c r="C2" s="2"/>
    </row>
    <row r="3" spans="1:8" s="1" customFormat="1" ht="9.9499999999999993" customHeight="1" x14ac:dyDescent="0.2">
      <c r="G3" s="21"/>
      <c r="H3" s="21"/>
    </row>
    <row r="4" spans="1:8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8" ht="12.95" customHeight="1" outlineLevel="1" x14ac:dyDescent="0.2">
      <c r="C5" s="3" t="s">
        <v>3</v>
      </c>
      <c r="D5" s="3"/>
      <c r="E5" s="3"/>
    </row>
    <row r="6" spans="1:8" ht="26.1" customHeight="1" outlineLevel="1" x14ac:dyDescent="0.2">
      <c r="A6" s="3" t="s">
        <v>4</v>
      </c>
      <c r="B6" s="3"/>
      <c r="C6" s="11" t="s">
        <v>5</v>
      </c>
      <c r="D6" s="12"/>
      <c r="E6" s="12"/>
      <c r="F6" s="11"/>
    </row>
    <row r="7" spans="1:8" s="1" customFormat="1" ht="9.9499999999999993" customHeight="1" x14ac:dyDescent="0.2">
      <c r="G7" s="21"/>
      <c r="H7" s="21"/>
    </row>
    <row r="8" spans="1:8" ht="12.95" customHeight="1" x14ac:dyDescent="0.2">
      <c r="A8" s="13" t="s">
        <v>6</v>
      </c>
      <c r="B8" s="13"/>
      <c r="C8" s="13"/>
      <c r="D8" s="13"/>
      <c r="E8" s="13" t="s">
        <v>7</v>
      </c>
      <c r="F8" s="8" t="s">
        <v>125</v>
      </c>
      <c r="G8" s="18" t="s">
        <v>125</v>
      </c>
    </row>
    <row r="9" spans="1:8" ht="26.1" customHeight="1" x14ac:dyDescent="0.2">
      <c r="A9" s="14"/>
      <c r="B9" s="15"/>
      <c r="C9" s="15"/>
      <c r="D9" s="16"/>
      <c r="E9" s="17"/>
      <c r="F9" s="8" t="s">
        <v>126</v>
      </c>
      <c r="G9" s="18" t="s">
        <v>127</v>
      </c>
      <c r="H9" s="20" t="s">
        <v>128</v>
      </c>
    </row>
    <row r="10" spans="1:8" ht="11.1" customHeight="1" x14ac:dyDescent="0.2">
      <c r="A10" s="9" t="s">
        <v>8</v>
      </c>
      <c r="B10" s="9"/>
      <c r="C10" s="9"/>
      <c r="D10" s="9"/>
      <c r="E10" s="4" t="s">
        <v>9</v>
      </c>
      <c r="F10" s="5">
        <v>4216.3419999999996</v>
      </c>
      <c r="G10" s="19">
        <f>VLOOKUP(A10,[1]TDSheet!$A:$F,4,0)/22</f>
        <v>488.67272727272723</v>
      </c>
      <c r="H10" s="19">
        <f>F10/G10</f>
        <v>8.6281508352866769</v>
      </c>
    </row>
    <row r="11" spans="1:8" ht="11.1" customHeight="1" x14ac:dyDescent="0.2">
      <c r="A11" s="9" t="s">
        <v>10</v>
      </c>
      <c r="B11" s="9"/>
      <c r="C11" s="9"/>
      <c r="D11" s="9"/>
      <c r="E11" s="4" t="s">
        <v>9</v>
      </c>
      <c r="F11" s="5">
        <v>2403.4870000000001</v>
      </c>
      <c r="G11" s="19">
        <f>VLOOKUP(A11,[1]TDSheet!$A:$F,4,0)/22</f>
        <v>239.071</v>
      </c>
      <c r="H11" s="19">
        <f t="shared" ref="H11:H74" si="0">F11/G11</f>
        <v>10.053444374265386</v>
      </c>
    </row>
    <row r="12" spans="1:8" ht="11.1" customHeight="1" x14ac:dyDescent="0.2">
      <c r="A12" s="9" t="s">
        <v>11</v>
      </c>
      <c r="B12" s="9"/>
      <c r="C12" s="9"/>
      <c r="D12" s="9"/>
      <c r="E12" s="4" t="s">
        <v>9</v>
      </c>
      <c r="F12" s="5">
        <v>2265.7629999999999</v>
      </c>
      <c r="G12" s="19">
        <f>VLOOKUP(A12,[1]TDSheet!$A:$F,4,0)/22</f>
        <v>222.71845454545453</v>
      </c>
      <c r="H12" s="19">
        <f t="shared" si="0"/>
        <v>10.173216245704422</v>
      </c>
    </row>
    <row r="13" spans="1:8" ht="11.1" customHeight="1" x14ac:dyDescent="0.2">
      <c r="A13" s="9" t="s">
        <v>12</v>
      </c>
      <c r="B13" s="9"/>
      <c r="C13" s="9"/>
      <c r="D13" s="9"/>
      <c r="E13" s="4" t="s">
        <v>13</v>
      </c>
      <c r="F13" s="6">
        <v>394.65</v>
      </c>
      <c r="G13" s="19">
        <f>VLOOKUP(A13,[1]TDSheet!$A:$F,4,0)/22</f>
        <v>53.877272727272725</v>
      </c>
      <c r="H13" s="19">
        <f t="shared" si="0"/>
        <v>7.3249810174639327</v>
      </c>
    </row>
    <row r="14" spans="1:8" ht="11.1" customHeight="1" x14ac:dyDescent="0.2">
      <c r="A14" s="9" t="s">
        <v>14</v>
      </c>
      <c r="B14" s="9"/>
      <c r="C14" s="9"/>
      <c r="D14" s="9"/>
      <c r="E14" s="4" t="s">
        <v>13</v>
      </c>
      <c r="F14" s="6">
        <v>802.69200000000001</v>
      </c>
      <c r="G14" s="19">
        <f>VLOOKUP(A14,[1]TDSheet!$A:$F,4,0)/22</f>
        <v>101.8480909090909</v>
      </c>
      <c r="H14" s="19">
        <f t="shared" si="0"/>
        <v>7.8812670206698217</v>
      </c>
    </row>
    <row r="15" spans="1:8" ht="21.95" customHeight="1" x14ac:dyDescent="0.2">
      <c r="A15" s="9" t="s">
        <v>15</v>
      </c>
      <c r="B15" s="9"/>
      <c r="C15" s="9"/>
      <c r="D15" s="9"/>
      <c r="E15" s="4" t="s">
        <v>13</v>
      </c>
      <c r="F15" s="6">
        <v>21.59</v>
      </c>
      <c r="G15" s="19">
        <f>VLOOKUP(A15,[1]TDSheet!$A:$F,4,0)/22</f>
        <v>2.3413636363636363</v>
      </c>
      <c r="H15" s="19">
        <f t="shared" si="0"/>
        <v>9.221122112211221</v>
      </c>
    </row>
    <row r="16" spans="1:8" ht="11.1" customHeight="1" x14ac:dyDescent="0.2">
      <c r="A16" s="9" t="s">
        <v>16</v>
      </c>
      <c r="B16" s="9"/>
      <c r="C16" s="9"/>
      <c r="D16" s="9"/>
      <c r="E16" s="4" t="s">
        <v>13</v>
      </c>
      <c r="F16" s="6">
        <v>40.799999999999997</v>
      </c>
      <c r="G16" s="19">
        <f>VLOOKUP(A16,[1]TDSheet!$A:$F,4,0)/22</f>
        <v>5.6318181818181818</v>
      </c>
      <c r="H16" s="19">
        <f t="shared" si="0"/>
        <v>7.2445520581113794</v>
      </c>
    </row>
    <row r="17" spans="1:8" ht="11.1" customHeight="1" x14ac:dyDescent="0.2">
      <c r="A17" s="9" t="s">
        <v>17</v>
      </c>
      <c r="B17" s="9"/>
      <c r="C17" s="9"/>
      <c r="D17" s="9"/>
      <c r="E17" s="4" t="s">
        <v>13</v>
      </c>
      <c r="F17" s="6">
        <v>53.38</v>
      </c>
      <c r="G17" s="19">
        <f>VLOOKUP(A17,[1]TDSheet!$A:$F,4,0)/22</f>
        <v>7.4259090909090908</v>
      </c>
      <c r="H17" s="19">
        <f t="shared" si="0"/>
        <v>7.1883454734651409</v>
      </c>
    </row>
    <row r="18" spans="1:8" ht="21.95" customHeight="1" x14ac:dyDescent="0.2">
      <c r="A18" s="9" t="s">
        <v>18</v>
      </c>
      <c r="B18" s="9"/>
      <c r="C18" s="9"/>
      <c r="D18" s="9"/>
      <c r="E18" s="4" t="s">
        <v>13</v>
      </c>
      <c r="F18" s="6">
        <v>-0.45</v>
      </c>
      <c r="G18" s="19">
        <f>VLOOKUP(A18,[1]TDSheet!$A:$F,4,0)/22</f>
        <v>2.0454545454545454E-2</v>
      </c>
      <c r="H18" s="19">
        <f t="shared" si="0"/>
        <v>-22</v>
      </c>
    </row>
    <row r="19" spans="1:8" ht="11.1" customHeight="1" x14ac:dyDescent="0.2">
      <c r="A19" s="9" t="s">
        <v>19</v>
      </c>
      <c r="B19" s="9"/>
      <c r="C19" s="9"/>
      <c r="D19" s="9"/>
      <c r="E19" s="4" t="s">
        <v>9</v>
      </c>
      <c r="F19" s="5">
        <v>1522.395</v>
      </c>
      <c r="G19" s="19">
        <f>VLOOKUP(A19,[1]TDSheet!$A:$F,4,0)/22</f>
        <v>222.42440909090911</v>
      </c>
      <c r="H19" s="19">
        <f t="shared" si="0"/>
        <v>6.8445500483616799</v>
      </c>
    </row>
    <row r="20" spans="1:8" ht="11.1" customHeight="1" x14ac:dyDescent="0.2">
      <c r="A20" s="9" t="s">
        <v>20</v>
      </c>
      <c r="B20" s="9"/>
      <c r="C20" s="9"/>
      <c r="D20" s="9"/>
      <c r="E20" s="4" t="s">
        <v>9</v>
      </c>
      <c r="F20" s="5">
        <v>7919.0309999999999</v>
      </c>
      <c r="G20" s="19">
        <f>VLOOKUP(A20,[1]TDSheet!$A:$F,4,0)/22</f>
        <v>709.09640909090911</v>
      </c>
      <c r="H20" s="19">
        <f t="shared" si="0"/>
        <v>11.167777608904444</v>
      </c>
    </row>
    <row r="21" spans="1:8" ht="11.1" customHeight="1" x14ac:dyDescent="0.2">
      <c r="A21" s="9" t="s">
        <v>21</v>
      </c>
      <c r="B21" s="9"/>
      <c r="C21" s="9"/>
      <c r="D21" s="9"/>
      <c r="E21" s="4" t="s">
        <v>9</v>
      </c>
      <c r="F21" s="6">
        <v>89.736999999999995</v>
      </c>
      <c r="G21" s="19">
        <f>VLOOKUP(A21,[1]TDSheet!$A:$F,4,0)/22</f>
        <v>20.578772727272728</v>
      </c>
      <c r="H21" s="19">
        <f t="shared" si="0"/>
        <v>4.3606584896616765</v>
      </c>
    </row>
    <row r="22" spans="1:8" ht="11.1" customHeight="1" x14ac:dyDescent="0.2">
      <c r="A22" s="9" t="s">
        <v>22</v>
      </c>
      <c r="B22" s="9"/>
      <c r="C22" s="9"/>
      <c r="D22" s="9"/>
      <c r="E22" s="4" t="s">
        <v>9</v>
      </c>
      <c r="F22" s="6">
        <v>47.732999999999997</v>
      </c>
      <c r="G22" s="19">
        <f>VLOOKUP(A22,[1]TDSheet!$A:$F,4,0)/22</f>
        <v>14.638272727272726</v>
      </c>
      <c r="H22" s="19">
        <f t="shared" si="0"/>
        <v>3.2608355431900189</v>
      </c>
    </row>
    <row r="23" spans="1:8" ht="21.95" customHeight="1" x14ac:dyDescent="0.2">
      <c r="A23" s="9" t="s">
        <v>23</v>
      </c>
      <c r="B23" s="9"/>
      <c r="C23" s="9"/>
      <c r="D23" s="9"/>
      <c r="E23" s="4" t="s">
        <v>9</v>
      </c>
      <c r="F23" s="6">
        <v>6.1390000000000002</v>
      </c>
      <c r="G23" s="19">
        <f>VLOOKUP(A23,[1]TDSheet!$A:$F,4,0)/22</f>
        <v>1.5353636363636363</v>
      </c>
      <c r="H23" s="19">
        <f t="shared" si="0"/>
        <v>3.9984013263070644</v>
      </c>
    </row>
    <row r="24" spans="1:8" ht="11.1" customHeight="1" x14ac:dyDescent="0.2">
      <c r="A24" s="9" t="s">
        <v>24</v>
      </c>
      <c r="B24" s="9"/>
      <c r="C24" s="9"/>
      <c r="D24" s="9"/>
      <c r="E24" s="4" t="s">
        <v>9</v>
      </c>
      <c r="F24" s="5">
        <v>2050.616</v>
      </c>
      <c r="G24" s="19">
        <f>VLOOKUP(A24,[1]TDSheet!$A:$F,4,0)/22</f>
        <v>272.33004545454548</v>
      </c>
      <c r="H24" s="19">
        <f t="shared" si="0"/>
        <v>7.5298926219371838</v>
      </c>
    </row>
    <row r="25" spans="1:8" ht="11.1" customHeight="1" x14ac:dyDescent="0.2">
      <c r="A25" s="9" t="s">
        <v>25</v>
      </c>
      <c r="B25" s="9"/>
      <c r="C25" s="9"/>
      <c r="D25" s="9"/>
      <c r="E25" s="4" t="s">
        <v>9</v>
      </c>
      <c r="F25" s="6">
        <v>285.89800000000002</v>
      </c>
      <c r="G25" s="19">
        <f>VLOOKUP(A25,[1]TDSheet!$A:$F,4,0)/22</f>
        <v>35.812636363636365</v>
      </c>
      <c r="H25" s="19">
        <f t="shared" si="0"/>
        <v>7.9831598293136761</v>
      </c>
    </row>
    <row r="26" spans="1:8" ht="21.95" customHeight="1" x14ac:dyDescent="0.2">
      <c r="A26" s="9" t="s">
        <v>26</v>
      </c>
      <c r="B26" s="9"/>
      <c r="C26" s="9"/>
      <c r="D26" s="9"/>
      <c r="E26" s="4" t="s">
        <v>9</v>
      </c>
      <c r="F26" s="6">
        <v>448.78800000000001</v>
      </c>
      <c r="G26" s="19">
        <f>VLOOKUP(A26,[1]TDSheet!$A:$F,4,0)/22</f>
        <v>89.323545454545453</v>
      </c>
      <c r="H26" s="19">
        <f t="shared" si="0"/>
        <v>5.024296759787453</v>
      </c>
    </row>
    <row r="27" spans="1:8" ht="11.1" customHeight="1" x14ac:dyDescent="0.2">
      <c r="A27" s="9" t="s">
        <v>27</v>
      </c>
      <c r="B27" s="9"/>
      <c r="C27" s="9"/>
      <c r="D27" s="9"/>
      <c r="E27" s="4" t="s">
        <v>9</v>
      </c>
      <c r="F27" s="6">
        <v>916.72199999999998</v>
      </c>
      <c r="G27" s="19">
        <f>VLOOKUP(A27,[1]TDSheet!$A:$F,4,0)/22</f>
        <v>125.25436363636364</v>
      </c>
      <c r="H27" s="19">
        <f t="shared" si="0"/>
        <v>7.3188827389791538</v>
      </c>
    </row>
    <row r="28" spans="1:8" ht="11.1" customHeight="1" x14ac:dyDescent="0.2">
      <c r="A28" s="9" t="s">
        <v>28</v>
      </c>
      <c r="B28" s="9"/>
      <c r="C28" s="9"/>
      <c r="D28" s="9"/>
      <c r="E28" s="4" t="s">
        <v>9</v>
      </c>
      <c r="F28" s="6">
        <v>196.523</v>
      </c>
      <c r="G28" s="19">
        <f>VLOOKUP(A28,[1]TDSheet!$A:$F,4,0)/22</f>
        <v>17.397636363636362</v>
      </c>
      <c r="H28" s="19">
        <f t="shared" si="0"/>
        <v>11.295959743747845</v>
      </c>
    </row>
    <row r="29" spans="1:8" ht="11.1" customHeight="1" x14ac:dyDescent="0.2">
      <c r="A29" s="9" t="s">
        <v>29</v>
      </c>
      <c r="B29" s="9"/>
      <c r="C29" s="9"/>
      <c r="D29" s="9"/>
      <c r="E29" s="4" t="s">
        <v>9</v>
      </c>
      <c r="F29" s="6">
        <v>250.79400000000001</v>
      </c>
      <c r="G29" s="19">
        <f>VLOOKUP(A29,[1]TDSheet!$A:$F,4,0)/22</f>
        <v>53.25086363636364</v>
      </c>
      <c r="H29" s="19">
        <f t="shared" si="0"/>
        <v>4.7096700949792529</v>
      </c>
    </row>
    <row r="30" spans="1:8" ht="11.1" customHeight="1" x14ac:dyDescent="0.2">
      <c r="A30" s="9" t="s">
        <v>30</v>
      </c>
      <c r="B30" s="9"/>
      <c r="C30" s="9"/>
      <c r="D30" s="9"/>
      <c r="E30" s="4" t="s">
        <v>9</v>
      </c>
      <c r="F30" s="6">
        <v>20.533999999999999</v>
      </c>
      <c r="G30" s="19">
        <f>VLOOKUP(A30,[1]TDSheet!$A:$F,4,0)/22</f>
        <v>40.902545454545454</v>
      </c>
      <c r="H30" s="19">
        <f t="shared" si="0"/>
        <v>0.50202254582955497</v>
      </c>
    </row>
    <row r="31" spans="1:8" ht="11.1" customHeight="1" x14ac:dyDescent="0.2">
      <c r="A31" s="9" t="s">
        <v>31</v>
      </c>
      <c r="B31" s="9"/>
      <c r="C31" s="9"/>
      <c r="D31" s="9"/>
      <c r="E31" s="4" t="s">
        <v>9</v>
      </c>
      <c r="F31" s="5">
        <v>2102.3119999999999</v>
      </c>
      <c r="G31" s="19">
        <f>VLOOKUP(A31,[1]TDSheet!$A:$F,4,0)/22</f>
        <v>376.67963636363635</v>
      </c>
      <c r="H31" s="19">
        <f t="shared" si="0"/>
        <v>5.5811671166913959</v>
      </c>
    </row>
    <row r="32" spans="1:8" ht="11.1" customHeight="1" x14ac:dyDescent="0.2">
      <c r="A32" s="9" t="s">
        <v>32</v>
      </c>
      <c r="B32" s="9"/>
      <c r="C32" s="9"/>
      <c r="D32" s="9"/>
      <c r="E32" s="4" t="s">
        <v>9</v>
      </c>
      <c r="F32" s="6">
        <v>0.437</v>
      </c>
      <c r="G32" s="19">
        <f>VLOOKUP(A32,[1]TDSheet!$A:$F,4,0)/22</f>
        <v>4.1776363636363634</v>
      </c>
      <c r="H32" s="19">
        <f t="shared" si="0"/>
        <v>0.10460460460460461</v>
      </c>
    </row>
    <row r="33" spans="1:8" ht="11.1" customHeight="1" x14ac:dyDescent="0.2">
      <c r="A33" s="9" t="s">
        <v>33</v>
      </c>
      <c r="B33" s="9"/>
      <c r="C33" s="9"/>
      <c r="D33" s="9"/>
      <c r="E33" s="4" t="s">
        <v>9</v>
      </c>
      <c r="F33" s="6">
        <v>-0.25700000000000001</v>
      </c>
      <c r="G33" s="19">
        <f>VLOOKUP(A33,[1]TDSheet!$A:$F,4,0)/22</f>
        <v>10.796636363636365</v>
      </c>
      <c r="H33" s="19">
        <f t="shared" si="0"/>
        <v>-2.3803709909651995E-2</v>
      </c>
    </row>
    <row r="34" spans="1:8" ht="21.95" customHeight="1" x14ac:dyDescent="0.2">
      <c r="A34" s="9" t="s">
        <v>34</v>
      </c>
      <c r="B34" s="9"/>
      <c r="C34" s="9"/>
      <c r="D34" s="9"/>
      <c r="E34" s="4" t="s">
        <v>9</v>
      </c>
      <c r="F34" s="6">
        <v>3.7480000000000002</v>
      </c>
      <c r="G34" s="19">
        <f>VLOOKUP(A34,[1]TDSheet!$A:$F,4,0)/22</f>
        <v>488.72495454545458</v>
      </c>
      <c r="H34" s="19">
        <f t="shared" si="0"/>
        <v>7.6689351856114646E-3</v>
      </c>
    </row>
    <row r="35" spans="1:8" ht="11.1" customHeight="1" x14ac:dyDescent="0.2">
      <c r="A35" s="9" t="s">
        <v>35</v>
      </c>
      <c r="B35" s="9"/>
      <c r="C35" s="9"/>
      <c r="D35" s="9"/>
      <c r="E35" s="4" t="s">
        <v>9</v>
      </c>
      <c r="F35" s="6">
        <v>125.268</v>
      </c>
      <c r="G35" s="19">
        <f>VLOOKUP(A35,[1]TDSheet!$A:$F,4,0)/22</f>
        <v>44.426681818181812</v>
      </c>
      <c r="H35" s="19">
        <f t="shared" si="0"/>
        <v>2.8196569015139348</v>
      </c>
    </row>
    <row r="36" spans="1:8" ht="11.1" customHeight="1" x14ac:dyDescent="0.2">
      <c r="A36" s="9" t="s">
        <v>36</v>
      </c>
      <c r="B36" s="9"/>
      <c r="C36" s="9"/>
      <c r="D36" s="9"/>
      <c r="E36" s="4" t="s">
        <v>13</v>
      </c>
      <c r="F36" s="5">
        <v>1098.7760000000001</v>
      </c>
      <c r="G36" s="19">
        <f>VLOOKUP(A36,[1]TDSheet!$A:$F,4,0)/22</f>
        <v>351.97914545454546</v>
      </c>
      <c r="H36" s="19">
        <f t="shared" si="0"/>
        <v>3.1217076755528854</v>
      </c>
    </row>
    <row r="37" spans="1:8" ht="11.1" customHeight="1" x14ac:dyDescent="0.2">
      <c r="A37" s="9" t="s">
        <v>37</v>
      </c>
      <c r="B37" s="9"/>
      <c r="C37" s="9"/>
      <c r="D37" s="9"/>
      <c r="E37" s="4" t="s">
        <v>13</v>
      </c>
      <c r="F37" s="6">
        <v>337.5</v>
      </c>
      <c r="G37" s="19">
        <f>VLOOKUP(A37,[1]TDSheet!$A:$F,4,0)/22</f>
        <v>39.661363636363632</v>
      </c>
      <c r="H37" s="19">
        <f t="shared" si="0"/>
        <v>8.5095410005157301</v>
      </c>
    </row>
    <row r="38" spans="1:8" ht="11.1" customHeight="1" x14ac:dyDescent="0.2">
      <c r="A38" s="9" t="s">
        <v>38</v>
      </c>
      <c r="B38" s="9"/>
      <c r="C38" s="9"/>
      <c r="D38" s="9"/>
      <c r="E38" s="4" t="s">
        <v>13</v>
      </c>
      <c r="F38" s="6">
        <v>180</v>
      </c>
      <c r="G38" s="19">
        <f>VLOOKUP(A38,[1]TDSheet!$A:$F,4,0)/22</f>
        <v>78.036363636363632</v>
      </c>
      <c r="H38" s="19">
        <f t="shared" si="0"/>
        <v>2.3066169617893757</v>
      </c>
    </row>
    <row r="39" spans="1:8" ht="11.1" customHeight="1" x14ac:dyDescent="0.2">
      <c r="A39" s="9" t="s">
        <v>39</v>
      </c>
      <c r="B39" s="9"/>
      <c r="C39" s="9"/>
      <c r="D39" s="9"/>
      <c r="E39" s="4" t="s">
        <v>13</v>
      </c>
      <c r="F39" s="6">
        <v>20</v>
      </c>
      <c r="G39" s="19">
        <f>VLOOKUP(A39,[1]TDSheet!$A:$F,4,0)/22</f>
        <v>1.0545454545454545</v>
      </c>
      <c r="H39" s="19">
        <f t="shared" si="0"/>
        <v>18.965517241379313</v>
      </c>
    </row>
    <row r="40" spans="1:8" ht="11.1" customHeight="1" x14ac:dyDescent="0.2">
      <c r="A40" s="9" t="s">
        <v>40</v>
      </c>
      <c r="B40" s="9"/>
      <c r="C40" s="9"/>
      <c r="D40" s="9"/>
      <c r="E40" s="4" t="s">
        <v>9</v>
      </c>
      <c r="F40" s="6">
        <v>0.64700000000000002</v>
      </c>
      <c r="G40" s="19">
        <f>VLOOKUP(A40,[1]TDSheet!$A:$F,4,0)/22</f>
        <v>48.861954545454545</v>
      </c>
      <c r="H40" s="19">
        <f t="shared" si="0"/>
        <v>1.3241385982587308E-2</v>
      </c>
    </row>
    <row r="41" spans="1:8" ht="11.1" customHeight="1" x14ac:dyDescent="0.2">
      <c r="A41" s="9" t="s">
        <v>41</v>
      </c>
      <c r="B41" s="9"/>
      <c r="C41" s="9"/>
      <c r="D41" s="9"/>
      <c r="E41" s="4" t="s">
        <v>13</v>
      </c>
      <c r="F41" s="6">
        <v>53.1</v>
      </c>
      <c r="G41" s="19">
        <f>VLOOKUP(A41,[1]TDSheet!$A:$F,4,0)/22</f>
        <v>6.1636363636363631</v>
      </c>
      <c r="H41" s="19">
        <f t="shared" si="0"/>
        <v>8.6150442477876119</v>
      </c>
    </row>
    <row r="42" spans="1:8" ht="11.1" customHeight="1" x14ac:dyDescent="0.2">
      <c r="A42" s="9" t="s">
        <v>42</v>
      </c>
      <c r="B42" s="9"/>
      <c r="C42" s="9"/>
      <c r="D42" s="9"/>
      <c r="E42" s="4" t="s">
        <v>9</v>
      </c>
      <c r="F42" s="6">
        <v>55.073</v>
      </c>
      <c r="G42" s="19">
        <f>VLOOKUP(A42,[1]TDSheet!$A:$F,4,0)/22</f>
        <v>8.538045454545454</v>
      </c>
      <c r="H42" s="19">
        <f t="shared" si="0"/>
        <v>6.4503053179086125</v>
      </c>
    </row>
    <row r="43" spans="1:8" ht="11.1" customHeight="1" x14ac:dyDescent="0.2">
      <c r="A43" s="9" t="s">
        <v>43</v>
      </c>
      <c r="B43" s="9"/>
      <c r="C43" s="9"/>
      <c r="D43" s="9"/>
      <c r="E43" s="4" t="s">
        <v>13</v>
      </c>
      <c r="F43" s="6">
        <v>0.8</v>
      </c>
      <c r="G43" s="19">
        <f>VLOOKUP(A43,[1]TDSheet!$A:$F,4,0)/22</f>
        <v>12.418181818181818</v>
      </c>
      <c r="H43" s="19">
        <f t="shared" si="0"/>
        <v>6.4421669106881407E-2</v>
      </c>
    </row>
    <row r="44" spans="1:8" ht="11.1" customHeight="1" x14ac:dyDescent="0.2">
      <c r="A44" s="9" t="s">
        <v>44</v>
      </c>
      <c r="B44" s="9"/>
      <c r="C44" s="9"/>
      <c r="D44" s="9"/>
      <c r="E44" s="4" t="s">
        <v>13</v>
      </c>
      <c r="F44" s="6">
        <v>12.8</v>
      </c>
      <c r="G44" s="19">
        <f>VLOOKUP(A44,[1]TDSheet!$A:$F,4,0)/22</f>
        <v>12.145454545454545</v>
      </c>
      <c r="H44" s="19">
        <f t="shared" si="0"/>
        <v>1.0538922155688624</v>
      </c>
    </row>
    <row r="45" spans="1:8" ht="21.95" customHeight="1" x14ac:dyDescent="0.2">
      <c r="A45" s="9" t="s">
        <v>45</v>
      </c>
      <c r="B45" s="9"/>
      <c r="C45" s="9"/>
      <c r="D45" s="9"/>
      <c r="E45" s="4" t="s">
        <v>9</v>
      </c>
      <c r="F45" s="6">
        <v>346.37799999999999</v>
      </c>
      <c r="G45" s="19">
        <f>VLOOKUP(A45,[1]TDSheet!$A:$F,4,0)/22</f>
        <v>21.638136363636363</v>
      </c>
      <c r="H45" s="19">
        <f t="shared" si="0"/>
        <v>16.007755667077696</v>
      </c>
    </row>
    <row r="46" spans="1:8" ht="21.95" customHeight="1" x14ac:dyDescent="0.2">
      <c r="A46" s="9" t="s">
        <v>46</v>
      </c>
      <c r="B46" s="9"/>
      <c r="C46" s="9"/>
      <c r="D46" s="9"/>
      <c r="E46" s="4" t="s">
        <v>13</v>
      </c>
      <c r="F46" s="6">
        <v>923.65</v>
      </c>
      <c r="G46" s="19">
        <f>VLOOKUP(A46,[1]TDSheet!$A:$F,4,0)/22</f>
        <v>92.415909090909096</v>
      </c>
      <c r="H46" s="19">
        <f t="shared" si="0"/>
        <v>9.9944913065932166</v>
      </c>
    </row>
    <row r="47" spans="1:8" ht="11.1" customHeight="1" x14ac:dyDescent="0.2">
      <c r="A47" s="9" t="s">
        <v>47</v>
      </c>
      <c r="B47" s="9"/>
      <c r="C47" s="9"/>
      <c r="D47" s="9"/>
      <c r="E47" s="4" t="s">
        <v>13</v>
      </c>
      <c r="F47" s="6">
        <v>427.2</v>
      </c>
      <c r="G47" s="19">
        <f>VLOOKUP(A47,[1]TDSheet!$A:$F,4,0)/22</f>
        <v>42.236363636363642</v>
      </c>
      <c r="H47" s="19">
        <f t="shared" si="0"/>
        <v>10.1145071028842</v>
      </c>
    </row>
    <row r="48" spans="1:8" ht="11.1" customHeight="1" x14ac:dyDescent="0.2">
      <c r="A48" s="9" t="s">
        <v>48</v>
      </c>
      <c r="B48" s="9"/>
      <c r="C48" s="9"/>
      <c r="D48" s="9"/>
      <c r="E48" s="4" t="s">
        <v>9</v>
      </c>
      <c r="F48" s="6">
        <v>660.19100000000003</v>
      </c>
      <c r="G48" s="19">
        <f>VLOOKUP(A48,[1]TDSheet!$A:$F,4,0)/22</f>
        <v>95.534363636363636</v>
      </c>
      <c r="H48" s="19">
        <f t="shared" si="0"/>
        <v>6.9105081655529954</v>
      </c>
    </row>
    <row r="49" spans="1:8" ht="11.1" customHeight="1" x14ac:dyDescent="0.2">
      <c r="A49" s="9" t="s">
        <v>49</v>
      </c>
      <c r="B49" s="9"/>
      <c r="C49" s="9"/>
      <c r="D49" s="9"/>
      <c r="E49" s="4" t="s">
        <v>9</v>
      </c>
      <c r="F49" s="6">
        <v>852.64800000000002</v>
      </c>
      <c r="G49" s="19">
        <f>VLOOKUP(A49,[1]TDSheet!$A:$F,4,0)/22</f>
        <v>110.97477272727274</v>
      </c>
      <c r="H49" s="19">
        <f t="shared" si="0"/>
        <v>7.6832597089019004</v>
      </c>
    </row>
    <row r="50" spans="1:8" ht="11.1" customHeight="1" x14ac:dyDescent="0.2">
      <c r="A50" s="9" t="s">
        <v>50</v>
      </c>
      <c r="B50" s="9"/>
      <c r="C50" s="9"/>
      <c r="D50" s="9"/>
      <c r="E50" s="4" t="s">
        <v>9</v>
      </c>
      <c r="F50" s="6">
        <v>51.582000000000001</v>
      </c>
      <c r="G50" s="19">
        <f>VLOOKUP(A50,[1]TDSheet!$A:$F,4,0)/22</f>
        <v>11.147136363636363</v>
      </c>
      <c r="H50" s="19">
        <f t="shared" si="0"/>
        <v>4.6273767824594172</v>
      </c>
    </row>
    <row r="51" spans="1:8" ht="11.1" customHeight="1" x14ac:dyDescent="0.2">
      <c r="A51" s="9" t="s">
        <v>51</v>
      </c>
      <c r="B51" s="9"/>
      <c r="C51" s="9"/>
      <c r="D51" s="9"/>
      <c r="E51" s="4" t="s">
        <v>13</v>
      </c>
      <c r="F51" s="6">
        <v>175.95</v>
      </c>
      <c r="G51" s="19">
        <f>VLOOKUP(A51,[1]TDSheet!$A:$F,4,0)/22</f>
        <v>22.377272727272729</v>
      </c>
      <c r="H51" s="19">
        <f t="shared" si="0"/>
        <v>7.86288848263254</v>
      </c>
    </row>
    <row r="52" spans="1:8" ht="11.1" customHeight="1" x14ac:dyDescent="0.2">
      <c r="A52" s="9" t="s">
        <v>52</v>
      </c>
      <c r="B52" s="9"/>
      <c r="C52" s="9"/>
      <c r="D52" s="9"/>
      <c r="E52" s="4" t="s">
        <v>13</v>
      </c>
      <c r="F52" s="6">
        <v>426.6</v>
      </c>
      <c r="G52" s="19">
        <f>VLOOKUP(A52,[1]TDSheet!$A:$F,4,0)/22</f>
        <v>44.324999999999996</v>
      </c>
      <c r="H52" s="19">
        <f t="shared" si="0"/>
        <v>9.6243654822335039</v>
      </c>
    </row>
    <row r="53" spans="1:8" ht="11.1" customHeight="1" x14ac:dyDescent="0.2">
      <c r="A53" s="9" t="s">
        <v>53</v>
      </c>
      <c r="B53" s="9"/>
      <c r="C53" s="9"/>
      <c r="D53" s="9"/>
      <c r="E53" s="4" t="s">
        <v>13</v>
      </c>
      <c r="F53" s="6">
        <v>55.2</v>
      </c>
      <c r="G53" s="19">
        <f>VLOOKUP(A53,[1]TDSheet!$A:$F,4,0)/22</f>
        <v>11.181818181818182</v>
      </c>
      <c r="H53" s="19">
        <f t="shared" si="0"/>
        <v>4.9365853658536585</v>
      </c>
    </row>
    <row r="54" spans="1:8" ht="11.1" customHeight="1" x14ac:dyDescent="0.2">
      <c r="A54" s="9" t="s">
        <v>54</v>
      </c>
      <c r="B54" s="9"/>
      <c r="C54" s="9"/>
      <c r="D54" s="9"/>
      <c r="E54" s="4" t="s">
        <v>13</v>
      </c>
      <c r="F54" s="6">
        <v>29.6</v>
      </c>
      <c r="G54" s="19">
        <f>VLOOKUP(A54,[1]TDSheet!$A:$F,4,0)/22</f>
        <v>5.1454545454545455</v>
      </c>
      <c r="H54" s="19">
        <f t="shared" si="0"/>
        <v>5.7526501766784452</v>
      </c>
    </row>
    <row r="55" spans="1:8" ht="11.1" customHeight="1" x14ac:dyDescent="0.2">
      <c r="A55" s="9" t="s">
        <v>55</v>
      </c>
      <c r="B55" s="9"/>
      <c r="C55" s="9"/>
      <c r="D55" s="9"/>
      <c r="E55" s="4" t="s">
        <v>9</v>
      </c>
      <c r="F55" s="5">
        <v>1120.731</v>
      </c>
      <c r="G55" s="19">
        <f>VLOOKUP(A55,[1]TDSheet!$A:$F,4,0)/22</f>
        <v>142.41222727272728</v>
      </c>
      <c r="H55" s="19">
        <f t="shared" si="0"/>
        <v>7.8696262354898661</v>
      </c>
    </row>
    <row r="56" spans="1:8" ht="11.1" customHeight="1" x14ac:dyDescent="0.2">
      <c r="A56" s="9" t="s">
        <v>56</v>
      </c>
      <c r="B56" s="9"/>
      <c r="C56" s="9"/>
      <c r="D56" s="9"/>
      <c r="E56" s="4" t="s">
        <v>9</v>
      </c>
      <c r="F56" s="6">
        <v>100.54300000000001</v>
      </c>
      <c r="H56" s="19" t="e">
        <f t="shared" si="0"/>
        <v>#DIV/0!</v>
      </c>
    </row>
    <row r="57" spans="1:8" ht="11.1" customHeight="1" x14ac:dyDescent="0.2">
      <c r="A57" s="9" t="s">
        <v>57</v>
      </c>
      <c r="B57" s="9"/>
      <c r="C57" s="9"/>
      <c r="D57" s="9"/>
      <c r="E57" s="4" t="s">
        <v>13</v>
      </c>
      <c r="F57" s="6">
        <v>15.9</v>
      </c>
      <c r="G57" s="19">
        <f>VLOOKUP(A57,[1]TDSheet!$A:$F,4,0)/22</f>
        <v>3.9772727272727271</v>
      </c>
      <c r="H57" s="19">
        <f t="shared" si="0"/>
        <v>3.9977142857142862</v>
      </c>
    </row>
    <row r="58" spans="1:8" ht="11.1" customHeight="1" x14ac:dyDescent="0.2">
      <c r="A58" s="9" t="s">
        <v>58</v>
      </c>
      <c r="B58" s="9"/>
      <c r="C58" s="9"/>
      <c r="D58" s="9"/>
      <c r="E58" s="4" t="s">
        <v>9</v>
      </c>
      <c r="F58" s="5">
        <v>1369.81</v>
      </c>
      <c r="G58" s="19">
        <f>VLOOKUP(A58,[1]TDSheet!$A:$F,4,0)/22</f>
        <v>171.81722727272725</v>
      </c>
      <c r="H58" s="19">
        <f t="shared" si="0"/>
        <v>7.9724834450138484</v>
      </c>
    </row>
    <row r="59" spans="1:8" ht="11.1" customHeight="1" x14ac:dyDescent="0.2">
      <c r="A59" s="9" t="s">
        <v>59</v>
      </c>
      <c r="B59" s="9"/>
      <c r="C59" s="9"/>
      <c r="D59" s="9"/>
      <c r="E59" s="4" t="s">
        <v>9</v>
      </c>
      <c r="F59" s="6">
        <v>138.21100000000001</v>
      </c>
      <c r="G59" s="19">
        <f>VLOOKUP(A59,[1]TDSheet!$A:$F,4,0)/22</f>
        <v>18.454999999999998</v>
      </c>
      <c r="H59" s="19">
        <f t="shared" si="0"/>
        <v>7.4890815497155252</v>
      </c>
    </row>
    <row r="60" spans="1:8" ht="11.1" customHeight="1" x14ac:dyDescent="0.2">
      <c r="A60" s="9" t="s">
        <v>60</v>
      </c>
      <c r="B60" s="9"/>
      <c r="C60" s="9"/>
      <c r="D60" s="9"/>
      <c r="E60" s="4" t="s">
        <v>13</v>
      </c>
      <c r="F60" s="6">
        <v>26.8</v>
      </c>
      <c r="G60" s="19">
        <f>VLOOKUP(A60,[1]TDSheet!$A:$F,4,0)/22</f>
        <v>3.3181818181818183</v>
      </c>
      <c r="H60" s="19">
        <f t="shared" si="0"/>
        <v>8.0767123287671225</v>
      </c>
    </row>
    <row r="61" spans="1:8" ht="11.1" customHeight="1" x14ac:dyDescent="0.2">
      <c r="A61" s="9" t="s">
        <v>61</v>
      </c>
      <c r="B61" s="9"/>
      <c r="C61" s="9"/>
      <c r="D61" s="9"/>
      <c r="E61" s="4" t="s">
        <v>13</v>
      </c>
      <c r="F61" s="6">
        <v>141.6</v>
      </c>
      <c r="G61" s="19">
        <f>VLOOKUP(A61,[1]TDSheet!$A:$F,4,0)/22</f>
        <v>19.636363636363637</v>
      </c>
      <c r="H61" s="19">
        <f t="shared" si="0"/>
        <v>7.2111111111111104</v>
      </c>
    </row>
    <row r="62" spans="1:8" ht="11.1" customHeight="1" x14ac:dyDescent="0.2">
      <c r="A62" s="9" t="s">
        <v>62</v>
      </c>
      <c r="B62" s="9"/>
      <c r="C62" s="9"/>
      <c r="D62" s="9"/>
      <c r="E62" s="4" t="s">
        <v>9</v>
      </c>
      <c r="F62" s="6">
        <v>14.707000000000001</v>
      </c>
      <c r="G62" s="19">
        <f>VLOOKUP(A62,[1]TDSheet!$A:$F,4,0)/22</f>
        <v>11.838090909090909</v>
      </c>
      <c r="H62" s="19">
        <f t="shared" si="0"/>
        <v>1.242345587049509</v>
      </c>
    </row>
    <row r="63" spans="1:8" ht="11.1" customHeight="1" x14ac:dyDescent="0.2">
      <c r="A63" s="9" t="s">
        <v>63</v>
      </c>
      <c r="B63" s="9"/>
      <c r="C63" s="9"/>
      <c r="D63" s="9"/>
      <c r="E63" s="4" t="s">
        <v>9</v>
      </c>
      <c r="F63" s="6">
        <v>8.0570000000000004</v>
      </c>
      <c r="G63" s="19">
        <f>VLOOKUP(A63,[1]TDSheet!$A:$F,4,0)/22</f>
        <v>6.1909090909090914E-2</v>
      </c>
      <c r="H63" s="19">
        <f t="shared" si="0"/>
        <v>130.1424375917768</v>
      </c>
    </row>
    <row r="64" spans="1:8" ht="11.1" customHeight="1" x14ac:dyDescent="0.2">
      <c r="A64" s="9" t="s">
        <v>64</v>
      </c>
      <c r="B64" s="9"/>
      <c r="C64" s="9"/>
      <c r="D64" s="9"/>
      <c r="E64" s="4" t="s">
        <v>13</v>
      </c>
      <c r="F64" s="6">
        <v>373.6</v>
      </c>
      <c r="G64" s="19">
        <f>VLOOKUP(A64,[1]TDSheet!$A:$F,4,0)/22</f>
        <v>65.309090909090912</v>
      </c>
      <c r="H64" s="19">
        <f t="shared" si="0"/>
        <v>5.7204899777282847</v>
      </c>
    </row>
    <row r="65" spans="1:8" ht="11.1" customHeight="1" x14ac:dyDescent="0.2">
      <c r="A65" s="9" t="s">
        <v>65</v>
      </c>
      <c r="B65" s="9"/>
      <c r="C65" s="9"/>
      <c r="D65" s="9"/>
      <c r="E65" s="4" t="s">
        <v>13</v>
      </c>
      <c r="F65" s="6">
        <v>2.4</v>
      </c>
      <c r="G65" s="19">
        <f>VLOOKUP(A65,[1]TDSheet!$A:$F,4,0)/22</f>
        <v>35.509090909090908</v>
      </c>
      <c r="H65" s="19">
        <f t="shared" si="0"/>
        <v>6.7588325652841785E-2</v>
      </c>
    </row>
    <row r="66" spans="1:8" ht="21.95" customHeight="1" x14ac:dyDescent="0.2">
      <c r="A66" s="9" t="s">
        <v>66</v>
      </c>
      <c r="B66" s="9"/>
      <c r="C66" s="9"/>
      <c r="D66" s="9"/>
      <c r="E66" s="4" t="s">
        <v>9</v>
      </c>
      <c r="F66" s="6">
        <v>312.79700000000003</v>
      </c>
      <c r="G66" s="19">
        <f>VLOOKUP(A66,[1]TDSheet!$A:$F,4,0)/22</f>
        <v>56.249454545454547</v>
      </c>
      <c r="H66" s="19">
        <f t="shared" si="0"/>
        <v>5.5608894793323254</v>
      </c>
    </row>
    <row r="67" spans="1:8" ht="11.1" customHeight="1" x14ac:dyDescent="0.2">
      <c r="A67" s="9" t="s">
        <v>67</v>
      </c>
      <c r="B67" s="9"/>
      <c r="C67" s="9"/>
      <c r="D67" s="9"/>
      <c r="E67" s="4" t="s">
        <v>9</v>
      </c>
      <c r="F67" s="6">
        <v>320.82900000000001</v>
      </c>
      <c r="G67" s="19">
        <f>VLOOKUP(A67,[1]TDSheet!$A:$F,4,0)/22</f>
        <v>68.775363636363636</v>
      </c>
      <c r="H67" s="19">
        <f t="shared" si="0"/>
        <v>4.6648826416436115</v>
      </c>
    </row>
    <row r="68" spans="1:8" ht="11.1" customHeight="1" x14ac:dyDescent="0.2">
      <c r="A68" s="9" t="s">
        <v>68</v>
      </c>
      <c r="B68" s="9"/>
      <c r="C68" s="9"/>
      <c r="D68" s="9"/>
      <c r="E68" s="4" t="s">
        <v>9</v>
      </c>
      <c r="F68" s="5">
        <v>1400.777</v>
      </c>
      <c r="G68" s="19">
        <f>VLOOKUP(A68,[1]TDSheet!$A:$F,4,0)/22</f>
        <v>153.33095454545455</v>
      </c>
      <c r="H68" s="19">
        <f t="shared" si="0"/>
        <v>9.1356439027759624</v>
      </c>
    </row>
    <row r="69" spans="1:8" ht="11.1" customHeight="1" x14ac:dyDescent="0.2">
      <c r="A69" s="9" t="s">
        <v>69</v>
      </c>
      <c r="B69" s="9"/>
      <c r="C69" s="9"/>
      <c r="D69" s="9"/>
      <c r="E69" s="4" t="s">
        <v>9</v>
      </c>
      <c r="F69" s="6">
        <v>297.44900000000001</v>
      </c>
      <c r="G69" s="19">
        <f>VLOOKUP(A69,[1]TDSheet!$A:$F,4,0)/22</f>
        <v>49.394772727272724</v>
      </c>
      <c r="H69" s="19">
        <f t="shared" si="0"/>
        <v>6.021872023631504</v>
      </c>
    </row>
    <row r="70" spans="1:8" ht="11.1" customHeight="1" x14ac:dyDescent="0.2">
      <c r="A70" s="9" t="s">
        <v>70</v>
      </c>
      <c r="B70" s="9"/>
      <c r="C70" s="9"/>
      <c r="D70" s="9"/>
      <c r="E70" s="4" t="s">
        <v>13</v>
      </c>
      <c r="F70" s="6">
        <v>10.8</v>
      </c>
      <c r="G70" s="19">
        <f>VLOOKUP(A70,[1]TDSheet!$A:$F,4,0)/22</f>
        <v>0.62727272727272732</v>
      </c>
      <c r="H70" s="19">
        <f t="shared" si="0"/>
        <v>17.217391304347824</v>
      </c>
    </row>
    <row r="71" spans="1:8" ht="11.1" customHeight="1" x14ac:dyDescent="0.2">
      <c r="A71" s="9" t="s">
        <v>71</v>
      </c>
      <c r="B71" s="9"/>
      <c r="C71" s="9"/>
      <c r="D71" s="9"/>
      <c r="E71" s="4" t="s">
        <v>9</v>
      </c>
      <c r="F71" s="6">
        <v>172.24299999999999</v>
      </c>
      <c r="G71" s="19">
        <f>VLOOKUP(A71,[1]TDSheet!$A:$F,4,0)/22</f>
        <v>63.411363636363632</v>
      </c>
      <c r="H71" s="19">
        <f t="shared" si="0"/>
        <v>2.7162797032364434</v>
      </c>
    </row>
    <row r="72" spans="1:8" ht="11.1" customHeight="1" x14ac:dyDescent="0.2">
      <c r="A72" s="9" t="s">
        <v>72</v>
      </c>
      <c r="B72" s="9"/>
      <c r="C72" s="9"/>
      <c r="D72" s="9"/>
      <c r="E72" s="4" t="s">
        <v>13</v>
      </c>
      <c r="F72" s="6">
        <v>130.19999999999999</v>
      </c>
      <c r="G72" s="19">
        <f>VLOOKUP(A72,[1]TDSheet!$A:$F,4,0)/22</f>
        <v>13.090909090909092</v>
      </c>
      <c r="H72" s="19">
        <f t="shared" si="0"/>
        <v>9.9458333333333311</v>
      </c>
    </row>
    <row r="73" spans="1:8" ht="11.1" customHeight="1" x14ac:dyDescent="0.2">
      <c r="A73" s="9" t="s">
        <v>73</v>
      </c>
      <c r="B73" s="9"/>
      <c r="C73" s="9"/>
      <c r="D73" s="9"/>
      <c r="E73" s="4" t="s">
        <v>13</v>
      </c>
      <c r="F73" s="6">
        <v>36</v>
      </c>
      <c r="G73" s="19">
        <f>VLOOKUP(A73,[1]TDSheet!$A:$F,4,0)/22</f>
        <v>2.9727272727272731</v>
      </c>
      <c r="H73" s="19">
        <f t="shared" si="0"/>
        <v>12.110091743119265</v>
      </c>
    </row>
    <row r="74" spans="1:8" ht="11.1" customHeight="1" x14ac:dyDescent="0.2">
      <c r="A74" s="9" t="s">
        <v>74</v>
      </c>
      <c r="B74" s="9"/>
      <c r="C74" s="9"/>
      <c r="D74" s="9"/>
      <c r="E74" s="4" t="s">
        <v>13</v>
      </c>
      <c r="F74" s="6">
        <v>41.2</v>
      </c>
      <c r="G74" s="19">
        <f>VLOOKUP(A74,[1]TDSheet!$A:$F,4,0)/22</f>
        <v>7.6363636363636367</v>
      </c>
      <c r="H74" s="19">
        <f t="shared" si="0"/>
        <v>5.3952380952380956</v>
      </c>
    </row>
    <row r="75" spans="1:8" ht="11.1" customHeight="1" x14ac:dyDescent="0.2">
      <c r="A75" s="9" t="s">
        <v>75</v>
      </c>
      <c r="B75" s="9"/>
      <c r="C75" s="9"/>
      <c r="D75" s="9"/>
      <c r="E75" s="4" t="s">
        <v>13</v>
      </c>
      <c r="F75" s="6">
        <v>32.340000000000003</v>
      </c>
      <c r="G75" s="19">
        <f>VLOOKUP(A75,[1]TDSheet!$A:$F,4,0)/22</f>
        <v>8.1</v>
      </c>
      <c r="H75" s="19">
        <f t="shared" ref="H75:H124" si="1">F75/G75</f>
        <v>3.9925925925925934</v>
      </c>
    </row>
    <row r="76" spans="1:8" ht="21.95" customHeight="1" x14ac:dyDescent="0.2">
      <c r="A76" s="9" t="s">
        <v>76</v>
      </c>
      <c r="B76" s="9"/>
      <c r="C76" s="9"/>
      <c r="D76" s="9"/>
      <c r="E76" s="4" t="s">
        <v>13</v>
      </c>
      <c r="F76" s="6">
        <v>33.950000000000003</v>
      </c>
      <c r="G76" s="19">
        <f>VLOOKUP(A76,[1]TDSheet!$A:$F,4,0)/22</f>
        <v>5.456818181818182</v>
      </c>
      <c r="H76" s="19">
        <f t="shared" si="1"/>
        <v>6.221574344023324</v>
      </c>
    </row>
    <row r="77" spans="1:8" ht="11.1" customHeight="1" x14ac:dyDescent="0.2">
      <c r="A77" s="9" t="s">
        <v>77</v>
      </c>
      <c r="B77" s="9"/>
      <c r="C77" s="9"/>
      <c r="D77" s="9"/>
      <c r="E77" s="4" t="s">
        <v>13</v>
      </c>
      <c r="F77" s="6">
        <v>207.2</v>
      </c>
      <c r="G77" s="19">
        <f>VLOOKUP(A77,[1]TDSheet!$A:$F,4,0)/22</f>
        <v>32.829090909090908</v>
      </c>
      <c r="H77" s="19">
        <f t="shared" si="1"/>
        <v>6.3114754098360653</v>
      </c>
    </row>
    <row r="78" spans="1:8" ht="21.95" customHeight="1" x14ac:dyDescent="0.2">
      <c r="A78" s="9" t="s">
        <v>78</v>
      </c>
      <c r="B78" s="9"/>
      <c r="C78" s="9"/>
      <c r="D78" s="9"/>
      <c r="E78" s="4" t="s">
        <v>13</v>
      </c>
      <c r="F78" s="6">
        <v>99.6</v>
      </c>
      <c r="G78" s="19">
        <f>VLOOKUP(A78,[1]TDSheet!$A:$F,4,0)/22</f>
        <v>12.436363636363637</v>
      </c>
      <c r="H78" s="19">
        <f t="shared" si="1"/>
        <v>8.0087719298245599</v>
      </c>
    </row>
    <row r="79" spans="1:8" ht="11.1" customHeight="1" x14ac:dyDescent="0.2">
      <c r="A79" s="9" t="s">
        <v>79</v>
      </c>
      <c r="B79" s="9"/>
      <c r="C79" s="9"/>
      <c r="D79" s="9"/>
      <c r="E79" s="4" t="s">
        <v>13</v>
      </c>
      <c r="F79" s="6">
        <v>15.51</v>
      </c>
      <c r="G79" s="19">
        <f>VLOOKUP(A79,[1]TDSheet!$A:$F,4,0)/22</f>
        <v>2.8650000000000002</v>
      </c>
      <c r="H79" s="19">
        <f t="shared" si="1"/>
        <v>5.4136125654450256</v>
      </c>
    </row>
    <row r="80" spans="1:8" ht="11.1" customHeight="1" x14ac:dyDescent="0.2">
      <c r="A80" s="9" t="s">
        <v>80</v>
      </c>
      <c r="B80" s="9"/>
      <c r="C80" s="9"/>
      <c r="D80" s="9"/>
      <c r="E80" s="4" t="s">
        <v>13</v>
      </c>
      <c r="F80" s="6">
        <v>142.4</v>
      </c>
      <c r="G80" s="19">
        <f>VLOOKUP(A80,[1]TDSheet!$A:$F,4,0)/22</f>
        <v>19.581818181818182</v>
      </c>
      <c r="H80" s="19">
        <f t="shared" si="1"/>
        <v>7.2720519962859802</v>
      </c>
    </row>
    <row r="81" spans="1:8" ht="11.1" customHeight="1" x14ac:dyDescent="0.2">
      <c r="A81" s="9" t="s">
        <v>81</v>
      </c>
      <c r="B81" s="9"/>
      <c r="C81" s="9"/>
      <c r="D81" s="9"/>
      <c r="E81" s="4" t="s">
        <v>13</v>
      </c>
      <c r="F81" s="6">
        <v>37.450000000000003</v>
      </c>
      <c r="G81" s="19">
        <f>VLOOKUP(A81,[1]TDSheet!$A:$F,4,0)/22</f>
        <v>5.0909090909090908</v>
      </c>
      <c r="H81" s="19">
        <f t="shared" si="1"/>
        <v>7.3562500000000011</v>
      </c>
    </row>
    <row r="82" spans="1:8" ht="11.1" customHeight="1" x14ac:dyDescent="0.2">
      <c r="A82" s="9" t="s">
        <v>82</v>
      </c>
      <c r="B82" s="9"/>
      <c r="C82" s="9"/>
      <c r="D82" s="9"/>
      <c r="E82" s="4" t="s">
        <v>13</v>
      </c>
      <c r="F82" s="6">
        <v>9.4499999999999993</v>
      </c>
      <c r="G82" s="19">
        <f>VLOOKUP(A82,[1]TDSheet!$A:$F,4,0)/22</f>
        <v>17.34090909090909</v>
      </c>
      <c r="H82" s="19">
        <f t="shared" si="1"/>
        <v>0.54495412844036695</v>
      </c>
    </row>
    <row r="83" spans="1:8" ht="21.95" customHeight="1" x14ac:dyDescent="0.2">
      <c r="A83" s="9" t="s">
        <v>83</v>
      </c>
      <c r="B83" s="9"/>
      <c r="C83" s="9"/>
      <c r="D83" s="9"/>
      <c r="E83" s="4" t="s">
        <v>13</v>
      </c>
      <c r="F83" s="6">
        <v>36</v>
      </c>
      <c r="G83" s="19">
        <f>VLOOKUP(A83,[1]TDSheet!$A:$F,4,0)/22</f>
        <v>9.454545454545455</v>
      </c>
      <c r="H83" s="19">
        <f t="shared" si="1"/>
        <v>3.8076923076923075</v>
      </c>
    </row>
    <row r="84" spans="1:8" ht="21.95" customHeight="1" x14ac:dyDescent="0.2">
      <c r="A84" s="9" t="s">
        <v>84</v>
      </c>
      <c r="B84" s="9"/>
      <c r="C84" s="9"/>
      <c r="D84" s="9"/>
      <c r="E84" s="4" t="s">
        <v>9</v>
      </c>
      <c r="F84" s="6">
        <v>34.472000000000001</v>
      </c>
      <c r="G84" s="19">
        <f>VLOOKUP(A84,[1]TDSheet!$A:$F,4,0)/22</f>
        <v>3.8356363636363637</v>
      </c>
      <c r="H84" s="19">
        <f t="shared" si="1"/>
        <v>8.9872961698900262</v>
      </c>
    </row>
    <row r="85" spans="1:8" ht="21.95" customHeight="1" x14ac:dyDescent="0.2">
      <c r="A85" s="9" t="s">
        <v>85</v>
      </c>
      <c r="B85" s="9"/>
      <c r="C85" s="9"/>
      <c r="D85" s="9"/>
      <c r="E85" s="4" t="s">
        <v>13</v>
      </c>
      <c r="F85" s="6">
        <v>2.8</v>
      </c>
      <c r="G85" s="19">
        <f>VLOOKUP(A85,[1]TDSheet!$A:$F,4,0)/22</f>
        <v>1.4000000000000001</v>
      </c>
      <c r="H85" s="19">
        <f t="shared" si="1"/>
        <v>1.9999999999999998</v>
      </c>
    </row>
    <row r="86" spans="1:8" ht="11.1" customHeight="1" x14ac:dyDescent="0.2">
      <c r="A86" s="9" t="s">
        <v>86</v>
      </c>
      <c r="B86" s="9"/>
      <c r="C86" s="9"/>
      <c r="D86" s="9"/>
      <c r="E86" s="4" t="s">
        <v>9</v>
      </c>
      <c r="F86" s="6">
        <v>191.767</v>
      </c>
      <c r="G86" s="19">
        <f>VLOOKUP(A86,[1]TDSheet!$A:$F,4,0)/22</f>
        <v>37.126090909090912</v>
      </c>
      <c r="H86" s="19">
        <f t="shared" si="1"/>
        <v>5.1652892966720287</v>
      </c>
    </row>
    <row r="87" spans="1:8" ht="11.1" customHeight="1" x14ac:dyDescent="0.2">
      <c r="A87" s="9" t="s">
        <v>87</v>
      </c>
      <c r="B87" s="9"/>
      <c r="C87" s="9"/>
      <c r="D87" s="9"/>
      <c r="E87" s="4" t="s">
        <v>9</v>
      </c>
      <c r="F87" s="5">
        <v>1322.838</v>
      </c>
      <c r="G87" s="19">
        <f>VLOOKUP(A87,[1]TDSheet!$A:$F,4,0)/22</f>
        <v>164.76813636363636</v>
      </c>
      <c r="H87" s="19">
        <f t="shared" si="1"/>
        <v>8.0284818970128544</v>
      </c>
    </row>
    <row r="88" spans="1:8" ht="11.1" customHeight="1" x14ac:dyDescent="0.2">
      <c r="A88" s="9" t="s">
        <v>88</v>
      </c>
      <c r="B88" s="9"/>
      <c r="C88" s="9"/>
      <c r="D88" s="9"/>
      <c r="E88" s="4" t="s">
        <v>9</v>
      </c>
      <c r="F88" s="5">
        <v>4353.6869999999999</v>
      </c>
      <c r="G88" s="19">
        <f>VLOOKUP(A88,[1]TDSheet!$A:$F,4,0)/22</f>
        <v>406.60536363636362</v>
      </c>
      <c r="H88" s="19">
        <f t="shared" si="1"/>
        <v>10.707401793876976</v>
      </c>
    </row>
    <row r="89" spans="1:8" ht="11.1" customHeight="1" x14ac:dyDescent="0.2">
      <c r="A89" s="9" t="s">
        <v>89</v>
      </c>
      <c r="B89" s="9"/>
      <c r="C89" s="9"/>
      <c r="D89" s="9"/>
      <c r="E89" s="4" t="s">
        <v>9</v>
      </c>
      <c r="F89" s="5">
        <v>6613.2669999999998</v>
      </c>
      <c r="G89" s="19">
        <f>VLOOKUP(A89,[1]TDSheet!$A:$F,4,0)/22</f>
        <v>451.19354545454547</v>
      </c>
      <c r="H89" s="19">
        <f t="shared" si="1"/>
        <v>14.65727306302133</v>
      </c>
    </row>
    <row r="90" spans="1:8" ht="11.1" customHeight="1" x14ac:dyDescent="0.2">
      <c r="A90" s="9" t="s">
        <v>90</v>
      </c>
      <c r="B90" s="9"/>
      <c r="C90" s="9"/>
      <c r="D90" s="9"/>
      <c r="E90" s="4" t="s">
        <v>9</v>
      </c>
      <c r="F90" s="5">
        <v>9227.6859999999997</v>
      </c>
      <c r="G90" s="19">
        <f>VLOOKUP(A90,[1]TDSheet!$A:$F,4,0)/22</f>
        <v>581.89036363636365</v>
      </c>
      <c r="H90" s="19">
        <f t="shared" si="1"/>
        <v>15.858117914746201</v>
      </c>
    </row>
    <row r="91" spans="1:8" ht="21.95" customHeight="1" x14ac:dyDescent="0.2">
      <c r="A91" s="9" t="s">
        <v>91</v>
      </c>
      <c r="B91" s="9"/>
      <c r="C91" s="9"/>
      <c r="D91" s="9"/>
      <c r="E91" s="4" t="s">
        <v>9</v>
      </c>
      <c r="F91" s="6">
        <v>84.28</v>
      </c>
      <c r="G91" s="19">
        <f>VLOOKUP(A91,[1]TDSheet!$A:$F,4,0)/22</f>
        <v>6.6324545454545447</v>
      </c>
      <c r="H91" s="19">
        <f t="shared" si="1"/>
        <v>12.707211096947519</v>
      </c>
    </row>
    <row r="92" spans="1:8" ht="21.95" customHeight="1" x14ac:dyDescent="0.2">
      <c r="A92" s="9" t="s">
        <v>92</v>
      </c>
      <c r="B92" s="9"/>
      <c r="C92" s="9"/>
      <c r="D92" s="9"/>
      <c r="E92" s="4" t="s">
        <v>9</v>
      </c>
      <c r="F92" s="6">
        <v>22.92</v>
      </c>
      <c r="G92" s="19">
        <f>VLOOKUP(A92,[1]TDSheet!$A:$F,4,0)/22</f>
        <v>3.2852727272727269</v>
      </c>
      <c r="H92" s="19">
        <f t="shared" si="1"/>
        <v>6.9765897393325602</v>
      </c>
    </row>
    <row r="93" spans="1:8" ht="11.1" customHeight="1" x14ac:dyDescent="0.2">
      <c r="A93" s="9" t="s">
        <v>93</v>
      </c>
      <c r="B93" s="9"/>
      <c r="C93" s="9"/>
      <c r="D93" s="9"/>
      <c r="E93" s="4" t="s">
        <v>13</v>
      </c>
      <c r="F93" s="6">
        <v>84.3</v>
      </c>
      <c r="G93" s="19">
        <f>VLOOKUP(A93,[1]TDSheet!$A:$F,4,0)/22</f>
        <v>11.754545454545456</v>
      </c>
      <c r="H93" s="19">
        <f t="shared" si="1"/>
        <v>7.171693735498839</v>
      </c>
    </row>
    <row r="94" spans="1:8" ht="11.1" customHeight="1" x14ac:dyDescent="0.2">
      <c r="A94" s="9" t="s">
        <v>94</v>
      </c>
      <c r="B94" s="9"/>
      <c r="C94" s="9"/>
      <c r="D94" s="9"/>
      <c r="E94" s="4" t="s">
        <v>13</v>
      </c>
      <c r="F94" s="6">
        <v>39.9</v>
      </c>
      <c r="G94" s="19">
        <f>VLOOKUP(A94,[1]TDSheet!$A:$F,4,0)/22</f>
        <v>11.727272727272727</v>
      </c>
      <c r="H94" s="19">
        <f t="shared" si="1"/>
        <v>3.402325581395349</v>
      </c>
    </row>
    <row r="95" spans="1:8" ht="11.1" customHeight="1" x14ac:dyDescent="0.2">
      <c r="A95" s="9" t="s">
        <v>95</v>
      </c>
      <c r="B95" s="9"/>
      <c r="C95" s="9"/>
      <c r="D95" s="9"/>
      <c r="E95" s="4" t="s">
        <v>13</v>
      </c>
      <c r="F95" s="6">
        <v>0.21</v>
      </c>
      <c r="G95" s="19">
        <f>VLOOKUP(A95,[1]TDSheet!$A:$F,4,0)/22</f>
        <v>2.3259090909090911</v>
      </c>
      <c r="H95" s="19">
        <f t="shared" si="1"/>
        <v>9.0287277701778371E-2</v>
      </c>
    </row>
    <row r="96" spans="1:8" ht="11.1" customHeight="1" x14ac:dyDescent="0.2">
      <c r="A96" s="9" t="s">
        <v>96</v>
      </c>
      <c r="B96" s="9"/>
      <c r="C96" s="9"/>
      <c r="D96" s="9"/>
      <c r="E96" s="4" t="s">
        <v>13</v>
      </c>
      <c r="F96" s="6">
        <v>6.79</v>
      </c>
      <c r="G96" s="19">
        <f>VLOOKUP(A96,[1]TDSheet!$A:$F,4,0)/22</f>
        <v>1.8295454545454546</v>
      </c>
      <c r="H96" s="19">
        <f t="shared" si="1"/>
        <v>3.7113043478260868</v>
      </c>
    </row>
    <row r="97" spans="1:8" ht="11.1" customHeight="1" x14ac:dyDescent="0.2">
      <c r="A97" s="9" t="s">
        <v>97</v>
      </c>
      <c r="B97" s="9"/>
      <c r="C97" s="9"/>
      <c r="D97" s="9"/>
      <c r="E97" s="4" t="s">
        <v>13</v>
      </c>
      <c r="F97" s="6">
        <v>0.2</v>
      </c>
      <c r="G97" s="19">
        <f>VLOOKUP(A97,[1]TDSheet!$A:$F,4,0)/22</f>
        <v>0.92500000000000004</v>
      </c>
      <c r="H97" s="19">
        <f t="shared" si="1"/>
        <v>0.21621621621621623</v>
      </c>
    </row>
    <row r="98" spans="1:8" ht="11.1" customHeight="1" x14ac:dyDescent="0.2">
      <c r="A98" s="9" t="s">
        <v>98</v>
      </c>
      <c r="B98" s="9"/>
      <c r="C98" s="9"/>
      <c r="D98" s="9"/>
      <c r="E98" s="4" t="s">
        <v>13</v>
      </c>
      <c r="F98" s="6">
        <v>42.3</v>
      </c>
      <c r="G98" s="19">
        <f>VLOOKUP(A98,[1]TDSheet!$A:$F,4,0)/22</f>
        <v>8.3454545454545457</v>
      </c>
      <c r="H98" s="19">
        <f t="shared" si="1"/>
        <v>5.0686274509803919</v>
      </c>
    </row>
    <row r="99" spans="1:8" ht="11.1" customHeight="1" x14ac:dyDescent="0.2">
      <c r="A99" s="9" t="s">
        <v>99</v>
      </c>
      <c r="B99" s="9"/>
      <c r="C99" s="9"/>
      <c r="D99" s="9"/>
      <c r="E99" s="4" t="s">
        <v>9</v>
      </c>
      <c r="F99" s="6">
        <v>182.58600000000001</v>
      </c>
      <c r="G99" s="19">
        <f>VLOOKUP(A99,[1]TDSheet!$A:$F,4,0)/22</f>
        <v>17.592590909090909</v>
      </c>
      <c r="H99" s="19">
        <f t="shared" si="1"/>
        <v>10.378573624743888</v>
      </c>
    </row>
    <row r="100" spans="1:8" ht="21.95" customHeight="1" x14ac:dyDescent="0.2">
      <c r="A100" s="9" t="s">
        <v>100</v>
      </c>
      <c r="B100" s="9"/>
      <c r="C100" s="9"/>
      <c r="D100" s="9"/>
      <c r="E100" s="4" t="s">
        <v>13</v>
      </c>
      <c r="F100" s="6">
        <v>13.2</v>
      </c>
      <c r="G100" s="19">
        <f>VLOOKUP(A100,[1]TDSheet!$A:$F,4,0)/22</f>
        <v>3.36</v>
      </c>
      <c r="H100" s="19">
        <f t="shared" si="1"/>
        <v>3.9285714285714284</v>
      </c>
    </row>
    <row r="101" spans="1:8" ht="21.95" customHeight="1" x14ac:dyDescent="0.2">
      <c r="A101" s="9" t="s">
        <v>101</v>
      </c>
      <c r="B101" s="9"/>
      <c r="C101" s="9"/>
      <c r="D101" s="9"/>
      <c r="E101" s="4" t="s">
        <v>13</v>
      </c>
      <c r="F101" s="6">
        <v>3.76</v>
      </c>
      <c r="G101" s="19">
        <f>VLOOKUP(A101,[1]TDSheet!$A:$F,4,0)/22</f>
        <v>2.8509090909090911</v>
      </c>
      <c r="H101" s="19">
        <f t="shared" si="1"/>
        <v>1.318877551020408</v>
      </c>
    </row>
    <row r="102" spans="1:8" ht="21.95" customHeight="1" x14ac:dyDescent="0.2">
      <c r="A102" s="9" t="s">
        <v>102</v>
      </c>
      <c r="B102" s="9"/>
      <c r="C102" s="9"/>
      <c r="D102" s="9"/>
      <c r="E102" s="4" t="s">
        <v>13</v>
      </c>
      <c r="F102" s="6">
        <v>0.68</v>
      </c>
      <c r="G102" s="19">
        <f>VLOOKUP(A102,[1]TDSheet!$A:$F,4,0)/22</f>
        <v>0.22409090909090909</v>
      </c>
      <c r="H102" s="19">
        <f t="shared" si="1"/>
        <v>3.0344827586206899</v>
      </c>
    </row>
    <row r="103" spans="1:8" ht="21.95" customHeight="1" x14ac:dyDescent="0.2">
      <c r="A103" s="9" t="s">
        <v>103</v>
      </c>
      <c r="B103" s="9"/>
      <c r="C103" s="9"/>
      <c r="D103" s="9"/>
      <c r="E103" s="4" t="s">
        <v>9</v>
      </c>
      <c r="F103" s="6">
        <v>416.98399999999998</v>
      </c>
      <c r="G103" s="19">
        <f>VLOOKUP(A103,[1]TDSheet!$A:$F,4,0)/22</f>
        <v>77.443818181818173</v>
      </c>
      <c r="H103" s="19">
        <f t="shared" si="1"/>
        <v>5.3843419628540108</v>
      </c>
    </row>
    <row r="104" spans="1:8" ht="21.95" customHeight="1" x14ac:dyDescent="0.2">
      <c r="A104" s="9" t="s">
        <v>104</v>
      </c>
      <c r="B104" s="9"/>
      <c r="C104" s="9"/>
      <c r="D104" s="9"/>
      <c r="E104" s="4" t="s">
        <v>9</v>
      </c>
      <c r="F104" s="6">
        <v>339.13799999999998</v>
      </c>
      <c r="G104" s="19">
        <f>VLOOKUP(A104,[1]TDSheet!$A:$F,4,0)/22</f>
        <v>53.954409090909095</v>
      </c>
      <c r="H104" s="19">
        <f t="shared" si="1"/>
        <v>6.2856401490483957</v>
      </c>
    </row>
    <row r="105" spans="1:8" ht="11.1" customHeight="1" x14ac:dyDescent="0.2">
      <c r="A105" s="9" t="s">
        <v>105</v>
      </c>
      <c r="B105" s="9"/>
      <c r="C105" s="9"/>
      <c r="D105" s="9"/>
      <c r="E105" s="4" t="s">
        <v>9</v>
      </c>
      <c r="F105" s="6">
        <v>671.67600000000004</v>
      </c>
      <c r="G105" s="19">
        <f>VLOOKUP(A105,[1]TDSheet!$A:$F,4,0)/22</f>
        <v>87.821636363636358</v>
      </c>
      <c r="H105" s="19">
        <f t="shared" si="1"/>
        <v>7.6481836118247948</v>
      </c>
    </row>
    <row r="106" spans="1:8" ht="21.95" customHeight="1" x14ac:dyDescent="0.2">
      <c r="A106" s="9" t="s">
        <v>106</v>
      </c>
      <c r="B106" s="9"/>
      <c r="C106" s="9"/>
      <c r="D106" s="9"/>
      <c r="E106" s="4" t="s">
        <v>9</v>
      </c>
      <c r="F106" s="6">
        <v>18.616</v>
      </c>
      <c r="G106" s="19">
        <f>VLOOKUP(A106,[1]TDSheet!$A:$F,4,0)/22</f>
        <v>0.6621818181818182</v>
      </c>
      <c r="H106" s="19">
        <f t="shared" si="1"/>
        <v>28.113124656781988</v>
      </c>
    </row>
    <row r="107" spans="1:8" ht="21.95" customHeight="1" x14ac:dyDescent="0.2">
      <c r="A107" s="9" t="s">
        <v>107</v>
      </c>
      <c r="B107" s="9"/>
      <c r="C107" s="9"/>
      <c r="D107" s="9"/>
      <c r="E107" s="4" t="s">
        <v>13</v>
      </c>
      <c r="F107" s="6">
        <v>53.2</v>
      </c>
      <c r="G107" s="19">
        <f>VLOOKUP(A107,[1]TDSheet!$A:$F,4,0)/22</f>
        <v>18.174545454545452</v>
      </c>
      <c r="H107" s="19">
        <f t="shared" si="1"/>
        <v>2.9271708683473396</v>
      </c>
    </row>
    <row r="108" spans="1:8" ht="21.95" customHeight="1" x14ac:dyDescent="0.2">
      <c r="A108" s="9" t="s">
        <v>108</v>
      </c>
      <c r="B108" s="9"/>
      <c r="C108" s="9"/>
      <c r="D108" s="9"/>
      <c r="E108" s="4" t="s">
        <v>13</v>
      </c>
      <c r="F108" s="6">
        <v>80.64</v>
      </c>
      <c r="G108" s="19">
        <f>VLOOKUP(A108,[1]TDSheet!$A:$F,4,0)/22</f>
        <v>17.423636363636362</v>
      </c>
      <c r="H108" s="19">
        <f t="shared" si="1"/>
        <v>4.6281957633308988</v>
      </c>
    </row>
    <row r="109" spans="1:8" ht="21.95" customHeight="1" x14ac:dyDescent="0.2">
      <c r="A109" s="9" t="s">
        <v>109</v>
      </c>
      <c r="B109" s="9"/>
      <c r="C109" s="9"/>
      <c r="D109" s="9"/>
      <c r="E109" s="4" t="s">
        <v>9</v>
      </c>
      <c r="F109" s="6">
        <v>232.52199999999999</v>
      </c>
      <c r="G109" s="19">
        <f>VLOOKUP(A109,[1]TDSheet!$A:$F,4,0)/22</f>
        <v>30.715090909090907</v>
      </c>
      <c r="H109" s="19">
        <f t="shared" si="1"/>
        <v>7.5702852610206417</v>
      </c>
    </row>
    <row r="110" spans="1:8" ht="21.95" customHeight="1" x14ac:dyDescent="0.2">
      <c r="A110" s="9" t="s">
        <v>110</v>
      </c>
      <c r="B110" s="9"/>
      <c r="C110" s="9"/>
      <c r="D110" s="9"/>
      <c r="E110" s="4" t="s">
        <v>9</v>
      </c>
      <c r="F110" s="6">
        <v>82.09</v>
      </c>
      <c r="G110" s="19">
        <f>VLOOKUP(A110,[1]TDSheet!$A:$F,4,0)/22</f>
        <v>10.500227272727273</v>
      </c>
      <c r="H110" s="19">
        <f t="shared" si="1"/>
        <v>7.8179260189173396</v>
      </c>
    </row>
    <row r="111" spans="1:8" ht="11.1" customHeight="1" x14ac:dyDescent="0.2">
      <c r="A111" s="9" t="s">
        <v>111</v>
      </c>
      <c r="B111" s="9"/>
      <c r="C111" s="9"/>
      <c r="D111" s="9"/>
      <c r="E111" s="4" t="s">
        <v>9</v>
      </c>
      <c r="F111" s="6">
        <v>413.64400000000001</v>
      </c>
      <c r="G111" s="19">
        <f>VLOOKUP(A111,[1]TDSheet!$A:$F,4,0)/22</f>
        <v>61.104909090909089</v>
      </c>
      <c r="H111" s="19">
        <f t="shared" si="1"/>
        <v>6.7694070108933371</v>
      </c>
    </row>
    <row r="112" spans="1:8" ht="11.1" customHeight="1" x14ac:dyDescent="0.2">
      <c r="A112" s="9" t="s">
        <v>112</v>
      </c>
      <c r="B112" s="9"/>
      <c r="C112" s="9"/>
      <c r="D112" s="9"/>
      <c r="E112" s="4" t="s">
        <v>9</v>
      </c>
      <c r="F112" s="6">
        <v>490.03800000000001</v>
      </c>
      <c r="G112" s="19">
        <f>VLOOKUP(A112,[1]TDSheet!$A:$F,4,0)/22</f>
        <v>79.862545454545455</v>
      </c>
      <c r="H112" s="19">
        <f t="shared" si="1"/>
        <v>6.1360177942100522</v>
      </c>
    </row>
    <row r="113" spans="1:8" ht="11.1" customHeight="1" x14ac:dyDescent="0.2">
      <c r="A113" s="9" t="s">
        <v>113</v>
      </c>
      <c r="B113" s="9"/>
      <c r="C113" s="9"/>
      <c r="D113" s="9"/>
      <c r="E113" s="4" t="s">
        <v>9</v>
      </c>
      <c r="F113" s="6">
        <v>141.70099999999999</v>
      </c>
      <c r="G113" s="19">
        <f>VLOOKUP(A113,[1]TDSheet!$A:$F,4,0)/22</f>
        <v>28.803409090909089</v>
      </c>
      <c r="H113" s="19">
        <f t="shared" si="1"/>
        <v>4.9195912731289697</v>
      </c>
    </row>
    <row r="114" spans="1:8" ht="11.1" customHeight="1" x14ac:dyDescent="0.2">
      <c r="A114" s="9" t="s">
        <v>114</v>
      </c>
      <c r="B114" s="9"/>
      <c r="C114" s="9"/>
      <c r="D114" s="9"/>
      <c r="E114" s="4" t="s">
        <v>9</v>
      </c>
      <c r="F114" s="5">
        <v>4564.8549999999996</v>
      </c>
      <c r="G114" s="19">
        <f>VLOOKUP(A114,[1]TDSheet!$A:$F,4,0)/22</f>
        <v>224.12377272727272</v>
      </c>
      <c r="H114" s="19">
        <f t="shared" si="1"/>
        <v>20.367562728630261</v>
      </c>
    </row>
    <row r="115" spans="1:8" ht="21.95" customHeight="1" x14ac:dyDescent="0.2">
      <c r="A115" s="9" t="s">
        <v>115</v>
      </c>
      <c r="B115" s="9"/>
      <c r="C115" s="9"/>
      <c r="D115" s="9"/>
      <c r="E115" s="4" t="s">
        <v>13</v>
      </c>
      <c r="F115" s="6">
        <v>0.5</v>
      </c>
      <c r="G115" s="19">
        <f>VLOOKUP(A115,[1]TDSheet!$A:$F,4,0)/22</f>
        <v>2.2954545454545454</v>
      </c>
      <c r="H115" s="19">
        <f t="shared" si="1"/>
        <v>0.21782178217821782</v>
      </c>
    </row>
    <row r="116" spans="1:8" ht="11.1" customHeight="1" x14ac:dyDescent="0.2">
      <c r="A116" s="9" t="s">
        <v>116</v>
      </c>
      <c r="B116" s="9"/>
      <c r="C116" s="9"/>
      <c r="D116" s="9"/>
      <c r="E116" s="4" t="s">
        <v>13</v>
      </c>
      <c r="F116" s="6">
        <v>-3.25</v>
      </c>
      <c r="G116" s="19">
        <f>VLOOKUP(A116,[1]TDSheet!$A:$F,4,0)/22</f>
        <v>2.6443181818181816</v>
      </c>
      <c r="H116" s="19">
        <f t="shared" si="1"/>
        <v>-1.229050279329609</v>
      </c>
    </row>
    <row r="117" spans="1:8" ht="21.95" customHeight="1" x14ac:dyDescent="0.2">
      <c r="A117" s="9" t="s">
        <v>117</v>
      </c>
      <c r="B117" s="9"/>
      <c r="C117" s="9"/>
      <c r="D117" s="9"/>
      <c r="E117" s="4" t="s">
        <v>13</v>
      </c>
      <c r="F117" s="6">
        <v>4</v>
      </c>
      <c r="G117" s="19">
        <f>VLOOKUP(A117,[1]TDSheet!$A:$F,4,0)/22</f>
        <v>1.7159090909090908</v>
      </c>
      <c r="H117" s="19">
        <f t="shared" si="1"/>
        <v>2.3311258278145695</v>
      </c>
    </row>
    <row r="118" spans="1:8" ht="21.95" customHeight="1" x14ac:dyDescent="0.2">
      <c r="A118" s="9" t="s">
        <v>118</v>
      </c>
      <c r="B118" s="9"/>
      <c r="C118" s="9"/>
      <c r="D118" s="9"/>
      <c r="E118" s="4" t="s">
        <v>13</v>
      </c>
      <c r="F118" s="6">
        <v>123.6</v>
      </c>
      <c r="G118" s="19">
        <f>VLOOKUP(A118,[1]TDSheet!$A:$F,4,0)/22</f>
        <v>19.309090909090909</v>
      </c>
      <c r="H118" s="19">
        <f t="shared" si="1"/>
        <v>6.4011299435028244</v>
      </c>
    </row>
    <row r="119" spans="1:8" ht="11.1" customHeight="1" x14ac:dyDescent="0.2">
      <c r="A119" s="9" t="s">
        <v>119</v>
      </c>
      <c r="B119" s="9"/>
      <c r="C119" s="9"/>
      <c r="D119" s="9"/>
      <c r="E119" s="4" t="s">
        <v>13</v>
      </c>
      <c r="F119" s="6">
        <v>56.1</v>
      </c>
      <c r="G119" s="19">
        <f>VLOOKUP(A119,[1]TDSheet!$A:$F,4,0)/22</f>
        <v>19.95</v>
      </c>
      <c r="H119" s="19">
        <f t="shared" si="1"/>
        <v>2.8120300751879701</v>
      </c>
    </row>
    <row r="120" spans="1:8" ht="11.1" customHeight="1" x14ac:dyDescent="0.2">
      <c r="A120" s="9" t="s">
        <v>120</v>
      </c>
      <c r="B120" s="9"/>
      <c r="C120" s="9"/>
      <c r="D120" s="9"/>
      <c r="E120" s="4" t="s">
        <v>9</v>
      </c>
      <c r="F120" s="6">
        <v>435.56400000000002</v>
      </c>
      <c r="G120" s="19">
        <f>VLOOKUP(A120,[1]TDSheet!$A:$F,4,0)/22</f>
        <v>54.773500000000006</v>
      </c>
      <c r="H120" s="19">
        <f t="shared" si="1"/>
        <v>7.952093621915707</v>
      </c>
    </row>
    <row r="121" spans="1:8" ht="11.1" customHeight="1" x14ac:dyDescent="0.2">
      <c r="A121" s="9" t="s">
        <v>121</v>
      </c>
      <c r="B121" s="9"/>
      <c r="C121" s="9"/>
      <c r="D121" s="9"/>
      <c r="E121" s="4" t="s">
        <v>13</v>
      </c>
      <c r="F121" s="6">
        <v>53.7</v>
      </c>
      <c r="G121" s="19">
        <f>VLOOKUP(A121,[1]TDSheet!$A:$F,4,0)/22</f>
        <v>15.436363636363637</v>
      </c>
      <c r="H121" s="19">
        <f t="shared" si="1"/>
        <v>3.478798586572438</v>
      </c>
    </row>
    <row r="122" spans="1:8" ht="11.1" customHeight="1" x14ac:dyDescent="0.2">
      <c r="A122" s="9" t="s">
        <v>122</v>
      </c>
      <c r="B122" s="9"/>
      <c r="C122" s="9"/>
      <c r="D122" s="9"/>
      <c r="E122" s="4" t="s">
        <v>13</v>
      </c>
      <c r="F122" s="6">
        <v>4.92</v>
      </c>
      <c r="G122" s="19">
        <f>VLOOKUP(A122,[1]TDSheet!$A:$F,4,0)/22</f>
        <v>1.0636363636363635</v>
      </c>
      <c r="H122" s="19">
        <f t="shared" si="1"/>
        <v>4.6256410256410261</v>
      </c>
    </row>
    <row r="123" spans="1:8" ht="21.95" customHeight="1" x14ac:dyDescent="0.2">
      <c r="A123" s="9" t="s">
        <v>123</v>
      </c>
      <c r="B123" s="9"/>
      <c r="C123" s="9"/>
      <c r="D123" s="9"/>
      <c r="E123" s="4" t="s">
        <v>13</v>
      </c>
      <c r="F123" s="6">
        <v>4.875</v>
      </c>
      <c r="G123" s="19">
        <f>VLOOKUP(A123,[1]TDSheet!$A:$F,4,0)/22</f>
        <v>7.3863636363636367E-2</v>
      </c>
      <c r="H123" s="19">
        <f t="shared" si="1"/>
        <v>66</v>
      </c>
    </row>
    <row r="124" spans="1:8" ht="12.95" customHeight="1" x14ac:dyDescent="0.2">
      <c r="A124" s="10" t="s">
        <v>124</v>
      </c>
      <c r="B124" s="10"/>
      <c r="C124" s="10"/>
      <c r="D124" s="10"/>
      <c r="E124" s="10"/>
      <c r="F124" s="7">
        <v>68953.676999999996</v>
      </c>
    </row>
  </sheetData>
  <mergeCells count="118">
    <mergeCell ref="C6:F6"/>
    <mergeCell ref="A8:D9"/>
    <mergeCell ref="E8:E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22:D122"/>
    <mergeCell ref="A123:D123"/>
    <mergeCell ref="A124:E124"/>
    <mergeCell ref="A117:D117"/>
    <mergeCell ref="A118:D118"/>
    <mergeCell ref="A119:D119"/>
    <mergeCell ref="A120:D120"/>
    <mergeCell ref="A121:D121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2026-08-05T10:16:07Z</dcterms:modified>
</cp:coreProperties>
</file>