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"/>
    </mc:Choice>
  </mc:AlternateContent>
  <xr:revisionPtr revIDLastSave="0" documentId="13_ncr:1_{7CCD99FF-2D7C-4EF4-9D81-FC82F62016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0" i="1"/>
</calcChain>
</file>

<file path=xl/sharedStrings.xml><?xml version="1.0" encoding="utf-8"?>
<sst xmlns="http://schemas.openxmlformats.org/spreadsheetml/2006/main" count="234" uniqueCount="125">
  <si>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</si>
  <si>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</si>
  <si>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</si>
  <si>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</si>
  <si>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</si>
  <si>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</si>
  <si>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</si>
  <si>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</si>
  <si>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 xml:space="preserve"> 005  Колбаса Докторская ГОСТ, Вязанка вектор,ВЕС. ПОКОМ</t>
  </si>
  <si>
    <t>кг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</si>
  <si>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</si>
  <si>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</si>
  <si>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</si>
  <si>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</si>
  <si>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</si>
  <si>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</si>
  <si>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</si>
  <si>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</si>
  <si>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</si>
  <si>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</si>
  <si>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</si>
  <si>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</si>
  <si>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</si>
  <si>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</si>
  <si>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</si>
  <si>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</si>
  <si>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</si>
  <si>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</si>
  <si>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</si>
  <si>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</si>
  <si>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</si>
  <si>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</si>
  <si>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</si>
  <si>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</si>
  <si>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</si>
  <si>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</si>
  <si>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</si>
  <si>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</si>
  <si>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</si>
  <si>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</si>
  <si>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</si>
  <si>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</si>
  <si>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</si>
  <si>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</si>
  <si>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</si>
  <si>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</si>
  <si>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</si>
  <si>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</si>
  <si>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</si>
  <si>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</si>
  <si>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</si>
  <si>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</si>
  <si>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</si>
  <si>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</si>
  <si>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</si>
  <si>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</si>
  <si>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</si>
  <si>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</si>
  <si>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</si>
  <si>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</si>
  <si>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</si>
  <si>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</si>
  <si>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</si>
  <si>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</si>
  <si>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</si>
  <si>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</si>
  <si>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</si>
  <si>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</si>
  <si>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</si>
  <si>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</si>
  <si>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</si>
  <si>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</si>
  <si>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</si>
  <si>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</si>
  <si>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</si>
  <si>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</si>
  <si>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</si>
  <si>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</si>
  <si>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</si>
  <si>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</si>
  <si>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</si>
  <si>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</si>
  <si>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</si>
  <si>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</si>
  <si>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</si>
  <si>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</si>
  <si>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</si>
  <si>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</si>
  <si>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</si>
  <si>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</si>
  <si>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</si>
  <si>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</si>
  <si>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</si>
  <si>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</si>
  <si>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</si>
  <si>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</si>
  <si>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</si>
  <si>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</si>
  <si>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</si>
  <si>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</si>
  <si>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</si>
  <si>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</si>
  <si>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</si>
  <si>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</si>
  <si>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</si>
  <si>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</si>
  <si>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</si>
  <si>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</si>
  <si>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</si>
  <si>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</si>
  <si>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</si>
  <si>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</si>
  <si>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</si>
  <si>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</si>
  <si>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</si>
  <si>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</si>
  <si>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</si>
  <si>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</si>
  <si>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</si>
  <si>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ДУБЛЬ 285  Паштет печеночный со слив.маслом ТМ Стародворье ламистер 0,1 кг  ПОКОМ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</si>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</sst>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1" fontId="2" fillId="2" borderId="6" xfId="0" applyNumberFormat="1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87;&#1088;&#1086;&#1076;&#1072;&#1078;&#1080;%20&#1041;&#1077;&#1088;&#1076;&#1103;&#1085;&#1089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1005.222</v>
          </cell>
          <cell r="G7">
            <v>1005.222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1247.009</v>
          </cell>
          <cell r="G8">
            <v>1247.009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1516.7070000000001</v>
          </cell>
          <cell r="G9">
            <v>1516.7070000000001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1066.5</v>
          </cell>
          <cell r="G10">
            <v>2370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1207.8</v>
          </cell>
          <cell r="G11">
            <v>2684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63.41</v>
          </cell>
          <cell r="G12">
            <v>373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144.6</v>
          </cell>
          <cell r="G13">
            <v>482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93.67</v>
          </cell>
          <cell r="G14">
            <v>551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2048.4340000000002</v>
          </cell>
          <cell r="G15">
            <v>2048.4340000000002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8814.1720000000005</v>
          </cell>
          <cell r="G16">
            <v>8814.1720000000005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301.64100000000002</v>
          </cell>
          <cell r="G17">
            <v>301.64100000000002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14.525</v>
          </cell>
          <cell r="G18">
            <v>14.525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109.777</v>
          </cell>
          <cell r="G19">
            <v>109.777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65.328999999999994</v>
          </cell>
          <cell r="G20">
            <v>65.328999999999994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1659.2429999999999</v>
          </cell>
          <cell r="G21">
            <v>1659.2429999999999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453.08600000000001</v>
          </cell>
          <cell r="G22">
            <v>453.08600000000001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816.80899999999997</v>
          </cell>
          <cell r="G23">
            <v>816.80899999999997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83.549000000000007</v>
          </cell>
          <cell r="G24">
            <v>83.549000000000007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884.44500000000005</v>
          </cell>
          <cell r="G25">
            <v>884.44500000000005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111.77500000000001</v>
          </cell>
          <cell r="G26">
            <v>111.77500000000001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772.46299999999997</v>
          </cell>
          <cell r="G27">
            <v>772.46299999999997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754.94399999999996</v>
          </cell>
          <cell r="G28">
            <v>754.94399999999996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3412.4859999999999</v>
          </cell>
          <cell r="G29">
            <v>3412.4859999999999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23.36</v>
          </cell>
          <cell r="G30">
            <v>23.36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237.50899999999999</v>
          </cell>
          <cell r="G31">
            <v>237.50899999999999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411.89499999999998</v>
          </cell>
          <cell r="G32">
            <v>411.89499999999998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D33" t="str">
            <v>00-00006480</v>
          </cell>
          <cell r="F33">
            <v>300.50700000000001</v>
          </cell>
          <cell r="G33">
            <v>300.50700000000001</v>
          </cell>
        </row>
        <row r="34">
          <cell r="A34" t="str">
            <v xml:space="preserve"> 273  Сосиски Сочинки с сочной грудинкой, МГС 0.4кг,   ПОКОМ</v>
          </cell>
          <cell r="D34" t="str">
            <v>00-00007884</v>
          </cell>
          <cell r="F34">
            <v>2788.6060000000002</v>
          </cell>
          <cell r="G34">
            <v>6971.5150000000003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D35" t="str">
            <v>00-00007904</v>
          </cell>
          <cell r="F35">
            <v>648.45000000000005</v>
          </cell>
          <cell r="G35">
            <v>1441</v>
          </cell>
        </row>
        <row r="36">
          <cell r="A36" t="str">
            <v xml:space="preserve"> 278  Сосиски Сочинки с сочным окороком, МГС 0.4кг,   ПОКОМ</v>
          </cell>
          <cell r="D36" t="str">
            <v>00-00008111</v>
          </cell>
          <cell r="F36">
            <v>1034.4000000000001</v>
          </cell>
          <cell r="G36">
            <v>2586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D37" t="str">
            <v>00-00008552</v>
          </cell>
          <cell r="F37">
            <v>176</v>
          </cell>
          <cell r="G37">
            <v>440</v>
          </cell>
        </row>
        <row r="38">
          <cell r="A38" t="str">
            <v xml:space="preserve"> 283  Сосиски Сочинки, ВЕС, ТМ Стародворье ПОКОМ</v>
          </cell>
          <cell r="D38" t="str">
            <v>00-00007182</v>
          </cell>
          <cell r="F38">
            <v>96.975999999999999</v>
          </cell>
          <cell r="G38">
            <v>96.975999999999999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 t="str">
            <v>00-00008448</v>
          </cell>
          <cell r="F39">
            <v>40</v>
          </cell>
          <cell r="G39">
            <v>400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 t="str">
            <v>00-00007883</v>
          </cell>
          <cell r="F40">
            <v>141.4</v>
          </cell>
          <cell r="G40">
            <v>404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 t="str">
            <v>00-00007882</v>
          </cell>
          <cell r="F41">
            <v>157.952</v>
          </cell>
          <cell r="G41">
            <v>157.952</v>
          </cell>
        </row>
        <row r="42">
          <cell r="A42" t="str">
            <v xml:space="preserve"> 298  Колбаса Сливушка ТМ Вязанка, 0,375кг,  ПОКОМ</v>
          </cell>
          <cell r="D42" t="str">
            <v>00-00009312</v>
          </cell>
          <cell r="F42">
            <v>43.5</v>
          </cell>
          <cell r="G42">
            <v>116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 t="str">
            <v>00-00007885</v>
          </cell>
          <cell r="F43">
            <v>180.4</v>
          </cell>
          <cell r="G43">
            <v>451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 t="str">
            <v>00-00007886</v>
          </cell>
          <cell r="F44">
            <v>236</v>
          </cell>
          <cell r="G44">
            <v>590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 t="str">
            <v>00-00008651</v>
          </cell>
          <cell r="F45">
            <v>411.64800000000002</v>
          </cell>
          <cell r="G45">
            <v>411.64800000000002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D46" t="str">
            <v>00-00008268</v>
          </cell>
          <cell r="F46">
            <v>354.9</v>
          </cell>
          <cell r="G46">
            <v>1014</v>
          </cell>
        </row>
        <row r="47">
          <cell r="A47" t="str">
            <v xml:space="preserve"> 309  Сосиски Сочинки с сыром 0,4 кг ТМ Стародворье  ПОКОМ</v>
          </cell>
          <cell r="D47" t="str">
            <v>00-00008169</v>
          </cell>
          <cell r="F47">
            <v>359.2</v>
          </cell>
          <cell r="G47">
            <v>898</v>
          </cell>
        </row>
        <row r="48">
          <cell r="A48" t="str">
            <v xml:space="preserve"> 312  Ветчина Филейская ВЕС ТМ  Вязанка ТС Столичная  ПОКОМ</v>
          </cell>
          <cell r="D48" t="str">
            <v>00-00007957</v>
          </cell>
          <cell r="F48">
            <v>356.83499999999998</v>
          </cell>
          <cell r="G48">
            <v>356.83499999999998</v>
          </cell>
        </row>
        <row r="49">
          <cell r="A49" t="str">
            <v xml:space="preserve"> 315  Колбаса вареная Молокуша ТМ Вязанка ВЕС, ПОКОМ</v>
          </cell>
          <cell r="D49" t="str">
            <v>00-00008011</v>
          </cell>
          <cell r="F49">
            <v>581.74199999999996</v>
          </cell>
          <cell r="G49">
            <v>581.74199999999996</v>
          </cell>
        </row>
        <row r="50">
          <cell r="A50" t="str">
            <v xml:space="preserve"> 318  Сосиски Датские ТМ Зареченские, ВЕС  ПОКОМ</v>
          </cell>
          <cell r="D50" t="str">
            <v>00-00008108</v>
          </cell>
          <cell r="F50">
            <v>423.46699999999998</v>
          </cell>
          <cell r="G50">
            <v>423.46699999999998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D51" t="str">
            <v>00-00008110</v>
          </cell>
          <cell r="F51">
            <v>303.3</v>
          </cell>
          <cell r="G51">
            <v>674</v>
          </cell>
        </row>
        <row r="52">
          <cell r="A52" t="str">
            <v xml:space="preserve"> 322  Колбаса вареная Молокуша 0,45кг ТМ Вязанка  ПОКОМ</v>
          </cell>
          <cell r="D52" t="str">
            <v>00-00008752</v>
          </cell>
          <cell r="F52">
            <v>473.4</v>
          </cell>
          <cell r="G52">
            <v>1052</v>
          </cell>
        </row>
        <row r="53">
          <cell r="A53" t="str">
            <v xml:space="preserve"> 328  Сардельки Сочинки Стародворье ТМ  0,4 кг ПОКОМ</v>
          </cell>
          <cell r="D53" t="str">
            <v>00-00008901</v>
          </cell>
          <cell r="F53">
            <v>34.799999999999997</v>
          </cell>
          <cell r="G53">
            <v>87</v>
          </cell>
        </row>
        <row r="54">
          <cell r="A54" t="str">
            <v xml:space="preserve"> 329  Сардельки Сочинки с сыром Стародворье ТМ, 0,4 кг. ПОКОМ</v>
          </cell>
          <cell r="D54" t="str">
            <v>00-00008517</v>
          </cell>
          <cell r="F54">
            <v>91.6</v>
          </cell>
          <cell r="G54">
            <v>229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D55" t="str">
            <v>00-00008056</v>
          </cell>
          <cell r="F55">
            <v>248.12899999999999</v>
          </cell>
          <cell r="G55">
            <v>248.12899999999999</v>
          </cell>
        </row>
        <row r="56">
          <cell r="A56" t="str">
            <v xml:space="preserve"> 334  Паштет Любительский ТМ Стародворье ламистер 0,1 кг  ПОКОМ</v>
          </cell>
          <cell r="D56" t="str">
            <v>00-00009323</v>
          </cell>
          <cell r="F56">
            <v>25.5</v>
          </cell>
          <cell r="G56">
            <v>255</v>
          </cell>
        </row>
        <row r="57">
          <cell r="A57" t="str">
            <v xml:space="preserve"> 335  Колбаса Сливушка ТМ Вязанка. ВЕС.  ПОКОМ </v>
          </cell>
          <cell r="D57" t="str">
            <v>00-00008855</v>
          </cell>
          <cell r="F57">
            <v>602.97500000000002</v>
          </cell>
          <cell r="G57">
            <v>602.97500000000002</v>
          </cell>
        </row>
        <row r="58">
          <cell r="A58" t="str">
            <v xml:space="preserve"> 336  Ветчина Сливушка с индейкой ТМ Вязанка. ВЕС  ПОКОМ</v>
          </cell>
          <cell r="D58" t="str">
            <v>00-00008856</v>
          </cell>
          <cell r="F58">
            <v>147.251</v>
          </cell>
          <cell r="G58">
            <v>147.251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D59" t="str">
            <v>00-00009324</v>
          </cell>
          <cell r="F59">
            <v>30.6</v>
          </cell>
          <cell r="G59">
            <v>306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D60" t="str">
            <v>00-00008397</v>
          </cell>
          <cell r="F60">
            <v>16</v>
          </cell>
          <cell r="G60">
            <v>40</v>
          </cell>
        </row>
        <row r="61">
          <cell r="A61" t="str">
            <v xml:space="preserve"> 340  Сосиски Сочинки Молочные ТМ Стародворье, ВЕС ПОКОМ</v>
          </cell>
          <cell r="D61" t="str">
            <v>00-ko009080</v>
          </cell>
          <cell r="F61">
            <v>299.63200000000001</v>
          </cell>
          <cell r="G61">
            <v>299.63200000000001</v>
          </cell>
        </row>
        <row r="62">
          <cell r="A62" t="str">
            <v xml:space="preserve"> 341 Сосиски Сочинки Сливочные ТМ Стародворье ВЕС ПОКОМ</v>
          </cell>
          <cell r="D62" t="str">
            <v>00-00000799</v>
          </cell>
          <cell r="F62">
            <v>114.464</v>
          </cell>
          <cell r="G62">
            <v>114.464</v>
          </cell>
        </row>
        <row r="63">
          <cell r="A63" t="str">
            <v xml:space="preserve"> 342 Сосиски Сочинки Молочные ТМ Стародворье 0,4 кг ПОКОМ</v>
          </cell>
          <cell r="D63" t="str">
            <v>00-00008857</v>
          </cell>
          <cell r="F63">
            <v>652.79999999999995</v>
          </cell>
          <cell r="G63">
            <v>1632</v>
          </cell>
        </row>
        <row r="64">
          <cell r="A64" t="str">
            <v xml:space="preserve"> 343 Сосиски Сочинки Сливочные ТМ Стародворье  0,4 кг ПОКОМ</v>
          </cell>
          <cell r="D64" t="str">
            <v>00-00008858</v>
          </cell>
          <cell r="F64">
            <v>450.4</v>
          </cell>
          <cell r="G64">
            <v>1126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 t="str">
            <v>00-00008906</v>
          </cell>
          <cell r="F65">
            <v>607.41700000000003</v>
          </cell>
          <cell r="G65">
            <v>607.41700000000003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 t="str">
            <v>00-00008907</v>
          </cell>
          <cell r="F66">
            <v>560.32500000000005</v>
          </cell>
          <cell r="G66">
            <v>560.32500000000005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 t="str">
            <v>00-ko009147</v>
          </cell>
          <cell r="F67">
            <v>1439.6959999999999</v>
          </cell>
          <cell r="G67">
            <v>1439.6959999999999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 t="str">
            <v>00-00009321</v>
          </cell>
          <cell r="F68">
            <v>697.53499999999997</v>
          </cell>
          <cell r="G68">
            <v>697.53499999999997</v>
          </cell>
        </row>
        <row r="69">
          <cell r="A69" t="str">
            <v xml:space="preserve"> 364  Сардельки Филейские Вязанка ВЕС NDX ТМ Вязанка  ПОКОМ</v>
          </cell>
          <cell r="D69" t="str">
            <v>00-00008656</v>
          </cell>
          <cell r="F69">
            <v>664.68899999999996</v>
          </cell>
          <cell r="G69">
            <v>664.68899999999996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D70" t="str">
            <v>00-00009081</v>
          </cell>
          <cell r="F70">
            <v>242.4</v>
          </cell>
          <cell r="G70">
            <v>404</v>
          </cell>
        </row>
        <row r="71">
          <cell r="A71" t="str">
            <v xml:space="preserve"> 377  Колбаса Молочная Дугушка 0,6кг ТМ Стародворье  ПОКОМ</v>
          </cell>
          <cell r="D71" t="str">
            <v>00-ko009847</v>
          </cell>
          <cell r="F71">
            <v>395.4</v>
          </cell>
          <cell r="G71">
            <v>659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D72" t="str">
            <v>00-00009009</v>
          </cell>
          <cell r="F72">
            <v>160</v>
          </cell>
          <cell r="G72">
            <v>400</v>
          </cell>
        </row>
        <row r="73">
          <cell r="A73" t="str">
            <v xml:space="preserve"> 388  Сосиски Восточные Халяль ТМ Вязанка 0,33 кг АК. ПОКОМ</v>
          </cell>
          <cell r="D73" t="str">
            <v>00-00009010</v>
          </cell>
          <cell r="F73">
            <v>190.41</v>
          </cell>
          <cell r="G73">
            <v>577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D74" t="str">
            <v>00-ko011455</v>
          </cell>
          <cell r="F74">
            <v>184.45</v>
          </cell>
          <cell r="G74">
            <v>527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D75" t="str">
            <v>00-00009084</v>
          </cell>
          <cell r="F75">
            <v>133.80000000000001</v>
          </cell>
          <cell r="G75">
            <v>223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 t="str">
            <v>00-00009325</v>
          </cell>
          <cell r="F76">
            <v>73.260000000000005</v>
          </cell>
          <cell r="G76">
            <v>222</v>
          </cell>
        </row>
        <row r="77">
          <cell r="A77" t="str">
            <v xml:space="preserve"> 408  Ветчина Сливушка с индейкой ТМ Вязанка, 0,4кг  ПОКОМ</v>
          </cell>
          <cell r="D77" t="str">
            <v>00-00009082</v>
          </cell>
          <cell r="F77">
            <v>65.2</v>
          </cell>
          <cell r="G77">
            <v>163</v>
          </cell>
        </row>
        <row r="78">
          <cell r="A78" t="str">
            <v xml:space="preserve"> 410  Сосиски Баварские с сыром ТМ Стародворье 0,35 кг. ПОКОМ</v>
          </cell>
          <cell r="D78" t="str">
            <v>00-ko009100</v>
          </cell>
          <cell r="F78">
            <v>34.299999999999997</v>
          </cell>
          <cell r="G78">
            <v>98</v>
          </cell>
        </row>
        <row r="79">
          <cell r="A79" t="str">
            <v xml:space="preserve"> 412  Сосиски Баварские ТМ Стародворье 0,35 кг ПОКОМ</v>
          </cell>
          <cell r="D79" t="str">
            <v>00-ko009128</v>
          </cell>
          <cell r="F79">
            <v>187.25</v>
          </cell>
          <cell r="G79">
            <v>535</v>
          </cell>
        </row>
        <row r="80">
          <cell r="A80" t="str">
            <v xml:space="preserve"> 449  Колбаса Дугушка Стародворская ВЕС ТС Дугушка ПОКОМ</v>
          </cell>
          <cell r="D80" t="str">
            <v>00-ko009715</v>
          </cell>
          <cell r="F80">
            <v>839.42600000000004</v>
          </cell>
          <cell r="G80">
            <v>839.42600000000004</v>
          </cell>
        </row>
        <row r="81">
          <cell r="A81" t="str">
            <v xml:space="preserve"> 452  Колбаса Со шпиком ВЕС большой батон ТМ Особый рецепт  ПОКОМ</v>
          </cell>
          <cell r="D81" t="str">
            <v>00-ko009574</v>
          </cell>
          <cell r="F81">
            <v>5984.5450000000001</v>
          </cell>
          <cell r="G81">
            <v>5984.5450000000001</v>
          </cell>
        </row>
        <row r="82">
          <cell r="A82" t="str">
            <v xml:space="preserve"> 456  Колбаса Филейная ТМ Особый рецепт ВЕС большой батон  ПОКОМ</v>
          </cell>
          <cell r="D82" t="str">
            <v>00-ko009644</v>
          </cell>
          <cell r="F82">
            <v>4428.0169999999998</v>
          </cell>
          <cell r="G82">
            <v>4428.0169999999998</v>
          </cell>
        </row>
        <row r="83">
          <cell r="A83" t="str">
            <v xml:space="preserve"> 457  Колбаса Молочная ТМ Особый рецепт ВЕС большой батон  ПОКОМ</v>
          </cell>
          <cell r="D83" t="str">
            <v>00-ko009646</v>
          </cell>
          <cell r="F83">
            <v>8407.64</v>
          </cell>
          <cell r="G83">
            <v>8407.64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D84" t="str">
            <v>00-ko010045</v>
          </cell>
          <cell r="F84">
            <v>127.2</v>
          </cell>
          <cell r="G84">
            <v>424</v>
          </cell>
        </row>
        <row r="85">
          <cell r="A85" t="str">
            <v xml:space="preserve"> 523  Колбаса Сальчичон нарезка 0,07кг ТМ Стародворье  ПОКОМ </v>
          </cell>
          <cell r="D85" t="str">
            <v>00-ko011123</v>
          </cell>
          <cell r="F85">
            <v>20.51</v>
          </cell>
          <cell r="G85">
            <v>293</v>
          </cell>
        </row>
        <row r="86">
          <cell r="A86" t="str">
            <v xml:space="preserve"> 524  Колбаса Сервелат Ореховый нарезка 0,07кг ТМ Стародворье  ПОКОМ</v>
          </cell>
          <cell r="D86" t="str">
            <v>00-ko011142</v>
          </cell>
          <cell r="F86">
            <v>25.69</v>
          </cell>
          <cell r="G86">
            <v>367</v>
          </cell>
        </row>
        <row r="87">
          <cell r="A87" t="str">
            <v xml:space="preserve"> 525  Колбаса Фуэт нарезка 0,07кг ТМ Стародворье  ПОКОМ</v>
          </cell>
          <cell r="D87" t="str">
            <v>00-ko011128</v>
          </cell>
          <cell r="F87">
            <v>18.41</v>
          </cell>
          <cell r="G87">
            <v>263</v>
          </cell>
        </row>
        <row r="88">
          <cell r="A88" t="str">
            <v xml:space="preserve"> 526  Корейка вяленая выдержанная нарезка 0,05кг ТМ Стародворье  ПОКОМ</v>
          </cell>
          <cell r="D88" t="str">
            <v>00-ko011127</v>
          </cell>
          <cell r="F88">
            <v>13.35</v>
          </cell>
          <cell r="G88">
            <v>267</v>
          </cell>
        </row>
        <row r="89">
          <cell r="A89" t="str">
            <v xml:space="preserve"> 527  Окорок Прошутто выдержанный нарезка 0,055кг ТМ Стародворье  ПОКОМ</v>
          </cell>
          <cell r="D89" t="str">
            <v>00-ko011193</v>
          </cell>
          <cell r="F89">
            <v>-5.5E-2</v>
          </cell>
          <cell r="G89">
            <v>-1</v>
          </cell>
        </row>
        <row r="90">
          <cell r="A90" t="str">
            <v xml:space="preserve"> 530  Окорок Хамон выдержанный нарезка 0,055кг ТМ Стародворье  ПОКОМ</v>
          </cell>
          <cell r="D90" t="str">
            <v>00-ko011124</v>
          </cell>
          <cell r="F90">
            <v>4.4000000000000004</v>
          </cell>
          <cell r="G90">
            <v>80</v>
          </cell>
        </row>
        <row r="91">
          <cell r="A91" t="str">
            <v xml:space="preserve"> 547  Колбаса Мясная Классическая ТМ Вязанка в оболочке полиамид. ВЕС  ПОКОМ</v>
          </cell>
          <cell r="D91" t="str">
            <v>00-ko011537</v>
          </cell>
          <cell r="F91">
            <v>64.766999999999996</v>
          </cell>
          <cell r="G91">
            <v>64.766999999999996</v>
          </cell>
        </row>
        <row r="92">
          <cell r="A92" t="str">
            <v xml:space="preserve"> 551  Колбаса Сливушка ТМ Вязанка в модифицированной газовой среде 0,11 кг нарезка  ПОКОМ</v>
          </cell>
          <cell r="D92" t="str">
            <v>00-ko011465</v>
          </cell>
          <cell r="F92">
            <v>1.76</v>
          </cell>
          <cell r="G92">
            <v>16</v>
          </cell>
        </row>
        <row r="93">
          <cell r="A93" t="str">
            <v xml:space="preserve"> 553  Ассорти колбас Мясорубская коллекция: Сервелат Делюкс, С балыком 0,08 кг нарезка  ПОКОМ</v>
          </cell>
          <cell r="D93" t="str">
            <v>00-ko011467</v>
          </cell>
          <cell r="F93">
            <v>28.8</v>
          </cell>
          <cell r="G93">
            <v>360</v>
          </cell>
        </row>
        <row r="94">
          <cell r="A94" t="str">
            <v xml:space="preserve"> 554  Колбаса Сервелат Мясорубский ТМ Стародворье в упаковке скин 0,08 кг нарезка  ПОКОМ</v>
          </cell>
          <cell r="D94" t="str">
            <v>00-ko011468</v>
          </cell>
          <cell r="F94">
            <v>21.68</v>
          </cell>
          <cell r="G94">
            <v>271</v>
          </cell>
        </row>
        <row r="95">
          <cell r="A95" t="str">
            <v xml:space="preserve"> 555  Колбаса Молокуша ТМ Вязанка в модифицированной газовой среде 0,17 кг нарезка  ПОКОМ</v>
          </cell>
          <cell r="D95" t="str">
            <v>00-ko011464</v>
          </cell>
          <cell r="F95">
            <v>1.02</v>
          </cell>
          <cell r="G95">
            <v>6</v>
          </cell>
        </row>
        <row r="96">
          <cell r="A96" t="str">
            <v xml:space="preserve"> 556  Колбаса Сервелат Ореховый ТМ Вязанка в оболочке фиброуз в вакуумной упаковке, ВЕС  ПОКОМ</v>
          </cell>
          <cell r="D96" t="str">
            <v>00-ko011536</v>
          </cell>
          <cell r="F96">
            <v>544.04600000000005</v>
          </cell>
          <cell r="G96">
            <v>544.04600000000005</v>
          </cell>
        </row>
        <row r="97">
          <cell r="A97" t="str">
            <v xml:space="preserve"> 557  Колбаса Сервелат Финский ТМ Вязанка в оболочке фиброуз в вакуумной упаковке, ВЕС  ПОКОМ</v>
          </cell>
          <cell r="D97" t="str">
            <v>00-ko011534</v>
          </cell>
          <cell r="F97">
            <v>428.15699999999998</v>
          </cell>
          <cell r="G97">
            <v>428.15699999999998</v>
          </cell>
        </row>
        <row r="98">
          <cell r="A98" t="str">
            <v xml:space="preserve"> 558  Колбаса Балыковая НОВАЯ ВЕС Вязанка фиброуз в/у ПОКОМ</v>
          </cell>
          <cell r="D98" t="str">
            <v>00-ko011531</v>
          </cell>
          <cell r="F98">
            <v>424.76900000000001</v>
          </cell>
          <cell r="G98">
            <v>424.76900000000001</v>
          </cell>
        </row>
        <row r="99">
          <cell r="A99" t="str">
            <v xml:space="preserve"> 569  Колбаса Балыковая ТМ Вязанка в оболочке фиброуз в вакуумной упаковке 0,28 кг срез.  ПОКОМ</v>
          </cell>
          <cell r="D99" t="str">
            <v>00-ko011578</v>
          </cell>
          <cell r="F99">
            <v>249.76</v>
          </cell>
          <cell r="G99">
            <v>892</v>
          </cell>
        </row>
        <row r="100">
          <cell r="A100" t="str">
            <v xml:space="preserve"> 570  Колбаса Сервелат Финский ТМ Вязанка в оболочке фиброуз в вак. упаковке 0,28 кг срез  ПОКОМ</v>
          </cell>
          <cell r="D100" t="str">
            <v>00-ko011690</v>
          </cell>
          <cell r="F100">
            <v>122.64</v>
          </cell>
          <cell r="G100">
            <v>438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D101" t="str">
            <v>00-ko011580</v>
          </cell>
          <cell r="F101">
            <v>236.32</v>
          </cell>
          <cell r="G101">
            <v>844</v>
          </cell>
        </row>
        <row r="102">
          <cell r="A102" t="str">
            <v xml:space="preserve"> 574  Колбаса Сервелат Финский ТМ Вязанка в упаковке скин 0,09 кг нарезка  ПОКОМ</v>
          </cell>
          <cell r="D102" t="str">
            <v>00-ko011712</v>
          </cell>
          <cell r="F102">
            <v>9.99</v>
          </cell>
          <cell r="G102">
            <v>111</v>
          </cell>
        </row>
        <row r="103">
          <cell r="A103" t="str">
            <v xml:space="preserve"> 579  Колбаса Ветчинно-рубленая ТМ Особый рецепт в оболочке полиамид.ВЕС  ПОКОМ</v>
          </cell>
          <cell r="D103" t="str">
            <v>00-ko011582</v>
          </cell>
          <cell r="F103">
            <v>271.68599999999998</v>
          </cell>
          <cell r="G103">
            <v>271.68599999999998</v>
          </cell>
        </row>
        <row r="104">
          <cell r="A104" t="str">
            <v xml:space="preserve"> 580  Ветчина Нежная с индейкой ТМ Особый рецепт в оболочке полиамид.ВЕС  ПОКОМ</v>
          </cell>
          <cell r="D104" t="str">
            <v>00-ko011583</v>
          </cell>
          <cell r="F104">
            <v>334.36700000000002</v>
          </cell>
          <cell r="G104">
            <v>334.36700000000002</v>
          </cell>
        </row>
        <row r="105">
          <cell r="A105" t="str">
            <v xml:space="preserve"> 583  Колбаса Балыковая ТМ Вязанка в упаковке скин 0,09 кг нарезка  ПОКОМ</v>
          </cell>
          <cell r="D105" t="str">
            <v>00-ko011711</v>
          </cell>
          <cell r="F105">
            <v>10.71</v>
          </cell>
          <cell r="G105">
            <v>119</v>
          </cell>
        </row>
        <row r="106">
          <cell r="A106" t="str">
            <v xml:space="preserve"> 584  Колбаса Сервелат Ореховый ТМ Вязанка в упаковке скин 0,09 кг нарезка  ПОКОМ</v>
          </cell>
          <cell r="D106" t="str">
            <v>00-ko011713</v>
          </cell>
          <cell r="F106">
            <v>9.7200000000000006</v>
          </cell>
          <cell r="G106">
            <v>108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D107" t="str">
            <v>00-ko011661</v>
          </cell>
          <cell r="F107">
            <v>247.88800000000001</v>
          </cell>
          <cell r="G107">
            <v>247.88800000000001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D108" t="str">
            <v>00-ko011581</v>
          </cell>
          <cell r="F108">
            <v>574.86800000000005</v>
          </cell>
          <cell r="G108">
            <v>574.86800000000005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D109" t="str">
            <v>00-ko011611</v>
          </cell>
          <cell r="F109">
            <v>112.605</v>
          </cell>
          <cell r="G109">
            <v>112.605</v>
          </cell>
        </row>
        <row r="110">
          <cell r="A110" t="str">
            <v xml:space="preserve"> 597  Колбаса Классическая ТМ Особый рецепт в оболочке полиамид ВЕС. ПОКОМ</v>
          </cell>
          <cell r="D110" t="str">
            <v>00-ko011707</v>
          </cell>
          <cell r="F110">
            <v>3574.2739999999999</v>
          </cell>
          <cell r="G110">
            <v>3574.2739999999999</v>
          </cell>
        </row>
        <row r="111">
          <cell r="A111" t="str">
            <v xml:space="preserve"> 614  Буженина в пряном маринаде 0,25 кг консервы из мяса индейки ТМ Стародворье  ПОКОМ</v>
          </cell>
          <cell r="D111" t="str">
            <v>00-ko011745</v>
          </cell>
          <cell r="F111">
            <v>40.25</v>
          </cell>
          <cell r="G111">
            <v>161</v>
          </cell>
        </row>
        <row r="112">
          <cell r="A112" t="str">
            <v xml:space="preserve"> 615  Гречка по-купечески с говядиной и овощами 0,325кг ТМ Стародворье  ПОКОМ</v>
          </cell>
          <cell r="D112" t="str">
            <v>00-ko011746</v>
          </cell>
          <cell r="F112">
            <v>24.05</v>
          </cell>
          <cell r="G112">
            <v>74</v>
          </cell>
        </row>
        <row r="113">
          <cell r="A113" t="str">
            <v xml:space="preserve"> 616  Индейка томлёная в собственном соку 0,25кг ТМ Стародлворье Консервый из мяс.птицы  ПОКОМ</v>
          </cell>
          <cell r="D113" t="str">
            <v>00-ko011747</v>
          </cell>
          <cell r="F113">
            <v>40.75</v>
          </cell>
          <cell r="G113">
            <v>163</v>
          </cell>
        </row>
        <row r="114">
          <cell r="A114" t="str">
            <v>495  Колбаса Сочинка по-европейски с сочной грудинкой 0,3кг ТМ Стародворье  ПОКОМ</v>
          </cell>
          <cell r="D114" t="str">
            <v>00-ko010043</v>
          </cell>
          <cell r="F114">
            <v>227.4</v>
          </cell>
          <cell r="G114">
            <v>758</v>
          </cell>
        </row>
        <row r="115">
          <cell r="A115" t="str">
            <v>496  Колбаса Сочинка по-фински с сочным окроком 0,3кг ТМ Стародворье  ПОКОМ</v>
          </cell>
          <cell r="D115" t="str">
            <v>00-ko010044</v>
          </cell>
          <cell r="F115">
            <v>154.80000000000001</v>
          </cell>
          <cell r="G115">
            <v>516</v>
          </cell>
        </row>
        <row r="116">
          <cell r="A116" t="str">
            <v>503 Колбаса Филейская со шпиком ТМ Вязанка в оболочке полиамид.ПОКОМ</v>
          </cell>
          <cell r="D116" t="str">
            <v>00-ko010042</v>
          </cell>
          <cell r="F116">
            <v>62.881999999999998</v>
          </cell>
          <cell r="G116">
            <v>62.881999999999998</v>
          </cell>
        </row>
        <row r="117">
          <cell r="A117" t="str">
            <v>515  Колбаса Сервелат Мясорубский Делюкс 0,3кг ТМ Стародворье  ПОКОМ</v>
          </cell>
          <cell r="D117" t="str">
            <v>00-ko010491</v>
          </cell>
          <cell r="F117">
            <v>104.4</v>
          </cell>
          <cell r="G117">
            <v>348</v>
          </cell>
        </row>
        <row r="118">
          <cell r="A118" t="str">
            <v>519  Грудинка 0,12 кг нарезка ТМ Стародворье  ПОКОМ</v>
          </cell>
          <cell r="D118" t="str">
            <v>00-ko010568</v>
          </cell>
          <cell r="F118">
            <v>20.04</v>
          </cell>
          <cell r="G118">
            <v>167</v>
          </cell>
        </row>
        <row r="119">
          <cell r="A119" t="str">
            <v>БОНУС_615  Гречка по-купечески с говядиной и овощами 0,325кг ТМ Стародворье  ПОКОМ</v>
          </cell>
          <cell r="D119" t="str">
            <v>00-ko011755</v>
          </cell>
          <cell r="F119">
            <v>1.625</v>
          </cell>
          <cell r="G119">
            <v>5</v>
          </cell>
        </row>
        <row r="120">
          <cell r="A120" t="str">
            <v>Итого</v>
          </cell>
          <cell r="F120">
            <v>72594.482999999993</v>
          </cell>
          <cell r="G120">
            <v>96786.072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U11" sqref="U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14" style="1" customWidth="1"/>
    <col min="7" max="8" width="10.5" style="9"/>
  </cols>
  <sheetData>
    <row r="1" spans="1:8" s="1" customFormat="1" ht="9.9499999999999993" customHeight="1" x14ac:dyDescent="0.2">
      <c r="G1" s="11"/>
      <c r="H1" s="11"/>
    </row>
    <row r="2" spans="1:8" ht="24.95" customHeight="1" x14ac:dyDescent="0.2">
      <c r="A2" s="2" t="s">
        <v>0</v>
      </c>
      <c r="B2" s="2"/>
      <c r="C2" s="2"/>
    </row>
    <row r="3" spans="1:8" s="1" customFormat="1" ht="9.9499999999999993" customHeight="1" x14ac:dyDescent="0.2">
      <c r="G3" s="11"/>
      <c r="H3" s="11"/>
    </row>
    <row r="4" spans="1:8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8" ht="12.95" customHeight="1" outlineLevel="1" x14ac:dyDescent="0.2">
      <c r="C5" s="3" t="s">
        <v>3</v>
      </c>
      <c r="D5" s="3"/>
      <c r="E5" s="3"/>
    </row>
    <row r="6" spans="1:8" ht="26.1" customHeight="1" outlineLevel="1" x14ac:dyDescent="0.2">
      <c r="A6" s="3" t="s">
        <v>4</v>
      </c>
      <c r="B6" s="3"/>
      <c r="C6" s="15" t="s">
        <v>5</v>
      </c>
      <c r="D6" s="16"/>
      <c r="E6" s="16"/>
      <c r="F6" s="15"/>
    </row>
    <row r="7" spans="1:8" s="1" customFormat="1" ht="9.9499999999999993" customHeight="1" x14ac:dyDescent="0.2">
      <c r="G7" s="11"/>
      <c r="H7" s="11"/>
    </row>
    <row r="8" spans="1:8" ht="12.95" customHeight="1" x14ac:dyDescent="0.2">
      <c r="A8" s="17" t="s">
        <v>6</v>
      </c>
      <c r="B8" s="17"/>
      <c r="C8" s="17"/>
      <c r="D8" s="17"/>
      <c r="E8" s="17" t="s">
        <v>7</v>
      </c>
      <c r="F8" s="4" t="s">
        <v>121</v>
      </c>
      <c r="G8" s="12" t="s">
        <v>121</v>
      </c>
    </row>
    <row r="9" spans="1:8" ht="41.25" customHeight="1" x14ac:dyDescent="0.2">
      <c r="A9" s="18"/>
      <c r="B9" s="19"/>
      <c r="C9" s="19"/>
      <c r="D9" s="20"/>
      <c r="E9" s="21"/>
      <c r="F9" s="4" t="s">
        <v>122</v>
      </c>
      <c r="G9" s="12" t="s">
        <v>123</v>
      </c>
      <c r="H9" s="10" t="s">
        <v>124</v>
      </c>
    </row>
    <row r="10" spans="1:8" ht="11.1" customHeight="1" x14ac:dyDescent="0.2">
      <c r="A10" s="13" t="s">
        <v>8</v>
      </c>
      <c r="B10" s="13"/>
      <c r="C10" s="13"/>
      <c r="D10" s="13"/>
      <c r="E10" s="5" t="s">
        <v>9</v>
      </c>
      <c r="F10" s="6">
        <v>378.31299999999999</v>
      </c>
      <c r="G10" s="9">
        <f>VLOOKUP(A10,[1]TDSheet!$A:$G,6,0)/22</f>
        <v>45.691909090909093</v>
      </c>
      <c r="H10" s="9">
        <f>F10/G10</f>
        <v>8.2796496694262558</v>
      </c>
    </row>
    <row r="11" spans="1:8" ht="11.1" customHeight="1" x14ac:dyDescent="0.2">
      <c r="A11" s="13" t="s">
        <v>10</v>
      </c>
      <c r="B11" s="13"/>
      <c r="C11" s="13"/>
      <c r="D11" s="13"/>
      <c r="E11" s="5" t="s">
        <v>9</v>
      </c>
      <c r="F11" s="6">
        <v>8</v>
      </c>
      <c r="H11" s="9" t="e">
        <f t="shared" ref="H11:H74" si="0">F11/G11</f>
        <v>#DIV/0!</v>
      </c>
    </row>
    <row r="12" spans="1:8" ht="11.1" customHeight="1" x14ac:dyDescent="0.2">
      <c r="A12" s="13" t="s">
        <v>11</v>
      </c>
      <c r="B12" s="13"/>
      <c r="C12" s="13"/>
      <c r="D12" s="13"/>
      <c r="E12" s="5" t="s">
        <v>9</v>
      </c>
      <c r="F12" s="6">
        <v>586.89</v>
      </c>
      <c r="G12" s="9">
        <f>VLOOKUP(A12,[1]TDSheet!$A:$G,6,0)/22</f>
        <v>56.682227272727275</v>
      </c>
      <c r="H12" s="9">
        <f t="shared" si="0"/>
        <v>10.354039144865835</v>
      </c>
    </row>
    <row r="13" spans="1:8" ht="11.1" customHeight="1" x14ac:dyDescent="0.2">
      <c r="A13" s="13" t="s">
        <v>12</v>
      </c>
      <c r="B13" s="13"/>
      <c r="C13" s="13"/>
      <c r="D13" s="13"/>
      <c r="E13" s="5" t="s">
        <v>9</v>
      </c>
      <c r="F13" s="6">
        <v>316.04199999999997</v>
      </c>
      <c r="G13" s="9">
        <f>VLOOKUP(A13,[1]TDSheet!$A:$G,6,0)/22</f>
        <v>68.941227272727275</v>
      </c>
      <c r="H13" s="9">
        <f t="shared" si="0"/>
        <v>4.5842235843837997</v>
      </c>
    </row>
    <row r="14" spans="1:8" ht="11.1" customHeight="1" x14ac:dyDescent="0.2">
      <c r="A14" s="13" t="s">
        <v>13</v>
      </c>
      <c r="B14" s="13"/>
      <c r="C14" s="13"/>
      <c r="D14" s="13"/>
      <c r="E14" s="5" t="s">
        <v>14</v>
      </c>
      <c r="F14" s="6">
        <v>450</v>
      </c>
      <c r="G14" s="9">
        <f>VLOOKUP(A14,[1]TDSheet!$A:$G,6,0)/22</f>
        <v>48.477272727272727</v>
      </c>
      <c r="H14" s="9">
        <f t="shared" si="0"/>
        <v>9.2827004219409286</v>
      </c>
    </row>
    <row r="15" spans="1:8" ht="11.1" customHeight="1" x14ac:dyDescent="0.2">
      <c r="A15" s="13" t="s">
        <v>15</v>
      </c>
      <c r="B15" s="13"/>
      <c r="C15" s="13"/>
      <c r="D15" s="13"/>
      <c r="E15" s="5" t="s">
        <v>14</v>
      </c>
      <c r="F15" s="6">
        <v>89.55</v>
      </c>
      <c r="G15" s="9">
        <f>VLOOKUP(A15,[1]TDSheet!$A:$G,6,0)/22</f>
        <v>54.9</v>
      </c>
      <c r="H15" s="9">
        <f t="shared" si="0"/>
        <v>1.6311475409836065</v>
      </c>
    </row>
    <row r="16" spans="1:8" ht="21.95" customHeight="1" x14ac:dyDescent="0.2">
      <c r="A16" s="13" t="s">
        <v>16</v>
      </c>
      <c r="B16" s="13"/>
      <c r="C16" s="13"/>
      <c r="D16" s="13"/>
      <c r="E16" s="5" t="s">
        <v>14</v>
      </c>
      <c r="F16" s="6">
        <v>25.5</v>
      </c>
      <c r="G16" s="9">
        <f>VLOOKUP(A16,[1]TDSheet!$A:$G,6,0)/22</f>
        <v>2.8822727272727273</v>
      </c>
      <c r="H16" s="9">
        <f t="shared" si="0"/>
        <v>8.8471849865951739</v>
      </c>
    </row>
    <row r="17" spans="1:8" ht="11.1" customHeight="1" x14ac:dyDescent="0.2">
      <c r="A17" s="13" t="s">
        <v>17</v>
      </c>
      <c r="B17" s="13"/>
      <c r="C17" s="13"/>
      <c r="D17" s="13"/>
      <c r="E17" s="5" t="s">
        <v>14</v>
      </c>
      <c r="F17" s="6">
        <v>35.700000000000003</v>
      </c>
      <c r="G17" s="9">
        <f>VLOOKUP(A17,[1]TDSheet!$A:$G,6,0)/22</f>
        <v>6.5727272727272723</v>
      </c>
      <c r="H17" s="9">
        <f t="shared" si="0"/>
        <v>5.4315352697095447</v>
      </c>
    </row>
    <row r="18" spans="1:8" ht="11.1" customHeight="1" x14ac:dyDescent="0.2">
      <c r="A18" s="13" t="s">
        <v>18</v>
      </c>
      <c r="B18" s="13"/>
      <c r="C18" s="13"/>
      <c r="D18" s="13"/>
      <c r="E18" s="5" t="s">
        <v>14</v>
      </c>
      <c r="F18" s="6">
        <v>31.62</v>
      </c>
      <c r="G18" s="9">
        <f>VLOOKUP(A18,[1]TDSheet!$A:$G,6,0)/22</f>
        <v>4.2577272727272728</v>
      </c>
      <c r="H18" s="9">
        <f t="shared" si="0"/>
        <v>7.4264972776769511</v>
      </c>
    </row>
    <row r="19" spans="1:8" ht="11.1" customHeight="1" x14ac:dyDescent="0.2">
      <c r="A19" s="13" t="s">
        <v>19</v>
      </c>
      <c r="B19" s="13"/>
      <c r="C19" s="13"/>
      <c r="D19" s="13"/>
      <c r="E19" s="5" t="s">
        <v>9</v>
      </c>
      <c r="F19" s="6">
        <v>738.98900000000003</v>
      </c>
      <c r="G19" s="9">
        <f>VLOOKUP(A19,[1]TDSheet!$A:$G,6,0)/22</f>
        <v>93.110636363636374</v>
      </c>
      <c r="H19" s="9">
        <f t="shared" si="0"/>
        <v>7.9366765050765604</v>
      </c>
    </row>
    <row r="20" spans="1:8" ht="11.1" customHeight="1" x14ac:dyDescent="0.2">
      <c r="A20" s="13" t="s">
        <v>20</v>
      </c>
      <c r="B20" s="13"/>
      <c r="C20" s="13"/>
      <c r="D20" s="13"/>
      <c r="E20" s="5" t="s">
        <v>9</v>
      </c>
      <c r="F20" s="7">
        <v>3792.1370000000002</v>
      </c>
      <c r="G20" s="9">
        <f>VLOOKUP(A20,[1]TDSheet!$A:$G,6,0)/22</f>
        <v>400.64418181818183</v>
      </c>
      <c r="H20" s="9">
        <f t="shared" si="0"/>
        <v>9.4650993876679514</v>
      </c>
    </row>
    <row r="21" spans="1:8" ht="11.1" customHeight="1" x14ac:dyDescent="0.2">
      <c r="A21" s="13" t="s">
        <v>21</v>
      </c>
      <c r="B21" s="13"/>
      <c r="C21" s="13"/>
      <c r="D21" s="13"/>
      <c r="E21" s="5" t="s">
        <v>9</v>
      </c>
      <c r="F21" s="6">
        <v>70.730999999999995</v>
      </c>
      <c r="G21" s="9">
        <f>VLOOKUP(A21,[1]TDSheet!$A:$G,6,0)/22</f>
        <v>13.710954545454547</v>
      </c>
      <c r="H21" s="9">
        <f t="shared" si="0"/>
        <v>5.1587217917988593</v>
      </c>
    </row>
    <row r="22" spans="1:8" ht="11.1" customHeight="1" x14ac:dyDescent="0.2">
      <c r="A22" s="13" t="s">
        <v>22</v>
      </c>
      <c r="B22" s="13"/>
      <c r="C22" s="13"/>
      <c r="D22" s="13"/>
      <c r="E22" s="5" t="s">
        <v>9</v>
      </c>
      <c r="F22" s="6">
        <v>18.143999999999998</v>
      </c>
      <c r="G22" s="9">
        <f>VLOOKUP(A22,[1]TDSheet!$A:$G,6,0)/22</f>
        <v>4.9898636363636362</v>
      </c>
      <c r="H22" s="9">
        <f t="shared" si="0"/>
        <v>3.6361715113366184</v>
      </c>
    </row>
    <row r="23" spans="1:8" ht="21.95" customHeight="1" x14ac:dyDescent="0.2">
      <c r="A23" s="13" t="s">
        <v>23</v>
      </c>
      <c r="B23" s="13"/>
      <c r="C23" s="13"/>
      <c r="D23" s="13"/>
      <c r="E23" s="5" t="s">
        <v>9</v>
      </c>
      <c r="F23" s="6">
        <v>38.051000000000002</v>
      </c>
      <c r="G23" s="9">
        <f>VLOOKUP(A23,[1]TDSheet!$A:$G,6,0)/22</f>
        <v>2.9694999999999996</v>
      </c>
      <c r="H23" s="9">
        <f t="shared" si="0"/>
        <v>12.813941741033846</v>
      </c>
    </row>
    <row r="24" spans="1:8" ht="11.1" customHeight="1" x14ac:dyDescent="0.2">
      <c r="A24" s="13" t="s">
        <v>24</v>
      </c>
      <c r="B24" s="13"/>
      <c r="C24" s="13"/>
      <c r="D24" s="13"/>
      <c r="E24" s="5" t="s">
        <v>9</v>
      </c>
      <c r="F24" s="6">
        <v>613.53200000000004</v>
      </c>
      <c r="G24" s="9">
        <f>VLOOKUP(A24,[1]TDSheet!$A:$G,6,0)/22</f>
        <v>75.42013636363636</v>
      </c>
      <c r="H24" s="9">
        <f t="shared" si="0"/>
        <v>8.1348566786179006</v>
      </c>
    </row>
    <row r="25" spans="1:8" ht="11.1" customHeight="1" x14ac:dyDescent="0.2">
      <c r="A25" s="13" t="s">
        <v>25</v>
      </c>
      <c r="B25" s="13"/>
      <c r="C25" s="13"/>
      <c r="D25" s="13"/>
      <c r="E25" s="5" t="s">
        <v>9</v>
      </c>
      <c r="F25" s="6">
        <v>106.708</v>
      </c>
      <c r="G25" s="9">
        <f>VLOOKUP(A25,[1]TDSheet!$A:$G,6,0)/22</f>
        <v>20.594818181818184</v>
      </c>
      <c r="H25" s="9">
        <f t="shared" si="0"/>
        <v>5.1813033287278794</v>
      </c>
    </row>
    <row r="26" spans="1:8" ht="21.95" customHeight="1" x14ac:dyDescent="0.2">
      <c r="A26" s="13" t="s">
        <v>26</v>
      </c>
      <c r="B26" s="13"/>
      <c r="C26" s="13"/>
      <c r="D26" s="13"/>
      <c r="E26" s="5" t="s">
        <v>9</v>
      </c>
      <c r="F26" s="6">
        <v>226.89500000000001</v>
      </c>
      <c r="G26" s="9">
        <f>VLOOKUP(A26,[1]TDSheet!$A:$G,6,0)/22</f>
        <v>37.12768181818182</v>
      </c>
      <c r="H26" s="9">
        <f t="shared" si="0"/>
        <v>6.1112083730713058</v>
      </c>
    </row>
    <row r="27" spans="1:8" ht="11.1" customHeight="1" x14ac:dyDescent="0.2">
      <c r="A27" s="13" t="s">
        <v>27</v>
      </c>
      <c r="B27" s="13"/>
      <c r="C27" s="13"/>
      <c r="D27" s="13"/>
      <c r="E27" s="5" t="s">
        <v>9</v>
      </c>
      <c r="F27" s="6">
        <v>48.835999999999999</v>
      </c>
      <c r="G27" s="9">
        <f>VLOOKUP(A27,[1]TDSheet!$A:$G,6,0)/22</f>
        <v>3.7976818181818186</v>
      </c>
      <c r="H27" s="9">
        <f t="shared" si="0"/>
        <v>12.859423811176672</v>
      </c>
    </row>
    <row r="28" spans="1:8" ht="11.1" customHeight="1" x14ac:dyDescent="0.2">
      <c r="A28" s="13" t="s">
        <v>28</v>
      </c>
      <c r="B28" s="13"/>
      <c r="C28" s="13"/>
      <c r="D28" s="13"/>
      <c r="E28" s="5" t="s">
        <v>9</v>
      </c>
      <c r="F28" s="6">
        <v>314.14499999999998</v>
      </c>
      <c r="G28" s="9">
        <f>VLOOKUP(A28,[1]TDSheet!$A:$G,6,0)/22</f>
        <v>40.202045454545456</v>
      </c>
      <c r="H28" s="9">
        <f t="shared" si="0"/>
        <v>7.8141546393501002</v>
      </c>
    </row>
    <row r="29" spans="1:8" ht="11.1" customHeight="1" x14ac:dyDescent="0.2">
      <c r="A29" s="13" t="s">
        <v>29</v>
      </c>
      <c r="B29" s="13"/>
      <c r="C29" s="13"/>
      <c r="D29" s="13"/>
      <c r="E29" s="5" t="s">
        <v>9</v>
      </c>
      <c r="F29" s="6">
        <v>21.565999999999999</v>
      </c>
      <c r="G29" s="9">
        <f>VLOOKUP(A29,[1]TDSheet!$A:$G,6,0)/22</f>
        <v>5.0806818181818185</v>
      </c>
      <c r="H29" s="9">
        <f t="shared" si="0"/>
        <v>4.2447058823529407</v>
      </c>
    </row>
    <row r="30" spans="1:8" ht="11.1" customHeight="1" x14ac:dyDescent="0.2">
      <c r="A30" s="13" t="s">
        <v>30</v>
      </c>
      <c r="B30" s="13"/>
      <c r="C30" s="13"/>
      <c r="D30" s="13"/>
      <c r="E30" s="5" t="s">
        <v>9</v>
      </c>
      <c r="F30" s="6">
        <v>-12.327</v>
      </c>
      <c r="G30" s="9">
        <f>VLOOKUP(A30,[1]TDSheet!$A:$G,6,0)/22</f>
        <v>35.111954545454545</v>
      </c>
      <c r="H30" s="9">
        <f t="shared" si="0"/>
        <v>-0.35107700951372428</v>
      </c>
    </row>
    <row r="31" spans="1:8" ht="11.1" customHeight="1" x14ac:dyDescent="0.2">
      <c r="A31" s="13" t="s">
        <v>31</v>
      </c>
      <c r="B31" s="13"/>
      <c r="C31" s="13"/>
      <c r="D31" s="13"/>
      <c r="E31" s="5" t="s">
        <v>9</v>
      </c>
      <c r="F31" s="6">
        <v>30.971</v>
      </c>
      <c r="G31" s="9">
        <f>VLOOKUP(A31,[1]TDSheet!$A:$G,6,0)/22</f>
        <v>34.315636363636365</v>
      </c>
      <c r="H31" s="9">
        <f t="shared" si="0"/>
        <v>0.90253316802305861</v>
      </c>
    </row>
    <row r="32" spans="1:8" ht="21.95" customHeight="1" x14ac:dyDescent="0.2">
      <c r="A32" s="13" t="s">
        <v>32</v>
      </c>
      <c r="B32" s="13"/>
      <c r="C32" s="13"/>
      <c r="D32" s="13"/>
      <c r="E32" s="5" t="s">
        <v>9</v>
      </c>
      <c r="F32" s="6">
        <v>125.068</v>
      </c>
      <c r="G32" s="9">
        <f>VLOOKUP(A32,[1]TDSheet!$A:$G,6,0)/22</f>
        <v>155.113</v>
      </c>
      <c r="H32" s="9">
        <f t="shared" si="0"/>
        <v>0.8063025020468948</v>
      </c>
    </row>
    <row r="33" spans="1:8" ht="11.1" customHeight="1" x14ac:dyDescent="0.2">
      <c r="A33" s="13" t="s">
        <v>33</v>
      </c>
      <c r="B33" s="13"/>
      <c r="C33" s="13"/>
      <c r="D33" s="13"/>
      <c r="E33" s="5" t="s">
        <v>9</v>
      </c>
      <c r="F33" s="6">
        <v>34.101999999999997</v>
      </c>
      <c r="G33" s="9">
        <f>VLOOKUP(A33,[1]TDSheet!$A:$G,6,0)/22</f>
        <v>1.0618181818181818</v>
      </c>
      <c r="H33" s="9">
        <f t="shared" si="0"/>
        <v>32.116609589041097</v>
      </c>
    </row>
    <row r="34" spans="1:8" ht="11.1" customHeight="1" x14ac:dyDescent="0.2">
      <c r="A34" s="13" t="s">
        <v>34</v>
      </c>
      <c r="B34" s="13"/>
      <c r="C34" s="13"/>
      <c r="D34" s="13"/>
      <c r="E34" s="5" t="s">
        <v>9</v>
      </c>
      <c r="F34" s="6">
        <v>109.77800000000001</v>
      </c>
      <c r="G34" s="9">
        <f>VLOOKUP(A34,[1]TDSheet!$A:$G,6,0)/22</f>
        <v>10.795863636363636</v>
      </c>
      <c r="H34" s="9">
        <f t="shared" si="0"/>
        <v>10.168524140137848</v>
      </c>
    </row>
    <row r="35" spans="1:8" ht="11.1" customHeight="1" x14ac:dyDescent="0.2">
      <c r="A35" s="13" t="s">
        <v>35</v>
      </c>
      <c r="B35" s="13"/>
      <c r="C35" s="13"/>
      <c r="D35" s="13"/>
      <c r="E35" s="5" t="s">
        <v>9</v>
      </c>
      <c r="F35" s="6">
        <v>215.26499999999999</v>
      </c>
      <c r="G35" s="9">
        <f>VLOOKUP(A35,[1]TDSheet!$A:$G,6,0)/22</f>
        <v>18.7225</v>
      </c>
      <c r="H35" s="9">
        <f t="shared" si="0"/>
        <v>11.497663239417811</v>
      </c>
    </row>
    <row r="36" spans="1:8" ht="21.95" customHeight="1" x14ac:dyDescent="0.2">
      <c r="A36" s="13" t="s">
        <v>36</v>
      </c>
      <c r="B36" s="13"/>
      <c r="C36" s="13"/>
      <c r="D36" s="13"/>
      <c r="E36" s="5" t="s">
        <v>9</v>
      </c>
      <c r="F36" s="6">
        <v>116.22</v>
      </c>
      <c r="G36" s="9">
        <f>VLOOKUP(A36,[1]TDSheet!$A:$G,6,0)/22</f>
        <v>13.659409090909092</v>
      </c>
      <c r="H36" s="9">
        <f t="shared" si="0"/>
        <v>8.5084207689005567</v>
      </c>
    </row>
    <row r="37" spans="1:8" ht="11.1" customHeight="1" x14ac:dyDescent="0.2">
      <c r="A37" s="13" t="s">
        <v>37</v>
      </c>
      <c r="B37" s="13"/>
      <c r="C37" s="13"/>
      <c r="D37" s="13"/>
      <c r="E37" s="5" t="s">
        <v>14</v>
      </c>
      <c r="F37" s="7">
        <v>1083.5999999999999</v>
      </c>
      <c r="G37" s="9">
        <f>VLOOKUP(A37,[1]TDSheet!$A:$G,6,0)/22</f>
        <v>126.75481818181819</v>
      </c>
      <c r="H37" s="9">
        <f t="shared" si="0"/>
        <v>8.5487874586800707</v>
      </c>
    </row>
    <row r="38" spans="1:8" ht="11.1" customHeight="1" x14ac:dyDescent="0.2">
      <c r="A38" s="13" t="s">
        <v>38</v>
      </c>
      <c r="B38" s="13"/>
      <c r="C38" s="13"/>
      <c r="D38" s="13"/>
      <c r="E38" s="5" t="s">
        <v>14</v>
      </c>
      <c r="F38" s="6">
        <v>108</v>
      </c>
      <c r="G38" s="9">
        <f>VLOOKUP(A38,[1]TDSheet!$A:$G,6,0)/22</f>
        <v>29.475000000000001</v>
      </c>
      <c r="H38" s="9">
        <f t="shared" si="0"/>
        <v>3.66412213740458</v>
      </c>
    </row>
    <row r="39" spans="1:8" ht="11.1" customHeight="1" x14ac:dyDescent="0.2">
      <c r="A39" s="13" t="s">
        <v>39</v>
      </c>
      <c r="B39" s="13"/>
      <c r="C39" s="13"/>
      <c r="D39" s="13"/>
      <c r="E39" s="5" t="s">
        <v>14</v>
      </c>
      <c r="F39" s="6">
        <v>281.60000000000002</v>
      </c>
      <c r="G39" s="9">
        <f>VLOOKUP(A39,[1]TDSheet!$A:$G,6,0)/22</f>
        <v>47.018181818181823</v>
      </c>
      <c r="H39" s="9">
        <f t="shared" si="0"/>
        <v>5.9891724671307038</v>
      </c>
    </row>
    <row r="40" spans="1:8" ht="11.1" customHeight="1" x14ac:dyDescent="0.2">
      <c r="A40" s="13" t="s">
        <v>40</v>
      </c>
      <c r="B40" s="13"/>
      <c r="C40" s="13"/>
      <c r="D40" s="13"/>
      <c r="E40" s="5" t="s">
        <v>14</v>
      </c>
      <c r="F40" s="6">
        <v>68</v>
      </c>
      <c r="G40" s="9">
        <f>VLOOKUP(A40,[1]TDSheet!$A:$G,6,0)/22</f>
        <v>8</v>
      </c>
      <c r="H40" s="9">
        <f t="shared" si="0"/>
        <v>8.5</v>
      </c>
    </row>
    <row r="41" spans="1:8" ht="11.1" customHeight="1" x14ac:dyDescent="0.2">
      <c r="A41" s="13" t="s">
        <v>41</v>
      </c>
      <c r="B41" s="13"/>
      <c r="C41" s="13"/>
      <c r="D41" s="13"/>
      <c r="E41" s="5" t="s">
        <v>9</v>
      </c>
      <c r="F41" s="6">
        <v>30.617000000000001</v>
      </c>
      <c r="G41" s="9">
        <f>VLOOKUP(A41,[1]TDSheet!$A:$G,6,0)/22</f>
        <v>4.4080000000000004</v>
      </c>
      <c r="H41" s="9">
        <f t="shared" si="0"/>
        <v>6.9457803992740468</v>
      </c>
    </row>
    <row r="42" spans="1:8" ht="11.1" customHeight="1" x14ac:dyDescent="0.2">
      <c r="A42" s="13" t="s">
        <v>42</v>
      </c>
      <c r="B42" s="13"/>
      <c r="C42" s="13"/>
      <c r="D42" s="13"/>
      <c r="E42" s="5" t="s">
        <v>14</v>
      </c>
      <c r="F42" s="6">
        <v>0.7</v>
      </c>
      <c r="G42" s="9">
        <f>VLOOKUP(A42,[1]TDSheet!$A:$G,6,0)/22</f>
        <v>1.8181818181818181</v>
      </c>
      <c r="H42" s="9">
        <f t="shared" si="0"/>
        <v>0.38500000000000001</v>
      </c>
    </row>
    <row r="43" spans="1:8" ht="21.95" customHeight="1" x14ac:dyDescent="0.2">
      <c r="A43" s="13" t="s">
        <v>43</v>
      </c>
      <c r="B43" s="13"/>
      <c r="C43" s="13"/>
      <c r="D43" s="13"/>
      <c r="E43" s="5" t="s">
        <v>14</v>
      </c>
      <c r="F43" s="6">
        <v>2.8</v>
      </c>
      <c r="G43" s="9">
        <f>VLOOKUP(A43,[1]TDSheet!$A:$G,6,0)/22</f>
        <v>6.4272727272727277</v>
      </c>
      <c r="H43" s="9">
        <f t="shared" si="0"/>
        <v>0.43564356435643559</v>
      </c>
    </row>
    <row r="44" spans="1:8" ht="11.1" customHeight="1" x14ac:dyDescent="0.2">
      <c r="A44" s="13" t="s">
        <v>44</v>
      </c>
      <c r="B44" s="13"/>
      <c r="C44" s="13"/>
      <c r="D44" s="13"/>
      <c r="E44" s="5" t="s">
        <v>9</v>
      </c>
      <c r="F44" s="6">
        <v>18.079000000000001</v>
      </c>
      <c r="G44" s="9">
        <f>VLOOKUP(A44,[1]TDSheet!$A:$G,6,0)/22</f>
        <v>7.1796363636363631</v>
      </c>
      <c r="H44" s="9">
        <f t="shared" si="0"/>
        <v>2.5180941045380876</v>
      </c>
    </row>
    <row r="45" spans="1:8" ht="11.1" customHeight="1" x14ac:dyDescent="0.2">
      <c r="A45" s="13" t="s">
        <v>45</v>
      </c>
      <c r="B45" s="13"/>
      <c r="C45" s="13"/>
      <c r="D45" s="13"/>
      <c r="E45" s="5" t="s">
        <v>14</v>
      </c>
      <c r="F45" s="6">
        <v>13.125</v>
      </c>
      <c r="G45" s="9">
        <f>VLOOKUP(A45,[1]TDSheet!$A:$G,6,0)/22</f>
        <v>1.9772727272727273</v>
      </c>
      <c r="H45" s="9">
        <f t="shared" si="0"/>
        <v>6.6379310344827589</v>
      </c>
    </row>
    <row r="46" spans="1:8" ht="11.1" customHeight="1" x14ac:dyDescent="0.2">
      <c r="A46" s="13" t="s">
        <v>46</v>
      </c>
      <c r="B46" s="13"/>
      <c r="C46" s="13"/>
      <c r="D46" s="13"/>
      <c r="E46" s="5" t="s">
        <v>14</v>
      </c>
      <c r="F46" s="6">
        <v>2.4</v>
      </c>
      <c r="G46" s="9">
        <f>VLOOKUP(A46,[1]TDSheet!$A:$G,6,0)/22</f>
        <v>8.2000000000000011</v>
      </c>
      <c r="H46" s="9">
        <f t="shared" si="0"/>
        <v>0.29268292682926822</v>
      </c>
    </row>
    <row r="47" spans="1:8" ht="11.1" customHeight="1" x14ac:dyDescent="0.2">
      <c r="A47" s="13" t="s">
        <v>47</v>
      </c>
      <c r="B47" s="13"/>
      <c r="C47" s="13"/>
      <c r="D47" s="13"/>
      <c r="E47" s="5" t="s">
        <v>14</v>
      </c>
      <c r="F47" s="6">
        <v>141.19999999999999</v>
      </c>
      <c r="G47" s="9">
        <f>VLOOKUP(A47,[1]TDSheet!$A:$G,6,0)/22</f>
        <v>10.727272727272727</v>
      </c>
      <c r="H47" s="9">
        <f t="shared" si="0"/>
        <v>13.162711864406779</v>
      </c>
    </row>
    <row r="48" spans="1:8" ht="21.95" customHeight="1" x14ac:dyDescent="0.2">
      <c r="A48" s="13" t="s">
        <v>48</v>
      </c>
      <c r="B48" s="13"/>
      <c r="C48" s="13"/>
      <c r="D48" s="13"/>
      <c r="E48" s="5" t="s">
        <v>9</v>
      </c>
      <c r="F48" s="6">
        <v>107.512</v>
      </c>
      <c r="G48" s="9">
        <f>VLOOKUP(A48,[1]TDSheet!$A:$G,6,0)/22</f>
        <v>18.711272727272728</v>
      </c>
      <c r="H48" s="9">
        <f t="shared" si="0"/>
        <v>5.745841106965174</v>
      </c>
    </row>
    <row r="49" spans="1:8" ht="21.95" customHeight="1" x14ac:dyDescent="0.2">
      <c r="A49" s="13" t="s">
        <v>49</v>
      </c>
      <c r="B49" s="13"/>
      <c r="C49" s="13"/>
      <c r="D49" s="13"/>
      <c r="E49" s="5" t="s">
        <v>14</v>
      </c>
      <c r="F49" s="6">
        <v>192.5</v>
      </c>
      <c r="G49" s="9">
        <f>VLOOKUP(A49,[1]TDSheet!$A:$G,6,0)/22</f>
        <v>16.131818181818179</v>
      </c>
      <c r="H49" s="9">
        <f t="shared" si="0"/>
        <v>11.932938856015781</v>
      </c>
    </row>
    <row r="50" spans="1:8" ht="11.1" customHeight="1" x14ac:dyDescent="0.2">
      <c r="A50" s="13" t="s">
        <v>50</v>
      </c>
      <c r="B50" s="13"/>
      <c r="C50" s="13"/>
      <c r="D50" s="13"/>
      <c r="E50" s="5" t="s">
        <v>14</v>
      </c>
      <c r="F50" s="6">
        <v>52</v>
      </c>
      <c r="G50" s="9">
        <f>VLOOKUP(A50,[1]TDSheet!$A:$G,6,0)/22</f>
        <v>16.327272727272728</v>
      </c>
      <c r="H50" s="9">
        <f t="shared" si="0"/>
        <v>3.1848552338530065</v>
      </c>
    </row>
    <row r="51" spans="1:8" ht="11.1" customHeight="1" x14ac:dyDescent="0.2">
      <c r="A51" s="13" t="s">
        <v>51</v>
      </c>
      <c r="B51" s="13"/>
      <c r="C51" s="13"/>
      <c r="D51" s="13"/>
      <c r="E51" s="5" t="s">
        <v>9</v>
      </c>
      <c r="F51" s="6">
        <v>72.757999999999996</v>
      </c>
      <c r="G51" s="9">
        <f>VLOOKUP(A51,[1]TDSheet!$A:$G,6,0)/22</f>
        <v>16.219772727272726</v>
      </c>
      <c r="H51" s="9">
        <f t="shared" si="0"/>
        <v>4.4857595247102999</v>
      </c>
    </row>
    <row r="52" spans="1:8" ht="11.1" customHeight="1" x14ac:dyDescent="0.2">
      <c r="A52" s="13" t="s">
        <v>52</v>
      </c>
      <c r="B52" s="13"/>
      <c r="C52" s="13"/>
      <c r="D52" s="13"/>
      <c r="E52" s="5" t="s">
        <v>9</v>
      </c>
      <c r="F52" s="6">
        <v>241.05500000000001</v>
      </c>
      <c r="G52" s="9">
        <f>VLOOKUP(A52,[1]TDSheet!$A:$G,6,0)/22</f>
        <v>26.442818181818179</v>
      </c>
      <c r="H52" s="9">
        <f t="shared" si="0"/>
        <v>9.1160858249877101</v>
      </c>
    </row>
    <row r="53" spans="1:8" ht="11.1" customHeight="1" x14ac:dyDescent="0.2">
      <c r="A53" s="13" t="s">
        <v>53</v>
      </c>
      <c r="B53" s="13"/>
      <c r="C53" s="13"/>
      <c r="D53" s="13"/>
      <c r="E53" s="5" t="s">
        <v>9</v>
      </c>
      <c r="F53" s="6">
        <v>228.13499999999999</v>
      </c>
      <c r="G53" s="9">
        <f>VLOOKUP(A53,[1]TDSheet!$A:$G,6,0)/22</f>
        <v>19.2485</v>
      </c>
      <c r="H53" s="9">
        <f t="shared" si="0"/>
        <v>11.852092370834091</v>
      </c>
    </row>
    <row r="54" spans="1:8" ht="11.1" customHeight="1" x14ac:dyDescent="0.2">
      <c r="A54" s="13" t="s">
        <v>54</v>
      </c>
      <c r="B54" s="13"/>
      <c r="C54" s="13"/>
      <c r="D54" s="13"/>
      <c r="E54" s="5" t="s">
        <v>14</v>
      </c>
      <c r="F54" s="6">
        <v>79.650000000000006</v>
      </c>
      <c r="G54" s="9">
        <f>VLOOKUP(A54,[1]TDSheet!$A:$G,6,0)/22</f>
        <v>13.786363636363637</v>
      </c>
      <c r="H54" s="9">
        <f t="shared" si="0"/>
        <v>5.7774480712166172</v>
      </c>
    </row>
    <row r="55" spans="1:8" ht="11.1" customHeight="1" x14ac:dyDescent="0.2">
      <c r="A55" s="13" t="s">
        <v>55</v>
      </c>
      <c r="B55" s="13"/>
      <c r="C55" s="13"/>
      <c r="D55" s="13"/>
      <c r="E55" s="5" t="s">
        <v>14</v>
      </c>
      <c r="F55" s="6">
        <v>40.5</v>
      </c>
      <c r="G55" s="9">
        <f>VLOOKUP(A55,[1]TDSheet!$A:$G,6,0)/22</f>
        <v>21.518181818181816</v>
      </c>
      <c r="H55" s="9">
        <f t="shared" si="0"/>
        <v>1.8821292775665401</v>
      </c>
    </row>
    <row r="56" spans="1:8" ht="11.1" customHeight="1" x14ac:dyDescent="0.2">
      <c r="A56" s="13" t="s">
        <v>56</v>
      </c>
      <c r="B56" s="13"/>
      <c r="C56" s="13"/>
      <c r="D56" s="13"/>
      <c r="E56" s="5" t="s">
        <v>14</v>
      </c>
      <c r="F56" s="6">
        <v>21.2</v>
      </c>
      <c r="G56" s="9">
        <f>VLOOKUP(A56,[1]TDSheet!$A:$G,6,0)/22</f>
        <v>1.5818181818181818</v>
      </c>
      <c r="H56" s="9">
        <f t="shared" si="0"/>
        <v>13.402298850574713</v>
      </c>
    </row>
    <row r="57" spans="1:8" ht="11.1" customHeight="1" x14ac:dyDescent="0.2">
      <c r="A57" s="13" t="s">
        <v>57</v>
      </c>
      <c r="B57" s="13"/>
      <c r="C57" s="13"/>
      <c r="D57" s="13"/>
      <c r="E57" s="5" t="s">
        <v>14</v>
      </c>
      <c r="F57" s="6">
        <v>2.4</v>
      </c>
      <c r="G57" s="9">
        <f>VLOOKUP(A57,[1]TDSheet!$A:$G,6,0)/22</f>
        <v>4.1636363636363631</v>
      </c>
      <c r="H57" s="9">
        <f t="shared" si="0"/>
        <v>0.57641921397379914</v>
      </c>
    </row>
    <row r="58" spans="1:8" ht="11.1" customHeight="1" x14ac:dyDescent="0.2">
      <c r="A58" s="13" t="s">
        <v>58</v>
      </c>
      <c r="B58" s="13"/>
      <c r="C58" s="13"/>
      <c r="D58" s="13"/>
      <c r="E58" s="5" t="s">
        <v>9</v>
      </c>
      <c r="F58" s="6">
        <v>103.004</v>
      </c>
      <c r="G58" s="9">
        <f>VLOOKUP(A58,[1]TDSheet!$A:$G,6,0)/22</f>
        <v>11.278590909090909</v>
      </c>
      <c r="H58" s="9">
        <f t="shared" si="0"/>
        <v>9.1327011352965606</v>
      </c>
    </row>
    <row r="59" spans="1:8" ht="11.1" customHeight="1" x14ac:dyDescent="0.2">
      <c r="A59" s="13" t="s">
        <v>59</v>
      </c>
      <c r="B59" s="13"/>
      <c r="C59" s="13"/>
      <c r="D59" s="13"/>
      <c r="E59" s="5" t="s">
        <v>14</v>
      </c>
      <c r="F59" s="6">
        <v>11.3</v>
      </c>
      <c r="G59" s="9">
        <f>VLOOKUP(A59,[1]TDSheet!$A:$G,6,0)/22</f>
        <v>1.1590909090909092</v>
      </c>
      <c r="H59" s="9">
        <f t="shared" si="0"/>
        <v>9.7490196078431364</v>
      </c>
    </row>
    <row r="60" spans="1:8" ht="11.1" customHeight="1" x14ac:dyDescent="0.2">
      <c r="A60" s="13" t="s">
        <v>60</v>
      </c>
      <c r="B60" s="13"/>
      <c r="C60" s="13"/>
      <c r="D60" s="13"/>
      <c r="E60" s="5" t="s">
        <v>9</v>
      </c>
      <c r="F60" s="6">
        <v>286.29599999999999</v>
      </c>
      <c r="G60" s="9">
        <f>VLOOKUP(A60,[1]TDSheet!$A:$G,6,0)/22</f>
        <v>27.407954545454547</v>
      </c>
      <c r="H60" s="9">
        <f t="shared" si="0"/>
        <v>10.445726605580662</v>
      </c>
    </row>
    <row r="61" spans="1:8" ht="11.1" customHeight="1" x14ac:dyDescent="0.2">
      <c r="A61" s="13" t="s">
        <v>61</v>
      </c>
      <c r="B61" s="13"/>
      <c r="C61" s="13"/>
      <c r="D61" s="13"/>
      <c r="E61" s="5" t="s">
        <v>9</v>
      </c>
      <c r="F61" s="6">
        <v>40.64</v>
      </c>
      <c r="G61" s="9">
        <f>VLOOKUP(A61,[1]TDSheet!$A:$G,6,0)/22</f>
        <v>6.693227272727273</v>
      </c>
      <c r="H61" s="9">
        <f t="shared" si="0"/>
        <v>6.0718093595289675</v>
      </c>
    </row>
    <row r="62" spans="1:8" ht="11.1" customHeight="1" x14ac:dyDescent="0.2">
      <c r="A62" s="13" t="s">
        <v>62</v>
      </c>
      <c r="B62" s="13"/>
      <c r="C62" s="13"/>
      <c r="D62" s="13"/>
      <c r="E62" s="5" t="s">
        <v>14</v>
      </c>
      <c r="F62" s="6">
        <v>0.5</v>
      </c>
      <c r="G62" s="9">
        <f>VLOOKUP(A62,[1]TDSheet!$A:$G,6,0)/22</f>
        <v>1.3909090909090909</v>
      </c>
      <c r="H62" s="9">
        <f t="shared" si="0"/>
        <v>0.35947712418300654</v>
      </c>
    </row>
    <row r="63" spans="1:8" ht="11.1" customHeight="1" x14ac:dyDescent="0.2">
      <c r="A63" s="13" t="s">
        <v>63</v>
      </c>
      <c r="B63" s="13"/>
      <c r="C63" s="13"/>
      <c r="D63" s="13"/>
      <c r="E63" s="5" t="s">
        <v>14</v>
      </c>
      <c r="F63" s="6">
        <v>-0.4</v>
      </c>
      <c r="G63" s="9">
        <f>VLOOKUP(A63,[1]TDSheet!$A:$G,6,0)/22</f>
        <v>0.72727272727272729</v>
      </c>
      <c r="H63" s="9">
        <f t="shared" si="0"/>
        <v>-0.55000000000000004</v>
      </c>
    </row>
    <row r="64" spans="1:8" ht="11.1" customHeight="1" x14ac:dyDescent="0.2">
      <c r="A64" s="13" t="s">
        <v>64</v>
      </c>
      <c r="B64" s="13"/>
      <c r="C64" s="13"/>
      <c r="D64" s="13"/>
      <c r="E64" s="5" t="s">
        <v>9</v>
      </c>
      <c r="F64" s="6">
        <v>88.385000000000005</v>
      </c>
      <c r="G64" s="9">
        <f>VLOOKUP(A64,[1]TDSheet!$A:$G,6,0)/22</f>
        <v>13.619636363636364</v>
      </c>
      <c r="H64" s="9">
        <f t="shared" si="0"/>
        <v>6.4895271533080585</v>
      </c>
    </row>
    <row r="65" spans="1:8" ht="11.1" customHeight="1" x14ac:dyDescent="0.2">
      <c r="A65" s="13" t="s">
        <v>65</v>
      </c>
      <c r="B65" s="13"/>
      <c r="C65" s="13"/>
      <c r="D65" s="13"/>
      <c r="E65" s="5" t="s">
        <v>9</v>
      </c>
      <c r="F65" s="6">
        <v>6.3940000000000001</v>
      </c>
      <c r="G65" s="9">
        <f>VLOOKUP(A65,[1]TDSheet!$A:$G,6,0)/22</f>
        <v>5.2029090909090909</v>
      </c>
      <c r="H65" s="9">
        <f t="shared" si="0"/>
        <v>1.2289278725188706</v>
      </c>
    </row>
    <row r="66" spans="1:8" ht="11.1" customHeight="1" x14ac:dyDescent="0.2">
      <c r="A66" s="13" t="s">
        <v>66</v>
      </c>
      <c r="B66" s="13"/>
      <c r="C66" s="13"/>
      <c r="D66" s="13"/>
      <c r="E66" s="5" t="s">
        <v>14</v>
      </c>
      <c r="F66" s="6">
        <v>198</v>
      </c>
      <c r="G66" s="9">
        <f>VLOOKUP(A66,[1]TDSheet!$A:$G,6,0)/22</f>
        <v>29.672727272727272</v>
      </c>
      <c r="H66" s="9">
        <f t="shared" si="0"/>
        <v>6.6727941176470589</v>
      </c>
    </row>
    <row r="67" spans="1:8" ht="11.1" customHeight="1" x14ac:dyDescent="0.2">
      <c r="A67" s="13" t="s">
        <v>67</v>
      </c>
      <c r="B67" s="13"/>
      <c r="C67" s="13"/>
      <c r="D67" s="13"/>
      <c r="E67" s="5" t="s">
        <v>14</v>
      </c>
      <c r="F67" s="6">
        <v>177.2</v>
      </c>
      <c r="G67" s="9">
        <f>VLOOKUP(A67,[1]TDSheet!$A:$G,6,0)/22</f>
        <v>20.472727272727273</v>
      </c>
      <c r="H67" s="9">
        <f t="shared" si="0"/>
        <v>8.6554174067495548</v>
      </c>
    </row>
    <row r="68" spans="1:8" ht="21.95" customHeight="1" x14ac:dyDescent="0.2">
      <c r="A68" s="13" t="s">
        <v>68</v>
      </c>
      <c r="B68" s="13"/>
      <c r="C68" s="13"/>
      <c r="D68" s="13"/>
      <c r="E68" s="5" t="s">
        <v>9</v>
      </c>
      <c r="F68" s="6">
        <v>123.327</v>
      </c>
      <c r="G68" s="9">
        <f>VLOOKUP(A68,[1]TDSheet!$A:$G,6,0)/22</f>
        <v>27.609863636363638</v>
      </c>
      <c r="H68" s="9">
        <f t="shared" si="0"/>
        <v>4.4667732381543486</v>
      </c>
    </row>
    <row r="69" spans="1:8" ht="11.1" customHeight="1" x14ac:dyDescent="0.2">
      <c r="A69" s="13" t="s">
        <v>69</v>
      </c>
      <c r="B69" s="13"/>
      <c r="C69" s="13"/>
      <c r="D69" s="13"/>
      <c r="E69" s="5" t="s">
        <v>9</v>
      </c>
      <c r="F69" s="6">
        <v>240.87</v>
      </c>
      <c r="G69" s="9">
        <f>VLOOKUP(A69,[1]TDSheet!$A:$G,6,0)/22</f>
        <v>25.469318181818185</v>
      </c>
      <c r="H69" s="9">
        <f t="shared" si="0"/>
        <v>9.4572614107883801</v>
      </c>
    </row>
    <row r="70" spans="1:8" ht="11.1" customHeight="1" x14ac:dyDescent="0.2">
      <c r="A70" s="13" t="s">
        <v>70</v>
      </c>
      <c r="B70" s="13"/>
      <c r="C70" s="13"/>
      <c r="D70" s="13"/>
      <c r="E70" s="5" t="s">
        <v>9</v>
      </c>
      <c r="F70" s="6">
        <v>468.36599999999999</v>
      </c>
      <c r="G70" s="9">
        <f>VLOOKUP(A70,[1]TDSheet!$A:$G,6,0)/22</f>
        <v>65.440727272727273</v>
      </c>
      <c r="H70" s="9">
        <f t="shared" si="0"/>
        <v>7.1571026105511164</v>
      </c>
    </row>
    <row r="71" spans="1:8" ht="11.1" customHeight="1" x14ac:dyDescent="0.2">
      <c r="A71" s="13" t="s">
        <v>71</v>
      </c>
      <c r="B71" s="13"/>
      <c r="C71" s="13"/>
      <c r="D71" s="13"/>
      <c r="E71" s="5" t="s">
        <v>9</v>
      </c>
      <c r="F71" s="6">
        <v>376.435</v>
      </c>
      <c r="G71" s="9">
        <f>VLOOKUP(A71,[1]TDSheet!$A:$G,6,0)/22</f>
        <v>31.706136363636361</v>
      </c>
      <c r="H71" s="9">
        <f t="shared" si="0"/>
        <v>11.872622879138682</v>
      </c>
    </row>
    <row r="72" spans="1:8" ht="11.1" customHeight="1" x14ac:dyDescent="0.2">
      <c r="A72" s="13" t="s">
        <v>72</v>
      </c>
      <c r="B72" s="13"/>
      <c r="C72" s="13"/>
      <c r="D72" s="13"/>
      <c r="E72" s="5" t="s">
        <v>9</v>
      </c>
      <c r="F72" s="6">
        <v>208.512</v>
      </c>
      <c r="G72" s="9">
        <f>VLOOKUP(A72,[1]TDSheet!$A:$G,6,0)/22</f>
        <v>30.213136363636362</v>
      </c>
      <c r="H72" s="9">
        <f t="shared" si="0"/>
        <v>6.9013689108741083</v>
      </c>
    </row>
    <row r="73" spans="1:8" ht="11.1" customHeight="1" x14ac:dyDescent="0.2">
      <c r="A73" s="13" t="s">
        <v>73</v>
      </c>
      <c r="B73" s="13"/>
      <c r="C73" s="13"/>
      <c r="D73" s="13"/>
      <c r="E73" s="5" t="s">
        <v>14</v>
      </c>
      <c r="F73" s="6">
        <v>29.4</v>
      </c>
      <c r="G73" s="9">
        <f>VLOOKUP(A73,[1]TDSheet!$A:$G,6,0)/22</f>
        <v>11.018181818181818</v>
      </c>
      <c r="H73" s="9">
        <f t="shared" si="0"/>
        <v>2.6683168316831685</v>
      </c>
    </row>
    <row r="74" spans="1:8" ht="11.1" customHeight="1" x14ac:dyDescent="0.2">
      <c r="A74" s="13" t="s">
        <v>74</v>
      </c>
      <c r="B74" s="13"/>
      <c r="C74" s="13"/>
      <c r="D74" s="13"/>
      <c r="E74" s="5" t="s">
        <v>14</v>
      </c>
      <c r="F74" s="6">
        <v>120</v>
      </c>
      <c r="G74" s="9">
        <f>VLOOKUP(A74,[1]TDSheet!$A:$G,6,0)/22</f>
        <v>17.972727272727273</v>
      </c>
      <c r="H74" s="9">
        <f t="shared" si="0"/>
        <v>6.6767830045523517</v>
      </c>
    </row>
    <row r="75" spans="1:8" ht="11.1" customHeight="1" x14ac:dyDescent="0.2">
      <c r="A75" s="13" t="s">
        <v>75</v>
      </c>
      <c r="B75" s="13"/>
      <c r="C75" s="13"/>
      <c r="D75" s="13"/>
      <c r="E75" s="5" t="s">
        <v>14</v>
      </c>
      <c r="F75" s="6">
        <v>42.4</v>
      </c>
      <c r="G75" s="9">
        <f>VLOOKUP(A75,[1]TDSheet!$A:$G,6,0)/22</f>
        <v>7.2727272727272725</v>
      </c>
      <c r="H75" s="9">
        <f t="shared" ref="H75:H120" si="1">F75/G75</f>
        <v>5.83</v>
      </c>
    </row>
    <row r="76" spans="1:8" ht="11.1" customHeight="1" x14ac:dyDescent="0.2">
      <c r="A76" s="13" t="s">
        <v>76</v>
      </c>
      <c r="B76" s="13"/>
      <c r="C76" s="13"/>
      <c r="D76" s="13"/>
      <c r="E76" s="5" t="s">
        <v>14</v>
      </c>
      <c r="F76" s="6">
        <v>33.99</v>
      </c>
      <c r="G76" s="9">
        <f>VLOOKUP(A76,[1]TDSheet!$A:$G,6,0)/22</f>
        <v>8.6549999999999994</v>
      </c>
      <c r="H76" s="9">
        <f t="shared" si="1"/>
        <v>3.9272097053726176</v>
      </c>
    </row>
    <row r="77" spans="1:8" ht="21.95" customHeight="1" x14ac:dyDescent="0.2">
      <c r="A77" s="13" t="s">
        <v>77</v>
      </c>
      <c r="B77" s="13"/>
      <c r="C77" s="13"/>
      <c r="D77" s="13"/>
      <c r="E77" s="5" t="s">
        <v>14</v>
      </c>
      <c r="F77" s="6">
        <v>48.65</v>
      </c>
      <c r="G77" s="9">
        <f>VLOOKUP(A77,[1]TDSheet!$A:$G,6,0)/22</f>
        <v>8.3840909090909079</v>
      </c>
      <c r="H77" s="9">
        <f t="shared" si="1"/>
        <v>5.8026565464895645</v>
      </c>
    </row>
    <row r="78" spans="1:8" ht="21.95" customHeight="1" x14ac:dyDescent="0.2">
      <c r="A78" s="13" t="s">
        <v>78</v>
      </c>
      <c r="B78" s="13"/>
      <c r="C78" s="13"/>
      <c r="D78" s="13"/>
      <c r="E78" s="5" t="s">
        <v>14</v>
      </c>
      <c r="F78" s="6">
        <v>81.599999999999994</v>
      </c>
      <c r="G78" s="9">
        <f>VLOOKUP(A78,[1]TDSheet!$A:$G,6,0)/22</f>
        <v>6.081818181818182</v>
      </c>
      <c r="H78" s="9">
        <f t="shared" si="1"/>
        <v>13.417040358744392</v>
      </c>
    </row>
    <row r="79" spans="1:8" ht="11.1" customHeight="1" x14ac:dyDescent="0.2">
      <c r="A79" s="13" t="s">
        <v>79</v>
      </c>
      <c r="B79" s="13"/>
      <c r="C79" s="13"/>
      <c r="D79" s="13"/>
      <c r="E79" s="5" t="s">
        <v>14</v>
      </c>
      <c r="F79" s="6">
        <v>11.88</v>
      </c>
      <c r="G79" s="9">
        <f>VLOOKUP(A79,[1]TDSheet!$A:$G,6,0)/22</f>
        <v>3.33</v>
      </c>
      <c r="H79" s="9">
        <f t="shared" si="1"/>
        <v>3.5675675675675675</v>
      </c>
    </row>
    <row r="80" spans="1:8" ht="11.1" customHeight="1" x14ac:dyDescent="0.2">
      <c r="A80" s="13" t="s">
        <v>80</v>
      </c>
      <c r="B80" s="13"/>
      <c r="C80" s="13"/>
      <c r="D80" s="13"/>
      <c r="E80" s="5" t="s">
        <v>14</v>
      </c>
      <c r="F80" s="6">
        <v>29.2</v>
      </c>
      <c r="G80" s="9">
        <f>VLOOKUP(A80,[1]TDSheet!$A:$G,6,0)/22</f>
        <v>2.9636363636363638</v>
      </c>
      <c r="H80" s="9">
        <f t="shared" si="1"/>
        <v>9.8527607361963181</v>
      </c>
    </row>
    <row r="81" spans="1:8" ht="11.1" customHeight="1" x14ac:dyDescent="0.2">
      <c r="A81" s="13" t="s">
        <v>81</v>
      </c>
      <c r="B81" s="13"/>
      <c r="C81" s="13"/>
      <c r="D81" s="13"/>
      <c r="E81" s="5" t="s">
        <v>14</v>
      </c>
      <c r="F81" s="6">
        <v>6.65</v>
      </c>
      <c r="G81" s="9">
        <f>VLOOKUP(A81,[1]TDSheet!$A:$G,6,0)/22</f>
        <v>1.5590909090909089</v>
      </c>
      <c r="H81" s="9">
        <f t="shared" si="1"/>
        <v>4.2653061224489806</v>
      </c>
    </row>
    <row r="82" spans="1:8" ht="11.1" customHeight="1" x14ac:dyDescent="0.2">
      <c r="A82" s="13" t="s">
        <v>82</v>
      </c>
      <c r="B82" s="13"/>
      <c r="C82" s="13"/>
      <c r="D82" s="13"/>
      <c r="E82" s="5" t="s">
        <v>14</v>
      </c>
      <c r="F82" s="6">
        <v>82.25</v>
      </c>
      <c r="G82" s="9">
        <f>VLOOKUP(A82,[1]TDSheet!$A:$G,6,0)/22</f>
        <v>8.5113636363636367</v>
      </c>
      <c r="H82" s="9">
        <f t="shared" si="1"/>
        <v>9.6635514018691584</v>
      </c>
    </row>
    <row r="83" spans="1:8" ht="11.1" customHeight="1" x14ac:dyDescent="0.2">
      <c r="A83" s="13" t="s">
        <v>83</v>
      </c>
      <c r="B83" s="13"/>
      <c r="C83" s="13"/>
      <c r="D83" s="13"/>
      <c r="E83" s="5" t="s">
        <v>9</v>
      </c>
      <c r="F83" s="6">
        <v>401.71899999999999</v>
      </c>
      <c r="G83" s="9">
        <f>VLOOKUP(A83,[1]TDSheet!$A:$G,6,0)/22</f>
        <v>38.155727272727276</v>
      </c>
      <c r="H83" s="9">
        <f t="shared" si="1"/>
        <v>10.528406315744329</v>
      </c>
    </row>
    <row r="84" spans="1:8" ht="11.1" customHeight="1" x14ac:dyDescent="0.2">
      <c r="A84" s="13" t="s">
        <v>84</v>
      </c>
      <c r="B84" s="13"/>
      <c r="C84" s="13"/>
      <c r="D84" s="13"/>
      <c r="E84" s="5" t="s">
        <v>9</v>
      </c>
      <c r="F84" s="7">
        <v>2635.5070000000001</v>
      </c>
      <c r="G84" s="9">
        <f>VLOOKUP(A84,[1]TDSheet!$A:$G,6,0)/22</f>
        <v>272.0247727272727</v>
      </c>
      <c r="H84" s="9">
        <f t="shared" si="1"/>
        <v>9.6884815804710307</v>
      </c>
    </row>
    <row r="85" spans="1:8" ht="11.1" customHeight="1" x14ac:dyDescent="0.2">
      <c r="A85" s="13" t="s">
        <v>85</v>
      </c>
      <c r="B85" s="13"/>
      <c r="C85" s="13"/>
      <c r="D85" s="13"/>
      <c r="E85" s="5" t="s">
        <v>9</v>
      </c>
      <c r="F85" s="7">
        <v>2034.81</v>
      </c>
      <c r="G85" s="9">
        <f>VLOOKUP(A85,[1]TDSheet!$A:$G,6,0)/22</f>
        <v>201.27349999999998</v>
      </c>
      <c r="H85" s="9">
        <f t="shared" si="1"/>
        <v>10.109676634032796</v>
      </c>
    </row>
    <row r="86" spans="1:8" ht="11.1" customHeight="1" x14ac:dyDescent="0.2">
      <c r="A86" s="13" t="s">
        <v>86</v>
      </c>
      <c r="B86" s="13"/>
      <c r="C86" s="13"/>
      <c r="D86" s="13"/>
      <c r="E86" s="5" t="s">
        <v>9</v>
      </c>
      <c r="F86" s="7">
        <v>2877.7840000000001</v>
      </c>
      <c r="G86" s="9">
        <f>VLOOKUP(A86,[1]TDSheet!$A:$G,6,0)/22</f>
        <v>382.16545454545451</v>
      </c>
      <c r="H86" s="9">
        <f t="shared" si="1"/>
        <v>7.5302044331108382</v>
      </c>
    </row>
    <row r="87" spans="1:8" ht="11.1" customHeight="1" x14ac:dyDescent="0.2">
      <c r="A87" s="13" t="s">
        <v>87</v>
      </c>
      <c r="B87" s="13"/>
      <c r="C87" s="13"/>
      <c r="D87" s="13"/>
      <c r="E87" s="5" t="s">
        <v>14</v>
      </c>
      <c r="F87" s="6">
        <v>3.01</v>
      </c>
      <c r="G87" s="9">
        <f>VLOOKUP(A87,[1]TDSheet!$A:$G,6,0)/22</f>
        <v>0.93227272727272736</v>
      </c>
      <c r="H87" s="9">
        <f t="shared" si="1"/>
        <v>3.2286689419795218</v>
      </c>
    </row>
    <row r="88" spans="1:8" ht="11.1" customHeight="1" x14ac:dyDescent="0.2">
      <c r="A88" s="13" t="s">
        <v>88</v>
      </c>
      <c r="B88" s="13"/>
      <c r="C88" s="13"/>
      <c r="D88" s="13"/>
      <c r="E88" s="5" t="s">
        <v>14</v>
      </c>
      <c r="F88" s="6">
        <v>2.17</v>
      </c>
      <c r="G88" s="9">
        <f>VLOOKUP(A88,[1]TDSheet!$A:$G,6,0)/22</f>
        <v>1.1677272727272727</v>
      </c>
      <c r="H88" s="9">
        <f t="shared" si="1"/>
        <v>1.8583106267029972</v>
      </c>
    </row>
    <row r="89" spans="1:8" ht="11.1" customHeight="1" x14ac:dyDescent="0.2">
      <c r="A89" s="13" t="s">
        <v>89</v>
      </c>
      <c r="B89" s="13"/>
      <c r="C89" s="13"/>
      <c r="D89" s="13"/>
      <c r="E89" s="5" t="s">
        <v>14</v>
      </c>
      <c r="F89" s="6">
        <v>1.33</v>
      </c>
      <c r="G89" s="9">
        <f>VLOOKUP(A89,[1]TDSheet!$A:$G,6,0)/22</f>
        <v>0.83681818181818179</v>
      </c>
      <c r="H89" s="9">
        <f t="shared" si="1"/>
        <v>1.5893536121673004</v>
      </c>
    </row>
    <row r="90" spans="1:8" ht="11.1" customHeight="1" x14ac:dyDescent="0.2">
      <c r="A90" s="13" t="s">
        <v>90</v>
      </c>
      <c r="B90" s="13"/>
      <c r="C90" s="13"/>
      <c r="D90" s="13"/>
      <c r="E90" s="5" t="s">
        <v>14</v>
      </c>
      <c r="F90" s="6">
        <v>5.85</v>
      </c>
      <c r="G90" s="9">
        <f>VLOOKUP(A90,[1]TDSheet!$A:$G,6,0)/22</f>
        <v>0.60681818181818181</v>
      </c>
      <c r="H90" s="9">
        <f t="shared" si="1"/>
        <v>9.6404494382022463</v>
      </c>
    </row>
    <row r="91" spans="1:8" ht="11.1" customHeight="1" x14ac:dyDescent="0.2">
      <c r="A91" s="13" t="s">
        <v>91</v>
      </c>
      <c r="B91" s="13"/>
      <c r="C91" s="13"/>
      <c r="D91" s="13"/>
      <c r="E91" s="5" t="s">
        <v>9</v>
      </c>
      <c r="F91" s="6">
        <v>64.459999999999994</v>
      </c>
      <c r="G91" s="9">
        <f>VLOOKUP(A91,[1]TDSheet!$A:$G,6,0)/22</f>
        <v>2.9439545454545453</v>
      </c>
      <c r="H91" s="9">
        <f t="shared" si="1"/>
        <v>21.895718498618123</v>
      </c>
    </row>
    <row r="92" spans="1:8" ht="21.95" customHeight="1" x14ac:dyDescent="0.2">
      <c r="A92" s="13" t="s">
        <v>92</v>
      </c>
      <c r="B92" s="13"/>
      <c r="C92" s="13"/>
      <c r="D92" s="13"/>
      <c r="E92" s="5" t="s">
        <v>14</v>
      </c>
      <c r="F92" s="6">
        <v>1.68</v>
      </c>
      <c r="G92" s="9">
        <f>VLOOKUP(A92,[1]TDSheet!$A:$G,6,0)/22</f>
        <v>1.3090909090909091</v>
      </c>
      <c r="H92" s="9">
        <f t="shared" si="1"/>
        <v>1.2833333333333332</v>
      </c>
    </row>
    <row r="93" spans="1:8" ht="21.95" customHeight="1" x14ac:dyDescent="0.2">
      <c r="A93" s="13" t="s">
        <v>93</v>
      </c>
      <c r="B93" s="13"/>
      <c r="C93" s="13"/>
      <c r="D93" s="13"/>
      <c r="E93" s="5" t="s">
        <v>14</v>
      </c>
      <c r="F93" s="6">
        <v>6.24</v>
      </c>
      <c r="G93" s="9">
        <f>VLOOKUP(A93,[1]TDSheet!$A:$G,6,0)/22</f>
        <v>0.98545454545454547</v>
      </c>
      <c r="H93" s="9">
        <f t="shared" si="1"/>
        <v>6.3321033210332107</v>
      </c>
    </row>
    <row r="94" spans="1:8" ht="21.95" customHeight="1" x14ac:dyDescent="0.2">
      <c r="A94" s="13" t="s">
        <v>94</v>
      </c>
      <c r="B94" s="13"/>
      <c r="C94" s="13"/>
      <c r="D94" s="13"/>
      <c r="E94" s="5" t="s">
        <v>14</v>
      </c>
      <c r="F94" s="6">
        <v>2.38</v>
      </c>
      <c r="G94" s="9">
        <f>VLOOKUP(A94,[1]TDSheet!$A:$G,6,0)/22</f>
        <v>4.6363636363636364E-2</v>
      </c>
      <c r="H94" s="9">
        <f t="shared" si="1"/>
        <v>51.333333333333329</v>
      </c>
    </row>
    <row r="95" spans="1:8" ht="21.95" customHeight="1" x14ac:dyDescent="0.2">
      <c r="A95" s="13" t="s">
        <v>95</v>
      </c>
      <c r="B95" s="13"/>
      <c r="C95" s="13"/>
      <c r="D95" s="13"/>
      <c r="E95" s="5" t="s">
        <v>9</v>
      </c>
      <c r="F95" s="6">
        <v>235.73599999999999</v>
      </c>
      <c r="G95" s="9">
        <f>VLOOKUP(A95,[1]TDSheet!$A:$G,6,0)/22</f>
        <v>24.72936363636364</v>
      </c>
      <c r="H95" s="9">
        <f t="shared" si="1"/>
        <v>9.5326351080607132</v>
      </c>
    </row>
    <row r="96" spans="1:8" ht="21.95" customHeight="1" x14ac:dyDescent="0.2">
      <c r="A96" s="13" t="s">
        <v>96</v>
      </c>
      <c r="B96" s="13"/>
      <c r="C96" s="13"/>
      <c r="D96" s="13"/>
      <c r="E96" s="5" t="s">
        <v>9</v>
      </c>
      <c r="F96" s="6">
        <v>230.31</v>
      </c>
      <c r="G96" s="9">
        <f>VLOOKUP(A96,[1]TDSheet!$A:$G,6,0)/22</f>
        <v>19.461681818181816</v>
      </c>
      <c r="H96" s="9">
        <f t="shared" si="1"/>
        <v>11.834023500725202</v>
      </c>
    </row>
    <row r="97" spans="1:8" ht="11.1" customHeight="1" x14ac:dyDescent="0.2">
      <c r="A97" s="13" t="s">
        <v>97</v>
      </c>
      <c r="B97" s="13"/>
      <c r="C97" s="13"/>
      <c r="D97" s="13"/>
      <c r="E97" s="5" t="s">
        <v>9</v>
      </c>
      <c r="F97" s="6">
        <v>146.33500000000001</v>
      </c>
      <c r="G97" s="9">
        <f>VLOOKUP(A97,[1]TDSheet!$A:$G,6,0)/22</f>
        <v>19.30768181818182</v>
      </c>
      <c r="H97" s="9">
        <f t="shared" si="1"/>
        <v>7.5791077032457643</v>
      </c>
    </row>
    <row r="98" spans="1:8" ht="21.95" customHeight="1" x14ac:dyDescent="0.2">
      <c r="A98" s="13" t="s">
        <v>98</v>
      </c>
      <c r="B98" s="13"/>
      <c r="C98" s="13"/>
      <c r="D98" s="13"/>
      <c r="E98" s="5" t="s">
        <v>14</v>
      </c>
      <c r="F98" s="6">
        <v>139.16</v>
      </c>
      <c r="G98" s="9">
        <f>VLOOKUP(A98,[1]TDSheet!$A:$G,6,0)/22</f>
        <v>11.352727272727272</v>
      </c>
      <c r="H98" s="9">
        <f t="shared" si="1"/>
        <v>12.257847533632289</v>
      </c>
    </row>
    <row r="99" spans="1:8" ht="21.95" customHeight="1" x14ac:dyDescent="0.2">
      <c r="A99" s="13" t="s">
        <v>99</v>
      </c>
      <c r="B99" s="13"/>
      <c r="C99" s="13"/>
      <c r="D99" s="13"/>
      <c r="E99" s="5" t="s">
        <v>14</v>
      </c>
      <c r="F99" s="6">
        <v>104.44</v>
      </c>
      <c r="G99" s="9">
        <f>VLOOKUP(A99,[1]TDSheet!$A:$G,6,0)/22</f>
        <v>5.5745454545454542</v>
      </c>
      <c r="H99" s="9">
        <f t="shared" si="1"/>
        <v>18.735159817351597</v>
      </c>
    </row>
    <row r="100" spans="1:8" ht="21.95" customHeight="1" x14ac:dyDescent="0.2">
      <c r="A100" s="13" t="s">
        <v>100</v>
      </c>
      <c r="B100" s="13"/>
      <c r="C100" s="13"/>
      <c r="D100" s="13"/>
      <c r="E100" s="5" t="s">
        <v>14</v>
      </c>
      <c r="F100" s="6">
        <v>97.44</v>
      </c>
      <c r="G100" s="9">
        <f>VLOOKUP(A100,[1]TDSheet!$A:$G,6,0)/22</f>
        <v>10.741818181818182</v>
      </c>
      <c r="H100" s="9">
        <f t="shared" si="1"/>
        <v>9.0710900473933638</v>
      </c>
    </row>
    <row r="101" spans="1:8" ht="11.1" customHeight="1" x14ac:dyDescent="0.2">
      <c r="A101" s="13" t="s">
        <v>101</v>
      </c>
      <c r="B101" s="13"/>
      <c r="C101" s="13"/>
      <c r="D101" s="13"/>
      <c r="E101" s="5" t="s">
        <v>14</v>
      </c>
      <c r="F101" s="6">
        <v>3.33</v>
      </c>
      <c r="G101" s="9">
        <f>VLOOKUP(A101,[1]TDSheet!$A:$G,6,0)/22</f>
        <v>0.4540909090909091</v>
      </c>
      <c r="H101" s="9">
        <f t="shared" si="1"/>
        <v>7.333333333333333</v>
      </c>
    </row>
    <row r="102" spans="1:8" ht="21.95" customHeight="1" x14ac:dyDescent="0.2">
      <c r="A102" s="13" t="s">
        <v>102</v>
      </c>
      <c r="B102" s="13"/>
      <c r="C102" s="13"/>
      <c r="D102" s="13"/>
      <c r="E102" s="5" t="s">
        <v>9</v>
      </c>
      <c r="F102" s="6">
        <v>189.84</v>
      </c>
      <c r="G102" s="9">
        <f>VLOOKUP(A102,[1]TDSheet!$A:$G,6,0)/22</f>
        <v>12.349363636363636</v>
      </c>
      <c r="H102" s="9">
        <f t="shared" si="1"/>
        <v>15.372452021819306</v>
      </c>
    </row>
    <row r="103" spans="1:8" ht="21.95" customHeight="1" x14ac:dyDescent="0.2">
      <c r="A103" s="13" t="s">
        <v>103</v>
      </c>
      <c r="B103" s="13"/>
      <c r="C103" s="13"/>
      <c r="D103" s="13"/>
      <c r="E103" s="5" t="s">
        <v>9</v>
      </c>
      <c r="F103" s="6">
        <v>179.96299999999999</v>
      </c>
      <c r="G103" s="9">
        <f>VLOOKUP(A103,[1]TDSheet!$A:$G,6,0)/22</f>
        <v>15.198500000000001</v>
      </c>
      <c r="H103" s="9">
        <f t="shared" si="1"/>
        <v>11.840839556535183</v>
      </c>
    </row>
    <row r="104" spans="1:8" ht="11.1" customHeight="1" x14ac:dyDescent="0.2">
      <c r="A104" s="13" t="s">
        <v>104</v>
      </c>
      <c r="B104" s="13"/>
      <c r="C104" s="13"/>
      <c r="D104" s="13"/>
      <c r="E104" s="5" t="s">
        <v>14</v>
      </c>
      <c r="F104" s="6">
        <v>1.8</v>
      </c>
      <c r="G104" s="9">
        <f>VLOOKUP(A104,[1]TDSheet!$A:$G,6,0)/22</f>
        <v>0.48681818181818187</v>
      </c>
      <c r="H104" s="9">
        <f t="shared" si="1"/>
        <v>3.6974789915966384</v>
      </c>
    </row>
    <row r="105" spans="1:8" ht="21.95" customHeight="1" x14ac:dyDescent="0.2">
      <c r="A105" s="13" t="s">
        <v>105</v>
      </c>
      <c r="B105" s="13"/>
      <c r="C105" s="13"/>
      <c r="D105" s="13"/>
      <c r="E105" s="5" t="s">
        <v>14</v>
      </c>
      <c r="F105" s="6">
        <v>3.51</v>
      </c>
      <c r="G105" s="9">
        <f>VLOOKUP(A105,[1]TDSheet!$A:$G,6,0)/22</f>
        <v>0.44181818181818183</v>
      </c>
      <c r="H105" s="9">
        <f t="shared" si="1"/>
        <v>7.9444444444444438</v>
      </c>
    </row>
    <row r="106" spans="1:8" ht="11.1" customHeight="1" x14ac:dyDescent="0.2">
      <c r="A106" s="13" t="s">
        <v>106</v>
      </c>
      <c r="B106" s="13"/>
      <c r="C106" s="13"/>
      <c r="D106" s="13"/>
      <c r="E106" s="5" t="s">
        <v>9</v>
      </c>
      <c r="F106" s="6">
        <v>173.202</v>
      </c>
      <c r="G106" s="9">
        <f>VLOOKUP(A106,[1]TDSheet!$A:$G,6,0)/22</f>
        <v>11.267636363636363</v>
      </c>
      <c r="H106" s="9">
        <f t="shared" si="1"/>
        <v>15.371635577357516</v>
      </c>
    </row>
    <row r="107" spans="1:8" ht="11.1" customHeight="1" x14ac:dyDescent="0.2">
      <c r="A107" s="13" t="s">
        <v>107</v>
      </c>
      <c r="B107" s="13"/>
      <c r="C107" s="13"/>
      <c r="D107" s="13"/>
      <c r="E107" s="5" t="s">
        <v>9</v>
      </c>
      <c r="F107" s="6">
        <v>272.346</v>
      </c>
      <c r="G107" s="9">
        <f>VLOOKUP(A107,[1]TDSheet!$A:$G,6,0)/22</f>
        <v>26.13036363636364</v>
      </c>
      <c r="H107" s="9">
        <f t="shared" si="1"/>
        <v>10.422587446161552</v>
      </c>
    </row>
    <row r="108" spans="1:8" ht="11.1" customHeight="1" x14ac:dyDescent="0.2">
      <c r="A108" s="13" t="s">
        <v>108</v>
      </c>
      <c r="B108" s="13"/>
      <c r="C108" s="13"/>
      <c r="D108" s="13"/>
      <c r="E108" s="5" t="s">
        <v>9</v>
      </c>
      <c r="F108" s="6">
        <v>53.066000000000003</v>
      </c>
      <c r="G108" s="9">
        <f>VLOOKUP(A108,[1]TDSheet!$A:$G,6,0)/22</f>
        <v>5.1184090909090907</v>
      </c>
      <c r="H108" s="9">
        <f t="shared" si="1"/>
        <v>10.367674614803962</v>
      </c>
    </row>
    <row r="109" spans="1:8" ht="11.1" customHeight="1" x14ac:dyDescent="0.2">
      <c r="A109" s="13" t="s">
        <v>109</v>
      </c>
      <c r="B109" s="13"/>
      <c r="C109" s="13"/>
      <c r="D109" s="13"/>
      <c r="E109" s="5" t="s">
        <v>9</v>
      </c>
      <c r="F109" s="7">
        <v>1554.0150000000001</v>
      </c>
      <c r="G109" s="9">
        <f>VLOOKUP(A109,[1]TDSheet!$A:$G,6,0)/22</f>
        <v>162.46699999999998</v>
      </c>
      <c r="H109" s="9">
        <f t="shared" si="1"/>
        <v>9.5651116842189499</v>
      </c>
    </row>
    <row r="110" spans="1:8" ht="21.95" customHeight="1" x14ac:dyDescent="0.2">
      <c r="A110" s="13" t="s">
        <v>110</v>
      </c>
      <c r="B110" s="13"/>
      <c r="C110" s="13"/>
      <c r="D110" s="13"/>
      <c r="E110" s="5" t="s">
        <v>14</v>
      </c>
      <c r="F110" s="6">
        <v>3.25</v>
      </c>
      <c r="G110" s="9">
        <f>VLOOKUP(A110,[1]TDSheet!$A:$G,6,0)/22</f>
        <v>1.8295454545454546</v>
      </c>
      <c r="H110" s="9">
        <f t="shared" si="1"/>
        <v>1.7763975155279503</v>
      </c>
    </row>
    <row r="111" spans="1:8" ht="11.1" customHeight="1" x14ac:dyDescent="0.2">
      <c r="A111" s="13" t="s">
        <v>111</v>
      </c>
      <c r="B111" s="13"/>
      <c r="C111" s="13"/>
      <c r="D111" s="13"/>
      <c r="E111" s="5" t="s">
        <v>14</v>
      </c>
      <c r="F111" s="6">
        <v>35.1</v>
      </c>
      <c r="G111" s="9">
        <f>VLOOKUP(A111,[1]TDSheet!$A:$G,6,0)/22</f>
        <v>1.0931818181818183</v>
      </c>
      <c r="H111" s="9">
        <f t="shared" si="1"/>
        <v>32.108108108108105</v>
      </c>
    </row>
    <row r="112" spans="1:8" ht="21.95" customHeight="1" x14ac:dyDescent="0.2">
      <c r="A112" s="13" t="s">
        <v>112</v>
      </c>
      <c r="B112" s="13"/>
      <c r="C112" s="13"/>
      <c r="D112" s="13"/>
      <c r="E112" s="5" t="s">
        <v>14</v>
      </c>
      <c r="F112" s="6">
        <v>2.5</v>
      </c>
      <c r="G112" s="9">
        <f>VLOOKUP(A112,[1]TDSheet!$A:$G,6,0)/22</f>
        <v>1.8522727272727273</v>
      </c>
      <c r="H112" s="9">
        <f t="shared" si="1"/>
        <v>1.3496932515337423</v>
      </c>
    </row>
    <row r="113" spans="1:8" ht="21.95" customHeight="1" x14ac:dyDescent="0.2">
      <c r="A113" s="13" t="s">
        <v>113</v>
      </c>
      <c r="B113" s="13"/>
      <c r="C113" s="13"/>
      <c r="D113" s="13"/>
      <c r="E113" s="5" t="s">
        <v>14</v>
      </c>
      <c r="F113" s="6">
        <v>34.200000000000003</v>
      </c>
      <c r="G113" s="9">
        <f>VLOOKUP(A113,[1]TDSheet!$A:$G,6,0)/22</f>
        <v>10.336363636363636</v>
      </c>
      <c r="H113" s="9">
        <f t="shared" si="1"/>
        <v>3.3087071240105543</v>
      </c>
    </row>
    <row r="114" spans="1:8" ht="11.1" customHeight="1" x14ac:dyDescent="0.2">
      <c r="A114" s="13" t="s">
        <v>114</v>
      </c>
      <c r="B114" s="13"/>
      <c r="C114" s="13"/>
      <c r="D114" s="13"/>
      <c r="E114" s="5" t="s">
        <v>14</v>
      </c>
      <c r="F114" s="6">
        <v>72.900000000000006</v>
      </c>
      <c r="G114" s="9">
        <f>VLOOKUP(A114,[1]TDSheet!$A:$G,6,0)/22</f>
        <v>7.036363636363637</v>
      </c>
      <c r="H114" s="9">
        <f t="shared" si="1"/>
        <v>10.36046511627907</v>
      </c>
    </row>
    <row r="115" spans="1:8" ht="11.1" customHeight="1" x14ac:dyDescent="0.2">
      <c r="A115" s="13" t="s">
        <v>115</v>
      </c>
      <c r="B115" s="13"/>
      <c r="C115" s="13"/>
      <c r="D115" s="13"/>
      <c r="E115" s="5" t="s">
        <v>9</v>
      </c>
      <c r="F115" s="6">
        <v>40.972000000000001</v>
      </c>
      <c r="G115" s="9">
        <f>VLOOKUP(A115,[1]TDSheet!$A:$G,6,0)/22</f>
        <v>2.8582727272727273</v>
      </c>
      <c r="H115" s="9">
        <f t="shared" si="1"/>
        <v>14.334531344422887</v>
      </c>
    </row>
    <row r="116" spans="1:8" ht="11.1" customHeight="1" x14ac:dyDescent="0.2">
      <c r="A116" s="13" t="s">
        <v>116</v>
      </c>
      <c r="B116" s="13"/>
      <c r="C116" s="13"/>
      <c r="D116" s="13"/>
      <c r="E116" s="5" t="s">
        <v>14</v>
      </c>
      <c r="F116" s="6">
        <v>32.4</v>
      </c>
      <c r="G116" s="9">
        <f>VLOOKUP(A116,[1]TDSheet!$A:$G,6,0)/22</f>
        <v>4.745454545454546</v>
      </c>
      <c r="H116" s="9">
        <f t="shared" si="1"/>
        <v>6.8275862068965507</v>
      </c>
    </row>
    <row r="117" spans="1:8" ht="11.1" customHeight="1" x14ac:dyDescent="0.2">
      <c r="A117" s="13" t="s">
        <v>117</v>
      </c>
      <c r="B117" s="13"/>
      <c r="C117" s="13"/>
      <c r="D117" s="13"/>
      <c r="E117" s="5" t="s">
        <v>14</v>
      </c>
      <c r="F117" s="6">
        <v>7.2</v>
      </c>
      <c r="G117" s="9">
        <f>VLOOKUP(A117,[1]TDSheet!$A:$G,6,0)/22</f>
        <v>0.91090909090909089</v>
      </c>
      <c r="H117" s="9">
        <f t="shared" si="1"/>
        <v>7.9041916167664672</v>
      </c>
    </row>
    <row r="118" spans="1:8" ht="21.95" customHeight="1" x14ac:dyDescent="0.2">
      <c r="A118" s="13" t="s">
        <v>118</v>
      </c>
      <c r="B118" s="13"/>
      <c r="C118" s="13"/>
      <c r="D118" s="13"/>
      <c r="E118" s="5" t="s">
        <v>14</v>
      </c>
      <c r="F118" s="6">
        <v>-2.9249999999999998</v>
      </c>
      <c r="G118" s="9">
        <f>VLOOKUP(A118,[1]TDSheet!$A:$G,6,0)/22</f>
        <v>7.3863636363636367E-2</v>
      </c>
      <c r="H118" s="9">
        <f t="shared" si="1"/>
        <v>-39.599999999999994</v>
      </c>
    </row>
    <row r="119" spans="1:8" ht="21.95" customHeight="1" x14ac:dyDescent="0.2">
      <c r="A119" s="13" t="s">
        <v>119</v>
      </c>
      <c r="B119" s="13"/>
      <c r="C119" s="13"/>
      <c r="D119" s="13"/>
      <c r="E119" s="5" t="s">
        <v>14</v>
      </c>
      <c r="F119" s="6">
        <v>12</v>
      </c>
      <c r="H119" s="9" t="e">
        <f t="shared" si="1"/>
        <v>#DIV/0!</v>
      </c>
    </row>
    <row r="120" spans="1:8" ht="12.95" customHeight="1" x14ac:dyDescent="0.2">
      <c r="A120" s="14" t="s">
        <v>120</v>
      </c>
      <c r="B120" s="14"/>
      <c r="C120" s="14"/>
      <c r="D120" s="14"/>
      <c r="E120" s="14"/>
      <c r="F120" s="8">
        <v>25792.133999999998</v>
      </c>
    </row>
  </sheetData>
  <mergeCells count="114">
    <mergeCell ref="C6:F6"/>
    <mergeCell ref="A8:D9"/>
    <mergeCell ref="E8:E9"/>
    <mergeCell ref="A10:D10"/>
    <mergeCell ref="A11:D11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27:D27"/>
    <mergeCell ref="A28:D28"/>
    <mergeCell ref="A29:D29"/>
    <mergeCell ref="A30:D30"/>
    <mergeCell ref="A31:D31"/>
    <mergeCell ref="A22:D22"/>
    <mergeCell ref="A23:D23"/>
    <mergeCell ref="A24:D24"/>
    <mergeCell ref="A25:D25"/>
    <mergeCell ref="A26:D26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47:D47"/>
    <mergeCell ref="A48:D48"/>
    <mergeCell ref="A49:D49"/>
    <mergeCell ref="A50:D50"/>
    <mergeCell ref="A51:D51"/>
    <mergeCell ref="A42:D42"/>
    <mergeCell ref="A43:D43"/>
    <mergeCell ref="A44:D44"/>
    <mergeCell ref="A45:D45"/>
    <mergeCell ref="A46:D46"/>
    <mergeCell ref="A57:D57"/>
    <mergeCell ref="A58:D58"/>
    <mergeCell ref="A59:D59"/>
    <mergeCell ref="A60:D60"/>
    <mergeCell ref="A61:D61"/>
    <mergeCell ref="A52:D52"/>
    <mergeCell ref="A53:D53"/>
    <mergeCell ref="A54:D54"/>
    <mergeCell ref="A55:D55"/>
    <mergeCell ref="A56:D56"/>
    <mergeCell ref="A67:D67"/>
    <mergeCell ref="A68:D68"/>
    <mergeCell ref="A69:D69"/>
    <mergeCell ref="A70:D70"/>
    <mergeCell ref="A71:D71"/>
    <mergeCell ref="A62:D62"/>
    <mergeCell ref="A63:D63"/>
    <mergeCell ref="A64:D64"/>
    <mergeCell ref="A65:D65"/>
    <mergeCell ref="A66:D66"/>
    <mergeCell ref="A77:D77"/>
    <mergeCell ref="A78:D78"/>
    <mergeCell ref="A79:D79"/>
    <mergeCell ref="A80:D80"/>
    <mergeCell ref="A81:D81"/>
    <mergeCell ref="A72:D72"/>
    <mergeCell ref="A73:D73"/>
    <mergeCell ref="A74:D74"/>
    <mergeCell ref="A75:D75"/>
    <mergeCell ref="A76:D76"/>
    <mergeCell ref="A87:D87"/>
    <mergeCell ref="A88:D88"/>
    <mergeCell ref="A89:D89"/>
    <mergeCell ref="A90:D90"/>
    <mergeCell ref="A91:D91"/>
    <mergeCell ref="A82:D82"/>
    <mergeCell ref="A83:D83"/>
    <mergeCell ref="A84:D84"/>
    <mergeCell ref="A85:D85"/>
    <mergeCell ref="A86:D86"/>
    <mergeCell ref="A97:D97"/>
    <mergeCell ref="A98:D98"/>
    <mergeCell ref="A99:D99"/>
    <mergeCell ref="A100:D100"/>
    <mergeCell ref="A101:D101"/>
    <mergeCell ref="A92:D92"/>
    <mergeCell ref="A93:D93"/>
    <mergeCell ref="A94:D94"/>
    <mergeCell ref="A95:D95"/>
    <mergeCell ref="A96:D96"/>
    <mergeCell ref="A107:D107"/>
    <mergeCell ref="A108:D108"/>
    <mergeCell ref="A109:D109"/>
    <mergeCell ref="A110:D110"/>
    <mergeCell ref="A111:D111"/>
    <mergeCell ref="A102:D102"/>
    <mergeCell ref="A103:D103"/>
    <mergeCell ref="A104:D104"/>
    <mergeCell ref="A105:D105"/>
    <mergeCell ref="A106:D106"/>
    <mergeCell ref="A117:D117"/>
    <mergeCell ref="A118:D118"/>
    <mergeCell ref="A119:D119"/>
    <mergeCell ref="A120:E120"/>
    <mergeCell ref="A112:D112"/>
    <mergeCell ref="A113:D113"/>
    <mergeCell ref="A114:D114"/>
    <mergeCell ref="A115:D115"/>
    <mergeCell ref="A116:D116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2026-08-05T10:16:31Z</dcterms:modified>
</cp:coreProperties>
</file>