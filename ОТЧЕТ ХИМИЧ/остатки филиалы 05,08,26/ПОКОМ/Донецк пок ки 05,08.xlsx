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Донецк\"/>
    </mc:Choice>
  </mc:AlternateContent>
  <xr:revisionPtr revIDLastSave="0" documentId="13_ncr:1_{AC88C041-CEC0-48A5-9318-4D36716124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9" i="1"/>
  <c r="G70" i="1"/>
  <c r="G71" i="1"/>
  <c r="G72" i="1"/>
  <c r="G73" i="1"/>
  <c r="G74" i="1"/>
  <c r="G75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0" i="1"/>
</calcChain>
</file>

<file path=xl/sharedStrings.xml><?xml version="1.0" encoding="utf-8"?>
<sst xmlns="http://schemas.openxmlformats.org/spreadsheetml/2006/main" count="244" uniqueCount="130">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</sst>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" fontId="2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0" fontId="0" fillId="0" borderId="6" xfId="0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44;&#1086;&#1085;&#1077;&#1094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  <cell r="G5" t="str">
            <v>Возвраты</v>
          </cell>
          <cell r="I5" t="str">
            <v>опт</v>
          </cell>
          <cell r="J5" t="str">
            <v>без оптов</v>
          </cell>
        </row>
        <row r="6">
          <cell r="D6" t="str">
            <v>Вес</v>
          </cell>
          <cell r="F6" t="str">
            <v>Количество</v>
          </cell>
          <cell r="G6" t="str">
            <v>Возврат вес</v>
          </cell>
          <cell r="H6" t="str">
            <v>Возврат кол-во</v>
          </cell>
          <cell r="I6" t="str">
            <v>Вес</v>
          </cell>
          <cell r="J6" t="str">
            <v>Вес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9479.4390000000003</v>
          </cell>
          <cell r="F7">
            <v>9479.4390000000003</v>
          </cell>
          <cell r="G7">
            <v>14.898999999999999</v>
          </cell>
          <cell r="H7">
            <v>14.898999999999999</v>
          </cell>
          <cell r="I7">
            <v>1285.684</v>
          </cell>
          <cell r="J7">
            <v>8193.755000000001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4393.87</v>
          </cell>
          <cell r="F8">
            <v>4393.87</v>
          </cell>
          <cell r="G8">
            <v>11.712999999999999</v>
          </cell>
          <cell r="H8">
            <v>11.712999999999999</v>
          </cell>
          <cell r="I8">
            <v>0</v>
          </cell>
          <cell r="J8">
            <v>4393.87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12749.462</v>
          </cell>
          <cell r="F9">
            <v>12749.462</v>
          </cell>
          <cell r="G9">
            <v>27.45</v>
          </cell>
          <cell r="H9">
            <v>27.45</v>
          </cell>
          <cell r="I9">
            <v>231.09700000000001</v>
          </cell>
          <cell r="J9">
            <v>12518.365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6.8</v>
          </cell>
          <cell r="F10">
            <v>17</v>
          </cell>
          <cell r="I10">
            <v>0</v>
          </cell>
          <cell r="J10">
            <v>6.8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4345.3597499999996</v>
          </cell>
          <cell r="F11">
            <v>9656.3549999999996</v>
          </cell>
          <cell r="G11">
            <v>25.2</v>
          </cell>
          <cell r="H11">
            <v>56</v>
          </cell>
          <cell r="I11">
            <v>0</v>
          </cell>
          <cell r="J11">
            <v>4345.3597499999996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6206.0080500000004</v>
          </cell>
          <cell r="F12">
            <v>13791.129000000001</v>
          </cell>
          <cell r="G12">
            <v>21.6</v>
          </cell>
          <cell r="H12">
            <v>48</v>
          </cell>
          <cell r="I12">
            <v>0</v>
          </cell>
          <cell r="J12">
            <v>6206.0080500000004</v>
          </cell>
        </row>
        <row r="13">
          <cell r="A13" t="str">
            <v xml:space="preserve"> 047  Кол Баварская, белков.обол. в термоусад. пакете 0.17 кг, ТМ Стародворье  ПОКОМ</v>
          </cell>
          <cell r="D13">
            <v>64.94</v>
          </cell>
          <cell r="F13">
            <v>382</v>
          </cell>
          <cell r="I13">
            <v>0</v>
          </cell>
          <cell r="J13">
            <v>64.94</v>
          </cell>
        </row>
        <row r="14">
          <cell r="A14" t="str">
            <v xml:space="preserve"> 062  Колбаса Кракушка пряная с сальцем, 0.3кг в/у п/к, БАВАРУШКА ПОКОМ</v>
          </cell>
          <cell r="D14">
            <v>43.8</v>
          </cell>
          <cell r="F14">
            <v>146</v>
          </cell>
          <cell r="G14">
            <v>1.5</v>
          </cell>
          <cell r="H14">
            <v>5</v>
          </cell>
          <cell r="I14">
            <v>0</v>
          </cell>
          <cell r="J14">
            <v>43.8</v>
          </cell>
        </row>
        <row r="15">
          <cell r="A15" t="str">
            <v xml:space="preserve"> 083  Колбаса Швейцарская 0,17 кг., ШТ., сырокопченая   ПОКОМ</v>
          </cell>
          <cell r="D15">
            <v>185.81</v>
          </cell>
          <cell r="F15">
            <v>1093</v>
          </cell>
          <cell r="I15">
            <v>0</v>
          </cell>
          <cell r="J15">
            <v>185.81</v>
          </cell>
        </row>
        <row r="16">
          <cell r="A16" t="str">
            <v xml:space="preserve"> 103  Сосиски Классические, 0.42кг,ядрена копотьПОКОМ</v>
          </cell>
          <cell r="D16">
            <v>9.24</v>
          </cell>
          <cell r="F16">
            <v>22</v>
          </cell>
          <cell r="I16">
            <v>0</v>
          </cell>
          <cell r="J16">
            <v>9.24</v>
          </cell>
        </row>
        <row r="17">
          <cell r="A17" t="str">
            <v xml:space="preserve"> 200  Ветчина Дугушка ТМ Стародворье, вектор в/у    ПОКОМ</v>
          </cell>
          <cell r="D17">
            <v>14972.134</v>
          </cell>
          <cell r="F17">
            <v>14972.134</v>
          </cell>
          <cell r="G17">
            <v>10.515000000000001</v>
          </cell>
          <cell r="H17">
            <v>10.515000000000001</v>
          </cell>
          <cell r="I17">
            <v>242.72800000000001</v>
          </cell>
          <cell r="J17">
            <v>14729.406000000001</v>
          </cell>
        </row>
        <row r="18">
          <cell r="A18" t="str">
            <v xml:space="preserve"> 201  Ветчина Нежная ТМ Особый рецепт, (2,5кг), ПОКОМ</v>
          </cell>
          <cell r="D18">
            <v>13110.271000000001</v>
          </cell>
          <cell r="F18">
            <v>13110.271000000001</v>
          </cell>
          <cell r="G18">
            <v>27.49</v>
          </cell>
          <cell r="H18">
            <v>27.49</v>
          </cell>
          <cell r="I18">
            <v>241.53899999999999</v>
          </cell>
          <cell r="J18">
            <v>12868.732</v>
          </cell>
        </row>
        <row r="19">
          <cell r="A19" t="str">
            <v xml:space="preserve"> 215  Колбаса Докторская ГОСТ Дугушка, ВЕС, ТМ Стародворье ПОКОМ</v>
          </cell>
          <cell r="D19">
            <v>936.71100000000001</v>
          </cell>
          <cell r="F19">
            <v>936.71100000000001</v>
          </cell>
          <cell r="G19">
            <v>2.2000000000000002</v>
          </cell>
          <cell r="H19">
            <v>2.2000000000000002</v>
          </cell>
          <cell r="I19">
            <v>0</v>
          </cell>
          <cell r="J19">
            <v>936.71100000000001</v>
          </cell>
        </row>
        <row r="20">
          <cell r="A20" t="str">
            <v xml:space="preserve"> 219  Колбаса Докторская Особая ТМ Особый рецепт, ВЕС  ПОКОМ</v>
          </cell>
          <cell r="D20">
            <v>-1.3149999999999999</v>
          </cell>
          <cell r="F20">
            <v>-1.3149999999999999</v>
          </cell>
          <cell r="G20">
            <v>6.2889999999999997</v>
          </cell>
          <cell r="H20">
            <v>6.2889999999999997</v>
          </cell>
          <cell r="I20">
            <v>0</v>
          </cell>
          <cell r="J20">
            <v>-1.3149999999999999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D21">
            <v>16.204000000000001</v>
          </cell>
          <cell r="F21">
            <v>16.204000000000001</v>
          </cell>
          <cell r="G21">
            <v>0.36199999999999999</v>
          </cell>
          <cell r="H21">
            <v>0.36199999999999999</v>
          </cell>
          <cell r="I21">
            <v>0</v>
          </cell>
          <cell r="J21">
            <v>16.204000000000001</v>
          </cell>
        </row>
        <row r="22">
          <cell r="A22" t="str">
            <v xml:space="preserve"> 229  Колбаса Молочная Дугушка, в/у, ВЕС, ТМ Стародворье   ПОКОМ</v>
          </cell>
          <cell r="D22">
            <v>20098.401999999998</v>
          </cell>
          <cell r="F22">
            <v>20098.401999999998</v>
          </cell>
          <cell r="G22">
            <v>12.154</v>
          </cell>
          <cell r="H22">
            <v>12.154</v>
          </cell>
          <cell r="I22">
            <v>810.49199999999996</v>
          </cell>
          <cell r="J22">
            <v>19287.91</v>
          </cell>
        </row>
        <row r="23">
          <cell r="A23" t="str">
            <v xml:space="preserve"> 230  Колбаса Молочная Особая ТМ Особый рецепт, п/а, ВЕС. ПОКОМ</v>
          </cell>
          <cell r="D23">
            <v>12.488</v>
          </cell>
          <cell r="F23">
            <v>12.488</v>
          </cell>
          <cell r="I23">
            <v>0</v>
          </cell>
          <cell r="J23">
            <v>12.488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D24">
            <v>1783.165</v>
          </cell>
          <cell r="F24">
            <v>1783.165</v>
          </cell>
          <cell r="G24">
            <v>6.39</v>
          </cell>
          <cell r="H24">
            <v>6.39</v>
          </cell>
          <cell r="I24">
            <v>153.06</v>
          </cell>
          <cell r="J24">
            <v>1630.105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D25">
            <v>4789.5110000000004</v>
          </cell>
          <cell r="F25">
            <v>4789.5110000000004</v>
          </cell>
          <cell r="G25">
            <v>10.112</v>
          </cell>
          <cell r="H25">
            <v>10.112</v>
          </cell>
          <cell r="I25">
            <v>0</v>
          </cell>
          <cell r="J25">
            <v>4789.5110000000004</v>
          </cell>
        </row>
        <row r="26">
          <cell r="A26" t="str">
            <v xml:space="preserve"> 242  Колбаса Сервелат ЗАПЕЧ.Дугушка ТМ Стародворье, вектор, в/к     ПОКОМ</v>
          </cell>
          <cell r="D26">
            <v>9056.7389999999996</v>
          </cell>
          <cell r="F26">
            <v>9056.7389999999996</v>
          </cell>
          <cell r="G26">
            <v>9.9730000000000008</v>
          </cell>
          <cell r="H26">
            <v>9.9730000000000008</v>
          </cell>
          <cell r="I26">
            <v>0</v>
          </cell>
          <cell r="J26">
            <v>9056.7389999999996</v>
          </cell>
        </row>
        <row r="27">
          <cell r="A27" t="str">
            <v xml:space="preserve"> 244  Колбаса Сервелат Кремлевский, ВЕС. ПОКОМ</v>
          </cell>
          <cell r="D27">
            <v>146.40899999999999</v>
          </cell>
          <cell r="F27">
            <v>146.40899999999999</v>
          </cell>
          <cell r="G27">
            <v>0.72799999999999998</v>
          </cell>
          <cell r="H27">
            <v>0.72799999999999998</v>
          </cell>
          <cell r="I27">
            <v>0</v>
          </cell>
          <cell r="J27">
            <v>146.40899999999999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>
            <v>8345.2530000000006</v>
          </cell>
          <cell r="F28">
            <v>8345.2530000000006</v>
          </cell>
          <cell r="G28">
            <v>92.703000000000003</v>
          </cell>
          <cell r="H28">
            <v>92.703000000000003</v>
          </cell>
          <cell r="I28">
            <v>0</v>
          </cell>
          <cell r="J28">
            <v>8345.2530000000006</v>
          </cell>
        </row>
        <row r="29">
          <cell r="A29" t="str">
            <v xml:space="preserve"> 253  Сосиски Ганноверские   ПОКОМ</v>
          </cell>
          <cell r="D29">
            <v>175.61099999999999</v>
          </cell>
          <cell r="F29">
            <v>175.61099999999999</v>
          </cell>
          <cell r="G29">
            <v>0.49</v>
          </cell>
          <cell r="H29">
            <v>0.49</v>
          </cell>
          <cell r="I29">
            <v>0</v>
          </cell>
          <cell r="J29">
            <v>175.61099999999999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D30">
            <v>24467.289000000001</v>
          </cell>
          <cell r="F30">
            <v>24467.289000000001</v>
          </cell>
          <cell r="G30">
            <v>30.574999999999999</v>
          </cell>
          <cell r="H30">
            <v>30.574999999999999</v>
          </cell>
          <cell r="I30">
            <v>4759.3379999999997</v>
          </cell>
          <cell r="J30">
            <v>19707.951000000001</v>
          </cell>
        </row>
        <row r="31">
          <cell r="A31" t="str">
            <v xml:space="preserve"> 273  Сосиски Сочинки с сочной грудинкой, МГС 0.4кг,   ПОКОМ</v>
          </cell>
          <cell r="D31">
            <v>7128.4</v>
          </cell>
          <cell r="F31">
            <v>17821</v>
          </cell>
          <cell r="G31">
            <v>41.6</v>
          </cell>
          <cell r="H31">
            <v>104</v>
          </cell>
          <cell r="I31">
            <v>120</v>
          </cell>
          <cell r="J31">
            <v>7008.4</v>
          </cell>
        </row>
        <row r="32">
          <cell r="A32" t="str">
            <v xml:space="preserve"> 276  Колбаса Сливушка ТМ Вязанка в оболочке полиамид 0,45 кг  ПОКОМ</v>
          </cell>
          <cell r="D32">
            <v>1501.65</v>
          </cell>
          <cell r="F32">
            <v>3337</v>
          </cell>
          <cell r="G32">
            <v>3.15</v>
          </cell>
          <cell r="H32">
            <v>7</v>
          </cell>
          <cell r="I32">
            <v>0</v>
          </cell>
          <cell r="J32">
            <v>1501.65</v>
          </cell>
        </row>
        <row r="33">
          <cell r="A33" t="str">
            <v xml:space="preserve"> 278  Сосиски Сочинки с сочным окороком, МГС 0.4кг,   ПОКОМ</v>
          </cell>
          <cell r="D33">
            <v>1920.8</v>
          </cell>
          <cell r="F33">
            <v>4802</v>
          </cell>
          <cell r="G33">
            <v>17.600000000000001</v>
          </cell>
          <cell r="H33">
            <v>44</v>
          </cell>
          <cell r="I33">
            <v>57.6</v>
          </cell>
          <cell r="J33">
            <v>1863.2</v>
          </cell>
        </row>
        <row r="34">
          <cell r="A34" t="str">
            <v xml:space="preserve"> 281  Сосиски Молочные для завтрака ТМ Особый рецепт, 0,4кг  ПОКОМ</v>
          </cell>
          <cell r="D34">
            <v>824.4</v>
          </cell>
          <cell r="F34">
            <v>2061</v>
          </cell>
          <cell r="G34">
            <v>13.6</v>
          </cell>
          <cell r="H34">
            <v>34</v>
          </cell>
          <cell r="I34">
            <v>0</v>
          </cell>
          <cell r="J34">
            <v>824.4</v>
          </cell>
        </row>
        <row r="35">
          <cell r="A35" t="str">
            <v xml:space="preserve"> 285  Паштет печеночный со слив.маслом ТМ Стародворье ламистер 0,1 кг  ПОКОМ</v>
          </cell>
          <cell r="D35">
            <v>88.8</v>
          </cell>
          <cell r="F35">
            <v>888</v>
          </cell>
          <cell r="I35">
            <v>0</v>
          </cell>
          <cell r="J35">
            <v>88.8</v>
          </cell>
        </row>
        <row r="36">
          <cell r="A36" t="str">
            <v xml:space="preserve"> 296  Колбаса Мясорубская с рубленой грудинкой 0,35кг срез ТМ Стародворье  ПОКОМ</v>
          </cell>
          <cell r="D36">
            <v>140.69999999999999</v>
          </cell>
          <cell r="F36">
            <v>402</v>
          </cell>
          <cell r="G36">
            <v>8.75</v>
          </cell>
          <cell r="H36">
            <v>25</v>
          </cell>
          <cell r="I36">
            <v>0</v>
          </cell>
          <cell r="J36">
            <v>140.69999999999999</v>
          </cell>
        </row>
        <row r="37">
          <cell r="A37" t="str">
            <v xml:space="preserve"> 297  Колбаса Мясорубская с рубленой грудинкой ВЕС ТМ Стародворье  ПОКОМ</v>
          </cell>
          <cell r="D37">
            <v>63.469000000000001</v>
          </cell>
          <cell r="F37">
            <v>63.469000000000001</v>
          </cell>
          <cell r="G37">
            <v>5.7149999999999999</v>
          </cell>
          <cell r="H37">
            <v>5.7149999999999999</v>
          </cell>
          <cell r="I37">
            <v>0</v>
          </cell>
          <cell r="J37">
            <v>63.469000000000001</v>
          </cell>
        </row>
        <row r="38">
          <cell r="A38" t="str">
            <v xml:space="preserve"> 301  Сосиски Сочинки по-баварски с сыром,  0.4кг, ТМ Стародворье  ПОКОМ</v>
          </cell>
          <cell r="D38">
            <v>-6.4</v>
          </cell>
          <cell r="F38">
            <v>-16</v>
          </cell>
          <cell r="G38">
            <v>22.8</v>
          </cell>
          <cell r="H38">
            <v>57</v>
          </cell>
          <cell r="I38">
            <v>0</v>
          </cell>
          <cell r="J38">
            <v>-6.4</v>
          </cell>
        </row>
        <row r="39">
          <cell r="A39" t="str">
            <v xml:space="preserve"> 302  Сосиски Сочинки по-баварски,  0.4кг, ТМ Стародворье  ПОКОМ</v>
          </cell>
          <cell r="D39">
            <v>351.2</v>
          </cell>
          <cell r="F39">
            <v>878</v>
          </cell>
          <cell r="G39">
            <v>3.6</v>
          </cell>
          <cell r="H39">
            <v>9</v>
          </cell>
          <cell r="I39">
            <v>0</v>
          </cell>
          <cell r="J39">
            <v>351.2</v>
          </cell>
        </row>
        <row r="40">
          <cell r="A40" t="str">
            <v xml:space="preserve"> 305  Колбаса Сервелат Мясорубский с мелкорубленным окороком в/у  ТМ Стародворье ВЕС   ПОКОМ</v>
          </cell>
          <cell r="D40">
            <v>98.081000000000003</v>
          </cell>
          <cell r="F40">
            <v>98.081000000000003</v>
          </cell>
          <cell r="G40">
            <v>1.456</v>
          </cell>
          <cell r="H40">
            <v>1.456</v>
          </cell>
          <cell r="I40">
            <v>0</v>
          </cell>
          <cell r="J40">
            <v>98.081000000000003</v>
          </cell>
        </row>
        <row r="41">
          <cell r="A41" t="str">
            <v xml:space="preserve"> 307  Колбаса Сервелат Мясорубский с мелкорубленным окороком 0,35 кг срез ТМ Стародворье   Поком</v>
          </cell>
          <cell r="D41">
            <v>1031.45</v>
          </cell>
          <cell r="F41">
            <v>2947</v>
          </cell>
          <cell r="G41">
            <v>13.3</v>
          </cell>
          <cell r="H41">
            <v>38</v>
          </cell>
          <cell r="I41">
            <v>0</v>
          </cell>
          <cell r="J41">
            <v>1031.45</v>
          </cell>
        </row>
        <row r="42">
          <cell r="A42" t="str">
            <v xml:space="preserve"> 309  Сосиски Сочинки с сыром 0,4 кг ТМ Стародворье  ПОКОМ</v>
          </cell>
          <cell r="D42">
            <v>474.4</v>
          </cell>
          <cell r="F42">
            <v>1186</v>
          </cell>
          <cell r="G42">
            <v>3.6</v>
          </cell>
          <cell r="H42">
            <v>9</v>
          </cell>
          <cell r="I42">
            <v>0</v>
          </cell>
          <cell r="J42">
            <v>474.4</v>
          </cell>
        </row>
        <row r="43">
          <cell r="A43" t="str">
            <v xml:space="preserve"> 312  Ветчина Филейская ВЕС ТМ  Вязанка ТС Столичная  ПОКОМ</v>
          </cell>
          <cell r="D43">
            <v>427.40600000000001</v>
          </cell>
          <cell r="F43">
            <v>427.40600000000001</v>
          </cell>
          <cell r="G43">
            <v>1.1359999999999999</v>
          </cell>
          <cell r="H43">
            <v>1.1359999999999999</v>
          </cell>
          <cell r="I43">
            <v>0</v>
          </cell>
          <cell r="J43">
            <v>427.40600000000001</v>
          </cell>
        </row>
        <row r="44">
          <cell r="A44" t="str">
            <v xml:space="preserve"> 315  Колбаса вареная Молокуша ТМ Вязанка ВЕС, ПОКОМ</v>
          </cell>
          <cell r="D44">
            <v>2079.3919999999998</v>
          </cell>
          <cell r="F44">
            <v>2079.3919999999998</v>
          </cell>
          <cell r="G44">
            <v>7.0179999999999998</v>
          </cell>
          <cell r="H44">
            <v>7.0179999999999998</v>
          </cell>
          <cell r="I44">
            <v>365.33600000000001</v>
          </cell>
          <cell r="J44">
            <v>1714.0559999999998</v>
          </cell>
        </row>
        <row r="45">
          <cell r="A45" t="str">
            <v xml:space="preserve"> 319  Колбаса вареная Филейская ТМ Вязанка ТС Классическая, 0,45 кг. ПОКОМ</v>
          </cell>
          <cell r="D45">
            <v>867.6</v>
          </cell>
          <cell r="F45">
            <v>1928</v>
          </cell>
          <cell r="G45">
            <v>5.85</v>
          </cell>
          <cell r="H45">
            <v>13</v>
          </cell>
          <cell r="I45">
            <v>0</v>
          </cell>
          <cell r="J45">
            <v>867.6</v>
          </cell>
        </row>
        <row r="46">
          <cell r="A46" t="str">
            <v xml:space="preserve"> 322  Колбаса вареная Молокуша 0,45кг ТМ Вязанка  ПОКОМ</v>
          </cell>
          <cell r="D46">
            <v>1033.6500000000001</v>
          </cell>
          <cell r="F46">
            <v>2297</v>
          </cell>
          <cell r="G46">
            <v>2.25</v>
          </cell>
          <cell r="H46">
            <v>5</v>
          </cell>
          <cell r="I46">
            <v>0</v>
          </cell>
          <cell r="J46">
            <v>1033.6500000000001</v>
          </cell>
        </row>
        <row r="47">
          <cell r="A47" t="str">
            <v xml:space="preserve"> 329  Сардельки Сочинки с сыром Стародворье ТМ, 0,4 кг. ПОКОМ</v>
          </cell>
          <cell r="D47">
            <v>18.8</v>
          </cell>
          <cell r="F47">
            <v>47</v>
          </cell>
          <cell r="G47">
            <v>14.8</v>
          </cell>
          <cell r="H47">
            <v>37</v>
          </cell>
          <cell r="I47">
            <v>0</v>
          </cell>
          <cell r="J47">
            <v>18.8</v>
          </cell>
        </row>
        <row r="48">
          <cell r="A48" t="str">
            <v xml:space="preserve"> 330  Колбаса вареная Филейская ТМ Вязанка ТС Классическая ВЕС  ПОКОМ</v>
          </cell>
          <cell r="D48">
            <v>1988.191</v>
          </cell>
          <cell r="F48">
            <v>1988.191</v>
          </cell>
          <cell r="G48">
            <v>8.577</v>
          </cell>
          <cell r="H48">
            <v>8.577</v>
          </cell>
          <cell r="I48">
            <v>0</v>
          </cell>
          <cell r="J48">
            <v>1988.191</v>
          </cell>
        </row>
        <row r="49">
          <cell r="A49" t="str">
            <v xml:space="preserve"> 334  Паштет Любительский ТМ Стародворье ламистер 0,1 кг  ПОКОМ</v>
          </cell>
          <cell r="D49">
            <v>52.3</v>
          </cell>
          <cell r="F49">
            <v>523</v>
          </cell>
          <cell r="G49">
            <v>0.3</v>
          </cell>
          <cell r="H49">
            <v>3</v>
          </cell>
          <cell r="I49">
            <v>0</v>
          </cell>
          <cell r="J49">
            <v>52.3</v>
          </cell>
        </row>
        <row r="50">
          <cell r="A50" t="str">
            <v xml:space="preserve"> 335  Колбаса Сливушка ТМ Вязанка. ВЕС.  ПОКОМ </v>
          </cell>
          <cell r="D50">
            <v>1734.296</v>
          </cell>
          <cell r="F50">
            <v>1734.296</v>
          </cell>
          <cell r="G50">
            <v>3.5710000000000002</v>
          </cell>
          <cell r="H50">
            <v>3.5710000000000002</v>
          </cell>
          <cell r="I50">
            <v>160.75899999999999</v>
          </cell>
          <cell r="J50">
            <v>1573.537</v>
          </cell>
        </row>
        <row r="51">
          <cell r="A51" t="str">
            <v xml:space="preserve"> 336  Ветчина Сливушка с индейкой ТМ Вязанка. ВЕС  ПОКОМ</v>
          </cell>
          <cell r="D51">
            <v>107.637</v>
          </cell>
          <cell r="F51">
            <v>107.637</v>
          </cell>
          <cell r="G51">
            <v>1.6739999999999999</v>
          </cell>
          <cell r="H51">
            <v>1.6739999999999999</v>
          </cell>
          <cell r="I51">
            <v>0</v>
          </cell>
          <cell r="J51">
            <v>107.637</v>
          </cell>
        </row>
        <row r="52">
          <cell r="A52" t="str">
            <v xml:space="preserve"> 338  Паштет печеночный с морковью ТМ Стародворье ламистер 0,1 кг.  ПОКОМ</v>
          </cell>
          <cell r="D52">
            <v>49.3</v>
          </cell>
          <cell r="F52">
            <v>493</v>
          </cell>
          <cell r="I52">
            <v>0</v>
          </cell>
          <cell r="J52">
            <v>49.3</v>
          </cell>
        </row>
        <row r="53">
          <cell r="A53" t="str">
            <v xml:space="preserve"> 339  Колбаса вареная Филейская ТМ Вязанка ТС Классическая, 0,40 кг.  ПОКОМ</v>
          </cell>
          <cell r="D53">
            <v>15.6</v>
          </cell>
          <cell r="F53">
            <v>39</v>
          </cell>
          <cell r="I53">
            <v>0</v>
          </cell>
          <cell r="J53">
            <v>15.6</v>
          </cell>
        </row>
        <row r="54">
          <cell r="A54" t="str">
            <v xml:space="preserve"> 340  Сосиски Сочинки Молочные ТМ Стародворье, ВЕС ПОКОМ</v>
          </cell>
          <cell r="D54">
            <v>226.07599999999999</v>
          </cell>
          <cell r="F54">
            <v>226.07599999999999</v>
          </cell>
          <cell r="G54">
            <v>13.198</v>
          </cell>
          <cell r="H54">
            <v>13.198</v>
          </cell>
          <cell r="I54">
            <v>0</v>
          </cell>
          <cell r="J54">
            <v>226.07599999999999</v>
          </cell>
        </row>
        <row r="55">
          <cell r="A55" t="str">
            <v xml:space="preserve"> 341 Сосиски Сочинки Сливочные ТМ Стародворье ВЕС ПОКОМ</v>
          </cell>
          <cell r="D55">
            <v>52.124000000000002</v>
          </cell>
          <cell r="F55">
            <v>52.124000000000002</v>
          </cell>
          <cell r="G55">
            <v>71.5</v>
          </cell>
          <cell r="H55">
            <v>71.5</v>
          </cell>
          <cell r="I55">
            <v>0</v>
          </cell>
          <cell r="J55">
            <v>52.124000000000002</v>
          </cell>
        </row>
        <row r="56">
          <cell r="A56" t="str">
            <v xml:space="preserve"> 342 Сосиски Сочинки Молочные ТМ Стародворье 0,4 кг ПОКОМ</v>
          </cell>
          <cell r="D56">
            <v>859.2</v>
          </cell>
          <cell r="F56">
            <v>2148</v>
          </cell>
          <cell r="G56">
            <v>4.4000000000000004</v>
          </cell>
          <cell r="H56">
            <v>11</v>
          </cell>
          <cell r="I56">
            <v>0</v>
          </cell>
          <cell r="J56">
            <v>859.2</v>
          </cell>
        </row>
        <row r="57">
          <cell r="A57" t="str">
            <v xml:space="preserve"> 343 Сосиски Сочинки Сливочные ТМ Стародворье  0,4 кг ПОКОМ</v>
          </cell>
          <cell r="D57">
            <v>596</v>
          </cell>
          <cell r="F57">
            <v>1490</v>
          </cell>
          <cell r="G57">
            <v>4.8</v>
          </cell>
          <cell r="H57">
            <v>12</v>
          </cell>
          <cell r="I57">
            <v>0</v>
          </cell>
          <cell r="J57">
            <v>596</v>
          </cell>
        </row>
        <row r="58">
          <cell r="A58" t="str">
            <v xml:space="preserve"> 344  Колбаса Сочинка по-европейски с сочной грудинкой ТМ Стародворье, ВЕС ПОКОМ</v>
          </cell>
          <cell r="D58">
            <v>225.732</v>
          </cell>
          <cell r="F58">
            <v>225.732</v>
          </cell>
          <cell r="G58">
            <v>0.90100000000000002</v>
          </cell>
          <cell r="H58">
            <v>0.90100000000000002</v>
          </cell>
          <cell r="I58">
            <v>0</v>
          </cell>
          <cell r="J58">
            <v>225.732</v>
          </cell>
        </row>
        <row r="59">
          <cell r="A59" t="str">
            <v xml:space="preserve"> 345  Колбаса Сочинка по-фински с сочным окроком ТМ Стародворье ВЕС ПОКОМ</v>
          </cell>
          <cell r="D59">
            <v>342.47899999999998</v>
          </cell>
          <cell r="F59">
            <v>342.47899999999998</v>
          </cell>
          <cell r="G59">
            <v>7.2240000000000002</v>
          </cell>
          <cell r="H59">
            <v>7.2240000000000002</v>
          </cell>
          <cell r="I59">
            <v>0</v>
          </cell>
          <cell r="J59">
            <v>342.47899999999998</v>
          </cell>
        </row>
        <row r="60">
          <cell r="A60" t="str">
            <v xml:space="preserve"> 346  Колбаса Сочинка зернистая с сочной грудинкой ТМ Стародворье.ВЕС ПОКОМ</v>
          </cell>
          <cell r="D60">
            <v>2852.0340000000001</v>
          </cell>
          <cell r="F60">
            <v>2852.0340000000001</v>
          </cell>
          <cell r="G60">
            <v>32.722999999999999</v>
          </cell>
          <cell r="H60">
            <v>32.722999999999999</v>
          </cell>
          <cell r="I60">
            <v>0</v>
          </cell>
          <cell r="J60">
            <v>2852.0340000000001</v>
          </cell>
        </row>
        <row r="61">
          <cell r="A61" t="str">
            <v xml:space="preserve"> 347  Колбаса Сочинка рубленая с сочным окороком ТМ Стародворье ВЕС ПОКОМ</v>
          </cell>
          <cell r="D61">
            <v>246.13</v>
          </cell>
          <cell r="F61">
            <v>246.13</v>
          </cell>
          <cell r="G61">
            <v>9.7080000000000002</v>
          </cell>
          <cell r="H61">
            <v>9.7080000000000002</v>
          </cell>
          <cell r="I61">
            <v>0</v>
          </cell>
          <cell r="J61">
            <v>246.13</v>
          </cell>
        </row>
        <row r="62">
          <cell r="A62" t="str">
            <v xml:space="preserve"> 364  Сардельки Филейские Вязанка ВЕС NDX ТМ Вязанка  ПОКОМ</v>
          </cell>
          <cell r="D62">
            <v>1824.0409999999999</v>
          </cell>
          <cell r="F62">
            <v>1824.0409999999999</v>
          </cell>
          <cell r="G62">
            <v>145.06800000000001</v>
          </cell>
          <cell r="H62">
            <v>145.06800000000001</v>
          </cell>
          <cell r="I62">
            <v>0</v>
          </cell>
          <cell r="J62">
            <v>1824.0409999999999</v>
          </cell>
        </row>
        <row r="63">
          <cell r="A63" t="str">
            <v xml:space="preserve"> 376  Колбаса Докторская Дугушка 0,6кг ГОСТ ТМ Стародворье  ПОКОМ </v>
          </cell>
          <cell r="D63">
            <v>1401.6</v>
          </cell>
          <cell r="F63">
            <v>2336</v>
          </cell>
          <cell r="G63">
            <v>37.200000000000003</v>
          </cell>
          <cell r="H63">
            <v>62</v>
          </cell>
          <cell r="I63">
            <v>0</v>
          </cell>
          <cell r="J63">
            <v>1401.6</v>
          </cell>
        </row>
        <row r="64">
          <cell r="A64" t="str">
            <v xml:space="preserve"> 377  Колбаса Молочная Дугушка 0,6кг ТМ Стародворье  ПОКОМ</v>
          </cell>
          <cell r="D64">
            <v>1357.8</v>
          </cell>
          <cell r="F64">
            <v>2263</v>
          </cell>
          <cell r="G64">
            <v>9.6</v>
          </cell>
          <cell r="H64">
            <v>16</v>
          </cell>
          <cell r="I64">
            <v>0</v>
          </cell>
          <cell r="J64">
            <v>1357.8</v>
          </cell>
        </row>
        <row r="65">
          <cell r="A65" t="str">
            <v xml:space="preserve"> 394 Колбаса полукопченая Аль-Ислами халяль ТМ Вязанка оболочка фиброуз в в/у 0,35 кг  ПОКОМ</v>
          </cell>
          <cell r="D65">
            <v>77</v>
          </cell>
          <cell r="F65">
            <v>220</v>
          </cell>
          <cell r="G65">
            <v>2.1</v>
          </cell>
          <cell r="H65">
            <v>6</v>
          </cell>
          <cell r="I65">
            <v>0</v>
          </cell>
          <cell r="J65">
            <v>77</v>
          </cell>
        </row>
        <row r="66">
          <cell r="A66" t="str">
            <v xml:space="preserve"> 395  Колбаса Докторская ГОСТ ТМ Вязанка в оболочке полиамид 0,37 кг. ПОКОМ</v>
          </cell>
          <cell r="D66">
            <v>204.61</v>
          </cell>
          <cell r="F66">
            <v>553</v>
          </cell>
          <cell r="G66">
            <v>1.1100000000000001</v>
          </cell>
          <cell r="H66">
            <v>3</v>
          </cell>
          <cell r="I66">
            <v>0</v>
          </cell>
          <cell r="J66">
            <v>204.61</v>
          </cell>
        </row>
        <row r="67">
          <cell r="A67" t="str">
            <v xml:space="preserve"> 397  Ветчина Дугушка ТМ Стародворье ТС Дугушка в полиамидной оболочке 0,6 кг. ПОКОМ</v>
          </cell>
          <cell r="D67">
            <v>1622.5482</v>
          </cell>
          <cell r="F67">
            <v>2704.2469999999998</v>
          </cell>
          <cell r="I67">
            <v>0</v>
          </cell>
          <cell r="J67">
            <v>1622.5482</v>
          </cell>
        </row>
        <row r="68">
          <cell r="A68" t="str">
            <v xml:space="preserve"> 405  Сардельки Сливушки ТМ Вязанка в оболочке айпил 0,33 кг. ПОКОМ</v>
          </cell>
          <cell r="D68">
            <v>233.97</v>
          </cell>
          <cell r="F68">
            <v>709</v>
          </cell>
          <cell r="G68">
            <v>2.64</v>
          </cell>
          <cell r="H68">
            <v>8</v>
          </cell>
          <cell r="I68">
            <v>0</v>
          </cell>
          <cell r="J68">
            <v>233.97</v>
          </cell>
        </row>
        <row r="69">
          <cell r="A69" t="str">
            <v xml:space="preserve"> 408  Ветчина Сливушка с индейкой ТМ Вязанка, 0,4кг  ПОКОМ</v>
          </cell>
          <cell r="D69">
            <v>87.2</v>
          </cell>
          <cell r="F69">
            <v>218</v>
          </cell>
          <cell r="G69">
            <v>1.6</v>
          </cell>
          <cell r="H69">
            <v>4</v>
          </cell>
          <cell r="I69">
            <v>0</v>
          </cell>
          <cell r="J69">
            <v>87.2</v>
          </cell>
        </row>
        <row r="70">
          <cell r="A70" t="str">
            <v xml:space="preserve"> 410  Сосиски Баварские с сыром ТМ Стародворье 0,35 кг. ПОКОМ</v>
          </cell>
          <cell r="D70">
            <v>203.35</v>
          </cell>
          <cell r="F70">
            <v>581</v>
          </cell>
          <cell r="G70">
            <v>4.2</v>
          </cell>
          <cell r="H70">
            <v>12</v>
          </cell>
          <cell r="I70">
            <v>0</v>
          </cell>
          <cell r="J70">
            <v>203.35</v>
          </cell>
        </row>
        <row r="71">
          <cell r="A71" t="str">
            <v xml:space="preserve"> 412  Сосиски Баварские ТМ Стародворье 0,35 кг ПОКОМ</v>
          </cell>
          <cell r="D71">
            <v>564.20000000000005</v>
          </cell>
          <cell r="F71">
            <v>1612</v>
          </cell>
          <cell r="G71">
            <v>9.8000000000000007</v>
          </cell>
          <cell r="H71">
            <v>28</v>
          </cell>
          <cell r="I71">
            <v>0</v>
          </cell>
          <cell r="J71">
            <v>564.20000000000005</v>
          </cell>
        </row>
        <row r="72">
          <cell r="A72" t="str">
            <v xml:space="preserve"> 430  Колбаса Стародворская с окороком 0,4 кг. ТМ Стародворье в оболочке полиамид  ПОКОМ</v>
          </cell>
          <cell r="D72">
            <v>28.4</v>
          </cell>
          <cell r="F72">
            <v>71</v>
          </cell>
          <cell r="I72">
            <v>0</v>
          </cell>
          <cell r="J72">
            <v>28.4</v>
          </cell>
        </row>
        <row r="73">
          <cell r="A73" t="str">
            <v xml:space="preserve"> 433 Колбаса Стародворская со шпиком  в оболочке полиамид. ТМ Стародворье ВЕС ПОКОМ</v>
          </cell>
          <cell r="D73">
            <v>31.475000000000001</v>
          </cell>
          <cell r="F73">
            <v>31.475000000000001</v>
          </cell>
          <cell r="G73">
            <v>2.738</v>
          </cell>
          <cell r="H73">
            <v>2.738</v>
          </cell>
          <cell r="I73">
            <v>0</v>
          </cell>
          <cell r="J73">
            <v>31.475000000000001</v>
          </cell>
        </row>
        <row r="74">
          <cell r="A74" t="str">
            <v xml:space="preserve"> 449  Колбаса Дугушка Стародворская ВЕС ТС Дугушка ПОКОМ</v>
          </cell>
          <cell r="D74">
            <v>14588.237999999999</v>
          </cell>
          <cell r="F74">
            <v>14588.237999999999</v>
          </cell>
          <cell r="G74">
            <v>9.7629999999999999</v>
          </cell>
          <cell r="H74">
            <v>9.7629999999999999</v>
          </cell>
          <cell r="I74">
            <v>790.3</v>
          </cell>
          <cell r="J74">
            <v>13797.938</v>
          </cell>
        </row>
        <row r="75">
          <cell r="A75" t="str">
            <v xml:space="preserve"> 451 Сосиски Филейские ТМ Вязанка в оболочке целлофан 0,3 кг. ПОКОМ</v>
          </cell>
          <cell r="D75">
            <v>248.4</v>
          </cell>
          <cell r="F75">
            <v>828</v>
          </cell>
          <cell r="G75">
            <v>2.4</v>
          </cell>
          <cell r="H75">
            <v>8</v>
          </cell>
          <cell r="I75">
            <v>0</v>
          </cell>
          <cell r="J75">
            <v>248.4</v>
          </cell>
        </row>
        <row r="76">
          <cell r="A76" t="str">
            <v xml:space="preserve"> 452  Колбаса Со шпиком ВЕС большой батон ТМ Особый рецепт  ПОКОМ</v>
          </cell>
          <cell r="D76">
            <v>6005.1570000000002</v>
          </cell>
          <cell r="F76">
            <v>6005.1570000000002</v>
          </cell>
          <cell r="G76">
            <v>11.891</v>
          </cell>
          <cell r="H76">
            <v>11.891</v>
          </cell>
          <cell r="I76">
            <v>731.33799999999997</v>
          </cell>
          <cell r="J76">
            <v>5273.8190000000004</v>
          </cell>
        </row>
        <row r="77">
          <cell r="A77" t="str">
            <v xml:space="preserve"> 456  Колбаса Филейная ТМ Особый рецепт ВЕС большой батон  ПОКОМ</v>
          </cell>
          <cell r="D77">
            <v>13151.79</v>
          </cell>
          <cell r="F77">
            <v>13151.79</v>
          </cell>
          <cell r="G77">
            <v>13.259</v>
          </cell>
          <cell r="H77">
            <v>13.259</v>
          </cell>
          <cell r="I77">
            <v>2415.2869999999998</v>
          </cell>
          <cell r="J77">
            <v>10736.503000000001</v>
          </cell>
        </row>
        <row r="78">
          <cell r="A78" t="str">
            <v xml:space="preserve"> 457  Колбаса Молочная ТМ Особый рецепт ВЕС большой батон  ПОКОМ</v>
          </cell>
          <cell r="D78">
            <v>19606.350999999999</v>
          </cell>
          <cell r="F78">
            <v>19606.350999999999</v>
          </cell>
          <cell r="G78">
            <v>8.9830000000000005</v>
          </cell>
          <cell r="H78">
            <v>8.9830000000000005</v>
          </cell>
          <cell r="I78">
            <v>2858.7359999999999</v>
          </cell>
          <cell r="J78">
            <v>16747.614999999998</v>
          </cell>
        </row>
        <row r="79">
          <cell r="A79" t="str">
            <v xml:space="preserve"> 460  Колбаса Стародворская Традиционная ВЕС ТМ Стародворье в оболочке полиамид. ПОКОМ</v>
          </cell>
          <cell r="D79">
            <v>120.73399999999999</v>
          </cell>
          <cell r="F79">
            <v>120.73399999999999</v>
          </cell>
          <cell r="I79">
            <v>0</v>
          </cell>
          <cell r="J79">
            <v>120.73399999999999</v>
          </cell>
        </row>
        <row r="80">
          <cell r="A80" t="str">
            <v xml:space="preserve"> 463  Колбаса Молочная Традиционнаяв оболочке полиамид.ТМ Стародворье. ВЕС ПОКОМ</v>
          </cell>
          <cell r="D80">
            <v>-2.63</v>
          </cell>
          <cell r="F80">
            <v>-2.63</v>
          </cell>
          <cell r="G80">
            <v>3.99</v>
          </cell>
          <cell r="H80">
            <v>3.99</v>
          </cell>
          <cell r="I80">
            <v>0</v>
          </cell>
          <cell r="J80">
            <v>-2.63</v>
          </cell>
        </row>
        <row r="81">
          <cell r="A81" t="str">
            <v xml:space="preserve"> 485  Колбаса Молочная по-стародворски ТМ Стародворье в оболочке полиамид. ВЕС ПОКОМ </v>
          </cell>
          <cell r="D81">
            <v>171.50899999999999</v>
          </cell>
          <cell r="F81">
            <v>171.50899999999999</v>
          </cell>
          <cell r="G81">
            <v>0.60399999999999998</v>
          </cell>
          <cell r="H81">
            <v>0.60399999999999998</v>
          </cell>
          <cell r="I81">
            <v>0</v>
          </cell>
          <cell r="J81">
            <v>171.50899999999999</v>
          </cell>
        </row>
        <row r="82">
          <cell r="A82" t="str">
            <v xml:space="preserve"> 498  Колбаса Сочинка рубленая с сочным окороком 0,3кг ТМ Стародворье  ПОКОМ</v>
          </cell>
          <cell r="D82">
            <v>123.3</v>
          </cell>
          <cell r="F82">
            <v>411</v>
          </cell>
          <cell r="G82">
            <v>6.3</v>
          </cell>
          <cell r="H82">
            <v>21</v>
          </cell>
          <cell r="I82">
            <v>0</v>
          </cell>
          <cell r="J82">
            <v>123.3</v>
          </cell>
        </row>
        <row r="83">
          <cell r="A83" t="str">
            <v xml:space="preserve"> 517  Сосиски С сыром ТМ Ядрена копоть 0,3кг  ПОКОМ</v>
          </cell>
          <cell r="D83">
            <v>35.700000000000003</v>
          </cell>
          <cell r="F83">
            <v>119</v>
          </cell>
          <cell r="G83">
            <v>1.2</v>
          </cell>
          <cell r="H83">
            <v>4</v>
          </cell>
          <cell r="I83">
            <v>0</v>
          </cell>
          <cell r="J83">
            <v>35.700000000000003</v>
          </cell>
        </row>
        <row r="84">
          <cell r="A84" t="str">
            <v xml:space="preserve"> 523  Колбаса Сальчичон нарезка 0,07кг ТМ Стародворье  ПОКОМ </v>
          </cell>
          <cell r="D84">
            <v>43.12</v>
          </cell>
          <cell r="F84">
            <v>616</v>
          </cell>
          <cell r="G84">
            <v>0.35</v>
          </cell>
          <cell r="H84">
            <v>5</v>
          </cell>
          <cell r="I84">
            <v>0</v>
          </cell>
          <cell r="J84">
            <v>43.12</v>
          </cell>
        </row>
        <row r="85">
          <cell r="A85" t="str">
            <v xml:space="preserve"> 524  Колбаса Сервелат Ореховый нарезка 0,07кг ТМ Стародворье  ПОКОМ</v>
          </cell>
          <cell r="D85">
            <v>40.32</v>
          </cell>
          <cell r="F85">
            <v>576</v>
          </cell>
          <cell r="G85">
            <v>7.0000000000000007E-2</v>
          </cell>
          <cell r="H85">
            <v>1</v>
          </cell>
          <cell r="I85">
            <v>0</v>
          </cell>
          <cell r="J85">
            <v>40.32</v>
          </cell>
        </row>
        <row r="86">
          <cell r="A86" t="str">
            <v xml:space="preserve"> 525  Колбаса Фуэт нарезка 0,07кг ТМ Стародворье  ПОКОМ</v>
          </cell>
          <cell r="D86">
            <v>33.32</v>
          </cell>
          <cell r="F86">
            <v>476</v>
          </cell>
          <cell r="G86">
            <v>0.21</v>
          </cell>
          <cell r="H86">
            <v>3</v>
          </cell>
          <cell r="I86">
            <v>0</v>
          </cell>
          <cell r="J86">
            <v>33.32</v>
          </cell>
        </row>
        <row r="87">
          <cell r="A87" t="str">
            <v xml:space="preserve"> 526  Корейка вяленая выдержанная нарезка 0,05кг ТМ Стародворье  ПОКОМ</v>
          </cell>
          <cell r="D87">
            <v>16.55</v>
          </cell>
          <cell r="F87">
            <v>331</v>
          </cell>
          <cell r="G87">
            <v>0.25</v>
          </cell>
          <cell r="H87">
            <v>5</v>
          </cell>
          <cell r="I87">
            <v>0</v>
          </cell>
          <cell r="J87">
            <v>16.55</v>
          </cell>
        </row>
        <row r="88">
          <cell r="A88" t="str">
            <v xml:space="preserve"> 527  Окорок Прошутто выдержанный нарезка 0,055кг ТМ Стародворье  ПОКОМ</v>
          </cell>
          <cell r="D88">
            <v>-0.495</v>
          </cell>
          <cell r="F88">
            <v>-9</v>
          </cell>
          <cell r="G88">
            <v>0.495</v>
          </cell>
          <cell r="H88">
            <v>9</v>
          </cell>
          <cell r="I88">
            <v>0</v>
          </cell>
          <cell r="J88">
            <v>-0.495</v>
          </cell>
        </row>
        <row r="89">
          <cell r="A89" t="str">
            <v xml:space="preserve"> 530  Окорок Хамон выдержанный нарезка 0,055кг ТМ Стародворье  ПОКОМ</v>
          </cell>
          <cell r="D89">
            <v>2.09</v>
          </cell>
          <cell r="F89">
            <v>38</v>
          </cell>
          <cell r="G89">
            <v>0.27500000000000002</v>
          </cell>
          <cell r="H89">
            <v>5</v>
          </cell>
          <cell r="I89">
            <v>0</v>
          </cell>
          <cell r="J89">
            <v>2.09</v>
          </cell>
        </row>
        <row r="90">
          <cell r="A90" t="str">
            <v xml:space="preserve"> 544  Сосиски Мясные для гриля ТС Ядрена копоть 0,3 кг  ПОКОМ</v>
          </cell>
          <cell r="D90">
            <v>12.9</v>
          </cell>
          <cell r="F90">
            <v>43</v>
          </cell>
          <cell r="G90">
            <v>0.9</v>
          </cell>
          <cell r="H90">
            <v>3</v>
          </cell>
          <cell r="I90">
            <v>0</v>
          </cell>
          <cell r="J90">
            <v>12.9</v>
          </cell>
        </row>
        <row r="91">
          <cell r="A91" t="str">
            <v xml:space="preserve"> 547  Колбаса Мясная Классическая ТМ Вязанка в оболочке полиамид. ВЕС  ПОКОМ</v>
          </cell>
          <cell r="D91">
            <v>49.271000000000001</v>
          </cell>
          <cell r="F91">
            <v>49.271000000000001</v>
          </cell>
          <cell r="G91">
            <v>0.64900000000000002</v>
          </cell>
          <cell r="H91">
            <v>0.64900000000000002</v>
          </cell>
          <cell r="I91">
            <v>0</v>
          </cell>
          <cell r="J91">
            <v>49.271000000000001</v>
          </cell>
        </row>
        <row r="92">
          <cell r="A92" t="str">
            <v xml:space="preserve"> 551  Колбаса Сливушка ТМ Вязанка в модифицированной газовой среде 0,11 кг нарезка  ПОКОМ</v>
          </cell>
          <cell r="D92">
            <v>5.28</v>
          </cell>
          <cell r="F92">
            <v>48</v>
          </cell>
          <cell r="G92">
            <v>2.42</v>
          </cell>
          <cell r="H92">
            <v>22</v>
          </cell>
          <cell r="I92">
            <v>0</v>
          </cell>
          <cell r="J92">
            <v>5.28</v>
          </cell>
        </row>
        <row r="93">
          <cell r="A93" t="str">
            <v xml:space="preserve"> 553  Ассорти колбас Мясорубская коллекция: Сервелат Делюкс, С балыком 0,08 кг нарезка  ПОКОМ</v>
          </cell>
          <cell r="D93">
            <v>78.64</v>
          </cell>
          <cell r="F93">
            <v>983</v>
          </cell>
          <cell r="G93">
            <v>1.2</v>
          </cell>
          <cell r="H93">
            <v>15</v>
          </cell>
          <cell r="I93">
            <v>0</v>
          </cell>
          <cell r="J93">
            <v>78.64</v>
          </cell>
        </row>
        <row r="94">
          <cell r="A94" t="str">
            <v xml:space="preserve"> 554  Колбаса Сервелат Мясорубский ТМ Стародворье в упаковке скин 0,08 кг нарезка  ПОКОМ</v>
          </cell>
          <cell r="D94">
            <v>36.72</v>
          </cell>
          <cell r="F94">
            <v>459</v>
          </cell>
          <cell r="G94">
            <v>0.64</v>
          </cell>
          <cell r="H94">
            <v>8</v>
          </cell>
          <cell r="I94">
            <v>0</v>
          </cell>
          <cell r="J94">
            <v>36.72</v>
          </cell>
        </row>
        <row r="95">
          <cell r="A95" t="str">
            <v xml:space="preserve"> 555  Колбаса Молокуша ТМ Вязанка в модифицированной газовой среде 0,17 кг нарезка  ПОКОМ</v>
          </cell>
          <cell r="D95">
            <v>29.75</v>
          </cell>
          <cell r="F95">
            <v>175</v>
          </cell>
          <cell r="G95">
            <v>5.95</v>
          </cell>
          <cell r="H95">
            <v>35</v>
          </cell>
          <cell r="I95">
            <v>0</v>
          </cell>
          <cell r="J95">
            <v>29.75</v>
          </cell>
        </row>
        <row r="96">
          <cell r="A96" t="str">
            <v xml:space="preserve"> 556  Колбаса Сервелат Ореховый ТМ Вязанка в оболочке фиброуз в вакуумной упаковке, ВЕС  ПОКОМ</v>
          </cell>
          <cell r="D96">
            <v>958.38900000000001</v>
          </cell>
          <cell r="F96">
            <v>958.38900000000001</v>
          </cell>
          <cell r="G96">
            <v>17.809000000000001</v>
          </cell>
          <cell r="H96">
            <v>17.809000000000001</v>
          </cell>
          <cell r="I96">
            <v>0</v>
          </cell>
          <cell r="J96">
            <v>958.38900000000001</v>
          </cell>
        </row>
        <row r="97">
          <cell r="A97" t="str">
            <v xml:space="preserve"> 557  Колбаса Сервелат Финский ТМ Вязанка в оболочке фиброуз в вакуумной упаковке, ВЕС  ПОКОМ</v>
          </cell>
          <cell r="D97">
            <v>305.27199999999999</v>
          </cell>
          <cell r="F97">
            <v>305.27199999999999</v>
          </cell>
          <cell r="G97">
            <v>20.850999999999999</v>
          </cell>
          <cell r="H97">
            <v>20.850999999999999</v>
          </cell>
          <cell r="I97">
            <v>0</v>
          </cell>
          <cell r="J97">
            <v>305.27199999999999</v>
          </cell>
        </row>
        <row r="98">
          <cell r="A98" t="str">
            <v xml:space="preserve"> 558  Колбаса Балыковая НОВАЯ ВЕС Вязанка фиброуз в/у ПОКОМ</v>
          </cell>
          <cell r="D98">
            <v>757.77200000000005</v>
          </cell>
          <cell r="F98">
            <v>757.77200000000005</v>
          </cell>
          <cell r="G98">
            <v>18.861000000000001</v>
          </cell>
          <cell r="H98">
            <v>18.861000000000001</v>
          </cell>
          <cell r="I98">
            <v>0</v>
          </cell>
          <cell r="J98">
            <v>757.77200000000005</v>
          </cell>
        </row>
        <row r="99">
          <cell r="A99" t="str">
            <v xml:space="preserve"> 564  Сосиски Сочные 0,3 кг ТМ Вязанка  ПОКОМ</v>
          </cell>
          <cell r="D99">
            <v>55.5</v>
          </cell>
          <cell r="F99">
            <v>185</v>
          </cell>
          <cell r="G99">
            <v>0.3</v>
          </cell>
          <cell r="H99">
            <v>1</v>
          </cell>
          <cell r="I99">
            <v>0</v>
          </cell>
          <cell r="J99">
            <v>55.5</v>
          </cell>
        </row>
        <row r="100">
          <cell r="A100" t="str">
            <v xml:space="preserve"> 567 Колбаса Со шпиком Стародворская ТМ Стародворье в оболочке полиамид ВЕС  ПОКОМ</v>
          </cell>
          <cell r="D100">
            <v>10.323</v>
          </cell>
          <cell r="F100">
            <v>10.323</v>
          </cell>
          <cell r="G100">
            <v>4.8079999999999998</v>
          </cell>
          <cell r="H100">
            <v>4.8079999999999998</v>
          </cell>
          <cell r="I100">
            <v>0</v>
          </cell>
          <cell r="J100">
            <v>10.323</v>
          </cell>
        </row>
        <row r="101">
          <cell r="A101" t="str">
            <v xml:space="preserve"> 569  Колбаса Балыковая ТМ Вязанка в оболочке фиброуз в вакуумной упаковке 0,28 кг срез.  ПОКОМ</v>
          </cell>
          <cell r="D101">
            <v>412.72</v>
          </cell>
          <cell r="F101">
            <v>1474</v>
          </cell>
          <cell r="G101">
            <v>15.96</v>
          </cell>
          <cell r="H101">
            <v>57</v>
          </cell>
          <cell r="I101">
            <v>0</v>
          </cell>
          <cell r="J101">
            <v>412.72</v>
          </cell>
        </row>
        <row r="102">
          <cell r="A102" t="str">
            <v xml:space="preserve"> 570  Колбаса Сервелат Финский ТМ Вязанка в оболочке фиброуз в вак. упаковке 0,28 кг срез  ПОКОМ</v>
          </cell>
          <cell r="D102">
            <v>364.63672000000003</v>
          </cell>
          <cell r="F102">
            <v>1302.2739999999999</v>
          </cell>
          <cell r="G102">
            <v>5.88</v>
          </cell>
          <cell r="H102">
            <v>21</v>
          </cell>
          <cell r="I102">
            <v>0</v>
          </cell>
          <cell r="J102">
            <v>364.63672000000003</v>
          </cell>
        </row>
        <row r="103">
          <cell r="A103" t="str">
            <v xml:space="preserve"> 571  Колбаса Сервелат Ореховый ТМ Вязанка в оболочке фиброуз в вак. упаковке 0,28 кг срез  ПОКОМ</v>
          </cell>
          <cell r="D103">
            <v>611.38</v>
          </cell>
          <cell r="F103">
            <v>2183.5</v>
          </cell>
          <cell r="G103">
            <v>12.6</v>
          </cell>
          <cell r="H103">
            <v>45</v>
          </cell>
          <cell r="I103">
            <v>0</v>
          </cell>
          <cell r="J103">
            <v>611.38</v>
          </cell>
        </row>
        <row r="104">
          <cell r="A104" t="str">
            <v xml:space="preserve"> 574  Колбаса Сервелат Финский ТМ Вязанка в упаковке скин 0,09 кг нарезка  ПОКОМ</v>
          </cell>
          <cell r="D104">
            <v>19.260000000000002</v>
          </cell>
          <cell r="F104">
            <v>214</v>
          </cell>
          <cell r="I104">
            <v>0</v>
          </cell>
          <cell r="J104">
            <v>19.260000000000002</v>
          </cell>
        </row>
        <row r="105">
          <cell r="A105" t="str">
            <v xml:space="preserve"> 577  Колбаса Молочная Стародворская ТМ Стародворье в оболочке полиамид НД ВЕС.  ПОКОМ</v>
          </cell>
          <cell r="D105">
            <v>28.431000000000001</v>
          </cell>
          <cell r="F105">
            <v>28.431000000000001</v>
          </cell>
          <cell r="I105">
            <v>0</v>
          </cell>
          <cell r="J105">
            <v>28.431000000000001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>
            <v>219.23</v>
          </cell>
          <cell r="F106">
            <v>219.23</v>
          </cell>
          <cell r="G106">
            <v>6.8090000000000002</v>
          </cell>
          <cell r="H106">
            <v>6.8090000000000002</v>
          </cell>
          <cell r="I106">
            <v>0</v>
          </cell>
          <cell r="J106">
            <v>219.23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>
            <v>260.786</v>
          </cell>
          <cell r="F107">
            <v>260.786</v>
          </cell>
          <cell r="G107">
            <v>7.1710000000000003</v>
          </cell>
          <cell r="H107">
            <v>7.1710000000000003</v>
          </cell>
          <cell r="I107">
            <v>0</v>
          </cell>
          <cell r="J107">
            <v>260.786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>
            <v>19.98</v>
          </cell>
          <cell r="F108">
            <v>222</v>
          </cell>
          <cell r="G108">
            <v>0.18</v>
          </cell>
          <cell r="H108">
            <v>2</v>
          </cell>
          <cell r="I108">
            <v>0</v>
          </cell>
          <cell r="J108">
            <v>19.98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>
            <v>15.84</v>
          </cell>
          <cell r="F109">
            <v>176</v>
          </cell>
          <cell r="G109">
            <v>0.09</v>
          </cell>
          <cell r="H109">
            <v>1</v>
          </cell>
          <cell r="I109">
            <v>0</v>
          </cell>
          <cell r="J109">
            <v>15.84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>
            <v>638.226</v>
          </cell>
          <cell r="F110">
            <v>638.226</v>
          </cell>
          <cell r="G110">
            <v>1.369</v>
          </cell>
          <cell r="H110">
            <v>1.369</v>
          </cell>
          <cell r="I110">
            <v>0</v>
          </cell>
          <cell r="J110">
            <v>638.226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>
            <v>2175.4119999999998</v>
          </cell>
          <cell r="F111">
            <v>2175.4119999999998</v>
          </cell>
          <cell r="G111">
            <v>15.275</v>
          </cell>
          <cell r="H111">
            <v>15.275</v>
          </cell>
          <cell r="I111">
            <v>0</v>
          </cell>
          <cell r="J111">
            <v>2175.4119999999998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>
            <v>203.92500000000001</v>
          </cell>
          <cell r="F112">
            <v>203.92500000000001</v>
          </cell>
          <cell r="I112">
            <v>0</v>
          </cell>
          <cell r="J112">
            <v>203.92500000000001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>
            <v>3449.0230000000001</v>
          </cell>
          <cell r="F113">
            <v>3449.0230000000001</v>
          </cell>
          <cell r="G113">
            <v>3.07</v>
          </cell>
          <cell r="H113">
            <v>3.07</v>
          </cell>
          <cell r="I113">
            <v>0</v>
          </cell>
          <cell r="J113">
            <v>3449.0230000000001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>
            <v>20.25</v>
          </cell>
          <cell r="F114">
            <v>81</v>
          </cell>
          <cell r="I114">
            <v>0</v>
          </cell>
          <cell r="J114">
            <v>20.25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>
            <v>15.925000000000001</v>
          </cell>
          <cell r="F115">
            <v>49</v>
          </cell>
          <cell r="I115">
            <v>0</v>
          </cell>
          <cell r="J115">
            <v>15.925000000000001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>
            <v>16.5</v>
          </cell>
          <cell r="F116">
            <v>66</v>
          </cell>
          <cell r="I116">
            <v>0</v>
          </cell>
          <cell r="J116">
            <v>16.5</v>
          </cell>
        </row>
        <row r="117">
          <cell r="A117" t="str">
            <v>495  Колбаса Сочинка по-европейски с сочной грудинкой 0,3кг ТМ Стародворье  ПОКОМ</v>
          </cell>
          <cell r="D117">
            <v>184.2</v>
          </cell>
          <cell r="F117">
            <v>614</v>
          </cell>
          <cell r="G117">
            <v>5.7</v>
          </cell>
          <cell r="H117">
            <v>19</v>
          </cell>
          <cell r="I117">
            <v>0</v>
          </cell>
          <cell r="J117">
            <v>184.2</v>
          </cell>
        </row>
        <row r="118">
          <cell r="A118" t="str">
            <v>496  Колбаса Сочинка по-фински с сочным окроком 0,3кг ТМ Стародворье  ПОКОМ</v>
          </cell>
          <cell r="D118">
            <v>151.19999999999999</v>
          </cell>
          <cell r="F118">
            <v>504</v>
          </cell>
          <cell r="G118">
            <v>7.5</v>
          </cell>
          <cell r="H118">
            <v>25</v>
          </cell>
          <cell r="I118">
            <v>0</v>
          </cell>
          <cell r="J118">
            <v>151.19999999999999</v>
          </cell>
        </row>
        <row r="119">
          <cell r="A119" t="str">
            <v>503 Колбаса Филейская со шпиком ТМ Вязанка в оболочке полиамид.ПОКОМ</v>
          </cell>
          <cell r="D119">
            <v>240.34899999999999</v>
          </cell>
          <cell r="F119">
            <v>240.34899999999999</v>
          </cell>
          <cell r="G119">
            <v>0.34499999999999997</v>
          </cell>
          <cell r="H119">
            <v>0.34499999999999997</v>
          </cell>
          <cell r="I119">
            <v>0</v>
          </cell>
          <cell r="J119">
            <v>240.34899999999999</v>
          </cell>
        </row>
        <row r="120">
          <cell r="A120" t="str">
            <v>515  Колбаса Сервелат Мясорубский Делюкс 0,3кг ТМ Стародворье  ПОКОМ</v>
          </cell>
          <cell r="D120">
            <v>63.6</v>
          </cell>
          <cell r="F120">
            <v>212</v>
          </cell>
          <cell r="G120">
            <v>1.5</v>
          </cell>
          <cell r="H120">
            <v>5</v>
          </cell>
          <cell r="I120">
            <v>0</v>
          </cell>
          <cell r="J120">
            <v>63.6</v>
          </cell>
        </row>
        <row r="121">
          <cell r="A121" t="str">
            <v>519  Грудинка 0,12 кг нарезка ТМ Стародворье  ПОКОМ</v>
          </cell>
          <cell r="D121">
            <v>19.2</v>
          </cell>
          <cell r="F121">
            <v>160</v>
          </cell>
          <cell r="G121">
            <v>1.32</v>
          </cell>
          <cell r="H121">
            <v>11</v>
          </cell>
          <cell r="I121">
            <v>0</v>
          </cell>
          <cell r="J121">
            <v>19.2</v>
          </cell>
        </row>
        <row r="122">
          <cell r="A122" t="str">
            <v>Итого</v>
          </cell>
          <cell r="D122">
            <v>236034.03672</v>
          </cell>
          <cell r="F122">
            <v>291950.26899999997</v>
          </cell>
          <cell r="G122">
            <v>1072.3969999999999</v>
          </cell>
          <cell r="H122">
            <v>1708.7570000000001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5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14" style="1" customWidth="1"/>
    <col min="7" max="8" width="10.5" style="10"/>
  </cols>
  <sheetData>
    <row r="1" spans="1:8" s="1" customFormat="1" ht="9.9499999999999993" customHeight="1" x14ac:dyDescent="0.2">
      <c r="G1" s="12"/>
      <c r="H1" s="12"/>
    </row>
    <row r="2" spans="1:8" ht="24.95" customHeight="1" x14ac:dyDescent="0.2">
      <c r="A2" s="2" t="s">
        <v>0</v>
      </c>
      <c r="B2" s="2"/>
      <c r="C2" s="2"/>
    </row>
    <row r="3" spans="1:8" s="1" customFormat="1" ht="9.9499999999999993" customHeight="1" x14ac:dyDescent="0.2">
      <c r="G3" s="12"/>
      <c r="H3" s="12"/>
    </row>
    <row r="4" spans="1:8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8" ht="12.95" customHeight="1" outlineLevel="1" x14ac:dyDescent="0.2">
      <c r="C5" s="3" t="s">
        <v>3</v>
      </c>
      <c r="D5" s="3"/>
      <c r="E5" s="3"/>
    </row>
    <row r="6" spans="1:8" ht="26.1" customHeight="1" outlineLevel="1" x14ac:dyDescent="0.2">
      <c r="A6" s="3" t="s">
        <v>4</v>
      </c>
      <c r="B6" s="3"/>
      <c r="C6" s="15" t="s">
        <v>5</v>
      </c>
      <c r="D6" s="16"/>
      <c r="E6" s="16"/>
      <c r="F6" s="15"/>
    </row>
    <row r="7" spans="1:8" s="1" customFormat="1" ht="9.9499999999999993" customHeight="1" x14ac:dyDescent="0.2">
      <c r="G7" s="12"/>
      <c r="H7" s="12"/>
    </row>
    <row r="8" spans="1:8" ht="12.95" customHeight="1" x14ac:dyDescent="0.2">
      <c r="A8" s="17" t="s">
        <v>6</v>
      </c>
      <c r="B8" s="17"/>
      <c r="C8" s="17"/>
      <c r="D8" s="17"/>
      <c r="E8" s="17" t="s">
        <v>7</v>
      </c>
      <c r="F8" s="4" t="s">
        <v>126</v>
      </c>
      <c r="G8" s="9" t="s">
        <v>126</v>
      </c>
    </row>
    <row r="9" spans="1:8" ht="26.1" customHeight="1" x14ac:dyDescent="0.2">
      <c r="A9" s="18"/>
      <c r="B9" s="19"/>
      <c r="C9" s="19"/>
      <c r="D9" s="20"/>
      <c r="E9" s="21"/>
      <c r="F9" s="4" t="s">
        <v>127</v>
      </c>
      <c r="G9" s="9" t="s">
        <v>128</v>
      </c>
      <c r="H9" s="11" t="s">
        <v>129</v>
      </c>
    </row>
    <row r="10" spans="1:8" ht="11.1" customHeight="1" x14ac:dyDescent="0.2">
      <c r="A10" s="13" t="s">
        <v>8</v>
      </c>
      <c r="B10" s="13"/>
      <c r="C10" s="13"/>
      <c r="D10" s="13"/>
      <c r="E10" s="5" t="s">
        <v>9</v>
      </c>
      <c r="F10" s="6">
        <v>1568.126</v>
      </c>
      <c r="G10" s="10">
        <f>VLOOKUP(A10,[1]TDSheet!$A:$J,10,0)/22</f>
        <v>372.44340909090914</v>
      </c>
      <c r="H10" s="10">
        <f>F10/G10</f>
        <v>4.2103738762020582</v>
      </c>
    </row>
    <row r="11" spans="1:8" ht="11.1" customHeight="1" x14ac:dyDescent="0.2">
      <c r="A11" s="13" t="s">
        <v>10</v>
      </c>
      <c r="B11" s="13"/>
      <c r="C11" s="13"/>
      <c r="D11" s="13"/>
      <c r="E11" s="5" t="s">
        <v>9</v>
      </c>
      <c r="F11" s="7">
        <v>941.79899999999998</v>
      </c>
      <c r="G11" s="10">
        <f>VLOOKUP(A11,[1]TDSheet!$A:$J,10,0)/22</f>
        <v>199.72136363636363</v>
      </c>
      <c r="H11" s="10">
        <f t="shared" ref="H11:H74" si="0">F11/G11</f>
        <v>4.7155646389174004</v>
      </c>
    </row>
    <row r="12" spans="1:8" ht="11.1" customHeight="1" x14ac:dyDescent="0.2">
      <c r="A12" s="13" t="s">
        <v>11</v>
      </c>
      <c r="B12" s="13"/>
      <c r="C12" s="13"/>
      <c r="D12" s="13"/>
      <c r="E12" s="5" t="s">
        <v>9</v>
      </c>
      <c r="F12" s="6">
        <v>2353.6460000000002</v>
      </c>
      <c r="G12" s="10">
        <f>VLOOKUP(A12,[1]TDSheet!$A:$J,10,0)/22</f>
        <v>569.01659090909095</v>
      </c>
      <c r="H12" s="10">
        <f t="shared" si="0"/>
        <v>4.1363398494931252</v>
      </c>
    </row>
    <row r="13" spans="1:8" ht="11.1" customHeight="1" x14ac:dyDescent="0.2">
      <c r="A13" s="13" t="s">
        <v>12</v>
      </c>
      <c r="B13" s="13"/>
      <c r="C13" s="13"/>
      <c r="D13" s="13"/>
      <c r="E13" s="5" t="s">
        <v>13</v>
      </c>
      <c r="F13" s="7">
        <v>8</v>
      </c>
      <c r="G13" s="10">
        <f>VLOOKUP(A13,[1]TDSheet!$A:$J,10,0)/22</f>
        <v>0.30909090909090908</v>
      </c>
      <c r="H13" s="10">
        <f t="shared" si="0"/>
        <v>25.882352941176471</v>
      </c>
    </row>
    <row r="14" spans="1:8" ht="11.1" customHeight="1" x14ac:dyDescent="0.2">
      <c r="A14" s="13" t="s">
        <v>14</v>
      </c>
      <c r="B14" s="13"/>
      <c r="C14" s="13"/>
      <c r="D14" s="13"/>
      <c r="E14" s="5" t="s">
        <v>13</v>
      </c>
      <c r="F14" s="7">
        <v>219.44</v>
      </c>
      <c r="G14" s="10">
        <f>VLOOKUP(A14,[1]TDSheet!$A:$J,10,0)/22</f>
        <v>197.51635227272726</v>
      </c>
      <c r="H14" s="10">
        <f t="shared" si="0"/>
        <v>1.1109966211658311</v>
      </c>
    </row>
    <row r="15" spans="1:8" ht="11.1" customHeight="1" x14ac:dyDescent="0.2">
      <c r="A15" s="13" t="s">
        <v>15</v>
      </c>
      <c r="B15" s="13"/>
      <c r="C15" s="13"/>
      <c r="D15" s="13"/>
      <c r="E15" s="5" t="s">
        <v>13</v>
      </c>
      <c r="F15" s="7">
        <v>569.327</v>
      </c>
      <c r="G15" s="10">
        <f>VLOOKUP(A15,[1]TDSheet!$A:$J,10,0)/22</f>
        <v>282.091275</v>
      </c>
      <c r="H15" s="10">
        <f t="shared" si="0"/>
        <v>2.0182368277785265</v>
      </c>
    </row>
    <row r="16" spans="1:8" ht="21.95" customHeight="1" x14ac:dyDescent="0.2">
      <c r="A16" s="13" t="s">
        <v>16</v>
      </c>
      <c r="B16" s="13"/>
      <c r="C16" s="13"/>
      <c r="D16" s="13"/>
      <c r="E16" s="5" t="s">
        <v>13</v>
      </c>
      <c r="F16" s="7">
        <v>26.86</v>
      </c>
      <c r="G16" s="10">
        <f>VLOOKUP(A16,[1]TDSheet!$A:$J,10,0)/22</f>
        <v>2.9518181818181817</v>
      </c>
      <c r="H16" s="10">
        <f t="shared" si="0"/>
        <v>9.0994764397905765</v>
      </c>
    </row>
    <row r="17" spans="1:8" ht="11.1" customHeight="1" x14ac:dyDescent="0.2">
      <c r="A17" s="13" t="s">
        <v>17</v>
      </c>
      <c r="B17" s="13"/>
      <c r="C17" s="13"/>
      <c r="D17" s="13"/>
      <c r="E17" s="5" t="s">
        <v>13</v>
      </c>
      <c r="F17" s="7">
        <v>8.1</v>
      </c>
      <c r="G17" s="10">
        <f>VLOOKUP(A17,[1]TDSheet!$A:$J,10,0)/22</f>
        <v>1.9909090909090907</v>
      </c>
      <c r="H17" s="10">
        <f t="shared" si="0"/>
        <v>4.0684931506849313</v>
      </c>
    </row>
    <row r="18" spans="1:8" ht="11.1" customHeight="1" x14ac:dyDescent="0.2">
      <c r="A18" s="13" t="s">
        <v>18</v>
      </c>
      <c r="B18" s="13"/>
      <c r="C18" s="13"/>
      <c r="D18" s="13"/>
      <c r="E18" s="5" t="s">
        <v>13</v>
      </c>
      <c r="F18" s="7">
        <v>89.76</v>
      </c>
      <c r="G18" s="10">
        <f>VLOOKUP(A18,[1]TDSheet!$A:$J,10,0)/22</f>
        <v>8.4459090909090904</v>
      </c>
      <c r="H18" s="10">
        <f t="shared" si="0"/>
        <v>10.627630375114366</v>
      </c>
    </row>
    <row r="19" spans="1:8" ht="11.1" customHeight="1" x14ac:dyDescent="0.2">
      <c r="A19" s="13" t="s">
        <v>19</v>
      </c>
      <c r="B19" s="13"/>
      <c r="C19" s="13"/>
      <c r="D19" s="13"/>
      <c r="E19" s="5" t="s">
        <v>13</v>
      </c>
      <c r="F19" s="7">
        <v>151.62</v>
      </c>
      <c r="G19" s="10">
        <f>VLOOKUP(A19,[1]TDSheet!$A:$J,10,0)/22</f>
        <v>0.42</v>
      </c>
      <c r="H19" s="10">
        <f t="shared" si="0"/>
        <v>361</v>
      </c>
    </row>
    <row r="20" spans="1:8" ht="11.1" customHeight="1" x14ac:dyDescent="0.2">
      <c r="A20" s="13" t="s">
        <v>20</v>
      </c>
      <c r="B20" s="13"/>
      <c r="C20" s="13"/>
      <c r="D20" s="13"/>
      <c r="E20" s="5" t="s">
        <v>9</v>
      </c>
      <c r="F20" s="7">
        <v>870.43299999999999</v>
      </c>
      <c r="G20" s="10">
        <f>VLOOKUP(A20,[1]TDSheet!$A:$J,10,0)/22</f>
        <v>669.51845454545457</v>
      </c>
      <c r="H20" s="10">
        <f t="shared" si="0"/>
        <v>1.300088136615964</v>
      </c>
    </row>
    <row r="21" spans="1:8" ht="11.1" customHeight="1" x14ac:dyDescent="0.2">
      <c r="A21" s="13" t="s">
        <v>21</v>
      </c>
      <c r="B21" s="13"/>
      <c r="C21" s="13"/>
      <c r="D21" s="13"/>
      <c r="E21" s="5" t="s">
        <v>9</v>
      </c>
      <c r="F21" s="6">
        <v>3870.4769999999999</v>
      </c>
      <c r="G21" s="10">
        <f>VLOOKUP(A21,[1]TDSheet!$A:$J,10,0)/22</f>
        <v>584.94236363636367</v>
      </c>
      <c r="H21" s="10">
        <f t="shared" si="0"/>
        <v>6.6168519167234185</v>
      </c>
    </row>
    <row r="22" spans="1:8" ht="11.1" customHeight="1" x14ac:dyDescent="0.2">
      <c r="A22" s="13" t="s">
        <v>22</v>
      </c>
      <c r="B22" s="13"/>
      <c r="C22" s="13"/>
      <c r="D22" s="13"/>
      <c r="E22" s="5" t="s">
        <v>9</v>
      </c>
      <c r="F22" s="7">
        <v>288.24</v>
      </c>
      <c r="G22" s="10">
        <f>VLOOKUP(A22,[1]TDSheet!$A:$J,10,0)/22</f>
        <v>42.57777272727273</v>
      </c>
      <c r="H22" s="10">
        <f t="shared" si="0"/>
        <v>6.7697294042666307</v>
      </c>
    </row>
    <row r="23" spans="1:8" ht="11.1" customHeight="1" x14ac:dyDescent="0.2">
      <c r="A23" s="13" t="s">
        <v>23</v>
      </c>
      <c r="B23" s="13"/>
      <c r="C23" s="13"/>
      <c r="D23" s="13"/>
      <c r="E23" s="5" t="s">
        <v>9</v>
      </c>
      <c r="F23" s="7">
        <v>-4.9740000000000002</v>
      </c>
      <c r="G23" s="10">
        <f>VLOOKUP(A23,[1]TDSheet!$A:$J,10,0)/22</f>
        <v>-5.9772727272727269E-2</v>
      </c>
      <c r="H23" s="10">
        <f t="shared" si="0"/>
        <v>83.215209125475297</v>
      </c>
    </row>
    <row r="24" spans="1:8" ht="21.95" customHeight="1" x14ac:dyDescent="0.2">
      <c r="A24" s="13" t="s">
        <v>24</v>
      </c>
      <c r="B24" s="13"/>
      <c r="C24" s="13"/>
      <c r="D24" s="13"/>
      <c r="E24" s="5" t="s">
        <v>9</v>
      </c>
      <c r="F24" s="7">
        <v>15.132</v>
      </c>
      <c r="G24" s="10">
        <f>VLOOKUP(A24,[1]TDSheet!$A:$J,10,0)/22</f>
        <v>0.73654545454545461</v>
      </c>
      <c r="H24" s="10">
        <f t="shared" si="0"/>
        <v>20.544556899530978</v>
      </c>
    </row>
    <row r="25" spans="1:8" ht="11.1" customHeight="1" x14ac:dyDescent="0.2">
      <c r="A25" s="13" t="s">
        <v>25</v>
      </c>
      <c r="B25" s="13"/>
      <c r="C25" s="13"/>
      <c r="D25" s="13"/>
      <c r="E25" s="5" t="s">
        <v>9</v>
      </c>
      <c r="F25" s="6">
        <v>1452.895</v>
      </c>
      <c r="G25" s="10">
        <f>VLOOKUP(A25,[1]TDSheet!$A:$J,10,0)/22</f>
        <v>876.72318181818184</v>
      </c>
      <c r="H25" s="10">
        <f t="shared" si="0"/>
        <v>1.6571878446135428</v>
      </c>
    </row>
    <row r="26" spans="1:8" ht="11.1" customHeight="1" x14ac:dyDescent="0.2">
      <c r="A26" s="13" t="s">
        <v>26</v>
      </c>
      <c r="B26" s="13"/>
      <c r="C26" s="13"/>
      <c r="D26" s="13"/>
      <c r="E26" s="5" t="s">
        <v>9</v>
      </c>
      <c r="F26" s="7">
        <v>-7.4930000000000003</v>
      </c>
      <c r="G26" s="10">
        <f>VLOOKUP(A26,[1]TDSheet!$A:$J,10,0)/22</f>
        <v>0.56763636363636361</v>
      </c>
      <c r="H26" s="10">
        <f t="shared" si="0"/>
        <v>-13.200352338244716</v>
      </c>
    </row>
    <row r="27" spans="1:8" ht="11.1" customHeight="1" x14ac:dyDescent="0.2">
      <c r="A27" s="13" t="s">
        <v>27</v>
      </c>
      <c r="B27" s="13"/>
      <c r="C27" s="13"/>
      <c r="D27" s="13"/>
      <c r="E27" s="5" t="s">
        <v>9</v>
      </c>
      <c r="F27" s="7">
        <v>423.80399999999997</v>
      </c>
      <c r="G27" s="10">
        <f>VLOOKUP(A27,[1]TDSheet!$A:$J,10,0)/22</f>
        <v>74.095681818181816</v>
      </c>
      <c r="H27" s="10">
        <f t="shared" si="0"/>
        <v>5.7196855417289072</v>
      </c>
    </row>
    <row r="28" spans="1:8" ht="21.95" customHeight="1" x14ac:dyDescent="0.2">
      <c r="A28" s="13" t="s">
        <v>28</v>
      </c>
      <c r="B28" s="13"/>
      <c r="C28" s="13"/>
      <c r="D28" s="13"/>
      <c r="E28" s="5" t="s">
        <v>9</v>
      </c>
      <c r="F28" s="7">
        <v>353.22800000000001</v>
      </c>
      <c r="G28" s="10">
        <f>VLOOKUP(A28,[1]TDSheet!$A:$J,10,0)/22</f>
        <v>217.70504545454548</v>
      </c>
      <c r="H28" s="10">
        <f t="shared" si="0"/>
        <v>1.6225071828835969</v>
      </c>
    </row>
    <row r="29" spans="1:8" ht="11.1" customHeight="1" x14ac:dyDescent="0.2">
      <c r="A29" s="13" t="s">
        <v>29</v>
      </c>
      <c r="B29" s="13"/>
      <c r="C29" s="13"/>
      <c r="D29" s="13"/>
      <c r="E29" s="5" t="s">
        <v>9</v>
      </c>
      <c r="F29" s="7">
        <v>499.90800000000002</v>
      </c>
      <c r="G29" s="10">
        <f>VLOOKUP(A29,[1]TDSheet!$A:$J,10,0)/22</f>
        <v>411.66995454545452</v>
      </c>
      <c r="H29" s="10">
        <f t="shared" si="0"/>
        <v>1.2143417183602179</v>
      </c>
    </row>
    <row r="30" spans="1:8" ht="11.1" customHeight="1" x14ac:dyDescent="0.2">
      <c r="A30" s="13" t="s">
        <v>30</v>
      </c>
      <c r="B30" s="13"/>
      <c r="C30" s="13"/>
      <c r="D30" s="13"/>
      <c r="E30" s="5" t="s">
        <v>9</v>
      </c>
      <c r="F30" s="7">
        <v>52.984000000000002</v>
      </c>
      <c r="G30" s="10">
        <f>VLOOKUP(A30,[1]TDSheet!$A:$J,10,0)/22</f>
        <v>6.6549545454545447</v>
      </c>
      <c r="H30" s="10">
        <f t="shared" si="0"/>
        <v>7.9615870609047272</v>
      </c>
    </row>
    <row r="31" spans="1:8" ht="11.1" customHeight="1" x14ac:dyDescent="0.2">
      <c r="A31" s="13" t="s">
        <v>31</v>
      </c>
      <c r="B31" s="13"/>
      <c r="C31" s="13"/>
      <c r="D31" s="13"/>
      <c r="E31" s="5" t="s">
        <v>9</v>
      </c>
      <c r="F31" s="7">
        <v>459.524</v>
      </c>
      <c r="G31" s="10">
        <f>VLOOKUP(A31,[1]TDSheet!$A:$J,10,0)/22</f>
        <v>379.32968181818183</v>
      </c>
      <c r="H31" s="10">
        <f t="shared" si="0"/>
        <v>1.2114106067245654</v>
      </c>
    </row>
    <row r="32" spans="1:8" ht="11.1" customHeight="1" x14ac:dyDescent="0.2">
      <c r="A32" s="13" t="s">
        <v>32</v>
      </c>
      <c r="B32" s="13"/>
      <c r="C32" s="13"/>
      <c r="D32" s="13"/>
      <c r="E32" s="5" t="s">
        <v>9</v>
      </c>
      <c r="F32" s="7">
        <v>-0.23</v>
      </c>
      <c r="G32" s="10">
        <f>VLOOKUP(A32,[1]TDSheet!$A:$J,10,0)/22</f>
        <v>7.9823181818181812</v>
      </c>
      <c r="H32" s="10">
        <f t="shared" si="0"/>
        <v>-2.8813684791954949E-2</v>
      </c>
    </row>
    <row r="33" spans="1:8" ht="21.95" customHeight="1" x14ac:dyDescent="0.2">
      <c r="A33" s="13" t="s">
        <v>33</v>
      </c>
      <c r="B33" s="13"/>
      <c r="C33" s="13"/>
      <c r="D33" s="13"/>
      <c r="E33" s="5" t="s">
        <v>9</v>
      </c>
      <c r="F33" s="7">
        <v>-113.461</v>
      </c>
      <c r="G33" s="10">
        <f>VLOOKUP(A33,[1]TDSheet!$A:$J,10,0)/22</f>
        <v>895.81595454545459</v>
      </c>
      <c r="H33" s="10">
        <f t="shared" si="0"/>
        <v>-0.12665659661930354</v>
      </c>
    </row>
    <row r="34" spans="1:8" ht="11.1" customHeight="1" x14ac:dyDescent="0.2">
      <c r="A34" s="13" t="s">
        <v>34</v>
      </c>
      <c r="B34" s="13"/>
      <c r="C34" s="13"/>
      <c r="D34" s="13"/>
      <c r="E34" s="5" t="s">
        <v>13</v>
      </c>
      <c r="F34" s="7">
        <v>39.200000000000003</v>
      </c>
      <c r="G34" s="10">
        <f>VLOOKUP(A34,[1]TDSheet!$A:$J,10,0)/22</f>
        <v>318.56363636363636</v>
      </c>
      <c r="H34" s="10">
        <f t="shared" si="0"/>
        <v>0.12305233719536557</v>
      </c>
    </row>
    <row r="35" spans="1:8" ht="11.1" customHeight="1" x14ac:dyDescent="0.2">
      <c r="A35" s="13" t="s">
        <v>35</v>
      </c>
      <c r="B35" s="13"/>
      <c r="C35" s="13"/>
      <c r="D35" s="13"/>
      <c r="E35" s="5" t="s">
        <v>13</v>
      </c>
      <c r="F35" s="7">
        <v>355.38799999999998</v>
      </c>
      <c r="G35" s="10">
        <f>VLOOKUP(A35,[1]TDSheet!$A:$J,10,0)/22</f>
        <v>68.25681818181819</v>
      </c>
      <c r="H35" s="10">
        <f t="shared" si="0"/>
        <v>5.2066300402890144</v>
      </c>
    </row>
    <row r="36" spans="1:8" ht="11.1" customHeight="1" x14ac:dyDescent="0.2">
      <c r="A36" s="13" t="s">
        <v>36</v>
      </c>
      <c r="B36" s="13"/>
      <c r="C36" s="13"/>
      <c r="D36" s="13"/>
      <c r="E36" s="5" t="s">
        <v>13</v>
      </c>
      <c r="F36" s="7">
        <v>26.4</v>
      </c>
      <c r="G36" s="10">
        <f>VLOOKUP(A36,[1]TDSheet!$A:$J,10,0)/22</f>
        <v>84.690909090909088</v>
      </c>
      <c r="H36" s="10">
        <f t="shared" si="0"/>
        <v>0.3117217689995706</v>
      </c>
    </row>
    <row r="37" spans="1:8" ht="11.1" customHeight="1" x14ac:dyDescent="0.2">
      <c r="A37" s="13" t="s">
        <v>37</v>
      </c>
      <c r="B37" s="13"/>
      <c r="C37" s="13"/>
      <c r="D37" s="13"/>
      <c r="E37" s="5" t="s">
        <v>13</v>
      </c>
      <c r="F37" s="7">
        <v>20.399999999999999</v>
      </c>
      <c r="G37" s="10">
        <f>VLOOKUP(A37,[1]TDSheet!$A:$J,10,0)/22</f>
        <v>37.472727272727269</v>
      </c>
      <c r="H37" s="10">
        <f t="shared" si="0"/>
        <v>0.54439592430858808</v>
      </c>
    </row>
    <row r="38" spans="1:8" ht="11.1" customHeight="1" x14ac:dyDescent="0.2">
      <c r="A38" s="13" t="s">
        <v>38</v>
      </c>
      <c r="B38" s="13"/>
      <c r="C38" s="13"/>
      <c r="D38" s="13"/>
      <c r="E38" s="5" t="s">
        <v>13</v>
      </c>
      <c r="F38" s="7">
        <v>28.8</v>
      </c>
      <c r="G38" s="10">
        <f>VLOOKUP(A38,[1]TDSheet!$A:$J,10,0)/22</f>
        <v>4.0363636363636362</v>
      </c>
      <c r="H38" s="10">
        <f t="shared" si="0"/>
        <v>7.135135135135136</v>
      </c>
    </row>
    <row r="39" spans="1:8" ht="21.95" customHeight="1" x14ac:dyDescent="0.2">
      <c r="A39" s="13" t="s">
        <v>39</v>
      </c>
      <c r="B39" s="13"/>
      <c r="C39" s="13"/>
      <c r="D39" s="13"/>
      <c r="E39" s="5" t="s">
        <v>13</v>
      </c>
      <c r="F39" s="7">
        <v>32.9</v>
      </c>
      <c r="G39" s="10">
        <f>VLOOKUP(A39,[1]TDSheet!$A:$J,10,0)/22</f>
        <v>6.3954545454545446</v>
      </c>
      <c r="H39" s="10">
        <f t="shared" si="0"/>
        <v>5.1442786069651749</v>
      </c>
    </row>
    <row r="40" spans="1:8" ht="11.1" customHeight="1" x14ac:dyDescent="0.2">
      <c r="A40" s="13" t="s">
        <v>40</v>
      </c>
      <c r="B40" s="13"/>
      <c r="C40" s="13"/>
      <c r="D40" s="13"/>
      <c r="E40" s="5" t="s">
        <v>9</v>
      </c>
      <c r="F40" s="7">
        <v>22.198</v>
      </c>
      <c r="G40" s="10">
        <f>VLOOKUP(A40,[1]TDSheet!$A:$J,10,0)/22</f>
        <v>2.8849545454545455</v>
      </c>
      <c r="H40" s="10">
        <f t="shared" si="0"/>
        <v>7.6944019915234207</v>
      </c>
    </row>
    <row r="41" spans="1:8" ht="11.1" customHeight="1" x14ac:dyDescent="0.2">
      <c r="A41" s="13" t="s">
        <v>41</v>
      </c>
      <c r="B41" s="13"/>
      <c r="C41" s="13"/>
      <c r="D41" s="13"/>
      <c r="E41" s="5" t="s">
        <v>13</v>
      </c>
      <c r="F41" s="7">
        <v>-11.6</v>
      </c>
      <c r="G41" s="10">
        <f>VLOOKUP(A41,[1]TDSheet!$A:$J,10,0)/22</f>
        <v>-0.29090909090909095</v>
      </c>
      <c r="H41" s="10">
        <f t="shared" si="0"/>
        <v>39.874999999999993</v>
      </c>
    </row>
    <row r="42" spans="1:8" ht="11.1" customHeight="1" x14ac:dyDescent="0.2">
      <c r="A42" s="13" t="s">
        <v>42</v>
      </c>
      <c r="B42" s="13"/>
      <c r="C42" s="13"/>
      <c r="D42" s="13"/>
      <c r="E42" s="5" t="s">
        <v>13</v>
      </c>
      <c r="F42" s="7">
        <v>0.8</v>
      </c>
      <c r="G42" s="10">
        <f>VLOOKUP(A42,[1]TDSheet!$A:$J,10,0)/22</f>
        <v>15.963636363636363</v>
      </c>
      <c r="H42" s="10">
        <f t="shared" si="0"/>
        <v>5.0113895216400917E-2</v>
      </c>
    </row>
    <row r="43" spans="1:8" ht="21.95" customHeight="1" x14ac:dyDescent="0.2">
      <c r="A43" s="13" t="s">
        <v>43</v>
      </c>
      <c r="B43" s="13"/>
      <c r="C43" s="13"/>
      <c r="D43" s="13"/>
      <c r="E43" s="5" t="s">
        <v>9</v>
      </c>
      <c r="F43" s="7">
        <v>62.2</v>
      </c>
      <c r="G43" s="10">
        <f>VLOOKUP(A43,[1]TDSheet!$A:$J,10,0)/22</f>
        <v>4.4582272727272727</v>
      </c>
      <c r="H43" s="10">
        <f t="shared" si="0"/>
        <v>13.951733771066772</v>
      </c>
    </row>
    <row r="44" spans="1:8" ht="21.95" customHeight="1" x14ac:dyDescent="0.2">
      <c r="A44" s="13" t="s">
        <v>44</v>
      </c>
      <c r="B44" s="13"/>
      <c r="C44" s="13"/>
      <c r="D44" s="13"/>
      <c r="E44" s="5" t="s">
        <v>13</v>
      </c>
      <c r="F44" s="7">
        <v>207.55</v>
      </c>
      <c r="G44" s="10">
        <f>VLOOKUP(A44,[1]TDSheet!$A:$J,10,0)/22</f>
        <v>46.884090909090908</v>
      </c>
      <c r="H44" s="10">
        <f t="shared" si="0"/>
        <v>4.4268747879199193</v>
      </c>
    </row>
    <row r="45" spans="1:8" ht="11.1" customHeight="1" x14ac:dyDescent="0.2">
      <c r="A45" s="13" t="s">
        <v>45</v>
      </c>
      <c r="B45" s="13"/>
      <c r="C45" s="13"/>
      <c r="D45" s="13"/>
      <c r="E45" s="5" t="s">
        <v>13</v>
      </c>
      <c r="F45" s="7">
        <v>76</v>
      </c>
      <c r="G45" s="10">
        <f>VLOOKUP(A45,[1]TDSheet!$A:$J,10,0)/22</f>
        <v>21.563636363636363</v>
      </c>
      <c r="H45" s="10">
        <f t="shared" si="0"/>
        <v>3.5244519392917373</v>
      </c>
    </row>
    <row r="46" spans="1:8" ht="11.1" customHeight="1" x14ac:dyDescent="0.2">
      <c r="A46" s="13" t="s">
        <v>46</v>
      </c>
      <c r="B46" s="13"/>
      <c r="C46" s="13"/>
      <c r="D46" s="13"/>
      <c r="E46" s="5" t="s">
        <v>9</v>
      </c>
      <c r="F46" s="7">
        <v>118.599</v>
      </c>
      <c r="G46" s="10">
        <f>VLOOKUP(A46,[1]TDSheet!$A:$J,10,0)/22</f>
        <v>19.427545454545456</v>
      </c>
      <c r="H46" s="10">
        <f t="shared" si="0"/>
        <v>6.1046826670659744</v>
      </c>
    </row>
    <row r="47" spans="1:8" ht="11.1" customHeight="1" x14ac:dyDescent="0.2">
      <c r="A47" s="13" t="s">
        <v>47</v>
      </c>
      <c r="B47" s="13"/>
      <c r="C47" s="13"/>
      <c r="D47" s="13"/>
      <c r="E47" s="5" t="s">
        <v>9</v>
      </c>
      <c r="F47" s="7">
        <v>135.03299999999999</v>
      </c>
      <c r="G47" s="10">
        <f>VLOOKUP(A47,[1]TDSheet!$A:$J,10,0)/22</f>
        <v>77.911636363636362</v>
      </c>
      <c r="H47" s="10">
        <f t="shared" si="0"/>
        <v>1.7331557428695443</v>
      </c>
    </row>
    <row r="48" spans="1:8" ht="11.1" customHeight="1" x14ac:dyDescent="0.2">
      <c r="A48" s="13" t="s">
        <v>48</v>
      </c>
      <c r="B48" s="13"/>
      <c r="C48" s="13"/>
      <c r="D48" s="13"/>
      <c r="E48" s="5" t="s">
        <v>13</v>
      </c>
      <c r="F48" s="7">
        <v>144.44999999999999</v>
      </c>
      <c r="G48" s="10">
        <f>VLOOKUP(A48,[1]TDSheet!$A:$J,10,0)/22</f>
        <v>39.436363636363637</v>
      </c>
      <c r="H48" s="10">
        <f t="shared" si="0"/>
        <v>3.6628630705394185</v>
      </c>
    </row>
    <row r="49" spans="1:8" ht="11.1" customHeight="1" x14ac:dyDescent="0.2">
      <c r="A49" s="13" t="s">
        <v>49</v>
      </c>
      <c r="B49" s="13"/>
      <c r="C49" s="13"/>
      <c r="D49" s="13"/>
      <c r="E49" s="5" t="s">
        <v>13</v>
      </c>
      <c r="F49" s="7">
        <v>284.39999999999998</v>
      </c>
      <c r="G49" s="10">
        <f>VLOOKUP(A49,[1]TDSheet!$A:$J,10,0)/22</f>
        <v>46.984090909090916</v>
      </c>
      <c r="H49" s="10">
        <f t="shared" si="0"/>
        <v>6.0531127557683924</v>
      </c>
    </row>
    <row r="50" spans="1:8" ht="11.1" customHeight="1" x14ac:dyDescent="0.2">
      <c r="A50" s="13" t="s">
        <v>50</v>
      </c>
      <c r="B50" s="13"/>
      <c r="C50" s="13"/>
      <c r="D50" s="13"/>
      <c r="E50" s="5" t="s">
        <v>13</v>
      </c>
      <c r="F50" s="7">
        <v>-0.8</v>
      </c>
      <c r="G50" s="10">
        <f>VLOOKUP(A50,[1]TDSheet!$A:$J,10,0)/22</f>
        <v>0.85454545454545461</v>
      </c>
      <c r="H50" s="10">
        <f t="shared" si="0"/>
        <v>-0.93617021276595747</v>
      </c>
    </row>
    <row r="51" spans="1:8" ht="11.1" customHeight="1" x14ac:dyDescent="0.2">
      <c r="A51" s="13" t="s">
        <v>51</v>
      </c>
      <c r="B51" s="13"/>
      <c r="C51" s="13"/>
      <c r="D51" s="13"/>
      <c r="E51" s="5" t="s">
        <v>9</v>
      </c>
      <c r="F51" s="7">
        <v>586.29200000000003</v>
      </c>
      <c r="G51" s="10">
        <f>VLOOKUP(A51,[1]TDSheet!$A:$J,10,0)/22</f>
        <v>90.372318181818187</v>
      </c>
      <c r="H51" s="10">
        <f t="shared" si="0"/>
        <v>6.4875175473583777</v>
      </c>
    </row>
    <row r="52" spans="1:8" ht="11.1" customHeight="1" x14ac:dyDescent="0.2">
      <c r="A52" s="13" t="s">
        <v>52</v>
      </c>
      <c r="B52" s="13"/>
      <c r="C52" s="13"/>
      <c r="D52" s="13"/>
      <c r="E52" s="5" t="s">
        <v>13</v>
      </c>
      <c r="F52" s="7">
        <v>14.2</v>
      </c>
      <c r="G52" s="10">
        <f>VLOOKUP(A52,[1]TDSheet!$A:$J,10,0)/22</f>
        <v>2.377272727272727</v>
      </c>
      <c r="H52" s="10">
        <f t="shared" si="0"/>
        <v>5.9732313575525815</v>
      </c>
    </row>
    <row r="53" spans="1:8" ht="11.1" customHeight="1" x14ac:dyDescent="0.2">
      <c r="A53" s="13" t="s">
        <v>53</v>
      </c>
      <c r="B53" s="13"/>
      <c r="C53" s="13"/>
      <c r="D53" s="13"/>
      <c r="E53" s="5" t="s">
        <v>9</v>
      </c>
      <c r="F53" s="7">
        <v>536.06399999999996</v>
      </c>
      <c r="G53" s="10">
        <f>VLOOKUP(A53,[1]TDSheet!$A:$J,10,0)/22</f>
        <v>71.524409090909089</v>
      </c>
      <c r="H53" s="10">
        <f t="shared" si="0"/>
        <v>7.4948399688091225</v>
      </c>
    </row>
    <row r="54" spans="1:8" ht="11.1" customHeight="1" x14ac:dyDescent="0.2">
      <c r="A54" s="13" t="s">
        <v>54</v>
      </c>
      <c r="B54" s="13"/>
      <c r="C54" s="13"/>
      <c r="D54" s="13"/>
      <c r="E54" s="5" t="s">
        <v>9</v>
      </c>
      <c r="F54" s="7">
        <v>56.128</v>
      </c>
      <c r="G54" s="10">
        <f>VLOOKUP(A54,[1]TDSheet!$A:$J,10,0)/22</f>
        <v>4.8925909090909094</v>
      </c>
      <c r="H54" s="10">
        <f t="shared" si="0"/>
        <v>11.472040283545621</v>
      </c>
    </row>
    <row r="55" spans="1:8" ht="11.1" customHeight="1" x14ac:dyDescent="0.2">
      <c r="A55" s="13" t="s">
        <v>55</v>
      </c>
      <c r="B55" s="13"/>
      <c r="C55" s="13"/>
      <c r="D55" s="13"/>
      <c r="E55" s="5" t="s">
        <v>13</v>
      </c>
      <c r="F55" s="7">
        <v>12.6</v>
      </c>
      <c r="G55" s="10">
        <f>VLOOKUP(A55,[1]TDSheet!$A:$J,10,0)/22</f>
        <v>2.2409090909090907</v>
      </c>
      <c r="H55" s="10">
        <f t="shared" si="0"/>
        <v>5.6227180527383371</v>
      </c>
    </row>
    <row r="56" spans="1:8" ht="11.1" customHeight="1" x14ac:dyDescent="0.2">
      <c r="A56" s="13" t="s">
        <v>56</v>
      </c>
      <c r="B56" s="13"/>
      <c r="C56" s="13"/>
      <c r="D56" s="13"/>
      <c r="E56" s="5" t="s">
        <v>13</v>
      </c>
      <c r="F56" s="7">
        <v>8.8000000000000007</v>
      </c>
      <c r="G56" s="10">
        <f>VLOOKUP(A56,[1]TDSheet!$A:$J,10,0)/22</f>
        <v>0.70909090909090911</v>
      </c>
      <c r="H56" s="10">
        <f t="shared" si="0"/>
        <v>12.410256410256411</v>
      </c>
    </row>
    <row r="57" spans="1:8" ht="11.1" customHeight="1" x14ac:dyDescent="0.2">
      <c r="A57" s="13" t="s">
        <v>57</v>
      </c>
      <c r="B57" s="13"/>
      <c r="C57" s="13"/>
      <c r="D57" s="13"/>
      <c r="E57" s="5" t="s">
        <v>9</v>
      </c>
      <c r="F57" s="7">
        <v>-3.7949999999999999</v>
      </c>
      <c r="G57" s="10">
        <f>VLOOKUP(A57,[1]TDSheet!$A:$J,10,0)/22</f>
        <v>10.276181818181819</v>
      </c>
      <c r="H57" s="10">
        <f t="shared" si="0"/>
        <v>-0.36930058918239883</v>
      </c>
    </row>
    <row r="58" spans="1:8" ht="11.1" customHeight="1" x14ac:dyDescent="0.2">
      <c r="A58" s="13" t="s">
        <v>58</v>
      </c>
      <c r="B58" s="13"/>
      <c r="C58" s="13"/>
      <c r="D58" s="13"/>
      <c r="E58" s="5" t="s">
        <v>9</v>
      </c>
      <c r="F58" s="7">
        <v>34.808</v>
      </c>
      <c r="G58" s="10">
        <f>VLOOKUP(A58,[1]TDSheet!$A:$J,10,0)/22</f>
        <v>2.3692727272727274</v>
      </c>
      <c r="H58" s="10">
        <f t="shared" si="0"/>
        <v>14.691428132913821</v>
      </c>
    </row>
    <row r="59" spans="1:8" ht="11.1" customHeight="1" x14ac:dyDescent="0.2">
      <c r="A59" s="13" t="s">
        <v>59</v>
      </c>
      <c r="B59" s="13"/>
      <c r="C59" s="13"/>
      <c r="D59" s="13"/>
      <c r="E59" s="5" t="s">
        <v>13</v>
      </c>
      <c r="F59" s="7">
        <v>137.6</v>
      </c>
      <c r="G59" s="10">
        <f>VLOOKUP(A59,[1]TDSheet!$A:$J,10,0)/22</f>
        <v>39.054545454545455</v>
      </c>
      <c r="H59" s="10">
        <f t="shared" si="0"/>
        <v>3.5232774674115457</v>
      </c>
    </row>
    <row r="60" spans="1:8" ht="11.1" customHeight="1" x14ac:dyDescent="0.2">
      <c r="A60" s="13" t="s">
        <v>60</v>
      </c>
      <c r="B60" s="13"/>
      <c r="C60" s="13"/>
      <c r="D60" s="13"/>
      <c r="E60" s="5" t="s">
        <v>13</v>
      </c>
      <c r="F60" s="7">
        <v>-2.8</v>
      </c>
      <c r="G60" s="10">
        <f>VLOOKUP(A60,[1]TDSheet!$A:$J,10,0)/22</f>
        <v>27.09090909090909</v>
      </c>
      <c r="H60" s="10">
        <f t="shared" si="0"/>
        <v>-0.10335570469798658</v>
      </c>
    </row>
    <row r="61" spans="1:8" ht="21.95" customHeight="1" x14ac:dyDescent="0.2">
      <c r="A61" s="13" t="s">
        <v>61</v>
      </c>
      <c r="B61" s="13"/>
      <c r="C61" s="13"/>
      <c r="D61" s="13"/>
      <c r="E61" s="5" t="s">
        <v>9</v>
      </c>
      <c r="F61" s="7">
        <v>64.709999999999994</v>
      </c>
      <c r="G61" s="10">
        <f>VLOOKUP(A61,[1]TDSheet!$A:$J,10,0)/22</f>
        <v>10.260545454545454</v>
      </c>
      <c r="H61" s="10">
        <f t="shared" si="0"/>
        <v>6.3066822603795645</v>
      </c>
    </row>
    <row r="62" spans="1:8" ht="11.1" customHeight="1" x14ac:dyDescent="0.2">
      <c r="A62" s="13" t="s">
        <v>62</v>
      </c>
      <c r="B62" s="13"/>
      <c r="C62" s="13"/>
      <c r="D62" s="13"/>
      <c r="E62" s="5" t="s">
        <v>9</v>
      </c>
      <c r="F62" s="7">
        <v>131.17500000000001</v>
      </c>
      <c r="G62" s="10">
        <f>VLOOKUP(A62,[1]TDSheet!$A:$J,10,0)/22</f>
        <v>15.567227272727273</v>
      </c>
      <c r="H62" s="10">
        <f t="shared" si="0"/>
        <v>8.4263560685472694</v>
      </c>
    </row>
    <row r="63" spans="1:8" ht="11.1" customHeight="1" x14ac:dyDescent="0.2">
      <c r="A63" s="13" t="s">
        <v>63</v>
      </c>
      <c r="B63" s="13"/>
      <c r="C63" s="13"/>
      <c r="D63" s="13"/>
      <c r="E63" s="5" t="s">
        <v>9</v>
      </c>
      <c r="F63" s="7">
        <v>754.46299999999997</v>
      </c>
      <c r="G63" s="10">
        <f>VLOOKUP(A63,[1]TDSheet!$A:$J,10,0)/22</f>
        <v>129.63790909090909</v>
      </c>
      <c r="H63" s="10">
        <f t="shared" si="0"/>
        <v>5.8197714332998833</v>
      </c>
    </row>
    <row r="64" spans="1:8" ht="11.1" customHeight="1" x14ac:dyDescent="0.2">
      <c r="A64" s="13" t="s">
        <v>64</v>
      </c>
      <c r="B64" s="13"/>
      <c r="C64" s="13"/>
      <c r="D64" s="13"/>
      <c r="E64" s="5" t="s">
        <v>9</v>
      </c>
      <c r="F64" s="7">
        <v>14.083</v>
      </c>
      <c r="G64" s="10">
        <f>VLOOKUP(A64,[1]TDSheet!$A:$J,10,0)/22</f>
        <v>11.187727272727273</v>
      </c>
      <c r="H64" s="10">
        <f t="shared" si="0"/>
        <v>1.2587900702880592</v>
      </c>
    </row>
    <row r="65" spans="1:8" ht="11.1" customHeight="1" x14ac:dyDescent="0.2">
      <c r="A65" s="13" t="s">
        <v>65</v>
      </c>
      <c r="B65" s="13"/>
      <c r="C65" s="13"/>
      <c r="D65" s="13"/>
      <c r="E65" s="5" t="s">
        <v>9</v>
      </c>
      <c r="F65" s="7">
        <v>264.63600000000002</v>
      </c>
      <c r="G65" s="10">
        <f>VLOOKUP(A65,[1]TDSheet!$A:$J,10,0)/22</f>
        <v>82.910954545454544</v>
      </c>
      <c r="H65" s="10">
        <f t="shared" si="0"/>
        <v>3.1918098332219511</v>
      </c>
    </row>
    <row r="66" spans="1:8" ht="11.1" customHeight="1" x14ac:dyDescent="0.2">
      <c r="A66" s="13" t="s">
        <v>66</v>
      </c>
      <c r="B66" s="13"/>
      <c r="C66" s="13"/>
      <c r="D66" s="13"/>
      <c r="E66" s="5" t="s">
        <v>13</v>
      </c>
      <c r="F66" s="7">
        <v>72.599999999999994</v>
      </c>
      <c r="G66" s="10">
        <f>VLOOKUP(A66,[1]TDSheet!$A:$J,10,0)/22</f>
        <v>63.709090909090904</v>
      </c>
      <c r="H66" s="10">
        <f t="shared" si="0"/>
        <v>1.139554794520548</v>
      </c>
    </row>
    <row r="67" spans="1:8" ht="11.1" customHeight="1" x14ac:dyDescent="0.2">
      <c r="A67" s="13" t="s">
        <v>67</v>
      </c>
      <c r="B67" s="13"/>
      <c r="C67" s="13"/>
      <c r="D67" s="13"/>
      <c r="E67" s="5" t="s">
        <v>13</v>
      </c>
      <c r="F67" s="7">
        <v>125.4</v>
      </c>
      <c r="G67" s="10">
        <f>VLOOKUP(A67,[1]TDSheet!$A:$J,10,0)/22</f>
        <v>61.718181818181819</v>
      </c>
      <c r="H67" s="10">
        <f t="shared" si="0"/>
        <v>2.0318161732213875</v>
      </c>
    </row>
    <row r="68" spans="1:8" ht="11.1" customHeight="1" x14ac:dyDescent="0.2">
      <c r="A68" s="13" t="s">
        <v>68</v>
      </c>
      <c r="B68" s="13"/>
      <c r="C68" s="13"/>
      <c r="D68" s="13"/>
      <c r="E68" s="5" t="s">
        <v>13</v>
      </c>
      <c r="F68" s="7">
        <v>0.66</v>
      </c>
      <c r="H68" s="10" t="e">
        <f t="shared" si="0"/>
        <v>#DIV/0!</v>
      </c>
    </row>
    <row r="69" spans="1:8" ht="21.95" customHeight="1" x14ac:dyDescent="0.2">
      <c r="A69" s="13" t="s">
        <v>69</v>
      </c>
      <c r="B69" s="13"/>
      <c r="C69" s="13"/>
      <c r="D69" s="13"/>
      <c r="E69" s="5" t="s">
        <v>13</v>
      </c>
      <c r="F69" s="7">
        <v>21</v>
      </c>
      <c r="G69" s="10">
        <f>VLOOKUP(A69,[1]TDSheet!$A:$J,10,0)/22</f>
        <v>3.5</v>
      </c>
      <c r="H69" s="10">
        <f t="shared" si="0"/>
        <v>6</v>
      </c>
    </row>
    <row r="70" spans="1:8" ht="11.1" customHeight="1" x14ac:dyDescent="0.2">
      <c r="A70" s="13" t="s">
        <v>70</v>
      </c>
      <c r="B70" s="13"/>
      <c r="C70" s="13"/>
      <c r="D70" s="13"/>
      <c r="E70" s="5" t="s">
        <v>13</v>
      </c>
      <c r="F70" s="7">
        <v>79.55</v>
      </c>
      <c r="G70" s="10">
        <f>VLOOKUP(A70,[1]TDSheet!$A:$J,10,0)/22</f>
        <v>9.3004545454545458</v>
      </c>
      <c r="H70" s="10">
        <f t="shared" si="0"/>
        <v>8.5533453887884257</v>
      </c>
    </row>
    <row r="71" spans="1:8" ht="21.95" customHeight="1" x14ac:dyDescent="0.2">
      <c r="A71" s="13" t="s">
        <v>71</v>
      </c>
      <c r="B71" s="13"/>
      <c r="C71" s="13"/>
      <c r="D71" s="13"/>
      <c r="E71" s="5" t="s">
        <v>13</v>
      </c>
      <c r="F71" s="7">
        <v>63</v>
      </c>
      <c r="G71" s="10">
        <f>VLOOKUP(A71,[1]TDSheet!$A:$J,10,0)/22</f>
        <v>73.752190909090913</v>
      </c>
      <c r="H71" s="10">
        <f t="shared" si="0"/>
        <v>0.85421191185568468</v>
      </c>
    </row>
    <row r="72" spans="1:8" ht="11.1" customHeight="1" x14ac:dyDescent="0.2">
      <c r="A72" s="13" t="s">
        <v>72</v>
      </c>
      <c r="B72" s="13"/>
      <c r="C72" s="13"/>
      <c r="D72" s="13"/>
      <c r="E72" s="5" t="s">
        <v>13</v>
      </c>
      <c r="F72" s="7">
        <v>25.74</v>
      </c>
      <c r="G72" s="10">
        <f>VLOOKUP(A72,[1]TDSheet!$A:$J,10,0)/22</f>
        <v>10.635</v>
      </c>
      <c r="H72" s="10">
        <f t="shared" si="0"/>
        <v>2.4203102961918193</v>
      </c>
    </row>
    <row r="73" spans="1:8" ht="11.1" customHeight="1" x14ac:dyDescent="0.2">
      <c r="A73" s="13" t="s">
        <v>73</v>
      </c>
      <c r="B73" s="13"/>
      <c r="C73" s="13"/>
      <c r="D73" s="13"/>
      <c r="E73" s="5" t="s">
        <v>13</v>
      </c>
      <c r="F73" s="7">
        <v>18.399999999999999</v>
      </c>
      <c r="G73" s="10">
        <f>VLOOKUP(A73,[1]TDSheet!$A:$J,10,0)/22</f>
        <v>3.9636363636363638</v>
      </c>
      <c r="H73" s="10">
        <f t="shared" si="0"/>
        <v>4.6422018348623846</v>
      </c>
    </row>
    <row r="74" spans="1:8" ht="11.1" customHeight="1" x14ac:dyDescent="0.2">
      <c r="A74" s="13" t="s">
        <v>74</v>
      </c>
      <c r="B74" s="13"/>
      <c r="C74" s="13"/>
      <c r="D74" s="13"/>
      <c r="E74" s="5" t="s">
        <v>13</v>
      </c>
      <c r="F74" s="7">
        <v>99.75</v>
      </c>
      <c r="G74" s="10">
        <f>VLOOKUP(A74,[1]TDSheet!$A:$J,10,0)/22</f>
        <v>9.2431818181818173</v>
      </c>
      <c r="H74" s="10">
        <f t="shared" si="0"/>
        <v>10.79173838209983</v>
      </c>
    </row>
    <row r="75" spans="1:8" ht="11.1" customHeight="1" x14ac:dyDescent="0.2">
      <c r="A75" s="13" t="s">
        <v>75</v>
      </c>
      <c r="B75" s="13"/>
      <c r="C75" s="13"/>
      <c r="D75" s="13"/>
      <c r="E75" s="5" t="s">
        <v>13</v>
      </c>
      <c r="F75" s="7">
        <v>5.95</v>
      </c>
      <c r="G75" s="10">
        <f>VLOOKUP(A75,[1]TDSheet!$A:$J,10,0)/22</f>
        <v>25.645454545454548</v>
      </c>
      <c r="H75" s="10">
        <f t="shared" ref="H75:H125" si="1">F75/G75</f>
        <v>0.23200992555831262</v>
      </c>
    </row>
    <row r="76" spans="1:8" ht="11.1" customHeight="1" x14ac:dyDescent="0.2">
      <c r="A76" s="13" t="s">
        <v>76</v>
      </c>
      <c r="B76" s="13"/>
      <c r="C76" s="13"/>
      <c r="D76" s="13"/>
      <c r="E76" s="5" t="s">
        <v>9</v>
      </c>
      <c r="F76" s="7">
        <v>-6.8150000000000004</v>
      </c>
      <c r="H76" s="10" t="e">
        <f t="shared" si="1"/>
        <v>#DIV/0!</v>
      </c>
    </row>
    <row r="77" spans="1:8" ht="21.95" customHeight="1" x14ac:dyDescent="0.2">
      <c r="A77" s="13" t="s">
        <v>77</v>
      </c>
      <c r="B77" s="13"/>
      <c r="C77" s="13"/>
      <c r="D77" s="13"/>
      <c r="E77" s="5" t="s">
        <v>13</v>
      </c>
      <c r="F77" s="7">
        <v>11.2</v>
      </c>
      <c r="G77" s="10">
        <f>VLOOKUP(A77,[1]TDSheet!$A:$J,10,0)/22</f>
        <v>1.2909090909090908</v>
      </c>
      <c r="H77" s="10">
        <f t="shared" si="1"/>
        <v>8.6760563380281699</v>
      </c>
    </row>
    <row r="78" spans="1:8" ht="21.95" customHeight="1" x14ac:dyDescent="0.2">
      <c r="A78" s="13" t="s">
        <v>78</v>
      </c>
      <c r="B78" s="13"/>
      <c r="C78" s="13"/>
      <c r="D78" s="13"/>
      <c r="E78" s="5" t="s">
        <v>9</v>
      </c>
      <c r="F78" s="7">
        <v>42.253999999999998</v>
      </c>
      <c r="G78" s="10">
        <f>VLOOKUP(A78,[1]TDSheet!$A:$J,10,0)/22</f>
        <v>1.4306818181818182</v>
      </c>
      <c r="H78" s="10">
        <f t="shared" si="1"/>
        <v>29.534169976171565</v>
      </c>
    </row>
    <row r="79" spans="1:8" ht="11.1" customHeight="1" x14ac:dyDescent="0.2">
      <c r="A79" s="13" t="s">
        <v>79</v>
      </c>
      <c r="B79" s="13"/>
      <c r="C79" s="13"/>
      <c r="D79" s="13"/>
      <c r="E79" s="5" t="s">
        <v>9</v>
      </c>
      <c r="F79" s="6">
        <v>1041.0350000000001</v>
      </c>
      <c r="G79" s="10">
        <f>VLOOKUP(A79,[1]TDSheet!$A:$J,10,0)/22</f>
        <v>627.17899999999997</v>
      </c>
      <c r="H79" s="10">
        <f t="shared" si="1"/>
        <v>1.6598690326047272</v>
      </c>
    </row>
    <row r="80" spans="1:8" ht="11.1" customHeight="1" x14ac:dyDescent="0.2">
      <c r="A80" s="13" t="s">
        <v>80</v>
      </c>
      <c r="B80" s="13"/>
      <c r="C80" s="13"/>
      <c r="D80" s="13"/>
      <c r="E80" s="5" t="s">
        <v>13</v>
      </c>
      <c r="F80" s="7">
        <v>28.2</v>
      </c>
      <c r="G80" s="10">
        <f>VLOOKUP(A80,[1]TDSheet!$A:$J,10,0)/22</f>
        <v>11.290909090909091</v>
      </c>
      <c r="H80" s="10">
        <f t="shared" si="1"/>
        <v>2.4975845410628019</v>
      </c>
    </row>
    <row r="81" spans="1:8" ht="11.1" customHeight="1" x14ac:dyDescent="0.2">
      <c r="A81" s="13" t="s">
        <v>81</v>
      </c>
      <c r="B81" s="13"/>
      <c r="C81" s="13"/>
      <c r="D81" s="13"/>
      <c r="E81" s="5" t="s">
        <v>9</v>
      </c>
      <c r="F81" s="7">
        <v>471.75299999999999</v>
      </c>
      <c r="G81" s="10">
        <f>VLOOKUP(A81,[1]TDSheet!$A:$J,10,0)/22</f>
        <v>239.71904545454547</v>
      </c>
      <c r="H81" s="10">
        <f t="shared" si="1"/>
        <v>1.9679412585073548</v>
      </c>
    </row>
    <row r="82" spans="1:8" ht="11.1" customHeight="1" x14ac:dyDescent="0.2">
      <c r="A82" s="13" t="s">
        <v>82</v>
      </c>
      <c r="B82" s="13"/>
      <c r="C82" s="13"/>
      <c r="D82" s="13"/>
      <c r="E82" s="5" t="s">
        <v>9</v>
      </c>
      <c r="F82" s="6">
        <v>3635.6790000000001</v>
      </c>
      <c r="G82" s="10">
        <f>VLOOKUP(A82,[1]TDSheet!$A:$J,10,0)/22</f>
        <v>488.02286363636364</v>
      </c>
      <c r="H82" s="10">
        <f t="shared" si="1"/>
        <v>7.449812848746002</v>
      </c>
    </row>
    <row r="83" spans="1:8" ht="11.1" customHeight="1" x14ac:dyDescent="0.2">
      <c r="A83" s="13" t="s">
        <v>83</v>
      </c>
      <c r="B83" s="13"/>
      <c r="C83" s="13"/>
      <c r="D83" s="13"/>
      <c r="E83" s="5" t="s">
        <v>9</v>
      </c>
      <c r="F83" s="6">
        <v>5726.8370000000004</v>
      </c>
      <c r="G83" s="10">
        <f>VLOOKUP(A83,[1]TDSheet!$A:$J,10,0)/22</f>
        <v>761.25522727272721</v>
      </c>
      <c r="H83" s="10">
        <f t="shared" si="1"/>
        <v>7.522886930467414</v>
      </c>
    </row>
    <row r="84" spans="1:8" ht="21.95" customHeight="1" x14ac:dyDescent="0.2">
      <c r="A84" s="13" t="s">
        <v>84</v>
      </c>
      <c r="B84" s="13"/>
      <c r="C84" s="13"/>
      <c r="D84" s="13"/>
      <c r="E84" s="5" t="s">
        <v>9</v>
      </c>
      <c r="F84" s="7">
        <v>96.989000000000004</v>
      </c>
      <c r="G84" s="10">
        <f>VLOOKUP(A84,[1]TDSheet!$A:$J,10,0)/22</f>
        <v>5.4879090909090911</v>
      </c>
      <c r="H84" s="10">
        <f t="shared" si="1"/>
        <v>17.673215498533967</v>
      </c>
    </row>
    <row r="85" spans="1:8" ht="21.95" customHeight="1" x14ac:dyDescent="0.2">
      <c r="A85" s="13" t="s">
        <v>85</v>
      </c>
      <c r="B85" s="13"/>
      <c r="C85" s="13"/>
      <c r="D85" s="13"/>
      <c r="E85" s="5" t="s">
        <v>9</v>
      </c>
      <c r="F85" s="7">
        <v>-1.36</v>
      </c>
      <c r="G85" s="10">
        <f>VLOOKUP(A85,[1]TDSheet!$A:$J,10,0)/22</f>
        <v>-0.11954545454545454</v>
      </c>
      <c r="H85" s="10">
        <f t="shared" si="1"/>
        <v>11.376425855513309</v>
      </c>
    </row>
    <row r="86" spans="1:8" ht="21.95" customHeight="1" x14ac:dyDescent="0.2">
      <c r="A86" s="13" t="s">
        <v>86</v>
      </c>
      <c r="B86" s="13"/>
      <c r="C86" s="13"/>
      <c r="D86" s="13"/>
      <c r="E86" s="5" t="s">
        <v>9</v>
      </c>
      <c r="F86" s="7">
        <v>387.31</v>
      </c>
      <c r="G86" s="10">
        <f>VLOOKUP(A86,[1]TDSheet!$A:$J,10,0)/22</f>
        <v>7.7958636363636353</v>
      </c>
      <c r="H86" s="10">
        <f t="shared" si="1"/>
        <v>49.681474441574501</v>
      </c>
    </row>
    <row r="87" spans="1:8" ht="11.1" customHeight="1" x14ac:dyDescent="0.2">
      <c r="A87" s="13" t="s">
        <v>87</v>
      </c>
      <c r="B87" s="13"/>
      <c r="C87" s="13"/>
      <c r="D87" s="13"/>
      <c r="E87" s="5" t="s">
        <v>13</v>
      </c>
      <c r="F87" s="7">
        <v>12.3</v>
      </c>
      <c r="G87" s="10">
        <f>VLOOKUP(A87,[1]TDSheet!$A:$J,10,0)/22</f>
        <v>5.6045454545454545</v>
      </c>
      <c r="H87" s="10">
        <f t="shared" si="1"/>
        <v>2.1946472019464722</v>
      </c>
    </row>
    <row r="88" spans="1:8" ht="11.1" customHeight="1" x14ac:dyDescent="0.2">
      <c r="A88" s="13" t="s">
        <v>88</v>
      </c>
      <c r="B88" s="13"/>
      <c r="C88" s="13"/>
      <c r="D88" s="13"/>
      <c r="E88" s="5" t="s">
        <v>13</v>
      </c>
      <c r="F88" s="7">
        <v>29.4</v>
      </c>
      <c r="G88" s="10">
        <f>VLOOKUP(A88,[1]TDSheet!$A:$J,10,0)/22</f>
        <v>1.6227272727272728</v>
      </c>
      <c r="H88" s="10">
        <f t="shared" si="1"/>
        <v>18.117647058823529</v>
      </c>
    </row>
    <row r="89" spans="1:8" ht="11.1" customHeight="1" x14ac:dyDescent="0.2">
      <c r="A89" s="13" t="s">
        <v>89</v>
      </c>
      <c r="B89" s="13"/>
      <c r="C89" s="13"/>
      <c r="D89" s="13"/>
      <c r="E89" s="5" t="s">
        <v>13</v>
      </c>
      <c r="F89" s="7">
        <v>6.93</v>
      </c>
      <c r="G89" s="10">
        <f>VLOOKUP(A89,[1]TDSheet!$A:$J,10,0)/22</f>
        <v>1.96</v>
      </c>
      <c r="H89" s="10">
        <f t="shared" si="1"/>
        <v>3.5357142857142856</v>
      </c>
    </row>
    <row r="90" spans="1:8" ht="11.1" customHeight="1" x14ac:dyDescent="0.2">
      <c r="A90" s="13" t="s">
        <v>90</v>
      </c>
      <c r="B90" s="13"/>
      <c r="C90" s="13"/>
      <c r="D90" s="13"/>
      <c r="E90" s="5" t="s">
        <v>13</v>
      </c>
      <c r="F90" s="7">
        <v>10.92</v>
      </c>
      <c r="G90" s="10">
        <f>VLOOKUP(A90,[1]TDSheet!$A:$J,10,0)/22</f>
        <v>1.8327272727272728</v>
      </c>
      <c r="H90" s="10">
        <f t="shared" si="1"/>
        <v>5.958333333333333</v>
      </c>
    </row>
    <row r="91" spans="1:8" ht="11.1" customHeight="1" x14ac:dyDescent="0.2">
      <c r="A91" s="13" t="s">
        <v>91</v>
      </c>
      <c r="B91" s="13"/>
      <c r="C91" s="13"/>
      <c r="D91" s="13"/>
      <c r="E91" s="5" t="s">
        <v>13</v>
      </c>
      <c r="F91" s="7">
        <v>11.9</v>
      </c>
      <c r="G91" s="10">
        <f>VLOOKUP(A91,[1]TDSheet!$A:$J,10,0)/22</f>
        <v>1.5145454545454546</v>
      </c>
      <c r="H91" s="10">
        <f t="shared" si="1"/>
        <v>7.8571428571428568</v>
      </c>
    </row>
    <row r="92" spans="1:8" ht="11.1" customHeight="1" x14ac:dyDescent="0.2">
      <c r="A92" s="13" t="s">
        <v>92</v>
      </c>
      <c r="B92" s="13"/>
      <c r="C92" s="13"/>
      <c r="D92" s="13"/>
      <c r="E92" s="5" t="s">
        <v>13</v>
      </c>
      <c r="F92" s="7">
        <v>0.3</v>
      </c>
      <c r="G92" s="10">
        <f>VLOOKUP(A92,[1]TDSheet!$A:$J,10,0)/22</f>
        <v>0.75227272727272732</v>
      </c>
      <c r="H92" s="10">
        <f t="shared" si="1"/>
        <v>0.39879154078549844</v>
      </c>
    </row>
    <row r="93" spans="1:8" ht="11.1" customHeight="1" x14ac:dyDescent="0.2">
      <c r="A93" s="13" t="s">
        <v>93</v>
      </c>
      <c r="B93" s="13"/>
      <c r="C93" s="13"/>
      <c r="D93" s="13"/>
      <c r="E93" s="5" t="s">
        <v>13</v>
      </c>
      <c r="F93" s="7">
        <v>2.1</v>
      </c>
      <c r="G93" s="10">
        <f>VLOOKUP(A93,[1]TDSheet!$A:$J,10,0)/22</f>
        <v>0.58636363636363642</v>
      </c>
      <c r="H93" s="10">
        <f t="shared" si="1"/>
        <v>3.581395348837209</v>
      </c>
    </row>
    <row r="94" spans="1:8" ht="11.1" customHeight="1" x14ac:dyDescent="0.2">
      <c r="A94" s="13" t="s">
        <v>94</v>
      </c>
      <c r="B94" s="13"/>
      <c r="C94" s="13"/>
      <c r="D94" s="13"/>
      <c r="E94" s="5" t="s">
        <v>9</v>
      </c>
      <c r="F94" s="7">
        <v>41.014000000000003</v>
      </c>
      <c r="G94" s="10">
        <f>VLOOKUP(A94,[1]TDSheet!$A:$J,10,0)/22</f>
        <v>2.239590909090909</v>
      </c>
      <c r="H94" s="10">
        <f t="shared" si="1"/>
        <v>18.313165959692316</v>
      </c>
    </row>
    <row r="95" spans="1:8" ht="21.95" customHeight="1" x14ac:dyDescent="0.2">
      <c r="A95" s="13" t="s">
        <v>95</v>
      </c>
      <c r="B95" s="13"/>
      <c r="C95" s="13"/>
      <c r="D95" s="13"/>
      <c r="E95" s="5" t="s">
        <v>13</v>
      </c>
      <c r="F95" s="7">
        <v>-1.43</v>
      </c>
      <c r="G95" s="10">
        <f>VLOOKUP(A95,[1]TDSheet!$A:$J,10,0)/22</f>
        <v>0.24000000000000002</v>
      </c>
      <c r="H95" s="10">
        <f t="shared" si="1"/>
        <v>-5.958333333333333</v>
      </c>
    </row>
    <row r="96" spans="1:8" ht="21.95" customHeight="1" x14ac:dyDescent="0.2">
      <c r="A96" s="13" t="s">
        <v>96</v>
      </c>
      <c r="B96" s="13"/>
      <c r="C96" s="13"/>
      <c r="D96" s="13"/>
      <c r="E96" s="5" t="s">
        <v>13</v>
      </c>
      <c r="F96" s="7">
        <v>12</v>
      </c>
      <c r="G96" s="10">
        <f>VLOOKUP(A96,[1]TDSheet!$A:$J,10,0)/22</f>
        <v>3.5745454545454547</v>
      </c>
      <c r="H96" s="10">
        <f t="shared" si="1"/>
        <v>3.3570701932858595</v>
      </c>
    </row>
    <row r="97" spans="1:8" ht="21.95" customHeight="1" x14ac:dyDescent="0.2">
      <c r="A97" s="13" t="s">
        <v>97</v>
      </c>
      <c r="B97" s="13"/>
      <c r="C97" s="13"/>
      <c r="D97" s="13"/>
      <c r="E97" s="5" t="s">
        <v>13</v>
      </c>
      <c r="F97" s="7">
        <v>2.88</v>
      </c>
      <c r="G97" s="10">
        <f>VLOOKUP(A97,[1]TDSheet!$A:$J,10,0)/22</f>
        <v>1.669090909090909</v>
      </c>
      <c r="H97" s="10">
        <f t="shared" si="1"/>
        <v>1.7254901960784315</v>
      </c>
    </row>
    <row r="98" spans="1:8" ht="21.95" customHeight="1" x14ac:dyDescent="0.2">
      <c r="A98" s="13" t="s">
        <v>98</v>
      </c>
      <c r="B98" s="13"/>
      <c r="C98" s="13"/>
      <c r="D98" s="13"/>
      <c r="E98" s="5" t="s">
        <v>13</v>
      </c>
      <c r="F98" s="7">
        <v>5.44</v>
      </c>
      <c r="G98" s="10">
        <f>VLOOKUP(A98,[1]TDSheet!$A:$J,10,0)/22</f>
        <v>1.3522727272727273</v>
      </c>
      <c r="H98" s="10">
        <f t="shared" si="1"/>
        <v>4.0228571428571431</v>
      </c>
    </row>
    <row r="99" spans="1:8" ht="21.95" customHeight="1" x14ac:dyDescent="0.2">
      <c r="A99" s="13" t="s">
        <v>99</v>
      </c>
      <c r="B99" s="13"/>
      <c r="C99" s="13"/>
      <c r="D99" s="13"/>
      <c r="E99" s="5" t="s">
        <v>9</v>
      </c>
      <c r="F99" s="7">
        <v>334.36799999999999</v>
      </c>
      <c r="G99" s="10">
        <f>VLOOKUP(A99,[1]TDSheet!$A:$J,10,0)/22</f>
        <v>43.563136363636367</v>
      </c>
      <c r="H99" s="10">
        <f t="shared" si="1"/>
        <v>7.6754804155723813</v>
      </c>
    </row>
    <row r="100" spans="1:8" ht="21.95" customHeight="1" x14ac:dyDescent="0.2">
      <c r="A100" s="13" t="s">
        <v>100</v>
      </c>
      <c r="B100" s="13"/>
      <c r="C100" s="13"/>
      <c r="D100" s="13"/>
      <c r="E100" s="5" t="s">
        <v>9</v>
      </c>
      <c r="F100" s="7">
        <v>79.894000000000005</v>
      </c>
      <c r="G100" s="10">
        <f>VLOOKUP(A100,[1]TDSheet!$A:$J,10,0)/22</f>
        <v>13.875999999999999</v>
      </c>
      <c r="H100" s="10">
        <f t="shared" si="1"/>
        <v>5.757711155952725</v>
      </c>
    </row>
    <row r="101" spans="1:8" ht="11.1" customHeight="1" x14ac:dyDescent="0.2">
      <c r="A101" s="13" t="s">
        <v>101</v>
      </c>
      <c r="B101" s="13"/>
      <c r="C101" s="13"/>
      <c r="D101" s="13"/>
      <c r="E101" s="5" t="s">
        <v>9</v>
      </c>
      <c r="F101" s="7">
        <v>124.77800000000001</v>
      </c>
      <c r="G101" s="10">
        <f>VLOOKUP(A101,[1]TDSheet!$A:$J,10,0)/22</f>
        <v>34.444181818181818</v>
      </c>
      <c r="H101" s="10">
        <f t="shared" si="1"/>
        <v>3.6226147178834798</v>
      </c>
    </row>
    <row r="102" spans="1:8" ht="11.1" customHeight="1" x14ac:dyDescent="0.2">
      <c r="A102" s="13" t="s">
        <v>102</v>
      </c>
      <c r="B102" s="13"/>
      <c r="C102" s="13"/>
      <c r="D102" s="13"/>
      <c r="E102" s="5" t="s">
        <v>13</v>
      </c>
      <c r="F102" s="7">
        <v>6</v>
      </c>
      <c r="G102" s="10">
        <f>VLOOKUP(A102,[1]TDSheet!$A:$J,10,0)/22</f>
        <v>2.5227272727272729</v>
      </c>
      <c r="H102" s="10">
        <f t="shared" si="1"/>
        <v>2.3783783783783781</v>
      </c>
    </row>
    <row r="103" spans="1:8" ht="21.95" customHeight="1" x14ac:dyDescent="0.2">
      <c r="A103" s="13" t="s">
        <v>103</v>
      </c>
      <c r="B103" s="13"/>
      <c r="C103" s="13"/>
      <c r="D103" s="13"/>
      <c r="E103" s="5" t="s">
        <v>9</v>
      </c>
      <c r="F103" s="7">
        <v>-3.6139999999999999</v>
      </c>
      <c r="G103" s="10">
        <f>VLOOKUP(A103,[1]TDSheet!$A:$J,10,0)/22</f>
        <v>0.46922727272727277</v>
      </c>
      <c r="H103" s="10">
        <f t="shared" si="1"/>
        <v>-7.7020246052504104</v>
      </c>
    </row>
    <row r="104" spans="1:8" ht="21.95" customHeight="1" x14ac:dyDescent="0.2">
      <c r="A104" s="13" t="s">
        <v>104</v>
      </c>
      <c r="B104" s="13"/>
      <c r="C104" s="13"/>
      <c r="D104" s="13"/>
      <c r="E104" s="5" t="s">
        <v>13</v>
      </c>
      <c r="F104" s="7">
        <v>129.36000000000001</v>
      </c>
      <c r="G104" s="10">
        <f>VLOOKUP(A104,[1]TDSheet!$A:$J,10,0)/22</f>
        <v>18.760000000000002</v>
      </c>
      <c r="H104" s="10">
        <f t="shared" si="1"/>
        <v>6.8955223880597014</v>
      </c>
    </row>
    <row r="105" spans="1:8" ht="21.95" customHeight="1" x14ac:dyDescent="0.2">
      <c r="A105" s="13" t="s">
        <v>105</v>
      </c>
      <c r="B105" s="13"/>
      <c r="C105" s="13"/>
      <c r="D105" s="13"/>
      <c r="E105" s="5" t="s">
        <v>13</v>
      </c>
      <c r="F105" s="7">
        <v>63.482999999999997</v>
      </c>
      <c r="G105" s="10">
        <f>VLOOKUP(A105,[1]TDSheet!$A:$J,10,0)/22</f>
        <v>16.574396363636364</v>
      </c>
      <c r="H105" s="10">
        <f t="shared" si="1"/>
        <v>3.8301847383883882</v>
      </c>
    </row>
    <row r="106" spans="1:8" ht="21.95" customHeight="1" x14ac:dyDescent="0.2">
      <c r="A106" s="13" t="s">
        <v>106</v>
      </c>
      <c r="B106" s="13"/>
      <c r="C106" s="13"/>
      <c r="D106" s="13"/>
      <c r="E106" s="5" t="s">
        <v>13</v>
      </c>
      <c r="F106" s="7">
        <v>95.9</v>
      </c>
      <c r="G106" s="10">
        <f>VLOOKUP(A106,[1]TDSheet!$A:$J,10,0)/22</f>
        <v>27.79</v>
      </c>
      <c r="H106" s="10">
        <f t="shared" si="1"/>
        <v>3.4508816120906802</v>
      </c>
    </row>
    <row r="107" spans="1:8" ht="11.1" customHeight="1" x14ac:dyDescent="0.2">
      <c r="A107" s="13" t="s">
        <v>107</v>
      </c>
      <c r="B107" s="13"/>
      <c r="C107" s="13"/>
      <c r="D107" s="13"/>
      <c r="E107" s="5" t="s">
        <v>13</v>
      </c>
      <c r="F107" s="7">
        <v>3.33</v>
      </c>
      <c r="G107" s="10">
        <f>VLOOKUP(A107,[1]TDSheet!$A:$J,10,0)/22</f>
        <v>0.87545454545454549</v>
      </c>
      <c r="H107" s="10">
        <f t="shared" si="1"/>
        <v>3.8037383177570092</v>
      </c>
    </row>
    <row r="108" spans="1:8" ht="21.95" customHeight="1" x14ac:dyDescent="0.2">
      <c r="A108" s="13" t="s">
        <v>108</v>
      </c>
      <c r="B108" s="13"/>
      <c r="C108" s="13"/>
      <c r="D108" s="13"/>
      <c r="E108" s="5" t="s">
        <v>9</v>
      </c>
      <c r="F108" s="7">
        <v>42.884999999999998</v>
      </c>
      <c r="G108" s="10">
        <f>VLOOKUP(A108,[1]TDSheet!$A:$J,10,0)/22</f>
        <v>1.2923181818181819</v>
      </c>
      <c r="H108" s="10">
        <f t="shared" si="1"/>
        <v>33.184552073440955</v>
      </c>
    </row>
    <row r="109" spans="1:8" ht="21.95" customHeight="1" x14ac:dyDescent="0.2">
      <c r="A109" s="13" t="s">
        <v>109</v>
      </c>
      <c r="B109" s="13"/>
      <c r="C109" s="13"/>
      <c r="D109" s="13"/>
      <c r="E109" s="5" t="s">
        <v>9</v>
      </c>
      <c r="F109" s="7">
        <v>109.297</v>
      </c>
      <c r="G109" s="10">
        <f>VLOOKUP(A109,[1]TDSheet!$A:$J,10,0)/22</f>
        <v>9.9649999999999999</v>
      </c>
      <c r="H109" s="10">
        <f t="shared" si="1"/>
        <v>10.968088309081786</v>
      </c>
    </row>
    <row r="110" spans="1:8" ht="21.95" customHeight="1" x14ac:dyDescent="0.2">
      <c r="A110" s="13" t="s">
        <v>110</v>
      </c>
      <c r="B110" s="13"/>
      <c r="C110" s="13"/>
      <c r="D110" s="13"/>
      <c r="E110" s="5" t="s">
        <v>9</v>
      </c>
      <c r="F110" s="7">
        <v>58.570999999999998</v>
      </c>
      <c r="G110" s="10">
        <f>VLOOKUP(A110,[1]TDSheet!$A:$J,10,0)/22</f>
        <v>11.853909090909092</v>
      </c>
      <c r="H110" s="10">
        <f t="shared" si="1"/>
        <v>4.9410704562361474</v>
      </c>
    </row>
    <row r="111" spans="1:8" ht="11.1" customHeight="1" x14ac:dyDescent="0.2">
      <c r="A111" s="13" t="s">
        <v>111</v>
      </c>
      <c r="B111" s="13"/>
      <c r="C111" s="13"/>
      <c r="D111" s="13"/>
      <c r="E111" s="5" t="s">
        <v>13</v>
      </c>
      <c r="F111" s="7">
        <v>5.76</v>
      </c>
      <c r="G111" s="10">
        <f>VLOOKUP(A111,[1]TDSheet!$A:$J,10,0)/22</f>
        <v>0.9081818181818182</v>
      </c>
      <c r="H111" s="10">
        <f t="shared" si="1"/>
        <v>6.3423423423423424</v>
      </c>
    </row>
    <row r="112" spans="1:8" ht="21.95" customHeight="1" x14ac:dyDescent="0.2">
      <c r="A112" s="13" t="s">
        <v>112</v>
      </c>
      <c r="B112" s="13"/>
      <c r="C112" s="13"/>
      <c r="D112" s="13"/>
      <c r="E112" s="5" t="s">
        <v>13</v>
      </c>
      <c r="F112" s="7">
        <v>10.35</v>
      </c>
      <c r="G112" s="10">
        <f>VLOOKUP(A112,[1]TDSheet!$A:$J,10,0)/22</f>
        <v>0.72</v>
      </c>
      <c r="H112" s="10">
        <f t="shared" si="1"/>
        <v>14.375</v>
      </c>
    </row>
    <row r="113" spans="1:8" ht="11.1" customHeight="1" x14ac:dyDescent="0.2">
      <c r="A113" s="13" t="s">
        <v>113</v>
      </c>
      <c r="B113" s="13"/>
      <c r="C113" s="13"/>
      <c r="D113" s="13"/>
      <c r="E113" s="5" t="s">
        <v>9</v>
      </c>
      <c r="F113" s="7">
        <v>145.97900000000001</v>
      </c>
      <c r="G113" s="10">
        <f>VLOOKUP(A113,[1]TDSheet!$A:$J,10,0)/22</f>
        <v>29.010272727272728</v>
      </c>
      <c r="H113" s="10">
        <f t="shared" si="1"/>
        <v>5.0319761338460047</v>
      </c>
    </row>
    <row r="114" spans="1:8" ht="11.1" customHeight="1" x14ac:dyDescent="0.2">
      <c r="A114" s="13" t="s">
        <v>114</v>
      </c>
      <c r="B114" s="13"/>
      <c r="C114" s="13"/>
      <c r="D114" s="13"/>
      <c r="E114" s="5" t="s">
        <v>9</v>
      </c>
      <c r="F114" s="7">
        <v>405.70499999999998</v>
      </c>
      <c r="G114" s="10">
        <f>VLOOKUP(A114,[1]TDSheet!$A:$J,10,0)/22</f>
        <v>98.882363636363621</v>
      </c>
      <c r="H114" s="10">
        <f t="shared" si="1"/>
        <v>4.1029055645551287</v>
      </c>
    </row>
    <row r="115" spans="1:8" ht="11.1" customHeight="1" x14ac:dyDescent="0.2">
      <c r="A115" s="13" t="s">
        <v>115</v>
      </c>
      <c r="B115" s="13"/>
      <c r="C115" s="13"/>
      <c r="D115" s="13"/>
      <c r="E115" s="5" t="s">
        <v>9</v>
      </c>
      <c r="F115" s="7">
        <v>285.41800000000001</v>
      </c>
      <c r="G115" s="10">
        <f>VLOOKUP(A115,[1]TDSheet!$A:$J,10,0)/22</f>
        <v>9.269318181818182</v>
      </c>
      <c r="H115" s="10">
        <f t="shared" si="1"/>
        <v>30.791693024396224</v>
      </c>
    </row>
    <row r="116" spans="1:8" ht="11.1" customHeight="1" x14ac:dyDescent="0.2">
      <c r="A116" s="13" t="s">
        <v>116</v>
      </c>
      <c r="B116" s="13"/>
      <c r="C116" s="13"/>
      <c r="D116" s="13"/>
      <c r="E116" s="5" t="s">
        <v>9</v>
      </c>
      <c r="F116" s="6">
        <v>1926.395</v>
      </c>
      <c r="G116" s="10">
        <f>VLOOKUP(A116,[1]TDSheet!$A:$J,10,0)/22</f>
        <v>156.77377272727273</v>
      </c>
      <c r="H116" s="10">
        <f t="shared" si="1"/>
        <v>12.287737715869103</v>
      </c>
    </row>
    <row r="117" spans="1:8" ht="21.95" customHeight="1" x14ac:dyDescent="0.2">
      <c r="A117" s="13" t="s">
        <v>117</v>
      </c>
      <c r="B117" s="13"/>
      <c r="C117" s="13"/>
      <c r="D117" s="13"/>
      <c r="E117" s="5" t="s">
        <v>13</v>
      </c>
      <c r="F117" s="7">
        <v>29.5</v>
      </c>
      <c r="G117" s="10">
        <f>VLOOKUP(A117,[1]TDSheet!$A:$J,10,0)/22</f>
        <v>0.92045454545454541</v>
      </c>
      <c r="H117" s="10">
        <f t="shared" si="1"/>
        <v>32.049382716049386</v>
      </c>
    </row>
    <row r="118" spans="1:8" ht="11.1" customHeight="1" x14ac:dyDescent="0.2">
      <c r="A118" s="13" t="s">
        <v>118</v>
      </c>
      <c r="B118" s="13"/>
      <c r="C118" s="13"/>
      <c r="D118" s="13"/>
      <c r="E118" s="5" t="s">
        <v>13</v>
      </c>
      <c r="F118" s="7">
        <v>49.725000000000001</v>
      </c>
      <c r="G118" s="10">
        <f>VLOOKUP(A118,[1]TDSheet!$A:$J,10,0)/22</f>
        <v>0.72386363636363638</v>
      </c>
      <c r="H118" s="10">
        <f t="shared" si="1"/>
        <v>68.693877551020407</v>
      </c>
    </row>
    <row r="119" spans="1:8" ht="21.95" customHeight="1" x14ac:dyDescent="0.2">
      <c r="A119" s="13" t="s">
        <v>119</v>
      </c>
      <c r="B119" s="13"/>
      <c r="C119" s="13"/>
      <c r="D119" s="13"/>
      <c r="E119" s="5" t="s">
        <v>13</v>
      </c>
      <c r="F119" s="7">
        <v>33.25</v>
      </c>
      <c r="G119" s="10">
        <f>VLOOKUP(A119,[1]TDSheet!$A:$J,10,0)/22</f>
        <v>0.75</v>
      </c>
      <c r="H119" s="10">
        <f t="shared" si="1"/>
        <v>44.333333333333336</v>
      </c>
    </row>
    <row r="120" spans="1:8" ht="21.95" customHeight="1" x14ac:dyDescent="0.2">
      <c r="A120" s="13" t="s">
        <v>120</v>
      </c>
      <c r="B120" s="13"/>
      <c r="C120" s="13"/>
      <c r="D120" s="13"/>
      <c r="E120" s="5" t="s">
        <v>13</v>
      </c>
      <c r="F120" s="7">
        <v>67.8</v>
      </c>
      <c r="G120" s="10">
        <f>VLOOKUP(A120,[1]TDSheet!$A:$J,10,0)/22</f>
        <v>8.372727272727273</v>
      </c>
      <c r="H120" s="10">
        <f t="shared" si="1"/>
        <v>8.0977198697068395</v>
      </c>
    </row>
    <row r="121" spans="1:8" ht="11.1" customHeight="1" x14ac:dyDescent="0.2">
      <c r="A121" s="13" t="s">
        <v>121</v>
      </c>
      <c r="B121" s="13"/>
      <c r="C121" s="13"/>
      <c r="D121" s="13"/>
      <c r="E121" s="5" t="s">
        <v>13</v>
      </c>
      <c r="F121" s="7">
        <v>30.9</v>
      </c>
      <c r="G121" s="10">
        <f>VLOOKUP(A121,[1]TDSheet!$A:$J,10,0)/22</f>
        <v>6.8727272727272721</v>
      </c>
      <c r="H121" s="10">
        <f t="shared" si="1"/>
        <v>4.496031746031746</v>
      </c>
    </row>
    <row r="122" spans="1:8" ht="11.1" customHeight="1" x14ac:dyDescent="0.2">
      <c r="A122" s="13" t="s">
        <v>122</v>
      </c>
      <c r="B122" s="13"/>
      <c r="C122" s="13"/>
      <c r="D122" s="13"/>
      <c r="E122" s="5" t="s">
        <v>9</v>
      </c>
      <c r="F122" s="7">
        <v>123.122</v>
      </c>
      <c r="G122" s="10">
        <f>VLOOKUP(A122,[1]TDSheet!$A:$J,10,0)/22</f>
        <v>10.924954545454545</v>
      </c>
      <c r="H122" s="10">
        <f t="shared" si="1"/>
        <v>11.26979517285281</v>
      </c>
    </row>
    <row r="123" spans="1:8" ht="11.1" customHeight="1" x14ac:dyDescent="0.2">
      <c r="A123" s="13" t="s">
        <v>123</v>
      </c>
      <c r="B123" s="13"/>
      <c r="C123" s="13"/>
      <c r="D123" s="13"/>
      <c r="E123" s="5" t="s">
        <v>13</v>
      </c>
      <c r="F123" s="7">
        <v>3</v>
      </c>
      <c r="G123" s="10">
        <f>VLOOKUP(A123,[1]TDSheet!$A:$J,10,0)/22</f>
        <v>2.8909090909090911</v>
      </c>
      <c r="H123" s="10">
        <f t="shared" si="1"/>
        <v>1.0377358490566038</v>
      </c>
    </row>
    <row r="124" spans="1:8" ht="11.1" customHeight="1" x14ac:dyDescent="0.2">
      <c r="A124" s="13" t="s">
        <v>124</v>
      </c>
      <c r="B124" s="13"/>
      <c r="C124" s="13"/>
      <c r="D124" s="13"/>
      <c r="E124" s="5" t="s">
        <v>13</v>
      </c>
      <c r="F124" s="7">
        <v>11.04</v>
      </c>
      <c r="G124" s="10">
        <f>VLOOKUP(A124,[1]TDSheet!$A:$J,10,0)/22</f>
        <v>0.87272727272727268</v>
      </c>
      <c r="H124" s="10">
        <f t="shared" si="1"/>
        <v>12.65</v>
      </c>
    </row>
    <row r="125" spans="1:8" ht="12.95" customHeight="1" x14ac:dyDescent="0.2">
      <c r="A125" s="14" t="s">
        <v>125</v>
      </c>
      <c r="B125" s="14"/>
      <c r="C125" s="14"/>
      <c r="D125" s="14"/>
      <c r="E125" s="14"/>
      <c r="F125" s="8">
        <v>34499.108999999997</v>
      </c>
    </row>
  </sheetData>
  <mergeCells count="119">
    <mergeCell ref="A12:D12"/>
    <mergeCell ref="A13:D13"/>
    <mergeCell ref="A14:D14"/>
    <mergeCell ref="A15:D15"/>
    <mergeCell ref="A16:D16"/>
    <mergeCell ref="C6:F6"/>
    <mergeCell ref="A8:D9"/>
    <mergeCell ref="E8:E9"/>
    <mergeCell ref="A10:D10"/>
    <mergeCell ref="A11:D11"/>
    <mergeCell ref="A22:D22"/>
    <mergeCell ref="A23:D23"/>
    <mergeCell ref="A24:D24"/>
    <mergeCell ref="A25:D25"/>
    <mergeCell ref="A26:D26"/>
    <mergeCell ref="A17:D17"/>
    <mergeCell ref="A18:D18"/>
    <mergeCell ref="A19:D19"/>
    <mergeCell ref="A20:D20"/>
    <mergeCell ref="A21:D21"/>
    <mergeCell ref="A32:D32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A42:D42"/>
    <mergeCell ref="A43:D43"/>
    <mergeCell ref="A44:D44"/>
    <mergeCell ref="A45:D45"/>
    <mergeCell ref="A46:D46"/>
    <mergeCell ref="A37:D37"/>
    <mergeCell ref="A38:D38"/>
    <mergeCell ref="A39:D39"/>
    <mergeCell ref="A40:D40"/>
    <mergeCell ref="A41:D41"/>
    <mergeCell ref="A52:D52"/>
    <mergeCell ref="A53:D53"/>
    <mergeCell ref="A54:D54"/>
    <mergeCell ref="A55:D55"/>
    <mergeCell ref="A56:D56"/>
    <mergeCell ref="A47:D47"/>
    <mergeCell ref="A48:D48"/>
    <mergeCell ref="A49:D49"/>
    <mergeCell ref="A50:D50"/>
    <mergeCell ref="A51:D51"/>
    <mergeCell ref="A62:D62"/>
    <mergeCell ref="A63:D63"/>
    <mergeCell ref="A64:D64"/>
    <mergeCell ref="A65:D65"/>
    <mergeCell ref="A66:D66"/>
    <mergeCell ref="A57:D57"/>
    <mergeCell ref="A58:D58"/>
    <mergeCell ref="A59:D59"/>
    <mergeCell ref="A60:D60"/>
    <mergeCell ref="A61:D61"/>
    <mergeCell ref="A72:D72"/>
    <mergeCell ref="A73:D73"/>
    <mergeCell ref="A74:D74"/>
    <mergeCell ref="A75:D75"/>
    <mergeCell ref="A76:D76"/>
    <mergeCell ref="A67:D67"/>
    <mergeCell ref="A68:D68"/>
    <mergeCell ref="A69:D69"/>
    <mergeCell ref="A70:D70"/>
    <mergeCell ref="A71:D71"/>
    <mergeCell ref="A82:D82"/>
    <mergeCell ref="A83:D83"/>
    <mergeCell ref="A84:D84"/>
    <mergeCell ref="A85:D85"/>
    <mergeCell ref="A86:D86"/>
    <mergeCell ref="A77:D77"/>
    <mergeCell ref="A78:D78"/>
    <mergeCell ref="A79:D79"/>
    <mergeCell ref="A80:D80"/>
    <mergeCell ref="A81:D81"/>
    <mergeCell ref="A92:D92"/>
    <mergeCell ref="A93:D93"/>
    <mergeCell ref="A94:D94"/>
    <mergeCell ref="A95:D95"/>
    <mergeCell ref="A96:D96"/>
    <mergeCell ref="A87:D87"/>
    <mergeCell ref="A88:D88"/>
    <mergeCell ref="A89:D89"/>
    <mergeCell ref="A90:D90"/>
    <mergeCell ref="A91:D91"/>
    <mergeCell ref="A102:D102"/>
    <mergeCell ref="A103:D103"/>
    <mergeCell ref="A104:D104"/>
    <mergeCell ref="A105:D105"/>
    <mergeCell ref="A106:D106"/>
    <mergeCell ref="A97:D97"/>
    <mergeCell ref="A98:D98"/>
    <mergeCell ref="A99:D99"/>
    <mergeCell ref="A100:D100"/>
    <mergeCell ref="A101:D101"/>
    <mergeCell ref="A112:D112"/>
    <mergeCell ref="A113:D113"/>
    <mergeCell ref="A114:D114"/>
    <mergeCell ref="A115:D115"/>
    <mergeCell ref="A116:D116"/>
    <mergeCell ref="A107:D107"/>
    <mergeCell ref="A108:D108"/>
    <mergeCell ref="A109:D109"/>
    <mergeCell ref="A110:D110"/>
    <mergeCell ref="A111:D111"/>
    <mergeCell ref="A122:D122"/>
    <mergeCell ref="A123:D123"/>
    <mergeCell ref="A124:D124"/>
    <mergeCell ref="A125:E125"/>
    <mergeCell ref="A117:D117"/>
    <mergeCell ref="A118:D118"/>
    <mergeCell ref="A119:D119"/>
    <mergeCell ref="A120:D120"/>
    <mergeCell ref="A121:D121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2026-08-05T10:11:34Z</dcterms:modified>
</cp:coreProperties>
</file>