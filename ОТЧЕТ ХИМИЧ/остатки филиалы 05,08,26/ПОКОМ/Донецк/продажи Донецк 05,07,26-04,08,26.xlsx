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 ХИМИЧ\остатки филиалы 05,08,26\ПОКОМ\Донецк\"/>
    </mc:Choice>
  </mc:AlternateContent>
  <xr:revisionPtr revIDLastSave="0" documentId="13_ncr:1_{C60C5199-BF12-4D31-93DE-49A6F791EEE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8" i="1" l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J39" i="1" s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7" i="1"/>
  <c r="J7" i="1" s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</calcChain>
</file>

<file path=xl/sharedStrings.xml><?xml version="1.0" encoding="utf-8"?>
<sst xmlns="http://schemas.openxmlformats.org/spreadsheetml/2006/main" count="131" uniqueCount="129">
  <si>
    <t>Параметры:</t>
  </si>
  <si>
    <t>Период отчета: 05.07.2026 - 04.08.2026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</si>
  <si>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</si>
  <si>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</si>
  <si>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</si>
  <si>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</si>
  <si>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</si>
  <si>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</si>
  <si>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</si>
  <si>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</si>
  <si>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</si>
  <si>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</si>
  <si>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</si>
  <si>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</si>
  <si>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</si>
  <si>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</si>
  <si>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</si>
  <si>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</si>
  <si>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</si>
  <si>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</si>
  <si>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</si>
  <si>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</si>
  <si>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</si>
  <si>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</si>
  <si>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</si>
  <si>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</si>
  <si>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</si>
  <si>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</si>
  <si>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</si>
  <si>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</si>
  <si>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</si>
  <si>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</si>
  <si>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</si>
  <si>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</si>
  <si>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</si>
  <si>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</si>
  <si>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</si>
  <si>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</si>
  <si>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</si>
  <si>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</si>
  <si>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</si>
  <si>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</si>
  <si>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</si>
  <si>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</si>
  <si>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</si>
  <si>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</si>
  <si>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</si>
  <si>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</si>
  <si>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</si>
  <si>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</si>
  <si>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</si>
  <si>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</si>
  <si>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</si>
  <si>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</si>
  <si>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</si>
  <si>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</si>
  <si>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</si>
  <si>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</si>
  <si>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</si>
  <si>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</si>
  <si>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</si>
  <si>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</si>
  <si>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</si>
  <si>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</si>
  <si>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</si>
  <si>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</si>
  <si>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</si>
  <si>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</si>
  <si>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</si>
  <si>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</si>
  <si>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</si>
  <si>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</si>
  <si>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</si>
  <si>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</si>
  <si>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</si>
  <si>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</si>
  <si>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</si>
  <si>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</si>
  <si>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</si>
  <si>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</si>
  <si>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</si>
  <si>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</si>
  <si>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</si>
  <si>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</si>
  <si>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</si>
  <si>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</si>
  <si>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</si>
  <si>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</si>
  <si>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</si>
  <si>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</si>
  <si>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</si>
  <si>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</si>
  <si>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</si>
  <si>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</si>
  <si>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</si>
  <si>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</si>
  <si>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</si>
  <si>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</si>
  <si>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</si>
  <si>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</si>
  <si>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</si>
  <si>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</si>
  <si>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</si>
  <si>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</si>
  <si>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</si>
  <si>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</si>
  <si>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</si>
  <si>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</si>
  <si>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</si>
  <si>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</si>
  <si>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</si>
  <si>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</si>
  <si>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</si>
  <si>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</si>
  <si>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</si>
  <si>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</si>
  <si>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</si>
  <si>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</si>
  <si>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</si>
  <si>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</si>
  <si>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</si>
  <si>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</si>
  <si>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</si>
  <si>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</si>
  <si>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</si>
  <si>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</si>
  <si>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</si>
  <si>
    <t>опт</t>
  </si>
  <si>
    <t>без оптов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</si>
</sst>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0"/>
    <numFmt numFmtId="165" formatCode="0.000"/>
    <numFmt numFmtId="166" formatCode="0.0"/>
    <numFmt numFmtId="167" formatCode="#,##0.00000"/>
    <numFmt numFmtId="168" formatCode="#,##0.0"/>
    <numFmt numFmtId="169" formatCode="#,##0.0000"/>
    <numFmt numFmtId="170" formatCode="0.00000"/>
  </numFmts>
  <fonts count="3" x14ac:knownFonts="1">
    <font>
      <sz val="8"/>
      <name val="Arial"/>
    </font>
    <font>
      <b/>
      <sz val="10"/>
      <color rgb="FF64512D"/>
      <name val="Arial"/>
      <family val="2"/>
      <charset val="204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 wrapText="1"/>
    </xf>
    <xf numFmtId="0" fontId="2" fillId="0" borderId="0" xfId="0" applyFont="1"/>
    <xf numFmtId="0" fontId="0" fillId="0" borderId="6" xfId="0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7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70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8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9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&#1086;&#1076;&#1072;&#1078;&#1080;%20&#1054;&#1055;&#1058;%2005,07,26-04,08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B2"/>
          <cell r="C2" t="str">
            <v>Период отчета: 05.07.2026 - 04.08.2026</v>
          </cell>
          <cell r="D2"/>
        </row>
        <row r="3">
          <cell r="A3" t="str">
            <v>Отбор:</v>
          </cell>
          <cell r="B3"/>
          <cell r="C3" t="str">
            <v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v>
          </cell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C3"/>
          <cell r="AD3"/>
          <cell r="AE3"/>
        </row>
        <row r="5">
          <cell r="A5" t="str">
            <v>Номенклатура</v>
          </cell>
          <cell r="B5"/>
          <cell r="C5"/>
          <cell r="D5" t="str">
            <v>Номенклатура.Код</v>
          </cell>
          <cell r="E5"/>
          <cell r="F5" t="str">
            <v>кол-во</v>
          </cell>
          <cell r="G5"/>
        </row>
        <row r="6">
          <cell r="A6"/>
          <cell r="B6"/>
          <cell r="C6"/>
          <cell r="D6"/>
          <cell r="E6"/>
          <cell r="F6" t="str">
            <v>Вес</v>
          </cell>
          <cell r="G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B7"/>
          <cell r="C7"/>
          <cell r="D7" t="str">
            <v>00-00000923</v>
          </cell>
          <cell r="E7"/>
          <cell r="F7">
            <v>1285.684</v>
          </cell>
          <cell r="G7">
            <v>1285.684</v>
          </cell>
        </row>
        <row r="8">
          <cell r="A8" t="str">
            <v xml:space="preserve"> 017  Сосиски Вязанка Сливочные, Вязанка амицел ВЕС.ПОКОМ</v>
          </cell>
          <cell r="B8"/>
          <cell r="C8"/>
          <cell r="D8" t="str">
            <v>00-00000895</v>
          </cell>
          <cell r="E8"/>
          <cell r="F8">
            <v>231.09700000000001</v>
          </cell>
          <cell r="G8">
            <v>231.09700000000001</v>
          </cell>
        </row>
        <row r="9">
          <cell r="A9" t="str">
            <v xml:space="preserve"> 200  Ветчина Дугушка ТМ Стародворье, вектор в/у    ПОКОМ</v>
          </cell>
          <cell r="B9"/>
          <cell r="C9"/>
          <cell r="D9" t="str">
            <v>00-00006605</v>
          </cell>
          <cell r="E9"/>
          <cell r="F9">
            <v>242.72800000000001</v>
          </cell>
          <cell r="G9">
            <v>242.72800000000001</v>
          </cell>
        </row>
        <row r="10">
          <cell r="A10" t="str">
            <v xml:space="preserve"> 201  Ветчина Нежная ТМ Особый рецепт, (2,5кг), ПОКОМ</v>
          </cell>
          <cell r="B10"/>
          <cell r="C10"/>
          <cell r="D10" t="str">
            <v>00-00005832</v>
          </cell>
          <cell r="E10"/>
          <cell r="F10">
            <v>241.53899999999999</v>
          </cell>
          <cell r="G10">
            <v>241.53899999999999</v>
          </cell>
        </row>
        <row r="11">
          <cell r="A11" t="str">
            <v xml:space="preserve"> 229  Колбаса Молочная Дугушка, в/у, ВЕС, ТМ Стародворье   ПОКОМ</v>
          </cell>
          <cell r="B11"/>
          <cell r="C11"/>
          <cell r="D11" t="str">
            <v>00-00005274</v>
          </cell>
          <cell r="E11"/>
          <cell r="F11">
            <v>810.49199999999996</v>
          </cell>
          <cell r="G11">
            <v>810.49199999999996</v>
          </cell>
        </row>
        <row r="12">
          <cell r="A12" t="str">
            <v xml:space="preserve"> 236  Колбаса Рубленая ЗАПЕЧ. Дугушка ТМ Стародворье, вектор, в/к    ПОКОМ</v>
          </cell>
          <cell r="B12"/>
          <cell r="C12"/>
          <cell r="D12" t="str">
            <v>00-00005635</v>
          </cell>
          <cell r="E12"/>
          <cell r="F12">
            <v>153.06</v>
          </cell>
          <cell r="G12">
            <v>153.06</v>
          </cell>
        </row>
        <row r="13">
          <cell r="A13" t="str">
            <v xml:space="preserve"> 255  Сосиски Молочные для завтрака ТМ Особый рецепт, п/а МГС, ВЕС, ТМ Стародворье  ПОКОМ</v>
          </cell>
          <cell r="B13"/>
          <cell r="C13"/>
          <cell r="D13" t="str">
            <v>00-00006302</v>
          </cell>
          <cell r="E13"/>
          <cell r="F13">
            <v>4759.3379999999997</v>
          </cell>
          <cell r="G13">
            <v>4759.3379999999997</v>
          </cell>
        </row>
        <row r="14">
          <cell r="A14" t="str">
            <v xml:space="preserve"> 273  Сосиски Сочинки с сочной грудинкой, МГС 0.4кг,   ПОКОМ</v>
          </cell>
          <cell r="B14"/>
          <cell r="C14"/>
          <cell r="D14" t="str">
            <v>00-00007884</v>
          </cell>
          <cell r="E14"/>
          <cell r="F14">
            <v>120</v>
          </cell>
          <cell r="G14">
            <v>300</v>
          </cell>
        </row>
        <row r="15">
          <cell r="A15" t="str">
            <v xml:space="preserve"> 278  Сосиски Сочинки с сочным окороком, МГС 0.4кг,   ПОКОМ</v>
          </cell>
          <cell r="B15"/>
          <cell r="C15"/>
          <cell r="D15" t="str">
            <v>00-00008111</v>
          </cell>
          <cell r="E15"/>
          <cell r="F15">
            <v>57.6</v>
          </cell>
          <cell r="G15">
            <v>144</v>
          </cell>
        </row>
        <row r="16">
          <cell r="A16" t="str">
            <v xml:space="preserve"> 315  Колбаса вареная Молокуша ТМ Вязанка ВЕС, ПОКОМ</v>
          </cell>
          <cell r="B16"/>
          <cell r="C16"/>
          <cell r="D16" t="str">
            <v>00-00008011</v>
          </cell>
          <cell r="E16"/>
          <cell r="F16">
            <v>365.33600000000001</v>
          </cell>
          <cell r="G16">
            <v>365.33600000000001</v>
          </cell>
        </row>
        <row r="17">
          <cell r="A17" t="str">
            <v xml:space="preserve"> 335  Колбаса Сливушка ТМ Вязанка. ВЕС.  ПОКОМ </v>
          </cell>
          <cell r="B17"/>
          <cell r="C17"/>
          <cell r="D17" t="str">
            <v>00-00008855</v>
          </cell>
          <cell r="E17"/>
          <cell r="F17">
            <v>160.75899999999999</v>
          </cell>
          <cell r="G17">
            <v>160.75899999999999</v>
          </cell>
        </row>
        <row r="18">
          <cell r="A18" t="str">
            <v xml:space="preserve"> 449  Колбаса Дугушка Стародворская ВЕС ТС Дугушка ПОКОМ</v>
          </cell>
          <cell r="B18"/>
          <cell r="C18"/>
          <cell r="D18" t="str">
            <v>00-ko009715</v>
          </cell>
          <cell r="E18"/>
          <cell r="F18">
            <v>790.3</v>
          </cell>
          <cell r="G18">
            <v>790.3</v>
          </cell>
        </row>
        <row r="19">
          <cell r="A19" t="str">
            <v xml:space="preserve"> 452  Колбаса Со шпиком ВЕС большой батон ТМ Особый рецепт  ПОКОМ</v>
          </cell>
          <cell r="B19"/>
          <cell r="C19"/>
          <cell r="D19" t="str">
            <v>00-ko009574</v>
          </cell>
          <cell r="E19"/>
          <cell r="F19">
            <v>731.33799999999997</v>
          </cell>
          <cell r="G19">
            <v>731.33799999999997</v>
          </cell>
        </row>
        <row r="20">
          <cell r="A20" t="str">
            <v xml:space="preserve"> 456  Колбаса Филейная ТМ Особый рецепт ВЕС большой батон  ПОКОМ</v>
          </cell>
          <cell r="B20"/>
          <cell r="C20"/>
          <cell r="D20" t="str">
            <v>00-ko009644</v>
          </cell>
          <cell r="E20"/>
          <cell r="F20">
            <v>2415.2869999999998</v>
          </cell>
          <cell r="G20">
            <v>2415.2869999999998</v>
          </cell>
        </row>
        <row r="21">
          <cell r="A21" t="str">
            <v xml:space="preserve"> 457  Колбаса Молочная ТМ Особый рецепт ВЕС большой батон  ПОКОМ</v>
          </cell>
          <cell r="B21"/>
          <cell r="C21"/>
          <cell r="D21" t="str">
            <v>00-ko009646</v>
          </cell>
          <cell r="E21"/>
          <cell r="F21">
            <v>2858.7359999999999</v>
          </cell>
          <cell r="G21">
            <v>2858.7359999999999</v>
          </cell>
        </row>
        <row r="22">
          <cell r="A22" t="str">
            <v>Итого</v>
          </cell>
          <cell r="B22"/>
          <cell r="C22"/>
          <cell r="D22"/>
          <cell r="E22"/>
          <cell r="F22">
            <v>15223.294</v>
          </cell>
          <cell r="G22">
            <v>15489.694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J122"/>
  <sheetViews>
    <sheetView tabSelected="1" workbookViewId="0">
      <selection activeCell="M9" sqref="M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5" width="8.5" style="1" customWidth="1"/>
    <col min="6" max="6" width="15.6640625" style="1" customWidth="1"/>
    <col min="7" max="8" width="12.33203125" style="1" customWidth="1"/>
  </cols>
  <sheetData>
    <row r="1" spans="1:10" s="1" customFormat="1" ht="9.9499999999999993" customHeight="1" x14ac:dyDescent="0.2"/>
    <row r="2" spans="1:10" ht="11.1" customHeight="1" outlineLevel="1" x14ac:dyDescent="0.2">
      <c r="A2" s="2" t="s">
        <v>0</v>
      </c>
      <c r="B2" s="2"/>
      <c r="C2" s="2" t="s">
        <v>1</v>
      </c>
      <c r="D2" s="2"/>
    </row>
    <row r="3" spans="1:10" ht="44.1" customHeight="1" outlineLevel="1" x14ac:dyDescent="0.2">
      <c r="A3" s="2" t="s">
        <v>2</v>
      </c>
      <c r="B3" s="2"/>
      <c r="C3" s="26" t="s">
        <v>3</v>
      </c>
      <c r="D3" s="26"/>
    </row>
    <row r="4" spans="1:10" s="1" customFormat="1" ht="9.9499999999999993" customHeight="1" x14ac:dyDescent="0.2"/>
    <row r="5" spans="1:10" ht="12.95" customHeight="1" x14ac:dyDescent="0.2">
      <c r="A5" s="27" t="s">
        <v>4</v>
      </c>
      <c r="B5" s="27"/>
      <c r="C5" s="27"/>
      <c r="D5" s="17" t="s">
        <v>5</v>
      </c>
      <c r="E5" s="17"/>
      <c r="F5" s="17"/>
      <c r="G5" s="17" t="s">
        <v>6</v>
      </c>
      <c r="H5" s="17"/>
      <c r="I5" s="11" t="s">
        <v>127</v>
      </c>
      <c r="J5" t="s">
        <v>128</v>
      </c>
    </row>
    <row r="6" spans="1:10" ht="26.1" customHeight="1" x14ac:dyDescent="0.2">
      <c r="A6" s="28"/>
      <c r="B6" s="29"/>
      <c r="C6" s="30"/>
      <c r="D6" s="17" t="s">
        <v>7</v>
      </c>
      <c r="E6" s="17"/>
      <c r="F6" s="3" t="s">
        <v>8</v>
      </c>
      <c r="G6" s="3" t="s">
        <v>9</v>
      </c>
      <c r="H6" s="3" t="s">
        <v>10</v>
      </c>
      <c r="I6" s="10" t="s">
        <v>7</v>
      </c>
      <c r="J6" s="10" t="s">
        <v>7</v>
      </c>
    </row>
    <row r="7" spans="1:10" ht="11.1" customHeight="1" x14ac:dyDescent="0.2">
      <c r="A7" s="12" t="s">
        <v>11</v>
      </c>
      <c r="B7" s="12"/>
      <c r="C7" s="12"/>
      <c r="D7" s="19">
        <v>9479.4390000000003</v>
      </c>
      <c r="E7" s="19"/>
      <c r="F7" s="4">
        <v>9479.4390000000003</v>
      </c>
      <c r="G7" s="5">
        <v>14.898999999999999</v>
      </c>
      <c r="H7" s="5">
        <v>14.898999999999999</v>
      </c>
      <c r="I7">
        <f>IFERROR(VLOOKUP(A7,[1]TDSheet!$A:$AE,6,0),0)</f>
        <v>1285.684</v>
      </c>
      <c r="J7" s="31">
        <f>D7-I7</f>
        <v>8193.755000000001</v>
      </c>
    </row>
    <row r="8" spans="1:10" ht="11.1" customHeight="1" x14ac:dyDescent="0.2">
      <c r="A8" s="12" t="s">
        <v>12</v>
      </c>
      <c r="B8" s="12"/>
      <c r="C8" s="12"/>
      <c r="D8" s="21">
        <v>4393.87</v>
      </c>
      <c r="E8" s="21"/>
      <c r="F8" s="4">
        <v>4393.87</v>
      </c>
      <c r="G8" s="5">
        <v>11.712999999999999</v>
      </c>
      <c r="H8" s="5">
        <v>11.712999999999999</v>
      </c>
      <c r="I8">
        <f>IFERROR(VLOOKUP(A8,[1]TDSheet!$A:$AE,6,0),0)</f>
        <v>0</v>
      </c>
      <c r="J8" s="31">
        <f t="shared" ref="J8:J71" si="0">D8-I8</f>
        <v>4393.87</v>
      </c>
    </row>
    <row r="9" spans="1:10" ht="11.1" customHeight="1" x14ac:dyDescent="0.2">
      <c r="A9" s="12" t="s">
        <v>13</v>
      </c>
      <c r="B9" s="12"/>
      <c r="C9" s="12"/>
      <c r="D9" s="19">
        <v>12749.462</v>
      </c>
      <c r="E9" s="19"/>
      <c r="F9" s="4">
        <v>12749.462</v>
      </c>
      <c r="G9" s="6">
        <v>27.45</v>
      </c>
      <c r="H9" s="5">
        <v>27.45</v>
      </c>
      <c r="I9">
        <f>IFERROR(VLOOKUP(A9,[1]TDSheet!$A:$AE,6,0),0)</f>
        <v>231.09700000000001</v>
      </c>
      <c r="J9" s="31">
        <f t="shared" si="0"/>
        <v>12518.365</v>
      </c>
    </row>
    <row r="10" spans="1:10" ht="11.1" customHeight="1" x14ac:dyDescent="0.2">
      <c r="A10" s="12" t="s">
        <v>14</v>
      </c>
      <c r="B10" s="12"/>
      <c r="C10" s="12"/>
      <c r="D10" s="14">
        <v>6.8</v>
      </c>
      <c r="E10" s="14"/>
      <c r="F10" s="5">
        <v>17</v>
      </c>
      <c r="G10" s="8"/>
      <c r="H10" s="8"/>
      <c r="I10">
        <f>IFERROR(VLOOKUP(A10,[1]TDSheet!$A:$AE,6,0),0)</f>
        <v>0</v>
      </c>
      <c r="J10" s="31">
        <f t="shared" si="0"/>
        <v>6.8</v>
      </c>
    </row>
    <row r="11" spans="1:10" ht="11.1" customHeight="1" x14ac:dyDescent="0.2">
      <c r="A11" s="12" t="s">
        <v>15</v>
      </c>
      <c r="B11" s="12"/>
      <c r="C11" s="12"/>
      <c r="D11" s="25">
        <v>4345.3597499999996</v>
      </c>
      <c r="E11" s="25"/>
      <c r="F11" s="4">
        <v>9656.3549999999996</v>
      </c>
      <c r="G11" s="7">
        <v>25.2</v>
      </c>
      <c r="H11" s="5">
        <v>56</v>
      </c>
      <c r="I11">
        <f>IFERROR(VLOOKUP(A11,[1]TDSheet!$A:$AE,6,0),0)</f>
        <v>0</v>
      </c>
      <c r="J11" s="31">
        <f t="shared" si="0"/>
        <v>4345.3597499999996</v>
      </c>
    </row>
    <row r="12" spans="1:10" ht="11.1" customHeight="1" x14ac:dyDescent="0.2">
      <c r="A12" s="12" t="s">
        <v>16</v>
      </c>
      <c r="B12" s="12"/>
      <c r="C12" s="12"/>
      <c r="D12" s="25">
        <v>6206.0080500000004</v>
      </c>
      <c r="E12" s="25"/>
      <c r="F12" s="4">
        <v>13791.129000000001</v>
      </c>
      <c r="G12" s="7">
        <v>21.6</v>
      </c>
      <c r="H12" s="5">
        <v>48</v>
      </c>
      <c r="I12">
        <f>IFERROR(VLOOKUP(A12,[1]TDSheet!$A:$AE,6,0),0)</f>
        <v>0</v>
      </c>
      <c r="J12" s="31">
        <f t="shared" si="0"/>
        <v>6206.0080500000004</v>
      </c>
    </row>
    <row r="13" spans="1:10" ht="21.95" customHeight="1" x14ac:dyDescent="0.2">
      <c r="A13" s="12" t="s">
        <v>17</v>
      </c>
      <c r="B13" s="12"/>
      <c r="C13" s="12"/>
      <c r="D13" s="18">
        <v>64.94</v>
      </c>
      <c r="E13" s="18"/>
      <c r="F13" s="5">
        <v>382</v>
      </c>
      <c r="G13" s="8"/>
      <c r="H13" s="8"/>
      <c r="I13">
        <f>IFERROR(VLOOKUP(A13,[1]TDSheet!$A:$AE,6,0),0)</f>
        <v>0</v>
      </c>
      <c r="J13" s="31">
        <f t="shared" si="0"/>
        <v>64.94</v>
      </c>
    </row>
    <row r="14" spans="1:10" ht="11.1" customHeight="1" x14ac:dyDescent="0.2">
      <c r="A14" s="12" t="s">
        <v>18</v>
      </c>
      <c r="B14" s="12"/>
      <c r="C14" s="12"/>
      <c r="D14" s="14">
        <v>43.8</v>
      </c>
      <c r="E14" s="14"/>
      <c r="F14" s="5">
        <v>146</v>
      </c>
      <c r="G14" s="7">
        <v>1.5</v>
      </c>
      <c r="H14" s="5">
        <v>5</v>
      </c>
      <c r="I14">
        <f>IFERROR(VLOOKUP(A14,[1]TDSheet!$A:$AE,6,0),0)</f>
        <v>0</v>
      </c>
      <c r="J14" s="31">
        <f t="shared" si="0"/>
        <v>43.8</v>
      </c>
    </row>
    <row r="15" spans="1:10" ht="11.1" customHeight="1" x14ac:dyDescent="0.2">
      <c r="A15" s="12" t="s">
        <v>19</v>
      </c>
      <c r="B15" s="12"/>
      <c r="C15" s="12"/>
      <c r="D15" s="18">
        <v>185.81</v>
      </c>
      <c r="E15" s="18"/>
      <c r="F15" s="4">
        <v>1093</v>
      </c>
      <c r="G15" s="8"/>
      <c r="H15" s="8"/>
      <c r="I15">
        <f>IFERROR(VLOOKUP(A15,[1]TDSheet!$A:$AE,6,0),0)</f>
        <v>0</v>
      </c>
      <c r="J15" s="31">
        <f t="shared" si="0"/>
        <v>185.81</v>
      </c>
    </row>
    <row r="16" spans="1:10" ht="11.1" customHeight="1" x14ac:dyDescent="0.2">
      <c r="A16" s="12" t="s">
        <v>20</v>
      </c>
      <c r="B16" s="12"/>
      <c r="C16" s="12"/>
      <c r="D16" s="18">
        <v>9.24</v>
      </c>
      <c r="E16" s="18"/>
      <c r="F16" s="5">
        <v>22</v>
      </c>
      <c r="G16" s="8"/>
      <c r="H16" s="8"/>
      <c r="I16">
        <f>IFERROR(VLOOKUP(A16,[1]TDSheet!$A:$AE,6,0),0)</f>
        <v>0</v>
      </c>
      <c r="J16" s="31">
        <f t="shared" si="0"/>
        <v>9.24</v>
      </c>
    </row>
    <row r="17" spans="1:10" ht="11.1" customHeight="1" x14ac:dyDescent="0.2">
      <c r="A17" s="12" t="s">
        <v>21</v>
      </c>
      <c r="B17" s="12"/>
      <c r="C17" s="12"/>
      <c r="D17" s="19">
        <v>14972.134</v>
      </c>
      <c r="E17" s="19"/>
      <c r="F17" s="4">
        <v>14972.134</v>
      </c>
      <c r="G17" s="5">
        <v>10.515000000000001</v>
      </c>
      <c r="H17" s="5">
        <v>10.515000000000001</v>
      </c>
      <c r="I17">
        <f>IFERROR(VLOOKUP(A17,[1]TDSheet!$A:$AE,6,0),0)</f>
        <v>242.72800000000001</v>
      </c>
      <c r="J17" s="31">
        <f t="shared" si="0"/>
        <v>14729.406000000001</v>
      </c>
    </row>
    <row r="18" spans="1:10" ht="11.1" customHeight="1" x14ac:dyDescent="0.2">
      <c r="A18" s="12" t="s">
        <v>22</v>
      </c>
      <c r="B18" s="12"/>
      <c r="C18" s="12"/>
      <c r="D18" s="19">
        <v>13110.271000000001</v>
      </c>
      <c r="E18" s="19"/>
      <c r="F18" s="4">
        <v>13110.271000000001</v>
      </c>
      <c r="G18" s="6">
        <v>27.49</v>
      </c>
      <c r="H18" s="5">
        <v>27.49</v>
      </c>
      <c r="I18">
        <f>IFERROR(VLOOKUP(A18,[1]TDSheet!$A:$AE,6,0),0)</f>
        <v>241.53899999999999</v>
      </c>
      <c r="J18" s="31">
        <f t="shared" si="0"/>
        <v>12868.732</v>
      </c>
    </row>
    <row r="19" spans="1:10" ht="11.1" customHeight="1" x14ac:dyDescent="0.2">
      <c r="A19" s="12" t="s">
        <v>23</v>
      </c>
      <c r="B19" s="12"/>
      <c r="C19" s="12"/>
      <c r="D19" s="13">
        <v>936.71100000000001</v>
      </c>
      <c r="E19" s="13"/>
      <c r="F19" s="5">
        <v>936.71100000000001</v>
      </c>
      <c r="G19" s="7">
        <v>2.2000000000000002</v>
      </c>
      <c r="H19" s="5">
        <v>2.2000000000000002</v>
      </c>
      <c r="I19">
        <f>IFERROR(VLOOKUP(A19,[1]TDSheet!$A:$AE,6,0),0)</f>
        <v>0</v>
      </c>
      <c r="J19" s="31">
        <f t="shared" si="0"/>
        <v>936.71100000000001</v>
      </c>
    </row>
    <row r="20" spans="1:10" ht="11.1" customHeight="1" x14ac:dyDescent="0.2">
      <c r="A20" s="12" t="s">
        <v>24</v>
      </c>
      <c r="B20" s="12"/>
      <c r="C20" s="12"/>
      <c r="D20" s="13">
        <v>-1.3149999999999999</v>
      </c>
      <c r="E20" s="13"/>
      <c r="F20" s="5">
        <v>-1.3149999999999999</v>
      </c>
      <c r="G20" s="5">
        <v>6.2889999999999997</v>
      </c>
      <c r="H20" s="5">
        <v>6.2889999999999997</v>
      </c>
      <c r="I20">
        <f>IFERROR(VLOOKUP(A20,[1]TDSheet!$A:$AE,6,0),0)</f>
        <v>0</v>
      </c>
      <c r="J20" s="31">
        <f t="shared" si="0"/>
        <v>-1.3149999999999999</v>
      </c>
    </row>
    <row r="21" spans="1:10" ht="21.95" customHeight="1" x14ac:dyDescent="0.2">
      <c r="A21" s="12" t="s">
        <v>25</v>
      </c>
      <c r="B21" s="12"/>
      <c r="C21" s="12"/>
      <c r="D21" s="13">
        <v>16.204000000000001</v>
      </c>
      <c r="E21" s="13"/>
      <c r="F21" s="5">
        <v>16.204000000000001</v>
      </c>
      <c r="G21" s="5">
        <v>0.36199999999999999</v>
      </c>
      <c r="H21" s="5">
        <v>0.36199999999999999</v>
      </c>
      <c r="I21">
        <f>IFERROR(VLOOKUP(A21,[1]TDSheet!$A:$AE,6,0),0)</f>
        <v>0</v>
      </c>
      <c r="J21" s="31">
        <f t="shared" si="0"/>
        <v>16.204000000000001</v>
      </c>
    </row>
    <row r="22" spans="1:10" ht="11.1" customHeight="1" x14ac:dyDescent="0.2">
      <c r="A22" s="12" t="s">
        <v>26</v>
      </c>
      <c r="B22" s="12"/>
      <c r="C22" s="12"/>
      <c r="D22" s="19">
        <v>20098.401999999998</v>
      </c>
      <c r="E22" s="19"/>
      <c r="F22" s="4">
        <v>20098.401999999998</v>
      </c>
      <c r="G22" s="5">
        <v>12.154</v>
      </c>
      <c r="H22" s="5">
        <v>12.154</v>
      </c>
      <c r="I22">
        <f>IFERROR(VLOOKUP(A22,[1]TDSheet!$A:$AE,6,0),0)</f>
        <v>810.49199999999996</v>
      </c>
      <c r="J22" s="31">
        <f t="shared" si="0"/>
        <v>19287.91</v>
      </c>
    </row>
    <row r="23" spans="1:10" ht="11.1" customHeight="1" x14ac:dyDescent="0.2">
      <c r="A23" s="12" t="s">
        <v>27</v>
      </c>
      <c r="B23" s="12"/>
      <c r="C23" s="12"/>
      <c r="D23" s="13">
        <v>12.488</v>
      </c>
      <c r="E23" s="13"/>
      <c r="F23" s="5">
        <v>12.488</v>
      </c>
      <c r="G23" s="8"/>
      <c r="H23" s="8"/>
      <c r="I23">
        <f>IFERROR(VLOOKUP(A23,[1]TDSheet!$A:$AE,6,0),0)</f>
        <v>0</v>
      </c>
      <c r="J23" s="31">
        <f t="shared" si="0"/>
        <v>12.488</v>
      </c>
    </row>
    <row r="24" spans="1:10" ht="11.1" customHeight="1" x14ac:dyDescent="0.2">
      <c r="A24" s="12" t="s">
        <v>28</v>
      </c>
      <c r="B24" s="12"/>
      <c r="C24" s="12"/>
      <c r="D24" s="19">
        <v>1783.165</v>
      </c>
      <c r="E24" s="19"/>
      <c r="F24" s="4">
        <v>1783.165</v>
      </c>
      <c r="G24" s="6">
        <v>6.39</v>
      </c>
      <c r="H24" s="5">
        <v>6.39</v>
      </c>
      <c r="I24">
        <f>IFERROR(VLOOKUP(A24,[1]TDSheet!$A:$AE,6,0),0)</f>
        <v>153.06</v>
      </c>
      <c r="J24" s="31">
        <f t="shared" si="0"/>
        <v>1630.105</v>
      </c>
    </row>
    <row r="25" spans="1:10" ht="21.95" customHeight="1" x14ac:dyDescent="0.2">
      <c r="A25" s="12" t="s">
        <v>29</v>
      </c>
      <c r="B25" s="12"/>
      <c r="C25" s="12"/>
      <c r="D25" s="19">
        <v>4789.5110000000004</v>
      </c>
      <c r="E25" s="19"/>
      <c r="F25" s="4">
        <v>4789.5110000000004</v>
      </c>
      <c r="G25" s="5">
        <v>10.112</v>
      </c>
      <c r="H25" s="5">
        <v>10.112</v>
      </c>
      <c r="I25">
        <f>IFERROR(VLOOKUP(A25,[1]TDSheet!$A:$AE,6,0),0)</f>
        <v>0</v>
      </c>
      <c r="J25" s="31">
        <f t="shared" si="0"/>
        <v>4789.5110000000004</v>
      </c>
    </row>
    <row r="26" spans="1:10" ht="11.1" customHeight="1" x14ac:dyDescent="0.2">
      <c r="A26" s="12" t="s">
        <v>30</v>
      </c>
      <c r="B26" s="12"/>
      <c r="C26" s="12"/>
      <c r="D26" s="19">
        <v>9056.7389999999996</v>
      </c>
      <c r="E26" s="19"/>
      <c r="F26" s="4">
        <v>9056.7389999999996</v>
      </c>
      <c r="G26" s="5">
        <v>9.9730000000000008</v>
      </c>
      <c r="H26" s="5">
        <v>9.9730000000000008</v>
      </c>
      <c r="I26">
        <f>IFERROR(VLOOKUP(A26,[1]TDSheet!$A:$AE,6,0),0)</f>
        <v>0</v>
      </c>
      <c r="J26" s="31">
        <f t="shared" si="0"/>
        <v>9056.7389999999996</v>
      </c>
    </row>
    <row r="27" spans="1:10" ht="11.1" customHeight="1" x14ac:dyDescent="0.2">
      <c r="A27" s="12" t="s">
        <v>31</v>
      </c>
      <c r="B27" s="12"/>
      <c r="C27" s="12"/>
      <c r="D27" s="13">
        <v>146.40899999999999</v>
      </c>
      <c r="E27" s="13"/>
      <c r="F27" s="5">
        <v>146.40899999999999</v>
      </c>
      <c r="G27" s="5">
        <v>0.72799999999999998</v>
      </c>
      <c r="H27" s="5">
        <v>0.72799999999999998</v>
      </c>
      <c r="I27">
        <f>IFERROR(VLOOKUP(A27,[1]TDSheet!$A:$AE,6,0),0)</f>
        <v>0</v>
      </c>
      <c r="J27" s="31">
        <f t="shared" si="0"/>
        <v>146.40899999999999</v>
      </c>
    </row>
    <row r="28" spans="1:10" ht="11.1" customHeight="1" x14ac:dyDescent="0.2">
      <c r="A28" s="12" t="s">
        <v>32</v>
      </c>
      <c r="B28" s="12"/>
      <c r="C28" s="12"/>
      <c r="D28" s="19">
        <v>8345.2530000000006</v>
      </c>
      <c r="E28" s="19"/>
      <c r="F28" s="4">
        <v>8345.2530000000006</v>
      </c>
      <c r="G28" s="5">
        <v>92.703000000000003</v>
      </c>
      <c r="H28" s="5">
        <v>92.703000000000003</v>
      </c>
      <c r="I28">
        <f>IFERROR(VLOOKUP(A28,[1]TDSheet!$A:$AE,6,0),0)</f>
        <v>0</v>
      </c>
      <c r="J28" s="31">
        <f t="shared" si="0"/>
        <v>8345.2530000000006</v>
      </c>
    </row>
    <row r="29" spans="1:10" ht="11.1" customHeight="1" x14ac:dyDescent="0.2">
      <c r="A29" s="12" t="s">
        <v>33</v>
      </c>
      <c r="B29" s="12"/>
      <c r="C29" s="12"/>
      <c r="D29" s="13">
        <v>175.61099999999999</v>
      </c>
      <c r="E29" s="13"/>
      <c r="F29" s="5">
        <v>175.61099999999999</v>
      </c>
      <c r="G29" s="6">
        <v>0.49</v>
      </c>
      <c r="H29" s="5">
        <v>0.49</v>
      </c>
      <c r="I29">
        <f>IFERROR(VLOOKUP(A29,[1]TDSheet!$A:$AE,6,0),0)</f>
        <v>0</v>
      </c>
      <c r="J29" s="31">
        <f t="shared" si="0"/>
        <v>175.61099999999999</v>
      </c>
    </row>
    <row r="30" spans="1:10" ht="21.95" customHeight="1" x14ac:dyDescent="0.2">
      <c r="A30" s="12" t="s">
        <v>34</v>
      </c>
      <c r="B30" s="12"/>
      <c r="C30" s="12"/>
      <c r="D30" s="19">
        <v>24467.289000000001</v>
      </c>
      <c r="E30" s="19"/>
      <c r="F30" s="4">
        <v>24467.289000000001</v>
      </c>
      <c r="G30" s="5">
        <v>30.574999999999999</v>
      </c>
      <c r="H30" s="5">
        <v>30.574999999999999</v>
      </c>
      <c r="I30">
        <f>IFERROR(VLOOKUP(A30,[1]TDSheet!$A:$AE,6,0),0)</f>
        <v>4759.3379999999997</v>
      </c>
      <c r="J30" s="31">
        <f t="shared" si="0"/>
        <v>19707.951000000001</v>
      </c>
    </row>
    <row r="31" spans="1:10" ht="11.1" customHeight="1" x14ac:dyDescent="0.2">
      <c r="A31" s="12" t="s">
        <v>35</v>
      </c>
      <c r="B31" s="12"/>
      <c r="C31" s="12"/>
      <c r="D31" s="22">
        <v>7128.4</v>
      </c>
      <c r="E31" s="22"/>
      <c r="F31" s="4">
        <v>17821</v>
      </c>
      <c r="G31" s="7">
        <v>41.6</v>
      </c>
      <c r="H31" s="5">
        <v>104</v>
      </c>
      <c r="I31">
        <f>IFERROR(VLOOKUP(A31,[1]TDSheet!$A:$AE,6,0),0)</f>
        <v>120</v>
      </c>
      <c r="J31" s="31">
        <f t="shared" si="0"/>
        <v>7008.4</v>
      </c>
    </row>
    <row r="32" spans="1:10" ht="11.1" customHeight="1" x14ac:dyDescent="0.2">
      <c r="A32" s="12" t="s">
        <v>36</v>
      </c>
      <c r="B32" s="12"/>
      <c r="C32" s="12"/>
      <c r="D32" s="21">
        <v>1501.65</v>
      </c>
      <c r="E32" s="21"/>
      <c r="F32" s="4">
        <v>3337</v>
      </c>
      <c r="G32" s="6">
        <v>3.15</v>
      </c>
      <c r="H32" s="5">
        <v>7</v>
      </c>
      <c r="I32">
        <f>IFERROR(VLOOKUP(A32,[1]TDSheet!$A:$AE,6,0),0)</f>
        <v>0</v>
      </c>
      <c r="J32" s="31">
        <f t="shared" si="0"/>
        <v>1501.65</v>
      </c>
    </row>
    <row r="33" spans="1:10" ht="11.1" customHeight="1" x14ac:dyDescent="0.2">
      <c r="A33" s="12" t="s">
        <v>37</v>
      </c>
      <c r="B33" s="12"/>
      <c r="C33" s="12"/>
      <c r="D33" s="22">
        <v>1920.8</v>
      </c>
      <c r="E33" s="22"/>
      <c r="F33" s="4">
        <v>4802</v>
      </c>
      <c r="G33" s="7">
        <v>17.600000000000001</v>
      </c>
      <c r="H33" s="5">
        <v>44</v>
      </c>
      <c r="I33">
        <f>IFERROR(VLOOKUP(A33,[1]TDSheet!$A:$AE,6,0),0)</f>
        <v>57.6</v>
      </c>
      <c r="J33" s="31">
        <f t="shared" si="0"/>
        <v>1863.2</v>
      </c>
    </row>
    <row r="34" spans="1:10" ht="11.1" customHeight="1" x14ac:dyDescent="0.2">
      <c r="A34" s="12" t="s">
        <v>38</v>
      </c>
      <c r="B34" s="12"/>
      <c r="C34" s="12"/>
      <c r="D34" s="14">
        <v>824.4</v>
      </c>
      <c r="E34" s="14"/>
      <c r="F34" s="4">
        <v>2061</v>
      </c>
      <c r="G34" s="7">
        <v>13.6</v>
      </c>
      <c r="H34" s="5">
        <v>34</v>
      </c>
      <c r="I34">
        <f>IFERROR(VLOOKUP(A34,[1]TDSheet!$A:$AE,6,0),0)</f>
        <v>0</v>
      </c>
      <c r="J34" s="31">
        <f t="shared" si="0"/>
        <v>824.4</v>
      </c>
    </row>
    <row r="35" spans="1:10" ht="11.1" customHeight="1" x14ac:dyDescent="0.2">
      <c r="A35" s="12" t="s">
        <v>39</v>
      </c>
      <c r="B35" s="12"/>
      <c r="C35" s="12"/>
      <c r="D35" s="14">
        <v>88.8</v>
      </c>
      <c r="E35" s="14"/>
      <c r="F35" s="5">
        <v>888</v>
      </c>
      <c r="G35" s="8"/>
      <c r="H35" s="8"/>
      <c r="I35">
        <f>IFERROR(VLOOKUP(A35,[1]TDSheet!$A:$AE,6,0),0)</f>
        <v>0</v>
      </c>
      <c r="J35" s="31">
        <f t="shared" si="0"/>
        <v>88.8</v>
      </c>
    </row>
    <row r="36" spans="1:10" ht="21.95" customHeight="1" x14ac:dyDescent="0.2">
      <c r="A36" s="12" t="s">
        <v>40</v>
      </c>
      <c r="B36" s="12"/>
      <c r="C36" s="12"/>
      <c r="D36" s="14">
        <v>140.69999999999999</v>
      </c>
      <c r="E36" s="14"/>
      <c r="F36" s="5">
        <v>402</v>
      </c>
      <c r="G36" s="6">
        <v>8.75</v>
      </c>
      <c r="H36" s="5">
        <v>25</v>
      </c>
      <c r="I36">
        <f>IFERROR(VLOOKUP(A36,[1]TDSheet!$A:$AE,6,0),0)</f>
        <v>0</v>
      </c>
      <c r="J36" s="31">
        <f t="shared" si="0"/>
        <v>140.69999999999999</v>
      </c>
    </row>
    <row r="37" spans="1:10" ht="11.1" customHeight="1" x14ac:dyDescent="0.2">
      <c r="A37" s="12" t="s">
        <v>41</v>
      </c>
      <c r="B37" s="12"/>
      <c r="C37" s="12"/>
      <c r="D37" s="13">
        <v>63.469000000000001</v>
      </c>
      <c r="E37" s="13"/>
      <c r="F37" s="5">
        <v>63.469000000000001</v>
      </c>
      <c r="G37" s="5">
        <v>5.7149999999999999</v>
      </c>
      <c r="H37" s="5">
        <v>5.7149999999999999</v>
      </c>
      <c r="I37">
        <f>IFERROR(VLOOKUP(A37,[1]TDSheet!$A:$AE,6,0),0)</f>
        <v>0</v>
      </c>
      <c r="J37" s="31">
        <f t="shared" si="0"/>
        <v>63.469000000000001</v>
      </c>
    </row>
    <row r="38" spans="1:10" ht="11.1" customHeight="1" x14ac:dyDescent="0.2">
      <c r="A38" s="12" t="s">
        <v>42</v>
      </c>
      <c r="B38" s="12"/>
      <c r="C38" s="12"/>
      <c r="D38" s="14">
        <v>-6.4</v>
      </c>
      <c r="E38" s="14"/>
      <c r="F38" s="5">
        <v>-16</v>
      </c>
      <c r="G38" s="7">
        <v>22.8</v>
      </c>
      <c r="H38" s="5">
        <v>57</v>
      </c>
      <c r="I38">
        <f>IFERROR(VLOOKUP(A38,[1]TDSheet!$A:$AE,6,0),0)</f>
        <v>0</v>
      </c>
      <c r="J38" s="31">
        <f t="shared" si="0"/>
        <v>-6.4</v>
      </c>
    </row>
    <row r="39" spans="1:10" ht="11.1" customHeight="1" x14ac:dyDescent="0.2">
      <c r="A39" s="12" t="s">
        <v>43</v>
      </c>
      <c r="B39" s="12"/>
      <c r="C39" s="12"/>
      <c r="D39" s="14">
        <v>351.2</v>
      </c>
      <c r="E39" s="14"/>
      <c r="F39" s="5">
        <v>878</v>
      </c>
      <c r="G39" s="7">
        <v>3.6</v>
      </c>
      <c r="H39" s="5">
        <v>9</v>
      </c>
      <c r="I39">
        <f>IFERROR(VLOOKUP(A39,[1]TDSheet!$A:$AE,6,0),0)</f>
        <v>0</v>
      </c>
      <c r="J39" s="31">
        <f t="shared" si="0"/>
        <v>351.2</v>
      </c>
    </row>
    <row r="40" spans="1:10" ht="21.95" customHeight="1" x14ac:dyDescent="0.2">
      <c r="A40" s="12" t="s">
        <v>44</v>
      </c>
      <c r="B40" s="12"/>
      <c r="C40" s="12"/>
      <c r="D40" s="13">
        <v>98.081000000000003</v>
      </c>
      <c r="E40" s="13"/>
      <c r="F40" s="5">
        <v>98.081000000000003</v>
      </c>
      <c r="G40" s="5">
        <v>1.456</v>
      </c>
      <c r="H40" s="5">
        <v>1.456</v>
      </c>
      <c r="I40">
        <f>IFERROR(VLOOKUP(A40,[1]TDSheet!$A:$AE,6,0),0)</f>
        <v>0</v>
      </c>
      <c r="J40" s="31">
        <f t="shared" si="0"/>
        <v>98.081000000000003</v>
      </c>
    </row>
    <row r="41" spans="1:10" ht="21.95" customHeight="1" x14ac:dyDescent="0.2">
      <c r="A41" s="12" t="s">
        <v>45</v>
      </c>
      <c r="B41" s="12"/>
      <c r="C41" s="12"/>
      <c r="D41" s="21">
        <v>1031.45</v>
      </c>
      <c r="E41" s="21"/>
      <c r="F41" s="4">
        <v>2947</v>
      </c>
      <c r="G41" s="7">
        <v>13.3</v>
      </c>
      <c r="H41" s="5">
        <v>38</v>
      </c>
      <c r="I41">
        <f>IFERROR(VLOOKUP(A41,[1]TDSheet!$A:$AE,6,0),0)</f>
        <v>0</v>
      </c>
      <c r="J41" s="31">
        <f t="shared" si="0"/>
        <v>1031.45</v>
      </c>
    </row>
    <row r="42" spans="1:10" ht="11.1" customHeight="1" x14ac:dyDescent="0.2">
      <c r="A42" s="12" t="s">
        <v>46</v>
      </c>
      <c r="B42" s="12"/>
      <c r="C42" s="12"/>
      <c r="D42" s="14">
        <v>474.4</v>
      </c>
      <c r="E42" s="14"/>
      <c r="F42" s="4">
        <v>1186</v>
      </c>
      <c r="G42" s="7">
        <v>3.6</v>
      </c>
      <c r="H42" s="5">
        <v>9</v>
      </c>
      <c r="I42">
        <f>IFERROR(VLOOKUP(A42,[1]TDSheet!$A:$AE,6,0),0)</f>
        <v>0</v>
      </c>
      <c r="J42" s="31">
        <f t="shared" si="0"/>
        <v>474.4</v>
      </c>
    </row>
    <row r="43" spans="1:10" ht="11.1" customHeight="1" x14ac:dyDescent="0.2">
      <c r="A43" s="12" t="s">
        <v>47</v>
      </c>
      <c r="B43" s="12"/>
      <c r="C43" s="12"/>
      <c r="D43" s="13">
        <v>427.40600000000001</v>
      </c>
      <c r="E43" s="13"/>
      <c r="F43" s="5">
        <v>427.40600000000001</v>
      </c>
      <c r="G43" s="5">
        <v>1.1359999999999999</v>
      </c>
      <c r="H43" s="5">
        <v>1.1359999999999999</v>
      </c>
      <c r="I43">
        <f>IFERROR(VLOOKUP(A43,[1]TDSheet!$A:$AE,6,0),0)</f>
        <v>0</v>
      </c>
      <c r="J43" s="31">
        <f t="shared" si="0"/>
        <v>427.40600000000001</v>
      </c>
    </row>
    <row r="44" spans="1:10" ht="11.1" customHeight="1" x14ac:dyDescent="0.2">
      <c r="A44" s="12" t="s">
        <v>48</v>
      </c>
      <c r="B44" s="12"/>
      <c r="C44" s="12"/>
      <c r="D44" s="19">
        <v>2079.3919999999998</v>
      </c>
      <c r="E44" s="19"/>
      <c r="F44" s="4">
        <v>2079.3919999999998</v>
      </c>
      <c r="G44" s="5">
        <v>7.0179999999999998</v>
      </c>
      <c r="H44" s="5">
        <v>7.0179999999999998</v>
      </c>
      <c r="I44">
        <f>IFERROR(VLOOKUP(A44,[1]TDSheet!$A:$AE,6,0),0)</f>
        <v>365.33600000000001</v>
      </c>
      <c r="J44" s="31">
        <f t="shared" si="0"/>
        <v>1714.0559999999998</v>
      </c>
    </row>
    <row r="45" spans="1:10" ht="11.1" customHeight="1" x14ac:dyDescent="0.2">
      <c r="A45" s="12" t="s">
        <v>49</v>
      </c>
      <c r="B45" s="12"/>
      <c r="C45" s="12"/>
      <c r="D45" s="14">
        <v>867.6</v>
      </c>
      <c r="E45" s="14"/>
      <c r="F45" s="4">
        <v>1928</v>
      </c>
      <c r="G45" s="6">
        <v>5.85</v>
      </c>
      <c r="H45" s="5">
        <v>13</v>
      </c>
      <c r="I45">
        <f>IFERROR(VLOOKUP(A45,[1]TDSheet!$A:$AE,6,0),0)</f>
        <v>0</v>
      </c>
      <c r="J45" s="31">
        <f t="shared" si="0"/>
        <v>867.6</v>
      </c>
    </row>
    <row r="46" spans="1:10" ht="11.1" customHeight="1" x14ac:dyDescent="0.2">
      <c r="A46" s="12" t="s">
        <v>50</v>
      </c>
      <c r="B46" s="12"/>
      <c r="C46" s="12"/>
      <c r="D46" s="21">
        <v>1033.6500000000001</v>
      </c>
      <c r="E46" s="21"/>
      <c r="F46" s="4">
        <v>2297</v>
      </c>
      <c r="G46" s="6">
        <v>2.25</v>
      </c>
      <c r="H46" s="5">
        <v>5</v>
      </c>
      <c r="I46">
        <f>IFERROR(VLOOKUP(A46,[1]TDSheet!$A:$AE,6,0),0)</f>
        <v>0</v>
      </c>
      <c r="J46" s="31">
        <f t="shared" si="0"/>
        <v>1033.6500000000001</v>
      </c>
    </row>
    <row r="47" spans="1:10" ht="11.1" customHeight="1" x14ac:dyDescent="0.2">
      <c r="A47" s="12" t="s">
        <v>51</v>
      </c>
      <c r="B47" s="12"/>
      <c r="C47" s="12"/>
      <c r="D47" s="14">
        <v>18.8</v>
      </c>
      <c r="E47" s="14"/>
      <c r="F47" s="5">
        <v>47</v>
      </c>
      <c r="G47" s="7">
        <v>14.8</v>
      </c>
      <c r="H47" s="5">
        <v>37</v>
      </c>
      <c r="I47">
        <f>IFERROR(VLOOKUP(A47,[1]TDSheet!$A:$AE,6,0),0)</f>
        <v>0</v>
      </c>
      <c r="J47" s="31">
        <f t="shared" si="0"/>
        <v>18.8</v>
      </c>
    </row>
    <row r="48" spans="1:10" ht="11.1" customHeight="1" x14ac:dyDescent="0.2">
      <c r="A48" s="12" t="s">
        <v>52</v>
      </c>
      <c r="B48" s="12"/>
      <c r="C48" s="12"/>
      <c r="D48" s="19">
        <v>1988.191</v>
      </c>
      <c r="E48" s="19"/>
      <c r="F48" s="4">
        <v>1988.191</v>
      </c>
      <c r="G48" s="5">
        <v>8.577</v>
      </c>
      <c r="H48" s="5">
        <v>8.577</v>
      </c>
      <c r="I48">
        <f>IFERROR(VLOOKUP(A48,[1]TDSheet!$A:$AE,6,0),0)</f>
        <v>0</v>
      </c>
      <c r="J48" s="31">
        <f t="shared" si="0"/>
        <v>1988.191</v>
      </c>
    </row>
    <row r="49" spans="1:10" ht="11.1" customHeight="1" x14ac:dyDescent="0.2">
      <c r="A49" s="12" t="s">
        <v>53</v>
      </c>
      <c r="B49" s="12"/>
      <c r="C49" s="12"/>
      <c r="D49" s="14">
        <v>52.3</v>
      </c>
      <c r="E49" s="14"/>
      <c r="F49" s="5">
        <v>523</v>
      </c>
      <c r="G49" s="7">
        <v>0.3</v>
      </c>
      <c r="H49" s="5">
        <v>3</v>
      </c>
      <c r="I49">
        <f>IFERROR(VLOOKUP(A49,[1]TDSheet!$A:$AE,6,0),0)</f>
        <v>0</v>
      </c>
      <c r="J49" s="31">
        <f t="shared" si="0"/>
        <v>52.3</v>
      </c>
    </row>
    <row r="50" spans="1:10" ht="11.1" customHeight="1" x14ac:dyDescent="0.2">
      <c r="A50" s="12" t="s">
        <v>54</v>
      </c>
      <c r="B50" s="12"/>
      <c r="C50" s="12"/>
      <c r="D50" s="19">
        <v>1734.296</v>
      </c>
      <c r="E50" s="19"/>
      <c r="F50" s="4">
        <v>1734.296</v>
      </c>
      <c r="G50" s="5">
        <v>3.5710000000000002</v>
      </c>
      <c r="H50" s="5">
        <v>3.5710000000000002</v>
      </c>
      <c r="I50">
        <f>IFERROR(VLOOKUP(A50,[1]TDSheet!$A:$AE,6,0),0)</f>
        <v>160.75899999999999</v>
      </c>
      <c r="J50" s="31">
        <f t="shared" si="0"/>
        <v>1573.537</v>
      </c>
    </row>
    <row r="51" spans="1:10" ht="11.1" customHeight="1" x14ac:dyDescent="0.2">
      <c r="A51" s="12" t="s">
        <v>55</v>
      </c>
      <c r="B51" s="12"/>
      <c r="C51" s="12"/>
      <c r="D51" s="13">
        <v>107.637</v>
      </c>
      <c r="E51" s="13"/>
      <c r="F51" s="5">
        <v>107.637</v>
      </c>
      <c r="G51" s="5">
        <v>1.6739999999999999</v>
      </c>
      <c r="H51" s="5">
        <v>1.6739999999999999</v>
      </c>
      <c r="I51">
        <f>IFERROR(VLOOKUP(A51,[1]TDSheet!$A:$AE,6,0),0)</f>
        <v>0</v>
      </c>
      <c r="J51" s="31">
        <f t="shared" si="0"/>
        <v>107.637</v>
      </c>
    </row>
    <row r="52" spans="1:10" ht="11.1" customHeight="1" x14ac:dyDescent="0.2">
      <c r="A52" s="12" t="s">
        <v>56</v>
      </c>
      <c r="B52" s="12"/>
      <c r="C52" s="12"/>
      <c r="D52" s="14">
        <v>49.3</v>
      </c>
      <c r="E52" s="14"/>
      <c r="F52" s="5">
        <v>493</v>
      </c>
      <c r="G52" s="8"/>
      <c r="H52" s="8"/>
      <c r="I52">
        <f>IFERROR(VLOOKUP(A52,[1]TDSheet!$A:$AE,6,0),0)</f>
        <v>0</v>
      </c>
      <c r="J52" s="31">
        <f t="shared" si="0"/>
        <v>49.3</v>
      </c>
    </row>
    <row r="53" spans="1:10" ht="11.1" customHeight="1" x14ac:dyDescent="0.2">
      <c r="A53" s="12" t="s">
        <v>57</v>
      </c>
      <c r="B53" s="12"/>
      <c r="C53" s="12"/>
      <c r="D53" s="14">
        <v>15.6</v>
      </c>
      <c r="E53" s="14"/>
      <c r="F53" s="5">
        <v>39</v>
      </c>
      <c r="G53" s="8"/>
      <c r="H53" s="8"/>
      <c r="I53">
        <f>IFERROR(VLOOKUP(A53,[1]TDSheet!$A:$AE,6,0),0)</f>
        <v>0</v>
      </c>
      <c r="J53" s="31">
        <f t="shared" si="0"/>
        <v>15.6</v>
      </c>
    </row>
    <row r="54" spans="1:10" ht="11.1" customHeight="1" x14ac:dyDescent="0.2">
      <c r="A54" s="12" t="s">
        <v>58</v>
      </c>
      <c r="B54" s="12"/>
      <c r="C54" s="12"/>
      <c r="D54" s="13">
        <v>226.07599999999999</v>
      </c>
      <c r="E54" s="13"/>
      <c r="F54" s="5">
        <v>226.07599999999999</v>
      </c>
      <c r="G54" s="5">
        <v>13.198</v>
      </c>
      <c r="H54" s="5">
        <v>13.198</v>
      </c>
      <c r="I54">
        <f>IFERROR(VLOOKUP(A54,[1]TDSheet!$A:$AE,6,0),0)</f>
        <v>0</v>
      </c>
      <c r="J54" s="31">
        <f t="shared" si="0"/>
        <v>226.07599999999999</v>
      </c>
    </row>
    <row r="55" spans="1:10" ht="11.1" customHeight="1" x14ac:dyDescent="0.2">
      <c r="A55" s="12" t="s">
        <v>59</v>
      </c>
      <c r="B55" s="12"/>
      <c r="C55" s="12"/>
      <c r="D55" s="13">
        <v>52.124000000000002</v>
      </c>
      <c r="E55" s="13"/>
      <c r="F55" s="5">
        <v>52.124000000000002</v>
      </c>
      <c r="G55" s="7">
        <v>71.5</v>
      </c>
      <c r="H55" s="5">
        <v>71.5</v>
      </c>
      <c r="I55">
        <f>IFERROR(VLOOKUP(A55,[1]TDSheet!$A:$AE,6,0),0)</f>
        <v>0</v>
      </c>
      <c r="J55" s="31">
        <f t="shared" si="0"/>
        <v>52.124000000000002</v>
      </c>
    </row>
    <row r="56" spans="1:10" ht="11.1" customHeight="1" x14ac:dyDescent="0.2">
      <c r="A56" s="12" t="s">
        <v>60</v>
      </c>
      <c r="B56" s="12"/>
      <c r="C56" s="12"/>
      <c r="D56" s="14">
        <v>859.2</v>
      </c>
      <c r="E56" s="14"/>
      <c r="F56" s="4">
        <v>2148</v>
      </c>
      <c r="G56" s="7">
        <v>4.4000000000000004</v>
      </c>
      <c r="H56" s="5">
        <v>11</v>
      </c>
      <c r="I56">
        <f>IFERROR(VLOOKUP(A56,[1]TDSheet!$A:$AE,6,0),0)</f>
        <v>0</v>
      </c>
      <c r="J56" s="31">
        <f t="shared" si="0"/>
        <v>859.2</v>
      </c>
    </row>
    <row r="57" spans="1:10" ht="11.1" customHeight="1" x14ac:dyDescent="0.2">
      <c r="A57" s="12" t="s">
        <v>61</v>
      </c>
      <c r="B57" s="12"/>
      <c r="C57" s="12"/>
      <c r="D57" s="23">
        <v>596</v>
      </c>
      <c r="E57" s="23"/>
      <c r="F57" s="4">
        <v>1490</v>
      </c>
      <c r="G57" s="7">
        <v>4.8</v>
      </c>
      <c r="H57" s="5">
        <v>12</v>
      </c>
      <c r="I57">
        <f>IFERROR(VLOOKUP(A57,[1]TDSheet!$A:$AE,6,0),0)</f>
        <v>0</v>
      </c>
      <c r="J57" s="31">
        <f t="shared" si="0"/>
        <v>596</v>
      </c>
    </row>
    <row r="58" spans="1:10" ht="21.95" customHeight="1" x14ac:dyDescent="0.2">
      <c r="A58" s="12" t="s">
        <v>62</v>
      </c>
      <c r="B58" s="12"/>
      <c r="C58" s="12"/>
      <c r="D58" s="13">
        <v>225.732</v>
      </c>
      <c r="E58" s="13"/>
      <c r="F58" s="5">
        <v>225.732</v>
      </c>
      <c r="G58" s="5">
        <v>0.90100000000000002</v>
      </c>
      <c r="H58" s="5">
        <v>0.90100000000000002</v>
      </c>
      <c r="I58">
        <f>IFERROR(VLOOKUP(A58,[1]TDSheet!$A:$AE,6,0),0)</f>
        <v>0</v>
      </c>
      <c r="J58" s="31">
        <f t="shared" si="0"/>
        <v>225.732</v>
      </c>
    </row>
    <row r="59" spans="1:10" ht="11.1" customHeight="1" x14ac:dyDescent="0.2">
      <c r="A59" s="12" t="s">
        <v>63</v>
      </c>
      <c r="B59" s="12"/>
      <c r="C59" s="12"/>
      <c r="D59" s="13">
        <v>342.47899999999998</v>
      </c>
      <c r="E59" s="13"/>
      <c r="F59" s="5">
        <v>342.47899999999998</v>
      </c>
      <c r="G59" s="5">
        <v>7.2240000000000002</v>
      </c>
      <c r="H59" s="5">
        <v>7.2240000000000002</v>
      </c>
      <c r="I59">
        <f>IFERROR(VLOOKUP(A59,[1]TDSheet!$A:$AE,6,0),0)</f>
        <v>0</v>
      </c>
      <c r="J59" s="31">
        <f t="shared" si="0"/>
        <v>342.47899999999998</v>
      </c>
    </row>
    <row r="60" spans="1:10" ht="11.1" customHeight="1" x14ac:dyDescent="0.2">
      <c r="A60" s="12" t="s">
        <v>64</v>
      </c>
      <c r="B60" s="12"/>
      <c r="C60" s="12"/>
      <c r="D60" s="19">
        <v>2852.0340000000001</v>
      </c>
      <c r="E60" s="19"/>
      <c r="F60" s="4">
        <v>2852.0340000000001</v>
      </c>
      <c r="G60" s="5">
        <v>32.722999999999999</v>
      </c>
      <c r="H60" s="5">
        <v>32.722999999999999</v>
      </c>
      <c r="I60">
        <f>IFERROR(VLOOKUP(A60,[1]TDSheet!$A:$AE,6,0),0)</f>
        <v>0</v>
      </c>
      <c r="J60" s="31">
        <f t="shared" si="0"/>
        <v>2852.0340000000001</v>
      </c>
    </row>
    <row r="61" spans="1:10" ht="11.1" customHeight="1" x14ac:dyDescent="0.2">
      <c r="A61" s="12" t="s">
        <v>65</v>
      </c>
      <c r="B61" s="12"/>
      <c r="C61" s="12"/>
      <c r="D61" s="18">
        <v>246.13</v>
      </c>
      <c r="E61" s="18"/>
      <c r="F61" s="5">
        <v>246.13</v>
      </c>
      <c r="G61" s="5">
        <v>9.7080000000000002</v>
      </c>
      <c r="H61" s="5">
        <v>9.7080000000000002</v>
      </c>
      <c r="I61">
        <f>IFERROR(VLOOKUP(A61,[1]TDSheet!$A:$AE,6,0),0)</f>
        <v>0</v>
      </c>
      <c r="J61" s="31">
        <f t="shared" si="0"/>
        <v>246.13</v>
      </c>
    </row>
    <row r="62" spans="1:10" ht="11.1" customHeight="1" x14ac:dyDescent="0.2">
      <c r="A62" s="12" t="s">
        <v>66</v>
      </c>
      <c r="B62" s="12"/>
      <c r="C62" s="12"/>
      <c r="D62" s="19">
        <v>1824.0409999999999</v>
      </c>
      <c r="E62" s="19"/>
      <c r="F62" s="4">
        <v>1824.0409999999999</v>
      </c>
      <c r="G62" s="5">
        <v>145.06800000000001</v>
      </c>
      <c r="H62" s="5">
        <v>145.06800000000001</v>
      </c>
      <c r="I62">
        <f>IFERROR(VLOOKUP(A62,[1]TDSheet!$A:$AE,6,0),0)</f>
        <v>0</v>
      </c>
      <c r="J62" s="31">
        <f t="shared" si="0"/>
        <v>1824.0409999999999</v>
      </c>
    </row>
    <row r="63" spans="1:10" ht="11.1" customHeight="1" x14ac:dyDescent="0.2">
      <c r="A63" s="12" t="s">
        <v>67</v>
      </c>
      <c r="B63" s="12"/>
      <c r="C63" s="12"/>
      <c r="D63" s="22">
        <v>1401.6</v>
      </c>
      <c r="E63" s="22"/>
      <c r="F63" s="4">
        <v>2336</v>
      </c>
      <c r="G63" s="7">
        <v>37.200000000000003</v>
      </c>
      <c r="H63" s="5">
        <v>62</v>
      </c>
      <c r="I63">
        <f>IFERROR(VLOOKUP(A63,[1]TDSheet!$A:$AE,6,0),0)</f>
        <v>0</v>
      </c>
      <c r="J63" s="31">
        <f t="shared" si="0"/>
        <v>1401.6</v>
      </c>
    </row>
    <row r="64" spans="1:10" ht="11.1" customHeight="1" x14ac:dyDescent="0.2">
      <c r="A64" s="12" t="s">
        <v>68</v>
      </c>
      <c r="B64" s="12"/>
      <c r="C64" s="12"/>
      <c r="D64" s="22">
        <v>1357.8</v>
      </c>
      <c r="E64" s="22"/>
      <c r="F64" s="4">
        <v>2263</v>
      </c>
      <c r="G64" s="7">
        <v>9.6</v>
      </c>
      <c r="H64" s="5">
        <v>16</v>
      </c>
      <c r="I64">
        <f>IFERROR(VLOOKUP(A64,[1]TDSheet!$A:$AE,6,0),0)</f>
        <v>0</v>
      </c>
      <c r="J64" s="31">
        <f t="shared" si="0"/>
        <v>1357.8</v>
      </c>
    </row>
    <row r="65" spans="1:10" ht="21.95" customHeight="1" x14ac:dyDescent="0.2">
      <c r="A65" s="12" t="s">
        <v>69</v>
      </c>
      <c r="B65" s="12"/>
      <c r="C65" s="12"/>
      <c r="D65" s="23">
        <v>77</v>
      </c>
      <c r="E65" s="23"/>
      <c r="F65" s="5">
        <v>220</v>
      </c>
      <c r="G65" s="7">
        <v>2.1</v>
      </c>
      <c r="H65" s="5">
        <v>6</v>
      </c>
      <c r="I65">
        <f>IFERROR(VLOOKUP(A65,[1]TDSheet!$A:$AE,6,0),0)</f>
        <v>0</v>
      </c>
      <c r="J65" s="31">
        <f t="shared" si="0"/>
        <v>77</v>
      </c>
    </row>
    <row r="66" spans="1:10" ht="11.1" customHeight="1" x14ac:dyDescent="0.2">
      <c r="A66" s="12" t="s">
        <v>70</v>
      </c>
      <c r="B66" s="12"/>
      <c r="C66" s="12"/>
      <c r="D66" s="18">
        <v>204.61</v>
      </c>
      <c r="E66" s="18"/>
      <c r="F66" s="5">
        <v>553</v>
      </c>
      <c r="G66" s="6">
        <v>1.1100000000000001</v>
      </c>
      <c r="H66" s="5">
        <v>3</v>
      </c>
      <c r="I66">
        <f>IFERROR(VLOOKUP(A66,[1]TDSheet!$A:$AE,6,0),0)</f>
        <v>0</v>
      </c>
      <c r="J66" s="31">
        <f t="shared" si="0"/>
        <v>204.61</v>
      </c>
    </row>
    <row r="67" spans="1:10" ht="21.95" customHeight="1" x14ac:dyDescent="0.2">
      <c r="A67" s="12" t="s">
        <v>71</v>
      </c>
      <c r="B67" s="12"/>
      <c r="C67" s="12"/>
      <c r="D67" s="24">
        <v>1622.5482</v>
      </c>
      <c r="E67" s="24"/>
      <c r="F67" s="4">
        <v>2704.2469999999998</v>
      </c>
      <c r="G67" s="8"/>
      <c r="H67" s="8"/>
      <c r="I67">
        <f>IFERROR(VLOOKUP(A67,[1]TDSheet!$A:$AE,6,0),0)</f>
        <v>0</v>
      </c>
      <c r="J67" s="31">
        <f t="shared" si="0"/>
        <v>1622.5482</v>
      </c>
    </row>
    <row r="68" spans="1:10" ht="11.1" customHeight="1" x14ac:dyDescent="0.2">
      <c r="A68" s="12" t="s">
        <v>72</v>
      </c>
      <c r="B68" s="12"/>
      <c r="C68" s="12"/>
      <c r="D68" s="18">
        <v>233.97</v>
      </c>
      <c r="E68" s="18"/>
      <c r="F68" s="5">
        <v>709</v>
      </c>
      <c r="G68" s="6">
        <v>2.64</v>
      </c>
      <c r="H68" s="5">
        <v>8</v>
      </c>
      <c r="I68">
        <f>IFERROR(VLOOKUP(A68,[1]TDSheet!$A:$AE,6,0),0)</f>
        <v>0</v>
      </c>
      <c r="J68" s="31">
        <f t="shared" si="0"/>
        <v>233.97</v>
      </c>
    </row>
    <row r="69" spans="1:10" ht="11.1" customHeight="1" x14ac:dyDescent="0.2">
      <c r="A69" s="12" t="s">
        <v>73</v>
      </c>
      <c r="B69" s="12"/>
      <c r="C69" s="12"/>
      <c r="D69" s="14">
        <v>87.2</v>
      </c>
      <c r="E69" s="14"/>
      <c r="F69" s="5">
        <v>218</v>
      </c>
      <c r="G69" s="7">
        <v>1.6</v>
      </c>
      <c r="H69" s="5">
        <v>4</v>
      </c>
      <c r="I69">
        <f>IFERROR(VLOOKUP(A69,[1]TDSheet!$A:$AE,6,0),0)</f>
        <v>0</v>
      </c>
      <c r="J69" s="31">
        <f t="shared" si="0"/>
        <v>87.2</v>
      </c>
    </row>
    <row r="70" spans="1:10" ht="11.1" customHeight="1" x14ac:dyDescent="0.2">
      <c r="A70" s="12" t="s">
        <v>74</v>
      </c>
      <c r="B70" s="12"/>
      <c r="C70" s="12"/>
      <c r="D70" s="18">
        <v>203.35</v>
      </c>
      <c r="E70" s="18"/>
      <c r="F70" s="5">
        <v>581</v>
      </c>
      <c r="G70" s="7">
        <v>4.2</v>
      </c>
      <c r="H70" s="5">
        <v>12</v>
      </c>
      <c r="I70">
        <f>IFERROR(VLOOKUP(A70,[1]TDSheet!$A:$AE,6,0),0)</f>
        <v>0</v>
      </c>
      <c r="J70" s="31">
        <f t="shared" si="0"/>
        <v>203.35</v>
      </c>
    </row>
    <row r="71" spans="1:10" ht="11.1" customHeight="1" x14ac:dyDescent="0.2">
      <c r="A71" s="12" t="s">
        <v>75</v>
      </c>
      <c r="B71" s="12"/>
      <c r="C71" s="12"/>
      <c r="D71" s="14">
        <v>564.20000000000005</v>
      </c>
      <c r="E71" s="14"/>
      <c r="F71" s="4">
        <v>1612</v>
      </c>
      <c r="G71" s="7">
        <v>9.8000000000000007</v>
      </c>
      <c r="H71" s="5">
        <v>28</v>
      </c>
      <c r="I71">
        <f>IFERROR(VLOOKUP(A71,[1]TDSheet!$A:$AE,6,0),0)</f>
        <v>0</v>
      </c>
      <c r="J71" s="31">
        <f t="shared" si="0"/>
        <v>564.20000000000005</v>
      </c>
    </row>
    <row r="72" spans="1:10" ht="21.95" customHeight="1" x14ac:dyDescent="0.2">
      <c r="A72" s="12" t="s">
        <v>76</v>
      </c>
      <c r="B72" s="12"/>
      <c r="C72" s="12"/>
      <c r="D72" s="14">
        <v>28.4</v>
      </c>
      <c r="E72" s="14"/>
      <c r="F72" s="5">
        <v>71</v>
      </c>
      <c r="G72" s="8"/>
      <c r="H72" s="8"/>
      <c r="I72">
        <f>IFERROR(VLOOKUP(A72,[1]TDSheet!$A:$AE,6,0),0)</f>
        <v>0</v>
      </c>
      <c r="J72" s="31">
        <f t="shared" ref="J72:J122" si="1">D72-I72</f>
        <v>28.4</v>
      </c>
    </row>
    <row r="73" spans="1:10" ht="21.95" customHeight="1" x14ac:dyDescent="0.2">
      <c r="A73" s="12" t="s">
        <v>77</v>
      </c>
      <c r="B73" s="12"/>
      <c r="C73" s="12"/>
      <c r="D73" s="13">
        <v>31.475000000000001</v>
      </c>
      <c r="E73" s="13"/>
      <c r="F73" s="5">
        <v>31.475000000000001</v>
      </c>
      <c r="G73" s="5">
        <v>2.738</v>
      </c>
      <c r="H73" s="5">
        <v>2.738</v>
      </c>
      <c r="I73">
        <f>IFERROR(VLOOKUP(A73,[1]TDSheet!$A:$AE,6,0),0)</f>
        <v>0</v>
      </c>
      <c r="J73" s="31">
        <f t="shared" si="1"/>
        <v>31.475000000000001</v>
      </c>
    </row>
    <row r="74" spans="1:10" ht="11.1" customHeight="1" x14ac:dyDescent="0.2">
      <c r="A74" s="12" t="s">
        <v>78</v>
      </c>
      <c r="B74" s="12"/>
      <c r="C74" s="12"/>
      <c r="D74" s="19">
        <v>14588.237999999999</v>
      </c>
      <c r="E74" s="19"/>
      <c r="F74" s="4">
        <v>14588.237999999999</v>
      </c>
      <c r="G74" s="5">
        <v>9.7629999999999999</v>
      </c>
      <c r="H74" s="5">
        <v>9.7629999999999999</v>
      </c>
      <c r="I74">
        <f>IFERROR(VLOOKUP(A74,[1]TDSheet!$A:$AE,6,0),0)</f>
        <v>790.3</v>
      </c>
      <c r="J74" s="31">
        <f t="shared" si="1"/>
        <v>13797.938</v>
      </c>
    </row>
    <row r="75" spans="1:10" ht="11.1" customHeight="1" x14ac:dyDescent="0.2">
      <c r="A75" s="12" t="s">
        <v>79</v>
      </c>
      <c r="B75" s="12"/>
      <c r="C75" s="12"/>
      <c r="D75" s="14">
        <v>248.4</v>
      </c>
      <c r="E75" s="14"/>
      <c r="F75" s="5">
        <v>828</v>
      </c>
      <c r="G75" s="7">
        <v>2.4</v>
      </c>
      <c r="H75" s="5">
        <v>8</v>
      </c>
      <c r="I75">
        <f>IFERROR(VLOOKUP(A75,[1]TDSheet!$A:$AE,6,0),0)</f>
        <v>0</v>
      </c>
      <c r="J75" s="31">
        <f t="shared" si="1"/>
        <v>248.4</v>
      </c>
    </row>
    <row r="76" spans="1:10" ht="11.1" customHeight="1" x14ac:dyDescent="0.2">
      <c r="A76" s="12" t="s">
        <v>80</v>
      </c>
      <c r="B76" s="12"/>
      <c r="C76" s="12"/>
      <c r="D76" s="19">
        <v>6005.1570000000002</v>
      </c>
      <c r="E76" s="19"/>
      <c r="F76" s="4">
        <v>6005.1570000000002</v>
      </c>
      <c r="G76" s="5">
        <v>11.891</v>
      </c>
      <c r="H76" s="5">
        <v>11.891</v>
      </c>
      <c r="I76">
        <f>IFERROR(VLOOKUP(A76,[1]TDSheet!$A:$AE,6,0),0)</f>
        <v>731.33799999999997</v>
      </c>
      <c r="J76" s="31">
        <f t="shared" si="1"/>
        <v>5273.8190000000004</v>
      </c>
    </row>
    <row r="77" spans="1:10" ht="11.1" customHeight="1" x14ac:dyDescent="0.2">
      <c r="A77" s="12" t="s">
        <v>81</v>
      </c>
      <c r="B77" s="12"/>
      <c r="C77" s="12"/>
      <c r="D77" s="21">
        <v>13151.79</v>
      </c>
      <c r="E77" s="21"/>
      <c r="F77" s="4">
        <v>13151.79</v>
      </c>
      <c r="G77" s="5">
        <v>13.259</v>
      </c>
      <c r="H77" s="5">
        <v>13.259</v>
      </c>
      <c r="I77">
        <f>IFERROR(VLOOKUP(A77,[1]TDSheet!$A:$AE,6,0),0)</f>
        <v>2415.2869999999998</v>
      </c>
      <c r="J77" s="31">
        <f t="shared" si="1"/>
        <v>10736.503000000001</v>
      </c>
    </row>
    <row r="78" spans="1:10" ht="11.1" customHeight="1" x14ac:dyDescent="0.2">
      <c r="A78" s="12" t="s">
        <v>82</v>
      </c>
      <c r="B78" s="12"/>
      <c r="C78" s="12"/>
      <c r="D78" s="19">
        <v>19606.350999999999</v>
      </c>
      <c r="E78" s="19"/>
      <c r="F78" s="4">
        <v>19606.350999999999</v>
      </c>
      <c r="G78" s="5">
        <v>8.9830000000000005</v>
      </c>
      <c r="H78" s="5">
        <v>8.9830000000000005</v>
      </c>
      <c r="I78">
        <f>IFERROR(VLOOKUP(A78,[1]TDSheet!$A:$AE,6,0),0)</f>
        <v>2858.7359999999999</v>
      </c>
      <c r="J78" s="31">
        <f t="shared" si="1"/>
        <v>16747.614999999998</v>
      </c>
    </row>
    <row r="79" spans="1:10" ht="21.95" customHeight="1" x14ac:dyDescent="0.2">
      <c r="A79" s="12" t="s">
        <v>83</v>
      </c>
      <c r="B79" s="12"/>
      <c r="C79" s="12"/>
      <c r="D79" s="13">
        <v>120.73399999999999</v>
      </c>
      <c r="E79" s="13"/>
      <c r="F79" s="5">
        <v>120.73399999999999</v>
      </c>
      <c r="G79" s="8"/>
      <c r="H79" s="8"/>
      <c r="I79">
        <f>IFERROR(VLOOKUP(A79,[1]TDSheet!$A:$AE,6,0),0)</f>
        <v>0</v>
      </c>
      <c r="J79" s="31">
        <f t="shared" si="1"/>
        <v>120.73399999999999</v>
      </c>
    </row>
    <row r="80" spans="1:10" ht="21.95" customHeight="1" x14ac:dyDescent="0.2">
      <c r="A80" s="12" t="s">
        <v>84</v>
      </c>
      <c r="B80" s="12"/>
      <c r="C80" s="12"/>
      <c r="D80" s="18">
        <v>-2.63</v>
      </c>
      <c r="E80" s="18"/>
      <c r="F80" s="5">
        <v>-2.63</v>
      </c>
      <c r="G80" s="6">
        <v>3.99</v>
      </c>
      <c r="H80" s="5">
        <v>3.99</v>
      </c>
      <c r="I80">
        <f>IFERROR(VLOOKUP(A80,[1]TDSheet!$A:$AE,6,0),0)</f>
        <v>0</v>
      </c>
      <c r="J80" s="31">
        <f t="shared" si="1"/>
        <v>-2.63</v>
      </c>
    </row>
    <row r="81" spans="1:10" ht="21.95" customHeight="1" x14ac:dyDescent="0.2">
      <c r="A81" s="12" t="s">
        <v>85</v>
      </c>
      <c r="B81" s="12"/>
      <c r="C81" s="12"/>
      <c r="D81" s="13">
        <v>171.50899999999999</v>
      </c>
      <c r="E81" s="13"/>
      <c r="F81" s="5">
        <v>171.50899999999999</v>
      </c>
      <c r="G81" s="5">
        <v>0.60399999999999998</v>
      </c>
      <c r="H81" s="5">
        <v>0.60399999999999998</v>
      </c>
      <c r="I81">
        <f>IFERROR(VLOOKUP(A81,[1]TDSheet!$A:$AE,6,0),0)</f>
        <v>0</v>
      </c>
      <c r="J81" s="31">
        <f t="shared" si="1"/>
        <v>171.50899999999999</v>
      </c>
    </row>
    <row r="82" spans="1:10" ht="11.1" customHeight="1" x14ac:dyDescent="0.2">
      <c r="A82" s="12" t="s">
        <v>86</v>
      </c>
      <c r="B82" s="12"/>
      <c r="C82" s="12"/>
      <c r="D82" s="14">
        <v>123.3</v>
      </c>
      <c r="E82" s="14"/>
      <c r="F82" s="5">
        <v>411</v>
      </c>
      <c r="G82" s="7">
        <v>6.3</v>
      </c>
      <c r="H82" s="5">
        <v>21</v>
      </c>
      <c r="I82">
        <f>IFERROR(VLOOKUP(A82,[1]TDSheet!$A:$AE,6,0),0)</f>
        <v>0</v>
      </c>
      <c r="J82" s="31">
        <f t="shared" si="1"/>
        <v>123.3</v>
      </c>
    </row>
    <row r="83" spans="1:10" ht="11.1" customHeight="1" x14ac:dyDescent="0.2">
      <c r="A83" s="12" t="s">
        <v>87</v>
      </c>
      <c r="B83" s="12"/>
      <c r="C83" s="12"/>
      <c r="D83" s="14">
        <v>35.700000000000003</v>
      </c>
      <c r="E83" s="14"/>
      <c r="F83" s="5">
        <v>119</v>
      </c>
      <c r="G83" s="7">
        <v>1.2</v>
      </c>
      <c r="H83" s="5">
        <v>4</v>
      </c>
      <c r="I83">
        <f>IFERROR(VLOOKUP(A83,[1]TDSheet!$A:$AE,6,0),0)</f>
        <v>0</v>
      </c>
      <c r="J83" s="31">
        <f t="shared" si="1"/>
        <v>35.700000000000003</v>
      </c>
    </row>
    <row r="84" spans="1:10" ht="11.1" customHeight="1" x14ac:dyDescent="0.2">
      <c r="A84" s="12" t="s">
        <v>88</v>
      </c>
      <c r="B84" s="12"/>
      <c r="C84" s="12"/>
      <c r="D84" s="18">
        <v>43.12</v>
      </c>
      <c r="E84" s="18"/>
      <c r="F84" s="5">
        <v>616</v>
      </c>
      <c r="G84" s="6">
        <v>0.35</v>
      </c>
      <c r="H84" s="5">
        <v>5</v>
      </c>
      <c r="I84">
        <f>IFERROR(VLOOKUP(A84,[1]TDSheet!$A:$AE,6,0),0)</f>
        <v>0</v>
      </c>
      <c r="J84" s="31">
        <f t="shared" si="1"/>
        <v>43.12</v>
      </c>
    </row>
    <row r="85" spans="1:10" ht="11.1" customHeight="1" x14ac:dyDescent="0.2">
      <c r="A85" s="12" t="s">
        <v>89</v>
      </c>
      <c r="B85" s="12"/>
      <c r="C85" s="12"/>
      <c r="D85" s="18">
        <v>40.32</v>
      </c>
      <c r="E85" s="18"/>
      <c r="F85" s="5">
        <v>576</v>
      </c>
      <c r="G85" s="6">
        <v>7.0000000000000007E-2</v>
      </c>
      <c r="H85" s="5">
        <v>1</v>
      </c>
      <c r="I85">
        <f>IFERROR(VLOOKUP(A85,[1]TDSheet!$A:$AE,6,0),0)</f>
        <v>0</v>
      </c>
      <c r="J85" s="31">
        <f t="shared" si="1"/>
        <v>40.32</v>
      </c>
    </row>
    <row r="86" spans="1:10" ht="11.1" customHeight="1" x14ac:dyDescent="0.2">
      <c r="A86" s="12" t="s">
        <v>90</v>
      </c>
      <c r="B86" s="12"/>
      <c r="C86" s="12"/>
      <c r="D86" s="18">
        <v>33.32</v>
      </c>
      <c r="E86" s="18"/>
      <c r="F86" s="5">
        <v>476</v>
      </c>
      <c r="G86" s="6">
        <v>0.21</v>
      </c>
      <c r="H86" s="5">
        <v>3</v>
      </c>
      <c r="I86">
        <f>IFERROR(VLOOKUP(A86,[1]TDSheet!$A:$AE,6,0),0)</f>
        <v>0</v>
      </c>
      <c r="J86" s="31">
        <f t="shared" si="1"/>
        <v>33.32</v>
      </c>
    </row>
    <row r="87" spans="1:10" ht="11.1" customHeight="1" x14ac:dyDescent="0.2">
      <c r="A87" s="12" t="s">
        <v>91</v>
      </c>
      <c r="B87" s="12"/>
      <c r="C87" s="12"/>
      <c r="D87" s="18">
        <v>16.55</v>
      </c>
      <c r="E87" s="18"/>
      <c r="F87" s="5">
        <v>331</v>
      </c>
      <c r="G87" s="6">
        <v>0.25</v>
      </c>
      <c r="H87" s="5">
        <v>5</v>
      </c>
      <c r="I87">
        <f>IFERROR(VLOOKUP(A87,[1]TDSheet!$A:$AE,6,0),0)</f>
        <v>0</v>
      </c>
      <c r="J87" s="31">
        <f t="shared" si="1"/>
        <v>16.55</v>
      </c>
    </row>
    <row r="88" spans="1:10" ht="11.1" customHeight="1" x14ac:dyDescent="0.2">
      <c r="A88" s="12" t="s">
        <v>92</v>
      </c>
      <c r="B88" s="12"/>
      <c r="C88" s="12"/>
      <c r="D88" s="13">
        <v>-0.495</v>
      </c>
      <c r="E88" s="13"/>
      <c r="F88" s="5">
        <v>-9</v>
      </c>
      <c r="G88" s="5">
        <v>0.495</v>
      </c>
      <c r="H88" s="5">
        <v>9</v>
      </c>
      <c r="I88">
        <f>IFERROR(VLOOKUP(A88,[1]TDSheet!$A:$AE,6,0),0)</f>
        <v>0</v>
      </c>
      <c r="J88" s="31">
        <f t="shared" si="1"/>
        <v>-0.495</v>
      </c>
    </row>
    <row r="89" spans="1:10" ht="11.1" customHeight="1" x14ac:dyDescent="0.2">
      <c r="A89" s="12" t="s">
        <v>93</v>
      </c>
      <c r="B89" s="12"/>
      <c r="C89" s="12"/>
      <c r="D89" s="18">
        <v>2.09</v>
      </c>
      <c r="E89" s="18"/>
      <c r="F89" s="5">
        <v>38</v>
      </c>
      <c r="G89" s="5">
        <v>0.27500000000000002</v>
      </c>
      <c r="H89" s="5">
        <v>5</v>
      </c>
      <c r="I89">
        <f>IFERROR(VLOOKUP(A89,[1]TDSheet!$A:$AE,6,0),0)</f>
        <v>0</v>
      </c>
      <c r="J89" s="31">
        <f t="shared" si="1"/>
        <v>2.09</v>
      </c>
    </row>
    <row r="90" spans="1:10" ht="11.1" customHeight="1" x14ac:dyDescent="0.2">
      <c r="A90" s="12" t="s">
        <v>94</v>
      </c>
      <c r="B90" s="12"/>
      <c r="C90" s="12"/>
      <c r="D90" s="14">
        <v>12.9</v>
      </c>
      <c r="E90" s="14"/>
      <c r="F90" s="5">
        <v>43</v>
      </c>
      <c r="G90" s="7">
        <v>0.9</v>
      </c>
      <c r="H90" s="5">
        <v>3</v>
      </c>
      <c r="I90">
        <f>IFERROR(VLOOKUP(A90,[1]TDSheet!$A:$AE,6,0),0)</f>
        <v>0</v>
      </c>
      <c r="J90" s="31">
        <f t="shared" si="1"/>
        <v>12.9</v>
      </c>
    </row>
    <row r="91" spans="1:10" ht="11.1" customHeight="1" x14ac:dyDescent="0.2">
      <c r="A91" s="12" t="s">
        <v>95</v>
      </c>
      <c r="B91" s="12"/>
      <c r="C91" s="12"/>
      <c r="D91" s="13">
        <v>49.271000000000001</v>
      </c>
      <c r="E91" s="13"/>
      <c r="F91" s="5">
        <v>49.271000000000001</v>
      </c>
      <c r="G91" s="5">
        <v>0.64900000000000002</v>
      </c>
      <c r="H91" s="5">
        <v>0.64900000000000002</v>
      </c>
      <c r="I91">
        <f>IFERROR(VLOOKUP(A91,[1]TDSheet!$A:$AE,6,0),0)</f>
        <v>0</v>
      </c>
      <c r="J91" s="31">
        <f t="shared" si="1"/>
        <v>49.271000000000001</v>
      </c>
    </row>
    <row r="92" spans="1:10" ht="21.95" customHeight="1" x14ac:dyDescent="0.2">
      <c r="A92" s="12" t="s">
        <v>96</v>
      </c>
      <c r="B92" s="12"/>
      <c r="C92" s="12"/>
      <c r="D92" s="18">
        <v>5.28</v>
      </c>
      <c r="E92" s="18"/>
      <c r="F92" s="5">
        <v>48</v>
      </c>
      <c r="G92" s="6">
        <v>2.42</v>
      </c>
      <c r="H92" s="5">
        <v>22</v>
      </c>
      <c r="I92">
        <f>IFERROR(VLOOKUP(A92,[1]TDSheet!$A:$AE,6,0),0)</f>
        <v>0</v>
      </c>
      <c r="J92" s="31">
        <f t="shared" si="1"/>
        <v>5.28</v>
      </c>
    </row>
    <row r="93" spans="1:10" ht="21.95" customHeight="1" x14ac:dyDescent="0.2">
      <c r="A93" s="12" t="s">
        <v>97</v>
      </c>
      <c r="B93" s="12"/>
      <c r="C93" s="12"/>
      <c r="D93" s="18">
        <v>78.64</v>
      </c>
      <c r="E93" s="18"/>
      <c r="F93" s="5">
        <v>983</v>
      </c>
      <c r="G93" s="7">
        <v>1.2</v>
      </c>
      <c r="H93" s="5">
        <v>15</v>
      </c>
      <c r="I93">
        <f>IFERROR(VLOOKUP(A93,[1]TDSheet!$A:$AE,6,0),0)</f>
        <v>0</v>
      </c>
      <c r="J93" s="31">
        <f t="shared" si="1"/>
        <v>78.64</v>
      </c>
    </row>
    <row r="94" spans="1:10" ht="21.95" customHeight="1" x14ac:dyDescent="0.2">
      <c r="A94" s="12" t="s">
        <v>98</v>
      </c>
      <c r="B94" s="12"/>
      <c r="C94" s="12"/>
      <c r="D94" s="18">
        <v>36.72</v>
      </c>
      <c r="E94" s="18"/>
      <c r="F94" s="5">
        <v>459</v>
      </c>
      <c r="G94" s="6">
        <v>0.64</v>
      </c>
      <c r="H94" s="5">
        <v>8</v>
      </c>
      <c r="I94">
        <f>IFERROR(VLOOKUP(A94,[1]TDSheet!$A:$AE,6,0),0)</f>
        <v>0</v>
      </c>
      <c r="J94" s="31">
        <f t="shared" si="1"/>
        <v>36.72</v>
      </c>
    </row>
    <row r="95" spans="1:10" ht="21.95" customHeight="1" x14ac:dyDescent="0.2">
      <c r="A95" s="12" t="s">
        <v>99</v>
      </c>
      <c r="B95" s="12"/>
      <c r="C95" s="12"/>
      <c r="D95" s="18">
        <v>29.75</v>
      </c>
      <c r="E95" s="18"/>
      <c r="F95" s="5">
        <v>175</v>
      </c>
      <c r="G95" s="6">
        <v>5.95</v>
      </c>
      <c r="H95" s="5">
        <v>35</v>
      </c>
      <c r="I95">
        <f>IFERROR(VLOOKUP(A95,[1]TDSheet!$A:$AE,6,0),0)</f>
        <v>0</v>
      </c>
      <c r="J95" s="31">
        <f t="shared" si="1"/>
        <v>29.75</v>
      </c>
    </row>
    <row r="96" spans="1:10" ht="21.95" customHeight="1" x14ac:dyDescent="0.2">
      <c r="A96" s="12" t="s">
        <v>100</v>
      </c>
      <c r="B96" s="12"/>
      <c r="C96" s="12"/>
      <c r="D96" s="13">
        <v>958.38900000000001</v>
      </c>
      <c r="E96" s="13"/>
      <c r="F96" s="5">
        <v>958.38900000000001</v>
      </c>
      <c r="G96" s="5">
        <v>17.809000000000001</v>
      </c>
      <c r="H96" s="5">
        <v>17.809000000000001</v>
      </c>
      <c r="I96">
        <f>IFERROR(VLOOKUP(A96,[1]TDSheet!$A:$AE,6,0),0)</f>
        <v>0</v>
      </c>
      <c r="J96" s="31">
        <f t="shared" si="1"/>
        <v>958.38900000000001</v>
      </c>
    </row>
    <row r="97" spans="1:10" ht="21.95" customHeight="1" x14ac:dyDescent="0.2">
      <c r="A97" s="12" t="s">
        <v>101</v>
      </c>
      <c r="B97" s="12"/>
      <c r="C97" s="12"/>
      <c r="D97" s="13">
        <v>305.27199999999999</v>
      </c>
      <c r="E97" s="13"/>
      <c r="F97" s="5">
        <v>305.27199999999999</v>
      </c>
      <c r="G97" s="5">
        <v>20.850999999999999</v>
      </c>
      <c r="H97" s="5">
        <v>20.850999999999999</v>
      </c>
      <c r="I97">
        <f>IFERROR(VLOOKUP(A97,[1]TDSheet!$A:$AE,6,0),0)</f>
        <v>0</v>
      </c>
      <c r="J97" s="31">
        <f t="shared" si="1"/>
        <v>305.27199999999999</v>
      </c>
    </row>
    <row r="98" spans="1:10" ht="11.1" customHeight="1" x14ac:dyDescent="0.2">
      <c r="A98" s="12" t="s">
        <v>102</v>
      </c>
      <c r="B98" s="12"/>
      <c r="C98" s="12"/>
      <c r="D98" s="13">
        <v>757.77200000000005</v>
      </c>
      <c r="E98" s="13"/>
      <c r="F98" s="5">
        <v>757.77200000000005</v>
      </c>
      <c r="G98" s="5">
        <v>18.861000000000001</v>
      </c>
      <c r="H98" s="5">
        <v>18.861000000000001</v>
      </c>
      <c r="I98">
        <f>IFERROR(VLOOKUP(A98,[1]TDSheet!$A:$AE,6,0),0)</f>
        <v>0</v>
      </c>
      <c r="J98" s="31">
        <f t="shared" si="1"/>
        <v>757.77200000000005</v>
      </c>
    </row>
    <row r="99" spans="1:10" ht="11.1" customHeight="1" x14ac:dyDescent="0.2">
      <c r="A99" s="12" t="s">
        <v>103</v>
      </c>
      <c r="B99" s="12"/>
      <c r="C99" s="12"/>
      <c r="D99" s="14">
        <v>55.5</v>
      </c>
      <c r="E99" s="14"/>
      <c r="F99" s="5">
        <v>185</v>
      </c>
      <c r="G99" s="7">
        <v>0.3</v>
      </c>
      <c r="H99" s="5">
        <v>1</v>
      </c>
      <c r="I99">
        <f>IFERROR(VLOOKUP(A99,[1]TDSheet!$A:$AE,6,0),0)</f>
        <v>0</v>
      </c>
      <c r="J99" s="31">
        <f t="shared" si="1"/>
        <v>55.5</v>
      </c>
    </row>
    <row r="100" spans="1:10" ht="21.95" customHeight="1" x14ac:dyDescent="0.2">
      <c r="A100" s="12" t="s">
        <v>104</v>
      </c>
      <c r="B100" s="12"/>
      <c r="C100" s="12"/>
      <c r="D100" s="13">
        <v>10.323</v>
      </c>
      <c r="E100" s="13"/>
      <c r="F100" s="5">
        <v>10.323</v>
      </c>
      <c r="G100" s="5">
        <v>4.8079999999999998</v>
      </c>
      <c r="H100" s="5">
        <v>4.8079999999999998</v>
      </c>
      <c r="I100">
        <f>IFERROR(VLOOKUP(A100,[1]TDSheet!$A:$AE,6,0),0)</f>
        <v>0</v>
      </c>
      <c r="J100" s="31">
        <f t="shared" si="1"/>
        <v>10.323</v>
      </c>
    </row>
    <row r="101" spans="1:10" ht="21.95" customHeight="1" x14ac:dyDescent="0.2">
      <c r="A101" s="12" t="s">
        <v>105</v>
      </c>
      <c r="B101" s="12"/>
      <c r="C101" s="12"/>
      <c r="D101" s="18">
        <v>412.72</v>
      </c>
      <c r="E101" s="18"/>
      <c r="F101" s="4">
        <v>1474</v>
      </c>
      <c r="G101" s="6">
        <v>15.96</v>
      </c>
      <c r="H101" s="5">
        <v>57</v>
      </c>
      <c r="I101">
        <f>IFERROR(VLOOKUP(A101,[1]TDSheet!$A:$AE,6,0),0)</f>
        <v>0</v>
      </c>
      <c r="J101" s="31">
        <f t="shared" si="1"/>
        <v>412.72</v>
      </c>
    </row>
    <row r="102" spans="1:10" ht="21.95" customHeight="1" x14ac:dyDescent="0.2">
      <c r="A102" s="12" t="s">
        <v>106</v>
      </c>
      <c r="B102" s="12"/>
      <c r="C102" s="12"/>
      <c r="D102" s="20">
        <v>364.63672000000003</v>
      </c>
      <c r="E102" s="20"/>
      <c r="F102" s="4">
        <v>1302.2739999999999</v>
      </c>
      <c r="G102" s="6">
        <v>5.88</v>
      </c>
      <c r="H102" s="5">
        <v>21</v>
      </c>
      <c r="I102">
        <f>IFERROR(VLOOKUP(A102,[1]TDSheet!$A:$AE,6,0),0)</f>
        <v>0</v>
      </c>
      <c r="J102" s="31">
        <f t="shared" si="1"/>
        <v>364.63672000000003</v>
      </c>
    </row>
    <row r="103" spans="1:10" ht="21.95" customHeight="1" x14ac:dyDescent="0.2">
      <c r="A103" s="12" t="s">
        <v>107</v>
      </c>
      <c r="B103" s="12"/>
      <c r="C103" s="12"/>
      <c r="D103" s="18">
        <v>611.38</v>
      </c>
      <c r="E103" s="18"/>
      <c r="F103" s="4">
        <v>2183.5</v>
      </c>
      <c r="G103" s="7">
        <v>12.6</v>
      </c>
      <c r="H103" s="5">
        <v>45</v>
      </c>
      <c r="I103">
        <f>IFERROR(VLOOKUP(A103,[1]TDSheet!$A:$AE,6,0),0)</f>
        <v>0</v>
      </c>
      <c r="J103" s="31">
        <f t="shared" si="1"/>
        <v>611.38</v>
      </c>
    </row>
    <row r="104" spans="1:10" ht="11.1" customHeight="1" x14ac:dyDescent="0.2">
      <c r="A104" s="12" t="s">
        <v>108</v>
      </c>
      <c r="B104" s="12"/>
      <c r="C104" s="12"/>
      <c r="D104" s="18">
        <v>19.260000000000002</v>
      </c>
      <c r="E104" s="18"/>
      <c r="F104" s="5">
        <v>214</v>
      </c>
      <c r="G104" s="8"/>
      <c r="H104" s="8"/>
      <c r="I104">
        <f>IFERROR(VLOOKUP(A104,[1]TDSheet!$A:$AE,6,0),0)</f>
        <v>0</v>
      </c>
      <c r="J104" s="31">
        <f t="shared" si="1"/>
        <v>19.260000000000002</v>
      </c>
    </row>
    <row r="105" spans="1:10" ht="21.95" customHeight="1" x14ac:dyDescent="0.2">
      <c r="A105" s="12" t="s">
        <v>109</v>
      </c>
      <c r="B105" s="12"/>
      <c r="C105" s="12"/>
      <c r="D105" s="13">
        <v>28.431000000000001</v>
      </c>
      <c r="E105" s="13"/>
      <c r="F105" s="5">
        <v>28.431000000000001</v>
      </c>
      <c r="G105" s="8"/>
      <c r="H105" s="8"/>
      <c r="I105">
        <f>IFERROR(VLOOKUP(A105,[1]TDSheet!$A:$AE,6,0),0)</f>
        <v>0</v>
      </c>
      <c r="J105" s="31">
        <f t="shared" si="1"/>
        <v>28.431000000000001</v>
      </c>
    </row>
    <row r="106" spans="1:10" ht="21.95" customHeight="1" x14ac:dyDescent="0.2">
      <c r="A106" s="12" t="s">
        <v>110</v>
      </c>
      <c r="B106" s="12"/>
      <c r="C106" s="12"/>
      <c r="D106" s="18">
        <v>219.23</v>
      </c>
      <c r="E106" s="18"/>
      <c r="F106" s="5">
        <v>219.23</v>
      </c>
      <c r="G106" s="5">
        <v>6.8090000000000002</v>
      </c>
      <c r="H106" s="5">
        <v>6.8090000000000002</v>
      </c>
      <c r="I106">
        <f>IFERROR(VLOOKUP(A106,[1]TDSheet!$A:$AE,6,0),0)</f>
        <v>0</v>
      </c>
      <c r="J106" s="31">
        <f t="shared" si="1"/>
        <v>219.23</v>
      </c>
    </row>
    <row r="107" spans="1:10" ht="21.95" customHeight="1" x14ac:dyDescent="0.2">
      <c r="A107" s="12" t="s">
        <v>111</v>
      </c>
      <c r="B107" s="12"/>
      <c r="C107" s="12"/>
      <c r="D107" s="13">
        <v>260.786</v>
      </c>
      <c r="E107" s="13"/>
      <c r="F107" s="5">
        <v>260.786</v>
      </c>
      <c r="G107" s="5">
        <v>7.1710000000000003</v>
      </c>
      <c r="H107" s="5">
        <v>7.1710000000000003</v>
      </c>
      <c r="I107">
        <f>IFERROR(VLOOKUP(A107,[1]TDSheet!$A:$AE,6,0),0)</f>
        <v>0</v>
      </c>
      <c r="J107" s="31">
        <f t="shared" si="1"/>
        <v>260.786</v>
      </c>
    </row>
    <row r="108" spans="1:10" ht="11.1" customHeight="1" x14ac:dyDescent="0.2">
      <c r="A108" s="12" t="s">
        <v>112</v>
      </c>
      <c r="B108" s="12"/>
      <c r="C108" s="12"/>
      <c r="D108" s="18">
        <v>19.98</v>
      </c>
      <c r="E108" s="18"/>
      <c r="F108" s="5">
        <v>222</v>
      </c>
      <c r="G108" s="6">
        <v>0.18</v>
      </c>
      <c r="H108" s="5">
        <v>2</v>
      </c>
      <c r="I108">
        <f>IFERROR(VLOOKUP(A108,[1]TDSheet!$A:$AE,6,0),0)</f>
        <v>0</v>
      </c>
      <c r="J108" s="31">
        <f t="shared" si="1"/>
        <v>19.98</v>
      </c>
    </row>
    <row r="109" spans="1:10" ht="21.95" customHeight="1" x14ac:dyDescent="0.2">
      <c r="A109" s="12" t="s">
        <v>113</v>
      </c>
      <c r="B109" s="12"/>
      <c r="C109" s="12"/>
      <c r="D109" s="18">
        <v>15.84</v>
      </c>
      <c r="E109" s="18"/>
      <c r="F109" s="5">
        <v>176</v>
      </c>
      <c r="G109" s="6">
        <v>0.09</v>
      </c>
      <c r="H109" s="5">
        <v>1</v>
      </c>
      <c r="I109">
        <f>IFERROR(VLOOKUP(A109,[1]TDSheet!$A:$AE,6,0),0)</f>
        <v>0</v>
      </c>
      <c r="J109" s="31">
        <f t="shared" si="1"/>
        <v>15.84</v>
      </c>
    </row>
    <row r="110" spans="1:10" ht="11.1" customHeight="1" x14ac:dyDescent="0.2">
      <c r="A110" s="12" t="s">
        <v>114</v>
      </c>
      <c r="B110" s="12"/>
      <c r="C110" s="12"/>
      <c r="D110" s="13">
        <v>638.226</v>
      </c>
      <c r="E110" s="13"/>
      <c r="F110" s="5">
        <v>638.226</v>
      </c>
      <c r="G110" s="5">
        <v>1.369</v>
      </c>
      <c r="H110" s="5">
        <v>1.369</v>
      </c>
      <c r="I110">
        <f>IFERROR(VLOOKUP(A110,[1]TDSheet!$A:$AE,6,0),0)</f>
        <v>0</v>
      </c>
      <c r="J110" s="31">
        <f t="shared" si="1"/>
        <v>638.226</v>
      </c>
    </row>
    <row r="111" spans="1:10" ht="11.1" customHeight="1" x14ac:dyDescent="0.2">
      <c r="A111" s="12" t="s">
        <v>115</v>
      </c>
      <c r="B111" s="12"/>
      <c r="C111" s="12"/>
      <c r="D111" s="19">
        <v>2175.4119999999998</v>
      </c>
      <c r="E111" s="19"/>
      <c r="F111" s="4">
        <v>2175.4119999999998</v>
      </c>
      <c r="G111" s="5">
        <v>15.275</v>
      </c>
      <c r="H111" s="5">
        <v>15.275</v>
      </c>
      <c r="I111">
        <f>IFERROR(VLOOKUP(A111,[1]TDSheet!$A:$AE,6,0),0)</f>
        <v>0</v>
      </c>
      <c r="J111" s="31">
        <f t="shared" si="1"/>
        <v>2175.4119999999998</v>
      </c>
    </row>
    <row r="112" spans="1:10" ht="11.1" customHeight="1" x14ac:dyDescent="0.2">
      <c r="A112" s="12" t="s">
        <v>116</v>
      </c>
      <c r="B112" s="12"/>
      <c r="C112" s="12"/>
      <c r="D112" s="13">
        <v>203.92500000000001</v>
      </c>
      <c r="E112" s="13"/>
      <c r="F112" s="5">
        <v>203.92500000000001</v>
      </c>
      <c r="G112" s="8"/>
      <c r="H112" s="8"/>
      <c r="I112">
        <f>IFERROR(VLOOKUP(A112,[1]TDSheet!$A:$AE,6,0),0)</f>
        <v>0</v>
      </c>
      <c r="J112" s="31">
        <f t="shared" si="1"/>
        <v>203.92500000000001</v>
      </c>
    </row>
    <row r="113" spans="1:10" ht="11.1" customHeight="1" x14ac:dyDescent="0.2">
      <c r="A113" s="12" t="s">
        <v>117</v>
      </c>
      <c r="B113" s="12"/>
      <c r="C113" s="12"/>
      <c r="D113" s="19">
        <v>3449.0230000000001</v>
      </c>
      <c r="E113" s="19"/>
      <c r="F113" s="4">
        <v>3449.0230000000001</v>
      </c>
      <c r="G113" s="6">
        <v>3.07</v>
      </c>
      <c r="H113" s="5">
        <v>3.07</v>
      </c>
      <c r="I113">
        <f>IFERROR(VLOOKUP(A113,[1]TDSheet!$A:$AE,6,0),0)</f>
        <v>0</v>
      </c>
      <c r="J113" s="31">
        <f t="shared" si="1"/>
        <v>3449.0230000000001</v>
      </c>
    </row>
    <row r="114" spans="1:10" ht="21.95" customHeight="1" x14ac:dyDescent="0.2">
      <c r="A114" s="12" t="s">
        <v>118</v>
      </c>
      <c r="B114" s="12"/>
      <c r="C114" s="12"/>
      <c r="D114" s="18">
        <v>20.25</v>
      </c>
      <c r="E114" s="18"/>
      <c r="F114" s="5">
        <v>81</v>
      </c>
      <c r="G114" s="8"/>
      <c r="H114" s="8"/>
      <c r="I114">
        <f>IFERROR(VLOOKUP(A114,[1]TDSheet!$A:$AE,6,0),0)</f>
        <v>0</v>
      </c>
      <c r="J114" s="31">
        <f t="shared" si="1"/>
        <v>20.25</v>
      </c>
    </row>
    <row r="115" spans="1:10" ht="11.1" customHeight="1" x14ac:dyDescent="0.2">
      <c r="A115" s="12" t="s">
        <v>119</v>
      </c>
      <c r="B115" s="12"/>
      <c r="C115" s="12"/>
      <c r="D115" s="13">
        <v>15.925000000000001</v>
      </c>
      <c r="E115" s="13"/>
      <c r="F115" s="5">
        <v>49</v>
      </c>
      <c r="G115" s="8"/>
      <c r="H115" s="8"/>
      <c r="I115">
        <f>IFERROR(VLOOKUP(A115,[1]TDSheet!$A:$AE,6,0),0)</f>
        <v>0</v>
      </c>
      <c r="J115" s="31">
        <f t="shared" si="1"/>
        <v>15.925000000000001</v>
      </c>
    </row>
    <row r="116" spans="1:10" ht="21.95" customHeight="1" x14ac:dyDescent="0.2">
      <c r="A116" s="12" t="s">
        <v>120</v>
      </c>
      <c r="B116" s="12"/>
      <c r="C116" s="12"/>
      <c r="D116" s="14">
        <v>16.5</v>
      </c>
      <c r="E116" s="14"/>
      <c r="F116" s="5">
        <v>66</v>
      </c>
      <c r="G116" s="8"/>
      <c r="H116" s="8"/>
      <c r="I116">
        <f>IFERROR(VLOOKUP(A116,[1]TDSheet!$A:$AE,6,0),0)</f>
        <v>0</v>
      </c>
      <c r="J116" s="31">
        <f t="shared" si="1"/>
        <v>16.5</v>
      </c>
    </row>
    <row r="117" spans="1:10" ht="21.95" customHeight="1" x14ac:dyDescent="0.2">
      <c r="A117" s="12" t="s">
        <v>121</v>
      </c>
      <c r="B117" s="12"/>
      <c r="C117" s="12"/>
      <c r="D117" s="14">
        <v>184.2</v>
      </c>
      <c r="E117" s="14"/>
      <c r="F117" s="5">
        <v>614</v>
      </c>
      <c r="G117" s="7">
        <v>5.7</v>
      </c>
      <c r="H117" s="5">
        <v>19</v>
      </c>
      <c r="I117">
        <f>IFERROR(VLOOKUP(A117,[1]TDSheet!$A:$AE,6,0),0)</f>
        <v>0</v>
      </c>
      <c r="J117" s="31">
        <f t="shared" si="1"/>
        <v>184.2</v>
      </c>
    </row>
    <row r="118" spans="1:10" ht="11.1" customHeight="1" x14ac:dyDescent="0.2">
      <c r="A118" s="12" t="s">
        <v>122</v>
      </c>
      <c r="B118" s="12"/>
      <c r="C118" s="12"/>
      <c r="D118" s="14">
        <v>151.19999999999999</v>
      </c>
      <c r="E118" s="14"/>
      <c r="F118" s="5">
        <v>504</v>
      </c>
      <c r="G118" s="7">
        <v>7.5</v>
      </c>
      <c r="H118" s="5">
        <v>25</v>
      </c>
      <c r="I118">
        <f>IFERROR(VLOOKUP(A118,[1]TDSheet!$A:$AE,6,0),0)</f>
        <v>0</v>
      </c>
      <c r="J118" s="31">
        <f t="shared" si="1"/>
        <v>151.19999999999999</v>
      </c>
    </row>
    <row r="119" spans="1:10" ht="11.1" customHeight="1" x14ac:dyDescent="0.2">
      <c r="A119" s="12" t="s">
        <v>123</v>
      </c>
      <c r="B119" s="12"/>
      <c r="C119" s="12"/>
      <c r="D119" s="13">
        <v>240.34899999999999</v>
      </c>
      <c r="E119" s="13"/>
      <c r="F119" s="5">
        <v>240.34899999999999</v>
      </c>
      <c r="G119" s="5">
        <v>0.34499999999999997</v>
      </c>
      <c r="H119" s="5">
        <v>0.34499999999999997</v>
      </c>
      <c r="I119">
        <f>IFERROR(VLOOKUP(A119,[1]TDSheet!$A:$AE,6,0),0)</f>
        <v>0</v>
      </c>
      <c r="J119" s="31">
        <f t="shared" si="1"/>
        <v>240.34899999999999</v>
      </c>
    </row>
    <row r="120" spans="1:10" ht="11.1" customHeight="1" x14ac:dyDescent="0.2">
      <c r="A120" s="12" t="s">
        <v>124</v>
      </c>
      <c r="B120" s="12"/>
      <c r="C120" s="12"/>
      <c r="D120" s="14">
        <v>63.6</v>
      </c>
      <c r="E120" s="14"/>
      <c r="F120" s="5">
        <v>212</v>
      </c>
      <c r="G120" s="7">
        <v>1.5</v>
      </c>
      <c r="H120" s="5">
        <v>5</v>
      </c>
      <c r="I120">
        <f>IFERROR(VLOOKUP(A120,[1]TDSheet!$A:$AE,6,0),0)</f>
        <v>0</v>
      </c>
      <c r="J120" s="31">
        <f t="shared" si="1"/>
        <v>63.6</v>
      </c>
    </row>
    <row r="121" spans="1:10" ht="11.1" customHeight="1" x14ac:dyDescent="0.2">
      <c r="A121" s="12" t="s">
        <v>125</v>
      </c>
      <c r="B121" s="12"/>
      <c r="C121" s="12"/>
      <c r="D121" s="14">
        <v>19.2</v>
      </c>
      <c r="E121" s="14"/>
      <c r="F121" s="5">
        <v>160</v>
      </c>
      <c r="G121" s="6">
        <v>1.32</v>
      </c>
      <c r="H121" s="5">
        <v>11</v>
      </c>
      <c r="I121">
        <f>IFERROR(VLOOKUP(A121,[1]TDSheet!$A:$AE,6,0),0)</f>
        <v>0</v>
      </c>
      <c r="J121" s="31">
        <f t="shared" si="1"/>
        <v>19.2</v>
      </c>
    </row>
    <row r="122" spans="1:10" ht="12.95" customHeight="1" x14ac:dyDescent="0.2">
      <c r="A122" s="15" t="s">
        <v>126</v>
      </c>
      <c r="B122" s="15"/>
      <c r="C122" s="15"/>
      <c r="D122" s="16">
        <v>236034.03672</v>
      </c>
      <c r="E122" s="16"/>
      <c r="F122" s="9">
        <v>291950.26899999997</v>
      </c>
      <c r="G122" s="9">
        <v>1072.3969999999999</v>
      </c>
      <c r="H122" s="9">
        <v>1708.7570000000001</v>
      </c>
      <c r="J122" s="31"/>
    </row>
  </sheetData>
  <mergeCells count="237">
    <mergeCell ref="C3:D3"/>
    <mergeCell ref="A5:C6"/>
    <mergeCell ref="D5:F5"/>
    <mergeCell ref="G5:H5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2026-08-05T10:09:58Z</dcterms:modified>
</cp:coreProperties>
</file>