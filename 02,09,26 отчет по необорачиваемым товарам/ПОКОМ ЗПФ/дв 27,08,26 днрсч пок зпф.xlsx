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ЗПФ\"/>
    </mc:Choice>
  </mc:AlternateContent>
  <xr:revisionPtr revIDLastSave="0" documentId="13_ncr:1_{ED743A49-F555-4430-96BF-E53463F3255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" i="1" l="1"/>
  <c r="G12" i="1"/>
  <c r="AS71" i="1" l="1"/>
  <c r="AS70" i="1"/>
  <c r="AS69" i="1"/>
  <c r="AS67" i="1"/>
  <c r="AS63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8" i="1"/>
  <c r="AS47" i="1"/>
  <c r="AS46" i="1"/>
  <c r="AS45" i="1"/>
  <c r="AS43" i="1"/>
  <c r="AS41" i="1"/>
  <c r="AS39" i="1"/>
  <c r="AS35" i="1"/>
  <c r="AS34" i="1"/>
  <c r="AS32" i="1"/>
  <c r="AS31" i="1"/>
  <c r="AS30" i="1"/>
  <c r="AS29" i="1"/>
  <c r="AS28" i="1"/>
  <c r="AS26" i="1"/>
  <c r="AS24" i="1"/>
  <c r="AS20" i="1"/>
  <c r="AS19" i="1"/>
  <c r="AS18" i="1"/>
  <c r="AS17" i="1"/>
  <c r="AS14" i="1"/>
  <c r="AS13" i="1"/>
  <c r="AR71" i="1"/>
  <c r="AR70" i="1"/>
  <c r="AR69" i="1"/>
  <c r="AR67" i="1"/>
  <c r="AR63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8" i="1"/>
  <c r="AR47" i="1"/>
  <c r="AR46" i="1"/>
  <c r="AR45" i="1"/>
  <c r="AR43" i="1"/>
  <c r="AR41" i="1"/>
  <c r="AR39" i="1"/>
  <c r="AR35" i="1"/>
  <c r="AR34" i="1"/>
  <c r="AR32" i="1"/>
  <c r="AR31" i="1"/>
  <c r="AR30" i="1"/>
  <c r="AR29" i="1"/>
  <c r="AR28" i="1"/>
  <c r="AR26" i="1"/>
  <c r="AR24" i="1"/>
  <c r="AR20" i="1"/>
  <c r="AR19" i="1"/>
  <c r="AR18" i="1"/>
  <c r="AR17" i="1"/>
  <c r="AR14" i="1"/>
  <c r="AR13" i="1"/>
  <c r="AQ5" i="1"/>
  <c r="T1" i="1"/>
  <c r="AR5" i="1" l="1"/>
  <c r="AS5" i="1"/>
  <c r="S71" i="1"/>
  <c r="AL71" i="1" s="1"/>
  <c r="T71" i="1" s="1"/>
  <c r="S55" i="1"/>
  <c r="AL55" i="1" s="1"/>
  <c r="T55" i="1" s="1"/>
  <c r="S51" i="1"/>
  <c r="AL51" i="1" s="1"/>
  <c r="T51" i="1" s="1"/>
  <c r="S46" i="1"/>
  <c r="AL46" i="1" s="1"/>
  <c r="T46" i="1" s="1"/>
  <c r="S32" i="1"/>
  <c r="AL32" i="1" s="1"/>
  <c r="T32" i="1" s="1"/>
  <c r="AJ55" i="1" l="1"/>
  <c r="AJ49" i="1"/>
  <c r="AJ36" i="1"/>
  <c r="AJ21" i="1"/>
  <c r="Q72" i="1"/>
  <c r="X72" i="1" s="1"/>
  <c r="M72" i="1"/>
  <c r="F71" i="1"/>
  <c r="E71" i="1"/>
  <c r="Q71" i="1" s="1"/>
  <c r="Q70" i="1"/>
  <c r="X70" i="1" s="1"/>
  <c r="S70" i="1" s="1"/>
  <c r="AL70" i="1" s="1"/>
  <c r="T70" i="1" s="1"/>
  <c r="M70" i="1"/>
  <c r="Q69" i="1"/>
  <c r="X69" i="1" s="1"/>
  <c r="S69" i="1" s="1"/>
  <c r="AL69" i="1" s="1"/>
  <c r="T69" i="1" s="1"/>
  <c r="M69" i="1"/>
  <c r="Q68" i="1"/>
  <c r="X68" i="1" s="1"/>
  <c r="S68" i="1" s="1"/>
  <c r="AL68" i="1" s="1"/>
  <c r="AP68" i="1" s="1"/>
  <c r="M68" i="1"/>
  <c r="Q67" i="1"/>
  <c r="M67" i="1"/>
  <c r="F67" i="1"/>
  <c r="Q66" i="1"/>
  <c r="X66" i="1" s="1"/>
  <c r="S66" i="1" s="1"/>
  <c r="AL66" i="1" s="1"/>
  <c r="AM66" i="1" s="1"/>
  <c r="M66" i="1"/>
  <c r="Q65" i="1"/>
  <c r="X65" i="1" s="1"/>
  <c r="M65" i="1"/>
  <c r="Q64" i="1"/>
  <c r="X64" i="1" s="1"/>
  <c r="M64" i="1"/>
  <c r="Q63" i="1"/>
  <c r="X63" i="1" s="1"/>
  <c r="S63" i="1" s="1"/>
  <c r="AL63" i="1" s="1"/>
  <c r="T63" i="1" s="1"/>
  <c r="M63" i="1"/>
  <c r="Q62" i="1"/>
  <c r="X62" i="1" s="1"/>
  <c r="M62" i="1"/>
  <c r="Q61" i="1"/>
  <c r="M61" i="1"/>
  <c r="Q60" i="1"/>
  <c r="X60" i="1" s="1"/>
  <c r="S60" i="1" s="1"/>
  <c r="AL60" i="1" s="1"/>
  <c r="T60" i="1" s="1"/>
  <c r="M60" i="1"/>
  <c r="Q59" i="1"/>
  <c r="X59" i="1" s="1"/>
  <c r="S59" i="1" s="1"/>
  <c r="AL59" i="1" s="1"/>
  <c r="T59" i="1" s="1"/>
  <c r="M59" i="1"/>
  <c r="Q58" i="1"/>
  <c r="X58" i="1" s="1"/>
  <c r="S58" i="1" s="1"/>
  <c r="AL58" i="1" s="1"/>
  <c r="T58" i="1" s="1"/>
  <c r="M58" i="1"/>
  <c r="Q57" i="1"/>
  <c r="X57" i="1" s="1"/>
  <c r="S57" i="1" s="1"/>
  <c r="AL57" i="1" s="1"/>
  <c r="T57" i="1" s="1"/>
  <c r="M57" i="1"/>
  <c r="Q56" i="1"/>
  <c r="M56" i="1"/>
  <c r="F56" i="1"/>
  <c r="Q55" i="1"/>
  <c r="X55" i="1" s="1"/>
  <c r="M55" i="1"/>
  <c r="Q54" i="1"/>
  <c r="X54" i="1" s="1"/>
  <c r="S54" i="1" s="1"/>
  <c r="AL54" i="1" s="1"/>
  <c r="T54" i="1" s="1"/>
  <c r="M54" i="1"/>
  <c r="Q53" i="1"/>
  <c r="M53" i="1"/>
  <c r="Q52" i="1"/>
  <c r="X52" i="1" s="1"/>
  <c r="S52" i="1" s="1"/>
  <c r="AL52" i="1" s="1"/>
  <c r="T52" i="1" s="1"/>
  <c r="M52" i="1"/>
  <c r="Q51" i="1"/>
  <c r="M51" i="1"/>
  <c r="Q50" i="1"/>
  <c r="M50" i="1"/>
  <c r="F50" i="1"/>
  <c r="AL49" i="1"/>
  <c r="T49" i="1" s="1"/>
  <c r="Q49" i="1"/>
  <c r="X49" i="1" s="1"/>
  <c r="M49" i="1"/>
  <c r="Q48" i="1"/>
  <c r="X48" i="1" s="1"/>
  <c r="S48" i="1" s="1"/>
  <c r="AL48" i="1" s="1"/>
  <c r="T48" i="1" s="1"/>
  <c r="M48" i="1"/>
  <c r="Q47" i="1"/>
  <c r="X47" i="1" s="1"/>
  <c r="S47" i="1" s="1"/>
  <c r="AL47" i="1" s="1"/>
  <c r="T47" i="1" s="1"/>
  <c r="M47" i="1"/>
  <c r="Q46" i="1"/>
  <c r="X46" i="1" s="1"/>
  <c r="M46" i="1"/>
  <c r="Q45" i="1"/>
  <c r="X45" i="1" s="1"/>
  <c r="S45" i="1" s="1"/>
  <c r="AL45" i="1" s="1"/>
  <c r="T45" i="1" s="1"/>
  <c r="M45" i="1"/>
  <c r="Q44" i="1"/>
  <c r="X44" i="1" s="1"/>
  <c r="M44" i="1"/>
  <c r="Q43" i="1"/>
  <c r="X43" i="1" s="1"/>
  <c r="S43" i="1" s="1"/>
  <c r="AL43" i="1" s="1"/>
  <c r="T43" i="1" s="1"/>
  <c r="M43" i="1"/>
  <c r="Q42" i="1"/>
  <c r="X42" i="1" s="1"/>
  <c r="S42" i="1" s="1"/>
  <c r="M42" i="1"/>
  <c r="Q41" i="1"/>
  <c r="M41" i="1"/>
  <c r="Q40" i="1"/>
  <c r="X40" i="1" s="1"/>
  <c r="M40" i="1"/>
  <c r="Q39" i="1"/>
  <c r="X39" i="1" s="1"/>
  <c r="S39" i="1" s="1"/>
  <c r="AL39" i="1" s="1"/>
  <c r="T39" i="1" s="1"/>
  <c r="M39" i="1"/>
  <c r="Q38" i="1"/>
  <c r="X38" i="1" s="1"/>
  <c r="M38" i="1"/>
  <c r="Q37" i="1"/>
  <c r="X37" i="1" s="1"/>
  <c r="M37" i="1"/>
  <c r="Q36" i="1"/>
  <c r="X36" i="1" s="1"/>
  <c r="M36" i="1"/>
  <c r="Q35" i="1"/>
  <c r="X35" i="1" s="1"/>
  <c r="S35" i="1" s="1"/>
  <c r="AL35" i="1" s="1"/>
  <c r="T35" i="1" s="1"/>
  <c r="M35" i="1"/>
  <c r="Q34" i="1"/>
  <c r="X34" i="1" s="1"/>
  <c r="S34" i="1" s="1"/>
  <c r="AL34" i="1" s="1"/>
  <c r="T34" i="1" s="1"/>
  <c r="M34" i="1"/>
  <c r="Q33" i="1"/>
  <c r="AL33" i="1" s="1"/>
  <c r="M33" i="1"/>
  <c r="Q32" i="1"/>
  <c r="X32" i="1" s="1"/>
  <c r="M32" i="1"/>
  <c r="Q31" i="1"/>
  <c r="X31" i="1" s="1"/>
  <c r="S31" i="1" s="1"/>
  <c r="AL31" i="1" s="1"/>
  <c r="T31" i="1" s="1"/>
  <c r="M31" i="1"/>
  <c r="Q30" i="1"/>
  <c r="X30" i="1" s="1"/>
  <c r="S30" i="1" s="1"/>
  <c r="AL30" i="1" s="1"/>
  <c r="T30" i="1" s="1"/>
  <c r="M30" i="1"/>
  <c r="Q29" i="1"/>
  <c r="X29" i="1" s="1"/>
  <c r="S29" i="1" s="1"/>
  <c r="AL29" i="1" s="1"/>
  <c r="T29" i="1" s="1"/>
  <c r="M29" i="1"/>
  <c r="Q28" i="1"/>
  <c r="X28" i="1" s="1"/>
  <c r="S28" i="1" s="1"/>
  <c r="AL28" i="1" s="1"/>
  <c r="T28" i="1" s="1"/>
  <c r="M28" i="1"/>
  <c r="Q27" i="1"/>
  <c r="X27" i="1" s="1"/>
  <c r="M27" i="1"/>
  <c r="F26" i="1"/>
  <c r="E26" i="1"/>
  <c r="M26" i="1" s="1"/>
  <c r="Q25" i="1"/>
  <c r="X25" i="1" s="1"/>
  <c r="M25" i="1"/>
  <c r="Q24" i="1"/>
  <c r="X24" i="1" s="1"/>
  <c r="S24" i="1" s="1"/>
  <c r="AL24" i="1" s="1"/>
  <c r="T24" i="1" s="1"/>
  <c r="M24" i="1"/>
  <c r="Q23" i="1"/>
  <c r="M23" i="1"/>
  <c r="F23" i="1"/>
  <c r="Q22" i="1"/>
  <c r="W22" i="1" s="1"/>
  <c r="M22" i="1"/>
  <c r="AL21" i="1"/>
  <c r="AP21" i="1" s="1"/>
  <c r="Q21" i="1"/>
  <c r="X21" i="1" s="1"/>
  <c r="M21" i="1"/>
  <c r="Q20" i="1"/>
  <c r="X20" i="1" s="1"/>
  <c r="S20" i="1" s="1"/>
  <c r="AL20" i="1" s="1"/>
  <c r="T20" i="1" s="1"/>
  <c r="M20" i="1"/>
  <c r="Q19" i="1"/>
  <c r="X19" i="1" s="1"/>
  <c r="S19" i="1" s="1"/>
  <c r="AL19" i="1" s="1"/>
  <c r="T19" i="1" s="1"/>
  <c r="M19" i="1"/>
  <c r="F18" i="1"/>
  <c r="E18" i="1"/>
  <c r="M18" i="1" s="1"/>
  <c r="Q17" i="1"/>
  <c r="X17" i="1" s="1"/>
  <c r="S17" i="1" s="1"/>
  <c r="AL17" i="1" s="1"/>
  <c r="T17" i="1" s="1"/>
  <c r="M17" i="1"/>
  <c r="F16" i="1"/>
  <c r="E16" i="1"/>
  <c r="Q16" i="1" s="1"/>
  <c r="Q15" i="1"/>
  <c r="X15" i="1" s="1"/>
  <c r="M15" i="1"/>
  <c r="Q14" i="1"/>
  <c r="X14" i="1" s="1"/>
  <c r="S14" i="1" s="1"/>
  <c r="AL14" i="1" s="1"/>
  <c r="T14" i="1" s="1"/>
  <c r="M14" i="1"/>
  <c r="Q13" i="1"/>
  <c r="X13" i="1" s="1"/>
  <c r="S13" i="1" s="1"/>
  <c r="AL13" i="1" s="1"/>
  <c r="T13" i="1" s="1"/>
  <c r="M13" i="1"/>
  <c r="Q12" i="1"/>
  <c r="X12" i="1" s="1"/>
  <c r="M12" i="1"/>
  <c r="Q11" i="1"/>
  <c r="X11" i="1" s="1"/>
  <c r="M11" i="1"/>
  <c r="Q10" i="1"/>
  <c r="X10" i="1" s="1"/>
  <c r="M10" i="1"/>
  <c r="Q9" i="1"/>
  <c r="X9" i="1" s="1"/>
  <c r="M9" i="1"/>
  <c r="Q8" i="1"/>
  <c r="X8" i="1" s="1"/>
  <c r="M8" i="1"/>
  <c r="Q7" i="1"/>
  <c r="X7" i="1" s="1"/>
  <c r="M7" i="1"/>
  <c r="Q6" i="1"/>
  <c r="X6" i="1" s="1"/>
  <c r="M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L5" i="1"/>
  <c r="AJ66" i="1" l="1"/>
  <c r="X41" i="1"/>
  <c r="S41" i="1" s="1"/>
  <c r="AL41" i="1" s="1"/>
  <c r="T41" i="1" s="1"/>
  <c r="X53" i="1"/>
  <c r="S53" i="1" s="1"/>
  <c r="X71" i="1"/>
  <c r="X61" i="1"/>
  <c r="W55" i="1"/>
  <c r="X50" i="1"/>
  <c r="S50" i="1" s="1"/>
  <c r="X33" i="1"/>
  <c r="X23" i="1"/>
  <c r="S23" i="1" s="1"/>
  <c r="AJ23" i="1" s="1"/>
  <c r="AJ47" i="1"/>
  <c r="AL23" i="1"/>
  <c r="AM23" i="1" s="1"/>
  <c r="AP51" i="1"/>
  <c r="AJ51" i="1"/>
  <c r="AJ32" i="1"/>
  <c r="W52" i="1"/>
  <c r="AP34" i="1"/>
  <c r="W54" i="1"/>
  <c r="X16" i="1"/>
  <c r="S16" i="1" s="1"/>
  <c r="AL16" i="1" s="1"/>
  <c r="AM16" i="1" s="1"/>
  <c r="AP49" i="1"/>
  <c r="X56" i="1"/>
  <c r="S56" i="1" s="1"/>
  <c r="X67" i="1"/>
  <c r="S67" i="1" s="1"/>
  <c r="W27" i="1"/>
  <c r="X51" i="1"/>
  <c r="AL36" i="1"/>
  <c r="AP36" i="1" s="1"/>
  <c r="AM33" i="1"/>
  <c r="T33" i="1"/>
  <c r="W33" i="1" s="1"/>
  <c r="AJ33" i="1"/>
  <c r="AJ54" i="1"/>
  <c r="AJ68" i="1"/>
  <c r="T21" i="1"/>
  <c r="W21" i="1" s="1"/>
  <c r="X22" i="1"/>
  <c r="W15" i="1"/>
  <c r="W72" i="1"/>
  <c r="W11" i="1"/>
  <c r="W10" i="1"/>
  <c r="W49" i="1"/>
  <c r="W9" i="1"/>
  <c r="W8" i="1"/>
  <c r="Q26" i="1"/>
  <c r="E5" i="1"/>
  <c r="T66" i="1"/>
  <c r="W66" i="1" s="1"/>
  <c r="AM49" i="1"/>
  <c r="AP66" i="1"/>
  <c r="AM68" i="1"/>
  <c r="AM21" i="1"/>
  <c r="F5" i="1"/>
  <c r="T68" i="1"/>
  <c r="W68" i="1" s="1"/>
  <c r="AM55" i="1"/>
  <c r="Q18" i="1"/>
  <c r="M16" i="1"/>
  <c r="AP33" i="1"/>
  <c r="AP55" i="1"/>
  <c r="M71" i="1"/>
  <c r="AJ67" i="1" l="1"/>
  <c r="AL67" i="1"/>
  <c r="T67" i="1" s="1"/>
  <c r="AJ50" i="1"/>
  <c r="AL50" i="1"/>
  <c r="T50" i="1" s="1"/>
  <c r="AL53" i="1"/>
  <c r="T53" i="1" s="1"/>
  <c r="AJ56" i="1"/>
  <c r="AL56" i="1"/>
  <c r="T56" i="1" s="1"/>
  <c r="S61" i="1"/>
  <c r="AJ16" i="1"/>
  <c r="AP50" i="1"/>
  <c r="AP52" i="1"/>
  <c r="AM34" i="1"/>
  <c r="AP23" i="1"/>
  <c r="W34" i="1"/>
  <c r="AP16" i="1"/>
  <c r="AJ69" i="1"/>
  <c r="AJ63" i="1"/>
  <c r="AJ48" i="1"/>
  <c r="AM51" i="1"/>
  <c r="AM52" i="1"/>
  <c r="W51" i="1"/>
  <c r="AJ28" i="1"/>
  <c r="AJ13" i="1"/>
  <c r="T23" i="1"/>
  <c r="W23" i="1" s="1"/>
  <c r="AJ34" i="1"/>
  <c r="M5" i="1"/>
  <c r="AM54" i="1"/>
  <c r="AP54" i="1"/>
  <c r="AJ31" i="1"/>
  <c r="AJ19" i="1"/>
  <c r="AJ6" i="1"/>
  <c r="AL6" i="1"/>
  <c r="W53" i="1"/>
  <c r="AJ53" i="1"/>
  <c r="AJ70" i="1"/>
  <c r="AJ30" i="1"/>
  <c r="AJ60" i="1"/>
  <c r="AJ41" i="1"/>
  <c r="AJ29" i="1"/>
  <c r="AL40" i="1"/>
  <c r="AJ40" i="1"/>
  <c r="AL7" i="1"/>
  <c r="AJ7" i="1"/>
  <c r="AJ52" i="1"/>
  <c r="AJ59" i="1"/>
  <c r="AJ71" i="1"/>
  <c r="AJ46" i="1"/>
  <c r="AJ39" i="1"/>
  <c r="Q5" i="1"/>
  <c r="AL65" i="1"/>
  <c r="AJ65" i="1"/>
  <c r="AJ58" i="1"/>
  <c r="AJ45" i="1"/>
  <c r="AL38" i="1"/>
  <c r="AJ38" i="1"/>
  <c r="AM36" i="1"/>
  <c r="AJ57" i="1"/>
  <c r="AJ24" i="1"/>
  <c r="AL37" i="1"/>
  <c r="AJ37" i="1"/>
  <c r="T36" i="1"/>
  <c r="W36" i="1" s="1"/>
  <c r="AJ17" i="1"/>
  <c r="X26" i="1"/>
  <c r="S26" i="1" s="1"/>
  <c r="AL26" i="1" s="1"/>
  <c r="T26" i="1" s="1"/>
  <c r="AL64" i="1"/>
  <c r="AJ64" i="1"/>
  <c r="AJ14" i="1"/>
  <c r="AL44" i="1"/>
  <c r="AJ44" i="1"/>
  <c r="AJ35" i="1"/>
  <c r="AJ43" i="1"/>
  <c r="AL12" i="1"/>
  <c r="AJ12" i="1"/>
  <c r="AL25" i="1"/>
  <c r="AJ25" i="1"/>
  <c r="W47" i="1"/>
  <c r="T16" i="1"/>
  <c r="W16" i="1" s="1"/>
  <c r="AJ62" i="1"/>
  <c r="AL62" i="1"/>
  <c r="AJ20" i="1"/>
  <c r="AL42" i="1"/>
  <c r="AJ42" i="1"/>
  <c r="X18" i="1"/>
  <c r="S18" i="1" s="1"/>
  <c r="AL18" i="1" s="1"/>
  <c r="T18" i="1" s="1"/>
  <c r="AM53" i="1" l="1"/>
  <c r="AP56" i="1"/>
  <c r="AP67" i="1"/>
  <c r="AJ61" i="1"/>
  <c r="AL61" i="1"/>
  <c r="T61" i="1" s="1"/>
  <c r="AP53" i="1"/>
  <c r="AM67" i="1"/>
  <c r="W67" i="1"/>
  <c r="AM50" i="1"/>
  <c r="W50" i="1"/>
  <c r="W56" i="1"/>
  <c r="AM56" i="1"/>
  <c r="AP47" i="1"/>
  <c r="AM47" i="1"/>
  <c r="AP28" i="1"/>
  <c r="W28" i="1"/>
  <c r="AM28" i="1"/>
  <c r="AP48" i="1"/>
  <c r="W48" i="1"/>
  <c r="AM48" i="1"/>
  <c r="AM63" i="1"/>
  <c r="AP63" i="1"/>
  <c r="W63" i="1"/>
  <c r="AP13" i="1"/>
  <c r="W13" i="1"/>
  <c r="AM13" i="1"/>
  <c r="W69" i="1"/>
  <c r="AM69" i="1"/>
  <c r="AP69" i="1"/>
  <c r="AP64" i="1"/>
  <c r="AM64" i="1"/>
  <c r="T64" i="1"/>
  <c r="W64" i="1" s="1"/>
  <c r="AP60" i="1"/>
  <c r="AM60" i="1"/>
  <c r="W60" i="1"/>
  <c r="W29" i="1"/>
  <c r="AP29" i="1"/>
  <c r="AM29" i="1"/>
  <c r="AM46" i="1"/>
  <c r="W46" i="1"/>
  <c r="AP46" i="1"/>
  <c r="AM65" i="1"/>
  <c r="T65" i="1"/>
  <c r="W65" i="1" s="1"/>
  <c r="AP65" i="1"/>
  <c r="AP17" i="1"/>
  <c r="W17" i="1"/>
  <c r="AM17" i="1"/>
  <c r="AP12" i="1"/>
  <c r="AM12" i="1"/>
  <c r="T12" i="1"/>
  <c r="W12" i="1" s="1"/>
  <c r="AM40" i="1"/>
  <c r="T40" i="1"/>
  <c r="W40" i="1" s="1"/>
  <c r="AP40" i="1"/>
  <c r="AJ26" i="1"/>
  <c r="AP6" i="1"/>
  <c r="AM6" i="1"/>
  <c r="T6" i="1"/>
  <c r="W30" i="1"/>
  <c r="AM30" i="1"/>
  <c r="AP30" i="1"/>
  <c r="AP43" i="1"/>
  <c r="W43" i="1"/>
  <c r="AM43" i="1"/>
  <c r="AP41" i="1"/>
  <c r="AM41" i="1"/>
  <c r="W41" i="1"/>
  <c r="AM39" i="1"/>
  <c r="W39" i="1"/>
  <c r="AP39" i="1"/>
  <c r="AM19" i="1"/>
  <c r="AP19" i="1"/>
  <c r="W19" i="1"/>
  <c r="AP20" i="1"/>
  <c r="W20" i="1"/>
  <c r="AM20" i="1"/>
  <c r="AP62" i="1"/>
  <c r="AM62" i="1"/>
  <c r="T62" i="1"/>
  <c r="W62" i="1" s="1"/>
  <c r="AP24" i="1"/>
  <c r="W24" i="1"/>
  <c r="AM24" i="1"/>
  <c r="AP38" i="1"/>
  <c r="T38" i="1"/>
  <c r="W38" i="1" s="1"/>
  <c r="AM38" i="1"/>
  <c r="AM58" i="1"/>
  <c r="W58" i="1"/>
  <c r="AP58" i="1"/>
  <c r="AP25" i="1"/>
  <c r="T25" i="1"/>
  <c r="W25" i="1" s="1"/>
  <c r="AM25" i="1"/>
  <c r="W59" i="1"/>
  <c r="AM59" i="1"/>
  <c r="AP59" i="1"/>
  <c r="AM7" i="1"/>
  <c r="T7" i="1"/>
  <c r="W7" i="1" s="1"/>
  <c r="AP7" i="1"/>
  <c r="AM14" i="1"/>
  <c r="AP14" i="1"/>
  <c r="W14" i="1"/>
  <c r="T42" i="1"/>
  <c r="W42" i="1" s="1"/>
  <c r="AM42" i="1"/>
  <c r="AP42" i="1"/>
  <c r="AJ18" i="1"/>
  <c r="AP70" i="1"/>
  <c r="W70" i="1"/>
  <c r="AM70" i="1"/>
  <c r="W35" i="1"/>
  <c r="AM35" i="1"/>
  <c r="AP35" i="1"/>
  <c r="AM44" i="1"/>
  <c r="T44" i="1"/>
  <c r="W44" i="1" s="1"/>
  <c r="AP44" i="1"/>
  <c r="W45" i="1"/>
  <c r="AM45" i="1"/>
  <c r="AP45" i="1"/>
  <c r="S5" i="1"/>
  <c r="AM31" i="1"/>
  <c r="W31" i="1"/>
  <c r="AP31" i="1"/>
  <c r="AP37" i="1"/>
  <c r="AM37" i="1"/>
  <c r="T37" i="1"/>
  <c r="W37" i="1" s="1"/>
  <c r="AP71" i="1"/>
  <c r="W71" i="1"/>
  <c r="AM71" i="1"/>
  <c r="AP57" i="1"/>
  <c r="W57" i="1"/>
  <c r="AM57" i="1"/>
  <c r="AP32" i="1"/>
  <c r="AM32" i="1"/>
  <c r="W32" i="1"/>
  <c r="AJ5" i="1" l="1"/>
  <c r="AP61" i="1"/>
  <c r="W61" i="1"/>
  <c r="AM61" i="1"/>
  <c r="AL5" i="1"/>
  <c r="AM18" i="1"/>
  <c r="AP18" i="1"/>
  <c r="W18" i="1"/>
  <c r="AP26" i="1"/>
  <c r="W26" i="1"/>
  <c r="AM26" i="1"/>
  <c r="W6" i="1"/>
  <c r="T5" i="1" l="1"/>
  <c r="AP5" i="1"/>
  <c r="AM5" i="1"/>
</calcChain>
</file>

<file path=xl/sharedStrings.xml><?xml version="1.0" encoding="utf-8"?>
<sst xmlns="http://schemas.openxmlformats.org/spreadsheetml/2006/main" count="285" uniqueCount="183">
  <si>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</si>
  <si>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</si>
  <si>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</si>
  <si>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</si>
  <si>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</si>
  <si>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</si>
  <si>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</si>
  <si>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</si>
  <si>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</si>
  <si>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</si>
  <si>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</si>
  <si>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</si>
  <si>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</si>
  <si>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</si>
  <si>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</si>
  <si>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</si>
  <si>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</si>
  <si>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</si>
  <si>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</si>
  <si>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</si>
  <si>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</si>
  <si>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</si>
  <si>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</si>
  <si>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</si>
  <si>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</si>
  <si>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</si>
  <si>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</si>
  <si>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</si>
  <si>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</si>
  <si>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</si>
  <si>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</si>
  <si>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</si>
  <si>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</si>
  <si>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</si>
  <si>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</si>
  <si>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</si>
  <si>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</si>
  <si>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</si>
  <si>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</si>
  <si>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</si>
  <si>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</si>
  <si>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</si>
  <si>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</si>
  <si>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</si>
  <si>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</si>
  <si>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</si>
  <si>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</si>
  <si>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</si>
  <si>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</si>
  <si>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</si>
  <si>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</si>
  <si>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</si>
  <si>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</si>
  <si>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</si>
  <si>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</si>
  <si>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</si>
  <si>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</si>
  <si>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</si>
  <si>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</si>
  <si>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</si>
  <si>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</si>
  <si>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</si>
  <si>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</si>
  <si>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</si>
  <si>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</si>
  <si>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</si>
  <si>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</si>
  <si>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</si>
  <si>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</si>
  <si>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</si>
  <si>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</si>
  <si>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</si>
  <si>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</si>
  <si>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</si>
  <si>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</si>
  <si>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</si>
  <si>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</si>
  <si>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</si>
  <si>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</si>
  <si>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</si>
  <si>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</si>
  <si>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</si>
  <si>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</si>
  <si>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</si>
  <si>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</si>
  <si>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</si>
  <si>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</si>
  <si>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</si>
  <si>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</si>
  <si>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</si>
  <si>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</si>
  <si>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</si>
  <si>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</si>
  <si>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</si>
  <si>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</si>
  <si>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</si>
  <si>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</si>
  <si>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</si>
  <si>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</si>
  <si>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</si>
  <si>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</si>
  <si>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</si>
  <si>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</si>
  <si>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</si>
  <si>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</si>
  <si>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</si>
  <si>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</si>
  <si>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</si>
  <si>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</si>
  <si>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</si>
  <si>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</si>
  <si>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</si>
  <si>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</si>
  <si>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</si>
  <si>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</si>
  <si>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</si>
  <si>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</si>
  <si>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</si>
  <si>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</si>
  <si>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</si>
  <si>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</si>
  <si>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</si>
  <si>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</si>
  <si>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</si>
  <si>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</si>
  <si>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</si>
  <si>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</si>
  <si>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</si>
  <si>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</si>
  <si>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</si>
  <si>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</si>
  <si>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</si>
  <si>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</si>
  <si>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</si>
  <si>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</si>
  <si>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</si>
  <si>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</si>
  <si>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</si>
  <si>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</si>
  <si>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</si>
  <si>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</si>
  <si>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</si>
  <si>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</si>
  <si>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</si>
  <si>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</si>
  <si>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</si>
  <si>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</si>
  <si>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</si>
  <si>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</si>
  <si>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</si>
  <si>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</si>
  <si>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</si>
  <si>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</si>
  <si>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</si>
  <si>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</si>
  <si>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</si>
  <si>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</si>
  <si>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</si>
  <si>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</si>
  <si>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</si>
  <si>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</si>
  <si>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</si>
  <si>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</si>
  <si>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</si>
  <si>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</si>
  <si>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</si>
  <si>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</si>
  <si>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</si>
  <si>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</si>
  <si>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</si>
  <si>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</si>
  <si>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</si>
  <si>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</si>
  <si>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</si>
  <si>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ТК</t>
  </si>
  <si>
    <t>ком ТК</t>
  </si>
  <si>
    <t>Рекуто</t>
  </si>
  <si>
    <t>акция с 1.09</t>
  </si>
  <si>
    <t xml:space="preserve">Бульмени с говядиной и свининой </t>
  </si>
  <si>
    <t>31,08,</t>
  </si>
  <si>
    <t>01,09,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</si>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</sst>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E7E8EA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  <xf numFmtId="0" fontId="7" fillId="0" borderId="0" xfId="0" applyFont="1" applyBorder="1"/>
    <xf numFmtId="164" fontId="4" fillId="0" borderId="1" xfId="1" applyNumberFormat="1" applyFon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9" sqref="T7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26" bestFit="1" customWidth="1"/>
    <col min="8" max="8" width="5" style="6" customWidth="1"/>
    <col min="9" max="9" width="5" customWidth="1"/>
    <col min="10" max="10" width="9" customWidth="1"/>
    <col min="11" max="11" width="1" customWidth="1"/>
    <col min="12" max="12" width="6.42578125" customWidth="1"/>
    <col min="13" max="13" width="5.42578125" customWidth="1"/>
    <col min="14" max="15" width="0.28515625" customWidth="1"/>
    <col min="16" max="16" width="0.5703125" customWidth="1"/>
    <col min="17" max="17" width="6" customWidth="1"/>
    <col min="18" max="20" width="7" customWidth="1"/>
    <col min="21" max="22" width="7" style="26" customWidth="1"/>
    <col min="23" max="24" width="5" customWidth="1"/>
    <col min="25" max="34" width="6" customWidth="1"/>
    <col min="35" max="35" width="21.42578125" customWidth="1"/>
    <col min="36" max="36" width="6.85546875" customWidth="1"/>
    <col min="37" max="37" width="6" style="6" customWidth="1"/>
    <col min="38" max="38" width="7" style="12" customWidth="1"/>
    <col min="39" max="39" width="7.140625" customWidth="1"/>
    <col min="40" max="41" width="5" customWidth="1"/>
    <col min="42" max="42" width="6" style="12" customWidth="1"/>
    <col min="43" max="43" width="7" style="12" customWidth="1"/>
    <col min="44" max="44" width="7.140625" customWidth="1"/>
    <col min="45" max="45" width="6" style="12" customWidth="1"/>
    <col min="46" max="52" width="3" customWidth="1"/>
  </cols>
  <sheetData>
    <row r="1" spans="1:52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29">
        <v>14</v>
      </c>
      <c r="S1" s="29">
        <v>4.0999999999999996</v>
      </c>
      <c r="T1" s="29">
        <f>S1+R1</f>
        <v>18.100000000000001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7"/>
      <c r="AL1" s="9"/>
      <c r="AM1" s="1"/>
      <c r="AN1" s="1"/>
      <c r="AO1" s="1"/>
      <c r="AP1" s="9"/>
      <c r="AQ1" s="9"/>
      <c r="AR1" s="1"/>
      <c r="AS1" s="9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7"/>
      <c r="AL2" s="9">
        <v>3500</v>
      </c>
      <c r="AM2" s="1"/>
      <c r="AN2" s="1"/>
      <c r="AO2" s="1"/>
      <c r="AP2" s="9"/>
      <c r="AQ2" s="9">
        <v>1330</v>
      </c>
      <c r="AR2" s="1"/>
      <c r="AS2" s="9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182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3" t="s">
        <v>16</v>
      </c>
      <c r="T3" s="3" t="s">
        <v>17</v>
      </c>
      <c r="U3" s="3" t="s">
        <v>174</v>
      </c>
      <c r="V3" s="3" t="s">
        <v>175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8" t="s">
        <v>23</v>
      </c>
      <c r="AL3" s="10" t="s">
        <v>24</v>
      </c>
      <c r="AM3" s="2" t="s">
        <v>25</v>
      </c>
      <c r="AN3" s="2" t="s">
        <v>26</v>
      </c>
      <c r="AO3" s="2" t="s">
        <v>27</v>
      </c>
      <c r="AP3" s="10" t="s">
        <v>28</v>
      </c>
      <c r="AQ3" s="10" t="s">
        <v>24</v>
      </c>
      <c r="AR3" s="2" t="s">
        <v>25</v>
      </c>
      <c r="AS3" s="10" t="s">
        <v>28</v>
      </c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3" t="s">
        <v>29</v>
      </c>
      <c r="Q4" s="1" t="s">
        <v>30</v>
      </c>
      <c r="R4" s="1"/>
      <c r="S4" s="1"/>
      <c r="T4" s="1"/>
      <c r="U4" s="1" t="s">
        <v>176</v>
      </c>
      <c r="V4" s="1"/>
      <c r="W4" s="1"/>
      <c r="X4" s="1"/>
      <c r="Y4" s="1" t="s">
        <v>31</v>
      </c>
      <c r="Z4" s="1" t="s">
        <v>32</v>
      </c>
      <c r="AA4" s="1" t="s">
        <v>33</v>
      </c>
      <c r="AB4" s="1" t="s">
        <v>34</v>
      </c>
      <c r="AC4" s="1" t="s">
        <v>35</v>
      </c>
      <c r="AD4" s="1" t="s">
        <v>36</v>
      </c>
      <c r="AE4" s="1" t="s">
        <v>37</v>
      </c>
      <c r="AF4" s="1" t="s">
        <v>38</v>
      </c>
      <c r="AG4" s="1" t="s">
        <v>39</v>
      </c>
      <c r="AH4" s="1" t="s">
        <v>40</v>
      </c>
      <c r="AI4" s="1" t="s">
        <v>181</v>
      </c>
      <c r="AJ4" s="1"/>
      <c r="AK4" s="7"/>
      <c r="AL4" s="9" t="s">
        <v>180</v>
      </c>
      <c r="AM4" s="1"/>
      <c r="AN4" s="1"/>
      <c r="AO4" s="1"/>
      <c r="AP4" s="9"/>
      <c r="AQ4" s="9" t="s">
        <v>179</v>
      </c>
      <c r="AR4" s="1"/>
      <c r="AS4" s="9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26486.799999999999</v>
      </c>
      <c r="F5" s="4">
        <f>SUM(F6:F498)</f>
        <v>59714.9</v>
      </c>
      <c r="G5" s="4"/>
      <c r="H5" s="7"/>
      <c r="I5" s="1"/>
      <c r="J5" s="1"/>
      <c r="K5" s="1"/>
      <c r="L5" s="4">
        <f t="shared" ref="L5:T5" si="0">SUM(L6:L498)</f>
        <v>34663.700000000004</v>
      </c>
      <c r="M5" s="4">
        <f t="shared" si="0"/>
        <v>-8176.9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5297.36</v>
      </c>
      <c r="R5" s="4">
        <v>24709.839999999997</v>
      </c>
      <c r="S5" s="4">
        <f t="shared" si="0"/>
        <v>41369.756000000008</v>
      </c>
      <c r="T5" s="4">
        <f t="shared" si="0"/>
        <v>41344.600000000006</v>
      </c>
      <c r="U5" s="4"/>
      <c r="V5" s="4"/>
      <c r="W5" s="1"/>
      <c r="X5" s="1"/>
      <c r="Y5" s="4">
        <f t="shared" ref="Y5:AH5" si="1">SUM(Y6:Y498)</f>
        <v>6247.5399999999991</v>
      </c>
      <c r="Z5" s="4">
        <f t="shared" si="1"/>
        <v>5464.1800000000021</v>
      </c>
      <c r="AA5" s="4">
        <f t="shared" si="1"/>
        <v>4730.08</v>
      </c>
      <c r="AB5" s="4">
        <f t="shared" si="1"/>
        <v>5305.8</v>
      </c>
      <c r="AC5" s="4">
        <f t="shared" si="1"/>
        <v>5935.54</v>
      </c>
      <c r="AD5" s="4">
        <f t="shared" si="1"/>
        <v>2803.2</v>
      </c>
      <c r="AE5" s="4">
        <f t="shared" si="1"/>
        <v>5866.7600000000029</v>
      </c>
      <c r="AF5" s="4">
        <f t="shared" si="1"/>
        <v>5438.3999999999987</v>
      </c>
      <c r="AG5" s="4">
        <f t="shared" si="1"/>
        <v>5133.4000000000005</v>
      </c>
      <c r="AH5" s="4">
        <f t="shared" si="1"/>
        <v>5221.4199999999983</v>
      </c>
      <c r="AI5" s="1" t="s">
        <v>181</v>
      </c>
      <c r="AJ5" s="4">
        <f>SUM(AJ6:AJ498)</f>
        <v>16532.748800000001</v>
      </c>
      <c r="AK5" s="7"/>
      <c r="AL5" s="11">
        <f>SUM(AL6:AL498)</f>
        <v>3456</v>
      </c>
      <c r="AM5" s="4">
        <f>SUM(AM6:AM498)</f>
        <v>11665.92</v>
      </c>
      <c r="AN5" s="1"/>
      <c r="AO5" s="1"/>
      <c r="AP5" s="11">
        <f>SUM(AP6:AP498)</f>
        <v>36.06666666666667</v>
      </c>
      <c r="AQ5" s="11">
        <f>SUM(AQ6:AQ498)</f>
        <v>1330</v>
      </c>
      <c r="AR5" s="4">
        <f>SUM(AR6:AR498)</f>
        <v>4922.3999999999996</v>
      </c>
      <c r="AS5" s="11">
        <f>SUM(AS6:AS498)</f>
        <v>15</v>
      </c>
      <c r="AT5" s="1"/>
      <c r="AU5" s="1"/>
      <c r="AV5" s="1"/>
      <c r="AW5" s="1"/>
      <c r="AX5" s="1"/>
      <c r="AY5" s="1"/>
      <c r="AZ5" s="1"/>
    </row>
    <row r="6" spans="1:52" hidden="1" x14ac:dyDescent="0.25">
      <c r="A6" s="13" t="s">
        <v>41</v>
      </c>
      <c r="B6" s="1" t="s">
        <v>42</v>
      </c>
      <c r="C6" s="1"/>
      <c r="D6" s="1">
        <v>840</v>
      </c>
      <c r="E6" s="1">
        <v>62</v>
      </c>
      <c r="F6" s="1">
        <v>762</v>
      </c>
      <c r="G6" s="1"/>
      <c r="H6" s="7">
        <v>0.23</v>
      </c>
      <c r="I6" s="1"/>
      <c r="J6" s="1" t="s">
        <v>43</v>
      </c>
      <c r="K6" s="1"/>
      <c r="L6" s="1">
        <v>62</v>
      </c>
      <c r="M6" s="1">
        <f t="shared" ref="M6:M37" si="2">E6-L6</f>
        <v>0</v>
      </c>
      <c r="N6" s="1"/>
      <c r="O6" s="1"/>
      <c r="P6" s="1"/>
      <c r="Q6" s="1">
        <f t="shared" ref="Q6:Q37" si="3">E6/5</f>
        <v>12.4</v>
      </c>
      <c r="R6" s="5"/>
      <c r="S6" s="5"/>
      <c r="T6" s="5">
        <f>AK6*AL6</f>
        <v>0</v>
      </c>
      <c r="U6" s="23"/>
      <c r="V6" s="23"/>
      <c r="W6" s="1">
        <f>(F6+T6)/Q6</f>
        <v>61.451612903225808</v>
      </c>
      <c r="X6" s="1">
        <f>F6/Q6</f>
        <v>61.451612903225808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 t="s">
        <v>44</v>
      </c>
      <c r="AJ6" s="1">
        <f>H6*S6</f>
        <v>0</v>
      </c>
      <c r="AK6" s="7">
        <v>6</v>
      </c>
      <c r="AL6" s="9">
        <f>MROUND(S6, AK6*AN6)/AK6</f>
        <v>0</v>
      </c>
      <c r="AM6" s="1">
        <f>AL6*AK6*H6</f>
        <v>0</v>
      </c>
      <c r="AN6" s="1">
        <v>14</v>
      </c>
      <c r="AO6" s="1">
        <v>140</v>
      </c>
      <c r="AP6" s="9">
        <f>AL6/AO6</f>
        <v>0</v>
      </c>
      <c r="AQ6" s="9"/>
      <c r="AR6" s="1"/>
      <c r="AS6" s="9"/>
      <c r="AT6" s="1"/>
      <c r="AU6" s="1"/>
      <c r="AV6" s="1"/>
      <c r="AW6" s="1"/>
      <c r="AX6" s="1"/>
      <c r="AY6" s="1"/>
      <c r="AZ6" s="1"/>
    </row>
    <row r="7" spans="1:52" hidden="1" x14ac:dyDescent="0.25">
      <c r="A7" s="13" t="s">
        <v>45</v>
      </c>
      <c r="B7" s="1" t="s">
        <v>42</v>
      </c>
      <c r="C7" s="1"/>
      <c r="D7" s="1">
        <v>420</v>
      </c>
      <c r="E7" s="1">
        <v>28</v>
      </c>
      <c r="F7" s="1">
        <v>388</v>
      </c>
      <c r="G7" s="1"/>
      <c r="H7" s="7">
        <v>0.22</v>
      </c>
      <c r="I7" s="1"/>
      <c r="J7" s="1" t="s">
        <v>43</v>
      </c>
      <c r="K7" s="1"/>
      <c r="L7" s="1">
        <v>28</v>
      </c>
      <c r="M7" s="1">
        <f t="shared" si="2"/>
        <v>0</v>
      </c>
      <c r="N7" s="1"/>
      <c r="O7" s="1"/>
      <c r="P7" s="1"/>
      <c r="Q7" s="1">
        <f t="shared" si="3"/>
        <v>5.6</v>
      </c>
      <c r="R7" s="5"/>
      <c r="S7" s="5"/>
      <c r="T7" s="5">
        <f>AK7*AL7</f>
        <v>0</v>
      </c>
      <c r="U7" s="23"/>
      <c r="V7" s="23"/>
      <c r="W7" s="1">
        <f t="shared" ref="W7:W70" si="4">(F7+T7)/Q7</f>
        <v>69.285714285714292</v>
      </c>
      <c r="X7" s="1">
        <f t="shared" ref="X7:X70" si="5">F7/Q7</f>
        <v>69.285714285714292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 t="s">
        <v>44</v>
      </c>
      <c r="AJ7" s="1">
        <f>H7*S7</f>
        <v>0</v>
      </c>
      <c r="AK7" s="7">
        <v>6</v>
      </c>
      <c r="AL7" s="9">
        <f>MROUND(S7, AK7*AN7)/AK7</f>
        <v>0</v>
      </c>
      <c r="AM7" s="1">
        <f>AL7*AK7*H7</f>
        <v>0</v>
      </c>
      <c r="AN7" s="1">
        <v>14</v>
      </c>
      <c r="AO7" s="1">
        <v>140</v>
      </c>
      <c r="AP7" s="9">
        <f>AL7/AO7</f>
        <v>0</v>
      </c>
      <c r="AQ7" s="9"/>
      <c r="AR7" s="1"/>
      <c r="AS7" s="9"/>
      <c r="AT7" s="1"/>
      <c r="AU7" s="1"/>
      <c r="AV7" s="1"/>
      <c r="AW7" s="1"/>
      <c r="AX7" s="1"/>
      <c r="AY7" s="1"/>
      <c r="AZ7" s="1"/>
    </row>
    <row r="8" spans="1:52" hidden="1" x14ac:dyDescent="0.25">
      <c r="A8" s="14" t="s">
        <v>46</v>
      </c>
      <c r="B8" s="14" t="s">
        <v>42</v>
      </c>
      <c r="C8" s="14">
        <v>268</v>
      </c>
      <c r="D8" s="14">
        <v>1</v>
      </c>
      <c r="E8" s="18">
        <v>54</v>
      </c>
      <c r="F8" s="18">
        <v>207</v>
      </c>
      <c r="G8" s="18"/>
      <c r="H8" s="15">
        <v>0</v>
      </c>
      <c r="I8" s="14"/>
      <c r="J8" s="14" t="s">
        <v>47</v>
      </c>
      <c r="K8" s="14" t="s">
        <v>48</v>
      </c>
      <c r="L8" s="14">
        <v>56</v>
      </c>
      <c r="M8" s="14">
        <f t="shared" si="2"/>
        <v>-2</v>
      </c>
      <c r="N8" s="14"/>
      <c r="O8" s="14"/>
      <c r="P8" s="14"/>
      <c r="Q8" s="14">
        <f t="shared" si="3"/>
        <v>10.8</v>
      </c>
      <c r="R8" s="16"/>
      <c r="S8" s="16"/>
      <c r="T8" s="16"/>
      <c r="U8" s="24"/>
      <c r="V8" s="24"/>
      <c r="W8" s="14">
        <f t="shared" si="4"/>
        <v>19.166666666666664</v>
      </c>
      <c r="X8" s="14">
        <f t="shared" si="5"/>
        <v>19.166666666666664</v>
      </c>
      <c r="Y8" s="14">
        <v>17.600000000000001</v>
      </c>
      <c r="Z8" s="14">
        <v>13.2</v>
      </c>
      <c r="AA8" s="14">
        <v>11.8</v>
      </c>
      <c r="AB8" s="14">
        <v>26</v>
      </c>
      <c r="AC8" s="14">
        <v>33.6</v>
      </c>
      <c r="AD8" s="14">
        <v>7</v>
      </c>
      <c r="AE8" s="14">
        <v>26.6</v>
      </c>
      <c r="AF8" s="14">
        <v>38</v>
      </c>
      <c r="AG8" s="14">
        <v>15.2</v>
      </c>
      <c r="AH8" s="14">
        <v>39.6</v>
      </c>
      <c r="AI8" s="14"/>
      <c r="AJ8" s="14"/>
      <c r="AK8" s="15"/>
      <c r="AL8" s="17"/>
      <c r="AM8" s="14"/>
      <c r="AN8" s="14"/>
      <c r="AO8" s="14"/>
      <c r="AP8" s="17"/>
      <c r="AQ8" s="17"/>
      <c r="AR8" s="14"/>
      <c r="AS8" s="17"/>
      <c r="AT8" s="1"/>
      <c r="AU8" s="1"/>
      <c r="AV8" s="1"/>
      <c r="AW8" s="1"/>
      <c r="AX8" s="1"/>
      <c r="AY8" s="1"/>
      <c r="AZ8" s="1"/>
    </row>
    <row r="9" spans="1:52" hidden="1" x14ac:dyDescent="0.25">
      <c r="A9" s="14" t="s">
        <v>49</v>
      </c>
      <c r="B9" s="14" t="s">
        <v>42</v>
      </c>
      <c r="C9" s="14">
        <v>148</v>
      </c>
      <c r="D9" s="14"/>
      <c r="E9" s="14"/>
      <c r="F9" s="18">
        <v>148</v>
      </c>
      <c r="G9" s="18"/>
      <c r="H9" s="15">
        <v>0</v>
      </c>
      <c r="I9" s="14"/>
      <c r="J9" s="14" t="s">
        <v>47</v>
      </c>
      <c r="K9" s="14" t="s">
        <v>50</v>
      </c>
      <c r="L9" s="14"/>
      <c r="M9" s="14">
        <f t="shared" si="2"/>
        <v>0</v>
      </c>
      <c r="N9" s="14"/>
      <c r="O9" s="14"/>
      <c r="P9" s="14"/>
      <c r="Q9" s="14">
        <f t="shared" si="3"/>
        <v>0</v>
      </c>
      <c r="R9" s="16"/>
      <c r="S9" s="16"/>
      <c r="T9" s="16"/>
      <c r="U9" s="24"/>
      <c r="V9" s="24"/>
      <c r="W9" s="14" t="e">
        <f t="shared" si="4"/>
        <v>#DIV/0!</v>
      </c>
      <c r="X9" s="14" t="e">
        <f t="shared" si="5"/>
        <v>#DIV/0!</v>
      </c>
      <c r="Y9" s="14">
        <v>0</v>
      </c>
      <c r="Z9" s="14">
        <v>0</v>
      </c>
      <c r="AA9" s="14">
        <v>1.4</v>
      </c>
      <c r="AB9" s="14">
        <v>24</v>
      </c>
      <c r="AC9" s="14">
        <v>25.6</v>
      </c>
      <c r="AD9" s="14">
        <v>6.8</v>
      </c>
      <c r="AE9" s="14">
        <v>22.6</v>
      </c>
      <c r="AF9" s="14">
        <v>29.8</v>
      </c>
      <c r="AG9" s="14">
        <v>20.399999999999999</v>
      </c>
      <c r="AH9" s="14">
        <v>30</v>
      </c>
      <c r="AI9" s="14"/>
      <c r="AJ9" s="14"/>
      <c r="AK9" s="15"/>
      <c r="AL9" s="17"/>
      <c r="AM9" s="14"/>
      <c r="AN9" s="14"/>
      <c r="AO9" s="14"/>
      <c r="AP9" s="17"/>
      <c r="AQ9" s="17"/>
      <c r="AR9" s="14"/>
      <c r="AS9" s="17"/>
      <c r="AT9" s="1"/>
      <c r="AU9" s="1"/>
      <c r="AV9" s="1"/>
      <c r="AW9" s="1"/>
      <c r="AX9" s="1"/>
      <c r="AY9" s="1"/>
      <c r="AZ9" s="1"/>
    </row>
    <row r="10" spans="1:52" hidden="1" x14ac:dyDescent="0.25">
      <c r="A10" s="14" t="s">
        <v>51</v>
      </c>
      <c r="B10" s="14" t="s">
        <v>52</v>
      </c>
      <c r="C10" s="14">
        <v>-7.4</v>
      </c>
      <c r="D10" s="14"/>
      <c r="E10" s="14"/>
      <c r="F10" s="18">
        <v>-7.4</v>
      </c>
      <c r="G10" s="18"/>
      <c r="H10" s="15">
        <v>0</v>
      </c>
      <c r="I10" s="14"/>
      <c r="J10" s="14" t="s">
        <v>47</v>
      </c>
      <c r="K10" s="14" t="s">
        <v>53</v>
      </c>
      <c r="L10" s="14"/>
      <c r="M10" s="14">
        <f t="shared" si="2"/>
        <v>0</v>
      </c>
      <c r="N10" s="14"/>
      <c r="O10" s="14"/>
      <c r="P10" s="14"/>
      <c r="Q10" s="14">
        <f t="shared" si="3"/>
        <v>0</v>
      </c>
      <c r="R10" s="16"/>
      <c r="S10" s="16"/>
      <c r="T10" s="16"/>
      <c r="U10" s="24"/>
      <c r="V10" s="24"/>
      <c r="W10" s="14" t="e">
        <f t="shared" si="4"/>
        <v>#DIV/0!</v>
      </c>
      <c r="X10" s="14" t="e">
        <f t="shared" si="5"/>
        <v>#DIV/0!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0.74</v>
      </c>
      <c r="AE10" s="14">
        <v>0.74</v>
      </c>
      <c r="AF10" s="14">
        <v>0</v>
      </c>
      <c r="AG10" s="14">
        <v>0</v>
      </c>
      <c r="AH10" s="14">
        <v>0</v>
      </c>
      <c r="AI10" s="14"/>
      <c r="AJ10" s="14"/>
      <c r="AK10" s="15"/>
      <c r="AL10" s="17"/>
      <c r="AM10" s="14"/>
      <c r="AN10" s="14"/>
      <c r="AO10" s="14"/>
      <c r="AP10" s="17"/>
      <c r="AQ10" s="17"/>
      <c r="AR10" s="14"/>
      <c r="AS10" s="17"/>
      <c r="AT10" s="1"/>
      <c r="AU10" s="1"/>
      <c r="AV10" s="1"/>
      <c r="AW10" s="1"/>
      <c r="AX10" s="1"/>
      <c r="AY10" s="1"/>
      <c r="AZ10" s="1"/>
    </row>
    <row r="11" spans="1:52" hidden="1" x14ac:dyDescent="0.25">
      <c r="A11" s="14" t="s">
        <v>54</v>
      </c>
      <c r="B11" s="14" t="s">
        <v>42</v>
      </c>
      <c r="C11" s="14">
        <v>196</v>
      </c>
      <c r="D11" s="14"/>
      <c r="E11" s="14"/>
      <c r="F11" s="18">
        <v>196</v>
      </c>
      <c r="G11" s="18"/>
      <c r="H11" s="15">
        <v>0</v>
      </c>
      <c r="I11" s="14"/>
      <c r="J11" s="14" t="s">
        <v>47</v>
      </c>
      <c r="K11" s="14" t="s">
        <v>55</v>
      </c>
      <c r="L11" s="14"/>
      <c r="M11" s="14">
        <f t="shared" si="2"/>
        <v>0</v>
      </c>
      <c r="N11" s="14"/>
      <c r="O11" s="14"/>
      <c r="P11" s="14"/>
      <c r="Q11" s="14">
        <f t="shared" si="3"/>
        <v>0</v>
      </c>
      <c r="R11" s="16"/>
      <c r="S11" s="16"/>
      <c r="T11" s="16"/>
      <c r="U11" s="24"/>
      <c r="V11" s="24"/>
      <c r="W11" s="14" t="e">
        <f t="shared" si="4"/>
        <v>#DIV/0!</v>
      </c>
      <c r="X11" s="14" t="e">
        <f t="shared" si="5"/>
        <v>#DIV/0!</v>
      </c>
      <c r="Y11" s="14">
        <v>0</v>
      </c>
      <c r="Z11" s="14">
        <v>0</v>
      </c>
      <c r="AA11" s="14">
        <v>0.8</v>
      </c>
      <c r="AB11" s="14">
        <v>3</v>
      </c>
      <c r="AC11" s="14">
        <v>6.6</v>
      </c>
      <c r="AD11" s="14">
        <v>1</v>
      </c>
      <c r="AE11" s="14">
        <v>2.8</v>
      </c>
      <c r="AF11" s="14">
        <v>0.6</v>
      </c>
      <c r="AG11" s="14">
        <v>3.2</v>
      </c>
      <c r="AH11" s="14">
        <v>3.8</v>
      </c>
      <c r="AI11" s="14"/>
      <c r="AJ11" s="14"/>
      <c r="AK11" s="15"/>
      <c r="AL11" s="17"/>
      <c r="AM11" s="14"/>
      <c r="AN11" s="14"/>
      <c r="AO11" s="14"/>
      <c r="AP11" s="17"/>
      <c r="AQ11" s="17"/>
      <c r="AR11" s="14"/>
      <c r="AS11" s="17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56</v>
      </c>
      <c r="B12" s="1" t="s">
        <v>42</v>
      </c>
      <c r="C12" s="1">
        <v>351</v>
      </c>
      <c r="D12" s="1">
        <v>1033</v>
      </c>
      <c r="E12" s="1">
        <v>177</v>
      </c>
      <c r="F12" s="1">
        <v>1158</v>
      </c>
      <c r="G12" s="1">
        <f>F12*H12</f>
        <v>347.4</v>
      </c>
      <c r="H12" s="7">
        <v>0.3</v>
      </c>
      <c r="I12" s="1">
        <v>180</v>
      </c>
      <c r="J12" s="1" t="s">
        <v>57</v>
      </c>
      <c r="K12" s="1"/>
      <c r="L12" s="1">
        <v>281</v>
      </c>
      <c r="M12" s="1">
        <f t="shared" si="2"/>
        <v>-104</v>
      </c>
      <c r="N12" s="1"/>
      <c r="O12" s="1"/>
      <c r="P12" s="1"/>
      <c r="Q12" s="1">
        <f t="shared" si="3"/>
        <v>35.4</v>
      </c>
      <c r="R12" s="5"/>
      <c r="S12" s="5"/>
      <c r="T12" s="5">
        <f>AK12*AL12</f>
        <v>0</v>
      </c>
      <c r="U12" s="23"/>
      <c r="V12" s="23"/>
      <c r="W12" s="1">
        <f t="shared" si="4"/>
        <v>32.711864406779661</v>
      </c>
      <c r="X12" s="1">
        <f t="shared" si="5"/>
        <v>32.711864406779661</v>
      </c>
      <c r="Y12" s="1">
        <v>93.8</v>
      </c>
      <c r="Z12" s="1">
        <v>69.8</v>
      </c>
      <c r="AA12" s="1">
        <v>62.2</v>
      </c>
      <c r="AB12" s="1">
        <v>58.8</v>
      </c>
      <c r="AC12" s="1">
        <v>61.8</v>
      </c>
      <c r="AD12" s="1">
        <v>29.2</v>
      </c>
      <c r="AE12" s="1">
        <v>82.4</v>
      </c>
      <c r="AF12" s="1">
        <v>66.400000000000006</v>
      </c>
      <c r="AG12" s="1">
        <v>58.6</v>
      </c>
      <c r="AH12" s="1">
        <v>76.599999999999994</v>
      </c>
      <c r="AI12" s="19" t="s">
        <v>142</v>
      </c>
      <c r="AJ12" s="1">
        <f>H12*S12</f>
        <v>0</v>
      </c>
      <c r="AK12" s="7">
        <v>12</v>
      </c>
      <c r="AL12" s="9">
        <f>MROUND(S12, AK12*AN12)/AK12</f>
        <v>0</v>
      </c>
      <c r="AM12" s="1">
        <f>AL12*AK12*H12</f>
        <v>0</v>
      </c>
      <c r="AN12" s="1">
        <v>14</v>
      </c>
      <c r="AO12" s="1">
        <v>70</v>
      </c>
      <c r="AP12" s="9">
        <f>AL12/AO12</f>
        <v>0</v>
      </c>
      <c r="AQ12" s="9"/>
      <c r="AR12" s="1"/>
      <c r="AS12" s="9"/>
      <c r="AT12" s="1"/>
      <c r="AU12" s="1"/>
      <c r="AV12" s="1"/>
      <c r="AW12" s="1"/>
      <c r="AX12" s="1"/>
      <c r="AY12" s="1"/>
      <c r="AZ12" s="1"/>
    </row>
    <row r="13" spans="1:52" hidden="1" x14ac:dyDescent="0.25">
      <c r="A13" s="1" t="s">
        <v>58</v>
      </c>
      <c r="B13" s="1" t="s">
        <v>42</v>
      </c>
      <c r="C13" s="1">
        <v>741</v>
      </c>
      <c r="D13" s="1">
        <v>1245</v>
      </c>
      <c r="E13" s="1">
        <v>803</v>
      </c>
      <c r="F13" s="1">
        <v>1105</v>
      </c>
      <c r="G13" s="1"/>
      <c r="H13" s="7">
        <v>0.28000000000000003</v>
      </c>
      <c r="I13" s="1">
        <v>180</v>
      </c>
      <c r="J13" s="1" t="s">
        <v>59</v>
      </c>
      <c r="K13" s="1"/>
      <c r="L13" s="1">
        <v>907</v>
      </c>
      <c r="M13" s="1">
        <f t="shared" si="2"/>
        <v>-104</v>
      </c>
      <c r="N13" s="1"/>
      <c r="O13" s="1"/>
      <c r="P13" s="1"/>
      <c r="Q13" s="1">
        <f t="shared" si="3"/>
        <v>160.6</v>
      </c>
      <c r="R13" s="5">
        <v>1143.4000000000001</v>
      </c>
      <c r="S13" s="5">
        <f>IF(($T$1-X13)*Q13&lt;0,0,($T$1-X13)*Q13)</f>
        <v>1801.8600000000004</v>
      </c>
      <c r="T13" s="5">
        <f>AK13*AL13+AQ13*AK13</f>
        <v>1764</v>
      </c>
      <c r="U13" s="23"/>
      <c r="V13" s="23"/>
      <c r="W13" s="1">
        <f t="shared" si="4"/>
        <v>17.864259028642589</v>
      </c>
      <c r="X13" s="1">
        <f t="shared" si="5"/>
        <v>6.8804483188044836</v>
      </c>
      <c r="Y13" s="1">
        <v>137.6</v>
      </c>
      <c r="Z13" s="1">
        <v>93.4</v>
      </c>
      <c r="AA13" s="1">
        <v>92.4</v>
      </c>
      <c r="AB13" s="1">
        <v>111.6</v>
      </c>
      <c r="AC13" s="1">
        <v>110</v>
      </c>
      <c r="AD13" s="1">
        <v>68.599999999999994</v>
      </c>
      <c r="AE13" s="1">
        <v>100.6</v>
      </c>
      <c r="AF13" s="1">
        <v>99.6</v>
      </c>
      <c r="AG13" s="1">
        <v>78.599999999999994</v>
      </c>
      <c r="AH13" s="1">
        <v>70.2</v>
      </c>
      <c r="AI13" s="1"/>
      <c r="AJ13" s="1">
        <f>H13*S13</f>
        <v>504.52080000000012</v>
      </c>
      <c r="AK13" s="7">
        <v>6</v>
      </c>
      <c r="AL13" s="9">
        <f>MROUND(S13, AK13*AN13)/AK13-AQ13</f>
        <v>154</v>
      </c>
      <c r="AM13" s="1">
        <f>AL13*AK13*H13</f>
        <v>258.72000000000003</v>
      </c>
      <c r="AN13" s="1">
        <v>14</v>
      </c>
      <c r="AO13" s="1">
        <v>140</v>
      </c>
      <c r="AP13" s="9">
        <f>AL13/AO13</f>
        <v>1.1000000000000001</v>
      </c>
      <c r="AQ13" s="9">
        <v>140</v>
      </c>
      <c r="AR13" s="1">
        <f>AQ13*AK13*H13</f>
        <v>235.20000000000002</v>
      </c>
      <c r="AS13" s="9">
        <f>AQ13/AO13</f>
        <v>1</v>
      </c>
      <c r="AT13" s="1"/>
      <c r="AU13" s="1"/>
      <c r="AV13" s="1"/>
      <c r="AW13" s="1"/>
      <c r="AX13" s="1"/>
      <c r="AY13" s="1"/>
      <c r="AZ13" s="1"/>
    </row>
    <row r="14" spans="1:52" hidden="1" x14ac:dyDescent="0.25">
      <c r="A14" s="1" t="s">
        <v>60</v>
      </c>
      <c r="B14" s="1" t="s">
        <v>42</v>
      </c>
      <c r="C14" s="1">
        <v>682</v>
      </c>
      <c r="D14" s="1">
        <v>1696</v>
      </c>
      <c r="E14" s="1">
        <v>882</v>
      </c>
      <c r="F14" s="1">
        <v>1248</v>
      </c>
      <c r="G14" s="1"/>
      <c r="H14" s="7">
        <v>0.24</v>
      </c>
      <c r="I14" s="1">
        <v>180</v>
      </c>
      <c r="J14" s="1" t="s">
        <v>61</v>
      </c>
      <c r="K14" s="1"/>
      <c r="L14" s="1">
        <v>1093</v>
      </c>
      <c r="M14" s="1">
        <f t="shared" si="2"/>
        <v>-211</v>
      </c>
      <c r="N14" s="1"/>
      <c r="O14" s="1"/>
      <c r="P14" s="1"/>
      <c r="Q14" s="1">
        <f t="shared" si="3"/>
        <v>176.4</v>
      </c>
      <c r="R14" s="5">
        <v>1221.5999999999999</v>
      </c>
      <c r="S14" s="5">
        <f>IF(($T$1-X14)*Q14&lt;0,0,($T$1-X14)*Q14)</f>
        <v>1944.8400000000001</v>
      </c>
      <c r="T14" s="5">
        <f>AK14*AL14+AQ14*AK14</f>
        <v>2016</v>
      </c>
      <c r="U14" s="23"/>
      <c r="V14" s="23"/>
      <c r="W14" s="1">
        <f t="shared" si="4"/>
        <v>18.503401360544217</v>
      </c>
      <c r="X14" s="1">
        <f t="shared" si="5"/>
        <v>7.074829931972789</v>
      </c>
      <c r="Y14" s="1">
        <v>168.2</v>
      </c>
      <c r="Z14" s="1">
        <v>137.6</v>
      </c>
      <c r="AA14" s="1">
        <v>103</v>
      </c>
      <c r="AB14" s="1">
        <v>132.6</v>
      </c>
      <c r="AC14" s="1">
        <v>126.2</v>
      </c>
      <c r="AD14" s="1">
        <v>71.2</v>
      </c>
      <c r="AE14" s="1">
        <v>131.4</v>
      </c>
      <c r="AF14" s="1">
        <v>134.80000000000001</v>
      </c>
      <c r="AG14" s="1">
        <v>100.4</v>
      </c>
      <c r="AH14" s="1">
        <v>92.8</v>
      </c>
      <c r="AI14" s="1"/>
      <c r="AJ14" s="1">
        <f>H14*S14</f>
        <v>466.76160000000004</v>
      </c>
      <c r="AK14" s="7">
        <v>12</v>
      </c>
      <c r="AL14" s="9">
        <f>MROUND(S14, AK14*AN14)/AK14-AQ14</f>
        <v>28</v>
      </c>
      <c r="AM14" s="1">
        <f>AL14*AK14*H14</f>
        <v>80.64</v>
      </c>
      <c r="AN14" s="1">
        <v>14</v>
      </c>
      <c r="AO14" s="1">
        <v>70</v>
      </c>
      <c r="AP14" s="9">
        <f>AL14/AO14</f>
        <v>0.4</v>
      </c>
      <c r="AQ14" s="9">
        <v>140</v>
      </c>
      <c r="AR14" s="1">
        <f>AQ14*AK14*H14</f>
        <v>403.2</v>
      </c>
      <c r="AS14" s="9">
        <f>AQ14/AO14</f>
        <v>2</v>
      </c>
      <c r="AT14" s="1"/>
      <c r="AU14" s="1"/>
      <c r="AV14" s="1"/>
      <c r="AW14" s="1"/>
      <c r="AX14" s="1"/>
      <c r="AY14" s="1"/>
      <c r="AZ14" s="1"/>
    </row>
    <row r="15" spans="1:52" hidden="1" x14ac:dyDescent="0.25">
      <c r="A15" s="14" t="s">
        <v>62</v>
      </c>
      <c r="B15" s="14" t="s">
        <v>42</v>
      </c>
      <c r="C15" s="14"/>
      <c r="D15" s="14"/>
      <c r="E15" s="18">
        <v>3</v>
      </c>
      <c r="F15" s="18">
        <v>-3</v>
      </c>
      <c r="G15" s="18"/>
      <c r="H15" s="15">
        <v>0</v>
      </c>
      <c r="I15" s="14"/>
      <c r="J15" s="14" t="s">
        <v>63</v>
      </c>
      <c r="K15" s="14" t="s">
        <v>64</v>
      </c>
      <c r="L15" s="14">
        <v>15</v>
      </c>
      <c r="M15" s="14">
        <f t="shared" si="2"/>
        <v>-12</v>
      </c>
      <c r="N15" s="14"/>
      <c r="O15" s="14"/>
      <c r="P15" s="14"/>
      <c r="Q15" s="14">
        <f t="shared" si="3"/>
        <v>0.6</v>
      </c>
      <c r="R15" s="16"/>
      <c r="S15" s="16"/>
      <c r="T15" s="16"/>
      <c r="U15" s="24"/>
      <c r="V15" s="24"/>
      <c r="W15" s="14">
        <f t="shared" si="4"/>
        <v>-5</v>
      </c>
      <c r="X15" s="14">
        <f t="shared" si="5"/>
        <v>-5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/>
      <c r="AJ15" s="14"/>
      <c r="AK15" s="15"/>
      <c r="AL15" s="17"/>
      <c r="AM15" s="14"/>
      <c r="AN15" s="14"/>
      <c r="AO15" s="14"/>
      <c r="AP15" s="17"/>
      <c r="AQ15" s="17"/>
      <c r="AR15" s="14"/>
      <c r="AS15" s="17"/>
      <c r="AT15" s="1"/>
      <c r="AU15" s="1"/>
      <c r="AV15" s="1"/>
      <c r="AW15" s="1"/>
      <c r="AX15" s="1"/>
      <c r="AY15" s="1"/>
      <c r="AZ15" s="1"/>
    </row>
    <row r="16" spans="1:52" hidden="1" x14ac:dyDescent="0.25">
      <c r="A16" s="1" t="s">
        <v>64</v>
      </c>
      <c r="B16" s="1" t="s">
        <v>42</v>
      </c>
      <c r="C16" s="1">
        <v>1323</v>
      </c>
      <c r="D16" s="1">
        <v>1992</v>
      </c>
      <c r="E16" s="18">
        <f>647+E15</f>
        <v>650</v>
      </c>
      <c r="F16" s="18">
        <f>2364+F15</f>
        <v>2361</v>
      </c>
      <c r="G16" s="18"/>
      <c r="H16" s="7">
        <v>0.24</v>
      </c>
      <c r="I16" s="1">
        <v>180</v>
      </c>
      <c r="J16" s="1" t="s">
        <v>65</v>
      </c>
      <c r="K16" s="1"/>
      <c r="L16" s="1">
        <v>799</v>
      </c>
      <c r="M16" s="1">
        <f t="shared" si="2"/>
        <v>-149</v>
      </c>
      <c r="N16" s="1"/>
      <c r="O16" s="1"/>
      <c r="P16" s="1"/>
      <c r="Q16" s="1">
        <f t="shared" si="3"/>
        <v>130</v>
      </c>
      <c r="R16" s="5"/>
      <c r="S16" s="5">
        <f t="shared" ref="S16:S19" si="6">IF(($T$1-X16)*Q16&lt;0,0,($T$1-X16)*Q16)</f>
        <v>0</v>
      </c>
      <c r="T16" s="5">
        <f t="shared" ref="T16:T21" si="7">AK16*AL16</f>
        <v>0</v>
      </c>
      <c r="U16" s="23"/>
      <c r="V16" s="23"/>
      <c r="W16" s="1">
        <f t="shared" si="4"/>
        <v>18.161538461538463</v>
      </c>
      <c r="X16" s="1">
        <f t="shared" si="5"/>
        <v>18.161538461538463</v>
      </c>
      <c r="Y16" s="1">
        <v>224.8</v>
      </c>
      <c r="Z16" s="1">
        <v>220</v>
      </c>
      <c r="AA16" s="1">
        <v>174.6</v>
      </c>
      <c r="AB16" s="1">
        <v>171.4</v>
      </c>
      <c r="AC16" s="1">
        <v>192</v>
      </c>
      <c r="AD16" s="1">
        <v>114.4</v>
      </c>
      <c r="AE16" s="1">
        <v>214.6</v>
      </c>
      <c r="AF16" s="1">
        <v>200.8</v>
      </c>
      <c r="AG16" s="1">
        <v>197</v>
      </c>
      <c r="AH16" s="1">
        <v>180</v>
      </c>
      <c r="AI16" s="1"/>
      <c r="AJ16" s="1">
        <f t="shared" ref="AJ16:AJ21" si="8">H16*S16</f>
        <v>0</v>
      </c>
      <c r="AK16" s="7">
        <v>12</v>
      </c>
      <c r="AL16" s="9">
        <f t="shared" ref="AL16:AL21" si="9">MROUND(S16, AK16*AN16)/AK16</f>
        <v>0</v>
      </c>
      <c r="AM16" s="1">
        <f t="shared" ref="AM16:AM21" si="10">AL16*AK16*H16</f>
        <v>0</v>
      </c>
      <c r="AN16" s="1">
        <v>14</v>
      </c>
      <c r="AO16" s="1">
        <v>70</v>
      </c>
      <c r="AP16" s="9">
        <f t="shared" ref="AP16:AP21" si="11">AL16/AO16</f>
        <v>0</v>
      </c>
      <c r="AQ16" s="9"/>
      <c r="AR16" s="1"/>
      <c r="AS16" s="9"/>
      <c r="AT16" s="1"/>
      <c r="AU16" s="1"/>
      <c r="AV16" s="1"/>
      <c r="AW16" s="1"/>
      <c r="AX16" s="1"/>
      <c r="AY16" s="1"/>
      <c r="AZ16" s="1"/>
    </row>
    <row r="17" spans="1:52" hidden="1" x14ac:dyDescent="0.25">
      <c r="A17" s="1" t="s">
        <v>66</v>
      </c>
      <c r="B17" s="1" t="s">
        <v>42</v>
      </c>
      <c r="C17" s="1">
        <v>980</v>
      </c>
      <c r="D17" s="1">
        <v>1449</v>
      </c>
      <c r="E17" s="1">
        <v>636</v>
      </c>
      <c r="F17" s="1">
        <v>1688</v>
      </c>
      <c r="G17" s="1"/>
      <c r="H17" s="7">
        <v>0.24</v>
      </c>
      <c r="I17" s="1">
        <v>180</v>
      </c>
      <c r="J17" s="1" t="s">
        <v>67</v>
      </c>
      <c r="K17" s="1"/>
      <c r="L17" s="1">
        <v>725</v>
      </c>
      <c r="M17" s="1">
        <f t="shared" si="2"/>
        <v>-89</v>
      </c>
      <c r="N17" s="1"/>
      <c r="O17" s="1"/>
      <c r="P17" s="1"/>
      <c r="Q17" s="1">
        <f t="shared" si="3"/>
        <v>127.2</v>
      </c>
      <c r="R17" s="5">
        <v>92.799999999999955</v>
      </c>
      <c r="S17" s="5">
        <f t="shared" si="6"/>
        <v>614.32000000000028</v>
      </c>
      <c r="T17" s="5">
        <f t="shared" ref="T17:T20" si="12">AK17*AL17+AQ17*AK17</f>
        <v>672</v>
      </c>
      <c r="U17" s="23"/>
      <c r="V17" s="23"/>
      <c r="W17" s="1">
        <f t="shared" si="4"/>
        <v>18.553459119496853</v>
      </c>
      <c r="X17" s="1">
        <f t="shared" si="5"/>
        <v>13.270440251572326</v>
      </c>
      <c r="Y17" s="1">
        <v>175.6</v>
      </c>
      <c r="Z17" s="1">
        <v>141</v>
      </c>
      <c r="AA17" s="1">
        <v>104.6</v>
      </c>
      <c r="AB17" s="1">
        <v>144.19999999999999</v>
      </c>
      <c r="AC17" s="1">
        <v>141.80000000000001</v>
      </c>
      <c r="AD17" s="1">
        <v>70.400000000000006</v>
      </c>
      <c r="AE17" s="1">
        <v>123.6</v>
      </c>
      <c r="AF17" s="1">
        <v>97</v>
      </c>
      <c r="AG17" s="1">
        <v>141</v>
      </c>
      <c r="AH17" s="1">
        <v>145.4</v>
      </c>
      <c r="AI17" s="1"/>
      <c r="AJ17" s="1">
        <f t="shared" si="8"/>
        <v>147.43680000000006</v>
      </c>
      <c r="AK17" s="7">
        <v>12</v>
      </c>
      <c r="AL17" s="9">
        <f t="shared" ref="AL17:AL20" si="13">MROUND(S17, AK17*AN17)/AK17-AQ17</f>
        <v>56</v>
      </c>
      <c r="AM17" s="1">
        <f t="shared" si="10"/>
        <v>161.28</v>
      </c>
      <c r="AN17" s="1">
        <v>14</v>
      </c>
      <c r="AO17" s="1">
        <v>70</v>
      </c>
      <c r="AP17" s="9">
        <f t="shared" si="11"/>
        <v>0.8</v>
      </c>
      <c r="AQ17" s="9"/>
      <c r="AR17" s="1">
        <f t="shared" ref="AR17:AR20" si="14">AQ17*AK17*H17</f>
        <v>0</v>
      </c>
      <c r="AS17" s="9">
        <f t="shared" ref="AS17:AS20" si="15">AQ17/AO17</f>
        <v>0</v>
      </c>
      <c r="AT17" s="1"/>
      <c r="AU17" s="1"/>
      <c r="AV17" s="1"/>
      <c r="AW17" s="1"/>
      <c r="AX17" s="1"/>
      <c r="AY17" s="1"/>
      <c r="AZ17" s="1"/>
    </row>
    <row r="18" spans="1:52" hidden="1" x14ac:dyDescent="0.25">
      <c r="A18" s="1" t="s">
        <v>48</v>
      </c>
      <c r="B18" s="1" t="s">
        <v>42</v>
      </c>
      <c r="C18" s="1">
        <v>309</v>
      </c>
      <c r="D18" s="1">
        <v>1582</v>
      </c>
      <c r="E18" s="18">
        <f>445+E8</f>
        <v>499</v>
      </c>
      <c r="F18" s="18">
        <f>1305+F8</f>
        <v>1512</v>
      </c>
      <c r="G18" s="18"/>
      <c r="H18" s="7">
        <v>0.24</v>
      </c>
      <c r="I18" s="1">
        <v>180</v>
      </c>
      <c r="J18" s="1" t="s">
        <v>68</v>
      </c>
      <c r="K18" s="1"/>
      <c r="L18" s="1">
        <v>518</v>
      </c>
      <c r="M18" s="1">
        <f t="shared" si="2"/>
        <v>-19</v>
      </c>
      <c r="N18" s="1"/>
      <c r="O18" s="1"/>
      <c r="P18" s="1"/>
      <c r="Q18" s="1">
        <f t="shared" si="3"/>
        <v>99.8</v>
      </c>
      <c r="R18" s="5"/>
      <c r="S18" s="5">
        <f t="shared" si="6"/>
        <v>294.38000000000011</v>
      </c>
      <c r="T18" s="5">
        <f t="shared" si="12"/>
        <v>336</v>
      </c>
      <c r="U18" s="23"/>
      <c r="V18" s="23"/>
      <c r="W18" s="1">
        <f t="shared" si="4"/>
        <v>18.517034068136272</v>
      </c>
      <c r="X18" s="1">
        <f t="shared" si="5"/>
        <v>15.150300601202405</v>
      </c>
      <c r="Y18" s="1">
        <v>155.80000000000001</v>
      </c>
      <c r="Z18" s="1">
        <v>138.19999999999999</v>
      </c>
      <c r="AA18" s="1">
        <v>125</v>
      </c>
      <c r="AB18" s="1">
        <v>133.19999999999999</v>
      </c>
      <c r="AC18" s="1">
        <v>230.8</v>
      </c>
      <c r="AD18" s="1">
        <v>87.8</v>
      </c>
      <c r="AE18" s="1">
        <v>156.6</v>
      </c>
      <c r="AF18" s="1">
        <v>173</v>
      </c>
      <c r="AG18" s="1">
        <v>147.19999999999999</v>
      </c>
      <c r="AH18" s="1">
        <v>152</v>
      </c>
      <c r="AI18" s="1"/>
      <c r="AJ18" s="1">
        <f t="shared" si="8"/>
        <v>70.651200000000017</v>
      </c>
      <c r="AK18" s="7">
        <v>12</v>
      </c>
      <c r="AL18" s="9">
        <f t="shared" si="13"/>
        <v>28</v>
      </c>
      <c r="AM18" s="1">
        <f t="shared" si="10"/>
        <v>80.64</v>
      </c>
      <c r="AN18" s="1">
        <v>14</v>
      </c>
      <c r="AO18" s="1">
        <v>70</v>
      </c>
      <c r="AP18" s="9">
        <f t="shared" si="11"/>
        <v>0.4</v>
      </c>
      <c r="AQ18" s="9"/>
      <c r="AR18" s="1">
        <f t="shared" si="14"/>
        <v>0</v>
      </c>
      <c r="AS18" s="9">
        <f t="shared" si="15"/>
        <v>0</v>
      </c>
      <c r="AT18" s="1"/>
      <c r="AU18" s="1"/>
      <c r="AV18" s="1"/>
      <c r="AW18" s="1"/>
      <c r="AX18" s="1"/>
      <c r="AY18" s="1"/>
      <c r="AZ18" s="1"/>
    </row>
    <row r="19" spans="1:52" hidden="1" x14ac:dyDescent="0.25">
      <c r="A19" s="1" t="s">
        <v>69</v>
      </c>
      <c r="B19" s="1" t="s">
        <v>42</v>
      </c>
      <c r="C19" s="1">
        <v>807</v>
      </c>
      <c r="D19" s="1">
        <v>444</v>
      </c>
      <c r="E19" s="1">
        <v>423</v>
      </c>
      <c r="F19" s="1">
        <v>744</v>
      </c>
      <c r="G19" s="1"/>
      <c r="H19" s="7">
        <v>0.48</v>
      </c>
      <c r="I19" s="1">
        <v>180</v>
      </c>
      <c r="J19" s="1" t="s">
        <v>70</v>
      </c>
      <c r="K19" s="1"/>
      <c r="L19" s="1">
        <v>499</v>
      </c>
      <c r="M19" s="1">
        <f t="shared" si="2"/>
        <v>-76</v>
      </c>
      <c r="N19" s="1"/>
      <c r="O19" s="1"/>
      <c r="P19" s="1"/>
      <c r="Q19" s="1">
        <f t="shared" si="3"/>
        <v>84.6</v>
      </c>
      <c r="R19" s="5">
        <v>440.39999999999986</v>
      </c>
      <c r="S19" s="5">
        <f t="shared" si="6"/>
        <v>787.26</v>
      </c>
      <c r="T19" s="5">
        <f t="shared" si="12"/>
        <v>784</v>
      </c>
      <c r="U19" s="23"/>
      <c r="V19" s="23"/>
      <c r="W19" s="1">
        <f t="shared" si="4"/>
        <v>18.061465721040189</v>
      </c>
      <c r="X19" s="1">
        <f t="shared" si="5"/>
        <v>8.7943262411347529</v>
      </c>
      <c r="Y19" s="1">
        <v>85.6</v>
      </c>
      <c r="Z19" s="1">
        <v>42.8</v>
      </c>
      <c r="AA19" s="1">
        <v>43.2</v>
      </c>
      <c r="AB19" s="1">
        <v>86.8</v>
      </c>
      <c r="AC19" s="1">
        <v>53</v>
      </c>
      <c r="AD19" s="1">
        <v>11.8</v>
      </c>
      <c r="AE19" s="1">
        <v>86.2</v>
      </c>
      <c r="AF19" s="1">
        <v>77.2</v>
      </c>
      <c r="AG19" s="1">
        <v>87</v>
      </c>
      <c r="AH19" s="1">
        <v>55.8</v>
      </c>
      <c r="AI19" s="1"/>
      <c r="AJ19" s="1">
        <f t="shared" si="8"/>
        <v>377.88479999999998</v>
      </c>
      <c r="AK19" s="7">
        <v>8</v>
      </c>
      <c r="AL19" s="9">
        <f t="shared" si="13"/>
        <v>98</v>
      </c>
      <c r="AM19" s="1">
        <f t="shared" si="10"/>
        <v>376.32</v>
      </c>
      <c r="AN19" s="1">
        <v>14</v>
      </c>
      <c r="AO19" s="1">
        <v>70</v>
      </c>
      <c r="AP19" s="9">
        <f t="shared" si="11"/>
        <v>1.4</v>
      </c>
      <c r="AQ19" s="9"/>
      <c r="AR19" s="1">
        <f t="shared" si="14"/>
        <v>0</v>
      </c>
      <c r="AS19" s="9">
        <f t="shared" si="15"/>
        <v>0</v>
      </c>
      <c r="AT19" s="1"/>
      <c r="AU19" s="1"/>
      <c r="AV19" s="1"/>
      <c r="AW19" s="1"/>
      <c r="AX19" s="1"/>
      <c r="AY19" s="1"/>
      <c r="AZ19" s="1"/>
    </row>
    <row r="20" spans="1:52" hidden="1" x14ac:dyDescent="0.25">
      <c r="A20" s="1" t="s">
        <v>71</v>
      </c>
      <c r="B20" s="1" t="s">
        <v>42</v>
      </c>
      <c r="C20" s="1">
        <v>1799</v>
      </c>
      <c r="D20" s="1">
        <v>170</v>
      </c>
      <c r="E20" s="1">
        <v>1099</v>
      </c>
      <c r="F20" s="1">
        <v>708</v>
      </c>
      <c r="G20" s="1"/>
      <c r="H20" s="7">
        <v>0.09</v>
      </c>
      <c r="I20" s="1">
        <v>180</v>
      </c>
      <c r="J20" s="1" t="s">
        <v>72</v>
      </c>
      <c r="K20" s="1"/>
      <c r="L20" s="1">
        <v>1289</v>
      </c>
      <c r="M20" s="1">
        <f t="shared" si="2"/>
        <v>-190</v>
      </c>
      <c r="N20" s="1"/>
      <c r="O20" s="1"/>
      <c r="P20" s="1"/>
      <c r="Q20" s="1">
        <f t="shared" si="3"/>
        <v>219.8</v>
      </c>
      <c r="R20" s="5">
        <v>2369.2000000000003</v>
      </c>
      <c r="S20" s="5">
        <f>IF(($T$1-X20-2)*Q20&lt;0,0,($T$1-X20-2)*Q20)</f>
        <v>2830.78</v>
      </c>
      <c r="T20" s="5">
        <f t="shared" si="12"/>
        <v>2688</v>
      </c>
      <c r="U20" s="23"/>
      <c r="V20" s="23"/>
      <c r="W20" s="1">
        <f t="shared" si="4"/>
        <v>15.450409463148317</v>
      </c>
      <c r="X20" s="1">
        <f t="shared" si="5"/>
        <v>3.2211101000909919</v>
      </c>
      <c r="Y20" s="1">
        <v>133.6</v>
      </c>
      <c r="Z20" s="1">
        <v>125.8</v>
      </c>
      <c r="AA20" s="1">
        <v>120.4</v>
      </c>
      <c r="AB20" s="1">
        <v>184.4</v>
      </c>
      <c r="AC20" s="1">
        <v>151.6</v>
      </c>
      <c r="AD20" s="1">
        <v>91.4</v>
      </c>
      <c r="AE20" s="1">
        <v>192.4</v>
      </c>
      <c r="AF20" s="1">
        <v>144</v>
      </c>
      <c r="AG20" s="1">
        <v>106.6</v>
      </c>
      <c r="AH20" s="1">
        <v>204.8</v>
      </c>
      <c r="AI20" s="1"/>
      <c r="AJ20" s="1">
        <f t="shared" si="8"/>
        <v>254.77020000000002</v>
      </c>
      <c r="AK20" s="7">
        <v>24</v>
      </c>
      <c r="AL20" s="9">
        <f t="shared" si="13"/>
        <v>112</v>
      </c>
      <c r="AM20" s="1">
        <f t="shared" si="10"/>
        <v>241.92</v>
      </c>
      <c r="AN20" s="1">
        <v>14</v>
      </c>
      <c r="AO20" s="1">
        <v>126</v>
      </c>
      <c r="AP20" s="9">
        <f t="shared" si="11"/>
        <v>0.88888888888888884</v>
      </c>
      <c r="AQ20" s="9"/>
      <c r="AR20" s="1">
        <f t="shared" si="14"/>
        <v>0</v>
      </c>
      <c r="AS20" s="9">
        <f t="shared" si="15"/>
        <v>0</v>
      </c>
      <c r="AT20" s="1"/>
      <c r="AU20" s="1"/>
      <c r="AV20" s="1"/>
      <c r="AW20" s="1"/>
      <c r="AX20" s="1"/>
      <c r="AY20" s="1"/>
      <c r="AZ20" s="1"/>
    </row>
    <row r="21" spans="1:52" hidden="1" x14ac:dyDescent="0.25">
      <c r="A21" s="1" t="s">
        <v>73</v>
      </c>
      <c r="B21" s="1" t="s">
        <v>42</v>
      </c>
      <c r="C21" s="1">
        <v>106</v>
      </c>
      <c r="D21" s="1">
        <v>423</v>
      </c>
      <c r="E21" s="1">
        <v>89</v>
      </c>
      <c r="F21" s="1">
        <v>434</v>
      </c>
      <c r="G21" s="1"/>
      <c r="H21" s="7">
        <v>0.36</v>
      </c>
      <c r="I21" s="1">
        <v>180</v>
      </c>
      <c r="J21" s="1" t="s">
        <v>74</v>
      </c>
      <c r="K21" s="1"/>
      <c r="L21" s="1">
        <v>101</v>
      </c>
      <c r="M21" s="1">
        <f t="shared" si="2"/>
        <v>-12</v>
      </c>
      <c r="N21" s="1"/>
      <c r="O21" s="1"/>
      <c r="P21" s="1"/>
      <c r="Q21" s="1">
        <f t="shared" si="3"/>
        <v>17.8</v>
      </c>
      <c r="R21" s="5"/>
      <c r="S21" s="5"/>
      <c r="T21" s="5">
        <f t="shared" si="7"/>
        <v>0</v>
      </c>
      <c r="U21" s="23"/>
      <c r="V21" s="23"/>
      <c r="W21" s="1">
        <f t="shared" si="4"/>
        <v>24.382022471910112</v>
      </c>
      <c r="X21" s="1">
        <f t="shared" si="5"/>
        <v>24.382022471910112</v>
      </c>
      <c r="Y21" s="1">
        <v>33</v>
      </c>
      <c r="Z21" s="1">
        <v>26</v>
      </c>
      <c r="AA21" s="1">
        <v>11.6</v>
      </c>
      <c r="AB21" s="1">
        <v>21.2</v>
      </c>
      <c r="AC21" s="1">
        <v>24</v>
      </c>
      <c r="AD21" s="1">
        <v>15</v>
      </c>
      <c r="AE21" s="1">
        <v>23.2</v>
      </c>
      <c r="AF21" s="1">
        <v>21.6</v>
      </c>
      <c r="AG21" s="1">
        <v>32.799999999999997</v>
      </c>
      <c r="AH21" s="1">
        <v>16.399999999999999</v>
      </c>
      <c r="AI21" s="20" t="s">
        <v>113</v>
      </c>
      <c r="AJ21" s="1">
        <f t="shared" si="8"/>
        <v>0</v>
      </c>
      <c r="AK21" s="7">
        <v>10</v>
      </c>
      <c r="AL21" s="9">
        <f t="shared" si="9"/>
        <v>0</v>
      </c>
      <c r="AM21" s="1">
        <f t="shared" si="10"/>
        <v>0</v>
      </c>
      <c r="AN21" s="1">
        <v>14</v>
      </c>
      <c r="AO21" s="1">
        <v>70</v>
      </c>
      <c r="AP21" s="9">
        <f t="shared" si="11"/>
        <v>0</v>
      </c>
      <c r="AQ21" s="9"/>
      <c r="AR21" s="1"/>
      <c r="AS21" s="9"/>
      <c r="AT21" s="1"/>
      <c r="AU21" s="1"/>
      <c r="AV21" s="1"/>
      <c r="AW21" s="1"/>
      <c r="AX21" s="1"/>
      <c r="AY21" s="1"/>
      <c r="AZ21" s="1"/>
    </row>
    <row r="22" spans="1:52" hidden="1" x14ac:dyDescent="0.25">
      <c r="A22" s="14" t="s">
        <v>75</v>
      </c>
      <c r="B22" s="14" t="s">
        <v>42</v>
      </c>
      <c r="C22" s="14">
        <v>-187</v>
      </c>
      <c r="D22" s="14"/>
      <c r="E22" s="14"/>
      <c r="F22" s="18">
        <v>-187</v>
      </c>
      <c r="G22" s="18"/>
      <c r="H22" s="15">
        <v>0</v>
      </c>
      <c r="I22" s="14"/>
      <c r="J22" s="14" t="s">
        <v>63</v>
      </c>
      <c r="K22" s="14" t="s">
        <v>76</v>
      </c>
      <c r="L22" s="14">
        <v>6</v>
      </c>
      <c r="M22" s="14">
        <f t="shared" si="2"/>
        <v>-6</v>
      </c>
      <c r="N22" s="14"/>
      <c r="O22" s="14"/>
      <c r="P22" s="14"/>
      <c r="Q22" s="14">
        <f t="shared" si="3"/>
        <v>0</v>
      </c>
      <c r="R22" s="16"/>
      <c r="S22" s="16"/>
      <c r="T22" s="16"/>
      <c r="U22" s="24"/>
      <c r="V22" s="24"/>
      <c r="W22" s="14" t="e">
        <f t="shared" si="4"/>
        <v>#DIV/0!</v>
      </c>
      <c r="X22" s="14" t="e">
        <f t="shared" si="5"/>
        <v>#DIV/0!</v>
      </c>
      <c r="Y22" s="14">
        <v>13.2</v>
      </c>
      <c r="Z22" s="14">
        <v>15.6</v>
      </c>
      <c r="AA22" s="14">
        <v>3.2</v>
      </c>
      <c r="AB22" s="14">
        <v>8.6</v>
      </c>
      <c r="AC22" s="14">
        <v>11.2</v>
      </c>
      <c r="AD22" s="14">
        <v>0</v>
      </c>
      <c r="AE22" s="14">
        <v>6.4</v>
      </c>
      <c r="AF22" s="14">
        <v>6.8</v>
      </c>
      <c r="AG22" s="14">
        <v>6.8</v>
      </c>
      <c r="AH22" s="14">
        <v>4</v>
      </c>
      <c r="AI22" s="14"/>
      <c r="AJ22" s="14"/>
      <c r="AK22" s="15"/>
      <c r="AL22" s="17"/>
      <c r="AM22" s="14"/>
      <c r="AN22" s="14"/>
      <c r="AO22" s="14"/>
      <c r="AP22" s="17"/>
      <c r="AQ22" s="17"/>
      <c r="AR22" s="14"/>
      <c r="AS22" s="17"/>
      <c r="AT22" s="1"/>
      <c r="AU22" s="1"/>
      <c r="AV22" s="1"/>
      <c r="AW22" s="1"/>
      <c r="AX22" s="1"/>
      <c r="AY22" s="1"/>
      <c r="AZ22" s="1"/>
    </row>
    <row r="23" spans="1:52" hidden="1" x14ac:dyDescent="0.25">
      <c r="A23" s="1" t="s">
        <v>76</v>
      </c>
      <c r="B23" s="1" t="s">
        <v>42</v>
      </c>
      <c r="C23" s="1">
        <v>493</v>
      </c>
      <c r="D23" s="1">
        <v>1137</v>
      </c>
      <c r="E23" s="1">
        <v>283</v>
      </c>
      <c r="F23" s="18">
        <f>1216+F22</f>
        <v>1029</v>
      </c>
      <c r="G23" s="18"/>
      <c r="H23" s="7">
        <v>0.2</v>
      </c>
      <c r="I23" s="1">
        <v>180</v>
      </c>
      <c r="J23" s="1" t="s">
        <v>77</v>
      </c>
      <c r="K23" s="1"/>
      <c r="L23" s="1">
        <v>654</v>
      </c>
      <c r="M23" s="1">
        <f t="shared" si="2"/>
        <v>-371</v>
      </c>
      <c r="N23" s="1"/>
      <c r="O23" s="1"/>
      <c r="P23" s="1"/>
      <c r="Q23" s="1">
        <f t="shared" si="3"/>
        <v>56.6</v>
      </c>
      <c r="R23" s="5"/>
      <c r="S23" s="5">
        <f t="shared" ref="S23:S24" si="16">IF(($T$1-X23)*Q23&lt;0,0,($T$1-X23)*Q23)</f>
        <v>0</v>
      </c>
      <c r="T23" s="5">
        <f>AK23*AL23</f>
        <v>0</v>
      </c>
      <c r="U23" s="23"/>
      <c r="V23" s="23"/>
      <c r="W23" s="1">
        <f t="shared" si="4"/>
        <v>18.180212014134277</v>
      </c>
      <c r="X23" s="1">
        <f t="shared" si="5"/>
        <v>18.180212014134277</v>
      </c>
      <c r="Y23" s="1">
        <v>88.2</v>
      </c>
      <c r="Z23" s="1">
        <v>71</v>
      </c>
      <c r="AA23" s="1">
        <v>60.4</v>
      </c>
      <c r="AB23" s="1">
        <v>60.8</v>
      </c>
      <c r="AC23" s="1">
        <v>62.4</v>
      </c>
      <c r="AD23" s="1">
        <v>19.2</v>
      </c>
      <c r="AE23" s="1">
        <v>68.599999999999994</v>
      </c>
      <c r="AF23" s="1">
        <v>76.8</v>
      </c>
      <c r="AG23" s="1">
        <v>84.6</v>
      </c>
      <c r="AH23" s="1">
        <v>47.4</v>
      </c>
      <c r="AI23" s="1"/>
      <c r="AJ23" s="1">
        <f>H23*S23</f>
        <v>0</v>
      </c>
      <c r="AK23" s="7">
        <v>12</v>
      </c>
      <c r="AL23" s="9">
        <f>MROUND(S23, AK23*AN23)/AK23</f>
        <v>0</v>
      </c>
      <c r="AM23" s="1">
        <f>AL23*AK23*H23</f>
        <v>0</v>
      </c>
      <c r="AN23" s="1">
        <v>14</v>
      </c>
      <c r="AO23" s="1">
        <v>70</v>
      </c>
      <c r="AP23" s="9">
        <f>AL23/AO23</f>
        <v>0</v>
      </c>
      <c r="AQ23" s="9"/>
      <c r="AR23" s="1"/>
      <c r="AS23" s="9"/>
      <c r="AT23" s="1"/>
      <c r="AU23" s="1"/>
      <c r="AV23" s="1"/>
      <c r="AW23" s="1"/>
      <c r="AX23" s="1"/>
      <c r="AY23" s="1"/>
      <c r="AZ23" s="1"/>
    </row>
    <row r="24" spans="1:52" hidden="1" x14ac:dyDescent="0.25">
      <c r="A24" s="1" t="s">
        <v>78</v>
      </c>
      <c r="B24" s="1" t="s">
        <v>42</v>
      </c>
      <c r="C24" s="1">
        <v>1795</v>
      </c>
      <c r="D24" s="1">
        <v>749</v>
      </c>
      <c r="E24" s="1">
        <v>565</v>
      </c>
      <c r="F24" s="1">
        <v>1733</v>
      </c>
      <c r="G24" s="1"/>
      <c r="H24" s="7">
        <v>0.2</v>
      </c>
      <c r="I24" s="1">
        <v>180</v>
      </c>
      <c r="J24" s="1" t="s">
        <v>79</v>
      </c>
      <c r="K24" s="1"/>
      <c r="L24" s="1">
        <v>701</v>
      </c>
      <c r="M24" s="1">
        <f t="shared" si="2"/>
        <v>-136</v>
      </c>
      <c r="N24" s="1"/>
      <c r="O24" s="1"/>
      <c r="P24" s="1"/>
      <c r="Q24" s="1">
        <f t="shared" si="3"/>
        <v>113</v>
      </c>
      <c r="R24" s="5"/>
      <c r="S24" s="5">
        <f t="shared" si="16"/>
        <v>312.30000000000013</v>
      </c>
      <c r="T24" s="5">
        <f>AK24*AL24+AQ24*AK24</f>
        <v>336</v>
      </c>
      <c r="U24" s="23"/>
      <c r="V24" s="23"/>
      <c r="W24" s="1">
        <f t="shared" si="4"/>
        <v>18.309734513274336</v>
      </c>
      <c r="X24" s="1">
        <f t="shared" si="5"/>
        <v>15.336283185840708</v>
      </c>
      <c r="Y24" s="1">
        <v>187.8</v>
      </c>
      <c r="Z24" s="1">
        <v>166.2</v>
      </c>
      <c r="AA24" s="1">
        <v>149.6</v>
      </c>
      <c r="AB24" s="1">
        <v>169.2</v>
      </c>
      <c r="AC24" s="1">
        <v>173.6</v>
      </c>
      <c r="AD24" s="1">
        <v>109</v>
      </c>
      <c r="AE24" s="1">
        <v>215.8</v>
      </c>
      <c r="AF24" s="1">
        <v>187.8</v>
      </c>
      <c r="AG24" s="1">
        <v>182.2</v>
      </c>
      <c r="AH24" s="1">
        <v>166.4</v>
      </c>
      <c r="AI24" s="1"/>
      <c r="AJ24" s="1">
        <f>H24*S24</f>
        <v>62.460000000000029</v>
      </c>
      <c r="AK24" s="7">
        <v>12</v>
      </c>
      <c r="AL24" s="9">
        <f>MROUND(S24, AK24*AN24)/AK24-AQ24</f>
        <v>28</v>
      </c>
      <c r="AM24" s="1">
        <f>AL24*AK24*H24</f>
        <v>67.2</v>
      </c>
      <c r="AN24" s="1">
        <v>14</v>
      </c>
      <c r="AO24" s="1">
        <v>70</v>
      </c>
      <c r="AP24" s="9">
        <f>AL24/AO24</f>
        <v>0.4</v>
      </c>
      <c r="AQ24" s="9"/>
      <c r="AR24" s="1">
        <f>AQ24*AK24*H24</f>
        <v>0</v>
      </c>
      <c r="AS24" s="9">
        <f>AQ24/AO24</f>
        <v>0</v>
      </c>
      <c r="AT24" s="1"/>
      <c r="AU24" s="1"/>
      <c r="AV24" s="1"/>
      <c r="AW24" s="1"/>
      <c r="AX24" s="1"/>
      <c r="AY24" s="1"/>
      <c r="AZ24" s="1"/>
    </row>
    <row r="25" spans="1:52" hidden="1" x14ac:dyDescent="0.25">
      <c r="A25" s="1" t="s">
        <v>80</v>
      </c>
      <c r="B25" s="1" t="s">
        <v>42</v>
      </c>
      <c r="C25" s="1">
        <v>339</v>
      </c>
      <c r="D25" s="1">
        <v>2895</v>
      </c>
      <c r="E25" s="1">
        <v>536</v>
      </c>
      <c r="F25" s="1">
        <v>2599</v>
      </c>
      <c r="G25" s="1"/>
      <c r="H25" s="7">
        <v>0.2</v>
      </c>
      <c r="I25" s="1">
        <v>180</v>
      </c>
      <c r="J25" s="1" t="s">
        <v>81</v>
      </c>
      <c r="K25" s="1"/>
      <c r="L25" s="1">
        <v>650</v>
      </c>
      <c r="M25" s="1">
        <f t="shared" si="2"/>
        <v>-114</v>
      </c>
      <c r="N25" s="1"/>
      <c r="O25" s="1"/>
      <c r="P25" s="1"/>
      <c r="Q25" s="1">
        <f t="shared" si="3"/>
        <v>107.2</v>
      </c>
      <c r="R25" s="5"/>
      <c r="S25" s="5"/>
      <c r="T25" s="5">
        <f>AK25*AL25</f>
        <v>0</v>
      </c>
      <c r="U25" s="23"/>
      <c r="V25" s="23"/>
      <c r="W25" s="1">
        <f t="shared" si="4"/>
        <v>24.244402985074625</v>
      </c>
      <c r="X25" s="1">
        <f t="shared" si="5"/>
        <v>24.244402985074625</v>
      </c>
      <c r="Y25" s="1">
        <v>241.8</v>
      </c>
      <c r="Z25" s="1">
        <v>115.8</v>
      </c>
      <c r="AA25" s="1">
        <v>111</v>
      </c>
      <c r="AB25" s="1">
        <v>102</v>
      </c>
      <c r="AC25" s="1">
        <v>141.80000000000001</v>
      </c>
      <c r="AD25" s="1">
        <v>69.400000000000006</v>
      </c>
      <c r="AE25" s="1">
        <v>115</v>
      </c>
      <c r="AF25" s="1">
        <v>125.6</v>
      </c>
      <c r="AG25" s="1">
        <v>116.4</v>
      </c>
      <c r="AH25" s="1">
        <v>86.4</v>
      </c>
      <c r="AI25" s="1"/>
      <c r="AJ25" s="1">
        <f>H25*S25</f>
        <v>0</v>
      </c>
      <c r="AK25" s="7">
        <v>12</v>
      </c>
      <c r="AL25" s="9">
        <f>MROUND(S25, AK25*AN25)/AK25</f>
        <v>0</v>
      </c>
      <c r="AM25" s="1">
        <f>AL25*AK25*H25</f>
        <v>0</v>
      </c>
      <c r="AN25" s="1">
        <v>14</v>
      </c>
      <c r="AO25" s="1">
        <v>70</v>
      </c>
      <c r="AP25" s="9">
        <f>AL25/AO25</f>
        <v>0</v>
      </c>
      <c r="AQ25" s="9"/>
      <c r="AR25" s="1"/>
      <c r="AS25" s="9"/>
      <c r="AT25" s="1"/>
      <c r="AU25" s="1"/>
      <c r="AV25" s="1"/>
      <c r="AW25" s="1"/>
      <c r="AX25" s="1"/>
      <c r="AY25" s="1"/>
      <c r="AZ25" s="1"/>
    </row>
    <row r="26" spans="1:52" hidden="1" x14ac:dyDescent="0.25">
      <c r="A26" s="13" t="s">
        <v>82</v>
      </c>
      <c r="B26" s="1" t="s">
        <v>52</v>
      </c>
      <c r="C26" s="1"/>
      <c r="D26" s="1">
        <v>59.2</v>
      </c>
      <c r="E26" s="18">
        <f>0+E27</f>
        <v>105</v>
      </c>
      <c r="F26" s="18">
        <f>59.2+F27</f>
        <v>332.2</v>
      </c>
      <c r="G26" s="18"/>
      <c r="H26" s="7">
        <v>1</v>
      </c>
      <c r="I26" s="1"/>
      <c r="J26" s="1" t="s">
        <v>83</v>
      </c>
      <c r="K26" s="1"/>
      <c r="L26" s="1"/>
      <c r="M26" s="1">
        <f t="shared" si="2"/>
        <v>105</v>
      </c>
      <c r="N26" s="1"/>
      <c r="O26" s="1"/>
      <c r="P26" s="1"/>
      <c r="Q26" s="1">
        <f t="shared" si="3"/>
        <v>21</v>
      </c>
      <c r="R26" s="5"/>
      <c r="S26" s="5">
        <f>IF(($T$1-X26)*Q26&lt;0,0,($T$1-X26)*Q26)</f>
        <v>47.900000000000055</v>
      </c>
      <c r="T26" s="5">
        <f>AK26*AL26+AQ26*AK26</f>
        <v>51.800000000000004</v>
      </c>
      <c r="U26" s="23"/>
      <c r="V26" s="23"/>
      <c r="W26" s="1">
        <f t="shared" si="4"/>
        <v>18.285714285714285</v>
      </c>
      <c r="X26" s="1">
        <f t="shared" si="5"/>
        <v>15.819047619047618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/>
      <c r="AJ26" s="1">
        <f>H26*S26</f>
        <v>47.900000000000055</v>
      </c>
      <c r="AK26" s="7">
        <v>3.7</v>
      </c>
      <c r="AL26" s="9">
        <f>MROUND(S26, AK26*AN26)/AK26-AQ26</f>
        <v>14</v>
      </c>
      <c r="AM26" s="1">
        <f>AL26*AK26*H26</f>
        <v>51.800000000000004</v>
      </c>
      <c r="AN26" s="1">
        <v>14</v>
      </c>
      <c r="AO26" s="1">
        <v>126</v>
      </c>
      <c r="AP26" s="9">
        <f>AL26/AO26</f>
        <v>0.1111111111111111</v>
      </c>
      <c r="AQ26" s="9"/>
      <c r="AR26" s="1">
        <f>AQ26*AK26*H26</f>
        <v>0</v>
      </c>
      <c r="AS26" s="9">
        <f>AQ26/AO26</f>
        <v>0</v>
      </c>
      <c r="AT26" s="1"/>
      <c r="AU26" s="1"/>
      <c r="AV26" s="1"/>
      <c r="AW26" s="1"/>
      <c r="AX26" s="1"/>
      <c r="AY26" s="1"/>
      <c r="AZ26" s="1"/>
    </row>
    <row r="27" spans="1:52" hidden="1" x14ac:dyDescent="0.25">
      <c r="A27" s="14" t="s">
        <v>84</v>
      </c>
      <c r="B27" s="14" t="s">
        <v>52</v>
      </c>
      <c r="C27" s="14">
        <v>383</v>
      </c>
      <c r="D27" s="14">
        <v>20</v>
      </c>
      <c r="E27" s="18">
        <v>105</v>
      </c>
      <c r="F27" s="18">
        <v>273</v>
      </c>
      <c r="G27" s="18"/>
      <c r="H27" s="15">
        <v>0</v>
      </c>
      <c r="I27" s="14">
        <v>180</v>
      </c>
      <c r="J27" s="14" t="s">
        <v>85</v>
      </c>
      <c r="K27" s="14" t="s">
        <v>82</v>
      </c>
      <c r="L27" s="14">
        <v>150</v>
      </c>
      <c r="M27" s="14">
        <f t="shared" si="2"/>
        <v>-45</v>
      </c>
      <c r="N27" s="14"/>
      <c r="O27" s="14"/>
      <c r="P27" s="14"/>
      <c r="Q27" s="14">
        <f t="shared" si="3"/>
        <v>21</v>
      </c>
      <c r="R27" s="16"/>
      <c r="S27" s="16"/>
      <c r="T27" s="16"/>
      <c r="U27" s="24"/>
      <c r="V27" s="24"/>
      <c r="W27" s="14">
        <f t="shared" si="4"/>
        <v>13</v>
      </c>
      <c r="X27" s="14">
        <f t="shared" si="5"/>
        <v>13</v>
      </c>
      <c r="Y27" s="14">
        <v>31</v>
      </c>
      <c r="Z27" s="14">
        <v>27</v>
      </c>
      <c r="AA27" s="14">
        <v>23</v>
      </c>
      <c r="AB27" s="14">
        <v>34</v>
      </c>
      <c r="AC27" s="14">
        <v>33</v>
      </c>
      <c r="AD27" s="14">
        <v>18</v>
      </c>
      <c r="AE27" s="14">
        <v>48</v>
      </c>
      <c r="AF27" s="14">
        <v>29</v>
      </c>
      <c r="AG27" s="14">
        <v>53</v>
      </c>
      <c r="AH27" s="14">
        <v>42.1</v>
      </c>
      <c r="AI27" s="14"/>
      <c r="AJ27" s="14"/>
      <c r="AK27" s="15"/>
      <c r="AL27" s="17"/>
      <c r="AM27" s="14"/>
      <c r="AN27" s="14"/>
      <c r="AO27" s="14"/>
      <c r="AP27" s="17"/>
      <c r="AQ27" s="17"/>
      <c r="AR27" s="14"/>
      <c r="AS27" s="17"/>
      <c r="AT27" s="1"/>
      <c r="AU27" s="1"/>
      <c r="AV27" s="1"/>
      <c r="AW27" s="1"/>
      <c r="AX27" s="1"/>
      <c r="AY27" s="1"/>
      <c r="AZ27" s="1"/>
    </row>
    <row r="28" spans="1:52" hidden="1" x14ac:dyDescent="0.25">
      <c r="A28" s="1" t="s">
        <v>86</v>
      </c>
      <c r="B28" s="1" t="s">
        <v>52</v>
      </c>
      <c r="C28" s="1">
        <v>355.5</v>
      </c>
      <c r="D28" s="1">
        <v>93.5</v>
      </c>
      <c r="E28" s="1">
        <v>148.5</v>
      </c>
      <c r="F28" s="1">
        <v>290</v>
      </c>
      <c r="G28" s="1"/>
      <c r="H28" s="7">
        <v>1</v>
      </c>
      <c r="I28" s="1">
        <v>180</v>
      </c>
      <c r="J28" s="1" t="s">
        <v>87</v>
      </c>
      <c r="K28" s="1"/>
      <c r="L28" s="1">
        <v>152</v>
      </c>
      <c r="M28" s="1">
        <f t="shared" si="2"/>
        <v>-3.5</v>
      </c>
      <c r="N28" s="1"/>
      <c r="O28" s="1"/>
      <c r="P28" s="1"/>
      <c r="Q28" s="1">
        <f t="shared" si="3"/>
        <v>29.7</v>
      </c>
      <c r="R28" s="5">
        <v>125.80000000000001</v>
      </c>
      <c r="S28" s="5">
        <f t="shared" ref="S28:S31" si="17">IF(($T$1-X28)*Q28&lt;0,0,($T$1-X28)*Q28)</f>
        <v>247.57000000000002</v>
      </c>
      <c r="T28" s="5">
        <f t="shared" ref="T28:T32" si="18">AK28*AL28+AQ28*AK28</f>
        <v>264</v>
      </c>
      <c r="U28" s="23"/>
      <c r="V28" s="23"/>
      <c r="W28" s="1">
        <f t="shared" si="4"/>
        <v>18.653198653198654</v>
      </c>
      <c r="X28" s="1">
        <f t="shared" si="5"/>
        <v>9.7643097643097647</v>
      </c>
      <c r="Y28" s="1">
        <v>28.5</v>
      </c>
      <c r="Z28" s="1">
        <v>16.5</v>
      </c>
      <c r="AA28" s="1">
        <v>19.8</v>
      </c>
      <c r="AB28" s="1">
        <v>32.6</v>
      </c>
      <c r="AC28" s="1">
        <v>26.3</v>
      </c>
      <c r="AD28" s="1">
        <v>12.1</v>
      </c>
      <c r="AE28" s="1">
        <v>33.9</v>
      </c>
      <c r="AF28" s="1">
        <v>19.8</v>
      </c>
      <c r="AG28" s="1">
        <v>27.3</v>
      </c>
      <c r="AH28" s="1">
        <v>39.6</v>
      </c>
      <c r="AI28" s="1"/>
      <c r="AJ28" s="1">
        <f t="shared" ref="AJ28:AJ71" si="19">H28*S28</f>
        <v>247.57000000000002</v>
      </c>
      <c r="AK28" s="7">
        <v>5.5</v>
      </c>
      <c r="AL28" s="9">
        <f t="shared" ref="AL28:AL32" si="20">MROUND(S28, AK28*AN28)/AK28-AQ28</f>
        <v>48</v>
      </c>
      <c r="AM28" s="1">
        <f t="shared" ref="AM28:AM71" si="21">AL28*AK28*H28</f>
        <v>264</v>
      </c>
      <c r="AN28" s="1">
        <v>12</v>
      </c>
      <c r="AO28" s="1">
        <v>84</v>
      </c>
      <c r="AP28" s="9">
        <f t="shared" ref="AP28:AP71" si="22">AL28/AO28</f>
        <v>0.5714285714285714</v>
      </c>
      <c r="AQ28" s="9"/>
      <c r="AR28" s="1">
        <f t="shared" ref="AR28:AR32" si="23">AQ28*AK28*H28</f>
        <v>0</v>
      </c>
      <c r="AS28" s="9">
        <f t="shared" ref="AS28:AS32" si="24">AQ28/AO28</f>
        <v>0</v>
      </c>
      <c r="AT28" s="1"/>
      <c r="AU28" s="1"/>
      <c r="AV28" s="1"/>
      <c r="AW28" s="1"/>
      <c r="AX28" s="1"/>
      <c r="AY28" s="1"/>
      <c r="AZ28" s="1"/>
    </row>
    <row r="29" spans="1:52" hidden="1" x14ac:dyDescent="0.25">
      <c r="A29" s="1" t="s">
        <v>88</v>
      </c>
      <c r="B29" s="1" t="s">
        <v>52</v>
      </c>
      <c r="C29" s="1">
        <v>228</v>
      </c>
      <c r="D29" s="1">
        <v>363</v>
      </c>
      <c r="E29" s="1">
        <v>225</v>
      </c>
      <c r="F29" s="1">
        <v>327</v>
      </c>
      <c r="G29" s="1"/>
      <c r="H29" s="7">
        <v>1</v>
      </c>
      <c r="I29" s="1">
        <v>180</v>
      </c>
      <c r="J29" s="1" t="s">
        <v>89</v>
      </c>
      <c r="K29" s="1"/>
      <c r="L29" s="1">
        <v>277</v>
      </c>
      <c r="M29" s="1">
        <f t="shared" si="2"/>
        <v>-52</v>
      </c>
      <c r="N29" s="1"/>
      <c r="O29" s="1"/>
      <c r="P29" s="1"/>
      <c r="Q29" s="1">
        <f t="shared" si="3"/>
        <v>45</v>
      </c>
      <c r="R29" s="5">
        <v>303</v>
      </c>
      <c r="S29" s="5">
        <f t="shared" si="17"/>
        <v>487.50000000000011</v>
      </c>
      <c r="T29" s="5">
        <f t="shared" si="18"/>
        <v>504</v>
      </c>
      <c r="U29" s="23"/>
      <c r="V29" s="23"/>
      <c r="W29" s="1">
        <f t="shared" si="4"/>
        <v>18.466666666666665</v>
      </c>
      <c r="X29" s="1">
        <f t="shared" si="5"/>
        <v>7.2666666666666666</v>
      </c>
      <c r="Y29" s="1">
        <v>40.799999999999997</v>
      </c>
      <c r="Z29" s="1">
        <v>36.6</v>
      </c>
      <c r="AA29" s="1">
        <v>28.2</v>
      </c>
      <c r="AB29" s="1">
        <v>25.2</v>
      </c>
      <c r="AC29" s="1">
        <v>29</v>
      </c>
      <c r="AD29" s="1">
        <v>12</v>
      </c>
      <c r="AE29" s="1">
        <v>31.6</v>
      </c>
      <c r="AF29" s="1">
        <v>16.2</v>
      </c>
      <c r="AG29" s="1">
        <v>37</v>
      </c>
      <c r="AH29" s="1">
        <v>40.200000000000003</v>
      </c>
      <c r="AI29" s="1"/>
      <c r="AJ29" s="1">
        <f t="shared" si="19"/>
        <v>487.50000000000011</v>
      </c>
      <c r="AK29" s="7">
        <v>3</v>
      </c>
      <c r="AL29" s="9">
        <f t="shared" si="20"/>
        <v>168</v>
      </c>
      <c r="AM29" s="1">
        <f t="shared" si="21"/>
        <v>504</v>
      </c>
      <c r="AN29" s="1">
        <v>14</v>
      </c>
      <c r="AO29" s="1">
        <v>126</v>
      </c>
      <c r="AP29" s="9">
        <f t="shared" si="22"/>
        <v>1.3333333333333333</v>
      </c>
      <c r="AQ29" s="9"/>
      <c r="AR29" s="1">
        <f t="shared" si="23"/>
        <v>0</v>
      </c>
      <c r="AS29" s="9">
        <f t="shared" si="24"/>
        <v>0</v>
      </c>
      <c r="AT29" s="1"/>
      <c r="AU29" s="1"/>
      <c r="AV29" s="1"/>
      <c r="AW29" s="1"/>
      <c r="AX29" s="1"/>
      <c r="AY29" s="1"/>
      <c r="AZ29" s="1"/>
    </row>
    <row r="30" spans="1:52" hidden="1" x14ac:dyDescent="0.25">
      <c r="A30" s="1" t="s">
        <v>90</v>
      </c>
      <c r="B30" s="1" t="s">
        <v>42</v>
      </c>
      <c r="C30" s="1">
        <v>466</v>
      </c>
      <c r="D30" s="1">
        <v>1757</v>
      </c>
      <c r="E30" s="1">
        <v>737</v>
      </c>
      <c r="F30" s="1">
        <v>1271</v>
      </c>
      <c r="G30" s="1"/>
      <c r="H30" s="7">
        <v>0.25</v>
      </c>
      <c r="I30" s="1">
        <v>365</v>
      </c>
      <c r="J30" s="1" t="s">
        <v>91</v>
      </c>
      <c r="K30" s="1"/>
      <c r="L30" s="1">
        <v>940</v>
      </c>
      <c r="M30" s="1">
        <f t="shared" si="2"/>
        <v>-203</v>
      </c>
      <c r="N30" s="1"/>
      <c r="O30" s="1"/>
      <c r="P30" s="1"/>
      <c r="Q30" s="1">
        <f t="shared" si="3"/>
        <v>147.4</v>
      </c>
      <c r="R30" s="5">
        <v>792.59999999999991</v>
      </c>
      <c r="S30" s="5">
        <f t="shared" si="17"/>
        <v>1396.9400000000003</v>
      </c>
      <c r="T30" s="5">
        <f t="shared" si="18"/>
        <v>1428</v>
      </c>
      <c r="U30" s="23"/>
      <c r="V30" s="23"/>
      <c r="W30" s="1">
        <f t="shared" si="4"/>
        <v>18.310719131614654</v>
      </c>
      <c r="X30" s="1">
        <f t="shared" si="5"/>
        <v>8.622795115332428</v>
      </c>
      <c r="Y30" s="1">
        <v>151.19999999999999</v>
      </c>
      <c r="Z30" s="1">
        <v>126.2</v>
      </c>
      <c r="AA30" s="1">
        <v>111.6</v>
      </c>
      <c r="AB30" s="1">
        <v>114.4</v>
      </c>
      <c r="AC30" s="1">
        <v>120.6</v>
      </c>
      <c r="AD30" s="1">
        <v>67.8</v>
      </c>
      <c r="AE30" s="1">
        <v>113.8</v>
      </c>
      <c r="AF30" s="1">
        <v>104.2</v>
      </c>
      <c r="AG30" s="1">
        <v>114.6</v>
      </c>
      <c r="AH30" s="1">
        <v>85.8</v>
      </c>
      <c r="AI30" s="1"/>
      <c r="AJ30" s="1">
        <f t="shared" si="19"/>
        <v>349.23500000000007</v>
      </c>
      <c r="AK30" s="7">
        <v>6</v>
      </c>
      <c r="AL30" s="9">
        <f t="shared" si="20"/>
        <v>98</v>
      </c>
      <c r="AM30" s="1">
        <f t="shared" si="21"/>
        <v>147</v>
      </c>
      <c r="AN30" s="1">
        <v>14</v>
      </c>
      <c r="AO30" s="1">
        <v>140</v>
      </c>
      <c r="AP30" s="9">
        <f t="shared" si="22"/>
        <v>0.7</v>
      </c>
      <c r="AQ30" s="9">
        <v>140</v>
      </c>
      <c r="AR30" s="1">
        <f t="shared" si="23"/>
        <v>210</v>
      </c>
      <c r="AS30" s="9">
        <f t="shared" si="24"/>
        <v>1</v>
      </c>
      <c r="AT30" s="1"/>
      <c r="AU30" s="1"/>
      <c r="AV30" s="1"/>
      <c r="AW30" s="1"/>
      <c r="AX30" s="1"/>
      <c r="AY30" s="1"/>
      <c r="AZ30" s="1"/>
    </row>
    <row r="31" spans="1:52" hidden="1" x14ac:dyDescent="0.25">
      <c r="A31" s="1" t="s">
        <v>92</v>
      </c>
      <c r="B31" s="1" t="s">
        <v>42</v>
      </c>
      <c r="C31" s="1">
        <v>875</v>
      </c>
      <c r="D31" s="1">
        <v>763</v>
      </c>
      <c r="E31" s="1">
        <v>715</v>
      </c>
      <c r="F31" s="1">
        <v>768</v>
      </c>
      <c r="G31" s="1"/>
      <c r="H31" s="7">
        <v>0.25</v>
      </c>
      <c r="I31" s="1">
        <v>365</v>
      </c>
      <c r="J31" s="1" t="s">
        <v>93</v>
      </c>
      <c r="K31" s="1"/>
      <c r="L31" s="1">
        <v>842</v>
      </c>
      <c r="M31" s="1">
        <f t="shared" si="2"/>
        <v>-127</v>
      </c>
      <c r="N31" s="1"/>
      <c r="O31" s="1"/>
      <c r="P31" s="1"/>
      <c r="Q31" s="1">
        <f t="shared" si="3"/>
        <v>143</v>
      </c>
      <c r="R31" s="5">
        <v>1234</v>
      </c>
      <c r="S31" s="5">
        <f t="shared" si="17"/>
        <v>1820.3000000000004</v>
      </c>
      <c r="T31" s="5">
        <f t="shared" si="18"/>
        <v>1848</v>
      </c>
      <c r="U31" s="23"/>
      <c r="V31" s="23"/>
      <c r="W31" s="1">
        <f t="shared" si="4"/>
        <v>18.293706293706293</v>
      </c>
      <c r="X31" s="1">
        <f t="shared" si="5"/>
        <v>5.3706293706293708</v>
      </c>
      <c r="Y31" s="1">
        <v>111.8</v>
      </c>
      <c r="Z31" s="1">
        <v>95.8</v>
      </c>
      <c r="AA31" s="1">
        <v>97</v>
      </c>
      <c r="AB31" s="1">
        <v>117.2</v>
      </c>
      <c r="AC31" s="1">
        <v>98.4</v>
      </c>
      <c r="AD31" s="1">
        <v>17.399999999999999</v>
      </c>
      <c r="AE31" s="1">
        <v>118.2</v>
      </c>
      <c r="AF31" s="1">
        <v>98.8</v>
      </c>
      <c r="AG31" s="1">
        <v>92.8</v>
      </c>
      <c r="AH31" s="1">
        <v>76.8</v>
      </c>
      <c r="AI31" s="1"/>
      <c r="AJ31" s="1">
        <f t="shared" si="19"/>
        <v>455.0750000000001</v>
      </c>
      <c r="AK31" s="7">
        <v>6</v>
      </c>
      <c r="AL31" s="9">
        <f t="shared" si="20"/>
        <v>168</v>
      </c>
      <c r="AM31" s="1">
        <f t="shared" si="21"/>
        <v>252</v>
      </c>
      <c r="AN31" s="1">
        <v>14</v>
      </c>
      <c r="AO31" s="1">
        <v>140</v>
      </c>
      <c r="AP31" s="9">
        <f t="shared" si="22"/>
        <v>1.2</v>
      </c>
      <c r="AQ31" s="9">
        <v>140</v>
      </c>
      <c r="AR31" s="1">
        <f t="shared" si="23"/>
        <v>210</v>
      </c>
      <c r="AS31" s="9">
        <f t="shared" si="24"/>
        <v>1</v>
      </c>
      <c r="AT31" s="1"/>
      <c r="AU31" s="1"/>
      <c r="AV31" s="1"/>
      <c r="AW31" s="1"/>
      <c r="AX31" s="1"/>
      <c r="AY31" s="1"/>
      <c r="AZ31" s="1"/>
    </row>
    <row r="32" spans="1:52" hidden="1" x14ac:dyDescent="0.25">
      <c r="A32" s="1" t="s">
        <v>94</v>
      </c>
      <c r="B32" s="1" t="s">
        <v>52</v>
      </c>
      <c r="C32" s="1">
        <v>402</v>
      </c>
      <c r="D32" s="1">
        <v>408</v>
      </c>
      <c r="E32" s="1">
        <v>249</v>
      </c>
      <c r="F32" s="1">
        <v>489</v>
      </c>
      <c r="G32" s="1"/>
      <c r="H32" s="7">
        <v>1</v>
      </c>
      <c r="I32" s="1">
        <v>180</v>
      </c>
      <c r="J32" s="1" t="s">
        <v>95</v>
      </c>
      <c r="K32" s="1"/>
      <c r="L32" s="1">
        <v>295</v>
      </c>
      <c r="M32" s="1">
        <f t="shared" si="2"/>
        <v>-46</v>
      </c>
      <c r="N32" s="1"/>
      <c r="O32" s="1"/>
      <c r="P32" s="1"/>
      <c r="Q32" s="1">
        <f t="shared" si="3"/>
        <v>49.8</v>
      </c>
      <c r="R32" s="5">
        <v>208.19999999999993</v>
      </c>
      <c r="S32" s="5">
        <f>U32</f>
        <v>600</v>
      </c>
      <c r="T32" s="5">
        <f t="shared" si="18"/>
        <v>576</v>
      </c>
      <c r="U32" s="23">
        <v>600</v>
      </c>
      <c r="V32" s="28" t="s">
        <v>177</v>
      </c>
      <c r="W32" s="1">
        <f t="shared" si="4"/>
        <v>21.3855421686747</v>
      </c>
      <c r="X32" s="1">
        <f t="shared" si="5"/>
        <v>9.8192771084337362</v>
      </c>
      <c r="Y32" s="1">
        <v>51.6</v>
      </c>
      <c r="Z32" s="1">
        <v>52.8</v>
      </c>
      <c r="AA32" s="1">
        <v>32.4</v>
      </c>
      <c r="AB32" s="1">
        <v>43.8</v>
      </c>
      <c r="AC32" s="1">
        <v>57.2</v>
      </c>
      <c r="AD32" s="1">
        <v>16.8</v>
      </c>
      <c r="AE32" s="1">
        <v>55.2</v>
      </c>
      <c r="AF32" s="1">
        <v>60.8</v>
      </c>
      <c r="AG32" s="1">
        <v>58.6</v>
      </c>
      <c r="AH32" s="1">
        <v>66</v>
      </c>
      <c r="AI32" s="1"/>
      <c r="AJ32" s="1">
        <f t="shared" si="19"/>
        <v>600</v>
      </c>
      <c r="AK32" s="7">
        <v>6</v>
      </c>
      <c r="AL32" s="9">
        <f t="shared" si="20"/>
        <v>96</v>
      </c>
      <c r="AM32" s="1">
        <f t="shared" si="21"/>
        <v>576</v>
      </c>
      <c r="AN32" s="1">
        <v>12</v>
      </c>
      <c r="AO32" s="1">
        <v>84</v>
      </c>
      <c r="AP32" s="9">
        <f t="shared" si="22"/>
        <v>1.1428571428571428</v>
      </c>
      <c r="AQ32" s="9"/>
      <c r="AR32" s="1">
        <f t="shared" si="23"/>
        <v>0</v>
      </c>
      <c r="AS32" s="9">
        <f t="shared" si="24"/>
        <v>0</v>
      </c>
      <c r="AT32" s="1"/>
      <c r="AU32" s="1"/>
      <c r="AV32" s="1"/>
      <c r="AW32" s="1"/>
      <c r="AX32" s="1"/>
      <c r="AY32" s="1"/>
      <c r="AZ32" s="1"/>
    </row>
    <row r="33" spans="1:52" hidden="1" x14ac:dyDescent="0.25">
      <c r="A33" s="1" t="s">
        <v>96</v>
      </c>
      <c r="B33" s="1" t="s">
        <v>42</v>
      </c>
      <c r="C33" s="1">
        <v>210</v>
      </c>
      <c r="D33" s="1">
        <v>2752</v>
      </c>
      <c r="E33" s="1">
        <v>359</v>
      </c>
      <c r="F33" s="1">
        <v>2463</v>
      </c>
      <c r="G33" s="1"/>
      <c r="H33" s="7">
        <v>0.23</v>
      </c>
      <c r="I33" s="1">
        <v>180</v>
      </c>
      <c r="J33" s="20" t="s">
        <v>97</v>
      </c>
      <c r="K33" s="1"/>
      <c r="L33" s="1">
        <v>531</v>
      </c>
      <c r="M33" s="1">
        <f t="shared" si="2"/>
        <v>-172</v>
      </c>
      <c r="N33" s="1"/>
      <c r="O33" s="1"/>
      <c r="P33" s="1"/>
      <c r="Q33" s="1">
        <f t="shared" si="3"/>
        <v>71.8</v>
      </c>
      <c r="R33" s="5"/>
      <c r="S33" s="5"/>
      <c r="T33" s="5">
        <f t="shared" ref="T33:T68" si="25">AK33*AL33</f>
        <v>0</v>
      </c>
      <c r="U33" s="23"/>
      <c r="V33" s="27" t="s">
        <v>178</v>
      </c>
      <c r="W33" s="1">
        <f t="shared" si="4"/>
        <v>34.303621169916433</v>
      </c>
      <c r="X33" s="1">
        <f t="shared" si="5"/>
        <v>34.303621169916433</v>
      </c>
      <c r="Y33" s="1">
        <v>104.2</v>
      </c>
      <c r="Z33" s="1">
        <v>105.2</v>
      </c>
      <c r="AA33" s="1">
        <v>117.4</v>
      </c>
      <c r="AB33" s="1">
        <v>106</v>
      </c>
      <c r="AC33" s="1">
        <v>101.4</v>
      </c>
      <c r="AD33" s="1">
        <v>66.400000000000006</v>
      </c>
      <c r="AE33" s="1">
        <v>230.8</v>
      </c>
      <c r="AF33" s="1">
        <v>197</v>
      </c>
      <c r="AG33" s="1">
        <v>74.8</v>
      </c>
      <c r="AH33" s="1">
        <v>140.19999999999999</v>
      </c>
      <c r="AI33" s="1" t="s">
        <v>98</v>
      </c>
      <c r="AJ33" s="1">
        <f t="shared" si="19"/>
        <v>0</v>
      </c>
      <c r="AK33" s="7">
        <v>12</v>
      </c>
      <c r="AL33" s="9">
        <f t="shared" ref="AL33:AL68" si="26">MROUND(S33, AK33*AN33)/AK33</f>
        <v>0</v>
      </c>
      <c r="AM33" s="1">
        <f t="shared" si="21"/>
        <v>0</v>
      </c>
      <c r="AN33" s="1">
        <v>14</v>
      </c>
      <c r="AO33" s="1">
        <v>70</v>
      </c>
      <c r="AP33" s="9">
        <f t="shared" si="22"/>
        <v>0</v>
      </c>
      <c r="AQ33" s="9"/>
      <c r="AR33" s="1"/>
      <c r="AS33" s="9"/>
      <c r="AT33" s="1"/>
      <c r="AU33" s="1"/>
      <c r="AV33" s="1"/>
      <c r="AW33" s="1"/>
      <c r="AX33" s="1"/>
      <c r="AY33" s="1"/>
      <c r="AZ33" s="1"/>
    </row>
    <row r="34" spans="1:52" hidden="1" x14ac:dyDescent="0.25">
      <c r="A34" s="1" t="s">
        <v>99</v>
      </c>
      <c r="B34" s="1" t="s">
        <v>42</v>
      </c>
      <c r="C34" s="1">
        <v>1859</v>
      </c>
      <c r="D34" s="1">
        <v>2571</v>
      </c>
      <c r="E34" s="1">
        <v>1300</v>
      </c>
      <c r="F34" s="1">
        <v>2499</v>
      </c>
      <c r="G34" s="1"/>
      <c r="H34" s="7">
        <v>0.25</v>
      </c>
      <c r="I34" s="1">
        <v>365</v>
      </c>
      <c r="J34" s="1" t="s">
        <v>100</v>
      </c>
      <c r="K34" s="1"/>
      <c r="L34" s="1">
        <v>1743</v>
      </c>
      <c r="M34" s="1">
        <f t="shared" si="2"/>
        <v>-443</v>
      </c>
      <c r="N34" s="1"/>
      <c r="O34" s="1"/>
      <c r="P34" s="1"/>
      <c r="Q34" s="1">
        <f t="shared" si="3"/>
        <v>260</v>
      </c>
      <c r="R34" s="5">
        <v>1141</v>
      </c>
      <c r="S34" s="5">
        <f t="shared" ref="S34:S35" si="27">IF(($T$1-X34)*Q34&lt;0,0,($T$1-X34)*Q34)</f>
        <v>2207.0000000000005</v>
      </c>
      <c r="T34" s="5">
        <f t="shared" ref="T34:T35" si="28">AK34*AL34+AQ34*AK34</f>
        <v>2184</v>
      </c>
      <c r="U34" s="23"/>
      <c r="V34" s="23"/>
      <c r="W34" s="1">
        <f t="shared" si="4"/>
        <v>18.011538461538461</v>
      </c>
      <c r="X34" s="1">
        <f t="shared" si="5"/>
        <v>9.611538461538462</v>
      </c>
      <c r="Y34" s="1">
        <v>289</v>
      </c>
      <c r="Z34" s="1">
        <v>290.39999999999998</v>
      </c>
      <c r="AA34" s="1">
        <v>227.6</v>
      </c>
      <c r="AB34" s="1">
        <v>252.4</v>
      </c>
      <c r="AC34" s="1">
        <v>248.2</v>
      </c>
      <c r="AD34" s="1">
        <v>146.19999999999999</v>
      </c>
      <c r="AE34" s="1">
        <v>200.6</v>
      </c>
      <c r="AF34" s="1">
        <v>208.4</v>
      </c>
      <c r="AG34" s="1">
        <v>185.6</v>
      </c>
      <c r="AH34" s="1">
        <v>184</v>
      </c>
      <c r="AI34" s="1"/>
      <c r="AJ34" s="1">
        <f t="shared" si="19"/>
        <v>551.75000000000011</v>
      </c>
      <c r="AK34" s="7">
        <v>12</v>
      </c>
      <c r="AL34" s="9">
        <f t="shared" ref="AL34:AL35" si="29">MROUND(S34, AK34*AN34)/AK34-AQ34</f>
        <v>42</v>
      </c>
      <c r="AM34" s="1">
        <f t="shared" si="21"/>
        <v>126</v>
      </c>
      <c r="AN34" s="1">
        <v>14</v>
      </c>
      <c r="AO34" s="1">
        <v>70</v>
      </c>
      <c r="AP34" s="9">
        <f t="shared" si="22"/>
        <v>0.6</v>
      </c>
      <c r="AQ34" s="9">
        <v>140</v>
      </c>
      <c r="AR34" s="1">
        <f t="shared" ref="AR34:AR35" si="30">AQ34*AK34*H34</f>
        <v>420</v>
      </c>
      <c r="AS34" s="9">
        <f t="shared" ref="AS34:AS35" si="31">AQ34/AO34</f>
        <v>2</v>
      </c>
      <c r="AT34" s="1"/>
      <c r="AU34" s="1"/>
      <c r="AV34" s="1"/>
      <c r="AW34" s="1"/>
      <c r="AX34" s="1"/>
      <c r="AY34" s="1"/>
      <c r="AZ34" s="1"/>
    </row>
    <row r="35" spans="1:52" hidden="1" x14ac:dyDescent="0.25">
      <c r="A35" s="1" t="s">
        <v>101</v>
      </c>
      <c r="B35" s="1" t="s">
        <v>42</v>
      </c>
      <c r="C35" s="1">
        <v>2406</v>
      </c>
      <c r="D35" s="1">
        <v>622</v>
      </c>
      <c r="E35" s="1">
        <v>819</v>
      </c>
      <c r="F35" s="1">
        <v>1921</v>
      </c>
      <c r="G35" s="1"/>
      <c r="H35" s="7">
        <v>0.25</v>
      </c>
      <c r="I35" s="1">
        <v>365</v>
      </c>
      <c r="J35" s="1" t="s">
        <v>102</v>
      </c>
      <c r="K35" s="1"/>
      <c r="L35" s="1">
        <v>950</v>
      </c>
      <c r="M35" s="1">
        <f t="shared" si="2"/>
        <v>-131</v>
      </c>
      <c r="N35" s="1"/>
      <c r="O35" s="1"/>
      <c r="P35" s="1"/>
      <c r="Q35" s="1">
        <f t="shared" si="3"/>
        <v>163.80000000000001</v>
      </c>
      <c r="R35" s="5">
        <v>372.20000000000027</v>
      </c>
      <c r="S35" s="5">
        <f t="shared" si="27"/>
        <v>1043.7800000000004</v>
      </c>
      <c r="T35" s="5">
        <f t="shared" si="28"/>
        <v>1008</v>
      </c>
      <c r="U35" s="23"/>
      <c r="V35" s="23"/>
      <c r="W35" s="1">
        <f t="shared" si="4"/>
        <v>17.881562881562882</v>
      </c>
      <c r="X35" s="1">
        <f t="shared" si="5"/>
        <v>11.727716727716727</v>
      </c>
      <c r="Y35" s="1">
        <v>199.2</v>
      </c>
      <c r="Z35" s="1">
        <v>206.4</v>
      </c>
      <c r="AA35" s="1">
        <v>201.6</v>
      </c>
      <c r="AB35" s="1">
        <v>235.8</v>
      </c>
      <c r="AC35" s="1">
        <v>207.2</v>
      </c>
      <c r="AD35" s="1">
        <v>101.4</v>
      </c>
      <c r="AE35" s="1">
        <v>172</v>
      </c>
      <c r="AF35" s="1">
        <v>179.4</v>
      </c>
      <c r="AG35" s="1">
        <v>147.80000000000001</v>
      </c>
      <c r="AH35" s="1">
        <v>128.4</v>
      </c>
      <c r="AI35" s="1"/>
      <c r="AJ35" s="1">
        <f t="shared" si="19"/>
        <v>260.94500000000011</v>
      </c>
      <c r="AK35" s="7">
        <v>12</v>
      </c>
      <c r="AL35" s="9">
        <f t="shared" si="29"/>
        <v>84</v>
      </c>
      <c r="AM35" s="1">
        <f t="shared" si="21"/>
        <v>252</v>
      </c>
      <c r="AN35" s="1">
        <v>14</v>
      </c>
      <c r="AO35" s="1">
        <v>70</v>
      </c>
      <c r="AP35" s="9">
        <f t="shared" si="22"/>
        <v>1.2</v>
      </c>
      <c r="AQ35" s="9"/>
      <c r="AR35" s="1">
        <f t="shared" si="30"/>
        <v>0</v>
      </c>
      <c r="AS35" s="9">
        <f t="shared" si="31"/>
        <v>0</v>
      </c>
      <c r="AT35" s="1"/>
      <c r="AU35" s="1"/>
      <c r="AV35" s="1"/>
      <c r="AW35" s="1"/>
      <c r="AX35" s="1"/>
      <c r="AY35" s="1"/>
      <c r="AZ35" s="1"/>
    </row>
    <row r="36" spans="1:52" hidden="1" x14ac:dyDescent="0.25">
      <c r="A36" s="1" t="s">
        <v>103</v>
      </c>
      <c r="B36" s="1" t="s">
        <v>42</v>
      </c>
      <c r="C36" s="1">
        <v>1284</v>
      </c>
      <c r="D36" s="1">
        <v>724</v>
      </c>
      <c r="E36" s="1">
        <v>279</v>
      </c>
      <c r="F36" s="1">
        <v>1545</v>
      </c>
      <c r="G36" s="1"/>
      <c r="H36" s="7">
        <v>0.25</v>
      </c>
      <c r="I36" s="1">
        <v>180</v>
      </c>
      <c r="J36" s="1" t="s">
        <v>104</v>
      </c>
      <c r="K36" s="1"/>
      <c r="L36" s="1">
        <v>348</v>
      </c>
      <c r="M36" s="1">
        <f t="shared" si="2"/>
        <v>-69</v>
      </c>
      <c r="N36" s="1"/>
      <c r="O36" s="1"/>
      <c r="P36" s="1"/>
      <c r="Q36" s="1">
        <f t="shared" si="3"/>
        <v>55.8</v>
      </c>
      <c r="R36" s="5"/>
      <c r="S36" s="5"/>
      <c r="T36" s="5">
        <f t="shared" si="25"/>
        <v>0</v>
      </c>
      <c r="U36" s="23"/>
      <c r="V36" s="23"/>
      <c r="W36" s="1">
        <f t="shared" si="4"/>
        <v>27.688172043010756</v>
      </c>
      <c r="X36" s="1">
        <f t="shared" si="5"/>
        <v>27.688172043010756</v>
      </c>
      <c r="Y36" s="1">
        <v>145</v>
      </c>
      <c r="Z36" s="1">
        <v>114.6</v>
      </c>
      <c r="AA36" s="1">
        <v>107.6</v>
      </c>
      <c r="AB36" s="1">
        <v>132</v>
      </c>
      <c r="AC36" s="1">
        <v>114.8</v>
      </c>
      <c r="AD36" s="1">
        <v>63.6</v>
      </c>
      <c r="AE36" s="1">
        <v>124.6</v>
      </c>
      <c r="AF36" s="1">
        <v>128.80000000000001</v>
      </c>
      <c r="AG36" s="1">
        <v>117.8</v>
      </c>
      <c r="AH36" s="1">
        <v>114.4</v>
      </c>
      <c r="AI36" s="19" t="s">
        <v>142</v>
      </c>
      <c r="AJ36" s="1">
        <f t="shared" si="19"/>
        <v>0</v>
      </c>
      <c r="AK36" s="7">
        <v>12</v>
      </c>
      <c r="AL36" s="9">
        <f t="shared" si="26"/>
        <v>0</v>
      </c>
      <c r="AM36" s="1">
        <f t="shared" si="21"/>
        <v>0</v>
      </c>
      <c r="AN36" s="1">
        <v>14</v>
      </c>
      <c r="AO36" s="1">
        <v>70</v>
      </c>
      <c r="AP36" s="9">
        <f t="shared" si="22"/>
        <v>0</v>
      </c>
      <c r="AQ36" s="9"/>
      <c r="AR36" s="1"/>
      <c r="AS36" s="9"/>
      <c r="AT36" s="1"/>
      <c r="AU36" s="1"/>
      <c r="AV36" s="1"/>
      <c r="AW36" s="1"/>
      <c r="AX36" s="1"/>
      <c r="AY36" s="1"/>
      <c r="AZ36" s="1"/>
    </row>
    <row r="37" spans="1:52" hidden="1" x14ac:dyDescent="0.25">
      <c r="A37" s="1" t="s">
        <v>105</v>
      </c>
      <c r="B37" s="1" t="s">
        <v>42</v>
      </c>
      <c r="C37" s="1">
        <v>125</v>
      </c>
      <c r="D37" s="1">
        <v>1955</v>
      </c>
      <c r="E37" s="1">
        <v>299</v>
      </c>
      <c r="F37" s="1">
        <v>1519</v>
      </c>
      <c r="G37" s="1"/>
      <c r="H37" s="7">
        <v>0.25</v>
      </c>
      <c r="I37" s="1">
        <v>180</v>
      </c>
      <c r="J37" s="1" t="s">
        <v>106</v>
      </c>
      <c r="K37" s="1"/>
      <c r="L37" s="1">
        <v>440</v>
      </c>
      <c r="M37" s="1">
        <f t="shared" si="2"/>
        <v>-141</v>
      </c>
      <c r="N37" s="1"/>
      <c r="O37" s="1"/>
      <c r="P37" s="1"/>
      <c r="Q37" s="1">
        <f t="shared" si="3"/>
        <v>59.8</v>
      </c>
      <c r="R37" s="5"/>
      <c r="S37" s="5"/>
      <c r="T37" s="5">
        <f t="shared" si="25"/>
        <v>0</v>
      </c>
      <c r="U37" s="23"/>
      <c r="V37" s="23"/>
      <c r="W37" s="1">
        <f t="shared" si="4"/>
        <v>25.401337792642142</v>
      </c>
      <c r="X37" s="1">
        <f t="shared" si="5"/>
        <v>25.401337792642142</v>
      </c>
      <c r="Y37" s="1">
        <v>131</v>
      </c>
      <c r="Z37" s="1">
        <v>134</v>
      </c>
      <c r="AA37" s="1">
        <v>93.4</v>
      </c>
      <c r="AB37" s="1">
        <v>62.6</v>
      </c>
      <c r="AC37" s="1">
        <v>75.8</v>
      </c>
      <c r="AD37" s="1">
        <v>49.6</v>
      </c>
      <c r="AE37" s="1">
        <v>59.6</v>
      </c>
      <c r="AF37" s="1">
        <v>75.8</v>
      </c>
      <c r="AG37" s="1">
        <v>61.4</v>
      </c>
      <c r="AH37" s="1">
        <v>40.6</v>
      </c>
      <c r="AI37" s="1"/>
      <c r="AJ37" s="1">
        <f t="shared" si="19"/>
        <v>0</v>
      </c>
      <c r="AK37" s="7">
        <v>12</v>
      </c>
      <c r="AL37" s="9">
        <f t="shared" si="26"/>
        <v>0</v>
      </c>
      <c r="AM37" s="1">
        <f t="shared" si="21"/>
        <v>0</v>
      </c>
      <c r="AN37" s="1">
        <v>14</v>
      </c>
      <c r="AO37" s="1">
        <v>70</v>
      </c>
      <c r="AP37" s="9">
        <f t="shared" si="22"/>
        <v>0</v>
      </c>
      <c r="AQ37" s="9"/>
      <c r="AR37" s="1"/>
      <c r="AS37" s="9"/>
      <c r="AT37" s="1"/>
      <c r="AU37" s="1"/>
      <c r="AV37" s="1"/>
      <c r="AW37" s="1"/>
      <c r="AX37" s="1"/>
      <c r="AY37" s="1"/>
      <c r="AZ37" s="1"/>
    </row>
    <row r="38" spans="1:52" hidden="1" x14ac:dyDescent="0.25">
      <c r="A38" s="1" t="s">
        <v>107</v>
      </c>
      <c r="B38" s="1" t="s">
        <v>42</v>
      </c>
      <c r="C38" s="1">
        <v>312</v>
      </c>
      <c r="D38" s="1">
        <v>604</v>
      </c>
      <c r="E38" s="1">
        <v>167</v>
      </c>
      <c r="F38" s="1">
        <v>682</v>
      </c>
      <c r="G38" s="1"/>
      <c r="H38" s="7">
        <v>0.7</v>
      </c>
      <c r="I38" s="1">
        <v>180</v>
      </c>
      <c r="J38" s="1" t="s">
        <v>108</v>
      </c>
      <c r="K38" s="1"/>
      <c r="L38" s="1">
        <v>199</v>
      </c>
      <c r="M38" s="1">
        <f t="shared" ref="M38:M69" si="32">E38-L38</f>
        <v>-32</v>
      </c>
      <c r="N38" s="1"/>
      <c r="O38" s="1"/>
      <c r="P38" s="1"/>
      <c r="Q38" s="1">
        <f t="shared" ref="Q38:Q72" si="33">E38/5</f>
        <v>33.4</v>
      </c>
      <c r="R38" s="5"/>
      <c r="S38" s="5"/>
      <c r="T38" s="5">
        <f t="shared" si="25"/>
        <v>0</v>
      </c>
      <c r="U38" s="23"/>
      <c r="V38" s="23"/>
      <c r="W38" s="1">
        <f t="shared" si="4"/>
        <v>20.419161676646709</v>
      </c>
      <c r="X38" s="1">
        <f t="shared" si="5"/>
        <v>20.419161676646709</v>
      </c>
      <c r="Y38" s="1">
        <v>60.6</v>
      </c>
      <c r="Z38" s="1">
        <v>58.4</v>
      </c>
      <c r="AA38" s="1">
        <v>56.6</v>
      </c>
      <c r="AB38" s="1">
        <v>41.4</v>
      </c>
      <c r="AC38" s="1">
        <v>61.4</v>
      </c>
      <c r="AD38" s="1">
        <v>34.4</v>
      </c>
      <c r="AE38" s="1">
        <v>60.6</v>
      </c>
      <c r="AF38" s="1">
        <v>78.2</v>
      </c>
      <c r="AG38" s="1">
        <v>57.4</v>
      </c>
      <c r="AH38" s="1">
        <v>49.6</v>
      </c>
      <c r="AI38" s="1"/>
      <c r="AJ38" s="1">
        <f t="shared" si="19"/>
        <v>0</v>
      </c>
      <c r="AK38" s="7">
        <v>8</v>
      </c>
      <c r="AL38" s="9">
        <f t="shared" si="26"/>
        <v>0</v>
      </c>
      <c r="AM38" s="1">
        <f t="shared" si="21"/>
        <v>0</v>
      </c>
      <c r="AN38" s="1">
        <v>12</v>
      </c>
      <c r="AO38" s="1">
        <v>84</v>
      </c>
      <c r="AP38" s="9">
        <f t="shared" si="22"/>
        <v>0</v>
      </c>
      <c r="AQ38" s="9"/>
      <c r="AR38" s="1"/>
      <c r="AS38" s="9"/>
      <c r="AT38" s="1"/>
      <c r="AU38" s="1"/>
      <c r="AV38" s="1"/>
      <c r="AW38" s="1"/>
      <c r="AX38" s="1"/>
      <c r="AY38" s="1"/>
      <c r="AZ38" s="1"/>
    </row>
    <row r="39" spans="1:52" hidden="1" x14ac:dyDescent="0.25">
      <c r="A39" s="1" t="s">
        <v>109</v>
      </c>
      <c r="B39" s="1" t="s">
        <v>42</v>
      </c>
      <c r="C39" s="1">
        <v>97</v>
      </c>
      <c r="D39" s="1">
        <v>302</v>
      </c>
      <c r="E39" s="1">
        <v>111</v>
      </c>
      <c r="F39" s="1">
        <v>241</v>
      </c>
      <c r="G39" s="1"/>
      <c r="H39" s="7">
        <v>0.7</v>
      </c>
      <c r="I39" s="1">
        <v>180</v>
      </c>
      <c r="J39" s="1" t="s">
        <v>110</v>
      </c>
      <c r="K39" s="1"/>
      <c r="L39" s="1">
        <v>178</v>
      </c>
      <c r="M39" s="1">
        <f t="shared" si="32"/>
        <v>-67</v>
      </c>
      <c r="N39" s="1"/>
      <c r="O39" s="1"/>
      <c r="P39" s="1"/>
      <c r="Q39" s="1">
        <f t="shared" si="33"/>
        <v>22.2</v>
      </c>
      <c r="R39" s="5">
        <v>69.800000000000011</v>
      </c>
      <c r="S39" s="5">
        <f>IF(($T$1-X39)*Q39&lt;0,0,($T$1-X39)*Q39)</f>
        <v>160.82000000000002</v>
      </c>
      <c r="T39" s="5">
        <f>AK39*AL39+AQ39*AK39</f>
        <v>192</v>
      </c>
      <c r="U39" s="23"/>
      <c r="V39" s="23"/>
      <c r="W39" s="1">
        <f t="shared" si="4"/>
        <v>19.504504504504506</v>
      </c>
      <c r="X39" s="1">
        <f t="shared" si="5"/>
        <v>10.855855855855856</v>
      </c>
      <c r="Y39" s="1">
        <v>21.8</v>
      </c>
      <c r="Z39" s="1">
        <v>23.4</v>
      </c>
      <c r="AA39" s="1">
        <v>23.6</v>
      </c>
      <c r="AB39" s="1">
        <v>22.2</v>
      </c>
      <c r="AC39" s="1">
        <v>33.799999999999997</v>
      </c>
      <c r="AD39" s="1">
        <v>6</v>
      </c>
      <c r="AE39" s="1">
        <v>38.799999999999997</v>
      </c>
      <c r="AF39" s="1">
        <v>37.4</v>
      </c>
      <c r="AG39" s="1">
        <v>41.4</v>
      </c>
      <c r="AH39" s="1">
        <v>38.6</v>
      </c>
      <c r="AI39" s="1"/>
      <c r="AJ39" s="1">
        <f t="shared" si="19"/>
        <v>112.57400000000001</v>
      </c>
      <c r="AK39" s="7">
        <v>8</v>
      </c>
      <c r="AL39" s="9">
        <f>MROUND(S39, AK39*AN39)/AK39-AQ39</f>
        <v>24</v>
      </c>
      <c r="AM39" s="1">
        <f t="shared" si="21"/>
        <v>134.39999999999998</v>
      </c>
      <c r="AN39" s="1">
        <v>12</v>
      </c>
      <c r="AO39" s="1">
        <v>84</v>
      </c>
      <c r="AP39" s="9">
        <f t="shared" si="22"/>
        <v>0.2857142857142857</v>
      </c>
      <c r="AQ39" s="9"/>
      <c r="AR39" s="1">
        <f>AQ39*AK39*H39</f>
        <v>0</v>
      </c>
      <c r="AS39" s="9">
        <f>AQ39/AO39</f>
        <v>0</v>
      </c>
      <c r="AT39" s="1"/>
      <c r="AU39" s="1"/>
      <c r="AV39" s="1"/>
      <c r="AW39" s="1"/>
      <c r="AX39" s="1"/>
      <c r="AY39" s="1"/>
      <c r="AZ39" s="1"/>
    </row>
    <row r="40" spans="1:52" hidden="1" x14ac:dyDescent="0.25">
      <c r="A40" s="1" t="s">
        <v>111</v>
      </c>
      <c r="B40" s="1" t="s">
        <v>42</v>
      </c>
      <c r="C40" s="1">
        <v>-3</v>
      </c>
      <c r="D40" s="1">
        <v>14</v>
      </c>
      <c r="E40" s="1">
        <v>11</v>
      </c>
      <c r="F40" s="1"/>
      <c r="G40" s="1"/>
      <c r="H40" s="7">
        <v>0.7</v>
      </c>
      <c r="I40" s="1">
        <v>180</v>
      </c>
      <c r="J40" s="1" t="s">
        <v>112</v>
      </c>
      <c r="K40" s="1"/>
      <c r="L40" s="1">
        <v>160</v>
      </c>
      <c r="M40" s="1">
        <f t="shared" si="32"/>
        <v>-149</v>
      </c>
      <c r="N40" s="1"/>
      <c r="O40" s="1"/>
      <c r="P40" s="1"/>
      <c r="Q40" s="1">
        <f t="shared" si="33"/>
        <v>2.2000000000000002</v>
      </c>
      <c r="R40" s="22">
        <v>0</v>
      </c>
      <c r="S40" s="22">
        <v>0</v>
      </c>
      <c r="T40" s="22">
        <f t="shared" si="25"/>
        <v>0</v>
      </c>
      <c r="U40" s="25"/>
      <c r="V40" s="25"/>
      <c r="W40" s="1">
        <f t="shared" si="4"/>
        <v>0</v>
      </c>
      <c r="X40" s="1">
        <f t="shared" si="5"/>
        <v>0</v>
      </c>
      <c r="Y40" s="1">
        <v>56.2</v>
      </c>
      <c r="Z40" s="1">
        <v>52.2</v>
      </c>
      <c r="AA40" s="1">
        <v>50</v>
      </c>
      <c r="AB40" s="1">
        <v>41.6</v>
      </c>
      <c r="AC40" s="1">
        <v>54</v>
      </c>
      <c r="AD40" s="1">
        <v>29</v>
      </c>
      <c r="AE40" s="1">
        <v>49.6</v>
      </c>
      <c r="AF40" s="1">
        <v>66.2</v>
      </c>
      <c r="AG40" s="1">
        <v>68.400000000000006</v>
      </c>
      <c r="AH40" s="1">
        <v>73.2</v>
      </c>
      <c r="AI40" s="20" t="s">
        <v>113</v>
      </c>
      <c r="AJ40" s="1">
        <f t="shared" si="19"/>
        <v>0</v>
      </c>
      <c r="AK40" s="7">
        <v>8</v>
      </c>
      <c r="AL40" s="9">
        <f t="shared" si="26"/>
        <v>0</v>
      </c>
      <c r="AM40" s="1">
        <f t="shared" si="21"/>
        <v>0</v>
      </c>
      <c r="AN40" s="1">
        <v>12</v>
      </c>
      <c r="AO40" s="1">
        <v>84</v>
      </c>
      <c r="AP40" s="9">
        <f t="shared" si="22"/>
        <v>0</v>
      </c>
      <c r="AQ40" s="9"/>
      <c r="AR40" s="1"/>
      <c r="AS40" s="9"/>
      <c r="AT40" s="1"/>
      <c r="AU40" s="1"/>
      <c r="AV40" s="1"/>
      <c r="AW40" s="1"/>
      <c r="AX40" s="1"/>
      <c r="AY40" s="1"/>
      <c r="AZ40" s="1"/>
    </row>
    <row r="41" spans="1:52" hidden="1" x14ac:dyDescent="0.25">
      <c r="A41" s="1" t="s">
        <v>114</v>
      </c>
      <c r="B41" s="1" t="s">
        <v>42</v>
      </c>
      <c r="C41" s="1">
        <v>367</v>
      </c>
      <c r="D41" s="1">
        <v>456</v>
      </c>
      <c r="E41" s="1">
        <v>189</v>
      </c>
      <c r="F41" s="1">
        <v>488</v>
      </c>
      <c r="G41" s="1"/>
      <c r="H41" s="7">
        <v>0.7</v>
      </c>
      <c r="I41" s="1">
        <v>180</v>
      </c>
      <c r="J41" s="1" t="s">
        <v>68</v>
      </c>
      <c r="K41" s="1"/>
      <c r="L41" s="1">
        <v>328</v>
      </c>
      <c r="M41" s="1">
        <f t="shared" si="32"/>
        <v>-139</v>
      </c>
      <c r="N41" s="1"/>
      <c r="O41" s="1"/>
      <c r="P41" s="1"/>
      <c r="Q41" s="1">
        <f t="shared" si="33"/>
        <v>37.799999999999997</v>
      </c>
      <c r="R41" s="5">
        <v>79</v>
      </c>
      <c r="S41" s="5">
        <f t="shared" ref="S41:S43" si="34">IF(($T$1-X41)*Q41&lt;0,0,($T$1-X41)*Q41)</f>
        <v>196.17999999999998</v>
      </c>
      <c r="T41" s="5">
        <f>AK41*AL41+AQ41*AK41</f>
        <v>240</v>
      </c>
      <c r="U41" s="23"/>
      <c r="V41" s="23"/>
      <c r="W41" s="1">
        <f t="shared" si="4"/>
        <v>19.25925925925926</v>
      </c>
      <c r="X41" s="1">
        <f t="shared" si="5"/>
        <v>12.910052910052912</v>
      </c>
      <c r="Y41" s="1">
        <v>41.8</v>
      </c>
      <c r="Z41" s="1">
        <v>45.8</v>
      </c>
      <c r="AA41" s="1">
        <v>48.4</v>
      </c>
      <c r="AB41" s="1">
        <v>54.4</v>
      </c>
      <c r="AC41" s="1">
        <v>123.6</v>
      </c>
      <c r="AD41" s="1">
        <v>37.200000000000003</v>
      </c>
      <c r="AE41" s="1">
        <v>58.6</v>
      </c>
      <c r="AF41" s="1">
        <v>23.4</v>
      </c>
      <c r="AG41" s="1">
        <v>73</v>
      </c>
      <c r="AH41" s="1">
        <v>37.4</v>
      </c>
      <c r="AI41" s="1"/>
      <c r="AJ41" s="1">
        <f t="shared" si="19"/>
        <v>137.32599999999996</v>
      </c>
      <c r="AK41" s="7">
        <v>10</v>
      </c>
      <c r="AL41" s="9">
        <f>MROUND(S41, AK41*AN41)/AK41-AQ41</f>
        <v>24</v>
      </c>
      <c r="AM41" s="1">
        <f t="shared" si="21"/>
        <v>168</v>
      </c>
      <c r="AN41" s="1">
        <v>12</v>
      </c>
      <c r="AO41" s="1">
        <v>84</v>
      </c>
      <c r="AP41" s="9">
        <f t="shared" si="22"/>
        <v>0.2857142857142857</v>
      </c>
      <c r="AQ41" s="9"/>
      <c r="AR41" s="1">
        <f>AQ41*AK41*H41</f>
        <v>0</v>
      </c>
      <c r="AS41" s="9">
        <f>AQ41/AO41</f>
        <v>0</v>
      </c>
      <c r="AT41" s="1"/>
      <c r="AU41" s="1"/>
      <c r="AV41" s="1"/>
      <c r="AW41" s="1"/>
      <c r="AX41" s="1"/>
      <c r="AY41" s="1"/>
      <c r="AZ41" s="1"/>
    </row>
    <row r="42" spans="1:52" hidden="1" x14ac:dyDescent="0.25">
      <c r="A42" s="1" t="s">
        <v>115</v>
      </c>
      <c r="B42" s="1" t="s">
        <v>42</v>
      </c>
      <c r="C42" s="1">
        <v>315</v>
      </c>
      <c r="D42" s="1">
        <v>904</v>
      </c>
      <c r="E42" s="1">
        <v>238</v>
      </c>
      <c r="F42" s="1">
        <v>859</v>
      </c>
      <c r="G42" s="1"/>
      <c r="H42" s="7">
        <v>0.7</v>
      </c>
      <c r="I42" s="1">
        <v>180</v>
      </c>
      <c r="J42" s="1" t="s">
        <v>116</v>
      </c>
      <c r="K42" s="1"/>
      <c r="L42" s="1">
        <v>621</v>
      </c>
      <c r="M42" s="1">
        <f t="shared" si="32"/>
        <v>-383</v>
      </c>
      <c r="N42" s="1"/>
      <c r="O42" s="1"/>
      <c r="P42" s="1"/>
      <c r="Q42" s="1">
        <f t="shared" si="33"/>
        <v>47.6</v>
      </c>
      <c r="R42" s="5"/>
      <c r="S42" s="5">
        <f t="shared" si="34"/>
        <v>2.5600000000001599</v>
      </c>
      <c r="T42" s="5">
        <f t="shared" si="25"/>
        <v>0</v>
      </c>
      <c r="U42" s="23"/>
      <c r="V42" s="23"/>
      <c r="W42" s="1">
        <f t="shared" si="4"/>
        <v>18.046218487394956</v>
      </c>
      <c r="X42" s="1">
        <f t="shared" si="5"/>
        <v>18.046218487394956</v>
      </c>
      <c r="Y42" s="1">
        <v>76.8</v>
      </c>
      <c r="Z42" s="1">
        <v>52</v>
      </c>
      <c r="AA42" s="1">
        <v>53.8</v>
      </c>
      <c r="AB42" s="1">
        <v>69</v>
      </c>
      <c r="AC42" s="1">
        <v>61.6</v>
      </c>
      <c r="AD42" s="1">
        <v>3.6</v>
      </c>
      <c r="AE42" s="1">
        <v>67</v>
      </c>
      <c r="AF42" s="1">
        <v>51.6</v>
      </c>
      <c r="AG42" s="1">
        <v>19</v>
      </c>
      <c r="AH42" s="1">
        <v>103.4</v>
      </c>
      <c r="AI42" s="1"/>
      <c r="AJ42" s="1">
        <f t="shared" si="19"/>
        <v>1.7920000000001117</v>
      </c>
      <c r="AK42" s="7">
        <v>10</v>
      </c>
      <c r="AL42" s="9">
        <f t="shared" si="26"/>
        <v>0</v>
      </c>
      <c r="AM42" s="1">
        <f t="shared" si="21"/>
        <v>0</v>
      </c>
      <c r="AN42" s="1">
        <v>12</v>
      </c>
      <c r="AO42" s="1">
        <v>84</v>
      </c>
      <c r="AP42" s="9">
        <f t="shared" si="22"/>
        <v>0</v>
      </c>
      <c r="AQ42" s="9"/>
      <c r="AR42" s="1"/>
      <c r="AS42" s="9"/>
      <c r="AT42" s="1"/>
      <c r="AU42" s="1"/>
      <c r="AV42" s="1"/>
      <c r="AW42" s="1"/>
      <c r="AX42" s="1"/>
      <c r="AY42" s="1"/>
      <c r="AZ42" s="1"/>
    </row>
    <row r="43" spans="1:52" hidden="1" x14ac:dyDescent="0.25">
      <c r="A43" s="1" t="s">
        <v>117</v>
      </c>
      <c r="B43" s="1" t="s">
        <v>42</v>
      </c>
      <c r="C43" s="1">
        <v>518</v>
      </c>
      <c r="D43" s="1">
        <v>478</v>
      </c>
      <c r="E43" s="1">
        <v>364</v>
      </c>
      <c r="F43" s="1">
        <v>594</v>
      </c>
      <c r="G43" s="1"/>
      <c r="H43" s="7">
        <v>0.4</v>
      </c>
      <c r="I43" s="1">
        <v>180</v>
      </c>
      <c r="J43" s="1" t="s">
        <v>118</v>
      </c>
      <c r="K43" s="1"/>
      <c r="L43" s="1">
        <v>528</v>
      </c>
      <c r="M43" s="1">
        <f t="shared" si="32"/>
        <v>-164</v>
      </c>
      <c r="N43" s="1"/>
      <c r="O43" s="1"/>
      <c r="P43" s="1"/>
      <c r="Q43" s="1">
        <f t="shared" si="33"/>
        <v>72.8</v>
      </c>
      <c r="R43" s="5">
        <v>425.19999999999993</v>
      </c>
      <c r="S43" s="5">
        <f t="shared" si="34"/>
        <v>723.68000000000006</v>
      </c>
      <c r="T43" s="5">
        <f>AK43*AL43+AQ43*AK43</f>
        <v>768</v>
      </c>
      <c r="U43" s="23"/>
      <c r="V43" s="23"/>
      <c r="W43" s="1">
        <f t="shared" si="4"/>
        <v>18.708791208791208</v>
      </c>
      <c r="X43" s="1">
        <f t="shared" si="5"/>
        <v>8.1593406593406588</v>
      </c>
      <c r="Y43" s="1">
        <v>63.4</v>
      </c>
      <c r="Z43" s="1">
        <v>38.6</v>
      </c>
      <c r="AA43" s="1">
        <v>33.200000000000003</v>
      </c>
      <c r="AB43" s="1">
        <v>68.8</v>
      </c>
      <c r="AC43" s="1">
        <v>37.200000000000003</v>
      </c>
      <c r="AD43" s="1">
        <v>2.4</v>
      </c>
      <c r="AE43" s="1">
        <v>63</v>
      </c>
      <c r="AF43" s="1">
        <v>37.4</v>
      </c>
      <c r="AG43" s="1">
        <v>27.4</v>
      </c>
      <c r="AH43" s="1">
        <v>85.8</v>
      </c>
      <c r="AI43" s="1"/>
      <c r="AJ43" s="1">
        <f t="shared" si="19"/>
        <v>289.47200000000004</v>
      </c>
      <c r="AK43" s="7">
        <v>16</v>
      </c>
      <c r="AL43" s="9">
        <f>MROUND(S43, AK43*AN43)/AK43-AQ43</f>
        <v>48</v>
      </c>
      <c r="AM43" s="1">
        <f t="shared" si="21"/>
        <v>307.20000000000005</v>
      </c>
      <c r="AN43" s="1">
        <v>12</v>
      </c>
      <c r="AO43" s="1">
        <v>84</v>
      </c>
      <c r="AP43" s="9">
        <f t="shared" si="22"/>
        <v>0.5714285714285714</v>
      </c>
      <c r="AQ43" s="9"/>
      <c r="AR43" s="1">
        <f>AQ43*AK43*H43</f>
        <v>0</v>
      </c>
      <c r="AS43" s="9">
        <f>AQ43/AO43</f>
        <v>0</v>
      </c>
      <c r="AT43" s="1"/>
      <c r="AU43" s="1"/>
      <c r="AV43" s="1"/>
      <c r="AW43" s="1"/>
      <c r="AX43" s="1"/>
      <c r="AY43" s="1"/>
      <c r="AZ43" s="1"/>
    </row>
    <row r="44" spans="1:52" hidden="1" x14ac:dyDescent="0.25">
      <c r="A44" s="1" t="s">
        <v>119</v>
      </c>
      <c r="B44" s="1" t="s">
        <v>42</v>
      </c>
      <c r="C44" s="1">
        <v>415</v>
      </c>
      <c r="D44" s="1">
        <v>1015</v>
      </c>
      <c r="E44" s="1">
        <v>196</v>
      </c>
      <c r="F44" s="1">
        <v>1092</v>
      </c>
      <c r="G44" s="1"/>
      <c r="H44" s="7">
        <v>0.7</v>
      </c>
      <c r="I44" s="1">
        <v>180</v>
      </c>
      <c r="J44" s="1" t="s">
        <v>120</v>
      </c>
      <c r="K44" s="1"/>
      <c r="L44" s="1">
        <v>264</v>
      </c>
      <c r="M44" s="1">
        <f t="shared" si="32"/>
        <v>-68</v>
      </c>
      <c r="N44" s="1"/>
      <c r="O44" s="1"/>
      <c r="P44" s="1"/>
      <c r="Q44" s="1">
        <f t="shared" si="33"/>
        <v>39.200000000000003</v>
      </c>
      <c r="R44" s="5"/>
      <c r="S44" s="5"/>
      <c r="T44" s="5">
        <f t="shared" si="25"/>
        <v>0</v>
      </c>
      <c r="U44" s="23"/>
      <c r="V44" s="23"/>
      <c r="W44" s="1">
        <f t="shared" si="4"/>
        <v>27.857142857142854</v>
      </c>
      <c r="X44" s="1">
        <f t="shared" si="5"/>
        <v>27.857142857142854</v>
      </c>
      <c r="Y44" s="1">
        <v>87.4</v>
      </c>
      <c r="Z44" s="1">
        <v>89.2</v>
      </c>
      <c r="AA44" s="1">
        <v>65</v>
      </c>
      <c r="AB44" s="1">
        <v>65</v>
      </c>
      <c r="AC44" s="1">
        <v>71.599999999999994</v>
      </c>
      <c r="AD44" s="1">
        <v>42</v>
      </c>
      <c r="AE44" s="1">
        <v>90.6</v>
      </c>
      <c r="AF44" s="1">
        <v>72.8</v>
      </c>
      <c r="AG44" s="1">
        <v>62.2</v>
      </c>
      <c r="AH44" s="1">
        <v>55</v>
      </c>
      <c r="AI44" s="19" t="s">
        <v>142</v>
      </c>
      <c r="AJ44" s="1">
        <f t="shared" si="19"/>
        <v>0</v>
      </c>
      <c r="AK44" s="7">
        <v>10</v>
      </c>
      <c r="AL44" s="9">
        <f t="shared" si="26"/>
        <v>0</v>
      </c>
      <c r="AM44" s="1">
        <f t="shared" si="21"/>
        <v>0</v>
      </c>
      <c r="AN44" s="1">
        <v>12</v>
      </c>
      <c r="AO44" s="1">
        <v>84</v>
      </c>
      <c r="AP44" s="9">
        <f t="shared" si="22"/>
        <v>0</v>
      </c>
      <c r="AQ44" s="9"/>
      <c r="AR44" s="1"/>
      <c r="AS44" s="9"/>
      <c r="AT44" s="1"/>
      <c r="AU44" s="1"/>
      <c r="AV44" s="1"/>
      <c r="AW44" s="1"/>
      <c r="AX44" s="1"/>
      <c r="AY44" s="1"/>
      <c r="AZ44" s="1"/>
    </row>
    <row r="45" spans="1:52" hidden="1" x14ac:dyDescent="0.25">
      <c r="A45" s="1" t="s">
        <v>121</v>
      </c>
      <c r="B45" s="1" t="s">
        <v>42</v>
      </c>
      <c r="C45" s="1">
        <v>1143</v>
      </c>
      <c r="D45" s="1">
        <v>664</v>
      </c>
      <c r="E45" s="1">
        <v>771</v>
      </c>
      <c r="F45" s="1">
        <v>825</v>
      </c>
      <c r="G45" s="1"/>
      <c r="H45" s="7">
        <v>0.7</v>
      </c>
      <c r="I45" s="1">
        <v>180</v>
      </c>
      <c r="J45" s="1" t="s">
        <v>122</v>
      </c>
      <c r="K45" s="1"/>
      <c r="L45" s="1">
        <v>902</v>
      </c>
      <c r="M45" s="1">
        <f t="shared" si="32"/>
        <v>-131</v>
      </c>
      <c r="N45" s="1"/>
      <c r="O45" s="1"/>
      <c r="P45" s="1"/>
      <c r="Q45" s="1">
        <f t="shared" si="33"/>
        <v>154.19999999999999</v>
      </c>
      <c r="R45" s="5">
        <v>1333.7999999999997</v>
      </c>
      <c r="S45" s="5">
        <f>IF(($T$1-X45)*Q45&lt;0,0,($T$1-X45)*Q45)</f>
        <v>1966.02</v>
      </c>
      <c r="T45" s="5">
        <f t="shared" ref="T45:T48" si="35">AK45*AL45+AQ45*AK45</f>
        <v>1920</v>
      </c>
      <c r="U45" s="23"/>
      <c r="V45" s="23"/>
      <c r="W45" s="1">
        <f t="shared" si="4"/>
        <v>17.801556420233464</v>
      </c>
      <c r="X45" s="1">
        <f t="shared" si="5"/>
        <v>5.3501945525291834</v>
      </c>
      <c r="Y45" s="1">
        <v>122.6</v>
      </c>
      <c r="Z45" s="1">
        <v>95.6</v>
      </c>
      <c r="AA45" s="1">
        <v>77.599999999999994</v>
      </c>
      <c r="AB45" s="1">
        <v>130</v>
      </c>
      <c r="AC45" s="1">
        <v>119.4</v>
      </c>
      <c r="AD45" s="1">
        <v>88.6</v>
      </c>
      <c r="AE45" s="1">
        <v>110</v>
      </c>
      <c r="AF45" s="1">
        <v>102.6</v>
      </c>
      <c r="AG45" s="1">
        <v>95.2</v>
      </c>
      <c r="AH45" s="1">
        <v>112.4</v>
      </c>
      <c r="AI45" s="1"/>
      <c r="AJ45" s="1">
        <f t="shared" si="19"/>
        <v>1376.2139999999999</v>
      </c>
      <c r="AK45" s="7">
        <v>10</v>
      </c>
      <c r="AL45" s="9">
        <f t="shared" ref="AL45:AL48" si="36">MROUND(S45, AK45*AN45)/AK45-AQ45</f>
        <v>24</v>
      </c>
      <c r="AM45" s="1">
        <f t="shared" si="21"/>
        <v>168</v>
      </c>
      <c r="AN45" s="1">
        <v>12</v>
      </c>
      <c r="AO45" s="1">
        <v>84</v>
      </c>
      <c r="AP45" s="9">
        <f t="shared" si="22"/>
        <v>0.2857142857142857</v>
      </c>
      <c r="AQ45" s="9">
        <v>168</v>
      </c>
      <c r="AR45" s="1">
        <f t="shared" ref="AR45:AR48" si="37">AQ45*AK45*H45</f>
        <v>1176</v>
      </c>
      <c r="AS45" s="9">
        <f t="shared" ref="AS45:AS48" si="38">AQ45/AO45</f>
        <v>2</v>
      </c>
      <c r="AT45" s="1"/>
      <c r="AU45" s="1"/>
      <c r="AV45" s="1"/>
      <c r="AW45" s="1"/>
      <c r="AX45" s="1"/>
      <c r="AY45" s="1"/>
      <c r="AZ45" s="1"/>
    </row>
    <row r="46" spans="1:52" hidden="1" x14ac:dyDescent="0.25">
      <c r="A46" s="1" t="s">
        <v>123</v>
      </c>
      <c r="B46" s="1" t="s">
        <v>52</v>
      </c>
      <c r="C46" s="1">
        <v>610.1</v>
      </c>
      <c r="D46" s="1">
        <v>215</v>
      </c>
      <c r="E46" s="1">
        <v>240</v>
      </c>
      <c r="F46" s="1">
        <v>505.1</v>
      </c>
      <c r="G46" s="1"/>
      <c r="H46" s="7">
        <v>1</v>
      </c>
      <c r="I46" s="1">
        <v>180</v>
      </c>
      <c r="J46" s="1" t="s">
        <v>124</v>
      </c>
      <c r="K46" s="1"/>
      <c r="L46" s="1">
        <v>285</v>
      </c>
      <c r="M46" s="1">
        <f t="shared" si="32"/>
        <v>-45</v>
      </c>
      <c r="N46" s="1"/>
      <c r="O46" s="1"/>
      <c r="P46" s="1"/>
      <c r="Q46" s="1">
        <f t="shared" si="33"/>
        <v>48</v>
      </c>
      <c r="R46" s="5">
        <v>166.89999999999998</v>
      </c>
      <c r="S46" s="5">
        <f>U46</f>
        <v>400</v>
      </c>
      <c r="T46" s="5">
        <f t="shared" si="35"/>
        <v>420</v>
      </c>
      <c r="U46" s="23">
        <v>400</v>
      </c>
      <c r="V46" s="28" t="s">
        <v>177</v>
      </c>
      <c r="W46" s="1">
        <f t="shared" si="4"/>
        <v>19.272916666666667</v>
      </c>
      <c r="X46" s="1">
        <f t="shared" si="5"/>
        <v>10.522916666666667</v>
      </c>
      <c r="Y46" s="1">
        <v>55</v>
      </c>
      <c r="Z46" s="1">
        <v>54</v>
      </c>
      <c r="AA46" s="1">
        <v>57</v>
      </c>
      <c r="AB46" s="1">
        <v>59</v>
      </c>
      <c r="AC46" s="1">
        <v>88</v>
      </c>
      <c r="AD46" s="1">
        <v>23</v>
      </c>
      <c r="AE46" s="1">
        <v>61.98</v>
      </c>
      <c r="AF46" s="1">
        <v>65</v>
      </c>
      <c r="AG46" s="1">
        <v>96</v>
      </c>
      <c r="AH46" s="1">
        <v>85</v>
      </c>
      <c r="AI46" s="1"/>
      <c r="AJ46" s="1">
        <f t="shared" si="19"/>
        <v>400</v>
      </c>
      <c r="AK46" s="7">
        <v>5</v>
      </c>
      <c r="AL46" s="9">
        <f t="shared" si="36"/>
        <v>84</v>
      </c>
      <c r="AM46" s="1">
        <f t="shared" si="21"/>
        <v>420</v>
      </c>
      <c r="AN46" s="1">
        <v>12</v>
      </c>
      <c r="AO46" s="1">
        <v>144</v>
      </c>
      <c r="AP46" s="9">
        <f t="shared" si="22"/>
        <v>0.58333333333333337</v>
      </c>
      <c r="AQ46" s="9"/>
      <c r="AR46" s="1">
        <f t="shared" si="37"/>
        <v>0</v>
      </c>
      <c r="AS46" s="9">
        <f t="shared" si="38"/>
        <v>0</v>
      </c>
      <c r="AT46" s="1"/>
      <c r="AU46" s="1"/>
      <c r="AV46" s="1"/>
      <c r="AW46" s="1"/>
      <c r="AX46" s="1"/>
      <c r="AY46" s="1"/>
      <c r="AZ46" s="1"/>
    </row>
    <row r="47" spans="1:52" hidden="1" x14ac:dyDescent="0.25">
      <c r="A47" s="1" t="s">
        <v>125</v>
      </c>
      <c r="B47" s="1" t="s">
        <v>42</v>
      </c>
      <c r="C47" s="1">
        <v>1168</v>
      </c>
      <c r="D47" s="1">
        <v>248</v>
      </c>
      <c r="E47" s="1">
        <v>520</v>
      </c>
      <c r="F47" s="1">
        <v>836</v>
      </c>
      <c r="G47" s="1"/>
      <c r="H47" s="7">
        <v>0.4</v>
      </c>
      <c r="I47" s="1">
        <v>180</v>
      </c>
      <c r="J47" s="1" t="s">
        <v>126</v>
      </c>
      <c r="K47" s="1"/>
      <c r="L47" s="1">
        <v>591</v>
      </c>
      <c r="M47" s="1">
        <f t="shared" si="32"/>
        <v>-71</v>
      </c>
      <c r="N47" s="1"/>
      <c r="O47" s="1"/>
      <c r="P47" s="1"/>
      <c r="Q47" s="1">
        <f t="shared" si="33"/>
        <v>104</v>
      </c>
      <c r="R47" s="5">
        <v>620</v>
      </c>
      <c r="S47" s="5">
        <f t="shared" ref="S47:S48" si="39">IF(($T$1-X47)*Q47&lt;0,0,($T$1-X47)*Q47)</f>
        <v>1046.4000000000001</v>
      </c>
      <c r="T47" s="5">
        <f t="shared" si="35"/>
        <v>960</v>
      </c>
      <c r="U47" s="23"/>
      <c r="V47" s="23"/>
      <c r="W47" s="1">
        <f t="shared" si="4"/>
        <v>17.26923076923077</v>
      </c>
      <c r="X47" s="1">
        <f t="shared" si="5"/>
        <v>8.0384615384615383</v>
      </c>
      <c r="Y47" s="1">
        <v>70.8</v>
      </c>
      <c r="Z47" s="1">
        <v>80.8</v>
      </c>
      <c r="AA47" s="1">
        <v>68.400000000000006</v>
      </c>
      <c r="AB47" s="1">
        <v>103.2</v>
      </c>
      <c r="AC47" s="1">
        <v>71.599999999999994</v>
      </c>
      <c r="AD47" s="1">
        <v>41.8</v>
      </c>
      <c r="AE47" s="1">
        <v>70.400000000000006</v>
      </c>
      <c r="AF47" s="1">
        <v>26.6</v>
      </c>
      <c r="AG47" s="1">
        <v>57</v>
      </c>
      <c r="AH47" s="1">
        <v>69</v>
      </c>
      <c r="AI47" s="1"/>
      <c r="AJ47" s="1">
        <f t="shared" si="19"/>
        <v>418.56000000000006</v>
      </c>
      <c r="AK47" s="7">
        <v>16</v>
      </c>
      <c r="AL47" s="9">
        <f t="shared" si="36"/>
        <v>60</v>
      </c>
      <c r="AM47" s="1">
        <f t="shared" si="21"/>
        <v>384</v>
      </c>
      <c r="AN47" s="1">
        <v>12</v>
      </c>
      <c r="AO47" s="1">
        <v>84</v>
      </c>
      <c r="AP47" s="9">
        <f t="shared" si="22"/>
        <v>0.7142857142857143</v>
      </c>
      <c r="AQ47" s="9"/>
      <c r="AR47" s="1">
        <f t="shared" si="37"/>
        <v>0</v>
      </c>
      <c r="AS47" s="9">
        <f t="shared" si="38"/>
        <v>0</v>
      </c>
      <c r="AT47" s="1"/>
      <c r="AU47" s="1"/>
      <c r="AV47" s="1"/>
      <c r="AW47" s="1"/>
      <c r="AX47" s="1"/>
      <c r="AY47" s="1"/>
      <c r="AZ47" s="1"/>
    </row>
    <row r="48" spans="1:52" hidden="1" x14ac:dyDescent="0.25">
      <c r="A48" s="1" t="s">
        <v>127</v>
      </c>
      <c r="B48" s="1" t="s">
        <v>42</v>
      </c>
      <c r="C48" s="1">
        <v>1572</v>
      </c>
      <c r="D48" s="1">
        <v>349</v>
      </c>
      <c r="E48" s="1">
        <v>777</v>
      </c>
      <c r="F48" s="1">
        <v>947</v>
      </c>
      <c r="G48" s="1"/>
      <c r="H48" s="7">
        <v>0.7</v>
      </c>
      <c r="I48" s="1">
        <v>180</v>
      </c>
      <c r="J48" s="1" t="s">
        <v>128</v>
      </c>
      <c r="K48" s="1"/>
      <c r="L48" s="1">
        <v>935</v>
      </c>
      <c r="M48" s="1">
        <f t="shared" si="32"/>
        <v>-158</v>
      </c>
      <c r="N48" s="1"/>
      <c r="O48" s="1"/>
      <c r="P48" s="1"/>
      <c r="Q48" s="1">
        <f t="shared" si="33"/>
        <v>155.4</v>
      </c>
      <c r="R48" s="5">
        <v>1228.5999999999999</v>
      </c>
      <c r="S48" s="5">
        <f t="shared" si="39"/>
        <v>1865.7400000000002</v>
      </c>
      <c r="T48" s="5">
        <f t="shared" si="35"/>
        <v>1920</v>
      </c>
      <c r="U48" s="23"/>
      <c r="V48" s="23"/>
      <c r="W48" s="1">
        <f t="shared" si="4"/>
        <v>18.44916344916345</v>
      </c>
      <c r="X48" s="1">
        <f t="shared" si="5"/>
        <v>6.0939510939510937</v>
      </c>
      <c r="Y48" s="1">
        <v>130.4</v>
      </c>
      <c r="Z48" s="1">
        <v>128</v>
      </c>
      <c r="AA48" s="1">
        <v>106.8</v>
      </c>
      <c r="AB48" s="1">
        <v>112</v>
      </c>
      <c r="AC48" s="1">
        <v>196.6</v>
      </c>
      <c r="AD48" s="1">
        <v>72.8</v>
      </c>
      <c r="AE48" s="1">
        <v>129.80000000000001</v>
      </c>
      <c r="AF48" s="1">
        <v>107.6</v>
      </c>
      <c r="AG48" s="1">
        <v>123.2</v>
      </c>
      <c r="AH48" s="1">
        <v>107</v>
      </c>
      <c r="AI48" s="1"/>
      <c r="AJ48" s="1">
        <f t="shared" si="19"/>
        <v>1306.018</v>
      </c>
      <c r="AK48" s="7">
        <v>10</v>
      </c>
      <c r="AL48" s="9">
        <f t="shared" si="36"/>
        <v>108</v>
      </c>
      <c r="AM48" s="1">
        <f t="shared" si="21"/>
        <v>756</v>
      </c>
      <c r="AN48" s="1">
        <v>12</v>
      </c>
      <c r="AO48" s="1">
        <v>84</v>
      </c>
      <c r="AP48" s="9">
        <f t="shared" si="22"/>
        <v>1.2857142857142858</v>
      </c>
      <c r="AQ48" s="9">
        <v>84</v>
      </c>
      <c r="AR48" s="1">
        <f t="shared" si="37"/>
        <v>588</v>
      </c>
      <c r="AS48" s="9">
        <f t="shared" si="38"/>
        <v>1</v>
      </c>
      <c r="AT48" s="1"/>
      <c r="AU48" s="1"/>
      <c r="AV48" s="1"/>
      <c r="AW48" s="1"/>
      <c r="AX48" s="1"/>
      <c r="AY48" s="1"/>
      <c r="AZ48" s="1"/>
    </row>
    <row r="49" spans="1:52" hidden="1" x14ac:dyDescent="0.25">
      <c r="A49" s="1" t="s">
        <v>129</v>
      </c>
      <c r="B49" s="1" t="s">
        <v>42</v>
      </c>
      <c r="C49" s="1">
        <v>183</v>
      </c>
      <c r="D49" s="1">
        <v>1635</v>
      </c>
      <c r="E49" s="1">
        <v>286</v>
      </c>
      <c r="F49" s="1">
        <v>1304</v>
      </c>
      <c r="G49" s="1"/>
      <c r="H49" s="7">
        <v>0.4</v>
      </c>
      <c r="I49" s="1">
        <v>180</v>
      </c>
      <c r="J49" s="1" t="s">
        <v>130</v>
      </c>
      <c r="K49" s="1"/>
      <c r="L49" s="1">
        <v>732</v>
      </c>
      <c r="M49" s="1">
        <f t="shared" si="32"/>
        <v>-446</v>
      </c>
      <c r="N49" s="1"/>
      <c r="O49" s="1"/>
      <c r="P49" s="1"/>
      <c r="Q49" s="1">
        <f t="shared" si="33"/>
        <v>57.2</v>
      </c>
      <c r="R49" s="5"/>
      <c r="S49" s="5"/>
      <c r="T49" s="5">
        <f t="shared" si="25"/>
        <v>0</v>
      </c>
      <c r="U49" s="23"/>
      <c r="V49" s="23"/>
      <c r="W49" s="1">
        <f t="shared" si="4"/>
        <v>22.797202797202797</v>
      </c>
      <c r="X49" s="1">
        <f t="shared" si="5"/>
        <v>22.797202797202797</v>
      </c>
      <c r="Y49" s="1">
        <v>104.4</v>
      </c>
      <c r="Z49" s="1">
        <v>119</v>
      </c>
      <c r="AA49" s="1">
        <v>69.8</v>
      </c>
      <c r="AB49" s="1">
        <v>16.600000000000001</v>
      </c>
      <c r="AC49" s="1">
        <v>72.400000000000006</v>
      </c>
      <c r="AD49" s="1">
        <v>25.8</v>
      </c>
      <c r="AE49" s="1">
        <v>47.8</v>
      </c>
      <c r="AF49" s="1">
        <v>27</v>
      </c>
      <c r="AG49" s="1">
        <v>42.8</v>
      </c>
      <c r="AH49" s="1">
        <v>26.6</v>
      </c>
      <c r="AI49" s="1"/>
      <c r="AJ49" s="1">
        <f t="shared" si="19"/>
        <v>0</v>
      </c>
      <c r="AK49" s="7">
        <v>16</v>
      </c>
      <c r="AL49" s="9">
        <f t="shared" si="26"/>
        <v>0</v>
      </c>
      <c r="AM49" s="1">
        <f t="shared" si="21"/>
        <v>0</v>
      </c>
      <c r="AN49" s="1">
        <v>12</v>
      </c>
      <c r="AO49" s="1">
        <v>84</v>
      </c>
      <c r="AP49" s="9">
        <f t="shared" si="22"/>
        <v>0</v>
      </c>
      <c r="AQ49" s="9"/>
      <c r="AR49" s="1"/>
      <c r="AS49" s="9"/>
      <c r="AT49" s="1"/>
      <c r="AU49" s="1"/>
      <c r="AV49" s="1"/>
      <c r="AW49" s="1"/>
      <c r="AX49" s="1"/>
      <c r="AY49" s="1"/>
      <c r="AZ49" s="1"/>
    </row>
    <row r="50" spans="1:52" hidden="1" x14ac:dyDescent="0.25">
      <c r="A50" s="1" t="s">
        <v>50</v>
      </c>
      <c r="B50" s="1" t="s">
        <v>42</v>
      </c>
      <c r="C50" s="1">
        <v>2044</v>
      </c>
      <c r="D50" s="1">
        <v>83</v>
      </c>
      <c r="E50" s="1">
        <v>911</v>
      </c>
      <c r="F50" s="18">
        <f>1099+F9</f>
        <v>1247</v>
      </c>
      <c r="G50" s="18"/>
      <c r="H50" s="7">
        <v>0.7</v>
      </c>
      <c r="I50" s="1">
        <v>180</v>
      </c>
      <c r="J50" s="1" t="s">
        <v>131</v>
      </c>
      <c r="K50" s="1"/>
      <c r="L50" s="1">
        <v>1036</v>
      </c>
      <c r="M50" s="1">
        <f t="shared" si="32"/>
        <v>-125</v>
      </c>
      <c r="N50" s="1"/>
      <c r="O50" s="1"/>
      <c r="P50" s="1"/>
      <c r="Q50" s="1">
        <f t="shared" si="33"/>
        <v>182.2</v>
      </c>
      <c r="R50" s="5">
        <v>1303.7999999999997</v>
      </c>
      <c r="S50" s="5">
        <f>IF(($T$1-X50)*Q50&lt;0,0,($T$1-X50)*Q50)</f>
        <v>2050.8200000000002</v>
      </c>
      <c r="T50" s="5">
        <f t="shared" ref="T50:T61" si="40">AK50*AL50+AQ50*AK50</f>
        <v>2040</v>
      </c>
      <c r="U50" s="23"/>
      <c r="V50" s="23"/>
      <c r="W50" s="1">
        <f t="shared" si="4"/>
        <v>18.040614709110869</v>
      </c>
      <c r="X50" s="1">
        <f t="shared" si="5"/>
        <v>6.8441273326015368</v>
      </c>
      <c r="Y50" s="1">
        <v>154</v>
      </c>
      <c r="Z50" s="1">
        <v>146.6</v>
      </c>
      <c r="AA50" s="1">
        <v>123.8</v>
      </c>
      <c r="AB50" s="1">
        <v>206.8</v>
      </c>
      <c r="AC50" s="1">
        <v>227.4</v>
      </c>
      <c r="AD50" s="1">
        <v>79.400000000000006</v>
      </c>
      <c r="AE50" s="1">
        <v>181.6</v>
      </c>
      <c r="AF50" s="1">
        <v>193</v>
      </c>
      <c r="AG50" s="1">
        <v>186.4</v>
      </c>
      <c r="AH50" s="1">
        <v>201</v>
      </c>
      <c r="AI50" s="1"/>
      <c r="AJ50" s="1">
        <f t="shared" si="19"/>
        <v>1435.5740000000001</v>
      </c>
      <c r="AK50" s="7">
        <v>10</v>
      </c>
      <c r="AL50" s="9">
        <f t="shared" ref="AL50:AL61" si="41">MROUND(S50, AK50*AN50)/AK50-AQ50</f>
        <v>120</v>
      </c>
      <c r="AM50" s="1">
        <f t="shared" si="21"/>
        <v>840</v>
      </c>
      <c r="AN50" s="1">
        <v>12</v>
      </c>
      <c r="AO50" s="1">
        <v>84</v>
      </c>
      <c r="AP50" s="9">
        <f t="shared" si="22"/>
        <v>1.4285714285714286</v>
      </c>
      <c r="AQ50" s="9">
        <v>84</v>
      </c>
      <c r="AR50" s="1">
        <f t="shared" ref="AR50:AR61" si="42">AQ50*AK50*H50</f>
        <v>588</v>
      </c>
      <c r="AS50" s="9">
        <f t="shared" ref="AS50:AS61" si="43">AQ50/AO50</f>
        <v>1</v>
      </c>
      <c r="AT50" s="1"/>
      <c r="AU50" s="1"/>
      <c r="AV50" s="1"/>
      <c r="AW50" s="1"/>
      <c r="AX50" s="1"/>
      <c r="AY50" s="1"/>
      <c r="AZ50" s="1"/>
    </row>
    <row r="51" spans="1:52" hidden="1" x14ac:dyDescent="0.25">
      <c r="A51" s="1" t="s">
        <v>132</v>
      </c>
      <c r="B51" s="1" t="s">
        <v>42</v>
      </c>
      <c r="C51" s="1">
        <v>128</v>
      </c>
      <c r="D51" s="1">
        <v>1</v>
      </c>
      <c r="E51" s="1">
        <v>62</v>
      </c>
      <c r="F51" s="1">
        <v>50</v>
      </c>
      <c r="G51" s="1"/>
      <c r="H51" s="7">
        <v>0.8</v>
      </c>
      <c r="I51" s="1"/>
      <c r="J51" s="1" t="s">
        <v>133</v>
      </c>
      <c r="K51" s="1"/>
      <c r="L51" s="1">
        <v>68</v>
      </c>
      <c r="M51" s="1">
        <f t="shared" si="32"/>
        <v>-6</v>
      </c>
      <c r="N51" s="1"/>
      <c r="O51" s="1"/>
      <c r="P51" s="1"/>
      <c r="Q51" s="1">
        <f t="shared" si="33"/>
        <v>12.4</v>
      </c>
      <c r="R51" s="5">
        <v>123.6</v>
      </c>
      <c r="S51" s="5">
        <f>U51</f>
        <v>350</v>
      </c>
      <c r="T51" s="5">
        <f t="shared" si="40"/>
        <v>384</v>
      </c>
      <c r="U51" s="23">
        <v>350</v>
      </c>
      <c r="V51" s="28" t="s">
        <v>177</v>
      </c>
      <c r="W51" s="1">
        <f t="shared" si="4"/>
        <v>35</v>
      </c>
      <c r="X51" s="1">
        <f t="shared" si="5"/>
        <v>4.032258064516129</v>
      </c>
      <c r="Y51" s="1">
        <v>7.2</v>
      </c>
      <c r="Z51" s="1">
        <v>6</v>
      </c>
      <c r="AA51" s="1">
        <v>8.4</v>
      </c>
      <c r="AB51" s="1">
        <v>5.8</v>
      </c>
      <c r="AC51" s="1">
        <v>15.2</v>
      </c>
      <c r="AD51" s="1">
        <v>0.8</v>
      </c>
      <c r="AE51" s="1">
        <v>8</v>
      </c>
      <c r="AF51" s="1">
        <v>0</v>
      </c>
      <c r="AG51" s="1">
        <v>0</v>
      </c>
      <c r="AH51" s="1">
        <v>0</v>
      </c>
      <c r="AI51" s="13"/>
      <c r="AJ51" s="1">
        <f t="shared" si="19"/>
        <v>280</v>
      </c>
      <c r="AK51" s="7">
        <v>8</v>
      </c>
      <c r="AL51" s="9">
        <f t="shared" si="41"/>
        <v>48</v>
      </c>
      <c r="AM51" s="1">
        <f t="shared" si="21"/>
        <v>307.20000000000005</v>
      </c>
      <c r="AN51" s="1">
        <v>12</v>
      </c>
      <c r="AO51" s="1">
        <v>84</v>
      </c>
      <c r="AP51" s="9">
        <f t="shared" si="22"/>
        <v>0.5714285714285714</v>
      </c>
      <c r="AQ51" s="9"/>
      <c r="AR51" s="1">
        <f t="shared" si="42"/>
        <v>0</v>
      </c>
      <c r="AS51" s="9">
        <f t="shared" si="43"/>
        <v>0</v>
      </c>
      <c r="AT51" s="1"/>
      <c r="AU51" s="1"/>
      <c r="AV51" s="1"/>
      <c r="AW51" s="1"/>
      <c r="AX51" s="1"/>
      <c r="AY51" s="1"/>
      <c r="AZ51" s="1"/>
    </row>
    <row r="52" spans="1:52" hidden="1" x14ac:dyDescent="0.25">
      <c r="A52" s="1" t="s">
        <v>134</v>
      </c>
      <c r="B52" s="1" t="s">
        <v>42</v>
      </c>
      <c r="C52" s="1">
        <v>971</v>
      </c>
      <c r="D52" s="1">
        <v>675</v>
      </c>
      <c r="E52" s="1">
        <v>485</v>
      </c>
      <c r="F52" s="1">
        <v>1010</v>
      </c>
      <c r="G52" s="1"/>
      <c r="H52" s="7">
        <v>1</v>
      </c>
      <c r="I52" s="1">
        <v>180</v>
      </c>
      <c r="J52" s="1" t="s">
        <v>135</v>
      </c>
      <c r="K52" s="1"/>
      <c r="L52" s="1">
        <v>631</v>
      </c>
      <c r="M52" s="1">
        <f t="shared" si="32"/>
        <v>-146</v>
      </c>
      <c r="N52" s="1"/>
      <c r="O52" s="1"/>
      <c r="P52" s="1"/>
      <c r="Q52" s="1">
        <f t="shared" si="33"/>
        <v>97</v>
      </c>
      <c r="R52" s="5">
        <v>348</v>
      </c>
      <c r="S52" s="5">
        <f t="shared" ref="S52:S54" si="44">IF(($T$1-X52)*Q52&lt;0,0,($T$1-X52)*Q52)</f>
        <v>745.70000000000016</v>
      </c>
      <c r="T52" s="5">
        <f t="shared" si="40"/>
        <v>720</v>
      </c>
      <c r="U52" s="23"/>
      <c r="V52" s="23"/>
      <c r="W52" s="1">
        <f t="shared" si="4"/>
        <v>17.835051546391753</v>
      </c>
      <c r="X52" s="1">
        <f t="shared" si="5"/>
        <v>10.412371134020619</v>
      </c>
      <c r="Y52" s="1">
        <v>118.4</v>
      </c>
      <c r="Z52" s="1">
        <v>97.4</v>
      </c>
      <c r="AA52" s="1">
        <v>82.4</v>
      </c>
      <c r="AB52" s="1">
        <v>117</v>
      </c>
      <c r="AC52" s="1">
        <v>160</v>
      </c>
      <c r="AD52" s="1">
        <v>57.8</v>
      </c>
      <c r="AE52" s="1">
        <v>136</v>
      </c>
      <c r="AF52" s="1">
        <v>134.4</v>
      </c>
      <c r="AG52" s="1">
        <v>135.19999999999999</v>
      </c>
      <c r="AH52" s="1">
        <v>143.4</v>
      </c>
      <c r="AI52" s="1"/>
      <c r="AJ52" s="1">
        <f t="shared" si="19"/>
        <v>745.70000000000016</v>
      </c>
      <c r="AK52" s="7">
        <v>5</v>
      </c>
      <c r="AL52" s="9">
        <f t="shared" si="41"/>
        <v>60</v>
      </c>
      <c r="AM52" s="1">
        <f t="shared" si="21"/>
        <v>300</v>
      </c>
      <c r="AN52" s="1">
        <v>12</v>
      </c>
      <c r="AO52" s="1">
        <v>84</v>
      </c>
      <c r="AP52" s="9">
        <f t="shared" si="22"/>
        <v>0.7142857142857143</v>
      </c>
      <c r="AQ52" s="9">
        <v>84</v>
      </c>
      <c r="AR52" s="1">
        <f t="shared" si="42"/>
        <v>420</v>
      </c>
      <c r="AS52" s="9">
        <f t="shared" si="43"/>
        <v>1</v>
      </c>
      <c r="AT52" s="1"/>
      <c r="AU52" s="1"/>
      <c r="AV52" s="1"/>
      <c r="AW52" s="1"/>
      <c r="AX52" s="1"/>
      <c r="AY52" s="1"/>
      <c r="AZ52" s="1"/>
    </row>
    <row r="53" spans="1:52" hidden="1" x14ac:dyDescent="0.25">
      <c r="A53" s="1" t="s">
        <v>136</v>
      </c>
      <c r="B53" s="1" t="s">
        <v>42</v>
      </c>
      <c r="C53" s="1">
        <v>103</v>
      </c>
      <c r="D53" s="1">
        <v>292</v>
      </c>
      <c r="E53" s="1">
        <v>102</v>
      </c>
      <c r="F53" s="1">
        <v>276</v>
      </c>
      <c r="G53" s="1"/>
      <c r="H53" s="7">
        <v>0.9</v>
      </c>
      <c r="I53" s="1">
        <v>180</v>
      </c>
      <c r="J53" s="1" t="s">
        <v>137</v>
      </c>
      <c r="K53" s="1"/>
      <c r="L53" s="1">
        <v>129</v>
      </c>
      <c r="M53" s="1">
        <f t="shared" si="32"/>
        <v>-27</v>
      </c>
      <c r="N53" s="1"/>
      <c r="O53" s="1"/>
      <c r="P53" s="1"/>
      <c r="Q53" s="1">
        <f t="shared" si="33"/>
        <v>20.399999999999999</v>
      </c>
      <c r="R53" s="5">
        <v>50.399999999999977</v>
      </c>
      <c r="S53" s="5">
        <f t="shared" si="44"/>
        <v>93.24</v>
      </c>
      <c r="T53" s="5">
        <f t="shared" si="40"/>
        <v>96</v>
      </c>
      <c r="U53" s="23"/>
      <c r="V53" s="23"/>
      <c r="W53" s="1">
        <f t="shared" si="4"/>
        <v>18.235294117647062</v>
      </c>
      <c r="X53" s="1">
        <f t="shared" si="5"/>
        <v>13.529411764705884</v>
      </c>
      <c r="Y53" s="1">
        <v>28.2</v>
      </c>
      <c r="Z53" s="1">
        <v>24.8</v>
      </c>
      <c r="AA53" s="1">
        <v>23.2</v>
      </c>
      <c r="AB53" s="1">
        <v>17.600000000000001</v>
      </c>
      <c r="AC53" s="1">
        <v>35.4</v>
      </c>
      <c r="AD53" s="1">
        <v>6.6</v>
      </c>
      <c r="AE53" s="1">
        <v>41.8</v>
      </c>
      <c r="AF53" s="1">
        <v>26.4</v>
      </c>
      <c r="AG53" s="1">
        <v>32.6</v>
      </c>
      <c r="AH53" s="1">
        <v>7.4</v>
      </c>
      <c r="AI53" s="1"/>
      <c r="AJ53" s="1">
        <f t="shared" si="19"/>
        <v>83.915999999999997</v>
      </c>
      <c r="AK53" s="7">
        <v>8</v>
      </c>
      <c r="AL53" s="9">
        <f t="shared" si="41"/>
        <v>12</v>
      </c>
      <c r="AM53" s="1">
        <f t="shared" si="21"/>
        <v>86.4</v>
      </c>
      <c r="AN53" s="1">
        <v>12</v>
      </c>
      <c r="AO53" s="1">
        <v>84</v>
      </c>
      <c r="AP53" s="9">
        <f t="shared" si="22"/>
        <v>0.14285714285714285</v>
      </c>
      <c r="AQ53" s="9"/>
      <c r="AR53" s="1">
        <f t="shared" si="42"/>
        <v>0</v>
      </c>
      <c r="AS53" s="9">
        <f t="shared" si="43"/>
        <v>0</v>
      </c>
      <c r="AT53" s="1"/>
      <c r="AU53" s="1"/>
      <c r="AV53" s="1"/>
      <c r="AW53" s="1"/>
      <c r="AX53" s="1"/>
      <c r="AY53" s="1"/>
      <c r="AZ53" s="1"/>
    </row>
    <row r="54" spans="1:52" hidden="1" x14ac:dyDescent="0.25">
      <c r="A54" s="1" t="s">
        <v>138</v>
      </c>
      <c r="B54" s="1" t="s">
        <v>52</v>
      </c>
      <c r="C54" s="1">
        <v>415</v>
      </c>
      <c r="D54" s="1">
        <v>205</v>
      </c>
      <c r="E54" s="1">
        <v>145</v>
      </c>
      <c r="F54" s="1">
        <v>435</v>
      </c>
      <c r="G54" s="1"/>
      <c r="H54" s="7">
        <v>1</v>
      </c>
      <c r="I54" s="1">
        <v>180</v>
      </c>
      <c r="J54" s="1" t="s">
        <v>139</v>
      </c>
      <c r="K54" s="1"/>
      <c r="L54" s="1">
        <v>215</v>
      </c>
      <c r="M54" s="1">
        <f t="shared" si="32"/>
        <v>-70</v>
      </c>
      <c r="N54" s="1"/>
      <c r="O54" s="1"/>
      <c r="P54" s="1"/>
      <c r="Q54" s="1">
        <f t="shared" si="33"/>
        <v>29</v>
      </c>
      <c r="R54" s="5"/>
      <c r="S54" s="5">
        <f t="shared" si="44"/>
        <v>89.900000000000034</v>
      </c>
      <c r="T54" s="5">
        <f t="shared" si="40"/>
        <v>60</v>
      </c>
      <c r="U54" s="23"/>
      <c r="V54" s="23"/>
      <c r="W54" s="1">
        <f t="shared" si="4"/>
        <v>17.068965517241381</v>
      </c>
      <c r="X54" s="1">
        <f t="shared" si="5"/>
        <v>15</v>
      </c>
      <c r="Y54" s="1">
        <v>39</v>
      </c>
      <c r="Z54" s="1">
        <v>38</v>
      </c>
      <c r="AA54" s="1">
        <v>32</v>
      </c>
      <c r="AB54" s="1">
        <v>32</v>
      </c>
      <c r="AC54" s="1">
        <v>53</v>
      </c>
      <c r="AD54" s="1">
        <v>16</v>
      </c>
      <c r="AE54" s="1">
        <v>54</v>
      </c>
      <c r="AF54" s="1">
        <v>58</v>
      </c>
      <c r="AG54" s="1">
        <v>53</v>
      </c>
      <c r="AH54" s="1">
        <v>59</v>
      </c>
      <c r="AI54" s="1"/>
      <c r="AJ54" s="1">
        <f t="shared" si="19"/>
        <v>89.900000000000034</v>
      </c>
      <c r="AK54" s="7">
        <v>5</v>
      </c>
      <c r="AL54" s="9">
        <f t="shared" si="41"/>
        <v>12</v>
      </c>
      <c r="AM54" s="1">
        <f t="shared" si="21"/>
        <v>60</v>
      </c>
      <c r="AN54" s="1">
        <v>12</v>
      </c>
      <c r="AO54" s="1">
        <v>144</v>
      </c>
      <c r="AP54" s="9">
        <f t="shared" si="22"/>
        <v>8.3333333333333329E-2</v>
      </c>
      <c r="AQ54" s="9"/>
      <c r="AR54" s="1">
        <f t="shared" si="42"/>
        <v>0</v>
      </c>
      <c r="AS54" s="9">
        <f t="shared" si="43"/>
        <v>0</v>
      </c>
      <c r="AT54" s="1"/>
      <c r="AU54" s="1"/>
      <c r="AV54" s="1"/>
      <c r="AW54" s="1"/>
      <c r="AX54" s="1"/>
      <c r="AY54" s="1"/>
      <c r="AZ54" s="1"/>
    </row>
    <row r="55" spans="1:52" hidden="1" x14ac:dyDescent="0.25">
      <c r="A55" s="1" t="s">
        <v>140</v>
      </c>
      <c r="B55" s="1" t="s">
        <v>42</v>
      </c>
      <c r="C55" s="1">
        <v>34</v>
      </c>
      <c r="D55" s="1"/>
      <c r="E55" s="1">
        <v>7</v>
      </c>
      <c r="F55" s="1">
        <v>27</v>
      </c>
      <c r="G55" s="1"/>
      <c r="H55" s="7">
        <v>1</v>
      </c>
      <c r="I55" s="1">
        <v>180</v>
      </c>
      <c r="J55" s="1" t="s">
        <v>141</v>
      </c>
      <c r="K55" s="1"/>
      <c r="L55" s="1">
        <v>7</v>
      </c>
      <c r="M55" s="1">
        <f t="shared" si="32"/>
        <v>0</v>
      </c>
      <c r="N55" s="1"/>
      <c r="O55" s="1"/>
      <c r="P55" s="1"/>
      <c r="Q55" s="1">
        <f t="shared" si="33"/>
        <v>1.4</v>
      </c>
      <c r="R55" s="5"/>
      <c r="S55" s="5">
        <f>U55</f>
        <v>50</v>
      </c>
      <c r="T55" s="5">
        <f t="shared" si="40"/>
        <v>60</v>
      </c>
      <c r="U55" s="23">
        <v>50</v>
      </c>
      <c r="V55" s="23"/>
      <c r="W55" s="1">
        <f t="shared" si="4"/>
        <v>62.142857142857146</v>
      </c>
      <c r="X55" s="1">
        <f t="shared" si="5"/>
        <v>19.285714285714288</v>
      </c>
      <c r="Y55" s="1">
        <v>2.2000000000000002</v>
      </c>
      <c r="Z55" s="1">
        <v>1.4</v>
      </c>
      <c r="AA55" s="1">
        <v>1.4</v>
      </c>
      <c r="AB55" s="1">
        <v>1.8</v>
      </c>
      <c r="AC55" s="1">
        <v>2.6</v>
      </c>
      <c r="AD55" s="1">
        <v>0.8</v>
      </c>
      <c r="AE55" s="1">
        <v>1.4</v>
      </c>
      <c r="AF55" s="1">
        <v>3.4</v>
      </c>
      <c r="AG55" s="1">
        <v>1.2</v>
      </c>
      <c r="AH55" s="1">
        <v>6.2</v>
      </c>
      <c r="AI55" s="1"/>
      <c r="AJ55" s="1">
        <f t="shared" si="19"/>
        <v>50</v>
      </c>
      <c r="AK55" s="7">
        <v>5</v>
      </c>
      <c r="AL55" s="9">
        <f t="shared" si="41"/>
        <v>12</v>
      </c>
      <c r="AM55" s="1">
        <f t="shared" si="21"/>
        <v>60</v>
      </c>
      <c r="AN55" s="1">
        <v>12</v>
      </c>
      <c r="AO55" s="1">
        <v>84</v>
      </c>
      <c r="AP55" s="9">
        <f t="shared" si="22"/>
        <v>0.14285714285714285</v>
      </c>
      <c r="AQ55" s="9"/>
      <c r="AR55" s="1">
        <f t="shared" si="42"/>
        <v>0</v>
      </c>
      <c r="AS55" s="9">
        <f t="shared" si="43"/>
        <v>0</v>
      </c>
      <c r="AT55" s="1"/>
      <c r="AU55" s="1"/>
      <c r="AV55" s="1"/>
      <c r="AW55" s="1"/>
      <c r="AX55" s="1"/>
      <c r="AY55" s="1"/>
      <c r="AZ55" s="1"/>
    </row>
    <row r="56" spans="1:52" hidden="1" x14ac:dyDescent="0.25">
      <c r="A56" s="1" t="s">
        <v>53</v>
      </c>
      <c r="B56" s="1" t="s">
        <v>52</v>
      </c>
      <c r="C56" s="1">
        <v>178.9</v>
      </c>
      <c r="D56" s="1">
        <v>111</v>
      </c>
      <c r="E56" s="1">
        <v>111</v>
      </c>
      <c r="F56" s="18">
        <f>160.4+F10</f>
        <v>153</v>
      </c>
      <c r="G56" s="18"/>
      <c r="H56" s="7">
        <v>1</v>
      </c>
      <c r="I56" s="1">
        <v>180</v>
      </c>
      <c r="J56" s="1" t="s">
        <v>143</v>
      </c>
      <c r="K56" s="1"/>
      <c r="L56" s="1">
        <v>115.4</v>
      </c>
      <c r="M56" s="1">
        <f t="shared" si="32"/>
        <v>-4.4000000000000057</v>
      </c>
      <c r="N56" s="1"/>
      <c r="O56" s="1"/>
      <c r="P56" s="1"/>
      <c r="Q56" s="1">
        <f t="shared" si="33"/>
        <v>22.2</v>
      </c>
      <c r="R56" s="5">
        <v>157.80000000000001</v>
      </c>
      <c r="S56" s="5">
        <f t="shared" ref="S56:S60" si="45">IF(($T$1-X56)*Q56&lt;0,0,($T$1-X56)*Q56)</f>
        <v>248.82000000000005</v>
      </c>
      <c r="T56" s="5">
        <f t="shared" si="40"/>
        <v>259</v>
      </c>
      <c r="U56" s="23"/>
      <c r="V56" s="23"/>
      <c r="W56" s="1">
        <f t="shared" si="4"/>
        <v>18.558558558558559</v>
      </c>
      <c r="X56" s="1">
        <f t="shared" si="5"/>
        <v>6.8918918918918921</v>
      </c>
      <c r="Y56" s="1">
        <v>19.98</v>
      </c>
      <c r="Z56" s="1">
        <v>17.02</v>
      </c>
      <c r="AA56" s="1">
        <v>16.14</v>
      </c>
      <c r="AB56" s="1">
        <v>25.16</v>
      </c>
      <c r="AC56" s="1">
        <v>22.2</v>
      </c>
      <c r="AD56" s="1">
        <v>7.4</v>
      </c>
      <c r="AE56" s="1">
        <v>27.77999999999999</v>
      </c>
      <c r="AF56" s="1">
        <v>19.239999999999998</v>
      </c>
      <c r="AG56" s="1">
        <v>32.32</v>
      </c>
      <c r="AH56" s="1">
        <v>30.3</v>
      </c>
      <c r="AI56" s="1"/>
      <c r="AJ56" s="1">
        <f t="shared" si="19"/>
        <v>248.82000000000005</v>
      </c>
      <c r="AK56" s="7">
        <v>3.7</v>
      </c>
      <c r="AL56" s="9">
        <f t="shared" si="41"/>
        <v>70</v>
      </c>
      <c r="AM56" s="1">
        <f t="shared" si="21"/>
        <v>259</v>
      </c>
      <c r="AN56" s="1">
        <v>14</v>
      </c>
      <c r="AO56" s="1">
        <v>126</v>
      </c>
      <c r="AP56" s="9">
        <f t="shared" si="22"/>
        <v>0.55555555555555558</v>
      </c>
      <c r="AQ56" s="9"/>
      <c r="AR56" s="1">
        <f t="shared" si="42"/>
        <v>0</v>
      </c>
      <c r="AS56" s="9">
        <f t="shared" si="43"/>
        <v>0</v>
      </c>
      <c r="AT56" s="1"/>
      <c r="AU56" s="1"/>
      <c r="AV56" s="1"/>
      <c r="AW56" s="1"/>
      <c r="AX56" s="1"/>
      <c r="AY56" s="1"/>
      <c r="AZ56" s="1"/>
    </row>
    <row r="57" spans="1:52" hidden="1" x14ac:dyDescent="0.25">
      <c r="A57" s="1" t="s">
        <v>144</v>
      </c>
      <c r="B57" s="1" t="s">
        <v>42</v>
      </c>
      <c r="C57" s="1">
        <v>291</v>
      </c>
      <c r="D57" s="1">
        <v>1058</v>
      </c>
      <c r="E57" s="1">
        <v>507</v>
      </c>
      <c r="F57" s="1">
        <v>732</v>
      </c>
      <c r="G57" s="1"/>
      <c r="H57" s="7">
        <v>0.23</v>
      </c>
      <c r="I57" s="1">
        <v>180</v>
      </c>
      <c r="J57" s="1" t="s">
        <v>145</v>
      </c>
      <c r="K57" s="1"/>
      <c r="L57" s="1">
        <v>665</v>
      </c>
      <c r="M57" s="1">
        <f t="shared" si="32"/>
        <v>-158</v>
      </c>
      <c r="N57" s="1"/>
      <c r="O57" s="1"/>
      <c r="P57" s="1"/>
      <c r="Q57" s="1">
        <f t="shared" si="33"/>
        <v>101.4</v>
      </c>
      <c r="R57" s="5">
        <v>687.60000000000014</v>
      </c>
      <c r="S57" s="5">
        <f t="shared" si="45"/>
        <v>1103.3400000000004</v>
      </c>
      <c r="T57" s="5">
        <f t="shared" si="40"/>
        <v>1092</v>
      </c>
      <c r="U57" s="23"/>
      <c r="V57" s="23"/>
      <c r="W57" s="1">
        <f t="shared" si="4"/>
        <v>17.988165680473372</v>
      </c>
      <c r="X57" s="1">
        <f t="shared" si="5"/>
        <v>7.2189349112426031</v>
      </c>
      <c r="Y57" s="1">
        <v>87.4</v>
      </c>
      <c r="Z57" s="1">
        <v>84.4</v>
      </c>
      <c r="AA57" s="1">
        <v>71.8</v>
      </c>
      <c r="AB57" s="1">
        <v>72.2</v>
      </c>
      <c r="AC57" s="1">
        <v>83.8</v>
      </c>
      <c r="AD57" s="1">
        <v>31.2</v>
      </c>
      <c r="AE57" s="1">
        <v>145.4</v>
      </c>
      <c r="AF57" s="1">
        <v>96.2</v>
      </c>
      <c r="AG57" s="1">
        <v>43.6</v>
      </c>
      <c r="AH57" s="1">
        <v>120.2</v>
      </c>
      <c r="AI57" s="1"/>
      <c r="AJ57" s="1">
        <f t="shared" si="19"/>
        <v>253.76820000000009</v>
      </c>
      <c r="AK57" s="7">
        <v>6</v>
      </c>
      <c r="AL57" s="9">
        <f t="shared" si="41"/>
        <v>182</v>
      </c>
      <c r="AM57" s="1">
        <f t="shared" si="21"/>
        <v>251.16000000000003</v>
      </c>
      <c r="AN57" s="1">
        <v>14</v>
      </c>
      <c r="AO57" s="1">
        <v>140</v>
      </c>
      <c r="AP57" s="9">
        <f t="shared" si="22"/>
        <v>1.3</v>
      </c>
      <c r="AQ57" s="9"/>
      <c r="AR57" s="1">
        <f t="shared" si="42"/>
        <v>0</v>
      </c>
      <c r="AS57" s="9">
        <f t="shared" si="43"/>
        <v>0</v>
      </c>
      <c r="AT57" s="1"/>
      <c r="AU57" s="1"/>
      <c r="AV57" s="1"/>
      <c r="AW57" s="1"/>
      <c r="AX57" s="1"/>
      <c r="AY57" s="1"/>
      <c r="AZ57" s="1"/>
    </row>
    <row r="58" spans="1:52" hidden="1" x14ac:dyDescent="0.25">
      <c r="A58" s="1" t="s">
        <v>146</v>
      </c>
      <c r="B58" s="1" t="s">
        <v>42</v>
      </c>
      <c r="C58" s="1">
        <v>490</v>
      </c>
      <c r="D58" s="1">
        <v>2391</v>
      </c>
      <c r="E58" s="1">
        <v>974</v>
      </c>
      <c r="F58" s="1">
        <v>1598</v>
      </c>
      <c r="G58" s="1"/>
      <c r="H58" s="7">
        <v>0.25</v>
      </c>
      <c r="I58" s="1">
        <v>180</v>
      </c>
      <c r="J58" s="1" t="s">
        <v>147</v>
      </c>
      <c r="K58" s="1"/>
      <c r="L58" s="1">
        <v>1167</v>
      </c>
      <c r="M58" s="1">
        <f t="shared" si="32"/>
        <v>-193</v>
      </c>
      <c r="N58" s="1"/>
      <c r="O58" s="1"/>
      <c r="P58" s="1"/>
      <c r="Q58" s="1">
        <f t="shared" si="33"/>
        <v>194.8</v>
      </c>
      <c r="R58" s="5">
        <v>1129.2000000000003</v>
      </c>
      <c r="S58" s="5">
        <f t="shared" si="45"/>
        <v>1927.8800000000003</v>
      </c>
      <c r="T58" s="5">
        <f t="shared" si="40"/>
        <v>1848</v>
      </c>
      <c r="U58" s="23"/>
      <c r="V58" s="23"/>
      <c r="W58" s="1">
        <f t="shared" si="4"/>
        <v>17.689938398357288</v>
      </c>
      <c r="X58" s="1">
        <f t="shared" si="5"/>
        <v>8.2032854209445585</v>
      </c>
      <c r="Y58" s="1">
        <v>199.4</v>
      </c>
      <c r="Z58" s="1">
        <v>191</v>
      </c>
      <c r="AA58" s="1">
        <v>146.6</v>
      </c>
      <c r="AB58" s="1">
        <v>116</v>
      </c>
      <c r="AC58" s="1">
        <v>183.8</v>
      </c>
      <c r="AD58" s="1">
        <v>119.6</v>
      </c>
      <c r="AE58" s="1">
        <v>135</v>
      </c>
      <c r="AF58" s="1">
        <v>121</v>
      </c>
      <c r="AG58" s="1">
        <v>139</v>
      </c>
      <c r="AH58" s="1">
        <v>132.19999999999999</v>
      </c>
      <c r="AI58" s="1"/>
      <c r="AJ58" s="1">
        <f t="shared" si="19"/>
        <v>481.97000000000008</v>
      </c>
      <c r="AK58" s="7">
        <v>12</v>
      </c>
      <c r="AL58" s="9">
        <f t="shared" si="41"/>
        <v>84</v>
      </c>
      <c r="AM58" s="1">
        <f t="shared" si="21"/>
        <v>252</v>
      </c>
      <c r="AN58" s="1">
        <v>14</v>
      </c>
      <c r="AO58" s="1">
        <v>70</v>
      </c>
      <c r="AP58" s="9">
        <f t="shared" si="22"/>
        <v>1.2</v>
      </c>
      <c r="AQ58" s="9">
        <v>70</v>
      </c>
      <c r="AR58" s="1">
        <f t="shared" si="42"/>
        <v>210</v>
      </c>
      <c r="AS58" s="9">
        <f t="shared" si="43"/>
        <v>1</v>
      </c>
      <c r="AT58" s="1"/>
      <c r="AU58" s="1"/>
      <c r="AV58" s="1"/>
      <c r="AW58" s="1"/>
      <c r="AX58" s="1"/>
      <c r="AY58" s="1"/>
      <c r="AZ58" s="1"/>
    </row>
    <row r="59" spans="1:52" hidden="1" x14ac:dyDescent="0.25">
      <c r="A59" s="1" t="s">
        <v>148</v>
      </c>
      <c r="B59" s="1" t="s">
        <v>42</v>
      </c>
      <c r="C59" s="1">
        <v>696</v>
      </c>
      <c r="D59" s="1">
        <v>1328</v>
      </c>
      <c r="E59" s="1">
        <v>722</v>
      </c>
      <c r="F59" s="1">
        <v>1153</v>
      </c>
      <c r="G59" s="1"/>
      <c r="H59" s="7">
        <v>0.25</v>
      </c>
      <c r="I59" s="1">
        <v>180</v>
      </c>
      <c r="J59" s="1" t="s">
        <v>149</v>
      </c>
      <c r="K59" s="1"/>
      <c r="L59" s="1">
        <v>881</v>
      </c>
      <c r="M59" s="1">
        <f t="shared" si="32"/>
        <v>-159</v>
      </c>
      <c r="N59" s="1"/>
      <c r="O59" s="1"/>
      <c r="P59" s="1"/>
      <c r="Q59" s="1">
        <f t="shared" si="33"/>
        <v>144.4</v>
      </c>
      <c r="R59" s="5">
        <v>868.60000000000014</v>
      </c>
      <c r="S59" s="5">
        <f t="shared" si="45"/>
        <v>1460.6400000000003</v>
      </c>
      <c r="T59" s="5">
        <f t="shared" si="40"/>
        <v>1512</v>
      </c>
      <c r="U59" s="23"/>
      <c r="V59" s="23"/>
      <c r="W59" s="1">
        <f t="shared" si="4"/>
        <v>18.455678670360111</v>
      </c>
      <c r="X59" s="1">
        <f t="shared" si="5"/>
        <v>7.9847645429362881</v>
      </c>
      <c r="Y59" s="1">
        <v>139</v>
      </c>
      <c r="Z59" s="1">
        <v>131.6</v>
      </c>
      <c r="AA59" s="1">
        <v>105.4</v>
      </c>
      <c r="AB59" s="1">
        <v>123.2</v>
      </c>
      <c r="AC59" s="1">
        <v>102.4</v>
      </c>
      <c r="AD59" s="1">
        <v>41</v>
      </c>
      <c r="AE59" s="1">
        <v>114.8</v>
      </c>
      <c r="AF59" s="1">
        <v>106.8</v>
      </c>
      <c r="AG59" s="1">
        <v>118.6</v>
      </c>
      <c r="AH59" s="1">
        <v>146.80000000000001</v>
      </c>
      <c r="AI59" s="1"/>
      <c r="AJ59" s="1">
        <f t="shared" si="19"/>
        <v>365.16000000000008</v>
      </c>
      <c r="AK59" s="7">
        <v>12</v>
      </c>
      <c r="AL59" s="9">
        <f t="shared" si="41"/>
        <v>56</v>
      </c>
      <c r="AM59" s="1">
        <f t="shared" si="21"/>
        <v>168</v>
      </c>
      <c r="AN59" s="1">
        <v>14</v>
      </c>
      <c r="AO59" s="1">
        <v>70</v>
      </c>
      <c r="AP59" s="9">
        <f t="shared" si="22"/>
        <v>0.8</v>
      </c>
      <c r="AQ59" s="9">
        <v>70</v>
      </c>
      <c r="AR59" s="1">
        <f t="shared" si="42"/>
        <v>210</v>
      </c>
      <c r="AS59" s="9">
        <f t="shared" si="43"/>
        <v>1</v>
      </c>
      <c r="AT59" s="1"/>
      <c r="AU59" s="1"/>
      <c r="AV59" s="1"/>
      <c r="AW59" s="1"/>
      <c r="AX59" s="1"/>
      <c r="AY59" s="1"/>
      <c r="AZ59" s="1"/>
    </row>
    <row r="60" spans="1:52" hidden="1" x14ac:dyDescent="0.25">
      <c r="A60" s="1" t="s">
        <v>150</v>
      </c>
      <c r="B60" s="1" t="s">
        <v>42</v>
      </c>
      <c r="C60" s="1">
        <v>119</v>
      </c>
      <c r="D60" s="1">
        <v>113</v>
      </c>
      <c r="E60" s="1">
        <v>91</v>
      </c>
      <c r="F60" s="1">
        <v>120</v>
      </c>
      <c r="G60" s="1"/>
      <c r="H60" s="7">
        <v>0.18</v>
      </c>
      <c r="I60" s="1">
        <v>180</v>
      </c>
      <c r="J60" s="1" t="s">
        <v>151</v>
      </c>
      <c r="K60" s="1"/>
      <c r="L60" s="1">
        <v>465</v>
      </c>
      <c r="M60" s="1">
        <f t="shared" si="32"/>
        <v>-374</v>
      </c>
      <c r="N60" s="1"/>
      <c r="O60" s="1"/>
      <c r="P60" s="1"/>
      <c r="Q60" s="1">
        <f t="shared" si="33"/>
        <v>18.2</v>
      </c>
      <c r="R60" s="5">
        <v>134.79999999999998</v>
      </c>
      <c r="S60" s="5">
        <f t="shared" si="45"/>
        <v>209.42</v>
      </c>
      <c r="T60" s="5">
        <f t="shared" si="40"/>
        <v>168</v>
      </c>
      <c r="U60" s="23"/>
      <c r="V60" s="23"/>
      <c r="W60" s="1">
        <f t="shared" si="4"/>
        <v>15.824175824175825</v>
      </c>
      <c r="X60" s="1">
        <f t="shared" si="5"/>
        <v>6.593406593406594</v>
      </c>
      <c r="Y60" s="1">
        <v>16.399999999999999</v>
      </c>
      <c r="Z60" s="1">
        <v>16.600000000000001</v>
      </c>
      <c r="AA60" s="1">
        <v>12.6</v>
      </c>
      <c r="AB60" s="1">
        <v>21.4</v>
      </c>
      <c r="AC60" s="1">
        <v>29.8</v>
      </c>
      <c r="AD60" s="1">
        <v>6.4</v>
      </c>
      <c r="AE60" s="1">
        <v>25.8</v>
      </c>
      <c r="AF60" s="1">
        <v>37</v>
      </c>
      <c r="AG60" s="1">
        <v>52.4</v>
      </c>
      <c r="AH60" s="1">
        <v>19.2</v>
      </c>
      <c r="AI60" s="1"/>
      <c r="AJ60" s="1">
        <f t="shared" si="19"/>
        <v>37.695599999999999</v>
      </c>
      <c r="AK60" s="7">
        <v>6</v>
      </c>
      <c r="AL60" s="9">
        <f t="shared" si="41"/>
        <v>28</v>
      </c>
      <c r="AM60" s="1">
        <f t="shared" si="21"/>
        <v>30.24</v>
      </c>
      <c r="AN60" s="1">
        <v>14</v>
      </c>
      <c r="AO60" s="1">
        <v>140</v>
      </c>
      <c r="AP60" s="9">
        <f t="shared" si="22"/>
        <v>0.2</v>
      </c>
      <c r="AQ60" s="9"/>
      <c r="AR60" s="1">
        <f t="shared" si="42"/>
        <v>0</v>
      </c>
      <c r="AS60" s="9">
        <f t="shared" si="43"/>
        <v>0</v>
      </c>
      <c r="AT60" s="1"/>
      <c r="AU60" s="1"/>
      <c r="AV60" s="1"/>
      <c r="AW60" s="1"/>
      <c r="AX60" s="1"/>
      <c r="AY60" s="1"/>
      <c r="AZ60" s="1"/>
    </row>
    <row r="61" spans="1:52" hidden="1" x14ac:dyDescent="0.25">
      <c r="A61" s="1" t="s">
        <v>152</v>
      </c>
      <c r="B61" s="1" t="s">
        <v>42</v>
      </c>
      <c r="C61" s="1">
        <v>195</v>
      </c>
      <c r="D61" s="1">
        <v>533</v>
      </c>
      <c r="E61" s="1">
        <v>386</v>
      </c>
      <c r="F61" s="1">
        <v>285</v>
      </c>
      <c r="G61" s="1"/>
      <c r="H61" s="7">
        <v>0.18</v>
      </c>
      <c r="I61" s="1">
        <v>180</v>
      </c>
      <c r="J61" s="1" t="s">
        <v>153</v>
      </c>
      <c r="K61" s="1"/>
      <c r="L61" s="1">
        <v>443</v>
      </c>
      <c r="M61" s="1">
        <f t="shared" si="32"/>
        <v>-57</v>
      </c>
      <c r="N61" s="1"/>
      <c r="O61" s="1"/>
      <c r="P61" s="1"/>
      <c r="Q61" s="1">
        <f t="shared" si="33"/>
        <v>77.2</v>
      </c>
      <c r="R61" s="5">
        <v>795.8</v>
      </c>
      <c r="S61" s="5">
        <f>IF(($T$1-X61-1)*Q61&lt;0,0,($T$1-X61-1)*Q61)</f>
        <v>1035.1200000000001</v>
      </c>
      <c r="T61" s="5">
        <f t="shared" si="40"/>
        <v>1008</v>
      </c>
      <c r="U61" s="23"/>
      <c r="V61" s="23"/>
      <c r="W61" s="1">
        <f t="shared" si="4"/>
        <v>16.748704663212436</v>
      </c>
      <c r="X61" s="1">
        <f t="shared" si="5"/>
        <v>3.6917098445595853</v>
      </c>
      <c r="Y61" s="1">
        <v>47</v>
      </c>
      <c r="Z61" s="1">
        <v>30</v>
      </c>
      <c r="AA61" s="1">
        <v>33.799999999999997</v>
      </c>
      <c r="AB61" s="1">
        <v>43</v>
      </c>
      <c r="AC61" s="1">
        <v>31.2</v>
      </c>
      <c r="AD61" s="1">
        <v>3.8</v>
      </c>
      <c r="AE61" s="1">
        <v>27.8</v>
      </c>
      <c r="AF61" s="1">
        <v>37.6</v>
      </c>
      <c r="AG61" s="1">
        <v>46.6</v>
      </c>
      <c r="AH61" s="1">
        <v>66.2</v>
      </c>
      <c r="AI61" s="1"/>
      <c r="AJ61" s="1">
        <f t="shared" si="19"/>
        <v>186.32160000000002</v>
      </c>
      <c r="AK61" s="7">
        <v>6</v>
      </c>
      <c r="AL61" s="9">
        <f t="shared" si="41"/>
        <v>168</v>
      </c>
      <c r="AM61" s="1">
        <f t="shared" si="21"/>
        <v>181.44</v>
      </c>
      <c r="AN61" s="1">
        <v>14</v>
      </c>
      <c r="AO61" s="1">
        <v>140</v>
      </c>
      <c r="AP61" s="9">
        <f t="shared" si="22"/>
        <v>1.2</v>
      </c>
      <c r="AQ61" s="9"/>
      <c r="AR61" s="1">
        <f t="shared" si="42"/>
        <v>0</v>
      </c>
      <c r="AS61" s="9">
        <f t="shared" si="43"/>
        <v>0</v>
      </c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154</v>
      </c>
      <c r="B62" s="1" t="s">
        <v>42</v>
      </c>
      <c r="C62" s="1">
        <v>84</v>
      </c>
      <c r="D62" s="1"/>
      <c r="E62" s="1">
        <v>5</v>
      </c>
      <c r="F62" s="1">
        <v>79</v>
      </c>
      <c r="G62" s="1">
        <f>F62*H62</f>
        <v>14.219999999999999</v>
      </c>
      <c r="H62" s="7">
        <v>0.18</v>
      </c>
      <c r="I62" s="1">
        <v>180</v>
      </c>
      <c r="J62" s="1" t="s">
        <v>155</v>
      </c>
      <c r="K62" s="1"/>
      <c r="L62" s="1">
        <v>5</v>
      </c>
      <c r="M62" s="1">
        <f t="shared" si="32"/>
        <v>0</v>
      </c>
      <c r="N62" s="1"/>
      <c r="O62" s="1"/>
      <c r="P62" s="1"/>
      <c r="Q62" s="1">
        <f t="shared" si="33"/>
        <v>1</v>
      </c>
      <c r="R62" s="5"/>
      <c r="S62" s="5"/>
      <c r="T62" s="5">
        <f t="shared" si="25"/>
        <v>0</v>
      </c>
      <c r="U62" s="23"/>
      <c r="V62" s="23"/>
      <c r="W62" s="1">
        <f t="shared" si="4"/>
        <v>79</v>
      </c>
      <c r="X62" s="1">
        <f t="shared" si="5"/>
        <v>79</v>
      </c>
      <c r="Y62" s="1">
        <v>0.6</v>
      </c>
      <c r="Z62" s="1">
        <v>0.6</v>
      </c>
      <c r="AA62" s="1">
        <v>0.4</v>
      </c>
      <c r="AB62" s="1">
        <v>0.6</v>
      </c>
      <c r="AC62" s="1">
        <v>3</v>
      </c>
      <c r="AD62" s="1">
        <v>0.4</v>
      </c>
      <c r="AE62" s="1">
        <v>2.4</v>
      </c>
      <c r="AF62" s="1">
        <v>2.2000000000000002</v>
      </c>
      <c r="AG62" s="1">
        <v>2</v>
      </c>
      <c r="AH62" s="1">
        <v>2.2000000000000002</v>
      </c>
      <c r="AI62" s="21" t="s">
        <v>156</v>
      </c>
      <c r="AJ62" s="1">
        <f t="shared" si="19"/>
        <v>0</v>
      </c>
      <c r="AK62" s="7">
        <v>6</v>
      </c>
      <c r="AL62" s="9">
        <f t="shared" si="26"/>
        <v>0</v>
      </c>
      <c r="AM62" s="1">
        <f t="shared" si="21"/>
        <v>0</v>
      </c>
      <c r="AN62" s="1">
        <v>14</v>
      </c>
      <c r="AO62" s="1">
        <v>140</v>
      </c>
      <c r="AP62" s="9">
        <f t="shared" si="22"/>
        <v>0</v>
      </c>
      <c r="AQ62" s="9"/>
      <c r="AR62" s="1"/>
      <c r="AS62" s="9"/>
      <c r="AT62" s="1"/>
      <c r="AU62" s="1"/>
      <c r="AV62" s="1"/>
      <c r="AW62" s="1"/>
      <c r="AX62" s="1"/>
      <c r="AY62" s="1"/>
      <c r="AZ62" s="1"/>
    </row>
    <row r="63" spans="1:52" hidden="1" x14ac:dyDescent="0.25">
      <c r="A63" s="1" t="s">
        <v>157</v>
      </c>
      <c r="B63" s="1" t="s">
        <v>42</v>
      </c>
      <c r="C63" s="1">
        <v>1390</v>
      </c>
      <c r="D63" s="1">
        <v>1233</v>
      </c>
      <c r="E63" s="1">
        <v>1165</v>
      </c>
      <c r="F63" s="1">
        <v>1226</v>
      </c>
      <c r="G63" s="1"/>
      <c r="H63" s="7">
        <v>0.3</v>
      </c>
      <c r="I63" s="1">
        <v>180</v>
      </c>
      <c r="J63" s="1" t="s">
        <v>158</v>
      </c>
      <c r="K63" s="1"/>
      <c r="L63" s="1">
        <v>1372</v>
      </c>
      <c r="M63" s="1">
        <f t="shared" si="32"/>
        <v>-207</v>
      </c>
      <c r="N63" s="1"/>
      <c r="O63" s="1"/>
      <c r="P63" s="1"/>
      <c r="Q63" s="1">
        <f t="shared" si="33"/>
        <v>233</v>
      </c>
      <c r="R63" s="5">
        <v>2036</v>
      </c>
      <c r="S63" s="5">
        <f>IF(($T$1-X63)*Q63&lt;0,0,($T$1-X63)*Q63)</f>
        <v>2991.3</v>
      </c>
      <c r="T63" s="5">
        <f>AK63*AL63+AQ63*AK63</f>
        <v>3024</v>
      </c>
      <c r="U63" s="23"/>
      <c r="V63" s="23"/>
      <c r="W63" s="1">
        <f t="shared" si="4"/>
        <v>18.240343347639485</v>
      </c>
      <c r="X63" s="1">
        <f t="shared" si="5"/>
        <v>5.2618025751072963</v>
      </c>
      <c r="Y63" s="1">
        <v>187</v>
      </c>
      <c r="Z63" s="1">
        <v>158</v>
      </c>
      <c r="AA63" s="1">
        <v>152.19999999999999</v>
      </c>
      <c r="AB63" s="1">
        <v>181.2</v>
      </c>
      <c r="AC63" s="1">
        <v>189.4</v>
      </c>
      <c r="AD63" s="1">
        <v>87.2</v>
      </c>
      <c r="AE63" s="1">
        <v>193</v>
      </c>
      <c r="AF63" s="1">
        <v>187.2</v>
      </c>
      <c r="AG63" s="1">
        <v>161.6</v>
      </c>
      <c r="AH63" s="1">
        <v>159.19999999999999</v>
      </c>
      <c r="AI63" s="1"/>
      <c r="AJ63" s="1">
        <f t="shared" si="19"/>
        <v>897.39</v>
      </c>
      <c r="AK63" s="7">
        <v>12</v>
      </c>
      <c r="AL63" s="9">
        <f>MROUND(S63, AK63*AN63)/AK63-AQ63</f>
        <v>182</v>
      </c>
      <c r="AM63" s="1">
        <f t="shared" si="21"/>
        <v>655.19999999999993</v>
      </c>
      <c r="AN63" s="1">
        <v>14</v>
      </c>
      <c r="AO63" s="1">
        <v>70</v>
      </c>
      <c r="AP63" s="9">
        <f t="shared" si="22"/>
        <v>2.6</v>
      </c>
      <c r="AQ63" s="9">
        <v>70</v>
      </c>
      <c r="AR63" s="1">
        <f>AQ63*AK63*H63</f>
        <v>252</v>
      </c>
      <c r="AS63" s="9">
        <f>AQ63/AO63</f>
        <v>1</v>
      </c>
      <c r="AT63" s="1"/>
      <c r="AU63" s="1"/>
      <c r="AV63" s="1"/>
      <c r="AW63" s="1"/>
      <c r="AX63" s="1"/>
      <c r="AY63" s="1"/>
      <c r="AZ63" s="1"/>
    </row>
    <row r="64" spans="1:52" hidden="1" x14ac:dyDescent="0.25">
      <c r="A64" s="1" t="s">
        <v>159</v>
      </c>
      <c r="B64" s="1" t="s">
        <v>42</v>
      </c>
      <c r="C64" s="1">
        <v>580</v>
      </c>
      <c r="D64" s="1">
        <v>1024</v>
      </c>
      <c r="E64" s="1">
        <v>255</v>
      </c>
      <c r="F64" s="1">
        <v>1276</v>
      </c>
      <c r="G64" s="1"/>
      <c r="H64" s="7">
        <v>0.3</v>
      </c>
      <c r="I64" s="1">
        <v>180</v>
      </c>
      <c r="J64" s="1" t="s">
        <v>160</v>
      </c>
      <c r="K64" s="1"/>
      <c r="L64" s="1">
        <v>298</v>
      </c>
      <c r="M64" s="1">
        <f t="shared" si="32"/>
        <v>-43</v>
      </c>
      <c r="N64" s="1"/>
      <c r="O64" s="1"/>
      <c r="P64" s="1"/>
      <c r="Q64" s="1">
        <f t="shared" si="33"/>
        <v>51</v>
      </c>
      <c r="R64" s="5"/>
      <c r="S64" s="5"/>
      <c r="T64" s="5">
        <f t="shared" si="25"/>
        <v>0</v>
      </c>
      <c r="U64" s="23"/>
      <c r="V64" s="23"/>
      <c r="W64" s="1">
        <f t="shared" si="4"/>
        <v>25.019607843137255</v>
      </c>
      <c r="X64" s="1">
        <f t="shared" si="5"/>
        <v>25.019607843137255</v>
      </c>
      <c r="Y64" s="1">
        <v>118.8</v>
      </c>
      <c r="Z64" s="1">
        <v>108</v>
      </c>
      <c r="AA64" s="1">
        <v>92.2</v>
      </c>
      <c r="AB64" s="1">
        <v>81.2</v>
      </c>
      <c r="AC64" s="1">
        <v>84.8</v>
      </c>
      <c r="AD64" s="1">
        <v>67</v>
      </c>
      <c r="AE64" s="1">
        <v>126.6</v>
      </c>
      <c r="AF64" s="1">
        <v>117.4</v>
      </c>
      <c r="AG64" s="1">
        <v>114.6</v>
      </c>
      <c r="AH64" s="1">
        <v>112.4</v>
      </c>
      <c r="AI64" s="1"/>
      <c r="AJ64" s="1">
        <f t="shared" si="19"/>
        <v>0</v>
      </c>
      <c r="AK64" s="7">
        <v>12</v>
      </c>
      <c r="AL64" s="9">
        <f t="shared" si="26"/>
        <v>0</v>
      </c>
      <c r="AM64" s="1">
        <f t="shared" si="21"/>
        <v>0</v>
      </c>
      <c r="AN64" s="1">
        <v>14</v>
      </c>
      <c r="AO64" s="1">
        <v>70</v>
      </c>
      <c r="AP64" s="9">
        <f t="shared" si="22"/>
        <v>0</v>
      </c>
      <c r="AQ64" s="9"/>
      <c r="AR64" s="1"/>
      <c r="AS64" s="9"/>
      <c r="AT64" s="1"/>
      <c r="AU64" s="1"/>
      <c r="AV64" s="1"/>
      <c r="AW64" s="1"/>
      <c r="AX64" s="1"/>
      <c r="AY64" s="1"/>
      <c r="AZ64" s="1"/>
    </row>
    <row r="65" spans="1:52" hidden="1" x14ac:dyDescent="0.25">
      <c r="A65" s="1" t="s">
        <v>161</v>
      </c>
      <c r="B65" s="1" t="s">
        <v>42</v>
      </c>
      <c r="C65" s="1">
        <v>344</v>
      </c>
      <c r="D65" s="1">
        <v>910</v>
      </c>
      <c r="E65" s="1">
        <v>236</v>
      </c>
      <c r="F65" s="1">
        <v>982</v>
      </c>
      <c r="G65" s="1"/>
      <c r="H65" s="7">
        <v>0.3</v>
      </c>
      <c r="I65" s="1">
        <v>180</v>
      </c>
      <c r="J65" s="1" t="s">
        <v>162</v>
      </c>
      <c r="K65" s="1"/>
      <c r="L65" s="1">
        <v>515</v>
      </c>
      <c r="M65" s="1">
        <f t="shared" si="32"/>
        <v>-279</v>
      </c>
      <c r="N65" s="1"/>
      <c r="O65" s="1"/>
      <c r="P65" s="1"/>
      <c r="Q65" s="1">
        <f t="shared" si="33"/>
        <v>47.2</v>
      </c>
      <c r="R65" s="5"/>
      <c r="S65" s="5"/>
      <c r="T65" s="5">
        <f t="shared" si="25"/>
        <v>0</v>
      </c>
      <c r="U65" s="23"/>
      <c r="V65" s="23"/>
      <c r="W65" s="1">
        <f t="shared" si="4"/>
        <v>20.805084745762709</v>
      </c>
      <c r="X65" s="1">
        <f t="shared" si="5"/>
        <v>20.805084745762709</v>
      </c>
      <c r="Y65" s="1">
        <v>88.6</v>
      </c>
      <c r="Z65" s="1">
        <v>57.8</v>
      </c>
      <c r="AA65" s="1">
        <v>60.2</v>
      </c>
      <c r="AB65" s="1">
        <v>75.2</v>
      </c>
      <c r="AC65" s="1">
        <v>63.2</v>
      </c>
      <c r="AD65" s="1">
        <v>57.8</v>
      </c>
      <c r="AE65" s="1">
        <v>129.6</v>
      </c>
      <c r="AF65" s="1">
        <v>107.4</v>
      </c>
      <c r="AG65" s="1">
        <v>95</v>
      </c>
      <c r="AH65" s="1">
        <v>105.4</v>
      </c>
      <c r="AI65" s="1"/>
      <c r="AJ65" s="1">
        <f t="shared" si="19"/>
        <v>0</v>
      </c>
      <c r="AK65" s="7">
        <v>14</v>
      </c>
      <c r="AL65" s="9">
        <f t="shared" si="26"/>
        <v>0</v>
      </c>
      <c r="AM65" s="1">
        <f t="shared" si="21"/>
        <v>0</v>
      </c>
      <c r="AN65" s="1">
        <v>14</v>
      </c>
      <c r="AO65" s="1">
        <v>70</v>
      </c>
      <c r="AP65" s="9">
        <f t="shared" si="22"/>
        <v>0</v>
      </c>
      <c r="AQ65" s="9"/>
      <c r="AR65" s="1"/>
      <c r="AS65" s="9"/>
      <c r="AT65" s="1"/>
      <c r="AU65" s="1"/>
      <c r="AV65" s="1"/>
      <c r="AW65" s="1"/>
      <c r="AX65" s="1"/>
      <c r="AY65" s="1"/>
      <c r="AZ65" s="1"/>
    </row>
    <row r="66" spans="1:52" hidden="1" x14ac:dyDescent="0.25">
      <c r="A66" s="1" t="s">
        <v>163</v>
      </c>
      <c r="B66" s="1" t="s">
        <v>42</v>
      </c>
      <c r="C66" s="1">
        <v>-37</v>
      </c>
      <c r="D66" s="1">
        <v>5644</v>
      </c>
      <c r="E66" s="1">
        <v>1076</v>
      </c>
      <c r="F66" s="1">
        <v>4046</v>
      </c>
      <c r="G66" s="1"/>
      <c r="H66" s="7">
        <v>0.25</v>
      </c>
      <c r="I66" s="1">
        <v>180</v>
      </c>
      <c r="J66" s="1" t="s">
        <v>68</v>
      </c>
      <c r="K66" s="1"/>
      <c r="L66" s="1">
        <v>2138</v>
      </c>
      <c r="M66" s="1">
        <f t="shared" si="32"/>
        <v>-1062</v>
      </c>
      <c r="N66" s="1"/>
      <c r="O66" s="1"/>
      <c r="P66" s="1"/>
      <c r="Q66" s="1">
        <f t="shared" si="33"/>
        <v>215.2</v>
      </c>
      <c r="R66" s="5"/>
      <c r="S66" s="5">
        <f t="shared" ref="S66:S70" si="46">IF(($T$1-X66)*Q66&lt;0,0,($T$1-X66)*Q66)</f>
        <v>0</v>
      </c>
      <c r="T66" s="5">
        <f t="shared" si="25"/>
        <v>0</v>
      </c>
      <c r="U66" s="23"/>
      <c r="V66" s="23"/>
      <c r="W66" s="1">
        <f t="shared" si="4"/>
        <v>18.801115241635689</v>
      </c>
      <c r="X66" s="1">
        <f t="shared" si="5"/>
        <v>18.801115241635689</v>
      </c>
      <c r="Y66" s="1">
        <v>414.6</v>
      </c>
      <c r="Z66" s="1">
        <v>386</v>
      </c>
      <c r="AA66" s="1">
        <v>316.60000000000002</v>
      </c>
      <c r="AB66" s="1">
        <v>308.8</v>
      </c>
      <c r="AC66" s="1">
        <v>388.2</v>
      </c>
      <c r="AD66" s="1">
        <v>212</v>
      </c>
      <c r="AE66" s="1">
        <v>317.60000000000002</v>
      </c>
      <c r="AF66" s="1">
        <v>359.4</v>
      </c>
      <c r="AG66" s="1">
        <v>215.8</v>
      </c>
      <c r="AH66" s="1">
        <v>216.4</v>
      </c>
      <c r="AI66" s="1"/>
      <c r="AJ66" s="1">
        <f t="shared" si="19"/>
        <v>0</v>
      </c>
      <c r="AK66" s="7">
        <v>12</v>
      </c>
      <c r="AL66" s="9">
        <f t="shared" si="26"/>
        <v>0</v>
      </c>
      <c r="AM66" s="1">
        <f t="shared" si="21"/>
        <v>0</v>
      </c>
      <c r="AN66" s="1">
        <v>14</v>
      </c>
      <c r="AO66" s="1">
        <v>70</v>
      </c>
      <c r="AP66" s="9">
        <f t="shared" si="22"/>
        <v>0</v>
      </c>
      <c r="AQ66" s="9"/>
      <c r="AR66" s="1"/>
      <c r="AS66" s="9"/>
      <c r="AT66" s="1"/>
      <c r="AU66" s="1"/>
      <c r="AV66" s="1"/>
      <c r="AW66" s="1"/>
      <c r="AX66" s="1"/>
      <c r="AY66" s="1"/>
      <c r="AZ66" s="1"/>
    </row>
    <row r="67" spans="1:52" hidden="1" x14ac:dyDescent="0.25">
      <c r="A67" s="1" t="s">
        <v>55</v>
      </c>
      <c r="B67" s="1" t="s">
        <v>42</v>
      </c>
      <c r="C67" s="1">
        <v>844</v>
      </c>
      <c r="D67" s="1">
        <v>4519</v>
      </c>
      <c r="E67" s="1">
        <v>1769</v>
      </c>
      <c r="F67" s="18">
        <f>3207+F11</f>
        <v>3403</v>
      </c>
      <c r="G67" s="18"/>
      <c r="H67" s="7">
        <v>0.25</v>
      </c>
      <c r="I67" s="1">
        <v>180</v>
      </c>
      <c r="J67" s="1" t="s">
        <v>164</v>
      </c>
      <c r="K67" s="1"/>
      <c r="L67" s="1">
        <v>2008</v>
      </c>
      <c r="M67" s="1">
        <f t="shared" si="32"/>
        <v>-239</v>
      </c>
      <c r="N67" s="1"/>
      <c r="O67" s="1"/>
      <c r="P67" s="1"/>
      <c r="Q67" s="1">
        <f t="shared" si="33"/>
        <v>353.8</v>
      </c>
      <c r="R67" s="5">
        <v>1550.1999999999998</v>
      </c>
      <c r="S67" s="5">
        <f t="shared" si="46"/>
        <v>3000.7800000000007</v>
      </c>
      <c r="T67" s="5">
        <f>AK67*AL67+AQ67*AK67</f>
        <v>3024</v>
      </c>
      <c r="U67" s="23"/>
      <c r="V67" s="23"/>
      <c r="W67" s="1">
        <f t="shared" si="4"/>
        <v>18.165630299604295</v>
      </c>
      <c r="X67" s="1">
        <f t="shared" si="5"/>
        <v>9.6184284906726969</v>
      </c>
      <c r="Y67" s="1">
        <v>395.6</v>
      </c>
      <c r="Z67" s="1">
        <v>293.8</v>
      </c>
      <c r="AA67" s="1">
        <v>252</v>
      </c>
      <c r="AB67" s="1">
        <v>255.2</v>
      </c>
      <c r="AC67" s="1">
        <v>275.8</v>
      </c>
      <c r="AD67" s="1">
        <v>183.8</v>
      </c>
      <c r="AE67" s="1">
        <v>281.8</v>
      </c>
      <c r="AF67" s="1">
        <v>287.39999999999998</v>
      </c>
      <c r="AG67" s="1">
        <v>251.6</v>
      </c>
      <c r="AH67" s="1">
        <v>171</v>
      </c>
      <c r="AI67" s="1"/>
      <c r="AJ67" s="1">
        <f t="shared" si="19"/>
        <v>750.19500000000016</v>
      </c>
      <c r="AK67" s="7">
        <v>12</v>
      </c>
      <c r="AL67" s="9">
        <f>MROUND(S67, AK67*AN67)/AK67-AQ67</f>
        <v>252</v>
      </c>
      <c r="AM67" s="1">
        <f t="shared" si="21"/>
        <v>756</v>
      </c>
      <c r="AN67" s="1">
        <v>14</v>
      </c>
      <c r="AO67" s="1">
        <v>70</v>
      </c>
      <c r="AP67" s="9">
        <f t="shared" si="22"/>
        <v>3.6</v>
      </c>
      <c r="AQ67" s="9"/>
      <c r="AR67" s="1">
        <f>AQ67*AK67*H67</f>
        <v>0</v>
      </c>
      <c r="AS67" s="9">
        <f>AQ67/AO67</f>
        <v>0</v>
      </c>
      <c r="AT67" s="1"/>
      <c r="AU67" s="1"/>
      <c r="AV67" s="1"/>
      <c r="AW67" s="1"/>
      <c r="AX67" s="1"/>
      <c r="AY67" s="1"/>
      <c r="AZ67" s="1"/>
    </row>
    <row r="68" spans="1:52" hidden="1" x14ac:dyDescent="0.25">
      <c r="A68" s="1" t="s">
        <v>165</v>
      </c>
      <c r="B68" s="1" t="s">
        <v>42</v>
      </c>
      <c r="C68" s="1">
        <v>809</v>
      </c>
      <c r="D68" s="1">
        <v>473</v>
      </c>
      <c r="E68" s="1">
        <v>249</v>
      </c>
      <c r="F68" s="1">
        <v>909</v>
      </c>
      <c r="G68" s="1"/>
      <c r="H68" s="7">
        <v>0.2</v>
      </c>
      <c r="I68" s="1">
        <v>365</v>
      </c>
      <c r="J68" s="1" t="s">
        <v>166</v>
      </c>
      <c r="K68" s="1"/>
      <c r="L68" s="1">
        <v>405</v>
      </c>
      <c r="M68" s="1">
        <f t="shared" si="32"/>
        <v>-156</v>
      </c>
      <c r="N68" s="1"/>
      <c r="O68" s="1"/>
      <c r="P68" s="1"/>
      <c r="Q68" s="1">
        <f t="shared" si="33"/>
        <v>49.8</v>
      </c>
      <c r="R68" s="5"/>
      <c r="S68" s="5">
        <f t="shared" si="46"/>
        <v>0</v>
      </c>
      <c r="T68" s="5">
        <f t="shared" si="25"/>
        <v>0</v>
      </c>
      <c r="U68" s="23"/>
      <c r="V68" s="23"/>
      <c r="W68" s="1">
        <f t="shared" si="4"/>
        <v>18.253012048192772</v>
      </c>
      <c r="X68" s="1">
        <f t="shared" si="5"/>
        <v>18.253012048192772</v>
      </c>
      <c r="Y68" s="1">
        <v>72</v>
      </c>
      <c r="Z68" s="1">
        <v>84.8</v>
      </c>
      <c r="AA68" s="1">
        <v>83.6</v>
      </c>
      <c r="AB68" s="1">
        <v>80.8</v>
      </c>
      <c r="AC68" s="1">
        <v>90.2</v>
      </c>
      <c r="AD68" s="1">
        <v>11.6</v>
      </c>
      <c r="AE68" s="1">
        <v>86</v>
      </c>
      <c r="AF68" s="1">
        <v>68</v>
      </c>
      <c r="AG68" s="1">
        <v>85.8</v>
      </c>
      <c r="AH68" s="1">
        <v>79</v>
      </c>
      <c r="AI68" s="1"/>
      <c r="AJ68" s="1">
        <f t="shared" si="19"/>
        <v>0</v>
      </c>
      <c r="AK68" s="7">
        <v>6</v>
      </c>
      <c r="AL68" s="9">
        <f t="shared" si="26"/>
        <v>0</v>
      </c>
      <c r="AM68" s="1">
        <f t="shared" si="21"/>
        <v>0</v>
      </c>
      <c r="AN68" s="1">
        <v>14</v>
      </c>
      <c r="AO68" s="1">
        <v>140</v>
      </c>
      <c r="AP68" s="9">
        <f t="shared" si="22"/>
        <v>0</v>
      </c>
      <c r="AQ68" s="9"/>
      <c r="AR68" s="1"/>
      <c r="AS68" s="9"/>
      <c r="AT68" s="1"/>
      <c r="AU68" s="1"/>
      <c r="AV68" s="1"/>
      <c r="AW68" s="1"/>
      <c r="AX68" s="1"/>
      <c r="AY68" s="1"/>
      <c r="AZ68" s="1"/>
    </row>
    <row r="69" spans="1:52" hidden="1" x14ac:dyDescent="0.25">
      <c r="A69" s="1" t="s">
        <v>167</v>
      </c>
      <c r="B69" s="1" t="s">
        <v>42</v>
      </c>
      <c r="C69" s="1">
        <v>608</v>
      </c>
      <c r="D69" s="1">
        <v>908</v>
      </c>
      <c r="E69" s="1">
        <v>760</v>
      </c>
      <c r="F69" s="1">
        <v>632</v>
      </c>
      <c r="G69" s="1"/>
      <c r="H69" s="7">
        <v>0.23</v>
      </c>
      <c r="I69" s="1">
        <v>180</v>
      </c>
      <c r="J69" s="1" t="s">
        <v>168</v>
      </c>
      <c r="K69" s="1"/>
      <c r="L69" s="1">
        <v>866</v>
      </c>
      <c r="M69" s="1">
        <f t="shared" si="32"/>
        <v>-106</v>
      </c>
      <c r="N69" s="1"/>
      <c r="O69" s="1"/>
      <c r="P69" s="1"/>
      <c r="Q69" s="1">
        <f t="shared" si="33"/>
        <v>152</v>
      </c>
      <c r="R69" s="5">
        <v>1496</v>
      </c>
      <c r="S69" s="5">
        <f>IF(($T$1-X69-1)*Q69&lt;0,0,($T$1-X69-1)*Q69)</f>
        <v>1967.2</v>
      </c>
      <c r="T69" s="5">
        <f t="shared" ref="T69:T71" si="47">AK69*AL69+AQ69*AK69</f>
        <v>1932</v>
      </c>
      <c r="U69" s="23"/>
      <c r="V69" s="23"/>
      <c r="W69" s="1">
        <f t="shared" si="4"/>
        <v>16.868421052631579</v>
      </c>
      <c r="X69" s="1">
        <f t="shared" si="5"/>
        <v>4.1578947368421053</v>
      </c>
      <c r="Y69" s="1">
        <v>103.2</v>
      </c>
      <c r="Z69" s="1">
        <v>106.6</v>
      </c>
      <c r="AA69" s="1">
        <v>102.4</v>
      </c>
      <c r="AB69" s="1">
        <v>83.6</v>
      </c>
      <c r="AC69" s="1">
        <v>134.4</v>
      </c>
      <c r="AD69" s="1">
        <v>32.6</v>
      </c>
      <c r="AE69" s="1">
        <v>116.8</v>
      </c>
      <c r="AF69" s="1">
        <v>112</v>
      </c>
      <c r="AG69" s="1">
        <v>147.80000000000001</v>
      </c>
      <c r="AH69" s="1">
        <v>153.19999999999999</v>
      </c>
      <c r="AI69" s="1"/>
      <c r="AJ69" s="1">
        <f t="shared" si="19"/>
        <v>452.45600000000002</v>
      </c>
      <c r="AK69" s="7">
        <v>6</v>
      </c>
      <c r="AL69" s="9">
        <f t="shared" ref="AL69:AL71" si="48">MROUND(S69, AK69*AN69)/AK69-AQ69</f>
        <v>322</v>
      </c>
      <c r="AM69" s="1">
        <f t="shared" si="21"/>
        <v>444.36</v>
      </c>
      <c r="AN69" s="1">
        <v>14</v>
      </c>
      <c r="AO69" s="1">
        <v>140</v>
      </c>
      <c r="AP69" s="9">
        <f t="shared" si="22"/>
        <v>2.2999999999999998</v>
      </c>
      <c r="AQ69" s="9"/>
      <c r="AR69" s="1">
        <f t="shared" ref="AR69:AR71" si="49">AQ69*AK69*H69</f>
        <v>0</v>
      </c>
      <c r="AS69" s="9">
        <f t="shared" ref="AS69:AS71" si="50">AQ69/AO69</f>
        <v>0</v>
      </c>
      <c r="AT69" s="1"/>
      <c r="AU69" s="1"/>
      <c r="AV69" s="1"/>
      <c r="AW69" s="1"/>
      <c r="AX69" s="1"/>
      <c r="AY69" s="1"/>
      <c r="AZ69" s="1"/>
    </row>
    <row r="70" spans="1:52" hidden="1" x14ac:dyDescent="0.25">
      <c r="A70" s="1" t="s">
        <v>169</v>
      </c>
      <c r="B70" s="1" t="s">
        <v>52</v>
      </c>
      <c r="C70" s="1">
        <v>64.8</v>
      </c>
      <c r="D70" s="1"/>
      <c r="E70" s="1">
        <v>24.3</v>
      </c>
      <c r="F70" s="1">
        <v>40.5</v>
      </c>
      <c r="G70" s="1"/>
      <c r="H70" s="7">
        <v>1</v>
      </c>
      <c r="I70" s="1">
        <v>180</v>
      </c>
      <c r="J70" s="1" t="s">
        <v>170</v>
      </c>
      <c r="K70" s="1"/>
      <c r="L70" s="1">
        <v>24.3</v>
      </c>
      <c r="M70" s="1">
        <f t="shared" ref="M70:M72" si="51">E70-L70</f>
        <v>0</v>
      </c>
      <c r="N70" s="1"/>
      <c r="O70" s="1"/>
      <c r="P70" s="1"/>
      <c r="Q70" s="1">
        <f t="shared" si="33"/>
        <v>4.8600000000000003</v>
      </c>
      <c r="R70" s="5">
        <v>27.540000000000006</v>
      </c>
      <c r="S70" s="5">
        <f t="shared" si="46"/>
        <v>47.466000000000015</v>
      </c>
      <c r="T70" s="5">
        <f t="shared" si="47"/>
        <v>37.800000000000004</v>
      </c>
      <c r="U70" s="23"/>
      <c r="V70" s="23"/>
      <c r="W70" s="1">
        <f t="shared" si="4"/>
        <v>16.111111111111111</v>
      </c>
      <c r="X70" s="1">
        <f t="shared" si="5"/>
        <v>8.3333333333333321</v>
      </c>
      <c r="Y70" s="1">
        <v>4.8600000000000003</v>
      </c>
      <c r="Z70" s="1">
        <v>4.8600000000000003</v>
      </c>
      <c r="AA70" s="1">
        <v>5.94</v>
      </c>
      <c r="AB70" s="1">
        <v>3.24</v>
      </c>
      <c r="AC70" s="1">
        <v>8.64</v>
      </c>
      <c r="AD70" s="1">
        <v>2.16</v>
      </c>
      <c r="AE70" s="1">
        <v>7.56</v>
      </c>
      <c r="AF70" s="1">
        <v>7.56</v>
      </c>
      <c r="AG70" s="1">
        <v>7.58</v>
      </c>
      <c r="AH70" s="1">
        <v>6.94</v>
      </c>
      <c r="AI70" s="1"/>
      <c r="AJ70" s="1">
        <f t="shared" si="19"/>
        <v>47.466000000000015</v>
      </c>
      <c r="AK70" s="7">
        <v>2.7</v>
      </c>
      <c r="AL70" s="9">
        <f t="shared" si="48"/>
        <v>14</v>
      </c>
      <c r="AM70" s="1">
        <f t="shared" si="21"/>
        <v>37.800000000000004</v>
      </c>
      <c r="AN70" s="1">
        <v>14</v>
      </c>
      <c r="AO70" s="1">
        <v>126</v>
      </c>
      <c r="AP70" s="9">
        <f t="shared" si="22"/>
        <v>0.1111111111111111</v>
      </c>
      <c r="AQ70" s="9"/>
      <c r="AR70" s="1">
        <f t="shared" si="49"/>
        <v>0</v>
      </c>
      <c r="AS70" s="9">
        <f t="shared" si="50"/>
        <v>0</v>
      </c>
      <c r="AT70" s="1"/>
      <c r="AU70" s="1"/>
      <c r="AV70" s="1"/>
      <c r="AW70" s="1"/>
      <c r="AX70" s="1"/>
      <c r="AY70" s="1"/>
      <c r="AZ70" s="1"/>
    </row>
    <row r="71" spans="1:52" hidden="1" x14ac:dyDescent="0.25">
      <c r="A71" s="1" t="s">
        <v>171</v>
      </c>
      <c r="B71" s="1" t="s">
        <v>52</v>
      </c>
      <c r="C71" s="1">
        <v>722.5</v>
      </c>
      <c r="D71" s="1">
        <v>370</v>
      </c>
      <c r="E71" s="18">
        <f>325+E72</f>
        <v>385</v>
      </c>
      <c r="F71" s="18">
        <f>747.5+F72</f>
        <v>445</v>
      </c>
      <c r="G71" s="18"/>
      <c r="H71" s="7">
        <v>1</v>
      </c>
      <c r="I71" s="1">
        <v>180</v>
      </c>
      <c r="J71" s="1" t="s">
        <v>172</v>
      </c>
      <c r="K71" s="1"/>
      <c r="L71" s="1">
        <v>335</v>
      </c>
      <c r="M71" s="1">
        <f t="shared" si="51"/>
        <v>50</v>
      </c>
      <c r="N71" s="1"/>
      <c r="O71" s="1"/>
      <c r="P71" s="1"/>
      <c r="Q71" s="1">
        <f t="shared" si="33"/>
        <v>77</v>
      </c>
      <c r="R71" s="5">
        <v>633</v>
      </c>
      <c r="S71" s="5">
        <f>U71</f>
        <v>1200</v>
      </c>
      <c r="T71" s="5">
        <f t="shared" si="47"/>
        <v>1200</v>
      </c>
      <c r="U71" s="23">
        <v>1200</v>
      </c>
      <c r="V71" s="28" t="s">
        <v>177</v>
      </c>
      <c r="W71" s="1">
        <f t="shared" ref="W71:W72" si="52">(F71+T71)/Q71</f>
        <v>21.363636363636363</v>
      </c>
      <c r="X71" s="1">
        <f t="shared" ref="X71:X72" si="53">F71/Q71</f>
        <v>5.779220779220779</v>
      </c>
      <c r="Y71" s="1">
        <v>62</v>
      </c>
      <c r="Z71" s="1">
        <v>54</v>
      </c>
      <c r="AA71" s="1">
        <v>54</v>
      </c>
      <c r="AB71" s="1">
        <v>63</v>
      </c>
      <c r="AC71" s="1">
        <v>87</v>
      </c>
      <c r="AD71" s="1">
        <v>20</v>
      </c>
      <c r="AE71" s="1">
        <v>87</v>
      </c>
      <c r="AF71" s="1">
        <v>60</v>
      </c>
      <c r="AG71" s="1">
        <v>72</v>
      </c>
      <c r="AH71" s="1">
        <v>78.539999999999992</v>
      </c>
      <c r="AI71" s="1"/>
      <c r="AJ71" s="1">
        <f t="shared" si="19"/>
        <v>1200</v>
      </c>
      <c r="AK71" s="7">
        <v>5</v>
      </c>
      <c r="AL71" s="9">
        <f t="shared" si="48"/>
        <v>240</v>
      </c>
      <c r="AM71" s="1">
        <f t="shared" si="21"/>
        <v>1200</v>
      </c>
      <c r="AN71" s="1">
        <v>12</v>
      </c>
      <c r="AO71" s="1">
        <v>84</v>
      </c>
      <c r="AP71" s="9">
        <f t="shared" si="22"/>
        <v>2.8571428571428572</v>
      </c>
      <c r="AQ71" s="9"/>
      <c r="AR71" s="1">
        <f t="shared" si="49"/>
        <v>0</v>
      </c>
      <c r="AS71" s="9">
        <f t="shared" si="50"/>
        <v>0</v>
      </c>
      <c r="AT71" s="1"/>
      <c r="AU71" s="1"/>
      <c r="AV71" s="1"/>
      <c r="AW71" s="1"/>
      <c r="AX71" s="1"/>
      <c r="AY71" s="1"/>
      <c r="AZ71" s="1"/>
    </row>
    <row r="72" spans="1:52" hidden="1" x14ac:dyDescent="0.25">
      <c r="A72" s="14" t="s">
        <v>173</v>
      </c>
      <c r="B72" s="14" t="s">
        <v>52</v>
      </c>
      <c r="C72" s="14">
        <v>-242.5</v>
      </c>
      <c r="D72" s="14"/>
      <c r="E72" s="18">
        <v>60</v>
      </c>
      <c r="F72" s="18">
        <v>-302.5</v>
      </c>
      <c r="G72" s="18"/>
      <c r="H72" s="15">
        <v>0</v>
      </c>
      <c r="I72" s="14"/>
      <c r="J72" s="14" t="s">
        <v>63</v>
      </c>
      <c r="K72" s="14" t="s">
        <v>171</v>
      </c>
      <c r="L72" s="14">
        <v>100</v>
      </c>
      <c r="M72" s="14">
        <f t="shared" si="51"/>
        <v>-40</v>
      </c>
      <c r="N72" s="14"/>
      <c r="O72" s="14"/>
      <c r="P72" s="14"/>
      <c r="Q72" s="14">
        <f t="shared" si="33"/>
        <v>12</v>
      </c>
      <c r="R72" s="16"/>
      <c r="S72" s="16"/>
      <c r="T72" s="16"/>
      <c r="U72" s="24"/>
      <c r="V72" s="24"/>
      <c r="W72" s="14">
        <f t="shared" si="52"/>
        <v>-25.208333333333332</v>
      </c>
      <c r="X72" s="14">
        <f t="shared" si="53"/>
        <v>-25.208333333333332</v>
      </c>
      <c r="Y72" s="14">
        <v>11</v>
      </c>
      <c r="Z72" s="14">
        <v>6</v>
      </c>
      <c r="AA72" s="14">
        <v>8</v>
      </c>
      <c r="AB72" s="14">
        <v>14</v>
      </c>
      <c r="AC72" s="14">
        <v>15</v>
      </c>
      <c r="AD72" s="14">
        <v>7</v>
      </c>
      <c r="AE72" s="14">
        <v>13</v>
      </c>
      <c r="AF72" s="14">
        <v>3</v>
      </c>
      <c r="AG72" s="14">
        <v>27</v>
      </c>
      <c r="AH72" s="14">
        <v>32.54</v>
      </c>
      <c r="AI72" s="14"/>
      <c r="AJ72" s="14"/>
      <c r="AK72" s="15"/>
      <c r="AL72" s="17"/>
      <c r="AM72" s="14"/>
      <c r="AN72" s="14"/>
      <c r="AO72" s="14"/>
      <c r="AP72" s="17"/>
      <c r="AQ72" s="17"/>
      <c r="AR72" s="14"/>
      <c r="AS72" s="17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7"/>
      <c r="AL73" s="9"/>
      <c r="AM73" s="1"/>
      <c r="AN73" s="1"/>
      <c r="AO73" s="1"/>
      <c r="AP73" s="9"/>
      <c r="AQ73" s="9"/>
      <c r="AR73" s="1"/>
      <c r="AS73" s="9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7"/>
      <c r="AL74" s="9"/>
      <c r="AM74" s="1"/>
      <c r="AN74" s="1"/>
      <c r="AO74" s="1"/>
      <c r="AP74" s="9"/>
      <c r="AQ74" s="9"/>
      <c r="AR74" s="1"/>
      <c r="AS74" s="9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7"/>
      <c r="AL75" s="9"/>
      <c r="AM75" s="1"/>
      <c r="AN75" s="1"/>
      <c r="AO75" s="1"/>
      <c r="AP75" s="9"/>
      <c r="AQ75" s="9"/>
      <c r="AR75" s="1"/>
      <c r="AS75" s="9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7"/>
      <c r="AL76" s="9"/>
      <c r="AM76" s="1"/>
      <c r="AN76" s="1"/>
      <c r="AO76" s="1"/>
      <c r="AP76" s="9"/>
      <c r="AQ76" s="9"/>
      <c r="AR76" s="1"/>
      <c r="AS76" s="9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7"/>
      <c r="AL77" s="9"/>
      <c r="AM77" s="1"/>
      <c r="AN77" s="1"/>
      <c r="AO77" s="1"/>
      <c r="AP77" s="9"/>
      <c r="AQ77" s="9"/>
      <c r="AR77" s="1"/>
      <c r="AS77" s="9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7"/>
      <c r="AL78" s="9"/>
      <c r="AM78" s="1"/>
      <c r="AN78" s="1"/>
      <c r="AO78" s="1"/>
      <c r="AP78" s="9"/>
      <c r="AQ78" s="9"/>
      <c r="AR78" s="1"/>
      <c r="AS78" s="9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7"/>
      <c r="AL79" s="9"/>
      <c r="AM79" s="1"/>
      <c r="AN79" s="1"/>
      <c r="AO79" s="1"/>
      <c r="AP79" s="9"/>
      <c r="AQ79" s="9"/>
      <c r="AR79" s="1"/>
      <c r="AS79" s="9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7"/>
      <c r="AL80" s="9"/>
      <c r="AM80" s="1"/>
      <c r="AN80" s="1"/>
      <c r="AO80" s="1"/>
      <c r="AP80" s="9"/>
      <c r="AQ80" s="9"/>
      <c r="AR80" s="1"/>
      <c r="AS80" s="9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7"/>
      <c r="AL81" s="9"/>
      <c r="AM81" s="1"/>
      <c r="AN81" s="1"/>
      <c r="AO81" s="1"/>
      <c r="AP81" s="9"/>
      <c r="AQ81" s="9"/>
      <c r="AR81" s="1"/>
      <c r="AS81" s="9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7"/>
      <c r="AL82" s="9"/>
      <c r="AM82" s="1"/>
      <c r="AN82" s="1"/>
      <c r="AO82" s="1"/>
      <c r="AP82" s="9"/>
      <c r="AQ82" s="9"/>
      <c r="AR82" s="1"/>
      <c r="AS82" s="9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7"/>
      <c r="AL83" s="9"/>
      <c r="AM83" s="1"/>
      <c r="AN83" s="1"/>
      <c r="AO83" s="1"/>
      <c r="AP83" s="9"/>
      <c r="AQ83" s="9"/>
      <c r="AR83" s="1"/>
      <c r="AS83" s="9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7"/>
      <c r="AL84" s="9"/>
      <c r="AM84" s="1"/>
      <c r="AN84" s="1"/>
      <c r="AO84" s="1"/>
      <c r="AP84" s="9"/>
      <c r="AQ84" s="9"/>
      <c r="AR84" s="1"/>
      <c r="AS84" s="9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7"/>
      <c r="AL85" s="9"/>
      <c r="AM85" s="1"/>
      <c r="AN85" s="1"/>
      <c r="AO85" s="1"/>
      <c r="AP85" s="9"/>
      <c r="AQ85" s="9"/>
      <c r="AR85" s="1"/>
      <c r="AS85" s="9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7"/>
      <c r="AL86" s="9"/>
      <c r="AM86" s="1"/>
      <c r="AN86" s="1"/>
      <c r="AO86" s="1"/>
      <c r="AP86" s="9"/>
      <c r="AQ86" s="9"/>
      <c r="AR86" s="1"/>
      <c r="AS86" s="9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7"/>
      <c r="AL87" s="9"/>
      <c r="AM87" s="1"/>
      <c r="AN87" s="1"/>
      <c r="AO87" s="1"/>
      <c r="AP87" s="9"/>
      <c r="AQ87" s="9"/>
      <c r="AR87" s="1"/>
      <c r="AS87" s="9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7"/>
      <c r="AL88" s="9"/>
      <c r="AM88" s="1"/>
      <c r="AN88" s="1"/>
      <c r="AO88" s="1"/>
      <c r="AP88" s="9"/>
      <c r="AQ88" s="9"/>
      <c r="AR88" s="1"/>
      <c r="AS88" s="9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7"/>
      <c r="AL89" s="9"/>
      <c r="AM89" s="1"/>
      <c r="AN89" s="1"/>
      <c r="AO89" s="1"/>
      <c r="AP89" s="9"/>
      <c r="AQ89" s="9"/>
      <c r="AR89" s="1"/>
      <c r="AS89" s="9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7"/>
      <c r="AL90" s="9"/>
      <c r="AM90" s="1"/>
      <c r="AN90" s="1"/>
      <c r="AO90" s="1"/>
      <c r="AP90" s="9"/>
      <c r="AQ90" s="9"/>
      <c r="AR90" s="1"/>
      <c r="AS90" s="9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7"/>
      <c r="AL91" s="9"/>
      <c r="AM91" s="1"/>
      <c r="AN91" s="1"/>
      <c r="AO91" s="1"/>
      <c r="AP91" s="9"/>
      <c r="AQ91" s="9"/>
      <c r="AR91" s="1"/>
      <c r="AS91" s="9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7"/>
      <c r="AL92" s="9"/>
      <c r="AM92" s="1"/>
      <c r="AN92" s="1"/>
      <c r="AO92" s="1"/>
      <c r="AP92" s="9"/>
      <c r="AQ92" s="9"/>
      <c r="AR92" s="1"/>
      <c r="AS92" s="9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7"/>
      <c r="AL93" s="9"/>
      <c r="AM93" s="1"/>
      <c r="AN93" s="1"/>
      <c r="AO93" s="1"/>
      <c r="AP93" s="9"/>
      <c r="AQ93" s="9"/>
      <c r="AR93" s="1"/>
      <c r="AS93" s="9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7"/>
      <c r="AL94" s="9"/>
      <c r="AM94" s="1"/>
      <c r="AN94" s="1"/>
      <c r="AO94" s="1"/>
      <c r="AP94" s="9"/>
      <c r="AQ94" s="9"/>
      <c r="AR94" s="1"/>
      <c r="AS94" s="9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7"/>
      <c r="AL95" s="9"/>
      <c r="AM95" s="1"/>
      <c r="AN95" s="1"/>
      <c r="AO95" s="1"/>
      <c r="AP95" s="9"/>
      <c r="AQ95" s="9"/>
      <c r="AR95" s="1"/>
      <c r="AS95" s="9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7"/>
      <c r="AL96" s="9"/>
      <c r="AM96" s="1"/>
      <c r="AN96" s="1"/>
      <c r="AO96" s="1"/>
      <c r="AP96" s="9"/>
      <c r="AQ96" s="9"/>
      <c r="AR96" s="1"/>
      <c r="AS96" s="9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7"/>
      <c r="AL97" s="9"/>
      <c r="AM97" s="1"/>
      <c r="AN97" s="1"/>
      <c r="AO97" s="1"/>
      <c r="AP97" s="9"/>
      <c r="AQ97" s="9"/>
      <c r="AR97" s="1"/>
      <c r="AS97" s="9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7"/>
      <c r="AL98" s="9"/>
      <c r="AM98" s="1"/>
      <c r="AN98" s="1"/>
      <c r="AO98" s="1"/>
      <c r="AP98" s="9"/>
      <c r="AQ98" s="9"/>
      <c r="AR98" s="1"/>
      <c r="AS98" s="9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7"/>
      <c r="AL99" s="9"/>
      <c r="AM99" s="1"/>
      <c r="AN99" s="1"/>
      <c r="AO99" s="1"/>
      <c r="AP99" s="9"/>
      <c r="AQ99" s="9"/>
      <c r="AR99" s="1"/>
      <c r="AS99" s="9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7"/>
      <c r="AL100" s="9"/>
      <c r="AM100" s="1"/>
      <c r="AN100" s="1"/>
      <c r="AO100" s="1"/>
      <c r="AP100" s="9"/>
      <c r="AQ100" s="9"/>
      <c r="AR100" s="1"/>
      <c r="AS100" s="9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7"/>
      <c r="AL101" s="9"/>
      <c r="AM101" s="1"/>
      <c r="AN101" s="1"/>
      <c r="AO101" s="1"/>
      <c r="AP101" s="9"/>
      <c r="AQ101" s="9"/>
      <c r="AR101" s="1"/>
      <c r="AS101" s="9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7"/>
      <c r="AL102" s="9"/>
      <c r="AM102" s="1"/>
      <c r="AN102" s="1"/>
      <c r="AO102" s="1"/>
      <c r="AP102" s="9"/>
      <c r="AQ102" s="9"/>
      <c r="AR102" s="1"/>
      <c r="AS102" s="9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7"/>
      <c r="AL103" s="9"/>
      <c r="AM103" s="1"/>
      <c r="AN103" s="1"/>
      <c r="AO103" s="1"/>
      <c r="AP103" s="9"/>
      <c r="AQ103" s="9"/>
      <c r="AR103" s="1"/>
      <c r="AS103" s="9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7"/>
      <c r="AL104" s="9"/>
      <c r="AM104" s="1"/>
      <c r="AN104" s="1"/>
      <c r="AO104" s="1"/>
      <c r="AP104" s="9"/>
      <c r="AQ104" s="9"/>
      <c r="AR104" s="1"/>
      <c r="AS104" s="9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7"/>
      <c r="AL105" s="9"/>
      <c r="AM105" s="1"/>
      <c r="AN105" s="1"/>
      <c r="AO105" s="1"/>
      <c r="AP105" s="9"/>
      <c r="AQ105" s="9"/>
      <c r="AR105" s="1"/>
      <c r="AS105" s="9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7"/>
      <c r="AL106" s="9"/>
      <c r="AM106" s="1"/>
      <c r="AN106" s="1"/>
      <c r="AO106" s="1"/>
      <c r="AP106" s="9"/>
      <c r="AQ106" s="9"/>
      <c r="AR106" s="1"/>
      <c r="AS106" s="9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7"/>
      <c r="AL107" s="9"/>
      <c r="AM107" s="1"/>
      <c r="AN107" s="1"/>
      <c r="AO107" s="1"/>
      <c r="AP107" s="9"/>
      <c r="AQ107" s="9"/>
      <c r="AR107" s="1"/>
      <c r="AS107" s="9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7"/>
      <c r="AL108" s="9"/>
      <c r="AM108" s="1"/>
      <c r="AN108" s="1"/>
      <c r="AO108" s="1"/>
      <c r="AP108" s="9"/>
      <c r="AQ108" s="9"/>
      <c r="AR108" s="1"/>
      <c r="AS108" s="9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7"/>
      <c r="AL109" s="9"/>
      <c r="AM109" s="1"/>
      <c r="AN109" s="1"/>
      <c r="AO109" s="1"/>
      <c r="AP109" s="9"/>
      <c r="AQ109" s="9"/>
      <c r="AR109" s="1"/>
      <c r="AS109" s="9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7"/>
      <c r="AL110" s="9"/>
      <c r="AM110" s="1"/>
      <c r="AN110" s="1"/>
      <c r="AO110" s="1"/>
      <c r="AP110" s="9"/>
      <c r="AQ110" s="9"/>
      <c r="AR110" s="1"/>
      <c r="AS110" s="9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7"/>
      <c r="AL111" s="9"/>
      <c r="AM111" s="1"/>
      <c r="AN111" s="1"/>
      <c r="AO111" s="1"/>
      <c r="AP111" s="9"/>
      <c r="AQ111" s="9"/>
      <c r="AR111" s="1"/>
      <c r="AS111" s="9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7"/>
      <c r="AL112" s="9"/>
      <c r="AM112" s="1"/>
      <c r="AN112" s="1"/>
      <c r="AO112" s="1"/>
      <c r="AP112" s="9"/>
      <c r="AQ112" s="9"/>
      <c r="AR112" s="1"/>
      <c r="AS112" s="9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7"/>
      <c r="AL113" s="9"/>
      <c r="AM113" s="1"/>
      <c r="AN113" s="1"/>
      <c r="AO113" s="1"/>
      <c r="AP113" s="9"/>
      <c r="AQ113" s="9"/>
      <c r="AR113" s="1"/>
      <c r="AS113" s="9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7"/>
      <c r="AL114" s="9"/>
      <c r="AM114" s="1"/>
      <c r="AN114" s="1"/>
      <c r="AO114" s="1"/>
      <c r="AP114" s="9"/>
      <c r="AQ114" s="9"/>
      <c r="AR114" s="1"/>
      <c r="AS114" s="9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7"/>
      <c r="AL115" s="9"/>
      <c r="AM115" s="1"/>
      <c r="AN115" s="1"/>
      <c r="AO115" s="1"/>
      <c r="AP115" s="9"/>
      <c r="AQ115" s="9"/>
      <c r="AR115" s="1"/>
      <c r="AS115" s="9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7"/>
      <c r="AL116" s="9"/>
      <c r="AM116" s="1"/>
      <c r="AN116" s="1"/>
      <c r="AO116" s="1"/>
      <c r="AP116" s="9"/>
      <c r="AQ116" s="9"/>
      <c r="AR116" s="1"/>
      <c r="AS116" s="9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7"/>
      <c r="AL117" s="9"/>
      <c r="AM117" s="1"/>
      <c r="AN117" s="1"/>
      <c r="AO117" s="1"/>
      <c r="AP117" s="9"/>
      <c r="AQ117" s="9"/>
      <c r="AR117" s="1"/>
      <c r="AS117" s="9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7"/>
      <c r="AL118" s="9"/>
      <c r="AM118" s="1"/>
      <c r="AN118" s="1"/>
      <c r="AO118" s="1"/>
      <c r="AP118" s="9"/>
      <c r="AQ118" s="9"/>
      <c r="AR118" s="1"/>
      <c r="AS118" s="9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7"/>
      <c r="AL119" s="9"/>
      <c r="AM119" s="1"/>
      <c r="AN119" s="1"/>
      <c r="AO119" s="1"/>
      <c r="AP119" s="9"/>
      <c r="AQ119" s="9"/>
      <c r="AR119" s="1"/>
      <c r="AS119" s="9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7"/>
      <c r="AL120" s="9"/>
      <c r="AM120" s="1"/>
      <c r="AN120" s="1"/>
      <c r="AO120" s="1"/>
      <c r="AP120" s="9"/>
      <c r="AQ120" s="9"/>
      <c r="AR120" s="1"/>
      <c r="AS120" s="9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7"/>
      <c r="AL121" s="9"/>
      <c r="AM121" s="1"/>
      <c r="AN121" s="1"/>
      <c r="AO121" s="1"/>
      <c r="AP121" s="9"/>
      <c r="AQ121" s="9"/>
      <c r="AR121" s="1"/>
      <c r="AS121" s="9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7"/>
      <c r="AL122" s="9"/>
      <c r="AM122" s="1"/>
      <c r="AN122" s="1"/>
      <c r="AO122" s="1"/>
      <c r="AP122" s="9"/>
      <c r="AQ122" s="9"/>
      <c r="AR122" s="1"/>
      <c r="AS122" s="9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7"/>
      <c r="AL123" s="9"/>
      <c r="AM123" s="1"/>
      <c r="AN123" s="1"/>
      <c r="AO123" s="1"/>
      <c r="AP123" s="9"/>
      <c r="AQ123" s="9"/>
      <c r="AR123" s="1"/>
      <c r="AS123" s="9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7"/>
      <c r="AL124" s="9"/>
      <c r="AM124" s="1"/>
      <c r="AN124" s="1"/>
      <c r="AO124" s="1"/>
      <c r="AP124" s="9"/>
      <c r="AQ124" s="9"/>
      <c r="AR124" s="1"/>
      <c r="AS124" s="9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7"/>
      <c r="AL125" s="9"/>
      <c r="AM125" s="1"/>
      <c r="AN125" s="1"/>
      <c r="AO125" s="1"/>
      <c r="AP125" s="9"/>
      <c r="AQ125" s="9"/>
      <c r="AR125" s="1"/>
      <c r="AS125" s="9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7"/>
      <c r="AL126" s="9"/>
      <c r="AM126" s="1"/>
      <c r="AN126" s="1"/>
      <c r="AO126" s="1"/>
      <c r="AP126" s="9"/>
      <c r="AQ126" s="9"/>
      <c r="AR126" s="1"/>
      <c r="AS126" s="9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7"/>
      <c r="AL127" s="9"/>
      <c r="AM127" s="1"/>
      <c r="AN127" s="1"/>
      <c r="AO127" s="1"/>
      <c r="AP127" s="9"/>
      <c r="AQ127" s="9"/>
      <c r="AR127" s="1"/>
      <c r="AS127" s="9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7"/>
      <c r="AL128" s="9"/>
      <c r="AM128" s="1"/>
      <c r="AN128" s="1"/>
      <c r="AO128" s="1"/>
      <c r="AP128" s="9"/>
      <c r="AQ128" s="9"/>
      <c r="AR128" s="1"/>
      <c r="AS128" s="9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7"/>
      <c r="AL129" s="9"/>
      <c r="AM129" s="1"/>
      <c r="AN129" s="1"/>
      <c r="AO129" s="1"/>
      <c r="AP129" s="9"/>
      <c r="AQ129" s="9"/>
      <c r="AR129" s="1"/>
      <c r="AS129" s="9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7"/>
      <c r="AL130" s="9"/>
      <c r="AM130" s="1"/>
      <c r="AN130" s="1"/>
      <c r="AO130" s="1"/>
      <c r="AP130" s="9"/>
      <c r="AQ130" s="9"/>
      <c r="AR130" s="1"/>
      <c r="AS130" s="9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7"/>
      <c r="AL131" s="9"/>
      <c r="AM131" s="1"/>
      <c r="AN131" s="1"/>
      <c r="AO131" s="1"/>
      <c r="AP131" s="9"/>
      <c r="AQ131" s="9"/>
      <c r="AR131" s="1"/>
      <c r="AS131" s="9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7"/>
      <c r="AL132" s="9"/>
      <c r="AM132" s="1"/>
      <c r="AN132" s="1"/>
      <c r="AO132" s="1"/>
      <c r="AP132" s="9"/>
      <c r="AQ132" s="9"/>
      <c r="AR132" s="1"/>
      <c r="AS132" s="9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7"/>
      <c r="AL133" s="9"/>
      <c r="AM133" s="1"/>
      <c r="AN133" s="1"/>
      <c r="AO133" s="1"/>
      <c r="AP133" s="9"/>
      <c r="AQ133" s="9"/>
      <c r="AR133" s="1"/>
      <c r="AS133" s="9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7"/>
      <c r="AL134" s="9"/>
      <c r="AM134" s="1"/>
      <c r="AN134" s="1"/>
      <c r="AO134" s="1"/>
      <c r="AP134" s="9"/>
      <c r="AQ134" s="9"/>
      <c r="AR134" s="1"/>
      <c r="AS134" s="9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7"/>
      <c r="AL135" s="9"/>
      <c r="AM135" s="1"/>
      <c r="AN135" s="1"/>
      <c r="AO135" s="1"/>
      <c r="AP135" s="9"/>
      <c r="AQ135" s="9"/>
      <c r="AR135" s="1"/>
      <c r="AS135" s="9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7"/>
      <c r="AL136" s="9"/>
      <c r="AM136" s="1"/>
      <c r="AN136" s="1"/>
      <c r="AO136" s="1"/>
      <c r="AP136" s="9"/>
      <c r="AQ136" s="9"/>
      <c r="AR136" s="1"/>
      <c r="AS136" s="9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7"/>
      <c r="AL137" s="9"/>
      <c r="AM137" s="1"/>
      <c r="AN137" s="1"/>
      <c r="AO137" s="1"/>
      <c r="AP137" s="9"/>
      <c r="AQ137" s="9"/>
      <c r="AR137" s="1"/>
      <c r="AS137" s="9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7"/>
      <c r="AL138" s="9"/>
      <c r="AM138" s="1"/>
      <c r="AN138" s="1"/>
      <c r="AO138" s="1"/>
      <c r="AP138" s="9"/>
      <c r="AQ138" s="9"/>
      <c r="AR138" s="1"/>
      <c r="AS138" s="9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7"/>
      <c r="AL139" s="9"/>
      <c r="AM139" s="1"/>
      <c r="AN139" s="1"/>
      <c r="AO139" s="1"/>
      <c r="AP139" s="9"/>
      <c r="AQ139" s="9"/>
      <c r="AR139" s="1"/>
      <c r="AS139" s="9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7"/>
      <c r="AL140" s="9"/>
      <c r="AM140" s="1"/>
      <c r="AN140" s="1"/>
      <c r="AO140" s="1"/>
      <c r="AP140" s="9"/>
      <c r="AQ140" s="9"/>
      <c r="AR140" s="1"/>
      <c r="AS140" s="9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7"/>
      <c r="AL141" s="9"/>
      <c r="AM141" s="1"/>
      <c r="AN141" s="1"/>
      <c r="AO141" s="1"/>
      <c r="AP141" s="9"/>
      <c r="AQ141" s="9"/>
      <c r="AR141" s="1"/>
      <c r="AS141" s="9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7"/>
      <c r="AL142" s="9"/>
      <c r="AM142" s="1"/>
      <c r="AN142" s="1"/>
      <c r="AO142" s="1"/>
      <c r="AP142" s="9"/>
      <c r="AQ142" s="9"/>
      <c r="AR142" s="1"/>
      <c r="AS142" s="9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7"/>
      <c r="AL143" s="9"/>
      <c r="AM143" s="1"/>
      <c r="AN143" s="1"/>
      <c r="AO143" s="1"/>
      <c r="AP143" s="9"/>
      <c r="AQ143" s="9"/>
      <c r="AR143" s="1"/>
      <c r="AS143" s="9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7"/>
      <c r="AL144" s="9"/>
      <c r="AM144" s="1"/>
      <c r="AN144" s="1"/>
      <c r="AO144" s="1"/>
      <c r="AP144" s="9"/>
      <c r="AQ144" s="9"/>
      <c r="AR144" s="1"/>
      <c r="AS144" s="9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7"/>
      <c r="AL145" s="9"/>
      <c r="AM145" s="1"/>
      <c r="AN145" s="1"/>
      <c r="AO145" s="1"/>
      <c r="AP145" s="9"/>
      <c r="AQ145" s="9"/>
      <c r="AR145" s="1"/>
      <c r="AS145" s="9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7"/>
      <c r="AL146" s="9"/>
      <c r="AM146" s="1"/>
      <c r="AN146" s="1"/>
      <c r="AO146" s="1"/>
      <c r="AP146" s="9"/>
      <c r="AQ146" s="9"/>
      <c r="AR146" s="1"/>
      <c r="AS146" s="9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7"/>
      <c r="AL147" s="9"/>
      <c r="AM147" s="1"/>
      <c r="AN147" s="1"/>
      <c r="AO147" s="1"/>
      <c r="AP147" s="9"/>
      <c r="AQ147" s="9"/>
      <c r="AR147" s="1"/>
      <c r="AS147" s="9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7"/>
      <c r="AL148" s="9"/>
      <c r="AM148" s="1"/>
      <c r="AN148" s="1"/>
      <c r="AO148" s="1"/>
      <c r="AP148" s="9"/>
      <c r="AQ148" s="9"/>
      <c r="AR148" s="1"/>
      <c r="AS148" s="9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7"/>
      <c r="AL149" s="9"/>
      <c r="AM149" s="1"/>
      <c r="AN149" s="1"/>
      <c r="AO149" s="1"/>
      <c r="AP149" s="9"/>
      <c r="AQ149" s="9"/>
      <c r="AR149" s="1"/>
      <c r="AS149" s="9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"/>
      <c r="AL150" s="9"/>
      <c r="AM150" s="1"/>
      <c r="AN150" s="1"/>
      <c r="AO150" s="1"/>
      <c r="AP150" s="9"/>
      <c r="AQ150" s="9"/>
      <c r="AR150" s="1"/>
      <c r="AS150" s="9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"/>
      <c r="AL151" s="9"/>
      <c r="AM151" s="1"/>
      <c r="AN151" s="1"/>
      <c r="AO151" s="1"/>
      <c r="AP151" s="9"/>
      <c r="AQ151" s="9"/>
      <c r="AR151" s="1"/>
      <c r="AS151" s="9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"/>
      <c r="AL152" s="9"/>
      <c r="AM152" s="1"/>
      <c r="AN152" s="1"/>
      <c r="AO152" s="1"/>
      <c r="AP152" s="9"/>
      <c r="AQ152" s="9"/>
      <c r="AR152" s="1"/>
      <c r="AS152" s="9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"/>
      <c r="AL153" s="9"/>
      <c r="AM153" s="1"/>
      <c r="AN153" s="1"/>
      <c r="AO153" s="1"/>
      <c r="AP153" s="9"/>
      <c r="AQ153" s="9"/>
      <c r="AR153" s="1"/>
      <c r="AS153" s="9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"/>
      <c r="AL154" s="9"/>
      <c r="AM154" s="1"/>
      <c r="AN154" s="1"/>
      <c r="AO154" s="1"/>
      <c r="AP154" s="9"/>
      <c r="AQ154" s="9"/>
      <c r="AR154" s="1"/>
      <c r="AS154" s="9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"/>
      <c r="AL155" s="9"/>
      <c r="AM155" s="1"/>
      <c r="AN155" s="1"/>
      <c r="AO155" s="1"/>
      <c r="AP155" s="9"/>
      <c r="AQ155" s="9"/>
      <c r="AR155" s="1"/>
      <c r="AS155" s="9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7"/>
      <c r="AL156" s="9"/>
      <c r="AM156" s="1"/>
      <c r="AN156" s="1"/>
      <c r="AO156" s="1"/>
      <c r="AP156" s="9"/>
      <c r="AQ156" s="9"/>
      <c r="AR156" s="1"/>
      <c r="AS156" s="9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7"/>
      <c r="AL157" s="9"/>
      <c r="AM157" s="1"/>
      <c r="AN157" s="1"/>
      <c r="AO157" s="1"/>
      <c r="AP157" s="9"/>
      <c r="AQ157" s="9"/>
      <c r="AR157" s="1"/>
      <c r="AS157" s="9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7"/>
      <c r="AL158" s="9"/>
      <c r="AM158" s="1"/>
      <c r="AN158" s="1"/>
      <c r="AO158" s="1"/>
      <c r="AP158" s="9"/>
      <c r="AQ158" s="9"/>
      <c r="AR158" s="1"/>
      <c r="AS158" s="9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7"/>
      <c r="AL159" s="9"/>
      <c r="AM159" s="1"/>
      <c r="AN159" s="1"/>
      <c r="AO159" s="1"/>
      <c r="AP159" s="9"/>
      <c r="AQ159" s="9"/>
      <c r="AR159" s="1"/>
      <c r="AS159" s="9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7"/>
      <c r="AL160" s="9"/>
      <c r="AM160" s="1"/>
      <c r="AN160" s="1"/>
      <c r="AO160" s="1"/>
      <c r="AP160" s="9"/>
      <c r="AQ160" s="9"/>
      <c r="AR160" s="1"/>
      <c r="AS160" s="9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7"/>
      <c r="AL161" s="9"/>
      <c r="AM161" s="1"/>
      <c r="AN161" s="1"/>
      <c r="AO161" s="1"/>
      <c r="AP161" s="9"/>
      <c r="AQ161" s="9"/>
      <c r="AR161" s="1"/>
      <c r="AS161" s="9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7"/>
      <c r="AL162" s="9"/>
      <c r="AM162" s="1"/>
      <c r="AN162" s="1"/>
      <c r="AO162" s="1"/>
      <c r="AP162" s="9"/>
      <c r="AQ162" s="9"/>
      <c r="AR162" s="1"/>
      <c r="AS162" s="9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7"/>
      <c r="AL163" s="9"/>
      <c r="AM163" s="1"/>
      <c r="AN163" s="1"/>
      <c r="AO163" s="1"/>
      <c r="AP163" s="9"/>
      <c r="AQ163" s="9"/>
      <c r="AR163" s="1"/>
      <c r="AS163" s="9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7"/>
      <c r="AL164" s="9"/>
      <c r="AM164" s="1"/>
      <c r="AN164" s="1"/>
      <c r="AO164" s="1"/>
      <c r="AP164" s="9"/>
      <c r="AQ164" s="9"/>
      <c r="AR164" s="1"/>
      <c r="AS164" s="9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7"/>
      <c r="AL165" s="9"/>
      <c r="AM165" s="1"/>
      <c r="AN165" s="1"/>
      <c r="AO165" s="1"/>
      <c r="AP165" s="9"/>
      <c r="AQ165" s="9"/>
      <c r="AR165" s="1"/>
      <c r="AS165" s="9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7"/>
      <c r="AL166" s="9"/>
      <c r="AM166" s="1"/>
      <c r="AN166" s="1"/>
      <c r="AO166" s="1"/>
      <c r="AP166" s="9"/>
      <c r="AQ166" s="9"/>
      <c r="AR166" s="1"/>
      <c r="AS166" s="9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7"/>
      <c r="AL167" s="9"/>
      <c r="AM167" s="1"/>
      <c r="AN167" s="1"/>
      <c r="AO167" s="1"/>
      <c r="AP167" s="9"/>
      <c r="AQ167" s="9"/>
      <c r="AR167" s="1"/>
      <c r="AS167" s="9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7"/>
      <c r="AL168" s="9"/>
      <c r="AM168" s="1"/>
      <c r="AN168" s="1"/>
      <c r="AO168" s="1"/>
      <c r="AP168" s="9"/>
      <c r="AQ168" s="9"/>
      <c r="AR168" s="1"/>
      <c r="AS168" s="9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7"/>
      <c r="AL169" s="9"/>
      <c r="AM169" s="1"/>
      <c r="AN169" s="1"/>
      <c r="AO169" s="1"/>
      <c r="AP169" s="9"/>
      <c r="AQ169" s="9"/>
      <c r="AR169" s="1"/>
      <c r="AS169" s="9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7"/>
      <c r="AL170" s="9"/>
      <c r="AM170" s="1"/>
      <c r="AN170" s="1"/>
      <c r="AO170" s="1"/>
      <c r="AP170" s="9"/>
      <c r="AQ170" s="9"/>
      <c r="AR170" s="1"/>
      <c r="AS170" s="9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7"/>
      <c r="AL171" s="9"/>
      <c r="AM171" s="1"/>
      <c r="AN171" s="1"/>
      <c r="AO171" s="1"/>
      <c r="AP171" s="9"/>
      <c r="AQ171" s="9"/>
      <c r="AR171" s="1"/>
      <c r="AS171" s="9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7"/>
      <c r="AL172" s="9"/>
      <c r="AM172" s="1"/>
      <c r="AN172" s="1"/>
      <c r="AO172" s="1"/>
      <c r="AP172" s="9"/>
      <c r="AQ172" s="9"/>
      <c r="AR172" s="1"/>
      <c r="AS172" s="9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7"/>
      <c r="AL173" s="9"/>
      <c r="AM173" s="1"/>
      <c r="AN173" s="1"/>
      <c r="AO173" s="1"/>
      <c r="AP173" s="9"/>
      <c r="AQ173" s="9"/>
      <c r="AR173" s="1"/>
      <c r="AS173" s="9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7"/>
      <c r="AL174" s="9"/>
      <c r="AM174" s="1"/>
      <c r="AN174" s="1"/>
      <c r="AO174" s="1"/>
      <c r="AP174" s="9"/>
      <c r="AQ174" s="9"/>
      <c r="AR174" s="1"/>
      <c r="AS174" s="9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7"/>
      <c r="AL175" s="9"/>
      <c r="AM175" s="1"/>
      <c r="AN175" s="1"/>
      <c r="AO175" s="1"/>
      <c r="AP175" s="9"/>
      <c r="AQ175" s="9"/>
      <c r="AR175" s="1"/>
      <c r="AS175" s="9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7"/>
      <c r="AL176" s="9"/>
      <c r="AM176" s="1"/>
      <c r="AN176" s="1"/>
      <c r="AO176" s="1"/>
      <c r="AP176" s="9"/>
      <c r="AQ176" s="9"/>
      <c r="AR176" s="1"/>
      <c r="AS176" s="9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7"/>
      <c r="AL177" s="9"/>
      <c r="AM177" s="1"/>
      <c r="AN177" s="1"/>
      <c r="AO177" s="1"/>
      <c r="AP177" s="9"/>
      <c r="AQ177" s="9"/>
      <c r="AR177" s="1"/>
      <c r="AS177" s="9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7"/>
      <c r="AL178" s="9"/>
      <c r="AM178" s="1"/>
      <c r="AN178" s="1"/>
      <c r="AO178" s="1"/>
      <c r="AP178" s="9"/>
      <c r="AQ178" s="9"/>
      <c r="AR178" s="1"/>
      <c r="AS178" s="9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7"/>
      <c r="AL179" s="9"/>
      <c r="AM179" s="1"/>
      <c r="AN179" s="1"/>
      <c r="AO179" s="1"/>
      <c r="AP179" s="9"/>
      <c r="AQ179" s="9"/>
      <c r="AR179" s="1"/>
      <c r="AS179" s="9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7"/>
      <c r="AL180" s="9"/>
      <c r="AM180" s="1"/>
      <c r="AN180" s="1"/>
      <c r="AO180" s="1"/>
      <c r="AP180" s="9"/>
      <c r="AQ180" s="9"/>
      <c r="AR180" s="1"/>
      <c r="AS180" s="9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7"/>
      <c r="AL181" s="9"/>
      <c r="AM181" s="1"/>
      <c r="AN181" s="1"/>
      <c r="AO181" s="1"/>
      <c r="AP181" s="9"/>
      <c r="AQ181" s="9"/>
      <c r="AR181" s="1"/>
      <c r="AS181" s="9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7"/>
      <c r="AL182" s="9"/>
      <c r="AM182" s="1"/>
      <c r="AN182" s="1"/>
      <c r="AO182" s="1"/>
      <c r="AP182" s="9"/>
      <c r="AQ182" s="9"/>
      <c r="AR182" s="1"/>
      <c r="AS182" s="9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7"/>
      <c r="AL183" s="9"/>
      <c r="AM183" s="1"/>
      <c r="AN183" s="1"/>
      <c r="AO183" s="1"/>
      <c r="AP183" s="9"/>
      <c r="AQ183" s="9"/>
      <c r="AR183" s="1"/>
      <c r="AS183" s="9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7"/>
      <c r="AL184" s="9"/>
      <c r="AM184" s="1"/>
      <c r="AN184" s="1"/>
      <c r="AO184" s="1"/>
      <c r="AP184" s="9"/>
      <c r="AQ184" s="9"/>
      <c r="AR184" s="1"/>
      <c r="AS184" s="9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7"/>
      <c r="AL185" s="9"/>
      <c r="AM185" s="1"/>
      <c r="AN185" s="1"/>
      <c r="AO185" s="1"/>
      <c r="AP185" s="9"/>
      <c r="AQ185" s="9"/>
      <c r="AR185" s="1"/>
      <c r="AS185" s="9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7"/>
      <c r="AL186" s="9"/>
      <c r="AM186" s="1"/>
      <c r="AN186" s="1"/>
      <c r="AO186" s="1"/>
      <c r="AP186" s="9"/>
      <c r="AQ186" s="9"/>
      <c r="AR186" s="1"/>
      <c r="AS186" s="9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7"/>
      <c r="AL187" s="9"/>
      <c r="AM187" s="1"/>
      <c r="AN187" s="1"/>
      <c r="AO187" s="1"/>
      <c r="AP187" s="9"/>
      <c r="AQ187" s="9"/>
      <c r="AR187" s="1"/>
      <c r="AS187" s="9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7"/>
      <c r="AL188" s="9"/>
      <c r="AM188" s="1"/>
      <c r="AN188" s="1"/>
      <c r="AO188" s="1"/>
      <c r="AP188" s="9"/>
      <c r="AQ188" s="9"/>
      <c r="AR188" s="1"/>
      <c r="AS188" s="9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7"/>
      <c r="AL189" s="9"/>
      <c r="AM189" s="1"/>
      <c r="AN189" s="1"/>
      <c r="AO189" s="1"/>
      <c r="AP189" s="9"/>
      <c r="AQ189" s="9"/>
      <c r="AR189" s="1"/>
      <c r="AS189" s="9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7"/>
      <c r="AL190" s="9"/>
      <c r="AM190" s="1"/>
      <c r="AN190" s="1"/>
      <c r="AO190" s="1"/>
      <c r="AP190" s="9"/>
      <c r="AQ190" s="9"/>
      <c r="AR190" s="1"/>
      <c r="AS190" s="9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7"/>
      <c r="AL191" s="9"/>
      <c r="AM191" s="1"/>
      <c r="AN191" s="1"/>
      <c r="AO191" s="1"/>
      <c r="AP191" s="9"/>
      <c r="AQ191" s="9"/>
      <c r="AR191" s="1"/>
      <c r="AS191" s="9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7"/>
      <c r="AL192" s="9"/>
      <c r="AM192" s="1"/>
      <c r="AN192" s="1"/>
      <c r="AO192" s="1"/>
      <c r="AP192" s="9"/>
      <c r="AQ192" s="9"/>
      <c r="AR192" s="1"/>
      <c r="AS192" s="9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7"/>
      <c r="AL193" s="9"/>
      <c r="AM193" s="1"/>
      <c r="AN193" s="1"/>
      <c r="AO193" s="1"/>
      <c r="AP193" s="9"/>
      <c r="AQ193" s="9"/>
      <c r="AR193" s="1"/>
      <c r="AS193" s="9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7"/>
      <c r="AL194" s="9"/>
      <c r="AM194" s="1"/>
      <c r="AN194" s="1"/>
      <c r="AO194" s="1"/>
      <c r="AP194" s="9"/>
      <c r="AQ194" s="9"/>
      <c r="AR194" s="1"/>
      <c r="AS194" s="9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7"/>
      <c r="AL195" s="9"/>
      <c r="AM195" s="1"/>
      <c r="AN195" s="1"/>
      <c r="AO195" s="1"/>
      <c r="AP195" s="9"/>
      <c r="AQ195" s="9"/>
      <c r="AR195" s="1"/>
      <c r="AS195" s="9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7"/>
      <c r="AL196" s="9"/>
      <c r="AM196" s="1"/>
      <c r="AN196" s="1"/>
      <c r="AO196" s="1"/>
      <c r="AP196" s="9"/>
      <c r="AQ196" s="9"/>
      <c r="AR196" s="1"/>
      <c r="AS196" s="9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7"/>
      <c r="AL197" s="9"/>
      <c r="AM197" s="1"/>
      <c r="AN197" s="1"/>
      <c r="AO197" s="1"/>
      <c r="AP197" s="9"/>
      <c r="AQ197" s="9"/>
      <c r="AR197" s="1"/>
      <c r="AS197" s="9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7"/>
      <c r="AL198" s="9"/>
      <c r="AM198" s="1"/>
      <c r="AN198" s="1"/>
      <c r="AO198" s="1"/>
      <c r="AP198" s="9"/>
      <c r="AQ198" s="9"/>
      <c r="AR198" s="1"/>
      <c r="AS198" s="9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7"/>
      <c r="AL199" s="9"/>
      <c r="AM199" s="1"/>
      <c r="AN199" s="1"/>
      <c r="AO199" s="1"/>
      <c r="AP199" s="9"/>
      <c r="AQ199" s="9"/>
      <c r="AR199" s="1"/>
      <c r="AS199" s="9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7"/>
      <c r="AL200" s="9"/>
      <c r="AM200" s="1"/>
      <c r="AN200" s="1"/>
      <c r="AO200" s="1"/>
      <c r="AP200" s="9"/>
      <c r="AQ200" s="9"/>
      <c r="AR200" s="1"/>
      <c r="AS200" s="9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7"/>
      <c r="AL201" s="9"/>
      <c r="AM201" s="1"/>
      <c r="AN201" s="1"/>
      <c r="AO201" s="1"/>
      <c r="AP201" s="9"/>
      <c r="AQ201" s="9"/>
      <c r="AR201" s="1"/>
      <c r="AS201" s="9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7"/>
      <c r="AL202" s="9"/>
      <c r="AM202" s="1"/>
      <c r="AN202" s="1"/>
      <c r="AO202" s="1"/>
      <c r="AP202" s="9"/>
      <c r="AQ202" s="9"/>
      <c r="AR202" s="1"/>
      <c r="AS202" s="9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7"/>
      <c r="AL203" s="9"/>
      <c r="AM203" s="1"/>
      <c r="AN203" s="1"/>
      <c r="AO203" s="1"/>
      <c r="AP203" s="9"/>
      <c r="AQ203" s="9"/>
      <c r="AR203" s="1"/>
      <c r="AS203" s="9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7"/>
      <c r="AL204" s="9"/>
      <c r="AM204" s="1"/>
      <c r="AN204" s="1"/>
      <c r="AO204" s="1"/>
      <c r="AP204" s="9"/>
      <c r="AQ204" s="9"/>
      <c r="AR204" s="1"/>
      <c r="AS204" s="9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7"/>
      <c r="AL205" s="9"/>
      <c r="AM205" s="1"/>
      <c r="AN205" s="1"/>
      <c r="AO205" s="1"/>
      <c r="AP205" s="9"/>
      <c r="AQ205" s="9"/>
      <c r="AR205" s="1"/>
      <c r="AS205" s="9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7"/>
      <c r="AL206" s="9"/>
      <c r="AM206" s="1"/>
      <c r="AN206" s="1"/>
      <c r="AO206" s="1"/>
      <c r="AP206" s="9"/>
      <c r="AQ206" s="9"/>
      <c r="AR206" s="1"/>
      <c r="AS206" s="9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7"/>
      <c r="AL207" s="9"/>
      <c r="AM207" s="1"/>
      <c r="AN207" s="1"/>
      <c r="AO207" s="1"/>
      <c r="AP207" s="9"/>
      <c r="AQ207" s="9"/>
      <c r="AR207" s="1"/>
      <c r="AS207" s="9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7"/>
      <c r="AL208" s="9"/>
      <c r="AM208" s="1"/>
      <c r="AN208" s="1"/>
      <c r="AO208" s="1"/>
      <c r="AP208" s="9"/>
      <c r="AQ208" s="9"/>
      <c r="AR208" s="1"/>
      <c r="AS208" s="9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7"/>
      <c r="AL209" s="9"/>
      <c r="AM209" s="1"/>
      <c r="AN209" s="1"/>
      <c r="AO209" s="1"/>
      <c r="AP209" s="9"/>
      <c r="AQ209" s="9"/>
      <c r="AR209" s="1"/>
      <c r="AS209" s="9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7"/>
      <c r="AL210" s="9"/>
      <c r="AM210" s="1"/>
      <c r="AN210" s="1"/>
      <c r="AO210" s="1"/>
      <c r="AP210" s="9"/>
      <c r="AQ210" s="9"/>
      <c r="AR210" s="1"/>
      <c r="AS210" s="9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7"/>
      <c r="AL211" s="9"/>
      <c r="AM211" s="1"/>
      <c r="AN211" s="1"/>
      <c r="AO211" s="1"/>
      <c r="AP211" s="9"/>
      <c r="AQ211" s="9"/>
      <c r="AR211" s="1"/>
      <c r="AS211" s="9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7"/>
      <c r="AL212" s="9"/>
      <c r="AM212" s="1"/>
      <c r="AN212" s="1"/>
      <c r="AO212" s="1"/>
      <c r="AP212" s="9"/>
      <c r="AQ212" s="9"/>
      <c r="AR212" s="1"/>
      <c r="AS212" s="9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7"/>
      <c r="AL213" s="9"/>
      <c r="AM213" s="1"/>
      <c r="AN213" s="1"/>
      <c r="AO213" s="1"/>
      <c r="AP213" s="9"/>
      <c r="AQ213" s="9"/>
      <c r="AR213" s="1"/>
      <c r="AS213" s="9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7"/>
      <c r="AL214" s="9"/>
      <c r="AM214" s="1"/>
      <c r="AN214" s="1"/>
      <c r="AO214" s="1"/>
      <c r="AP214" s="9"/>
      <c r="AQ214" s="9"/>
      <c r="AR214" s="1"/>
      <c r="AS214" s="9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7"/>
      <c r="AL215" s="9"/>
      <c r="AM215" s="1"/>
      <c r="AN215" s="1"/>
      <c r="AO215" s="1"/>
      <c r="AP215" s="9"/>
      <c r="AQ215" s="9"/>
      <c r="AR215" s="1"/>
      <c r="AS215" s="9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7"/>
      <c r="AL216" s="9"/>
      <c r="AM216" s="1"/>
      <c r="AN216" s="1"/>
      <c r="AO216" s="1"/>
      <c r="AP216" s="9"/>
      <c r="AQ216" s="9"/>
      <c r="AR216" s="1"/>
      <c r="AS216" s="9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7"/>
      <c r="AL217" s="9"/>
      <c r="AM217" s="1"/>
      <c r="AN217" s="1"/>
      <c r="AO217" s="1"/>
      <c r="AP217" s="9"/>
      <c r="AQ217" s="9"/>
      <c r="AR217" s="1"/>
      <c r="AS217" s="9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7"/>
      <c r="AL218" s="9"/>
      <c r="AM218" s="1"/>
      <c r="AN218" s="1"/>
      <c r="AO218" s="1"/>
      <c r="AP218" s="9"/>
      <c r="AQ218" s="9"/>
      <c r="AR218" s="1"/>
      <c r="AS218" s="9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7"/>
      <c r="AL219" s="9"/>
      <c r="AM219" s="1"/>
      <c r="AN219" s="1"/>
      <c r="AO219" s="1"/>
      <c r="AP219" s="9"/>
      <c r="AQ219" s="9"/>
      <c r="AR219" s="1"/>
      <c r="AS219" s="9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7"/>
      <c r="AL220" s="9"/>
      <c r="AM220" s="1"/>
      <c r="AN220" s="1"/>
      <c r="AO220" s="1"/>
      <c r="AP220" s="9"/>
      <c r="AQ220" s="9"/>
      <c r="AR220" s="1"/>
      <c r="AS220" s="9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7"/>
      <c r="AL221" s="9"/>
      <c r="AM221" s="1"/>
      <c r="AN221" s="1"/>
      <c r="AO221" s="1"/>
      <c r="AP221" s="9"/>
      <c r="AQ221" s="9"/>
      <c r="AR221" s="1"/>
      <c r="AS221" s="9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7"/>
      <c r="AL222" s="9"/>
      <c r="AM222" s="1"/>
      <c r="AN222" s="1"/>
      <c r="AO222" s="1"/>
      <c r="AP222" s="9"/>
      <c r="AQ222" s="9"/>
      <c r="AR222" s="1"/>
      <c r="AS222" s="9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7"/>
      <c r="AL223" s="9"/>
      <c r="AM223" s="1"/>
      <c r="AN223" s="1"/>
      <c r="AO223" s="1"/>
      <c r="AP223" s="9"/>
      <c r="AQ223" s="9"/>
      <c r="AR223" s="1"/>
      <c r="AS223" s="9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7"/>
      <c r="AL224" s="9"/>
      <c r="AM224" s="1"/>
      <c r="AN224" s="1"/>
      <c r="AO224" s="1"/>
      <c r="AP224" s="9"/>
      <c r="AQ224" s="9"/>
      <c r="AR224" s="1"/>
      <c r="AS224" s="9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7"/>
      <c r="AL225" s="9"/>
      <c r="AM225" s="1"/>
      <c r="AN225" s="1"/>
      <c r="AO225" s="1"/>
      <c r="AP225" s="9"/>
      <c r="AQ225" s="9"/>
      <c r="AR225" s="1"/>
      <c r="AS225" s="9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7"/>
      <c r="AL226" s="9"/>
      <c r="AM226" s="1"/>
      <c r="AN226" s="1"/>
      <c r="AO226" s="1"/>
      <c r="AP226" s="9"/>
      <c r="AQ226" s="9"/>
      <c r="AR226" s="1"/>
      <c r="AS226" s="9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7"/>
      <c r="AL227" s="9"/>
      <c r="AM227" s="1"/>
      <c r="AN227" s="1"/>
      <c r="AO227" s="1"/>
      <c r="AP227" s="9"/>
      <c r="AQ227" s="9"/>
      <c r="AR227" s="1"/>
      <c r="AS227" s="9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7"/>
      <c r="AL228" s="9"/>
      <c r="AM228" s="1"/>
      <c r="AN228" s="1"/>
      <c r="AO228" s="1"/>
      <c r="AP228" s="9"/>
      <c r="AQ228" s="9"/>
      <c r="AR228" s="1"/>
      <c r="AS228" s="9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7"/>
      <c r="AL229" s="9"/>
      <c r="AM229" s="1"/>
      <c r="AN229" s="1"/>
      <c r="AO229" s="1"/>
      <c r="AP229" s="9"/>
      <c r="AQ229" s="9"/>
      <c r="AR229" s="1"/>
      <c r="AS229" s="9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7"/>
      <c r="AL230" s="9"/>
      <c r="AM230" s="1"/>
      <c r="AN230" s="1"/>
      <c r="AO230" s="1"/>
      <c r="AP230" s="9"/>
      <c r="AQ230" s="9"/>
      <c r="AR230" s="1"/>
      <c r="AS230" s="9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7"/>
      <c r="AL231" s="9"/>
      <c r="AM231" s="1"/>
      <c r="AN231" s="1"/>
      <c r="AO231" s="1"/>
      <c r="AP231" s="9"/>
      <c r="AQ231" s="9"/>
      <c r="AR231" s="1"/>
      <c r="AS231" s="9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7"/>
      <c r="AL232" s="9"/>
      <c r="AM232" s="1"/>
      <c r="AN232" s="1"/>
      <c r="AO232" s="1"/>
      <c r="AP232" s="9"/>
      <c r="AQ232" s="9"/>
      <c r="AR232" s="1"/>
      <c r="AS232" s="9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7"/>
      <c r="AL233" s="9"/>
      <c r="AM233" s="1"/>
      <c r="AN233" s="1"/>
      <c r="AO233" s="1"/>
      <c r="AP233" s="9"/>
      <c r="AQ233" s="9"/>
      <c r="AR233" s="1"/>
      <c r="AS233" s="9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7"/>
      <c r="AL234" s="9"/>
      <c r="AM234" s="1"/>
      <c r="AN234" s="1"/>
      <c r="AO234" s="1"/>
      <c r="AP234" s="9"/>
      <c r="AQ234" s="9"/>
      <c r="AR234" s="1"/>
      <c r="AS234" s="9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7"/>
      <c r="AL235" s="9"/>
      <c r="AM235" s="1"/>
      <c r="AN235" s="1"/>
      <c r="AO235" s="1"/>
      <c r="AP235" s="9"/>
      <c r="AQ235" s="9"/>
      <c r="AR235" s="1"/>
      <c r="AS235" s="9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7"/>
      <c r="AL236" s="9"/>
      <c r="AM236" s="1"/>
      <c r="AN236" s="1"/>
      <c r="AO236" s="1"/>
      <c r="AP236" s="9"/>
      <c r="AQ236" s="9"/>
      <c r="AR236" s="1"/>
      <c r="AS236" s="9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7"/>
      <c r="AL237" s="9"/>
      <c r="AM237" s="1"/>
      <c r="AN237" s="1"/>
      <c r="AO237" s="1"/>
      <c r="AP237" s="9"/>
      <c r="AQ237" s="9"/>
      <c r="AR237" s="1"/>
      <c r="AS237" s="9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7"/>
      <c r="AL238" s="9"/>
      <c r="AM238" s="1"/>
      <c r="AN238" s="1"/>
      <c r="AO238" s="1"/>
      <c r="AP238" s="9"/>
      <c r="AQ238" s="9"/>
      <c r="AR238" s="1"/>
      <c r="AS238" s="9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7"/>
      <c r="AL239" s="9"/>
      <c r="AM239" s="1"/>
      <c r="AN239" s="1"/>
      <c r="AO239" s="1"/>
      <c r="AP239" s="9"/>
      <c r="AQ239" s="9"/>
      <c r="AR239" s="1"/>
      <c r="AS239" s="9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7"/>
      <c r="AL240" s="9"/>
      <c r="AM240" s="1"/>
      <c r="AN240" s="1"/>
      <c r="AO240" s="1"/>
      <c r="AP240" s="9"/>
      <c r="AQ240" s="9"/>
      <c r="AR240" s="1"/>
      <c r="AS240" s="9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7"/>
      <c r="AL241" s="9"/>
      <c r="AM241" s="1"/>
      <c r="AN241" s="1"/>
      <c r="AO241" s="1"/>
      <c r="AP241" s="9"/>
      <c r="AQ241" s="9"/>
      <c r="AR241" s="1"/>
      <c r="AS241" s="9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7"/>
      <c r="AL242" s="9"/>
      <c r="AM242" s="1"/>
      <c r="AN242" s="1"/>
      <c r="AO242" s="1"/>
      <c r="AP242" s="9"/>
      <c r="AQ242" s="9"/>
      <c r="AR242" s="1"/>
      <c r="AS242" s="9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7"/>
      <c r="AL243" s="9"/>
      <c r="AM243" s="1"/>
      <c r="AN243" s="1"/>
      <c r="AO243" s="1"/>
      <c r="AP243" s="9"/>
      <c r="AQ243" s="9"/>
      <c r="AR243" s="1"/>
      <c r="AS243" s="9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7"/>
      <c r="AL244" s="9"/>
      <c r="AM244" s="1"/>
      <c r="AN244" s="1"/>
      <c r="AO244" s="1"/>
      <c r="AP244" s="9"/>
      <c r="AQ244" s="9"/>
      <c r="AR244" s="1"/>
      <c r="AS244" s="9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7"/>
      <c r="AL245" s="9"/>
      <c r="AM245" s="1"/>
      <c r="AN245" s="1"/>
      <c r="AO245" s="1"/>
      <c r="AP245" s="9"/>
      <c r="AQ245" s="9"/>
      <c r="AR245" s="1"/>
      <c r="AS245" s="9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7"/>
      <c r="AL246" s="9"/>
      <c r="AM246" s="1"/>
      <c r="AN246" s="1"/>
      <c r="AO246" s="1"/>
      <c r="AP246" s="9"/>
      <c r="AQ246" s="9"/>
      <c r="AR246" s="1"/>
      <c r="AS246" s="9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7"/>
      <c r="AL247" s="9"/>
      <c r="AM247" s="1"/>
      <c r="AN247" s="1"/>
      <c r="AO247" s="1"/>
      <c r="AP247" s="9"/>
      <c r="AQ247" s="9"/>
      <c r="AR247" s="1"/>
      <c r="AS247" s="9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7"/>
      <c r="AL248" s="9"/>
      <c r="AM248" s="1"/>
      <c r="AN248" s="1"/>
      <c r="AO248" s="1"/>
      <c r="AP248" s="9"/>
      <c r="AQ248" s="9"/>
      <c r="AR248" s="1"/>
      <c r="AS248" s="9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7"/>
      <c r="AL249" s="9"/>
      <c r="AM249" s="1"/>
      <c r="AN249" s="1"/>
      <c r="AO249" s="1"/>
      <c r="AP249" s="9"/>
      <c r="AQ249" s="9"/>
      <c r="AR249" s="1"/>
      <c r="AS249" s="9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7"/>
      <c r="AL250" s="9"/>
      <c r="AM250" s="1"/>
      <c r="AN250" s="1"/>
      <c r="AO250" s="1"/>
      <c r="AP250" s="9"/>
      <c r="AQ250" s="9"/>
      <c r="AR250" s="1"/>
      <c r="AS250" s="9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7"/>
      <c r="AL251" s="9"/>
      <c r="AM251" s="1"/>
      <c r="AN251" s="1"/>
      <c r="AO251" s="1"/>
      <c r="AP251" s="9"/>
      <c r="AQ251" s="9"/>
      <c r="AR251" s="1"/>
      <c r="AS251" s="9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7"/>
      <c r="AL252" s="9"/>
      <c r="AM252" s="1"/>
      <c r="AN252" s="1"/>
      <c r="AO252" s="1"/>
      <c r="AP252" s="9"/>
      <c r="AQ252" s="9"/>
      <c r="AR252" s="1"/>
      <c r="AS252" s="9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7"/>
      <c r="AL253" s="9"/>
      <c r="AM253" s="1"/>
      <c r="AN253" s="1"/>
      <c r="AO253" s="1"/>
      <c r="AP253" s="9"/>
      <c r="AQ253" s="9"/>
      <c r="AR253" s="1"/>
      <c r="AS253" s="9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7"/>
      <c r="AL254" s="9"/>
      <c r="AM254" s="1"/>
      <c r="AN254" s="1"/>
      <c r="AO254" s="1"/>
      <c r="AP254" s="9"/>
      <c r="AQ254" s="9"/>
      <c r="AR254" s="1"/>
      <c r="AS254" s="9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7"/>
      <c r="AL255" s="9"/>
      <c r="AM255" s="1"/>
      <c r="AN255" s="1"/>
      <c r="AO255" s="1"/>
      <c r="AP255" s="9"/>
      <c r="AQ255" s="9"/>
      <c r="AR255" s="1"/>
      <c r="AS255" s="9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7"/>
      <c r="AL256" s="9"/>
      <c r="AM256" s="1"/>
      <c r="AN256" s="1"/>
      <c r="AO256" s="1"/>
      <c r="AP256" s="9"/>
      <c r="AQ256" s="9"/>
      <c r="AR256" s="1"/>
      <c r="AS256" s="9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7"/>
      <c r="AL257" s="9"/>
      <c r="AM257" s="1"/>
      <c r="AN257" s="1"/>
      <c r="AO257" s="1"/>
      <c r="AP257" s="9"/>
      <c r="AQ257" s="9"/>
      <c r="AR257" s="1"/>
      <c r="AS257" s="9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7"/>
      <c r="AL258" s="9"/>
      <c r="AM258" s="1"/>
      <c r="AN258" s="1"/>
      <c r="AO258" s="1"/>
      <c r="AP258" s="9"/>
      <c r="AQ258" s="9"/>
      <c r="AR258" s="1"/>
      <c r="AS258" s="9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7"/>
      <c r="AL259" s="9"/>
      <c r="AM259" s="1"/>
      <c r="AN259" s="1"/>
      <c r="AO259" s="1"/>
      <c r="AP259" s="9"/>
      <c r="AQ259" s="9"/>
      <c r="AR259" s="1"/>
      <c r="AS259" s="9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7"/>
      <c r="AL260" s="9"/>
      <c r="AM260" s="1"/>
      <c r="AN260" s="1"/>
      <c r="AO260" s="1"/>
      <c r="AP260" s="9"/>
      <c r="AQ260" s="9"/>
      <c r="AR260" s="1"/>
      <c r="AS260" s="9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7"/>
      <c r="AL261" s="9"/>
      <c r="AM261" s="1"/>
      <c r="AN261" s="1"/>
      <c r="AO261" s="1"/>
      <c r="AP261" s="9"/>
      <c r="AQ261" s="9"/>
      <c r="AR261" s="1"/>
      <c r="AS261" s="9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7"/>
      <c r="AL262" s="9"/>
      <c r="AM262" s="1"/>
      <c r="AN262" s="1"/>
      <c r="AO262" s="1"/>
      <c r="AP262" s="9"/>
      <c r="AQ262" s="9"/>
      <c r="AR262" s="1"/>
      <c r="AS262" s="9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7"/>
      <c r="AL263" s="9"/>
      <c r="AM263" s="1"/>
      <c r="AN263" s="1"/>
      <c r="AO263" s="1"/>
      <c r="AP263" s="9"/>
      <c r="AQ263" s="9"/>
      <c r="AR263" s="1"/>
      <c r="AS263" s="9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7"/>
      <c r="AL264" s="9"/>
      <c r="AM264" s="1"/>
      <c r="AN264" s="1"/>
      <c r="AO264" s="1"/>
      <c r="AP264" s="9"/>
      <c r="AQ264" s="9"/>
      <c r="AR264" s="1"/>
      <c r="AS264" s="9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7"/>
      <c r="AL265" s="9"/>
      <c r="AM265" s="1"/>
      <c r="AN265" s="1"/>
      <c r="AO265" s="1"/>
      <c r="AP265" s="9"/>
      <c r="AQ265" s="9"/>
      <c r="AR265" s="1"/>
      <c r="AS265" s="9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7"/>
      <c r="AL266" s="9"/>
      <c r="AM266" s="1"/>
      <c r="AN266" s="1"/>
      <c r="AO266" s="1"/>
      <c r="AP266" s="9"/>
      <c r="AQ266" s="9"/>
      <c r="AR266" s="1"/>
      <c r="AS266" s="9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7"/>
      <c r="AL267" s="9"/>
      <c r="AM267" s="1"/>
      <c r="AN267" s="1"/>
      <c r="AO267" s="1"/>
      <c r="AP267" s="9"/>
      <c r="AQ267" s="9"/>
      <c r="AR267" s="1"/>
      <c r="AS267" s="9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7"/>
      <c r="AL268" s="9"/>
      <c r="AM268" s="1"/>
      <c r="AN268" s="1"/>
      <c r="AO268" s="1"/>
      <c r="AP268" s="9"/>
      <c r="AQ268" s="9"/>
      <c r="AR268" s="1"/>
      <c r="AS268" s="9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7"/>
      <c r="AL269" s="9"/>
      <c r="AM269" s="1"/>
      <c r="AN269" s="1"/>
      <c r="AO269" s="1"/>
      <c r="AP269" s="9"/>
      <c r="AQ269" s="9"/>
      <c r="AR269" s="1"/>
      <c r="AS269" s="9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7"/>
      <c r="AL270" s="9"/>
      <c r="AM270" s="1"/>
      <c r="AN270" s="1"/>
      <c r="AO270" s="1"/>
      <c r="AP270" s="9"/>
      <c r="AQ270" s="9"/>
      <c r="AR270" s="1"/>
      <c r="AS270" s="9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7"/>
      <c r="AL271" s="9"/>
      <c r="AM271" s="1"/>
      <c r="AN271" s="1"/>
      <c r="AO271" s="1"/>
      <c r="AP271" s="9"/>
      <c r="AQ271" s="9"/>
      <c r="AR271" s="1"/>
      <c r="AS271" s="9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7"/>
      <c r="AL272" s="9"/>
      <c r="AM272" s="1"/>
      <c r="AN272" s="1"/>
      <c r="AO272" s="1"/>
      <c r="AP272" s="9"/>
      <c r="AQ272" s="9"/>
      <c r="AR272" s="1"/>
      <c r="AS272" s="9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7"/>
      <c r="AL273" s="9"/>
      <c r="AM273" s="1"/>
      <c r="AN273" s="1"/>
      <c r="AO273" s="1"/>
      <c r="AP273" s="9"/>
      <c r="AQ273" s="9"/>
      <c r="AR273" s="1"/>
      <c r="AS273" s="9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7"/>
      <c r="AL274" s="9"/>
      <c r="AM274" s="1"/>
      <c r="AN274" s="1"/>
      <c r="AO274" s="1"/>
      <c r="AP274" s="9"/>
      <c r="AQ274" s="9"/>
      <c r="AR274" s="1"/>
      <c r="AS274" s="9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7"/>
      <c r="AL275" s="9"/>
      <c r="AM275" s="1"/>
      <c r="AN275" s="1"/>
      <c r="AO275" s="1"/>
      <c r="AP275" s="9"/>
      <c r="AQ275" s="9"/>
      <c r="AR275" s="1"/>
      <c r="AS275" s="9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7"/>
      <c r="AL276" s="9"/>
      <c r="AM276" s="1"/>
      <c r="AN276" s="1"/>
      <c r="AO276" s="1"/>
      <c r="AP276" s="9"/>
      <c r="AQ276" s="9"/>
      <c r="AR276" s="1"/>
      <c r="AS276" s="9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7"/>
      <c r="AL277" s="9"/>
      <c r="AM277" s="1"/>
      <c r="AN277" s="1"/>
      <c r="AO277" s="1"/>
      <c r="AP277" s="9"/>
      <c r="AQ277" s="9"/>
      <c r="AR277" s="1"/>
      <c r="AS277" s="9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7"/>
      <c r="AL278" s="9"/>
      <c r="AM278" s="1"/>
      <c r="AN278" s="1"/>
      <c r="AO278" s="1"/>
      <c r="AP278" s="9"/>
      <c r="AQ278" s="9"/>
      <c r="AR278" s="1"/>
      <c r="AS278" s="9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7"/>
      <c r="AL279" s="9"/>
      <c r="AM279" s="1"/>
      <c r="AN279" s="1"/>
      <c r="AO279" s="1"/>
      <c r="AP279" s="9"/>
      <c r="AQ279" s="9"/>
      <c r="AR279" s="1"/>
      <c r="AS279" s="9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7"/>
      <c r="AL280" s="9"/>
      <c r="AM280" s="1"/>
      <c r="AN280" s="1"/>
      <c r="AO280" s="1"/>
      <c r="AP280" s="9"/>
      <c r="AQ280" s="9"/>
      <c r="AR280" s="1"/>
      <c r="AS280" s="9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7"/>
      <c r="AL281" s="9"/>
      <c r="AM281" s="1"/>
      <c r="AN281" s="1"/>
      <c r="AO281" s="1"/>
      <c r="AP281" s="9"/>
      <c r="AQ281" s="9"/>
      <c r="AR281" s="1"/>
      <c r="AS281" s="9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7"/>
      <c r="AL282" s="9"/>
      <c r="AM282" s="1"/>
      <c r="AN282" s="1"/>
      <c r="AO282" s="1"/>
      <c r="AP282" s="9"/>
      <c r="AQ282" s="9"/>
      <c r="AR282" s="1"/>
      <c r="AS282" s="9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7"/>
      <c r="AL283" s="9"/>
      <c r="AM283" s="1"/>
      <c r="AN283" s="1"/>
      <c r="AO283" s="1"/>
      <c r="AP283" s="9"/>
      <c r="AQ283" s="9"/>
      <c r="AR283" s="1"/>
      <c r="AS283" s="9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7"/>
      <c r="AL284" s="9"/>
      <c r="AM284" s="1"/>
      <c r="AN284" s="1"/>
      <c r="AO284" s="1"/>
      <c r="AP284" s="9"/>
      <c r="AQ284" s="9"/>
      <c r="AR284" s="1"/>
      <c r="AS284" s="9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7"/>
      <c r="AL285" s="9"/>
      <c r="AM285" s="1"/>
      <c r="AN285" s="1"/>
      <c r="AO285" s="1"/>
      <c r="AP285" s="9"/>
      <c r="AQ285" s="9"/>
      <c r="AR285" s="1"/>
      <c r="AS285" s="9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7"/>
      <c r="AL286" s="9"/>
      <c r="AM286" s="1"/>
      <c r="AN286" s="1"/>
      <c r="AO286" s="1"/>
      <c r="AP286" s="9"/>
      <c r="AQ286" s="9"/>
      <c r="AR286" s="1"/>
      <c r="AS286" s="9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7"/>
      <c r="AL287" s="9"/>
      <c r="AM287" s="1"/>
      <c r="AN287" s="1"/>
      <c r="AO287" s="1"/>
      <c r="AP287" s="9"/>
      <c r="AQ287" s="9"/>
      <c r="AR287" s="1"/>
      <c r="AS287" s="9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7"/>
      <c r="AL288" s="9"/>
      <c r="AM288" s="1"/>
      <c r="AN288" s="1"/>
      <c r="AO288" s="1"/>
      <c r="AP288" s="9"/>
      <c r="AQ288" s="9"/>
      <c r="AR288" s="1"/>
      <c r="AS288" s="9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7"/>
      <c r="AL289" s="9"/>
      <c r="AM289" s="1"/>
      <c r="AN289" s="1"/>
      <c r="AO289" s="1"/>
      <c r="AP289" s="9"/>
      <c r="AQ289" s="9"/>
      <c r="AR289" s="1"/>
      <c r="AS289" s="9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7"/>
      <c r="AL290" s="9"/>
      <c r="AM290" s="1"/>
      <c r="AN290" s="1"/>
      <c r="AO290" s="1"/>
      <c r="AP290" s="9"/>
      <c r="AQ290" s="9"/>
      <c r="AR290" s="1"/>
      <c r="AS290" s="9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7"/>
      <c r="AL291" s="9"/>
      <c r="AM291" s="1"/>
      <c r="AN291" s="1"/>
      <c r="AO291" s="1"/>
      <c r="AP291" s="9"/>
      <c r="AQ291" s="9"/>
      <c r="AR291" s="1"/>
      <c r="AS291" s="9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7"/>
      <c r="AL292" s="9"/>
      <c r="AM292" s="1"/>
      <c r="AN292" s="1"/>
      <c r="AO292" s="1"/>
      <c r="AP292" s="9"/>
      <c r="AQ292" s="9"/>
      <c r="AR292" s="1"/>
      <c r="AS292" s="9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7"/>
      <c r="AL293" s="9"/>
      <c r="AM293" s="1"/>
      <c r="AN293" s="1"/>
      <c r="AO293" s="1"/>
      <c r="AP293" s="9"/>
      <c r="AQ293" s="9"/>
      <c r="AR293" s="1"/>
      <c r="AS293" s="9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7"/>
      <c r="AL294" s="9"/>
      <c r="AM294" s="1"/>
      <c r="AN294" s="1"/>
      <c r="AO294" s="1"/>
      <c r="AP294" s="9"/>
      <c r="AQ294" s="9"/>
      <c r="AR294" s="1"/>
      <c r="AS294" s="9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7"/>
      <c r="AL295" s="9"/>
      <c r="AM295" s="1"/>
      <c r="AN295" s="1"/>
      <c r="AO295" s="1"/>
      <c r="AP295" s="9"/>
      <c r="AQ295" s="9"/>
      <c r="AR295" s="1"/>
      <c r="AS295" s="9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7"/>
      <c r="AL296" s="9"/>
      <c r="AM296" s="1"/>
      <c r="AN296" s="1"/>
      <c r="AO296" s="1"/>
      <c r="AP296" s="9"/>
      <c r="AQ296" s="9"/>
      <c r="AR296" s="1"/>
      <c r="AS296" s="9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7"/>
      <c r="AL297" s="9"/>
      <c r="AM297" s="1"/>
      <c r="AN297" s="1"/>
      <c r="AO297" s="1"/>
      <c r="AP297" s="9"/>
      <c r="AQ297" s="9"/>
      <c r="AR297" s="1"/>
      <c r="AS297" s="9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7"/>
      <c r="AL298" s="9"/>
      <c r="AM298" s="1"/>
      <c r="AN298" s="1"/>
      <c r="AO298" s="1"/>
      <c r="AP298" s="9"/>
      <c r="AQ298" s="9"/>
      <c r="AR298" s="1"/>
      <c r="AS298" s="9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7"/>
      <c r="AL299" s="9"/>
      <c r="AM299" s="1"/>
      <c r="AN299" s="1"/>
      <c r="AO299" s="1"/>
      <c r="AP299" s="9"/>
      <c r="AQ299" s="9"/>
      <c r="AR299" s="1"/>
      <c r="AS299" s="9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7"/>
      <c r="AL300" s="9"/>
      <c r="AM300" s="1"/>
      <c r="AN300" s="1"/>
      <c r="AO300" s="1"/>
      <c r="AP300" s="9"/>
      <c r="AQ300" s="9"/>
      <c r="AR300" s="1"/>
      <c r="AS300" s="9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7"/>
      <c r="AL301" s="9"/>
      <c r="AM301" s="1"/>
      <c r="AN301" s="1"/>
      <c r="AO301" s="1"/>
      <c r="AP301" s="9"/>
      <c r="AQ301" s="9"/>
      <c r="AR301" s="1"/>
      <c r="AS301" s="9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7"/>
      <c r="AL302" s="9"/>
      <c r="AM302" s="1"/>
      <c r="AN302" s="1"/>
      <c r="AO302" s="1"/>
      <c r="AP302" s="9"/>
      <c r="AQ302" s="9"/>
      <c r="AR302" s="1"/>
      <c r="AS302" s="9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7"/>
      <c r="AL303" s="9"/>
      <c r="AM303" s="1"/>
      <c r="AN303" s="1"/>
      <c r="AO303" s="1"/>
      <c r="AP303" s="9"/>
      <c r="AQ303" s="9"/>
      <c r="AR303" s="1"/>
      <c r="AS303" s="9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7"/>
      <c r="AL304" s="9"/>
      <c r="AM304" s="1"/>
      <c r="AN304" s="1"/>
      <c r="AO304" s="1"/>
      <c r="AP304" s="9"/>
      <c r="AQ304" s="9"/>
      <c r="AR304" s="1"/>
      <c r="AS304" s="9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7"/>
      <c r="AL305" s="9"/>
      <c r="AM305" s="1"/>
      <c r="AN305" s="1"/>
      <c r="AO305" s="1"/>
      <c r="AP305" s="9"/>
      <c r="AQ305" s="9"/>
      <c r="AR305" s="1"/>
      <c r="AS305" s="9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7"/>
      <c r="AL306" s="9"/>
      <c r="AM306" s="1"/>
      <c r="AN306" s="1"/>
      <c r="AO306" s="1"/>
      <c r="AP306" s="9"/>
      <c r="AQ306" s="9"/>
      <c r="AR306" s="1"/>
      <c r="AS306" s="9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7"/>
      <c r="AL307" s="9"/>
      <c r="AM307" s="1"/>
      <c r="AN307" s="1"/>
      <c r="AO307" s="1"/>
      <c r="AP307" s="9"/>
      <c r="AQ307" s="9"/>
      <c r="AR307" s="1"/>
      <c r="AS307" s="9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7"/>
      <c r="AL308" s="9"/>
      <c r="AM308" s="1"/>
      <c r="AN308" s="1"/>
      <c r="AO308" s="1"/>
      <c r="AP308" s="9"/>
      <c r="AQ308" s="9"/>
      <c r="AR308" s="1"/>
      <c r="AS308" s="9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7"/>
      <c r="AL309" s="9"/>
      <c r="AM309" s="1"/>
      <c r="AN309" s="1"/>
      <c r="AO309" s="1"/>
      <c r="AP309" s="9"/>
      <c r="AQ309" s="9"/>
      <c r="AR309" s="1"/>
      <c r="AS309" s="9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7"/>
      <c r="AL310" s="9"/>
      <c r="AM310" s="1"/>
      <c r="AN310" s="1"/>
      <c r="AO310" s="1"/>
      <c r="AP310" s="9"/>
      <c r="AQ310" s="9"/>
      <c r="AR310" s="1"/>
      <c r="AS310" s="9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7"/>
      <c r="AL311" s="9"/>
      <c r="AM311" s="1"/>
      <c r="AN311" s="1"/>
      <c r="AO311" s="1"/>
      <c r="AP311" s="9"/>
      <c r="AQ311" s="9"/>
      <c r="AR311" s="1"/>
      <c r="AS311" s="9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7"/>
      <c r="AL312" s="9"/>
      <c r="AM312" s="1"/>
      <c r="AN312" s="1"/>
      <c r="AO312" s="1"/>
      <c r="AP312" s="9"/>
      <c r="AQ312" s="9"/>
      <c r="AR312" s="1"/>
      <c r="AS312" s="9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7"/>
      <c r="AL313" s="9"/>
      <c r="AM313" s="1"/>
      <c r="AN313" s="1"/>
      <c r="AO313" s="1"/>
      <c r="AP313" s="9"/>
      <c r="AQ313" s="9"/>
      <c r="AR313" s="1"/>
      <c r="AS313" s="9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7"/>
      <c r="AL314" s="9"/>
      <c r="AM314" s="1"/>
      <c r="AN314" s="1"/>
      <c r="AO314" s="1"/>
      <c r="AP314" s="9"/>
      <c r="AQ314" s="9"/>
      <c r="AR314" s="1"/>
      <c r="AS314" s="9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7"/>
      <c r="AL315" s="9"/>
      <c r="AM315" s="1"/>
      <c r="AN315" s="1"/>
      <c r="AO315" s="1"/>
      <c r="AP315" s="9"/>
      <c r="AQ315" s="9"/>
      <c r="AR315" s="1"/>
      <c r="AS315" s="9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7"/>
      <c r="AL316" s="9"/>
      <c r="AM316" s="1"/>
      <c r="AN316" s="1"/>
      <c r="AO316" s="1"/>
      <c r="AP316" s="9"/>
      <c r="AQ316" s="9"/>
      <c r="AR316" s="1"/>
      <c r="AS316" s="9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7"/>
      <c r="AL317" s="9"/>
      <c r="AM317" s="1"/>
      <c r="AN317" s="1"/>
      <c r="AO317" s="1"/>
      <c r="AP317" s="9"/>
      <c r="AQ317" s="9"/>
      <c r="AR317" s="1"/>
      <c r="AS317" s="9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7"/>
      <c r="AL318" s="9"/>
      <c r="AM318" s="1"/>
      <c r="AN318" s="1"/>
      <c r="AO318" s="1"/>
      <c r="AP318" s="9"/>
      <c r="AQ318" s="9"/>
      <c r="AR318" s="1"/>
      <c r="AS318" s="9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7"/>
      <c r="AL319" s="9"/>
      <c r="AM319" s="1"/>
      <c r="AN319" s="1"/>
      <c r="AO319" s="1"/>
      <c r="AP319" s="9"/>
      <c r="AQ319" s="9"/>
      <c r="AR319" s="1"/>
      <c r="AS319" s="9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7"/>
      <c r="AL320" s="9"/>
      <c r="AM320" s="1"/>
      <c r="AN320" s="1"/>
      <c r="AO320" s="1"/>
      <c r="AP320" s="9"/>
      <c r="AQ320" s="9"/>
      <c r="AR320" s="1"/>
      <c r="AS320" s="9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7"/>
      <c r="AL321" s="9"/>
      <c r="AM321" s="1"/>
      <c r="AN321" s="1"/>
      <c r="AO321" s="1"/>
      <c r="AP321" s="9"/>
      <c r="AQ321" s="9"/>
      <c r="AR321" s="1"/>
      <c r="AS321" s="9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7"/>
      <c r="AL322" s="9"/>
      <c r="AM322" s="1"/>
      <c r="AN322" s="1"/>
      <c r="AO322" s="1"/>
      <c r="AP322" s="9"/>
      <c r="AQ322" s="9"/>
      <c r="AR322" s="1"/>
      <c r="AS322" s="9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7"/>
      <c r="AL323" s="9"/>
      <c r="AM323" s="1"/>
      <c r="AN323" s="1"/>
      <c r="AO323" s="1"/>
      <c r="AP323" s="9"/>
      <c r="AQ323" s="9"/>
      <c r="AR323" s="1"/>
      <c r="AS323" s="9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7"/>
      <c r="AL324" s="9"/>
      <c r="AM324" s="1"/>
      <c r="AN324" s="1"/>
      <c r="AO324" s="1"/>
      <c r="AP324" s="9"/>
      <c r="AQ324" s="9"/>
      <c r="AR324" s="1"/>
      <c r="AS324" s="9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7"/>
      <c r="AL325" s="9"/>
      <c r="AM325" s="1"/>
      <c r="AN325" s="1"/>
      <c r="AO325" s="1"/>
      <c r="AP325" s="9"/>
      <c r="AQ325" s="9"/>
      <c r="AR325" s="1"/>
      <c r="AS325" s="9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7"/>
      <c r="AL326" s="9"/>
      <c r="AM326" s="1"/>
      <c r="AN326" s="1"/>
      <c r="AO326" s="1"/>
      <c r="AP326" s="9"/>
      <c r="AQ326" s="9"/>
      <c r="AR326" s="1"/>
      <c r="AS326" s="9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7"/>
      <c r="AL327" s="9"/>
      <c r="AM327" s="1"/>
      <c r="AN327" s="1"/>
      <c r="AO327" s="1"/>
      <c r="AP327" s="9"/>
      <c r="AQ327" s="9"/>
      <c r="AR327" s="1"/>
      <c r="AS327" s="9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7"/>
      <c r="AL328" s="9"/>
      <c r="AM328" s="1"/>
      <c r="AN328" s="1"/>
      <c r="AO328" s="1"/>
      <c r="AP328" s="9"/>
      <c r="AQ328" s="9"/>
      <c r="AR328" s="1"/>
      <c r="AS328" s="9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7"/>
      <c r="AL329" s="9"/>
      <c r="AM329" s="1"/>
      <c r="AN329" s="1"/>
      <c r="AO329" s="1"/>
      <c r="AP329" s="9"/>
      <c r="AQ329" s="9"/>
      <c r="AR329" s="1"/>
      <c r="AS329" s="9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7"/>
      <c r="AL330" s="9"/>
      <c r="AM330" s="1"/>
      <c r="AN330" s="1"/>
      <c r="AO330" s="1"/>
      <c r="AP330" s="9"/>
      <c r="AQ330" s="9"/>
      <c r="AR330" s="1"/>
      <c r="AS330" s="9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7"/>
      <c r="AL331" s="9"/>
      <c r="AM331" s="1"/>
      <c r="AN331" s="1"/>
      <c r="AO331" s="1"/>
      <c r="AP331" s="9"/>
      <c r="AQ331" s="9"/>
      <c r="AR331" s="1"/>
      <c r="AS331" s="9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7"/>
      <c r="AL332" s="9"/>
      <c r="AM332" s="1"/>
      <c r="AN332" s="1"/>
      <c r="AO332" s="1"/>
      <c r="AP332" s="9"/>
      <c r="AQ332" s="9"/>
      <c r="AR332" s="1"/>
      <c r="AS332" s="9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7"/>
      <c r="AL333" s="9"/>
      <c r="AM333" s="1"/>
      <c r="AN333" s="1"/>
      <c r="AO333" s="1"/>
      <c r="AP333" s="9"/>
      <c r="AQ333" s="9"/>
      <c r="AR333" s="1"/>
      <c r="AS333" s="9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7"/>
      <c r="AL334" s="9"/>
      <c r="AM334" s="1"/>
      <c r="AN334" s="1"/>
      <c r="AO334" s="1"/>
      <c r="AP334" s="9"/>
      <c r="AQ334" s="9"/>
      <c r="AR334" s="1"/>
      <c r="AS334" s="9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7"/>
      <c r="AL335" s="9"/>
      <c r="AM335" s="1"/>
      <c r="AN335" s="1"/>
      <c r="AO335" s="1"/>
      <c r="AP335" s="9"/>
      <c r="AQ335" s="9"/>
      <c r="AR335" s="1"/>
      <c r="AS335" s="9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7"/>
      <c r="AL336" s="9"/>
      <c r="AM336" s="1"/>
      <c r="AN336" s="1"/>
      <c r="AO336" s="1"/>
      <c r="AP336" s="9"/>
      <c r="AQ336" s="9"/>
      <c r="AR336" s="1"/>
      <c r="AS336" s="9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7"/>
      <c r="AL337" s="9"/>
      <c r="AM337" s="1"/>
      <c r="AN337" s="1"/>
      <c r="AO337" s="1"/>
      <c r="AP337" s="9"/>
      <c r="AQ337" s="9"/>
      <c r="AR337" s="1"/>
      <c r="AS337" s="9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7"/>
      <c r="AL338" s="9"/>
      <c r="AM338" s="1"/>
      <c r="AN338" s="1"/>
      <c r="AO338" s="1"/>
      <c r="AP338" s="9"/>
      <c r="AQ338" s="9"/>
      <c r="AR338" s="1"/>
      <c r="AS338" s="9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7"/>
      <c r="AL339" s="9"/>
      <c r="AM339" s="1"/>
      <c r="AN339" s="1"/>
      <c r="AO339" s="1"/>
      <c r="AP339" s="9"/>
      <c r="AQ339" s="9"/>
      <c r="AR339" s="1"/>
      <c r="AS339" s="9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7"/>
      <c r="AL340" s="9"/>
      <c r="AM340" s="1"/>
      <c r="AN340" s="1"/>
      <c r="AO340" s="1"/>
      <c r="AP340" s="9"/>
      <c r="AQ340" s="9"/>
      <c r="AR340" s="1"/>
      <c r="AS340" s="9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7"/>
      <c r="AL341" s="9"/>
      <c r="AM341" s="1"/>
      <c r="AN341" s="1"/>
      <c r="AO341" s="1"/>
      <c r="AP341" s="9"/>
      <c r="AQ341" s="9"/>
      <c r="AR341" s="1"/>
      <c r="AS341" s="9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7"/>
      <c r="AL342" s="9"/>
      <c r="AM342" s="1"/>
      <c r="AN342" s="1"/>
      <c r="AO342" s="1"/>
      <c r="AP342" s="9"/>
      <c r="AQ342" s="9"/>
      <c r="AR342" s="1"/>
      <c r="AS342" s="9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7"/>
      <c r="AL343" s="9"/>
      <c r="AM343" s="1"/>
      <c r="AN343" s="1"/>
      <c r="AO343" s="1"/>
      <c r="AP343" s="9"/>
      <c r="AQ343" s="9"/>
      <c r="AR343" s="1"/>
      <c r="AS343" s="9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7"/>
      <c r="AL344" s="9"/>
      <c r="AM344" s="1"/>
      <c r="AN344" s="1"/>
      <c r="AO344" s="1"/>
      <c r="AP344" s="9"/>
      <c r="AQ344" s="9"/>
      <c r="AR344" s="1"/>
      <c r="AS344" s="9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7"/>
      <c r="AL345" s="9"/>
      <c r="AM345" s="1"/>
      <c r="AN345" s="1"/>
      <c r="AO345" s="1"/>
      <c r="AP345" s="9"/>
      <c r="AQ345" s="9"/>
      <c r="AR345" s="1"/>
      <c r="AS345" s="9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7"/>
      <c r="AL346" s="9"/>
      <c r="AM346" s="1"/>
      <c r="AN346" s="1"/>
      <c r="AO346" s="1"/>
      <c r="AP346" s="9"/>
      <c r="AQ346" s="9"/>
      <c r="AR346" s="1"/>
      <c r="AS346" s="9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7"/>
      <c r="AL347" s="9"/>
      <c r="AM347" s="1"/>
      <c r="AN347" s="1"/>
      <c r="AO347" s="1"/>
      <c r="AP347" s="9"/>
      <c r="AQ347" s="9"/>
      <c r="AR347" s="1"/>
      <c r="AS347" s="9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7"/>
      <c r="AL348" s="9"/>
      <c r="AM348" s="1"/>
      <c r="AN348" s="1"/>
      <c r="AO348" s="1"/>
      <c r="AP348" s="9"/>
      <c r="AQ348" s="9"/>
      <c r="AR348" s="1"/>
      <c r="AS348" s="9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7"/>
      <c r="AL349" s="9"/>
      <c r="AM349" s="1"/>
      <c r="AN349" s="1"/>
      <c r="AO349" s="1"/>
      <c r="AP349" s="9"/>
      <c r="AQ349" s="9"/>
      <c r="AR349" s="1"/>
      <c r="AS349" s="9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7"/>
      <c r="AL350" s="9"/>
      <c r="AM350" s="1"/>
      <c r="AN350" s="1"/>
      <c r="AO350" s="1"/>
      <c r="AP350" s="9"/>
      <c r="AQ350" s="9"/>
      <c r="AR350" s="1"/>
      <c r="AS350" s="9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7"/>
      <c r="AL351" s="9"/>
      <c r="AM351" s="1"/>
      <c r="AN351" s="1"/>
      <c r="AO351" s="1"/>
      <c r="AP351" s="9"/>
      <c r="AQ351" s="9"/>
      <c r="AR351" s="1"/>
      <c r="AS351" s="9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7"/>
      <c r="AL352" s="9"/>
      <c r="AM352" s="1"/>
      <c r="AN352" s="1"/>
      <c r="AO352" s="1"/>
      <c r="AP352" s="9"/>
      <c r="AQ352" s="9"/>
      <c r="AR352" s="1"/>
      <c r="AS352" s="9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7"/>
      <c r="AL353" s="9"/>
      <c r="AM353" s="1"/>
      <c r="AN353" s="1"/>
      <c r="AO353" s="1"/>
      <c r="AP353" s="9"/>
      <c r="AQ353" s="9"/>
      <c r="AR353" s="1"/>
      <c r="AS353" s="9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7"/>
      <c r="AL354" s="9"/>
      <c r="AM354" s="1"/>
      <c r="AN354" s="1"/>
      <c r="AO354" s="1"/>
      <c r="AP354" s="9"/>
      <c r="AQ354" s="9"/>
      <c r="AR354" s="1"/>
      <c r="AS354" s="9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7"/>
      <c r="AL355" s="9"/>
      <c r="AM355" s="1"/>
      <c r="AN355" s="1"/>
      <c r="AO355" s="1"/>
      <c r="AP355" s="9"/>
      <c r="AQ355" s="9"/>
      <c r="AR355" s="1"/>
      <c r="AS355" s="9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7"/>
      <c r="AL356" s="9"/>
      <c r="AM356" s="1"/>
      <c r="AN356" s="1"/>
      <c r="AO356" s="1"/>
      <c r="AP356" s="9"/>
      <c r="AQ356" s="9"/>
      <c r="AR356" s="1"/>
      <c r="AS356" s="9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7"/>
      <c r="AL357" s="9"/>
      <c r="AM357" s="1"/>
      <c r="AN357" s="1"/>
      <c r="AO357" s="1"/>
      <c r="AP357" s="9"/>
      <c r="AQ357" s="9"/>
      <c r="AR357" s="1"/>
      <c r="AS357" s="9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7"/>
      <c r="AL358" s="9"/>
      <c r="AM358" s="1"/>
      <c r="AN358" s="1"/>
      <c r="AO358" s="1"/>
      <c r="AP358" s="9"/>
      <c r="AQ358" s="9"/>
      <c r="AR358" s="1"/>
      <c r="AS358" s="9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7"/>
      <c r="AL359" s="9"/>
      <c r="AM359" s="1"/>
      <c r="AN359" s="1"/>
      <c r="AO359" s="1"/>
      <c r="AP359" s="9"/>
      <c r="AQ359" s="9"/>
      <c r="AR359" s="1"/>
      <c r="AS359" s="9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7"/>
      <c r="AL360" s="9"/>
      <c r="AM360" s="1"/>
      <c r="AN360" s="1"/>
      <c r="AO360" s="1"/>
      <c r="AP360" s="9"/>
      <c r="AQ360" s="9"/>
      <c r="AR360" s="1"/>
      <c r="AS360" s="9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7"/>
      <c r="AL361" s="9"/>
      <c r="AM361" s="1"/>
      <c r="AN361" s="1"/>
      <c r="AO361" s="1"/>
      <c r="AP361" s="9"/>
      <c r="AQ361" s="9"/>
      <c r="AR361" s="1"/>
      <c r="AS361" s="9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7"/>
      <c r="AL362" s="9"/>
      <c r="AM362" s="1"/>
      <c r="AN362" s="1"/>
      <c r="AO362" s="1"/>
      <c r="AP362" s="9"/>
      <c r="AQ362" s="9"/>
      <c r="AR362" s="1"/>
      <c r="AS362" s="9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7"/>
      <c r="AL363" s="9"/>
      <c r="AM363" s="1"/>
      <c r="AN363" s="1"/>
      <c r="AO363" s="1"/>
      <c r="AP363" s="9"/>
      <c r="AQ363" s="9"/>
      <c r="AR363" s="1"/>
      <c r="AS363" s="9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7"/>
      <c r="AL364" s="9"/>
      <c r="AM364" s="1"/>
      <c r="AN364" s="1"/>
      <c r="AO364" s="1"/>
      <c r="AP364" s="9"/>
      <c r="AQ364" s="9"/>
      <c r="AR364" s="1"/>
      <c r="AS364" s="9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7"/>
      <c r="AL365" s="9"/>
      <c r="AM365" s="1"/>
      <c r="AN365" s="1"/>
      <c r="AO365" s="1"/>
      <c r="AP365" s="9"/>
      <c r="AQ365" s="9"/>
      <c r="AR365" s="1"/>
      <c r="AS365" s="9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7"/>
      <c r="AL366" s="9"/>
      <c r="AM366" s="1"/>
      <c r="AN366" s="1"/>
      <c r="AO366" s="1"/>
      <c r="AP366" s="9"/>
      <c r="AQ366" s="9"/>
      <c r="AR366" s="1"/>
      <c r="AS366" s="9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7"/>
      <c r="AL367" s="9"/>
      <c r="AM367" s="1"/>
      <c r="AN367" s="1"/>
      <c r="AO367" s="1"/>
      <c r="AP367" s="9"/>
      <c r="AQ367" s="9"/>
      <c r="AR367" s="1"/>
      <c r="AS367" s="9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7"/>
      <c r="AL368" s="9"/>
      <c r="AM368" s="1"/>
      <c r="AN368" s="1"/>
      <c r="AO368" s="1"/>
      <c r="AP368" s="9"/>
      <c r="AQ368" s="9"/>
      <c r="AR368" s="1"/>
      <c r="AS368" s="9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7"/>
      <c r="AL369" s="9"/>
      <c r="AM369" s="1"/>
      <c r="AN369" s="1"/>
      <c r="AO369" s="1"/>
      <c r="AP369" s="9"/>
      <c r="AQ369" s="9"/>
      <c r="AR369" s="1"/>
      <c r="AS369" s="9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7"/>
      <c r="AL370" s="9"/>
      <c r="AM370" s="1"/>
      <c r="AN370" s="1"/>
      <c r="AO370" s="1"/>
      <c r="AP370" s="9"/>
      <c r="AQ370" s="9"/>
      <c r="AR370" s="1"/>
      <c r="AS370" s="9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7"/>
      <c r="AL371" s="9"/>
      <c r="AM371" s="1"/>
      <c r="AN371" s="1"/>
      <c r="AO371" s="1"/>
      <c r="AP371" s="9"/>
      <c r="AQ371" s="9"/>
      <c r="AR371" s="1"/>
      <c r="AS371" s="9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7"/>
      <c r="AL372" s="9"/>
      <c r="AM372" s="1"/>
      <c r="AN372" s="1"/>
      <c r="AO372" s="1"/>
      <c r="AP372" s="9"/>
      <c r="AQ372" s="9"/>
      <c r="AR372" s="1"/>
      <c r="AS372" s="9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7"/>
      <c r="AL373" s="9"/>
      <c r="AM373" s="1"/>
      <c r="AN373" s="1"/>
      <c r="AO373" s="1"/>
      <c r="AP373" s="9"/>
      <c r="AQ373" s="9"/>
      <c r="AR373" s="1"/>
      <c r="AS373" s="9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7"/>
      <c r="AL374" s="9"/>
      <c r="AM374" s="1"/>
      <c r="AN374" s="1"/>
      <c r="AO374" s="1"/>
      <c r="AP374" s="9"/>
      <c r="AQ374" s="9"/>
      <c r="AR374" s="1"/>
      <c r="AS374" s="9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7"/>
      <c r="AL375" s="9"/>
      <c r="AM375" s="1"/>
      <c r="AN375" s="1"/>
      <c r="AO375" s="1"/>
      <c r="AP375" s="9"/>
      <c r="AQ375" s="9"/>
      <c r="AR375" s="1"/>
      <c r="AS375" s="9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7"/>
      <c r="AL376" s="9"/>
      <c r="AM376" s="1"/>
      <c r="AN376" s="1"/>
      <c r="AO376" s="1"/>
      <c r="AP376" s="9"/>
      <c r="AQ376" s="9"/>
      <c r="AR376" s="1"/>
      <c r="AS376" s="9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7"/>
      <c r="AL377" s="9"/>
      <c r="AM377" s="1"/>
      <c r="AN377" s="1"/>
      <c r="AO377" s="1"/>
      <c r="AP377" s="9"/>
      <c r="AQ377" s="9"/>
      <c r="AR377" s="1"/>
      <c r="AS377" s="9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7"/>
      <c r="AL378" s="9"/>
      <c r="AM378" s="1"/>
      <c r="AN378" s="1"/>
      <c r="AO378" s="1"/>
      <c r="AP378" s="9"/>
      <c r="AQ378" s="9"/>
      <c r="AR378" s="1"/>
      <c r="AS378" s="9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7"/>
      <c r="AL379" s="9"/>
      <c r="AM379" s="1"/>
      <c r="AN379" s="1"/>
      <c r="AO379" s="1"/>
      <c r="AP379" s="9"/>
      <c r="AQ379" s="9"/>
      <c r="AR379" s="1"/>
      <c r="AS379" s="9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7"/>
      <c r="AL380" s="9"/>
      <c r="AM380" s="1"/>
      <c r="AN380" s="1"/>
      <c r="AO380" s="1"/>
      <c r="AP380" s="9"/>
      <c r="AQ380" s="9"/>
      <c r="AR380" s="1"/>
      <c r="AS380" s="9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7"/>
      <c r="AL381" s="9"/>
      <c r="AM381" s="1"/>
      <c r="AN381" s="1"/>
      <c r="AO381" s="1"/>
      <c r="AP381" s="9"/>
      <c r="AQ381" s="9"/>
      <c r="AR381" s="1"/>
      <c r="AS381" s="9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7"/>
      <c r="AL382" s="9"/>
      <c r="AM382" s="1"/>
      <c r="AN382" s="1"/>
      <c r="AO382" s="1"/>
      <c r="AP382" s="9"/>
      <c r="AQ382" s="9"/>
      <c r="AR382" s="1"/>
      <c r="AS382" s="9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7"/>
      <c r="AL383" s="9"/>
      <c r="AM383" s="1"/>
      <c r="AN383" s="1"/>
      <c r="AO383" s="1"/>
      <c r="AP383" s="9"/>
      <c r="AQ383" s="9"/>
      <c r="AR383" s="1"/>
      <c r="AS383" s="9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7"/>
      <c r="AL384" s="9"/>
      <c r="AM384" s="1"/>
      <c r="AN384" s="1"/>
      <c r="AO384" s="1"/>
      <c r="AP384" s="9"/>
      <c r="AQ384" s="9"/>
      <c r="AR384" s="1"/>
      <c r="AS384" s="9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7"/>
      <c r="AL385" s="9"/>
      <c r="AM385" s="1"/>
      <c r="AN385" s="1"/>
      <c r="AO385" s="1"/>
      <c r="AP385" s="9"/>
      <c r="AQ385" s="9"/>
      <c r="AR385" s="1"/>
      <c r="AS385" s="9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7"/>
      <c r="AL386" s="9"/>
      <c r="AM386" s="1"/>
      <c r="AN386" s="1"/>
      <c r="AO386" s="1"/>
      <c r="AP386" s="9"/>
      <c r="AQ386" s="9"/>
      <c r="AR386" s="1"/>
      <c r="AS386" s="9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7"/>
      <c r="AL387" s="9"/>
      <c r="AM387" s="1"/>
      <c r="AN387" s="1"/>
      <c r="AO387" s="1"/>
      <c r="AP387" s="9"/>
      <c r="AQ387" s="9"/>
      <c r="AR387" s="1"/>
      <c r="AS387" s="9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7"/>
      <c r="AL388" s="9"/>
      <c r="AM388" s="1"/>
      <c r="AN388" s="1"/>
      <c r="AO388" s="1"/>
      <c r="AP388" s="9"/>
      <c r="AQ388" s="9"/>
      <c r="AR388" s="1"/>
      <c r="AS388" s="9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7"/>
      <c r="AL389" s="9"/>
      <c r="AM389" s="1"/>
      <c r="AN389" s="1"/>
      <c r="AO389" s="1"/>
      <c r="AP389" s="9"/>
      <c r="AQ389" s="9"/>
      <c r="AR389" s="1"/>
      <c r="AS389" s="9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7"/>
      <c r="AL390" s="9"/>
      <c r="AM390" s="1"/>
      <c r="AN390" s="1"/>
      <c r="AO390" s="1"/>
      <c r="AP390" s="9"/>
      <c r="AQ390" s="9"/>
      <c r="AR390" s="1"/>
      <c r="AS390" s="9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7"/>
      <c r="AL391" s="9"/>
      <c r="AM391" s="1"/>
      <c r="AN391" s="1"/>
      <c r="AO391" s="1"/>
      <c r="AP391" s="9"/>
      <c r="AQ391" s="9"/>
      <c r="AR391" s="1"/>
      <c r="AS391" s="9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7"/>
      <c r="AL392" s="9"/>
      <c r="AM392" s="1"/>
      <c r="AN392" s="1"/>
      <c r="AO392" s="1"/>
      <c r="AP392" s="9"/>
      <c r="AQ392" s="9"/>
      <c r="AR392" s="1"/>
      <c r="AS392" s="9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7"/>
      <c r="AL393" s="9"/>
      <c r="AM393" s="1"/>
      <c r="AN393" s="1"/>
      <c r="AO393" s="1"/>
      <c r="AP393" s="9"/>
      <c r="AQ393" s="9"/>
      <c r="AR393" s="1"/>
      <c r="AS393" s="9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7"/>
      <c r="AL394" s="9"/>
      <c r="AM394" s="1"/>
      <c r="AN394" s="1"/>
      <c r="AO394" s="1"/>
      <c r="AP394" s="9"/>
      <c r="AQ394" s="9"/>
      <c r="AR394" s="1"/>
      <c r="AS394" s="9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7"/>
      <c r="AL395" s="9"/>
      <c r="AM395" s="1"/>
      <c r="AN395" s="1"/>
      <c r="AO395" s="1"/>
      <c r="AP395" s="9"/>
      <c r="AQ395" s="9"/>
      <c r="AR395" s="1"/>
      <c r="AS395" s="9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7"/>
      <c r="AL396" s="9"/>
      <c r="AM396" s="1"/>
      <c r="AN396" s="1"/>
      <c r="AO396" s="1"/>
      <c r="AP396" s="9"/>
      <c r="AQ396" s="9"/>
      <c r="AR396" s="1"/>
      <c r="AS396" s="9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7"/>
      <c r="AL397" s="9"/>
      <c r="AM397" s="1"/>
      <c r="AN397" s="1"/>
      <c r="AO397" s="1"/>
      <c r="AP397" s="9"/>
      <c r="AQ397" s="9"/>
      <c r="AR397" s="1"/>
      <c r="AS397" s="9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7"/>
      <c r="AL398" s="9"/>
      <c r="AM398" s="1"/>
      <c r="AN398" s="1"/>
      <c r="AO398" s="1"/>
      <c r="AP398" s="9"/>
      <c r="AQ398" s="9"/>
      <c r="AR398" s="1"/>
      <c r="AS398" s="9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7"/>
      <c r="AL399" s="9"/>
      <c r="AM399" s="1"/>
      <c r="AN399" s="1"/>
      <c r="AO399" s="1"/>
      <c r="AP399" s="9"/>
      <c r="AQ399" s="9"/>
      <c r="AR399" s="1"/>
      <c r="AS399" s="9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7"/>
      <c r="AL400" s="9"/>
      <c r="AM400" s="1"/>
      <c r="AN400" s="1"/>
      <c r="AO400" s="1"/>
      <c r="AP400" s="9"/>
      <c r="AQ400" s="9"/>
      <c r="AR400" s="1"/>
      <c r="AS400" s="9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7"/>
      <c r="AL401" s="9"/>
      <c r="AM401" s="1"/>
      <c r="AN401" s="1"/>
      <c r="AO401" s="1"/>
      <c r="AP401" s="9"/>
      <c r="AQ401" s="9"/>
      <c r="AR401" s="1"/>
      <c r="AS401" s="9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7"/>
      <c r="AL402" s="9"/>
      <c r="AM402" s="1"/>
      <c r="AN402" s="1"/>
      <c r="AO402" s="1"/>
      <c r="AP402" s="9"/>
      <c r="AQ402" s="9"/>
      <c r="AR402" s="1"/>
      <c r="AS402" s="9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7"/>
      <c r="AL403" s="9"/>
      <c r="AM403" s="1"/>
      <c r="AN403" s="1"/>
      <c r="AO403" s="1"/>
      <c r="AP403" s="9"/>
      <c r="AQ403" s="9"/>
      <c r="AR403" s="1"/>
      <c r="AS403" s="9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7"/>
      <c r="AL404" s="9"/>
      <c r="AM404" s="1"/>
      <c r="AN404" s="1"/>
      <c r="AO404" s="1"/>
      <c r="AP404" s="9"/>
      <c r="AQ404" s="9"/>
      <c r="AR404" s="1"/>
      <c r="AS404" s="9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7"/>
      <c r="AL405" s="9"/>
      <c r="AM405" s="1"/>
      <c r="AN405" s="1"/>
      <c r="AO405" s="1"/>
      <c r="AP405" s="9"/>
      <c r="AQ405" s="9"/>
      <c r="AR405" s="1"/>
      <c r="AS405" s="9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7"/>
      <c r="AL406" s="9"/>
      <c r="AM406" s="1"/>
      <c r="AN406" s="1"/>
      <c r="AO406" s="1"/>
      <c r="AP406" s="9"/>
      <c r="AQ406" s="9"/>
      <c r="AR406" s="1"/>
      <c r="AS406" s="9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7"/>
      <c r="AL407" s="9"/>
      <c r="AM407" s="1"/>
      <c r="AN407" s="1"/>
      <c r="AO407" s="1"/>
      <c r="AP407" s="9"/>
      <c r="AQ407" s="9"/>
      <c r="AR407" s="1"/>
      <c r="AS407" s="9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7"/>
      <c r="AL408" s="9"/>
      <c r="AM408" s="1"/>
      <c r="AN408" s="1"/>
      <c r="AO408" s="1"/>
      <c r="AP408" s="9"/>
      <c r="AQ408" s="9"/>
      <c r="AR408" s="1"/>
      <c r="AS408" s="9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7"/>
      <c r="AL409" s="9"/>
      <c r="AM409" s="1"/>
      <c r="AN409" s="1"/>
      <c r="AO409" s="1"/>
      <c r="AP409" s="9"/>
      <c r="AQ409" s="9"/>
      <c r="AR409" s="1"/>
      <c r="AS409" s="9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7"/>
      <c r="AL410" s="9"/>
      <c r="AM410" s="1"/>
      <c r="AN410" s="1"/>
      <c r="AO410" s="1"/>
      <c r="AP410" s="9"/>
      <c r="AQ410" s="9"/>
      <c r="AR410" s="1"/>
      <c r="AS410" s="9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7"/>
      <c r="AL411" s="9"/>
      <c r="AM411" s="1"/>
      <c r="AN411" s="1"/>
      <c r="AO411" s="1"/>
      <c r="AP411" s="9"/>
      <c r="AQ411" s="9"/>
      <c r="AR411" s="1"/>
      <c r="AS411" s="9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7"/>
      <c r="AL412" s="9"/>
      <c r="AM412" s="1"/>
      <c r="AN412" s="1"/>
      <c r="AO412" s="1"/>
      <c r="AP412" s="9"/>
      <c r="AQ412" s="9"/>
      <c r="AR412" s="1"/>
      <c r="AS412" s="9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7"/>
      <c r="AL413" s="9"/>
      <c r="AM413" s="1"/>
      <c r="AN413" s="1"/>
      <c r="AO413" s="1"/>
      <c r="AP413" s="9"/>
      <c r="AQ413" s="9"/>
      <c r="AR413" s="1"/>
      <c r="AS413" s="9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7"/>
      <c r="AL414" s="9"/>
      <c r="AM414" s="1"/>
      <c r="AN414" s="1"/>
      <c r="AO414" s="1"/>
      <c r="AP414" s="9"/>
      <c r="AQ414" s="9"/>
      <c r="AR414" s="1"/>
      <c r="AS414" s="9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7"/>
      <c r="AL415" s="9"/>
      <c r="AM415" s="1"/>
      <c r="AN415" s="1"/>
      <c r="AO415" s="1"/>
      <c r="AP415" s="9"/>
      <c r="AQ415" s="9"/>
      <c r="AR415" s="1"/>
      <c r="AS415" s="9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7"/>
      <c r="AL416" s="9"/>
      <c r="AM416" s="1"/>
      <c r="AN416" s="1"/>
      <c r="AO416" s="1"/>
      <c r="AP416" s="9"/>
      <c r="AQ416" s="9"/>
      <c r="AR416" s="1"/>
      <c r="AS416" s="9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7"/>
      <c r="AL417" s="9"/>
      <c r="AM417" s="1"/>
      <c r="AN417" s="1"/>
      <c r="AO417" s="1"/>
      <c r="AP417" s="9"/>
      <c r="AQ417" s="9"/>
      <c r="AR417" s="1"/>
      <c r="AS417" s="9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7"/>
      <c r="AL418" s="9"/>
      <c r="AM418" s="1"/>
      <c r="AN418" s="1"/>
      <c r="AO418" s="1"/>
      <c r="AP418" s="9"/>
      <c r="AQ418" s="9"/>
      <c r="AR418" s="1"/>
      <c r="AS418" s="9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7"/>
      <c r="AL419" s="9"/>
      <c r="AM419" s="1"/>
      <c r="AN419" s="1"/>
      <c r="AO419" s="1"/>
      <c r="AP419" s="9"/>
      <c r="AQ419" s="9"/>
      <c r="AR419" s="1"/>
      <c r="AS419" s="9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7"/>
      <c r="AL420" s="9"/>
      <c r="AM420" s="1"/>
      <c r="AN420" s="1"/>
      <c r="AO420" s="1"/>
      <c r="AP420" s="9"/>
      <c r="AQ420" s="9"/>
      <c r="AR420" s="1"/>
      <c r="AS420" s="9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7"/>
      <c r="AL421" s="9"/>
      <c r="AM421" s="1"/>
      <c r="AN421" s="1"/>
      <c r="AO421" s="1"/>
      <c r="AP421" s="9"/>
      <c r="AQ421" s="9"/>
      <c r="AR421" s="1"/>
      <c r="AS421" s="9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7"/>
      <c r="AL422" s="9"/>
      <c r="AM422" s="1"/>
      <c r="AN422" s="1"/>
      <c r="AO422" s="1"/>
      <c r="AP422" s="9"/>
      <c r="AQ422" s="9"/>
      <c r="AR422" s="1"/>
      <c r="AS422" s="9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7"/>
      <c r="AL423" s="9"/>
      <c r="AM423" s="1"/>
      <c r="AN423" s="1"/>
      <c r="AO423" s="1"/>
      <c r="AP423" s="9"/>
      <c r="AQ423" s="9"/>
      <c r="AR423" s="1"/>
      <c r="AS423" s="9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7"/>
      <c r="AL424" s="9"/>
      <c r="AM424" s="1"/>
      <c r="AN424" s="1"/>
      <c r="AO424" s="1"/>
      <c r="AP424" s="9"/>
      <c r="AQ424" s="9"/>
      <c r="AR424" s="1"/>
      <c r="AS424" s="9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7"/>
      <c r="AL425" s="9"/>
      <c r="AM425" s="1"/>
      <c r="AN425" s="1"/>
      <c r="AO425" s="1"/>
      <c r="AP425" s="9"/>
      <c r="AQ425" s="9"/>
      <c r="AR425" s="1"/>
      <c r="AS425" s="9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7"/>
      <c r="AL426" s="9"/>
      <c r="AM426" s="1"/>
      <c r="AN426" s="1"/>
      <c r="AO426" s="1"/>
      <c r="AP426" s="9"/>
      <c r="AQ426" s="9"/>
      <c r="AR426" s="1"/>
      <c r="AS426" s="9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7"/>
      <c r="AL427" s="9"/>
      <c r="AM427" s="1"/>
      <c r="AN427" s="1"/>
      <c r="AO427" s="1"/>
      <c r="AP427" s="9"/>
      <c r="AQ427" s="9"/>
      <c r="AR427" s="1"/>
      <c r="AS427" s="9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7"/>
      <c r="AL428" s="9"/>
      <c r="AM428" s="1"/>
      <c r="AN428" s="1"/>
      <c r="AO428" s="1"/>
      <c r="AP428" s="9"/>
      <c r="AQ428" s="9"/>
      <c r="AR428" s="1"/>
      <c r="AS428" s="9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7"/>
      <c r="AL429" s="9"/>
      <c r="AM429" s="1"/>
      <c r="AN429" s="1"/>
      <c r="AO429" s="1"/>
      <c r="AP429" s="9"/>
      <c r="AQ429" s="9"/>
      <c r="AR429" s="1"/>
      <c r="AS429" s="9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7"/>
      <c r="AL430" s="9"/>
      <c r="AM430" s="1"/>
      <c r="AN430" s="1"/>
      <c r="AO430" s="1"/>
      <c r="AP430" s="9"/>
      <c r="AQ430" s="9"/>
      <c r="AR430" s="1"/>
      <c r="AS430" s="9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7"/>
      <c r="AL431" s="9"/>
      <c r="AM431" s="1"/>
      <c r="AN431" s="1"/>
      <c r="AO431" s="1"/>
      <c r="AP431" s="9"/>
      <c r="AQ431" s="9"/>
      <c r="AR431" s="1"/>
      <c r="AS431" s="9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7"/>
      <c r="AL432" s="9"/>
      <c r="AM432" s="1"/>
      <c r="AN432" s="1"/>
      <c r="AO432" s="1"/>
      <c r="AP432" s="9"/>
      <c r="AQ432" s="9"/>
      <c r="AR432" s="1"/>
      <c r="AS432" s="9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7"/>
      <c r="AL433" s="9"/>
      <c r="AM433" s="1"/>
      <c r="AN433" s="1"/>
      <c r="AO433" s="1"/>
      <c r="AP433" s="9"/>
      <c r="AQ433" s="9"/>
      <c r="AR433" s="1"/>
      <c r="AS433" s="9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7"/>
      <c r="AL434" s="9"/>
      <c r="AM434" s="1"/>
      <c r="AN434" s="1"/>
      <c r="AO434" s="1"/>
      <c r="AP434" s="9"/>
      <c r="AQ434" s="9"/>
      <c r="AR434" s="1"/>
      <c r="AS434" s="9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7"/>
      <c r="AL435" s="9"/>
      <c r="AM435" s="1"/>
      <c r="AN435" s="1"/>
      <c r="AO435" s="1"/>
      <c r="AP435" s="9"/>
      <c r="AQ435" s="9"/>
      <c r="AR435" s="1"/>
      <c r="AS435" s="9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7"/>
      <c r="AL436" s="9"/>
      <c r="AM436" s="1"/>
      <c r="AN436" s="1"/>
      <c r="AO436" s="1"/>
      <c r="AP436" s="9"/>
      <c r="AQ436" s="9"/>
      <c r="AR436" s="1"/>
      <c r="AS436" s="9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7"/>
      <c r="AL437" s="9"/>
      <c r="AM437" s="1"/>
      <c r="AN437" s="1"/>
      <c r="AO437" s="1"/>
      <c r="AP437" s="9"/>
      <c r="AQ437" s="9"/>
      <c r="AR437" s="1"/>
      <c r="AS437" s="9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7"/>
      <c r="AL438" s="9"/>
      <c r="AM438" s="1"/>
      <c r="AN438" s="1"/>
      <c r="AO438" s="1"/>
      <c r="AP438" s="9"/>
      <c r="AQ438" s="9"/>
      <c r="AR438" s="1"/>
      <c r="AS438" s="9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7"/>
      <c r="AL439" s="9"/>
      <c r="AM439" s="1"/>
      <c r="AN439" s="1"/>
      <c r="AO439" s="1"/>
      <c r="AP439" s="9"/>
      <c r="AQ439" s="9"/>
      <c r="AR439" s="1"/>
      <c r="AS439" s="9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7"/>
      <c r="AL440" s="9"/>
      <c r="AM440" s="1"/>
      <c r="AN440" s="1"/>
      <c r="AO440" s="1"/>
      <c r="AP440" s="9"/>
      <c r="AQ440" s="9"/>
      <c r="AR440" s="1"/>
      <c r="AS440" s="9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7"/>
      <c r="AL441" s="9"/>
      <c r="AM441" s="1"/>
      <c r="AN441" s="1"/>
      <c r="AO441" s="1"/>
      <c r="AP441" s="9"/>
      <c r="AQ441" s="9"/>
      <c r="AR441" s="1"/>
      <c r="AS441" s="9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7"/>
      <c r="AL442" s="9"/>
      <c r="AM442" s="1"/>
      <c r="AN442" s="1"/>
      <c r="AO442" s="1"/>
      <c r="AP442" s="9"/>
      <c r="AQ442" s="9"/>
      <c r="AR442" s="1"/>
      <c r="AS442" s="9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7"/>
      <c r="AL443" s="9"/>
      <c r="AM443" s="1"/>
      <c r="AN443" s="1"/>
      <c r="AO443" s="1"/>
      <c r="AP443" s="9"/>
      <c r="AQ443" s="9"/>
      <c r="AR443" s="1"/>
      <c r="AS443" s="9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7"/>
      <c r="AL444" s="9"/>
      <c r="AM444" s="1"/>
      <c r="AN444" s="1"/>
      <c r="AO444" s="1"/>
      <c r="AP444" s="9"/>
      <c r="AQ444" s="9"/>
      <c r="AR444" s="1"/>
      <c r="AS444" s="9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7"/>
      <c r="AL445" s="9"/>
      <c r="AM445" s="1"/>
      <c r="AN445" s="1"/>
      <c r="AO445" s="1"/>
      <c r="AP445" s="9"/>
      <c r="AQ445" s="9"/>
      <c r="AR445" s="1"/>
      <c r="AS445" s="9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7"/>
      <c r="AL446" s="9"/>
      <c r="AM446" s="1"/>
      <c r="AN446" s="1"/>
      <c r="AO446" s="1"/>
      <c r="AP446" s="9"/>
      <c r="AQ446" s="9"/>
      <c r="AR446" s="1"/>
      <c r="AS446" s="9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7"/>
      <c r="AL447" s="9"/>
      <c r="AM447" s="1"/>
      <c r="AN447" s="1"/>
      <c r="AO447" s="1"/>
      <c r="AP447" s="9"/>
      <c r="AQ447" s="9"/>
      <c r="AR447" s="1"/>
      <c r="AS447" s="9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7"/>
      <c r="AL448" s="9"/>
      <c r="AM448" s="1"/>
      <c r="AN448" s="1"/>
      <c r="AO448" s="1"/>
      <c r="AP448" s="9"/>
      <c r="AQ448" s="9"/>
      <c r="AR448" s="1"/>
      <c r="AS448" s="9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7"/>
      <c r="AL449" s="9"/>
      <c r="AM449" s="1"/>
      <c r="AN449" s="1"/>
      <c r="AO449" s="1"/>
      <c r="AP449" s="9"/>
      <c r="AQ449" s="9"/>
      <c r="AR449" s="1"/>
      <c r="AS449" s="9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7"/>
      <c r="AL450" s="9"/>
      <c r="AM450" s="1"/>
      <c r="AN450" s="1"/>
      <c r="AO450" s="1"/>
      <c r="AP450" s="9"/>
      <c r="AQ450" s="9"/>
      <c r="AR450" s="1"/>
      <c r="AS450" s="9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7"/>
      <c r="AL451" s="9"/>
      <c r="AM451" s="1"/>
      <c r="AN451" s="1"/>
      <c r="AO451" s="1"/>
      <c r="AP451" s="9"/>
      <c r="AQ451" s="9"/>
      <c r="AR451" s="1"/>
      <c r="AS451" s="9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7"/>
      <c r="AL452" s="9"/>
      <c r="AM452" s="1"/>
      <c r="AN452" s="1"/>
      <c r="AO452" s="1"/>
      <c r="AP452" s="9"/>
      <c r="AQ452" s="9"/>
      <c r="AR452" s="1"/>
      <c r="AS452" s="9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7"/>
      <c r="AL453" s="9"/>
      <c r="AM453" s="1"/>
      <c r="AN453" s="1"/>
      <c r="AO453" s="1"/>
      <c r="AP453" s="9"/>
      <c r="AQ453" s="9"/>
      <c r="AR453" s="1"/>
      <c r="AS453" s="9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7"/>
      <c r="AL454" s="9"/>
      <c r="AM454" s="1"/>
      <c r="AN454" s="1"/>
      <c r="AO454" s="1"/>
      <c r="AP454" s="9"/>
      <c r="AQ454" s="9"/>
      <c r="AR454" s="1"/>
      <c r="AS454" s="9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7"/>
      <c r="AL455" s="9"/>
      <c r="AM455" s="1"/>
      <c r="AN455" s="1"/>
      <c r="AO455" s="1"/>
      <c r="AP455" s="9"/>
      <c r="AQ455" s="9"/>
      <c r="AR455" s="1"/>
      <c r="AS455" s="9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7"/>
      <c r="AL456" s="9"/>
      <c r="AM456" s="1"/>
      <c r="AN456" s="1"/>
      <c r="AO456" s="1"/>
      <c r="AP456" s="9"/>
      <c r="AQ456" s="9"/>
      <c r="AR456" s="1"/>
      <c r="AS456" s="9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7"/>
      <c r="AL457" s="9"/>
      <c r="AM457" s="1"/>
      <c r="AN457" s="1"/>
      <c r="AO457" s="1"/>
      <c r="AP457" s="9"/>
      <c r="AQ457" s="9"/>
      <c r="AR457" s="1"/>
      <c r="AS457" s="9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7"/>
      <c r="AL458" s="9"/>
      <c r="AM458" s="1"/>
      <c r="AN458" s="1"/>
      <c r="AO458" s="1"/>
      <c r="AP458" s="9"/>
      <c r="AQ458" s="9"/>
      <c r="AR458" s="1"/>
      <c r="AS458" s="9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7"/>
      <c r="AL459" s="9"/>
      <c r="AM459" s="1"/>
      <c r="AN459" s="1"/>
      <c r="AO459" s="1"/>
      <c r="AP459" s="9"/>
      <c r="AQ459" s="9"/>
      <c r="AR459" s="1"/>
      <c r="AS459" s="9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7"/>
      <c r="AL460" s="9"/>
      <c r="AM460" s="1"/>
      <c r="AN460" s="1"/>
      <c r="AO460" s="1"/>
      <c r="AP460" s="9"/>
      <c r="AQ460" s="9"/>
      <c r="AR460" s="1"/>
      <c r="AS460" s="9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7"/>
      <c r="AL461" s="9"/>
      <c r="AM461" s="1"/>
      <c r="AN461" s="1"/>
      <c r="AO461" s="1"/>
      <c r="AP461" s="9"/>
      <c r="AQ461" s="9"/>
      <c r="AR461" s="1"/>
      <c r="AS461" s="9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7"/>
      <c r="AL462" s="9"/>
      <c r="AM462" s="1"/>
      <c r="AN462" s="1"/>
      <c r="AO462" s="1"/>
      <c r="AP462" s="9"/>
      <c r="AQ462" s="9"/>
      <c r="AR462" s="1"/>
      <c r="AS462" s="9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7"/>
      <c r="AL463" s="9"/>
      <c r="AM463" s="1"/>
      <c r="AN463" s="1"/>
      <c r="AO463" s="1"/>
      <c r="AP463" s="9"/>
      <c r="AQ463" s="9"/>
      <c r="AR463" s="1"/>
      <c r="AS463" s="9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7"/>
      <c r="AL464" s="9"/>
      <c r="AM464" s="1"/>
      <c r="AN464" s="1"/>
      <c r="AO464" s="1"/>
      <c r="AP464" s="9"/>
      <c r="AQ464" s="9"/>
      <c r="AR464" s="1"/>
      <c r="AS464" s="9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7"/>
      <c r="AL465" s="9"/>
      <c r="AM465" s="1"/>
      <c r="AN465" s="1"/>
      <c r="AO465" s="1"/>
      <c r="AP465" s="9"/>
      <c r="AQ465" s="9"/>
      <c r="AR465" s="1"/>
      <c r="AS465" s="9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7"/>
      <c r="AL466" s="9"/>
      <c r="AM466" s="1"/>
      <c r="AN466" s="1"/>
      <c r="AO466" s="1"/>
      <c r="AP466" s="9"/>
      <c r="AQ466" s="9"/>
      <c r="AR466" s="1"/>
      <c r="AS466" s="9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7"/>
      <c r="AL467" s="9"/>
      <c r="AM467" s="1"/>
      <c r="AN467" s="1"/>
      <c r="AO467" s="1"/>
      <c r="AP467" s="9"/>
      <c r="AQ467" s="9"/>
      <c r="AR467" s="1"/>
      <c r="AS467" s="9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7"/>
      <c r="AL468" s="9"/>
      <c r="AM468" s="1"/>
      <c r="AN468" s="1"/>
      <c r="AO468" s="1"/>
      <c r="AP468" s="9"/>
      <c r="AQ468" s="9"/>
      <c r="AR468" s="1"/>
      <c r="AS468" s="9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7"/>
      <c r="AL469" s="9"/>
      <c r="AM469" s="1"/>
      <c r="AN469" s="1"/>
      <c r="AO469" s="1"/>
      <c r="AP469" s="9"/>
      <c r="AQ469" s="9"/>
      <c r="AR469" s="1"/>
      <c r="AS469" s="9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7"/>
      <c r="AL470" s="9"/>
      <c r="AM470" s="1"/>
      <c r="AN470" s="1"/>
      <c r="AO470" s="1"/>
      <c r="AP470" s="9"/>
      <c r="AQ470" s="9"/>
      <c r="AR470" s="1"/>
      <c r="AS470" s="9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7"/>
      <c r="AL471" s="9"/>
      <c r="AM471" s="1"/>
      <c r="AN471" s="1"/>
      <c r="AO471" s="1"/>
      <c r="AP471" s="9"/>
      <c r="AQ471" s="9"/>
      <c r="AR471" s="1"/>
      <c r="AS471" s="9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7"/>
      <c r="AL472" s="9"/>
      <c r="AM472" s="1"/>
      <c r="AN472" s="1"/>
      <c r="AO472" s="1"/>
      <c r="AP472" s="9"/>
      <c r="AQ472" s="9"/>
      <c r="AR472" s="1"/>
      <c r="AS472" s="9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7"/>
      <c r="AL473" s="9"/>
      <c r="AM473" s="1"/>
      <c r="AN473" s="1"/>
      <c r="AO473" s="1"/>
      <c r="AP473" s="9"/>
      <c r="AQ473" s="9"/>
      <c r="AR473" s="1"/>
      <c r="AS473" s="9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7"/>
      <c r="AL474" s="9"/>
      <c r="AM474" s="1"/>
      <c r="AN474" s="1"/>
      <c r="AO474" s="1"/>
      <c r="AP474" s="9"/>
      <c r="AQ474" s="9"/>
      <c r="AR474" s="1"/>
      <c r="AS474" s="9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7"/>
      <c r="AL475" s="9"/>
      <c r="AM475" s="1"/>
      <c r="AN475" s="1"/>
      <c r="AO475" s="1"/>
      <c r="AP475" s="9"/>
      <c r="AQ475" s="9"/>
      <c r="AR475" s="1"/>
      <c r="AS475" s="9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7"/>
      <c r="AL476" s="9"/>
      <c r="AM476" s="1"/>
      <c r="AN476" s="1"/>
      <c r="AO476" s="1"/>
      <c r="AP476" s="9"/>
      <c r="AQ476" s="9"/>
      <c r="AR476" s="1"/>
      <c r="AS476" s="9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7"/>
      <c r="AL477" s="9"/>
      <c r="AM477" s="1"/>
      <c r="AN477" s="1"/>
      <c r="AO477" s="1"/>
      <c r="AP477" s="9"/>
      <c r="AQ477" s="9"/>
      <c r="AR477" s="1"/>
      <c r="AS477" s="9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7"/>
      <c r="AL478" s="9"/>
      <c r="AM478" s="1"/>
      <c r="AN478" s="1"/>
      <c r="AO478" s="1"/>
      <c r="AP478" s="9"/>
      <c r="AQ478" s="9"/>
      <c r="AR478" s="1"/>
      <c r="AS478" s="9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7"/>
      <c r="AL479" s="9"/>
      <c r="AM479" s="1"/>
      <c r="AN479" s="1"/>
      <c r="AO479" s="1"/>
      <c r="AP479" s="9"/>
      <c r="AQ479" s="9"/>
      <c r="AR479" s="1"/>
      <c r="AS479" s="9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7"/>
      <c r="AL480" s="9"/>
      <c r="AM480" s="1"/>
      <c r="AN480" s="1"/>
      <c r="AO480" s="1"/>
      <c r="AP480" s="9"/>
      <c r="AQ480" s="9"/>
      <c r="AR480" s="1"/>
      <c r="AS480" s="9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7"/>
      <c r="AL481" s="9"/>
      <c r="AM481" s="1"/>
      <c r="AN481" s="1"/>
      <c r="AO481" s="1"/>
      <c r="AP481" s="9"/>
      <c r="AQ481" s="9"/>
      <c r="AR481" s="1"/>
      <c r="AS481" s="9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7"/>
      <c r="AL482" s="9"/>
      <c r="AM482" s="1"/>
      <c r="AN482" s="1"/>
      <c r="AO482" s="1"/>
      <c r="AP482" s="9"/>
      <c r="AQ482" s="9"/>
      <c r="AR482" s="1"/>
      <c r="AS482" s="9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7"/>
      <c r="AL483" s="9"/>
      <c r="AM483" s="1"/>
      <c r="AN483" s="1"/>
      <c r="AO483" s="1"/>
      <c r="AP483" s="9"/>
      <c r="AQ483" s="9"/>
      <c r="AR483" s="1"/>
      <c r="AS483" s="9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7"/>
      <c r="AL484" s="9"/>
      <c r="AM484" s="1"/>
      <c r="AN484" s="1"/>
      <c r="AO484" s="1"/>
      <c r="AP484" s="9"/>
      <c r="AQ484" s="9"/>
      <c r="AR484" s="1"/>
      <c r="AS484" s="9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7"/>
      <c r="AL485" s="9"/>
      <c r="AM485" s="1"/>
      <c r="AN485" s="1"/>
      <c r="AO485" s="1"/>
      <c r="AP485" s="9"/>
      <c r="AQ485" s="9"/>
      <c r="AR485" s="1"/>
      <c r="AS485" s="9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7"/>
      <c r="AL486" s="9"/>
      <c r="AM486" s="1"/>
      <c r="AN486" s="1"/>
      <c r="AO486" s="1"/>
      <c r="AP486" s="9"/>
      <c r="AQ486" s="9"/>
      <c r="AR486" s="1"/>
      <c r="AS486" s="9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7"/>
      <c r="AL487" s="9"/>
      <c r="AM487" s="1"/>
      <c r="AN487" s="1"/>
      <c r="AO487" s="1"/>
      <c r="AP487" s="9"/>
      <c r="AQ487" s="9"/>
      <c r="AR487" s="1"/>
      <c r="AS487" s="9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7"/>
      <c r="AL488" s="9"/>
      <c r="AM488" s="1"/>
      <c r="AN488" s="1"/>
      <c r="AO488" s="1"/>
      <c r="AP488" s="9"/>
      <c r="AQ488" s="9"/>
      <c r="AR488" s="1"/>
      <c r="AS488" s="9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7"/>
      <c r="AL489" s="9"/>
      <c r="AM489" s="1"/>
      <c r="AN489" s="1"/>
      <c r="AO489" s="1"/>
      <c r="AP489" s="9"/>
      <c r="AQ489" s="9"/>
      <c r="AR489" s="1"/>
      <c r="AS489" s="9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7"/>
      <c r="AL490" s="9"/>
      <c r="AM490" s="1"/>
      <c r="AN490" s="1"/>
      <c r="AO490" s="1"/>
      <c r="AP490" s="9"/>
      <c r="AQ490" s="9"/>
      <c r="AR490" s="1"/>
      <c r="AS490" s="9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7"/>
      <c r="AL491" s="9"/>
      <c r="AM491" s="1"/>
      <c r="AN491" s="1"/>
      <c r="AO491" s="1"/>
      <c r="AP491" s="9"/>
      <c r="AQ491" s="9"/>
      <c r="AR491" s="1"/>
      <c r="AS491" s="9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7"/>
      <c r="AL492" s="9"/>
      <c r="AM492" s="1"/>
      <c r="AN492" s="1"/>
      <c r="AO492" s="1"/>
      <c r="AP492" s="9"/>
      <c r="AQ492" s="9"/>
      <c r="AR492" s="1"/>
      <c r="AS492" s="9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7"/>
      <c r="AL493" s="9"/>
      <c r="AM493" s="1"/>
      <c r="AN493" s="1"/>
      <c r="AO493" s="1"/>
      <c r="AP493" s="9"/>
      <c r="AQ493" s="9"/>
      <c r="AR493" s="1"/>
      <c r="AS493" s="9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7"/>
      <c r="AL494" s="9"/>
      <c r="AM494" s="1"/>
      <c r="AN494" s="1"/>
      <c r="AO494" s="1"/>
      <c r="AP494" s="9"/>
      <c r="AQ494" s="9"/>
      <c r="AR494" s="1"/>
      <c r="AS494" s="9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7"/>
      <c r="AL495" s="9"/>
      <c r="AM495" s="1"/>
      <c r="AN495" s="1"/>
      <c r="AO495" s="1"/>
      <c r="AP495" s="9"/>
      <c r="AQ495" s="9"/>
      <c r="AR495" s="1"/>
      <c r="AS495" s="9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7"/>
      <c r="AL496" s="9"/>
      <c r="AM496" s="1"/>
      <c r="AN496" s="1"/>
      <c r="AO496" s="1"/>
      <c r="AP496" s="9"/>
      <c r="AQ496" s="9"/>
      <c r="AR496" s="1"/>
      <c r="AS496" s="9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7"/>
      <c r="AL497" s="9"/>
      <c r="AM497" s="1"/>
      <c r="AN497" s="1"/>
      <c r="AO497" s="1"/>
      <c r="AP497" s="9"/>
      <c r="AQ497" s="9"/>
      <c r="AR497" s="1"/>
      <c r="AS497" s="9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7"/>
      <c r="AL498" s="9"/>
      <c r="AM498" s="1"/>
      <c r="AN498" s="1"/>
      <c r="AO498" s="1"/>
      <c r="AP498" s="9"/>
      <c r="AQ498" s="9"/>
      <c r="AR498" s="1"/>
      <c r="AS498" s="9"/>
      <c r="AT498" s="1"/>
      <c r="AU498" s="1"/>
      <c r="AV498" s="1"/>
      <c r="AW498" s="1"/>
      <c r="AX498" s="1"/>
      <c r="AY498" s="1"/>
      <c r="AZ498" s="1"/>
    </row>
  </sheetData>
  <autoFilter ref="A3:AP72" xr:uid="{00000000-0009-0000-0000-000000000000}">
    <filterColumn colId="22">
      <filters blank="1">
        <filter val="33"/>
        <filter val="79"/>
      </filters>
    </filterColumn>
    <filterColumn colId="34">
      <filters>
        <filter val="нужно увеличить продажи"/>
        <filter val="нужно увеличить продажи!!!"/>
        <filter val="ув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2026-08-27T15:58:54Z</dcterms:created>
  <dcterms:modified xsi:type="dcterms:W3CDTF">2026-09-02T07:06:39Z</dcterms:modified>
</cp:coreProperties>
</file>