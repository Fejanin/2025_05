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Uaer4\Desktop\отчет по необорачиваемым товарам\Останкино КИ\"/>
    </mc:Choice>
  </mc:AlternateContent>
  <xr:revisionPtr revIDLastSave="0" documentId="13_ncr:1_{ED8880C7-C78D-4AAA-B280-E0D34E1297A7}" xr6:coauthVersionLast="45" xr6:coauthVersionMax="45" xr10:uidLastSave="{00000000-0000-0000-0000-000000000000}"/>
  <bookViews>
    <workbookView xWindow="-120" yWindow="-120" windowWidth="29040" windowHeight="15840" xr2:uid="{00000000-000D-0000-FFFF-FFFF00000000}"/>
  </bookViews>
  <sheets>
    <sheet name="Sheet" sheetId="1" r:id="rId1"/>
    <sheet name="новинки" sheetId="2" r:id="rId2"/>
    <sheet name="вывод" sheetId="3" r:id="rId3"/>
  </sheets>
  <externalReferences>
    <externalReference r:id="rId4"/>
  </externalReferences>
  <definedNames>
    <definedName name="_xlnm._FilterDatabase" localSheetId="0" hidden="1">Sheet!$A$3:$AG$119</definedName>
  </definedNames>
  <calcPr calcId="181029" refMode="R1C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03" i="1" l="1"/>
  <c r="G102" i="1"/>
  <c r="G101" i="1"/>
  <c r="G90" i="1"/>
  <c r="G84" i="1"/>
  <c r="G60" i="1"/>
  <c r="G50" i="1"/>
  <c r="G29" i="1"/>
  <c r="G27" i="1"/>
  <c r="G24" i="1"/>
  <c r="G20" i="1"/>
  <c r="G6" i="1"/>
  <c r="G11" i="1"/>
  <c r="AG6" i="1" l="1"/>
  <c r="R118" i="1"/>
  <c r="U118" i="1" s="1"/>
  <c r="R117" i="1"/>
  <c r="T117" i="1" s="1"/>
  <c r="R116" i="1"/>
  <c r="U116" i="1" s="1"/>
  <c r="R115" i="1"/>
  <c r="T115" i="1" s="1"/>
  <c r="R114" i="1"/>
  <c r="U114" i="1" s="1"/>
  <c r="R113" i="1"/>
  <c r="T113" i="1" s="1"/>
  <c r="R112" i="1"/>
  <c r="U112" i="1" s="1"/>
  <c r="R111" i="1"/>
  <c r="T111" i="1" s="1"/>
  <c r="AG118" i="1"/>
  <c r="AG117" i="1"/>
  <c r="AG116" i="1"/>
  <c r="AG115" i="1"/>
  <c r="AG114" i="1"/>
  <c r="AG113" i="1"/>
  <c r="AG112" i="1"/>
  <c r="AG111" i="1"/>
  <c r="G2" i="2"/>
  <c r="G3" i="2"/>
  <c r="G4" i="2"/>
  <c r="G5" i="2"/>
  <c r="G7" i="2"/>
  <c r="G8" i="2"/>
  <c r="G9" i="2"/>
  <c r="G10" i="2"/>
  <c r="G1" i="2"/>
  <c r="F2" i="2"/>
  <c r="F3" i="2"/>
  <c r="F4" i="2"/>
  <c r="F5" i="2"/>
  <c r="I114" i="1" s="1"/>
  <c r="F7" i="2"/>
  <c r="I116" i="1" s="1"/>
  <c r="F8" i="2"/>
  <c r="F9" i="2"/>
  <c r="I117" i="1" s="1"/>
  <c r="F10" i="2"/>
  <c r="I118" i="1" s="1"/>
  <c r="F1" i="2"/>
  <c r="T112" i="1" l="1"/>
  <c r="T116" i="1"/>
  <c r="T114" i="1"/>
  <c r="T118" i="1"/>
  <c r="U111" i="1"/>
  <c r="U113" i="1"/>
  <c r="U115" i="1"/>
  <c r="U117" i="1"/>
  <c r="D2" i="2" l="1"/>
  <c r="D3" i="2"/>
  <c r="D5" i="2"/>
  <c r="D6" i="2"/>
  <c r="D7" i="2"/>
  <c r="D9" i="2"/>
  <c r="D10" i="2"/>
  <c r="D1" i="2"/>
  <c r="R47" i="1" l="1"/>
  <c r="R18" i="1"/>
  <c r="R17" i="1"/>
  <c r="R110" i="1" l="1"/>
  <c r="U110" i="1" s="1"/>
  <c r="M110" i="1"/>
  <c r="R109" i="1"/>
  <c r="S109" i="1" s="1"/>
  <c r="M109" i="1"/>
  <c r="R108" i="1"/>
  <c r="S108" i="1" s="1"/>
  <c r="M108" i="1"/>
  <c r="R107" i="1"/>
  <c r="M107" i="1"/>
  <c r="R106" i="1"/>
  <c r="M106" i="1"/>
  <c r="F106" i="1"/>
  <c r="U106" i="1" s="1"/>
  <c r="R105" i="1"/>
  <c r="M105" i="1"/>
  <c r="F105" i="1"/>
  <c r="U105" i="1" s="1"/>
  <c r="R104" i="1"/>
  <c r="M104" i="1"/>
  <c r="R103" i="1"/>
  <c r="M103" i="1"/>
  <c r="R102" i="1"/>
  <c r="M102" i="1"/>
  <c r="R101" i="1"/>
  <c r="U101" i="1" s="1"/>
  <c r="M101" i="1"/>
  <c r="R100" i="1"/>
  <c r="M100" i="1"/>
  <c r="R99" i="1"/>
  <c r="S99" i="1" s="1"/>
  <c r="M99" i="1"/>
  <c r="R98" i="1"/>
  <c r="M98" i="1"/>
  <c r="R97" i="1"/>
  <c r="M97" i="1"/>
  <c r="R96" i="1"/>
  <c r="S96" i="1" s="1"/>
  <c r="M96" i="1"/>
  <c r="R95" i="1"/>
  <c r="S95" i="1" s="1"/>
  <c r="M95" i="1"/>
  <c r="R94" i="1"/>
  <c r="S94" i="1" s="1"/>
  <c r="M94" i="1"/>
  <c r="R93" i="1"/>
  <c r="M93" i="1"/>
  <c r="F93" i="1"/>
  <c r="R92" i="1"/>
  <c r="M92" i="1"/>
  <c r="R91" i="1"/>
  <c r="M91" i="1"/>
  <c r="R90" i="1"/>
  <c r="U90" i="1" s="1"/>
  <c r="M90" i="1"/>
  <c r="R89" i="1"/>
  <c r="U89" i="1" s="1"/>
  <c r="M89" i="1"/>
  <c r="R88" i="1"/>
  <c r="M88" i="1"/>
  <c r="R87" i="1"/>
  <c r="U87" i="1" s="1"/>
  <c r="M87" i="1"/>
  <c r="R86" i="1"/>
  <c r="M86" i="1"/>
  <c r="R85" i="1"/>
  <c r="M85" i="1"/>
  <c r="R84" i="1"/>
  <c r="U84" i="1" s="1"/>
  <c r="M84" i="1"/>
  <c r="R83" i="1"/>
  <c r="M83" i="1"/>
  <c r="R82" i="1"/>
  <c r="M82" i="1"/>
  <c r="R81" i="1"/>
  <c r="M81" i="1"/>
  <c r="R80" i="1"/>
  <c r="M80" i="1"/>
  <c r="R79" i="1"/>
  <c r="U79" i="1" s="1"/>
  <c r="M79" i="1"/>
  <c r="R78" i="1"/>
  <c r="M78" i="1"/>
  <c r="R77" i="1"/>
  <c r="M77" i="1"/>
  <c r="R76" i="1"/>
  <c r="M76" i="1"/>
  <c r="R75" i="1"/>
  <c r="T75" i="1" s="1"/>
  <c r="M75" i="1"/>
  <c r="R74" i="1"/>
  <c r="M74" i="1"/>
  <c r="F74" i="1"/>
  <c r="U74" i="1" s="1"/>
  <c r="R73" i="1"/>
  <c r="T73" i="1" s="1"/>
  <c r="M73" i="1"/>
  <c r="R72" i="1"/>
  <c r="M72" i="1"/>
  <c r="R71" i="1"/>
  <c r="M71" i="1"/>
  <c r="R70" i="1"/>
  <c r="S70" i="1" s="1"/>
  <c r="M70" i="1"/>
  <c r="R69" i="1"/>
  <c r="M69" i="1"/>
  <c r="R68" i="1"/>
  <c r="M68" i="1"/>
  <c r="R67" i="1"/>
  <c r="M67" i="1"/>
  <c r="R66" i="1"/>
  <c r="M66" i="1"/>
  <c r="R65" i="1"/>
  <c r="M65" i="1"/>
  <c r="R64" i="1"/>
  <c r="M64" i="1"/>
  <c r="R63" i="1"/>
  <c r="M63" i="1"/>
  <c r="R62" i="1"/>
  <c r="M62" i="1"/>
  <c r="R61" i="1"/>
  <c r="M61" i="1"/>
  <c r="R60" i="1"/>
  <c r="T60" i="1" s="1"/>
  <c r="M60" i="1"/>
  <c r="R59" i="1"/>
  <c r="M59" i="1"/>
  <c r="R58" i="1"/>
  <c r="M58" i="1"/>
  <c r="R57" i="1"/>
  <c r="T57" i="1" s="1"/>
  <c r="M57" i="1"/>
  <c r="R56" i="1"/>
  <c r="M56" i="1"/>
  <c r="R55" i="1"/>
  <c r="M55" i="1"/>
  <c r="R54" i="1"/>
  <c r="M54" i="1"/>
  <c r="R53" i="1"/>
  <c r="M53" i="1"/>
  <c r="R52" i="1"/>
  <c r="M52" i="1"/>
  <c r="R51" i="1"/>
  <c r="M51" i="1"/>
  <c r="R50" i="1"/>
  <c r="T50" i="1" s="1"/>
  <c r="M50" i="1"/>
  <c r="R49" i="1"/>
  <c r="M49" i="1"/>
  <c r="R48" i="1"/>
  <c r="M48" i="1"/>
  <c r="M47" i="1"/>
  <c r="R46" i="1"/>
  <c r="M46" i="1"/>
  <c r="R45" i="1"/>
  <c r="M45" i="1"/>
  <c r="R44" i="1"/>
  <c r="M44" i="1"/>
  <c r="R43" i="1"/>
  <c r="M43" i="1"/>
  <c r="R42" i="1"/>
  <c r="M42" i="1"/>
  <c r="R41" i="1"/>
  <c r="S41" i="1" s="1"/>
  <c r="M41" i="1"/>
  <c r="R40" i="1"/>
  <c r="M40" i="1"/>
  <c r="R39" i="1"/>
  <c r="M39" i="1"/>
  <c r="R38" i="1"/>
  <c r="U38" i="1" s="1"/>
  <c r="M38" i="1"/>
  <c r="R37" i="1"/>
  <c r="U37" i="1" s="1"/>
  <c r="M37" i="1"/>
  <c r="R36" i="1"/>
  <c r="U36" i="1" s="1"/>
  <c r="M36" i="1"/>
  <c r="R35" i="1"/>
  <c r="M35" i="1"/>
  <c r="R34" i="1"/>
  <c r="M34" i="1"/>
  <c r="R33" i="1"/>
  <c r="M33" i="1"/>
  <c r="R32" i="1"/>
  <c r="M32" i="1"/>
  <c r="R31" i="1"/>
  <c r="M31" i="1"/>
  <c r="R30" i="1"/>
  <c r="M30" i="1"/>
  <c r="R29" i="1"/>
  <c r="M29" i="1"/>
  <c r="R28" i="1"/>
  <c r="M28" i="1"/>
  <c r="R27" i="1"/>
  <c r="T27" i="1" s="1"/>
  <c r="M27" i="1"/>
  <c r="R26" i="1"/>
  <c r="M26" i="1"/>
  <c r="R25" i="1"/>
  <c r="M25" i="1"/>
  <c r="R24" i="1"/>
  <c r="T24" i="1" s="1"/>
  <c r="M24" i="1"/>
  <c r="R23" i="1"/>
  <c r="M23" i="1"/>
  <c r="R22" i="1"/>
  <c r="M22" i="1"/>
  <c r="R21" i="1"/>
  <c r="M21" i="1"/>
  <c r="R20" i="1"/>
  <c r="M20" i="1"/>
  <c r="R19" i="1"/>
  <c r="M19" i="1"/>
  <c r="M18" i="1"/>
  <c r="M17" i="1"/>
  <c r="R16" i="1"/>
  <c r="M16" i="1"/>
  <c r="R15" i="1"/>
  <c r="M15" i="1"/>
  <c r="R14" i="1"/>
  <c r="M14" i="1"/>
  <c r="R13" i="1"/>
  <c r="M13" i="1"/>
  <c r="R12" i="1"/>
  <c r="S12" i="1" s="1"/>
  <c r="M12" i="1"/>
  <c r="R11" i="1"/>
  <c r="M11" i="1"/>
  <c r="R10" i="1"/>
  <c r="M10" i="1"/>
  <c r="R9" i="1"/>
  <c r="M9" i="1"/>
  <c r="R8" i="1"/>
  <c r="M8" i="1"/>
  <c r="R7" i="1"/>
  <c r="M7" i="1"/>
  <c r="R6" i="1"/>
  <c r="M6" i="1"/>
  <c r="AE5" i="1"/>
  <c r="AD5" i="1"/>
  <c r="AC5" i="1"/>
  <c r="AB5" i="1"/>
  <c r="AA5" i="1"/>
  <c r="Z5" i="1"/>
  <c r="Y5" i="1"/>
  <c r="X5" i="1"/>
  <c r="W5" i="1"/>
  <c r="V5" i="1"/>
  <c r="Q5" i="1"/>
  <c r="P5" i="1"/>
  <c r="O5" i="1"/>
  <c r="N5" i="1"/>
  <c r="L5" i="1"/>
  <c r="E5" i="1"/>
  <c r="S92" i="1" l="1"/>
  <c r="AG92" i="1" s="1"/>
  <c r="T37" i="1"/>
  <c r="M5" i="1"/>
  <c r="U27" i="1"/>
  <c r="T79" i="1"/>
  <c r="T90" i="1"/>
  <c r="S8" i="1"/>
  <c r="AG8" i="1" s="1"/>
  <c r="U11" i="1"/>
  <c r="AG11" i="1"/>
  <c r="AG14" i="1"/>
  <c r="U21" i="1"/>
  <c r="AG25" i="1"/>
  <c r="AG28" i="1"/>
  <c r="U31" i="1"/>
  <c r="AG31" i="1"/>
  <c r="S40" i="1"/>
  <c r="AG40" i="1" s="1"/>
  <c r="U47" i="1"/>
  <c r="AG51" i="1"/>
  <c r="AG55" i="1"/>
  <c r="AG61" i="1"/>
  <c r="AG65" i="1"/>
  <c r="AG69" i="1"/>
  <c r="S76" i="1"/>
  <c r="AG76" i="1" s="1"/>
  <c r="U80" i="1"/>
  <c r="AG80" i="1"/>
  <c r="U85" i="1"/>
  <c r="U91" i="1"/>
  <c r="AG91" i="1"/>
  <c r="U6" i="1"/>
  <c r="T6" i="1"/>
  <c r="U13" i="1"/>
  <c r="S13" i="1"/>
  <c r="AG16" i="1"/>
  <c r="U19" i="1"/>
  <c r="AG19" i="1"/>
  <c r="AG22" i="1"/>
  <c r="U33" i="1"/>
  <c r="T33" i="1"/>
  <c r="U39" i="1"/>
  <c r="S39" i="1"/>
  <c r="AG42" i="1"/>
  <c r="U45" i="1"/>
  <c r="AG45" i="1"/>
  <c r="AG48" i="1"/>
  <c r="AG53" i="1"/>
  <c r="S58" i="1"/>
  <c r="AG58" i="1" s="1"/>
  <c r="AG63" i="1"/>
  <c r="AG67" i="1"/>
  <c r="S71" i="1"/>
  <c r="AG71" i="1" s="1"/>
  <c r="AG78" i="1"/>
  <c r="U82" i="1"/>
  <c r="AG82" i="1"/>
  <c r="S86" i="1"/>
  <c r="AG86" i="1" s="1"/>
  <c r="U93" i="1"/>
  <c r="F5" i="1"/>
  <c r="S93" i="1"/>
  <c r="AG93" i="1" s="1"/>
  <c r="AG94" i="1"/>
  <c r="AG96" i="1"/>
  <c r="U99" i="1"/>
  <c r="AG99" i="1"/>
  <c r="S106" i="1"/>
  <c r="AG106" i="1" s="1"/>
  <c r="U108" i="1"/>
  <c r="AG108" i="1"/>
  <c r="U7" i="1"/>
  <c r="U9" i="1"/>
  <c r="S10" i="1"/>
  <c r="AG10" i="1" s="1"/>
  <c r="AG12" i="1"/>
  <c r="U15" i="1"/>
  <c r="S15" i="1"/>
  <c r="AG15" i="1" s="1"/>
  <c r="U17" i="1"/>
  <c r="T18" i="1"/>
  <c r="AG18" i="1"/>
  <c r="T20" i="1"/>
  <c r="AG20" i="1"/>
  <c r="U23" i="1"/>
  <c r="AG23" i="1"/>
  <c r="U26" i="1"/>
  <c r="S26" i="1"/>
  <c r="U29" i="1"/>
  <c r="T30" i="1"/>
  <c r="AG30" i="1"/>
  <c r="T32" i="1"/>
  <c r="AG32" i="1"/>
  <c r="U34" i="1"/>
  <c r="AG34" i="1"/>
  <c r="U41" i="1"/>
  <c r="AG41" i="1"/>
  <c r="U43" i="1"/>
  <c r="T44" i="1"/>
  <c r="AG44" i="1"/>
  <c r="T46" i="1"/>
  <c r="AG46" i="1"/>
  <c r="U49" i="1"/>
  <c r="S49" i="1"/>
  <c r="AG49" i="1" s="1"/>
  <c r="U52" i="1"/>
  <c r="S52" i="1"/>
  <c r="AG52" i="1" s="1"/>
  <c r="U54" i="1"/>
  <c r="AG54" i="1"/>
  <c r="U56" i="1"/>
  <c r="AG56" i="1"/>
  <c r="U59" i="1"/>
  <c r="S59" i="1"/>
  <c r="U62" i="1"/>
  <c r="AG62" i="1"/>
  <c r="U64" i="1"/>
  <c r="S64" i="1"/>
  <c r="AG64" i="1" s="1"/>
  <c r="U66" i="1"/>
  <c r="S66" i="1"/>
  <c r="AG66" i="1" s="1"/>
  <c r="U68" i="1"/>
  <c r="AG68" i="1"/>
  <c r="U70" i="1"/>
  <c r="AG70" i="1"/>
  <c r="U72" i="1"/>
  <c r="S72" i="1"/>
  <c r="AG72" i="1" s="1"/>
  <c r="AG74" i="1"/>
  <c r="U77" i="1"/>
  <c r="AG77" i="1"/>
  <c r="S81" i="1"/>
  <c r="AG81" i="1" s="1"/>
  <c r="AG83" i="1"/>
  <c r="U88" i="1"/>
  <c r="U95" i="1"/>
  <c r="AG95" i="1"/>
  <c r="U97" i="1"/>
  <c r="AG98" i="1"/>
  <c r="S100" i="1"/>
  <c r="AG100" i="1" s="1"/>
  <c r="T101" i="1"/>
  <c r="U102" i="1"/>
  <c r="AG102" i="1"/>
  <c r="U104" i="1"/>
  <c r="S105" i="1"/>
  <c r="AG107" i="1"/>
  <c r="AG109" i="1"/>
  <c r="T7" i="1"/>
  <c r="T23" i="1"/>
  <c r="T34" i="1"/>
  <c r="U35" i="1"/>
  <c r="T36" i="1"/>
  <c r="T38" i="1"/>
  <c r="U51" i="1"/>
  <c r="U53" i="1"/>
  <c r="T54" i="1"/>
  <c r="U55" i="1"/>
  <c r="T56" i="1"/>
  <c r="U57" i="1"/>
  <c r="U61" i="1"/>
  <c r="T62" i="1"/>
  <c r="U63" i="1"/>
  <c r="U65" i="1"/>
  <c r="U67" i="1"/>
  <c r="T68" i="1"/>
  <c r="U69" i="1"/>
  <c r="U71" i="1"/>
  <c r="U73" i="1"/>
  <c r="T74" i="1"/>
  <c r="U75" i="1"/>
  <c r="T77" i="1"/>
  <c r="U81" i="1"/>
  <c r="U83" i="1"/>
  <c r="T84" i="1"/>
  <c r="T87" i="1"/>
  <c r="T95" i="1"/>
  <c r="T102" i="1"/>
  <c r="U103" i="1"/>
  <c r="T104" i="1"/>
  <c r="T106" i="1"/>
  <c r="U107" i="1"/>
  <c r="T108" i="1"/>
  <c r="U109" i="1"/>
  <c r="T110" i="1"/>
  <c r="U8" i="1"/>
  <c r="U10" i="1"/>
  <c r="U12" i="1"/>
  <c r="U14" i="1"/>
  <c r="U16" i="1"/>
  <c r="U18" i="1"/>
  <c r="U20" i="1"/>
  <c r="U22" i="1"/>
  <c r="U24" i="1"/>
  <c r="U25" i="1"/>
  <c r="R5" i="1"/>
  <c r="U28" i="1"/>
  <c r="U30" i="1"/>
  <c r="U32" i="1"/>
  <c r="U40" i="1"/>
  <c r="U42" i="1"/>
  <c r="U44" i="1"/>
  <c r="U46" i="1"/>
  <c r="U48" i="1"/>
  <c r="U50" i="1"/>
  <c r="U58" i="1"/>
  <c r="U60" i="1"/>
  <c r="U76" i="1"/>
  <c r="U78" i="1"/>
  <c r="U86" i="1"/>
  <c r="U92" i="1"/>
  <c r="U94" i="1"/>
  <c r="U96" i="1"/>
  <c r="U98" i="1"/>
  <c r="U100" i="1"/>
  <c r="T92" i="1" l="1"/>
  <c r="T41" i="1"/>
  <c r="T15" i="1"/>
  <c r="T12" i="1"/>
  <c r="T10" i="1"/>
  <c r="T72" i="1"/>
  <c r="T70" i="1"/>
  <c r="T66" i="1"/>
  <c r="T64" i="1"/>
  <c r="T59" i="1"/>
  <c r="T52" i="1"/>
  <c r="T49" i="1"/>
  <c r="AG105" i="1"/>
  <c r="T105" i="1"/>
  <c r="AG97" i="1"/>
  <c r="T97" i="1"/>
  <c r="AG88" i="1"/>
  <c r="T88" i="1"/>
  <c r="T93" i="1"/>
  <c r="T39" i="1"/>
  <c r="AG39" i="1"/>
  <c r="T13" i="1"/>
  <c r="AG13" i="1"/>
  <c r="T85" i="1"/>
  <c r="AG85" i="1"/>
  <c r="T47" i="1"/>
  <c r="AG47" i="1"/>
  <c r="T21" i="1"/>
  <c r="AG21" i="1"/>
  <c r="T99" i="1"/>
  <c r="T91" i="1"/>
  <c r="T82" i="1"/>
  <c r="T80" i="1"/>
  <c r="T45" i="1"/>
  <c r="T31" i="1"/>
  <c r="T19" i="1"/>
  <c r="T11" i="1"/>
  <c r="T109" i="1"/>
  <c r="T107" i="1"/>
  <c r="T100" i="1"/>
  <c r="T98" i="1"/>
  <c r="T89" i="1"/>
  <c r="T83" i="1"/>
  <c r="T81" i="1"/>
  <c r="AG43" i="1"/>
  <c r="T43" i="1"/>
  <c r="AG29" i="1"/>
  <c r="T29" i="1"/>
  <c r="AG26" i="1"/>
  <c r="T26" i="1"/>
  <c r="AG17" i="1"/>
  <c r="T17" i="1"/>
  <c r="AG9" i="1"/>
  <c r="T9" i="1"/>
  <c r="S5" i="1"/>
  <c r="AG7" i="1"/>
  <c r="T103" i="1"/>
  <c r="T96" i="1"/>
  <c r="T94" i="1"/>
  <c r="T86" i="1"/>
  <c r="T78" i="1"/>
  <c r="T71" i="1"/>
  <c r="T67" i="1"/>
  <c r="T63" i="1"/>
  <c r="T58" i="1"/>
  <c r="T53" i="1"/>
  <c r="T48" i="1"/>
  <c r="T42" i="1"/>
  <c r="T22" i="1"/>
  <c r="T16" i="1"/>
  <c r="T76" i="1"/>
  <c r="T69" i="1"/>
  <c r="T65" i="1"/>
  <c r="T61" i="1"/>
  <c r="T55" i="1"/>
  <c r="T51" i="1"/>
  <c r="T40" i="1"/>
  <c r="T35" i="1"/>
  <c r="T28" i="1"/>
  <c r="T25" i="1"/>
  <c r="T14" i="1"/>
  <c r="T8" i="1"/>
  <c r="AG5" i="1" l="1"/>
</calcChain>
</file>

<file path=xl/sharedStrings.xml><?xml version="1.0" encoding="utf-8"?>
<sst xmlns="http://schemas.openxmlformats.org/spreadsheetml/2006/main" count="481" uniqueCount="194">
  <si>
    <t>Номенклатура</t>
  </si>
  <si>
    <t>Ед. изм.</t>
  </si>
  <si>
    <t>Начальный остаток</t>
  </si>
  <si>
    <t>Приход</t>
  </si>
  <si>
    <t>Расход</t>
  </si>
  <si>
    <t>Конечный остаток</t>
  </si>
  <si>
    <t>крат</t>
  </si>
  <si>
    <t>сроки</t>
  </si>
  <si>
    <t>метка</t>
  </si>
  <si>
    <t>метка2</t>
  </si>
  <si>
    <t>заяв</t>
  </si>
  <si>
    <t>разн</t>
  </si>
  <si>
    <t>без опта</t>
  </si>
  <si>
    <t>опт</t>
  </si>
  <si>
    <t>заказ в пути</t>
  </si>
  <si>
    <t>ср нов</t>
  </si>
  <si>
    <t>расчет</t>
  </si>
  <si>
    <t>кон ост</t>
  </si>
  <si>
    <t>факт</t>
  </si>
  <si>
    <t>ср</t>
  </si>
  <si>
    <t>комментарии</t>
  </si>
  <si>
    <t>вес</t>
  </si>
  <si>
    <t>25,08,</t>
  </si>
  <si>
    <t>01,09,</t>
  </si>
  <si>
    <t>31,08,</t>
  </si>
  <si>
    <t>24,08,</t>
  </si>
  <si>
    <t>17,08,</t>
  </si>
  <si>
    <t>10,08,</t>
  </si>
  <si>
    <t>03,08,</t>
  </si>
  <si>
    <t>27,07,</t>
  </si>
  <si>
    <t>20,07,</t>
  </si>
  <si>
    <t>13,07,</t>
  </si>
  <si>
    <t>06,07,</t>
  </si>
  <si>
    <t>29,06,</t>
  </si>
  <si>
    <t>22,06,</t>
  </si>
  <si>
    <t>0614 ПРАЗДНИЧНАЯ с/к в/с дек.спец.мгс  Останкино</t>
  </si>
  <si>
    <t>кг</t>
  </si>
  <si>
    <t>не в матрице</t>
  </si>
  <si>
    <t>нужно увеличить продажи!!! / Грация</t>
  </si>
  <si>
    <t>3215 ВЕТЧ.МЯСНАЯ Папа может п/о 0.4кг 8шт.    ОСТАНКИНО</t>
  </si>
  <si>
    <t>шт</t>
  </si>
  <si>
    <t>матрица</t>
  </si>
  <si>
    <t>3287 САЛЯМИ ИТАЛЬЯНСКАЯ с/к в/у ОСТАНКИНО</t>
  </si>
  <si>
    <t>плюсом 5 дней</t>
  </si>
  <si>
    <t>3986 Ароматная с/к в/у 1/250 ОСТАНКИНО</t>
  </si>
  <si>
    <t>4063 МЯСНАЯ Папа может вар п/о_Л   ОСТАНКИНО</t>
  </si>
  <si>
    <t>4117 ЭКСТРА Папа может с/к в/у_Л   ОСТАНКИНО</t>
  </si>
  <si>
    <t>4574 Мясная со шпиком Папа может вар п/о ОСТАНКИНО</t>
  </si>
  <si>
    <t>4813 ФИЛЕЙНАЯ Папа может вар п/о_Л   ОСТАНКИНО</t>
  </si>
  <si>
    <t>4993 САЛЯМИ ИТАЛЬЯНСКАЯ с/к в/у 1/250*8_120c ОСТАНКИНО</t>
  </si>
  <si>
    <t>5452 ВЕТЧ.МЯСНАЯ Папа может п/о    ОСТАНКИНО</t>
  </si>
  <si>
    <t>5483 ЭКСТРА Папа может с/к в/у 1/250 8шт.   ОСТАНКИНО</t>
  </si>
  <si>
    <t>5495 ВЕТЧ.С ИНДЕЙКОЙ Папа может п/о 400*6  Останкино</t>
  </si>
  <si>
    <t>5544 Сервелат Финский в/к в/у_45с НОВАЯ ОСТАНКИНО</t>
  </si>
  <si>
    <t>5708 ПОСОЛЬСКАЯ Папа может с/к в/у ОСТАНКИНО</t>
  </si>
  <si>
    <t>5819 Сосиски Папа может 400г Мясные  ОСТАНКИНО</t>
  </si>
  <si>
    <t>5851 ЭКСТРА Папа может вар п/о   ОСТАНКИНО</t>
  </si>
  <si>
    <t>5931 ОХОТНИЧЬЯ Папа может с/к в/у 1/220 8шт.   ОСТАНКИНО</t>
  </si>
  <si>
    <t>6008 САЛО СОЛЕНОЕ С ЧЕРНЫМ ПЕРЦЕМ мл/к в/у ОСТАНКИНО</t>
  </si>
  <si>
    <t>58кг списано (11,08,26)</t>
  </si>
  <si>
    <t>6025 ВЕТЧ.ФИРМЕННАЯ С ИНДЕЙКОЙ п/о   ОСТАНКИНО</t>
  </si>
  <si>
    <t>6220 ГОВЯЖЬЯ папа может вар п/о  Останкино</t>
  </si>
  <si>
    <t>6221 НЕОПОЛИТАНСКИЙ ДУЭТ с/к с/н мгс 1/90  Останкино</t>
  </si>
  <si>
    <t>6222 ИТАЛЬЯНСКОЕ АССОРТИ с/в с/н мгс 1/90 ОСТАНКИНО</t>
  </si>
  <si>
    <t>6228 МЯСНОЕ АССОРТИ к/з с/н мгс 1/90 10шт  Останкино</t>
  </si>
  <si>
    <t>6279 КОРЕЙКА ПО-ОСТ.к/в в/с с/н в/у 1/150_45с  Останкино</t>
  </si>
  <si>
    <t>нужно увеличить продажи!!!</t>
  </si>
  <si>
    <t>6303 Мясные Папа может сос п/о мгс 1,5*3  Останкино</t>
  </si>
  <si>
    <t>6325 ДОКТОРСКАЯ ПРЕМИУМ вар п/о 0.4кг 8шт.  ОСТАНКИНО</t>
  </si>
  <si>
    <t>6333 МЯСНАЯ Папа может вар п/о 0.4кг 8шт.  ОСТАНКИНО</t>
  </si>
  <si>
    <t>6364 СЕРВЕЛАТ ЗЕРНИСТЫЙ ПМ в/к в/у 0.35кг  ОСТАНКИНО</t>
  </si>
  <si>
    <t>7154 СЕРВЕЛАТ ЗЕРНИСТЫЙ ПМ в/к в/у 0,35кг_50с  Останкино</t>
  </si>
  <si>
    <t>6392 ФИЛЕЙНАЯ Папа может вар п/о 0,4кг  ОСТАНКИНО</t>
  </si>
  <si>
    <t>6411 ВЕТЧ.РУБЛЕНАЯ ПМ в/у срез 0.3кг 6шт.  ОСТАНКИНО</t>
  </si>
  <si>
    <t>нужно увеличить продажи!!! / новинка</t>
  </si>
  <si>
    <t>6453 ЭКСТРА Папа может с/к с/н в/у 1/100 14шт.   ОСТАНКИНО</t>
  </si>
  <si>
    <t>7616 ЭКСТРА Папа может с/к с/н в/у 1/100_  ОСТАНКИНО</t>
  </si>
  <si>
    <t>ротация на 7616</t>
  </si>
  <si>
    <t>6454 АРОМАТНАЯ с/к с/н в/у 1/100 10шт.  ОСТАНКИНО</t>
  </si>
  <si>
    <t>7613 АРОМАТНАЯ с/к с/н в/у 1/100 10шт_Л10  ОСТАНКИНО</t>
  </si>
  <si>
    <t>ротация на 7613</t>
  </si>
  <si>
    <t>6470 ВЕТЧ.МРАМОРНАЯ в/у_45с  ОСТАНКИНО</t>
  </si>
  <si>
    <t>6495 ВЕТЧ.МРАМОРНАЯ в/у срез 0,3кг 6шт_45с  Останкино</t>
  </si>
  <si>
    <t>6498 МОЛОЧНАЯ Папа может вар п/о  ОСТАНКИНО</t>
  </si>
  <si>
    <t>6527 ШПИКАЧКИ СОЧНЫЕ ПМ сар б/о мгс 1*3 45с ОСТАНКИНО</t>
  </si>
  <si>
    <t>6550 МЯСНЫЕ Папа может сар б/о мгс 1*3 О 45с  Останкино</t>
  </si>
  <si>
    <t>6608 С ГОВЯДИНОЙ ОРИГИН. сар б/о мгс 1*3_45с  ОСТАНКИНО</t>
  </si>
  <si>
    <t>6616 МОЛОЧНЫЕ КЛАССИЧЕСКИЕ сос п/о в/у 0,3 кг  Останкино</t>
  </si>
  <si>
    <t>6620 РЕБРЫШКИ к/в в/у_30с  Останкино</t>
  </si>
  <si>
    <t>с 19,08,26 заказываем</t>
  </si>
  <si>
    <t>6661 СОЧНЫЙ ГРИЛЬ ПМ сос п/о мгс 1,5*4_Маяк Останкино</t>
  </si>
  <si>
    <t>6697 СЕРВЕЛАТ ФИНСКИЙ ПМ в/к в/у 0,35кг 8шт  ОСТАНКИНО</t>
  </si>
  <si>
    <t>6713 СОЧНЫЙ ГРИЛЬ ПМ сос п/о мгс 0,41кг 8 шт.  ОСТАНКИНО</t>
  </si>
  <si>
    <t>6724 МОЛОЧНЫЕ ПМ сос п/о мгс 0,41кг 10шт  Останкино</t>
  </si>
  <si>
    <t>6761 МОЛОЧНЫЕ ГОСТ сос ц/о мгс 1*4  Останкино</t>
  </si>
  <si>
    <t>6765 РУБЛЕНЫЕ сос ц/о мгс 0,36кг 6шт  Останкино</t>
  </si>
  <si>
    <t>08,08,26 списано 35 шт.</t>
  </si>
  <si>
    <t>6787 СЕРВЕЛАТ КРЕМЛЕВСКИЙ в/к в/у 0,33кг 8шт  Останкино</t>
  </si>
  <si>
    <t>55 шт в уценку (06,07,26)</t>
  </si>
  <si>
    <t>6797 С ИНДЕЙКОЙ Папа может вар п/о 0,4кг 8шт. ОСТАНКИНО</t>
  </si>
  <si>
    <t>6807 СЕРВЕЛАТ ЕВРОПЕЙСКИЙ в/к в/у 0,33кг 8шт  Останкино</t>
  </si>
  <si>
    <t>27шт списано (11,08,26)</t>
  </si>
  <si>
    <t>6829  МОЛОЧНЫЕ КЛАССИЧЕСКИЕ сос п/о мгс 2*4 С  Останккино</t>
  </si>
  <si>
    <t>6837 ФИЛЕЙНЫЕ Папа Может сос ц/о мгс 0,4кг  Останкино</t>
  </si>
  <si>
    <t>6861 ДОМАШНИЙ РЕЦЕПТ Коровино вар п/о  Останкино</t>
  </si>
  <si>
    <t>нет потребности</t>
  </si>
  <si>
    <t>6866 ВЕТЧ.НЕЖНАЯ Коровино п/о_Маяк  Останкино</t>
  </si>
  <si>
    <t>6925 ВЕТЧ.КЛАССИЧЕСКАЯ в/у 0,6кг 8шт. ОСТАНКИНО</t>
  </si>
  <si>
    <t>6937 САЛЯМИ Папа может с/к в/у 1/250 8шт  Останкино</t>
  </si>
  <si>
    <t>6967 БУРГУНДИЯ Папа может с/к в/у 1/250 8шт  Останкино</t>
  </si>
  <si>
    <t>7001 КЛАССИЧЕСКИЕ Папа может сар б/о мгс 1*3  Останкино</t>
  </si>
  <si>
    <t>7040 С ИНДЕЙКОЙ ПМ сос ц/о в/у 1/270 8шт.  ОСТАНКИНО</t>
  </si>
  <si>
    <t>новинка</t>
  </si>
  <si>
    <t>7059 ШПИКАЧКИ СОЧНЫЕ С БЕК. п/о мгс 0,3кг 60с ОСТАНКИНО</t>
  </si>
  <si>
    <t>7066 СОЧНЫЕ ПМ сос п/о мгс 0,41кг 10шт 50с  Останкино</t>
  </si>
  <si>
    <t>7070 СОЧНЫЕ ПМ сос п/о 1,5*4_А_50с  Останкино</t>
  </si>
  <si>
    <t>7073 МОЛОЧ.ПРЕМИУМ ПМ сос п/о в/у 1/350_50с  Останкино</t>
  </si>
  <si>
    <t>7075 МОЛОЧ.ПРЕМИУМ ПМ сос п/о мгс 1,5*4_О_50с  Останкино</t>
  </si>
  <si>
    <t>7080 СЛИВОЧНЫЕ ПМ сос п/о мгс 0,41кг 10шт 50с  Останкино</t>
  </si>
  <si>
    <t>7083 СЛИВОЧНЫЕ ПМ сос п/о мгс 1.5*4_А_50с  ОСТАНКИНО</t>
  </si>
  <si>
    <t>7090 СВИНИНА ПО-ДОМ.к/в мл/к в/у 0,3кг_50с  Останкино</t>
  </si>
  <si>
    <t>7103 БЕКОН Останкино с/к с/н в/у 1/180_50с  Останкино</t>
  </si>
  <si>
    <t>7149 БАЛЫКОВАЯ Коровино п/к в/у 0,84кг_50с  Останкино</t>
  </si>
  <si>
    <t>7156 СЕРВЕЛАТ КОПЧ.НА БУКЕ в/к в/у 0.35кг_50с</t>
  </si>
  <si>
    <t>7157 СЕРВЕЛАТ ЗЕРНИСТЫЙ ПМ в/к в/у_50с  Останкино</t>
  </si>
  <si>
    <t>7166 СЕРВЕЛАТ ОХОТНИЧИЙ ПМ в/к в/у_50с  Останкино</t>
  </si>
  <si>
    <t>7169 СЕРВЕЛАТ ОХОТНИЧИЙ ПМ в/к в/у 0,35кг_50с  Останкино</t>
  </si>
  <si>
    <t>7177 ЧЕСНОЧНАЯ ПМ п/к в/у 0,35кг 8шт_50с  Останкино</t>
  </si>
  <si>
    <t>7187 ГРУДИНКА ПРЕМИУМ к/в мл/к в/у 0,3кг_50с  Останкино</t>
  </si>
  <si>
    <t>7231 КЛАССИЧЕСКАЯ ПМ вар п/о 0,3кг 8 шт_209к  Останкино</t>
  </si>
  <si>
    <t>7232 БОЯNСКАЯ ПМ п/к в/у 0,28кг 8шт_209к  Останкино</t>
  </si>
  <si>
    <t>7236 СЕРВЕЛАТ КАРЕЛЬСКИЙ в/к в/у 0,28кг_209к  Останкино</t>
  </si>
  <si>
    <t>7238 СЕРВЕЛАТ ОРЕХОВЫЙ в/к в/у 0,31кг_209к  Останкино</t>
  </si>
  <si>
    <t>7241 САЛЯМИ Папа может п/к в/у 0,28кг ОСТАНКИНО</t>
  </si>
  <si>
    <t>7255 МЯСНЫЕ С ГОВЯД.ПМ сос п/о мгс 0.4кг 6шт.  ОСТАНКИНО</t>
  </si>
  <si>
    <t>7284 ДЛЯ ДЕТЕЙ сос п/о мгс 0,33кг 6шт  Останкино</t>
  </si>
  <si>
    <t>7461 ДЛЯ ДЕТЕЙ Папа Может сос п/о мгс 0,33кг ОСТАНКИНО</t>
  </si>
  <si>
    <t>7299 НАБОР ДЛЯ ПИЦЦЫ Папа Может с/к в/у  ОСТАНКИНО</t>
  </si>
  <si>
    <t>7332 БОЯРСКАЯ ПМ п/к в/у 0,28кг ОСТАНКИНО</t>
  </si>
  <si>
    <t>7334 МЯСНАЯ СО ШПИКОМ ПМ вар п/о 0.4кг 8шт.</t>
  </si>
  <si>
    <t>7382  САЛЯМИ МЕЛКОЗЕРНЕНАЯ с/к в/у1/120 8шт.  ОСТАНКИНО</t>
  </si>
  <si>
    <t>7386 БАРСЕЛОНА ПМ с/к в/у 1/150  ОСТАНКИНО</t>
  </si>
  <si>
    <t>7485 РИЕТ МЯСНОЙ С ГРИБАМИ ПМ п/о 1/150  ОСТАНКИНО</t>
  </si>
  <si>
    <t>новинка / 100шт под ТК (Титенок просила 150шт 12,08,26)</t>
  </si>
  <si>
    <t>7513 ВОСКРЕСЕНСКАЯ ВЯЛЕНАЯ в/к в/у срез 1/260  ОСТАНКИНО</t>
  </si>
  <si>
    <t>новинка / 80шт под ТК (Титенок просила 100шт 12,08,26)</t>
  </si>
  <si>
    <t>7516 НОВОМОСКОВСКАЯ в/к в/у срез 0.31кг  ОСТАНКИНО</t>
  </si>
  <si>
    <t>7523 ГОВЯЖЬЯ Папа Может вар п/о 0,4кг 6шт. ОСТАНКИНО</t>
  </si>
  <si>
    <t>7539 ДОКТОРСКАЯ ГОСТ вар п/о 0,35кг ОСТАНКИНО</t>
  </si>
  <si>
    <t>34шт списание (11,08,26)</t>
  </si>
  <si>
    <t>7562 КРАКОВСКАЯ ГОСТ Останкино п/к н/о мгс  ОСТАНКИНО</t>
  </si>
  <si>
    <t>новинка / 80кг под ТК (Титенок просила 100кг 12,08,26)</t>
  </si>
  <si>
    <t>7564 Балыковая в/к в/у Останкино Вес  ОСТАНКИНО</t>
  </si>
  <si>
    <t>7601 ДЛЯ ДЕТЕЙ Папа может сос п/о мгс 0.264кг  ОСТАНКИНО</t>
  </si>
  <si>
    <t>нужно увеличить продажи!!! / помощь заводу</t>
  </si>
  <si>
    <t>7603 БАЛЫКОВАЯ в/к в/у 0.33кг 8шт. ОСТАНКИНО</t>
  </si>
  <si>
    <t>7608 СЕРВЕЛАТ ШВЕЙЦАРСК.в/к с/н в/у 1/100_Л11  ОСТАНКИНО</t>
  </si>
  <si>
    <t>7612 БАЛЫК с/к с/н в/у 1/100 10шт_  ОСТАНКИНО</t>
  </si>
  <si>
    <t>вместо 7288</t>
  </si>
  <si>
    <t>вместо 6454</t>
  </si>
  <si>
    <t>вместо 6453</t>
  </si>
  <si>
    <t>7632 ЭКСТРА Папа может вар п/о 0.4кг 8шт_195к  ОСТАНКИНО</t>
  </si>
  <si>
    <t>вместо 6353</t>
  </si>
  <si>
    <t>7647 ХОЧУ ВЕТЧ.ИЗ СВ.ОТРУБА с/н мгс 1/100_Л11  ОСТАНКИНО</t>
  </si>
  <si>
    <t>7651 ХОЧУ ВЕТЧ.МРАМОР. ПМ с/н мгс 1/100_Л11  ОСТАНКИНО</t>
  </si>
  <si>
    <t>8014 ДОКТОРСКАЯ ПРЕМИУМ вар п/о(п)</t>
  </si>
  <si>
    <t>нужно увеличить продажи / плюсом 5 дней</t>
  </si>
  <si>
    <r>
      <rPr>
        <b/>
        <sz val="10"/>
        <color rgb="FFFF0000"/>
        <rFont val="Arial"/>
        <family val="2"/>
        <charset val="204"/>
      </rPr>
      <t>нужно увеличить продажи!!!</t>
    </r>
    <r>
      <rPr>
        <sz val="10"/>
        <rFont val="Arial"/>
        <family val="2"/>
        <charset val="204"/>
      </rPr>
      <t xml:space="preserve"> / 192шт списано (11,08,26)</t>
    </r>
  </si>
  <si>
    <r>
      <rPr>
        <b/>
        <sz val="10"/>
        <color rgb="FFFF0000"/>
        <rFont val="Arial"/>
        <family val="2"/>
        <charset val="204"/>
      </rPr>
      <t>нужно увеличить продажи!!!</t>
    </r>
    <r>
      <rPr>
        <sz val="10"/>
        <rFont val="Arial"/>
        <family val="2"/>
        <charset val="204"/>
      </rPr>
      <t xml:space="preserve"> / 268шт списание (20,08,26)</t>
    </r>
  </si>
  <si>
    <r>
      <rPr>
        <b/>
        <sz val="10"/>
        <color rgb="FFFF0000"/>
        <rFont val="Arial"/>
        <family val="2"/>
        <charset val="204"/>
      </rPr>
      <t>нужно увеличить продажи!!!</t>
    </r>
    <r>
      <rPr>
        <sz val="10"/>
        <rFont val="Arial"/>
        <family val="2"/>
        <charset val="204"/>
      </rPr>
      <t xml:space="preserve"> / новинка / 100кг под ТК (Титенок просила 200кг 12,08,26)</t>
    </r>
  </si>
  <si>
    <r>
      <rPr>
        <b/>
        <sz val="10"/>
        <color rgb="FFFF0000"/>
        <rFont val="Arial"/>
        <family val="2"/>
        <charset val="204"/>
      </rPr>
      <t>нужно увеличить продажи!!!</t>
    </r>
    <r>
      <rPr>
        <sz val="10"/>
        <rFont val="Arial"/>
        <family val="2"/>
        <charset val="204"/>
      </rPr>
      <t xml:space="preserve"> / 374шт списание (11,08,26)</t>
    </r>
  </si>
  <si>
    <r>
      <rPr>
        <b/>
        <sz val="10"/>
        <color rgb="FFFF0000"/>
        <rFont val="Arial"/>
        <family val="2"/>
        <charset val="204"/>
      </rPr>
      <t>нужно увеличить продажи!!!</t>
    </r>
    <r>
      <rPr>
        <sz val="10"/>
        <rFont val="Arial"/>
        <family val="2"/>
        <charset val="204"/>
      </rPr>
      <t xml:space="preserve"> / вместо 6459</t>
    </r>
  </si>
  <si>
    <t>вывод</t>
  </si>
  <si>
    <t>ЛЮБИТЕЛЬСКАЯ ОСТАНКИНСКАЯ вар ц/о в/у</t>
  </si>
  <si>
    <t>ТЕЛЯЧЬЯ ГОСТ Останкино вар н/о в/у</t>
  </si>
  <si>
    <t>КАРБОНAД ДОМАШНИЙ ПМ к/в кр/к в/у</t>
  </si>
  <si>
    <t>ПРАЗДНИЧНАЯ с/к в/с дек.спец.мгс</t>
  </si>
  <si>
    <t>БРАУНШВЕЙГСКАЯ ГОСТ с/к в/у 1/220 8шт.</t>
  </si>
  <si>
    <t>КРАКОВСКАЯ ГОСТ п/к н/о мгс 0.3кг</t>
  </si>
  <si>
    <t>САЛЯМИ ФИНСКАЯ Папа может с/к в/у 1/150</t>
  </si>
  <si>
    <t>БАРСЕЛОНА ПМ с/к в/у 1/150</t>
  </si>
  <si>
    <t>КОНСЕРВЫ МЯС.ГОВЯДИНА ТУШ. В/С 338г_ЧЗ</t>
  </si>
  <si>
    <t>КОНСЕРВЫ МЯС.СВИНИНА ТУШ. В/С 325г_ЧЗ</t>
  </si>
  <si>
    <t>7143 БРАУНШВЕЙГСКАЯ ГОСТ с/к в/у 1/220 8шт.</t>
  </si>
  <si>
    <t>7710 КРАКОВСКАЯ ГОСТ п/к н/о мгс 0.3кг</t>
  </si>
  <si>
    <t>7456 САЛЯМИ ФИНСКАЯ Папа может с/к в/у 1/150</t>
  </si>
  <si>
    <t>7344 КОНСЕРВЫ МЯС.ГОВЯДИНА ТУШ. В/С 338г_ЧЗ</t>
  </si>
  <si>
    <t>7345 КОНСЕРВЫ МЯС.СВИНИНА ТУШ. В/С 325г_ЧЗ</t>
  </si>
  <si>
    <t>новинка / нужно увеличить продажи!!! / Грация</t>
  </si>
  <si>
    <t>7514 ЛЮБИТЕЛЬСКАЯ ОСТАНКИНСКАЯ вар п/о в/у  ОСТАНКИНО</t>
  </si>
  <si>
    <t>7518 ТЕЛЯЧЬЯ ГОСТ Останкино вар п/о в/у  ОСТАНКИНО</t>
  </si>
  <si>
    <t>6929 КАРБОНАД ДОМАШНИЙ ПМ к/в кр/к в/у  ОСТАНКИНО</t>
  </si>
  <si>
    <t>ув</t>
  </si>
  <si>
    <t>Остаток, кг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</si>
</sst>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8" x14ac:knownFonts="1">
    <font>
      <sz val="11"/>
      <color theme="1"/>
      <name val="Calibri"/>
      <family val="2"/>
      <scheme val="minor"/>
    </font>
    <font>
      <sz val="10"/>
      <name val="Arial"/>
      <family val="2"/>
      <charset val="204"/>
    </font>
    <font>
      <b/>
      <sz val="11"/>
      <name val="Calibri"/>
      <family val="2"/>
      <charset val="204"/>
    </font>
    <font>
      <b/>
      <sz val="11"/>
      <color rgb="FFFF0000"/>
      <name val="Calibri"/>
      <family val="2"/>
      <charset val="204"/>
    </font>
    <font>
      <sz val="10"/>
      <name val="Arial"/>
      <family val="2"/>
      <charset val="204"/>
    </font>
    <font>
      <b/>
      <sz val="10"/>
      <color rgb="FFFF0000"/>
      <name val="Arial"/>
      <family val="2"/>
      <charset val="204"/>
    </font>
    <font>
      <sz val="11"/>
      <color rgb="FFFF0000"/>
      <name val="Calibri"/>
      <family val="2"/>
      <charset val="204"/>
    </font>
    <font>
      <sz val="12"/>
      <color theme="1"/>
      <name val="Times New Roman"/>
      <family val="1"/>
      <charset val="204"/>
    </font>
  </fonts>
  <fills count="9">
    <fill>
      <patternFill patternType="none"/>
    </fill>
    <fill>
      <patternFill patternType="gray125"/>
    </fill>
    <fill>
      <patternFill patternType="solid">
        <fgColor rgb="FFFFF4C5"/>
      </patternFill>
    </fill>
    <fill>
      <patternFill patternType="solid">
        <fgColor rgb="FF758CE0"/>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theme="6" tint="0.39997558519241921"/>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1"/>
    <xf numFmtId="0" fontId="1" fillId="0" borderId="1"/>
  </cellStyleXfs>
  <cellXfs count="37">
    <xf numFmtId="0" fontId="0" fillId="0" borderId="0" xfId="0" applyBorder="1"/>
    <xf numFmtId="164" fontId="2" fillId="2" borderId="1" xfId="1" applyNumberFormat="1" applyFont="1" applyFill="1"/>
    <xf numFmtId="164" fontId="3" fillId="2" borderId="1" xfId="1" applyNumberFormat="1" applyFont="1" applyFill="1"/>
    <xf numFmtId="164" fontId="1" fillId="3" borderId="1" xfId="1" applyNumberFormat="1" applyFill="1"/>
    <xf numFmtId="164" fontId="1" fillId="0" borderId="2" xfId="1" applyNumberFormat="1" applyBorder="1"/>
    <xf numFmtId="2" fontId="0" fillId="0" borderId="0" xfId="0" applyNumberFormat="1" applyBorder="1"/>
    <xf numFmtId="2" fontId="1" fillId="0" borderId="1" xfId="1" applyNumberFormat="1"/>
    <xf numFmtId="2" fontId="2" fillId="2" borderId="1" xfId="1" applyNumberFormat="1" applyFont="1" applyFill="1"/>
    <xf numFmtId="164" fontId="1" fillId="4" borderId="1" xfId="1" applyNumberFormat="1" applyFill="1"/>
    <xf numFmtId="2" fontId="1" fillId="4" borderId="1" xfId="1" applyNumberFormat="1" applyFill="1"/>
    <xf numFmtId="164" fontId="1" fillId="4" borderId="2" xfId="1" applyNumberFormat="1" applyFill="1" applyBorder="1"/>
    <xf numFmtId="164" fontId="4" fillId="5" borderId="1" xfId="1" applyNumberFormat="1" applyFont="1" applyFill="1"/>
    <xf numFmtId="164" fontId="5" fillId="5" borderId="1" xfId="1" applyNumberFormat="1" applyFont="1" applyFill="1"/>
    <xf numFmtId="164" fontId="1" fillId="0" borderId="1" xfId="1" applyNumberFormat="1"/>
    <xf numFmtId="164" fontId="6" fillId="6" borderId="1" xfId="1" applyNumberFormat="1" applyFont="1" applyFill="1"/>
    <xf numFmtId="164" fontId="1" fillId="5" borderId="1" xfId="1" applyNumberFormat="1" applyFill="1"/>
    <xf numFmtId="0" fontId="7" fillId="0" borderId="3" xfId="0" applyFont="1" applyBorder="1" applyAlignment="1">
      <alignment horizontal="right" vertical="center"/>
    </xf>
    <xf numFmtId="0" fontId="7" fillId="0" borderId="4" xfId="0" applyFont="1" applyBorder="1" applyAlignment="1">
      <alignment vertical="center"/>
    </xf>
    <xf numFmtId="0" fontId="7" fillId="0" borderId="5" xfId="0" applyFont="1" applyBorder="1" applyAlignment="1">
      <alignment horizontal="right" vertical="center"/>
    </xf>
    <xf numFmtId="0" fontId="7" fillId="0" borderId="6" xfId="0" applyFont="1" applyBorder="1" applyAlignment="1">
      <alignment vertical="center"/>
    </xf>
    <xf numFmtId="1" fontId="7" fillId="0" borderId="4" xfId="0" applyNumberFormat="1" applyFont="1" applyBorder="1" applyAlignment="1">
      <alignment horizontal="right" vertical="center"/>
    </xf>
    <xf numFmtId="1" fontId="7" fillId="0" borderId="6" xfId="0" applyNumberFormat="1" applyFont="1" applyBorder="1" applyAlignment="1">
      <alignment horizontal="right" vertical="center"/>
    </xf>
    <xf numFmtId="1" fontId="0" fillId="0" borderId="0" xfId="0" applyNumberFormat="1" applyBorder="1"/>
    <xf numFmtId="0" fontId="7" fillId="7" borderId="5" xfId="0" applyFont="1" applyFill="1" applyBorder="1" applyAlignment="1">
      <alignment horizontal="right" vertical="center"/>
    </xf>
    <xf numFmtId="1" fontId="7" fillId="7" borderId="6" xfId="0" applyNumberFormat="1" applyFont="1" applyFill="1" applyBorder="1" applyAlignment="1">
      <alignment horizontal="right" vertical="center"/>
    </xf>
    <xf numFmtId="0" fontId="7" fillId="7" borderId="6" xfId="0" applyFont="1" applyFill="1" applyBorder="1" applyAlignment="1">
      <alignment vertical="center"/>
    </xf>
    <xf numFmtId="0" fontId="7" fillId="5" borderId="5" xfId="0" applyFont="1" applyFill="1" applyBorder="1" applyAlignment="1">
      <alignment horizontal="right" vertical="center"/>
    </xf>
    <xf numFmtId="1" fontId="7" fillId="5" borderId="6" xfId="0" applyNumberFormat="1" applyFont="1" applyFill="1" applyBorder="1" applyAlignment="1">
      <alignment horizontal="right" vertical="center"/>
    </xf>
    <xf numFmtId="0" fontId="7" fillId="5" borderId="6" xfId="0" applyFont="1" applyFill="1" applyBorder="1" applyAlignment="1">
      <alignment vertical="center"/>
    </xf>
    <xf numFmtId="164" fontId="4" fillId="4" borderId="1" xfId="1" applyNumberFormat="1" applyFont="1" applyFill="1"/>
    <xf numFmtId="164" fontId="1" fillId="8" borderId="1" xfId="1" applyNumberFormat="1" applyFill="1"/>
    <xf numFmtId="2" fontId="1" fillId="8" borderId="1" xfId="1" applyNumberFormat="1" applyFill="1"/>
    <xf numFmtId="164" fontId="1" fillId="8" borderId="2" xfId="1" applyNumberFormat="1" applyFill="1" applyBorder="1"/>
    <xf numFmtId="164" fontId="4" fillId="8" borderId="1" xfId="1" applyNumberFormat="1" applyFont="1" applyFill="1"/>
    <xf numFmtId="0" fontId="7" fillId="0" borderId="3" xfId="0" applyFont="1" applyBorder="1" applyAlignment="1">
      <alignment vertical="center"/>
    </xf>
    <xf numFmtId="0" fontId="7" fillId="0" borderId="5" xfId="0" applyFont="1" applyBorder="1" applyAlignment="1">
      <alignment vertical="center"/>
    </xf>
    <xf numFmtId="0" fontId="0" fillId="0" borderId="1" xfId="0" applyBorder="1"/>
  </cellXfs>
  <cellStyles count="2">
    <cellStyle name="Arial10px" xfId="1" xr:uid="{00000000-0005-0000-0000-000001000000}"/>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ORK/2025_05/2026/&#1047;&#1040;&#1042;&#1054;&#1044;&#1067;/&#1054;&#1089;&#1090;&#1072;&#1085;&#1082;&#1080;&#1085;&#1086;/&#1051;&#1086;&#1075;&#1080;&#1089;&#1090;&#1080;&#1095;&#1082;&#1072;%2027.07.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ow r="1">
          <cell r="B1" t="str">
            <v>Код</v>
          </cell>
          <cell r="C1" t="str">
            <v>Наименование</v>
          </cell>
          <cell r="D1" t="str">
            <v>БЕИ</v>
          </cell>
          <cell r="E1" t="str">
            <v>Вид</v>
          </cell>
          <cell r="F1" t="str">
            <v>Тип</v>
          </cell>
          <cell r="G1" t="str">
            <v>Торговая</v>
          </cell>
          <cell r="H1" t="str">
            <v>Производитель</v>
          </cell>
          <cell r="I1" t="str">
            <v>Номер</v>
          </cell>
          <cell r="J1" t="str">
            <v>Группа/категория</v>
          </cell>
          <cell r="K1" t="str">
            <v>Состав</v>
          </cell>
          <cell r="L1" t="str">
            <v>Пищевая ценность в 100 г:</v>
          </cell>
          <cell r="P1" t="str">
            <v>Условия</v>
          </cell>
          <cell r="Q1" t="str">
            <v xml:space="preserve">Срок </v>
          </cell>
        </row>
        <row r="2">
          <cell r="B2" t="str">
            <v>SAP</v>
          </cell>
          <cell r="C2" t="str">
            <v>Наименование продукции</v>
          </cell>
          <cell r="D2" t="str">
            <v>кг/шт</v>
          </cell>
          <cell r="E2" t="str">
            <v>Вид продукции</v>
          </cell>
          <cell r="F2" t="str">
            <v>Тип продукции</v>
          </cell>
          <cell r="G2" t="str">
            <v>марка</v>
          </cell>
          <cell r="H2" t="str">
            <v>Производитель</v>
          </cell>
          <cell r="I2" t="str">
            <v>ГОСТ/ТУ</v>
          </cell>
          <cell r="J2" t="str">
            <v>Группа/категория</v>
          </cell>
          <cell r="K2">
            <v>3</v>
          </cell>
          <cell r="L2" t="str">
            <v>белки (г)</v>
          </cell>
          <cell r="M2" t="str">
            <v>жиры (г)</v>
          </cell>
          <cell r="N2" t="str">
            <v>углеводы (г)</v>
          </cell>
          <cell r="O2" t="str">
            <v>ккал/кДж</v>
          </cell>
          <cell r="P2" t="str">
            <v>хранения,°С</v>
          </cell>
          <cell r="Q2" t="str">
            <v>годности, сут</v>
          </cell>
        </row>
        <row r="3">
          <cell r="B3">
            <v>1001012486874</v>
          </cell>
          <cell r="C3" t="str">
            <v>БЕЗ ШПИКА ПМ вар п/о (катБ)_Kvalita</v>
          </cell>
          <cell r="D3" t="str">
            <v>КГ</v>
          </cell>
          <cell r="E3" t="str">
            <v>Колбасные изделия</v>
          </cell>
          <cell r="F3" t="str">
            <v>Вареные колбасы</v>
          </cell>
          <cell r="G3" t="str">
            <v>Папа может</v>
          </cell>
          <cell r="H3" t="str">
            <v>ОМПК(С)</v>
          </cell>
          <cell r="I3" t="str">
            <v>ТУ 10.13.14-180-00425283-2025</v>
          </cell>
          <cell r="J3" t="str">
            <v>Мясной продукт. Изделие колбасное вареное категории Б.</v>
          </cell>
          <cell r="K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3">
            <v>9</v>
          </cell>
          <cell r="M3">
            <v>14</v>
          </cell>
          <cell r="N3">
            <v>5</v>
          </cell>
          <cell r="O3" t="str">
            <v>182/756</v>
          </cell>
          <cell r="P3" t="str">
            <v>0…+6</v>
          </cell>
          <cell r="Q3">
            <v>60</v>
          </cell>
        </row>
        <row r="4">
          <cell r="B4">
            <v>1001012487568</v>
          </cell>
          <cell r="C4" t="str">
            <v>БЕЗ ШПИКА вар п/о (катБ) 1.35*8_Kvalita</v>
          </cell>
          <cell r="D4" t="str">
            <v>КГ</v>
          </cell>
          <cell r="E4" t="str">
            <v>Колбасные изделия</v>
          </cell>
          <cell r="F4" t="str">
            <v>Вареные колбасы</v>
          </cell>
          <cell r="G4" t="str">
            <v>Папа может</v>
          </cell>
          <cell r="H4" t="str">
            <v>ОМПК(С)</v>
          </cell>
          <cell r="I4" t="str">
            <v>ТУ 10.13.14-180-00425283-2025</v>
          </cell>
          <cell r="J4" t="str">
            <v>Мясной продукт. Изделие колбасное вареное категории Б.</v>
          </cell>
          <cell r="K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4">
            <v>9</v>
          </cell>
          <cell r="M4">
            <v>14</v>
          </cell>
          <cell r="N4">
            <v>5</v>
          </cell>
          <cell r="O4" t="str">
            <v>182/756</v>
          </cell>
          <cell r="P4" t="str">
            <v>0…+6</v>
          </cell>
          <cell r="Q4">
            <v>60</v>
          </cell>
        </row>
        <row r="5">
          <cell r="B5">
            <v>1001013636319</v>
          </cell>
          <cell r="C5" t="str">
            <v>БАЛЫКОВАЯ Папа может вар п/о 0.4кг 8шт.</v>
          </cell>
          <cell r="D5" t="str">
            <v>ШТ</v>
          </cell>
          <cell r="E5" t="str">
            <v>Колбасные изделия</v>
          </cell>
          <cell r="F5" t="str">
            <v>Вареные колбасы</v>
          </cell>
          <cell r="G5" t="str">
            <v>Папа может</v>
          </cell>
          <cell r="H5" t="str">
            <v xml:space="preserve">ОМПК(С)
</v>
          </cell>
          <cell r="I5" t="str">
            <v xml:space="preserve"> ТУ 10.13.14-130-00425283-2017</v>
          </cell>
          <cell r="J5" t="str">
            <v>Мясной продукт. Изделие колбасное вареное категории Б.</v>
          </cell>
          <cell r="K5" t="str">
            <v>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v>
          </cell>
          <cell r="L5">
            <v>11</v>
          </cell>
          <cell r="M5">
            <v>15</v>
          </cell>
          <cell r="N5">
            <v>3</v>
          </cell>
          <cell r="O5" t="str">
            <v>191/793</v>
          </cell>
          <cell r="P5" t="str">
            <v>0…+6</v>
          </cell>
          <cell r="Q5">
            <v>60</v>
          </cell>
        </row>
        <row r="6">
          <cell r="B6">
            <v>1001012427523</v>
          </cell>
          <cell r="C6" t="str">
            <v>ГОВЯЖЬЯ Папа может вар п/о 0.4кг 6шт.</v>
          </cell>
          <cell r="D6" t="str">
            <v>ШТ</v>
          </cell>
          <cell r="E6" t="str">
            <v>Колбасные изделия</v>
          </cell>
          <cell r="F6" t="str">
            <v>Вареные колбасы</v>
          </cell>
          <cell r="G6" t="str">
            <v>Папа может</v>
          </cell>
          <cell r="H6" t="str">
            <v>ОМПК(С)</v>
          </cell>
          <cell r="I6" t="str">
            <v>ТУ 10.13.14-180-00425283-2025</v>
          </cell>
          <cell r="J6" t="str">
            <v>Мясосодержащий продукт. Изделие колбасное вареное категории В.</v>
          </cell>
          <cell r="K6" t="str">
            <v>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v>
          </cell>
          <cell r="L6">
            <v>9</v>
          </cell>
          <cell r="M6">
            <v>14</v>
          </cell>
          <cell r="N6">
            <v>4</v>
          </cell>
          <cell r="O6" t="str">
            <v>178/739</v>
          </cell>
          <cell r="P6" t="str">
            <v>0…+6</v>
          </cell>
          <cell r="Q6">
            <v>60</v>
          </cell>
        </row>
        <row r="7">
          <cell r="B7">
            <v>1001012427025</v>
          </cell>
          <cell r="C7" t="str">
            <v>ГОВЯЖЬЯ ПМ вар п/о 0.85кг 4шт_Kvalita</v>
          </cell>
          <cell r="D7" t="str">
            <v>ШТ</v>
          </cell>
          <cell r="E7" t="str">
            <v>Колбасные изделия</v>
          </cell>
          <cell r="F7" t="str">
            <v>Вареные колбасы</v>
          </cell>
          <cell r="G7" t="str">
            <v>Папа может</v>
          </cell>
          <cell r="H7" t="str">
            <v>ОМПК(С)</v>
          </cell>
          <cell r="I7" t="str">
            <v>ТУ 10.13.14-180-00425283-2025</v>
          </cell>
          <cell r="J7" t="str">
            <v>Мясосодержащий продукт. Изделие колбасное вареное категории В.</v>
          </cell>
          <cell r="K7" t="str">
            <v>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v>
          </cell>
          <cell r="L7">
            <v>9</v>
          </cell>
          <cell r="M7">
            <v>14</v>
          </cell>
          <cell r="N7">
            <v>4</v>
          </cell>
          <cell r="O7" t="str">
            <v>178/739</v>
          </cell>
          <cell r="P7" t="str">
            <v>0…+6</v>
          </cell>
          <cell r="Q7">
            <v>60</v>
          </cell>
        </row>
        <row r="8">
          <cell r="B8">
            <v>1001012426220</v>
          </cell>
          <cell r="C8" t="str">
            <v>ГОВЯЖЬЯ Папа может вар п/о</v>
          </cell>
          <cell r="D8" t="str">
            <v>КГ</v>
          </cell>
          <cell r="E8" t="str">
            <v>Колбасные изделия</v>
          </cell>
          <cell r="F8" t="str">
            <v>Вареные колбасы</v>
          </cell>
          <cell r="G8" t="str">
            <v>Папа может</v>
          </cell>
          <cell r="H8" t="str">
            <v>ОМПК(С)</v>
          </cell>
          <cell r="I8" t="str">
            <v>ТУ 10.13.14-180-00425283-2025</v>
          </cell>
          <cell r="J8" t="str">
            <v>Мясосодержащий продукт. Изделие колбасное вареное категории В.</v>
          </cell>
          <cell r="K8" t="str">
            <v>говядина, мясо куриное механической обвалки, вода питьевая, филе грудок куриных, стабилизатор белковый (кожа куриная, вода питьевая), крахмал картофельный, сыворотка молочная сухая, смесь нитритно-посолочная (соль, фиксатор окраски (нитрит натрия)), соль, регуляторы кислотности (пирофосфаты, цитраты натрия), стабилизаторы (каррагинан, ксантановая камедь), пряности и экстракты пряностей, лук сушеный, сахара, усилитель вкуса и аромата (глутамат натрия), ароматизаторы, антиокислитель (аскорбиновая кислота), краситель (кармины)</v>
          </cell>
          <cell r="L8">
            <v>9</v>
          </cell>
          <cell r="M8">
            <v>13</v>
          </cell>
          <cell r="N8">
            <v>2</v>
          </cell>
          <cell r="O8" t="str">
            <v>161/668</v>
          </cell>
          <cell r="P8" t="str">
            <v>0…+6</v>
          </cell>
          <cell r="Q8">
            <v>60</v>
          </cell>
        </row>
        <row r="9">
          <cell r="B9">
            <v>1001012993254</v>
          </cell>
          <cell r="C9" t="str">
            <v>ДОКТОР СКАЙ Папа может вар п/о</v>
          </cell>
          <cell r="D9" t="str">
            <v>КГ</v>
          </cell>
          <cell r="E9" t="str">
            <v>Колбасные изделия</v>
          </cell>
          <cell r="F9" t="str">
            <v>Вареные колбасы</v>
          </cell>
          <cell r="G9" t="str">
            <v>Папа может</v>
          </cell>
          <cell r="H9" t="str">
            <v>ОМПК(С)</v>
          </cell>
          <cell r="I9" t="str">
            <v>ТУ 10.13.14-180-00425283-2025</v>
          </cell>
          <cell r="J9" t="str">
            <v>Мясной продукт. Изделие колбасное вареное категории В.</v>
          </cell>
          <cell r="K9" t="str">
            <v>свинина, филе грудок куриных, мясо цыпленка-бройлера механической обвалки, стабилизатор белковый (шкурка свиная, вода питьевая),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горчица, антиокислитель (аскорбиновая кислота), усилитель вкуса и аромата (глутамат натрия 1-замещенный), ароматизаторы, краситель (кармины)</v>
          </cell>
          <cell r="L9">
            <v>9</v>
          </cell>
          <cell r="M9">
            <v>14</v>
          </cell>
          <cell r="N9">
            <v>5</v>
          </cell>
          <cell r="O9" t="str">
            <v>182/756</v>
          </cell>
          <cell r="P9" t="str">
            <v>0…+6</v>
          </cell>
          <cell r="Q9">
            <v>60</v>
          </cell>
        </row>
        <row r="10">
          <cell r="B10">
            <v>1001012997577</v>
          </cell>
          <cell r="C10" t="str">
            <v>ДОКТОР СКАЙ Папа может вар п/о 1.35*8</v>
          </cell>
          <cell r="D10" t="str">
            <v>КГ</v>
          </cell>
          <cell r="E10" t="str">
            <v>Колбасные изделия</v>
          </cell>
          <cell r="F10" t="str">
            <v>Вареные колбасы</v>
          </cell>
          <cell r="G10" t="str">
            <v>Папа может</v>
          </cell>
          <cell r="H10" t="str">
            <v>ОМПК(С)</v>
          </cell>
          <cell r="I10" t="str">
            <v>ТУ 10.13.14-180-00425283-2025</v>
          </cell>
          <cell r="J10" t="str">
            <v>Мясной продукт. Изделие колбасное вареное категории В.</v>
          </cell>
          <cell r="K10"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10">
            <v>9</v>
          </cell>
          <cell r="M10">
            <v>14</v>
          </cell>
          <cell r="N10">
            <v>5</v>
          </cell>
          <cell r="O10" t="str">
            <v>182/756</v>
          </cell>
          <cell r="P10" t="str">
            <v>0…+6</v>
          </cell>
          <cell r="Q10">
            <v>60</v>
          </cell>
        </row>
        <row r="11">
          <cell r="B11">
            <v>1001010011112</v>
          </cell>
          <cell r="C11" t="str">
            <v>ДОКТОРСКАЯ ГОСТ Останкино вар н/о в/у</v>
          </cell>
          <cell r="D11" t="str">
            <v>КГ</v>
          </cell>
          <cell r="E11" t="str">
            <v>Колбасные изделия</v>
          </cell>
          <cell r="F11" t="str">
            <v>Вареные колбасы</v>
          </cell>
          <cell r="G11" t="str">
            <v>Останкино</v>
          </cell>
          <cell r="H11" t="str">
            <v xml:space="preserve">ОМПК(Г)
</v>
          </cell>
          <cell r="I11" t="str">
            <v>ГОСТ 23670-2019</v>
          </cell>
          <cell r="J11" t="str">
            <v>Мясной продукт. Изделие колбасное вареное категории А.</v>
          </cell>
          <cell r="K11"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v>
          </cell>
          <cell r="L11">
            <v>12</v>
          </cell>
          <cell r="M11">
            <v>20</v>
          </cell>
          <cell r="N11">
            <v>0</v>
          </cell>
          <cell r="O11" t="str">
            <v>228/955</v>
          </cell>
          <cell r="P11" t="str">
            <v>0…+6</v>
          </cell>
          <cell r="Q11">
            <v>30</v>
          </cell>
        </row>
        <row r="12">
          <cell r="B12">
            <v>1001010014555</v>
          </cell>
          <cell r="C12" t="str">
            <v>ДОКТОРСКАЯ ГОСТ вар п/о</v>
          </cell>
          <cell r="D12" t="str">
            <v>КГ</v>
          </cell>
          <cell r="E12" t="str">
            <v>Колбасные изделия</v>
          </cell>
          <cell r="F12" t="str">
            <v>Вареные колбасы</v>
          </cell>
          <cell r="G12" t="str">
            <v>Останкино</v>
          </cell>
          <cell r="H12" t="str">
            <v>ОМПК(С)</v>
          </cell>
          <cell r="I12" t="str">
            <v>ГОСТ 23670-2019</v>
          </cell>
          <cell r="J12" t="str">
            <v>Мясной продукт. Изделие колбасное вареное категории А.</v>
          </cell>
          <cell r="K12"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2">
            <v>12</v>
          </cell>
          <cell r="M12">
            <v>20</v>
          </cell>
          <cell r="N12">
            <v>0</v>
          </cell>
          <cell r="O12" t="str">
            <v>228/955</v>
          </cell>
          <cell r="P12" t="str">
            <v>0…+6</v>
          </cell>
          <cell r="Q12">
            <v>60</v>
          </cell>
        </row>
        <row r="13">
          <cell r="B13">
            <v>1001010017536</v>
          </cell>
          <cell r="C13" t="str">
            <v>ДОКТОРСКАЯ ГОСТ Останкино вар п/о</v>
          </cell>
          <cell r="D13" t="str">
            <v>КГ</v>
          </cell>
          <cell r="E13" t="str">
            <v>Колбасные изделия</v>
          </cell>
          <cell r="F13" t="str">
            <v>Вареные колбасы</v>
          </cell>
          <cell r="G13" t="str">
            <v>Останкино</v>
          </cell>
          <cell r="H13" t="str">
            <v>ОМПК(С)</v>
          </cell>
          <cell r="I13" t="str">
            <v>ГОСТ 23670-2019</v>
          </cell>
          <cell r="J13" t="str">
            <v>Мясной продукт. Изделие колбасное вареное категории А.</v>
          </cell>
          <cell r="K13"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3">
            <v>12</v>
          </cell>
          <cell r="M13">
            <v>20</v>
          </cell>
          <cell r="N13">
            <v>0</v>
          </cell>
          <cell r="O13" t="str">
            <v>228/955</v>
          </cell>
          <cell r="P13" t="str">
            <v>0…+6</v>
          </cell>
          <cell r="Q13">
            <v>60</v>
          </cell>
        </row>
        <row r="14">
          <cell r="B14">
            <v>1001010017539</v>
          </cell>
          <cell r="C14" t="str">
            <v>ДОКТОРСКАЯ ГОСТ Останкино вар п/о 0.35кг</v>
          </cell>
          <cell r="D14" t="str">
            <v>ШТ</v>
          </cell>
          <cell r="E14" t="str">
            <v>Колбасные изделия</v>
          </cell>
          <cell r="F14" t="str">
            <v>Вареные колбасы</v>
          </cell>
          <cell r="G14" t="str">
            <v>Останкино</v>
          </cell>
          <cell r="H14" t="str">
            <v>ОМПК(С)</v>
          </cell>
          <cell r="I14" t="str">
            <v>ГОСТ 23670-2019</v>
          </cell>
          <cell r="J14" t="str">
            <v>Мясной продукт. Изделие колбасное вареное категории А.</v>
          </cell>
          <cell r="K14"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4">
            <v>12</v>
          </cell>
          <cell r="M14">
            <v>20</v>
          </cell>
          <cell r="N14">
            <v>0</v>
          </cell>
          <cell r="O14" t="str">
            <v>228/955</v>
          </cell>
          <cell r="P14" t="str">
            <v>0…+6</v>
          </cell>
          <cell r="Q14">
            <v>60</v>
          </cell>
        </row>
        <row r="15">
          <cell r="B15">
            <v>1001016447477</v>
          </cell>
          <cell r="C15" t="str">
            <v>ДОКТОРСКАЯ ГОСТ ПМ вар п/о 0.35кг 8шт.</v>
          </cell>
          <cell r="D15" t="str">
            <v>ШТ</v>
          </cell>
          <cell r="E15" t="str">
            <v>Колбасные изделия</v>
          </cell>
          <cell r="F15" t="str">
            <v>Вареные колбасы</v>
          </cell>
          <cell r="G15" t="str">
            <v>Папа может</v>
          </cell>
          <cell r="H15" t="str">
            <v>ОМПК(С)</v>
          </cell>
          <cell r="I15" t="str">
            <v>ГОСТ 23670-2019</v>
          </cell>
          <cell r="J15" t="str">
            <v>Мясной продукт. Изделие колбасное вареное категории А.</v>
          </cell>
          <cell r="K15"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5">
            <v>12</v>
          </cell>
          <cell r="M15">
            <v>20</v>
          </cell>
          <cell r="N15">
            <v>0</v>
          </cell>
          <cell r="O15" t="str">
            <v>228/955</v>
          </cell>
          <cell r="P15" t="str">
            <v>0…+6</v>
          </cell>
          <cell r="Q15">
            <v>60</v>
          </cell>
        </row>
        <row r="16">
          <cell r="B16">
            <v>1001010016324</v>
          </cell>
          <cell r="C16" t="str">
            <v>ДОКТОРСКАЯ ГОСТ вар п/о 0.4кг 8шт.</v>
          </cell>
          <cell r="D16" t="str">
            <v>ШТ</v>
          </cell>
          <cell r="E16" t="str">
            <v>Колбасные изделия</v>
          </cell>
          <cell r="F16" t="str">
            <v>Вареные колбасы</v>
          </cell>
          <cell r="G16" t="str">
            <v>Останкино</v>
          </cell>
          <cell r="H16" t="str">
            <v>ОМПК(С)</v>
          </cell>
          <cell r="I16" t="str">
            <v>ГОСТ 23670-2019</v>
          </cell>
          <cell r="J16" t="str">
            <v>Мясной продукт. Изделие колбасное вареное категории А.</v>
          </cell>
          <cell r="K16"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6">
            <v>12</v>
          </cell>
          <cell r="M16">
            <v>20</v>
          </cell>
          <cell r="N16">
            <v>0</v>
          </cell>
          <cell r="O16" t="str">
            <v>228/955</v>
          </cell>
          <cell r="P16" t="str">
            <v>0…+6</v>
          </cell>
          <cell r="Q16">
            <v>60</v>
          </cell>
        </row>
        <row r="17">
          <cell r="B17">
            <v>1001016447190</v>
          </cell>
          <cell r="C17" t="str">
            <v>ДОКТОРСКАЯ ГОСТ вар п/о 0.7кг 6шт.</v>
          </cell>
          <cell r="D17" t="str">
            <v>ШТ</v>
          </cell>
          <cell r="E17" t="str">
            <v>Колбасные изделия</v>
          </cell>
          <cell r="F17" t="str">
            <v>Вареные колбасы</v>
          </cell>
          <cell r="G17" t="str">
            <v>Останкино</v>
          </cell>
          <cell r="H17" t="str">
            <v>ОМПК(С)</v>
          </cell>
          <cell r="I17" t="str">
            <v>ГОСТ 23670-2019</v>
          </cell>
          <cell r="J17" t="str">
            <v>Мясной продукт. Изделие колбасное вареное категории А.</v>
          </cell>
          <cell r="K17"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v>
          </cell>
          <cell r="L17">
            <v>12</v>
          </cell>
          <cell r="M17">
            <v>20</v>
          </cell>
          <cell r="O17" t="str">
            <v>228/955</v>
          </cell>
          <cell r="P17" t="str">
            <v>0…+6</v>
          </cell>
          <cell r="Q17">
            <v>60</v>
          </cell>
        </row>
        <row r="18">
          <cell r="B18">
            <v>1001010017557</v>
          </cell>
          <cell r="C18" t="str">
            <v>ДОКТОРСКАЯ ГОСТ Останкино вар ц/о в/у</v>
          </cell>
          <cell r="D18" t="str">
            <v>КГ</v>
          </cell>
          <cell r="E18" t="str">
            <v>Колбасные изделия</v>
          </cell>
          <cell r="F18" t="str">
            <v>Вареные колбасы</v>
          </cell>
          <cell r="G18" t="str">
            <v>Останкино</v>
          </cell>
          <cell r="H18" t="str">
            <v>ОМПК(С)</v>
          </cell>
          <cell r="I18" t="str">
            <v>ГОСТ 23670-2019</v>
          </cell>
          <cell r="J18" t="str">
            <v>Мясной продукт. Изделие колбасное вареное категории А.</v>
          </cell>
          <cell r="K18"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8">
            <v>12</v>
          </cell>
          <cell r="M18">
            <v>20</v>
          </cell>
          <cell r="N18">
            <v>0</v>
          </cell>
          <cell r="O18" t="str">
            <v>228/955</v>
          </cell>
          <cell r="P18" t="str">
            <v>0…+6</v>
          </cell>
          <cell r="Q18">
            <v>30</v>
          </cell>
        </row>
        <row r="19">
          <cell r="B19">
            <v>1001010014561</v>
          </cell>
          <cell r="C19" t="str">
            <v>ДОКТОРСКАЯ ГОСТ Папа может вар п/о</v>
          </cell>
          <cell r="D19" t="str">
            <v>КГ</v>
          </cell>
          <cell r="E19" t="str">
            <v>Колбасные изделия</v>
          </cell>
          <cell r="F19" t="str">
            <v>Вареные колбасы</v>
          </cell>
          <cell r="G19" t="str">
            <v>Папа может</v>
          </cell>
          <cell r="H19" t="str">
            <v>ОМПК(С)</v>
          </cell>
          <cell r="I19" t="str">
            <v>ГОСТ 23670-2019</v>
          </cell>
          <cell r="J19" t="str">
            <v>Мясной продукт. Изделие колбасное вареное категории А.</v>
          </cell>
          <cell r="K19" t="str">
            <v>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v>
          </cell>
          <cell r="L19">
            <v>12</v>
          </cell>
          <cell r="M19">
            <v>20</v>
          </cell>
          <cell r="O19" t="str">
            <v>228/955</v>
          </cell>
          <cell r="P19" t="str">
            <v>0…+6</v>
          </cell>
          <cell r="Q19">
            <v>60</v>
          </cell>
        </row>
        <row r="20">
          <cell r="B20">
            <v>1001010017567</v>
          </cell>
          <cell r="C20" t="str">
            <v>ДОКТОРСКАЯ ГОСТ ПМ вар п/о 1.35*8</v>
          </cell>
          <cell r="D20" t="str">
            <v>КГ</v>
          </cell>
          <cell r="E20" t="str">
            <v>Колбасные изделия</v>
          </cell>
          <cell r="F20" t="str">
            <v>Вареные колбасы</v>
          </cell>
          <cell r="G20" t="str">
            <v>Папа может</v>
          </cell>
          <cell r="H20" t="str">
            <v>ОМПК(С)</v>
          </cell>
          <cell r="I20" t="str">
            <v>ГОСТ 23670-2019</v>
          </cell>
          <cell r="J20" t="str">
            <v>Мясной продукт. Изделие колбасное вареное категории А.</v>
          </cell>
          <cell r="K20" t="str">
            <v>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v>
          </cell>
          <cell r="L20">
            <v>12</v>
          </cell>
          <cell r="M20">
            <v>20</v>
          </cell>
          <cell r="O20" t="str">
            <v>228/955</v>
          </cell>
          <cell r="P20" t="str">
            <v>0…+6</v>
          </cell>
          <cell r="Q20">
            <v>60</v>
          </cell>
        </row>
        <row r="21">
          <cell r="B21">
            <v>1001010077403</v>
          </cell>
          <cell r="C21" t="str">
            <v>ДОКТОРСКАЯ КЛАССИЧ. ASLAM вар п/о 0.5кг</v>
          </cell>
          <cell r="D21" t="str">
            <v>ШТ</v>
          </cell>
          <cell r="E21" t="str">
            <v>Колбасные изделия</v>
          </cell>
          <cell r="F21" t="str">
            <v>Вареные колбасы</v>
          </cell>
          <cell r="G21" t="str">
            <v>ASLAM</v>
          </cell>
          <cell r="H21" t="str">
            <v>ООО Казанские деликатесы</v>
          </cell>
          <cell r="I21" t="str">
            <v>ТУ 10.13.14-175-00425283-2025</v>
          </cell>
          <cell r="J21" t="str">
            <v>Изделие колбасное вареное из мяса кур охлажденное.</v>
          </cell>
          <cell r="K21"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21">
            <v>10</v>
          </cell>
          <cell r="M21">
            <v>11</v>
          </cell>
          <cell r="N21">
            <v>3</v>
          </cell>
          <cell r="O21" t="str">
            <v>151/628</v>
          </cell>
          <cell r="P21" t="str">
            <v>0…+6</v>
          </cell>
          <cell r="Q21">
            <v>60</v>
          </cell>
        </row>
        <row r="22">
          <cell r="B22">
            <v>1001010077406</v>
          </cell>
          <cell r="C22" t="str">
            <v>ДОКТОРСКАЯ КЛАССИЧ. ASLAM вар п/о 0.9кг</v>
          </cell>
          <cell r="D22" t="str">
            <v>ШТ</v>
          </cell>
          <cell r="E22" t="str">
            <v>Колбасные изделия</v>
          </cell>
          <cell r="F22" t="str">
            <v>Вареные колбасы</v>
          </cell>
          <cell r="G22" t="str">
            <v>ASLAM</v>
          </cell>
          <cell r="H22" t="str">
            <v>ООО Казанские деликатесы</v>
          </cell>
          <cell r="I22" t="str">
            <v>ТУ 10.13.14-175-00425283-2025</v>
          </cell>
          <cell r="J22" t="str">
            <v>Изделие колбасное вареное из мяса кур охлажденное.</v>
          </cell>
          <cell r="K22"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22">
            <v>10</v>
          </cell>
          <cell r="M22">
            <v>11</v>
          </cell>
          <cell r="N22">
            <v>3</v>
          </cell>
          <cell r="O22" t="str">
            <v>151/628</v>
          </cell>
          <cell r="P22" t="str">
            <v>0…+6</v>
          </cell>
          <cell r="Q22">
            <v>60</v>
          </cell>
        </row>
        <row r="23">
          <cell r="B23">
            <v>1001010096988</v>
          </cell>
          <cell r="C23" t="str">
            <v>ДОКТОРСКАЯ ОРИГИНАЛЬНАЯ вар ц/о в/у_45с</v>
          </cell>
          <cell r="D23" t="str">
            <v>КГ</v>
          </cell>
          <cell r="E23" t="str">
            <v>Колбасные изделия</v>
          </cell>
          <cell r="F23" t="str">
            <v>Вареные колбасы</v>
          </cell>
          <cell r="G23" t="str">
            <v>Коровино</v>
          </cell>
          <cell r="H23" t="str">
            <v>ОМПК(С)</v>
          </cell>
          <cell r="I23" t="str">
            <v>ТУ 10.13.14-150-00425283-2018</v>
          </cell>
          <cell r="J23" t="str">
            <v>Изделие колбасное вареное из мяса кур охлажденное.</v>
          </cell>
          <cell r="K23" t="str">
            <v>мясо куриное механической обвалки, вода, свинина, филе грудок куриных, белковый стабилизатор (вода, шкурка свиная, кожа куриная), крахмал картофельный,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глюконо-дельта-лактон; стабилизаторы: полифосфаты, альгинат натрия, камеди (гуаровая, конжаковая, ксантановая), специи и экстракты специй, сахара, соль, горчица, ароматизаторы, усилитель вкуса и аромата глутамат натрия, антиокислитель изоаскорбат натрия, краситель кармины</v>
          </cell>
          <cell r="L23">
            <v>9</v>
          </cell>
          <cell r="M23">
            <v>14</v>
          </cell>
          <cell r="N23">
            <v>3</v>
          </cell>
          <cell r="O23" t="str">
            <v>174/722</v>
          </cell>
          <cell r="P23" t="str">
            <v>0…+6</v>
          </cell>
          <cell r="Q23">
            <v>45</v>
          </cell>
        </row>
        <row r="24">
          <cell r="B24">
            <v>1001017437515</v>
          </cell>
          <cell r="C24" t="str">
            <v>ДОКТОРСКАЯ ОСТАНКИНСКАЯ вар ц/о в/у</v>
          </cell>
          <cell r="D24" t="str">
            <v>КГ</v>
          </cell>
          <cell r="E24" t="str">
            <v>Колбасные изделия</v>
          </cell>
          <cell r="F24" t="str">
            <v>Вареные колбасы</v>
          </cell>
          <cell r="G24" t="str">
            <v>Останкино</v>
          </cell>
          <cell r="H24" t="str">
            <v>ОМПК(С)</v>
          </cell>
          <cell r="I24" t="str">
            <v>ТУ 10.13.14-180-00425283-2025</v>
          </cell>
          <cell r="J24" t="str">
            <v>Мясной продукт. Изделие колбасное вареное категории В.</v>
          </cell>
          <cell r="K24" t="str">
            <v>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крахмал картофельный, специи, экстракты специй и пряностей (в т.ч. горчица, сельдерей), сахара,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24">
            <v>10</v>
          </cell>
          <cell r="M24">
            <v>16</v>
          </cell>
          <cell r="N24">
            <v>4</v>
          </cell>
          <cell r="O24" t="str">
            <v>200/830</v>
          </cell>
          <cell r="P24" t="str">
            <v>0…+6</v>
          </cell>
          <cell r="Q24">
            <v>30</v>
          </cell>
        </row>
        <row r="25">
          <cell r="B25">
            <v>1001012497555</v>
          </cell>
          <cell r="C25" t="str">
            <v>ДОКТОРСКАЯ ПО-ОСТАНКИНСКИ вар б/о в/у</v>
          </cell>
          <cell r="D25" t="str">
            <v>КГ</v>
          </cell>
          <cell r="E25" t="str">
            <v>Колбасные изделия</v>
          </cell>
          <cell r="F25" t="str">
            <v>Вареные колбасы</v>
          </cell>
          <cell r="G25" t="str">
            <v>Останкино</v>
          </cell>
          <cell r="H25" t="str">
            <v>ОМПК(Г)</v>
          </cell>
          <cell r="I25" t="str">
            <v>ТУ 10.13.14-180-00425283-2025</v>
          </cell>
          <cell r="J25" t="str">
            <v>Мясной продукт. Изделие колбасное вареное категории В.</v>
          </cell>
          <cell r="K25" t="str">
            <v>свинина, вода питьевая, стабилизатор белковый (вода питьевая, шкурка свиная, кожа куриная), мясо куриное механической обвалки, сыворотка молочная сухая,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экстракты специй (в т.ч. горчица, сельдерей),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25">
            <v>11</v>
          </cell>
          <cell r="M25">
            <v>16</v>
          </cell>
          <cell r="N25">
            <v>4</v>
          </cell>
          <cell r="O25" t="str">
            <v>204/847</v>
          </cell>
          <cell r="P25" t="str">
            <v>0…+6</v>
          </cell>
          <cell r="Q25">
            <v>30</v>
          </cell>
        </row>
        <row r="26">
          <cell r="B26">
            <v>1001010106325</v>
          </cell>
          <cell r="C26" t="str">
            <v>ДОКТОРСКАЯ ПРЕМИУМ вар п/о 0.4кг 8шт.</v>
          </cell>
          <cell r="D26" t="str">
            <v>ШТ</v>
          </cell>
          <cell r="E26" t="str">
            <v>Колбасные изделия</v>
          </cell>
          <cell r="F26" t="str">
            <v>Вареные колбасы</v>
          </cell>
          <cell r="G26" t="str">
            <v>Папа может</v>
          </cell>
          <cell r="H26" t="str">
            <v xml:space="preserve">ОМПК(С)
</v>
          </cell>
          <cell r="I26" t="str">
            <v>ТУ 10.13.14-180-00425283-2025</v>
          </cell>
          <cell r="J26" t="str">
            <v>Мясной продукт. Изделие колбасное вареное категории Б.</v>
          </cell>
          <cell r="K26" t="str">
            <v>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v>
          </cell>
          <cell r="L26">
            <v>11</v>
          </cell>
          <cell r="M26">
            <v>16</v>
          </cell>
          <cell r="N26">
            <v>3</v>
          </cell>
          <cell r="O26" t="str">
            <v>200/830</v>
          </cell>
          <cell r="P26" t="str">
            <v>0…+6</v>
          </cell>
          <cell r="Q26">
            <v>60</v>
          </cell>
        </row>
        <row r="27">
          <cell r="B27">
            <v>1001010108014</v>
          </cell>
          <cell r="C27" t="str">
            <v>ДОКТОРСКАЯ ПРЕМИУМ п/о(п)</v>
          </cell>
          <cell r="D27" t="str">
            <v>КГ</v>
          </cell>
          <cell r="E27" t="str">
            <v>Колбасные изделия</v>
          </cell>
          <cell r="F27" t="str">
            <v>Вареные колбасы</v>
          </cell>
          <cell r="G27" t="str">
            <v>Папа может</v>
          </cell>
          <cell r="H27" t="str">
            <v>ОМПК(С)</v>
          </cell>
          <cell r="I27" t="str">
            <v>ТУ 10.13.14-130-00425283-2017</v>
          </cell>
          <cell r="J27" t="str">
            <v>Мясной продукт. Изделие колбасное вареное категории Б.</v>
          </cell>
          <cell r="K27" t="str">
            <v>свинина, вода питьевая, мясо куриное механической обвалки, филе грудок куриных,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ацетаты натрия), стабилизатор (альгинат натрия), сахара, пряности и экстракты пряностей (в т.ч. сельдерей), белок животный (говяжий), антиокислитель (аскорбиновая кислота), усилитель вкуса и аромата (глутамат натрия), ароматизаторы (в т.ч. горчица), краситель (кармины)</v>
          </cell>
          <cell r="L27">
            <v>10</v>
          </cell>
          <cell r="M27">
            <v>19</v>
          </cell>
          <cell r="N27">
            <v>1</v>
          </cell>
          <cell r="O27" t="str">
            <v>215/890</v>
          </cell>
          <cell r="P27" t="str">
            <v>0…+6</v>
          </cell>
          <cell r="Q27">
            <v>60</v>
          </cell>
        </row>
        <row r="28">
          <cell r="B28">
            <v>1001010117602</v>
          </cell>
          <cell r="C28" t="str">
            <v>ДОКТОРСКАЯ ТРАДИЦ.ПМ вар ц/о в/у 0.6кг</v>
          </cell>
          <cell r="D28" t="str">
            <v>ШТ</v>
          </cell>
          <cell r="E28" t="str">
            <v>Колбасные изделия</v>
          </cell>
          <cell r="F28" t="str">
            <v>Вареные колбасы</v>
          </cell>
          <cell r="G28" t="str">
            <v>Папа может</v>
          </cell>
          <cell r="H28" t="str">
            <v>ОМПК(О)</v>
          </cell>
          <cell r="I28" t="str">
            <v>ТУ 10.13.14-150-00425283-2026</v>
          </cell>
          <cell r="J28" t="str">
            <v>Изделие колбасное вареное из мяса кур охлажденное.</v>
          </cell>
          <cell r="K28" t="str">
            <v>филе грудок куриных, мясо куриное механической обвалки, свинина, стабилизатор белковый (вода питьевая,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v>
          </cell>
          <cell r="L28">
            <v>10</v>
          </cell>
          <cell r="M28">
            <v>15</v>
          </cell>
          <cell r="N28">
            <v>2</v>
          </cell>
          <cell r="O28" t="str">
            <v>183/759</v>
          </cell>
          <cell r="P28" t="str">
            <v>0…+6</v>
          </cell>
          <cell r="Q28">
            <v>45</v>
          </cell>
        </row>
        <row r="29">
          <cell r="B29">
            <v>1001015646861</v>
          </cell>
          <cell r="C29" t="str">
            <v>ДОМАШНИЙ РЕЦЕПТ Коровино вар п/о</v>
          </cell>
          <cell r="D29" t="str">
            <v>КГ</v>
          </cell>
          <cell r="E29" t="str">
            <v>Колбасные изделия</v>
          </cell>
          <cell r="F29" t="str">
            <v>Вареные колбасы</v>
          </cell>
          <cell r="G29" t="str">
            <v>Коровино</v>
          </cell>
          <cell r="H29" t="str">
            <v>ОМПК(С)</v>
          </cell>
          <cell r="I29" t="str">
            <v>ТУ 10.13.14-150-00425283-2018</v>
          </cell>
          <cell r="J29" t="str">
            <v>Изделие колбасное вареное из мяса кур охлажденное.</v>
          </cell>
          <cell r="K29" t="str">
            <v>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v>
          </cell>
          <cell r="L29">
            <v>7</v>
          </cell>
          <cell r="M29">
            <v>16</v>
          </cell>
          <cell r="O29" t="str">
            <v>172/711</v>
          </cell>
          <cell r="P29" t="str">
            <v>0…+6</v>
          </cell>
          <cell r="Q29">
            <v>60</v>
          </cell>
        </row>
        <row r="30">
          <cell r="B30">
            <v>1001012816340</v>
          </cell>
          <cell r="C30" t="str">
            <v>ДОМАШНИЙ РЕЦЕПТ Коровино 0.5кг 8шт.</v>
          </cell>
          <cell r="D30" t="str">
            <v>ШТ</v>
          </cell>
          <cell r="E30" t="str">
            <v>Колбасные изделия</v>
          </cell>
          <cell r="F30" t="str">
            <v>Вареные колбасы</v>
          </cell>
          <cell r="G30" t="str">
            <v>Коровино</v>
          </cell>
          <cell r="H30" t="str">
            <v>ОМПК(С)</v>
          </cell>
          <cell r="I30" t="str">
            <v>ТУ 10.13.14-150-00425283-2018</v>
          </cell>
          <cell r="J30" t="str">
            <v>Изделие колбасное вареное из мяса кур охлажденное.</v>
          </cell>
          <cell r="K30" t="str">
            <v>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v>
          </cell>
          <cell r="L30">
            <v>7</v>
          </cell>
          <cell r="M30">
            <v>16</v>
          </cell>
          <cell r="N30">
            <v>4</v>
          </cell>
          <cell r="O30" t="str">
            <v>188/779</v>
          </cell>
          <cell r="P30" t="str">
            <v>0…+6</v>
          </cell>
          <cell r="Q30">
            <v>60</v>
          </cell>
        </row>
        <row r="31">
          <cell r="B31">
            <v>1001015706862</v>
          </cell>
          <cell r="C31" t="str">
            <v>ДОМАШНИЙ РЕЦЕПТ СО ШПИК.Коровино вар п/о</v>
          </cell>
          <cell r="D31" t="str">
            <v>КГ</v>
          </cell>
          <cell r="E31" t="str">
            <v>Колбасные изделия</v>
          </cell>
          <cell r="F31" t="str">
            <v>Вареные колбасы</v>
          </cell>
          <cell r="G31" t="str">
            <v>Коровино</v>
          </cell>
          <cell r="H31" t="str">
            <v>ОМПК(С)</v>
          </cell>
          <cell r="I31" t="str">
            <v>ТУ 10.13.14-150-00425283-2018</v>
          </cell>
          <cell r="J31" t="str">
            <v>Изделие колбасное вареное из мяса кур охлажденное.</v>
          </cell>
          <cell r="K31" t="str">
            <v>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v>
          </cell>
          <cell r="L31">
            <v>9</v>
          </cell>
          <cell r="M31">
            <v>14</v>
          </cell>
          <cell r="N31">
            <v>3</v>
          </cell>
          <cell r="O31" t="str">
            <v>149/617</v>
          </cell>
          <cell r="P31" t="str">
            <v>0…+6</v>
          </cell>
          <cell r="Q31">
            <v>60</v>
          </cell>
        </row>
        <row r="32">
          <cell r="B32">
            <v>1001012816341</v>
          </cell>
          <cell r="C32" t="str">
            <v>ДОМАШНИЙ РЕЦЕПТ СО ШПИКОМ Коровино 0.5кг</v>
          </cell>
          <cell r="D32" t="str">
            <v>ШТ</v>
          </cell>
          <cell r="E32" t="str">
            <v>Колбасные изделия</v>
          </cell>
          <cell r="F32" t="str">
            <v>Вареные колбасы</v>
          </cell>
          <cell r="G32" t="str">
            <v>Коровино</v>
          </cell>
          <cell r="H32" t="str">
            <v>ОМПК(С)</v>
          </cell>
          <cell r="I32" t="str">
            <v>ТУ 10.13.14-150-00425283-2018</v>
          </cell>
          <cell r="J32" t="str">
            <v>Изделие колбасное вареное из мяса кур охлажденное.</v>
          </cell>
          <cell r="K32" t="str">
            <v>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v>
          </cell>
          <cell r="L32">
            <v>9</v>
          </cell>
          <cell r="M32">
            <v>14</v>
          </cell>
          <cell r="N32">
            <v>3</v>
          </cell>
          <cell r="O32" t="str">
            <v>149/617</v>
          </cell>
          <cell r="P32" t="str">
            <v>0…+6</v>
          </cell>
          <cell r="Q32">
            <v>60</v>
          </cell>
        </row>
        <row r="33">
          <cell r="B33">
            <v>1001011086841</v>
          </cell>
          <cell r="C33" t="str">
            <v>ДОМАШНЯЯ Папа может вар н/о мгс 1*3</v>
          </cell>
          <cell r="D33" t="str">
            <v>КГ</v>
          </cell>
          <cell r="E33" t="str">
            <v>Колбасные изделия</v>
          </cell>
          <cell r="F33" t="str">
            <v>Вареные колбасы</v>
          </cell>
          <cell r="G33" t="str">
            <v>Папа может</v>
          </cell>
          <cell r="H33" t="str">
            <v>ОМПК(О)</v>
          </cell>
          <cell r="I33" t="str">
            <v>ТУ 10.13.14-180-00425283-2025</v>
          </cell>
          <cell r="J33" t="str">
            <v>Мясной продукт. Изделие колбасное вареное категории Б.</v>
          </cell>
          <cell r="K33"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3">
            <v>10</v>
          </cell>
          <cell r="M33">
            <v>26</v>
          </cell>
          <cell r="N33">
            <v>4</v>
          </cell>
          <cell r="O33" t="str">
            <v>290/1200</v>
          </cell>
          <cell r="P33" t="str">
            <v>0…+6</v>
          </cell>
          <cell r="Q33">
            <v>30</v>
          </cell>
        </row>
        <row r="34">
          <cell r="B34">
            <v>1001016997512</v>
          </cell>
          <cell r="C34" t="str">
            <v>ЧАЙНАЯ Останкино вар н/о мгс 1*3</v>
          </cell>
          <cell r="D34" t="str">
            <v>КГ</v>
          </cell>
          <cell r="E34" t="str">
            <v>Колбасные изделия</v>
          </cell>
          <cell r="F34" t="str">
            <v>Вареные колбасы</v>
          </cell>
          <cell r="G34" t="str">
            <v>Останкино</v>
          </cell>
          <cell r="H34" t="str">
            <v>ОМПК(Г)</v>
          </cell>
          <cell r="I34" t="str">
            <v>ТУ 10.13.14-180-00425283-2025</v>
          </cell>
          <cell r="J34" t="str">
            <v>Мясной продукт. Изделие колбасное вареное категории Б.</v>
          </cell>
          <cell r="K34"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4">
            <v>10</v>
          </cell>
          <cell r="M34">
            <v>26</v>
          </cell>
          <cell r="N34">
            <v>4</v>
          </cell>
          <cell r="O34" t="str">
            <v>290/1200</v>
          </cell>
          <cell r="P34" t="str">
            <v>0…+6</v>
          </cell>
          <cell r="Q34">
            <v>30</v>
          </cell>
        </row>
        <row r="35">
          <cell r="B35">
            <v>1001013643214</v>
          </cell>
          <cell r="C35" t="str">
            <v>К ЧАЮ вар н/о мгс 1*3</v>
          </cell>
          <cell r="D35" t="str">
            <v>КГ</v>
          </cell>
          <cell r="E35" t="str">
            <v>Колбасные изделия</v>
          </cell>
          <cell r="F35" t="str">
            <v>Вареные колбасы</v>
          </cell>
          <cell r="G35" t="str">
            <v>Папа может</v>
          </cell>
          <cell r="H35" t="str">
            <v>ОМПК(Г)</v>
          </cell>
          <cell r="I35" t="str">
            <v>ТУ 10.13.14-180-00425283-2025</v>
          </cell>
          <cell r="J35" t="str">
            <v>Мясной продукт. Изделие колбасное вареное категории Б.</v>
          </cell>
          <cell r="K35"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5">
            <v>10</v>
          </cell>
          <cell r="M35">
            <v>26</v>
          </cell>
          <cell r="N35">
            <v>4</v>
          </cell>
          <cell r="O35" t="str">
            <v>290/1200</v>
          </cell>
          <cell r="P35" t="str">
            <v>0…+6</v>
          </cell>
          <cell r="Q35">
            <v>30</v>
          </cell>
        </row>
        <row r="36">
          <cell r="B36">
            <v>1001011086247</v>
          </cell>
          <cell r="C36" t="str">
            <v>ДОМАШНЯЯ Папа может вар п/о 0.4кг 8шт.</v>
          </cell>
          <cell r="D36" t="str">
            <v>ШТ</v>
          </cell>
          <cell r="E36" t="str">
            <v>Колбасные изделия</v>
          </cell>
          <cell r="F36" t="str">
            <v>Вареные колбасы</v>
          </cell>
          <cell r="G36" t="str">
            <v>Папа может</v>
          </cell>
          <cell r="H36" t="str">
            <v>ОМПК(С)</v>
          </cell>
          <cell r="I36" t="str">
            <v>ТУ 10.13.14-180-00425283-2025</v>
          </cell>
          <cell r="J36" t="str">
            <v>Мясной продукт. Изделие колбасное вареное категории В.</v>
          </cell>
          <cell r="K36" t="str">
            <v>свинина, стабилизатор белковый (кожа куриная, вода питьевая, шкурка свиная), вода питьевая, филе грудок куриных,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(в т.ч. горчица, сельдерей), сахара, антиокислитель (аскорбиновая кислота), усилитель вкуса и аромата (глутамат натрия), краситель (кармины)</v>
          </cell>
          <cell r="L36">
            <v>10</v>
          </cell>
          <cell r="M36">
            <v>11</v>
          </cell>
          <cell r="N36">
            <v>5</v>
          </cell>
          <cell r="O36" t="str">
            <v>159/662</v>
          </cell>
          <cell r="P36" t="str">
            <v>0…+6</v>
          </cell>
          <cell r="Q36">
            <v>60</v>
          </cell>
        </row>
        <row r="37">
          <cell r="B37">
            <v>1001013956859</v>
          </cell>
          <cell r="C37" t="str">
            <v>КЛАССИЧЕСКАЯ Коровино вар п/о(обвязка)</v>
          </cell>
          <cell r="D37" t="str">
            <v>КГ</v>
          </cell>
          <cell r="E37" t="str">
            <v>Колбасные изделия</v>
          </cell>
          <cell r="F37" t="str">
            <v>Вареные колбасы</v>
          </cell>
          <cell r="G37" t="str">
            <v>Коровино</v>
          </cell>
          <cell r="H37" t="str">
            <v>ОМПК(С)</v>
          </cell>
          <cell r="I37" t="str">
            <v>ТУ 10.13.14-150-00425283-2018</v>
          </cell>
          <cell r="J37" t="str">
            <v>Изделие колбасное вареное из мяса кур охлажденное высшего сорта.</v>
          </cell>
          <cell r="K37"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7">
            <v>13</v>
          </cell>
          <cell r="M37">
            <v>15</v>
          </cell>
          <cell r="O37" t="str">
            <v>187/776</v>
          </cell>
          <cell r="P37" t="str">
            <v>0…+6</v>
          </cell>
          <cell r="Q37">
            <v>60</v>
          </cell>
        </row>
        <row r="38">
          <cell r="B38">
            <v>1001013957572</v>
          </cell>
          <cell r="C38" t="str">
            <v>КЛАССИЧЕСКАЯ Кор вар п/о(обвязка) 1.35*8</v>
          </cell>
          <cell r="D38" t="str">
            <v>КГ</v>
          </cell>
          <cell r="E38" t="str">
            <v>Колбасные изделия</v>
          </cell>
          <cell r="F38" t="str">
            <v>Вареные колбасы</v>
          </cell>
          <cell r="G38" t="str">
            <v>Коровино</v>
          </cell>
          <cell r="H38" t="str">
            <v>ОМПК(С)</v>
          </cell>
          <cell r="I38" t="str">
            <v>ТУ 10.13.14-150-00425283-2018</v>
          </cell>
          <cell r="J38" t="str">
            <v>Изделие колбасное вареное из мяса кур охлажденное высшего сорта.</v>
          </cell>
          <cell r="K38"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8">
            <v>13</v>
          </cell>
          <cell r="M38">
            <v>15</v>
          </cell>
          <cell r="O38" t="str">
            <v>187/776</v>
          </cell>
          <cell r="P38" t="str">
            <v>0…+6</v>
          </cell>
          <cell r="Q38">
            <v>60</v>
          </cell>
        </row>
        <row r="39">
          <cell r="B39">
            <v>1001013956860</v>
          </cell>
          <cell r="C39" t="str">
            <v>КЛАССИЧЕСКАЯ Коровино вар п/о(обвязка)_М</v>
          </cell>
          <cell r="D39" t="str">
            <v>КГ</v>
          </cell>
          <cell r="E39" t="str">
            <v>Колбасные изделия</v>
          </cell>
          <cell r="F39" t="str">
            <v>Вареные колбасы</v>
          </cell>
          <cell r="G39" t="str">
            <v>Коровино</v>
          </cell>
          <cell r="H39" t="str">
            <v>ОМПК(С)</v>
          </cell>
          <cell r="I39" t="str">
            <v>ТУ 10.13.14-150-00425283-2018</v>
          </cell>
          <cell r="J39" t="str">
            <v>Изделие колбасное вареное из мяса кур охлажденное высшего сорта.</v>
          </cell>
          <cell r="K39"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9">
            <v>13</v>
          </cell>
          <cell r="M39">
            <v>15</v>
          </cell>
          <cell r="O39" t="str">
            <v>187/776</v>
          </cell>
          <cell r="P39" t="str">
            <v>0…+6</v>
          </cell>
          <cell r="Q39">
            <v>60</v>
          </cell>
        </row>
        <row r="40">
          <cell r="B40">
            <v>1001013957571</v>
          </cell>
          <cell r="C40" t="str">
            <v>КЛАССИЧЕСКАЯ Кор вар п/о(обвязка) 1.35_М</v>
          </cell>
          <cell r="D40" t="str">
            <v>КГ</v>
          </cell>
          <cell r="E40" t="str">
            <v>Колбасные изделия</v>
          </cell>
          <cell r="F40" t="str">
            <v>Вареные колбасы</v>
          </cell>
          <cell r="G40" t="str">
            <v>Коровино</v>
          </cell>
          <cell r="H40" t="str">
            <v>ОМПК(С)</v>
          </cell>
          <cell r="I40" t="str">
            <v>ТУ 10.13.14-150-00425283-2018</v>
          </cell>
          <cell r="J40" t="str">
            <v>Изделие колбасное вареное из мяса кур охлажденное высшего сорта.</v>
          </cell>
          <cell r="K40"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40">
            <v>13</v>
          </cell>
          <cell r="M40">
            <v>15</v>
          </cell>
          <cell r="O40" t="str">
            <v>187/776</v>
          </cell>
          <cell r="P40" t="str">
            <v>0…+6</v>
          </cell>
          <cell r="Q40">
            <v>60</v>
          </cell>
        </row>
        <row r="41">
          <cell r="B41">
            <v>1001013957529</v>
          </cell>
          <cell r="C41" t="str">
            <v>КЛАССИЧЕСКАЯ Кор вар п/о(обвязка)_Маяк</v>
          </cell>
          <cell r="D41" t="str">
            <v>КГ</v>
          </cell>
          <cell r="E41" t="str">
            <v>Колбасные изделия</v>
          </cell>
          <cell r="F41" t="str">
            <v>Вареные колбасы</v>
          </cell>
          <cell r="G41" t="str">
            <v>Коровино</v>
          </cell>
          <cell r="H41" t="str">
            <v>ОМПК(С)</v>
          </cell>
          <cell r="I41" t="str">
            <v>ТУ 10.13.14-150-00425283-2018</v>
          </cell>
          <cell r="J41" t="str">
            <v>Изделие колбасное вареное из мяса кур охлажденное высшего сорта.</v>
          </cell>
          <cell r="K41"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41">
            <v>13</v>
          </cell>
          <cell r="M41">
            <v>15</v>
          </cell>
          <cell r="O41" t="str">
            <v>187/776</v>
          </cell>
          <cell r="P41" t="str">
            <v>0…+6</v>
          </cell>
          <cell r="Q41">
            <v>60</v>
          </cell>
        </row>
        <row r="42">
          <cell r="B42">
            <v>1001013957231</v>
          </cell>
          <cell r="C42" t="str">
            <v>КЛАССИЧЕСКАЯ ПМ вар п/о 0.3кг 8шт_209к</v>
          </cell>
          <cell r="D42" t="str">
            <v>ШТ</v>
          </cell>
          <cell r="E42" t="str">
            <v>Колбасные изделия</v>
          </cell>
          <cell r="F42" t="str">
            <v>Вареные колбасы</v>
          </cell>
          <cell r="G42" t="str">
            <v>Папа может</v>
          </cell>
          <cell r="H42" t="str">
            <v>ОМПК(С)
ОМПК(Г)
ОМПК(К)
МПЗ Лыткаринский</v>
          </cell>
          <cell r="I42" t="str">
            <v>ТУ 10.13.14-150-00425283-2018</v>
          </cell>
          <cell r="J42" t="str">
            <v>Изделие колбасное вареное из мяса кур охлажденное.</v>
          </cell>
          <cell r="K42"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2">
            <v>9</v>
          </cell>
          <cell r="M42">
            <v>14</v>
          </cell>
          <cell r="N42">
            <v>4</v>
          </cell>
          <cell r="O42" t="str">
            <v>178/739</v>
          </cell>
          <cell r="P42" t="str">
            <v>0…+6</v>
          </cell>
          <cell r="Q42">
            <v>60</v>
          </cell>
        </row>
        <row r="43">
          <cell r="B43">
            <v>1001013957193</v>
          </cell>
          <cell r="C43" t="str">
            <v>КЛАССИЧЕСКАЯ ПМ вар п/о 0.3кг_СНГ</v>
          </cell>
          <cell r="D43" t="str">
            <v>ШТ</v>
          </cell>
          <cell r="E43" t="str">
            <v>Колбасные изделия</v>
          </cell>
          <cell r="F43" t="str">
            <v>Вареные колбасы</v>
          </cell>
          <cell r="G43" t="str">
            <v>Папа может</v>
          </cell>
          <cell r="H43" t="str">
            <v xml:space="preserve">ОМПК(С)
</v>
          </cell>
          <cell r="I43" t="str">
            <v>ТУ 10.13.14-150-00425283-2018</v>
          </cell>
          <cell r="J43" t="str">
            <v>Изделие колбасное вареное из мяса кур охлажденное.</v>
          </cell>
          <cell r="K43"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3">
            <v>9</v>
          </cell>
          <cell r="M43">
            <v>14</v>
          </cell>
          <cell r="N43">
            <v>4</v>
          </cell>
          <cell r="O43" t="str">
            <v>178/739</v>
          </cell>
          <cell r="P43" t="str">
            <v>0…+6</v>
          </cell>
          <cell r="Q43">
            <v>60</v>
          </cell>
        </row>
        <row r="44">
          <cell r="B44">
            <v>1001013956329</v>
          </cell>
          <cell r="C44" t="str">
            <v>КЛАССИЧЕСКАЯ Папа может вар п/о 0.4кг</v>
          </cell>
          <cell r="D44" t="str">
            <v>ШТ</v>
          </cell>
          <cell r="E44" t="str">
            <v>Колбасные изделия</v>
          </cell>
          <cell r="F44" t="str">
            <v>Вареные колбасы</v>
          </cell>
          <cell r="G44" t="str">
            <v>Папа может</v>
          </cell>
          <cell r="H44" t="str">
            <v>ОМПК(С)</v>
          </cell>
          <cell r="I44" t="str">
            <v>ТУ 10.13.14-150-00425283-2018</v>
          </cell>
          <cell r="J44" t="str">
            <v>Изделие колбасное вареное из мяса кур охлажденное.</v>
          </cell>
          <cell r="K44"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4">
            <v>9</v>
          </cell>
          <cell r="M44">
            <v>14</v>
          </cell>
          <cell r="N44">
            <v>4</v>
          </cell>
          <cell r="O44" t="str">
            <v>178/739</v>
          </cell>
          <cell r="P44" t="str">
            <v>0…+6</v>
          </cell>
          <cell r="Q44">
            <v>60</v>
          </cell>
        </row>
        <row r="45">
          <cell r="B45">
            <v>1001013957034</v>
          </cell>
          <cell r="C45" t="str">
            <v>КЛАССИЧЕСКАЯ Папа может вар п/о 1кг 4шт.</v>
          </cell>
          <cell r="D45" t="str">
            <v>ШТ</v>
          </cell>
          <cell r="E45" t="str">
            <v>Колбасные изделия</v>
          </cell>
          <cell r="F45" t="str">
            <v>Вареные колбасы</v>
          </cell>
          <cell r="G45" t="str">
            <v>Папа может</v>
          </cell>
          <cell r="H45" t="str">
            <v>ОМПК(С)</v>
          </cell>
          <cell r="I45" t="str">
            <v>ТУ 10.13.14-150-00425283-2018</v>
          </cell>
          <cell r="J45" t="str">
            <v>Изделие колбасное вареное из мяса кур охлажденное.</v>
          </cell>
          <cell r="K45"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5">
            <v>9</v>
          </cell>
          <cell r="M45">
            <v>14</v>
          </cell>
          <cell r="N45">
            <v>4</v>
          </cell>
          <cell r="O45" t="str">
            <v>178/739</v>
          </cell>
          <cell r="P45" t="str">
            <v>0…+6</v>
          </cell>
          <cell r="Q45">
            <v>60</v>
          </cell>
        </row>
        <row r="46">
          <cell r="B46">
            <v>1001013956310</v>
          </cell>
          <cell r="C46" t="str">
            <v>КЛАССИЧЕСКАЯ Папа может вар п/о_А</v>
          </cell>
          <cell r="D46" t="str">
            <v>КГ</v>
          </cell>
          <cell r="E46" t="str">
            <v>Колбасные изделия</v>
          </cell>
          <cell r="F46" t="str">
            <v>Вареные колбасы</v>
          </cell>
          <cell r="G46" t="str">
            <v>Папа может</v>
          </cell>
          <cell r="H46" t="str">
            <v>ОМПК(С)</v>
          </cell>
          <cell r="I46" t="str">
            <v>ТУ 10.13.14-150-00425283-2018</v>
          </cell>
          <cell r="J46" t="str">
            <v>Изделие колбасное вареное из мяса кур охлажденное.</v>
          </cell>
          <cell r="K46"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6">
            <v>9</v>
          </cell>
          <cell r="M46">
            <v>14</v>
          </cell>
          <cell r="N46">
            <v>4</v>
          </cell>
          <cell r="O46" t="str">
            <v>178/739</v>
          </cell>
          <cell r="P46" t="str">
            <v>0…+6</v>
          </cell>
          <cell r="Q46">
            <v>60</v>
          </cell>
        </row>
        <row r="47">
          <cell r="B47">
            <v>1001013957196</v>
          </cell>
          <cell r="C47" t="str">
            <v>КЛАССИЧЕСКАЯ Папа может вар п/о_Глобус</v>
          </cell>
          <cell r="D47" t="str">
            <v>КГ</v>
          </cell>
          <cell r="E47" t="str">
            <v>Колбасные изделия</v>
          </cell>
          <cell r="F47" t="str">
            <v>Вареные колбасы</v>
          </cell>
          <cell r="G47" t="str">
            <v>Папа может</v>
          </cell>
          <cell r="H47" t="str">
            <v>ОМПК(С)</v>
          </cell>
          <cell r="I47" t="str">
            <v>ТУ 10.13.14-150-00425283-2018</v>
          </cell>
          <cell r="J47" t="str">
            <v>Изделие колбасное вареное из мяса кур охлажденное.</v>
          </cell>
          <cell r="K47"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7">
            <v>9</v>
          </cell>
          <cell r="M47">
            <v>14</v>
          </cell>
          <cell r="N47">
            <v>4</v>
          </cell>
          <cell r="O47" t="str">
            <v>178/739</v>
          </cell>
          <cell r="P47" t="str">
            <v>0…+6</v>
          </cell>
          <cell r="Q47">
            <v>60</v>
          </cell>
        </row>
        <row r="48">
          <cell r="B48">
            <v>1001013956885</v>
          </cell>
          <cell r="C48" t="str">
            <v>КЛАССИЧЕСКАЯ Папа может вар п/о_Маяк</v>
          </cell>
          <cell r="D48" t="str">
            <v>КГ</v>
          </cell>
          <cell r="E48" t="str">
            <v>Колбасные изделия</v>
          </cell>
          <cell r="F48" t="str">
            <v>Вареные колбасы</v>
          </cell>
          <cell r="G48" t="str">
            <v>Папа может</v>
          </cell>
          <cell r="H48" t="str">
            <v>ОМПК(С)</v>
          </cell>
          <cell r="I48" t="str">
            <v>ТУ 10.13.14-150-00425283-2018</v>
          </cell>
          <cell r="J48" t="str">
            <v>Изделие колбасное вареное из мяса кур охлажденное.</v>
          </cell>
          <cell r="K48"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8">
            <v>9</v>
          </cell>
          <cell r="M48">
            <v>14</v>
          </cell>
          <cell r="N48">
            <v>4</v>
          </cell>
          <cell r="O48" t="str">
            <v>178/739</v>
          </cell>
          <cell r="P48" t="str">
            <v>0…+6</v>
          </cell>
          <cell r="Q48">
            <v>60</v>
          </cell>
        </row>
        <row r="49">
          <cell r="B49">
            <v>1001013955652</v>
          </cell>
          <cell r="C49" t="str">
            <v>КЛАССИЧЕСКАЯ Папа может вар п/о_О</v>
          </cell>
          <cell r="D49" t="str">
            <v>КГ</v>
          </cell>
          <cell r="E49" t="str">
            <v>Колбасные изделия</v>
          </cell>
          <cell r="F49" t="str">
            <v>Вареные колбасы</v>
          </cell>
          <cell r="G49" t="str">
            <v>Папа может</v>
          </cell>
          <cell r="H49" t="str">
            <v>ОМПК(С)</v>
          </cell>
          <cell r="I49" t="str">
            <v>ТУ 10.13.14-150-00425283-2018</v>
          </cell>
          <cell r="J49" t="str">
            <v>Изделие колбасное вареное из мяса кур охлажденное.</v>
          </cell>
          <cell r="K49"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9">
            <v>9</v>
          </cell>
          <cell r="M49">
            <v>14</v>
          </cell>
          <cell r="N49">
            <v>4</v>
          </cell>
          <cell r="O49" t="str">
            <v>178/739</v>
          </cell>
          <cell r="P49" t="str">
            <v>0…+6</v>
          </cell>
          <cell r="Q49">
            <v>60</v>
          </cell>
        </row>
        <row r="50">
          <cell r="B50">
            <v>1001013953498</v>
          </cell>
          <cell r="C50" t="str">
            <v>Z-КЛАССИЧЕСКАЯ Папа может вар п/о</v>
          </cell>
          <cell r="D50" t="str">
            <v>КГ</v>
          </cell>
          <cell r="E50" t="str">
            <v>Колбасные изделия</v>
          </cell>
          <cell r="F50" t="str">
            <v>Вареные колбасы</v>
          </cell>
          <cell r="G50" t="str">
            <v>Папа может</v>
          </cell>
          <cell r="H50" t="str">
            <v>ОМПК(С)</v>
          </cell>
          <cell r="I50" t="str">
            <v>ТУ 10.13.14-150-00425283-2018</v>
          </cell>
          <cell r="J50" t="str">
            <v>Изделие колбасное вареное из мяса кур охлажденное.</v>
          </cell>
          <cell r="K50"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50">
            <v>9</v>
          </cell>
          <cell r="M50">
            <v>14</v>
          </cell>
          <cell r="N50">
            <v>4</v>
          </cell>
          <cell r="O50" t="str">
            <v>178/739</v>
          </cell>
          <cell r="P50" t="str">
            <v>0…+6</v>
          </cell>
          <cell r="Q50">
            <v>60</v>
          </cell>
        </row>
        <row r="51">
          <cell r="B51">
            <v>1001014136501</v>
          </cell>
          <cell r="C51" t="str">
            <v>КЛАССИЧЕСКАЯ СО ШПИКОМ вар п/о</v>
          </cell>
          <cell r="D51" t="str">
            <v>КГ</v>
          </cell>
          <cell r="E51" t="str">
            <v>Колбасные изделия</v>
          </cell>
          <cell r="F51" t="str">
            <v>Вареные колбасы</v>
          </cell>
          <cell r="G51" t="str">
            <v>Папа может</v>
          </cell>
          <cell r="H51" t="str">
            <v xml:space="preserve">ОМПК(С)
</v>
          </cell>
          <cell r="I51" t="str">
            <v>ТУ 10.13.14-150-00425283-2018</v>
          </cell>
          <cell r="J51" t="str">
            <v>Изделие колбасное вареное из мяса кур охлажденное.</v>
          </cell>
          <cell r="K51" t="str">
            <v>мясо куриное механической обвалки, свинина, вода питьевая, стабилизатор белковый (вода питьевая, шкурка свиная), шпик, филе куриной грудки,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специи и экстракты специй (в т.ч. сельдерей, горчица), чеснок свежий, сахара, крахмал картофельный, антиокислитель (изоаскорбат натрия), усилитель вкуса и аромата (глутамат натрия), ароматизаторы, краситель (кармины)</v>
          </cell>
          <cell r="L51">
            <v>8</v>
          </cell>
          <cell r="M51">
            <v>14</v>
          </cell>
          <cell r="N51">
            <v>2</v>
          </cell>
          <cell r="O51" t="str">
            <v>166/688</v>
          </cell>
          <cell r="P51" t="str">
            <v>0…+6</v>
          </cell>
          <cell r="Q51">
            <v>60</v>
          </cell>
        </row>
        <row r="52">
          <cell r="B52">
            <v>1001017557514</v>
          </cell>
          <cell r="C52" t="str">
            <v>ЛЮБИТЕЛЬСКАЯ ОСТАНКИНСКАЯ вар ц/о в/у</v>
          </cell>
          <cell r="D52" t="str">
            <v>КГ</v>
          </cell>
          <cell r="E52" t="str">
            <v>Колбасные изделия</v>
          </cell>
          <cell r="F52" t="str">
            <v>Вареные колбасы</v>
          </cell>
          <cell r="G52" t="str">
            <v>Останкино</v>
          </cell>
          <cell r="H52" t="str">
            <v>ОМПК(С)</v>
          </cell>
          <cell r="I52" t="str">
            <v>ТУ 10.13.14-180-00425283-2025</v>
          </cell>
          <cell r="J52" t="str">
            <v>Мясной продукт. Изделие колбасное вареное категории В.</v>
          </cell>
          <cell r="K52" t="str">
            <v>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экстракты специи (в т.ч. горчица),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52">
            <v>9</v>
          </cell>
          <cell r="M52">
            <v>25</v>
          </cell>
          <cell r="N52">
            <v>3</v>
          </cell>
          <cell r="O52" t="str">
            <v>273/1129</v>
          </cell>
          <cell r="P52" t="str">
            <v>0…+6</v>
          </cell>
          <cell r="Q52">
            <v>30</v>
          </cell>
        </row>
        <row r="53">
          <cell r="B53">
            <v>1001010026784</v>
          </cell>
          <cell r="C53" t="str">
            <v>МОЛОЧНАЯ Коровино(в сетке) вар п/о 0.4кг</v>
          </cell>
          <cell r="D53" t="str">
            <v>ШТ</v>
          </cell>
          <cell r="E53" t="str">
            <v>Колбасные изделия</v>
          </cell>
          <cell r="F53" t="str">
            <v>Вареные колбасы</v>
          </cell>
          <cell r="G53" t="str">
            <v>Коровино</v>
          </cell>
          <cell r="H53" t="str">
            <v>ОМПК(С)</v>
          </cell>
          <cell r="I53" t="str">
            <v>ТУ 10.13.14-150-00425283-2026</v>
          </cell>
          <cell r="J53" t="str">
            <v>Изделие колбасное вареное из мяса кур охлажденное.</v>
          </cell>
          <cell r="K53" t="str">
            <v>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v>
          </cell>
          <cell r="L53">
            <v>13</v>
          </cell>
          <cell r="M53">
            <v>18</v>
          </cell>
          <cell r="N53">
            <v>9</v>
          </cell>
          <cell r="O53" t="str">
            <v>250/1040</v>
          </cell>
          <cell r="P53" t="str">
            <v>0…+6</v>
          </cell>
          <cell r="Q53">
            <v>60</v>
          </cell>
        </row>
        <row r="54">
          <cell r="B54">
            <v>1001012456464</v>
          </cell>
          <cell r="C54" t="str">
            <v>МОЛОЧНАЯ Папа может вар п/о_Окей</v>
          </cell>
          <cell r="D54" t="str">
            <v>КГ</v>
          </cell>
          <cell r="E54" t="str">
            <v>Колбасные изделия</v>
          </cell>
          <cell r="F54" t="str">
            <v>Вареные колбасы</v>
          </cell>
          <cell r="G54" t="str">
            <v>Папа может</v>
          </cell>
          <cell r="H54" t="str">
            <v xml:space="preserve">ОМПК(С)
</v>
          </cell>
          <cell r="I54" t="str">
            <v>ТУ 10.13.14-180-00425283-2025</v>
          </cell>
          <cell r="J54" t="str">
            <v>Мясной продукт. Изделие колбасное вареное категории В.</v>
          </cell>
          <cell r="K5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4">
            <v>9</v>
          </cell>
          <cell r="M54">
            <v>14</v>
          </cell>
          <cell r="N54">
            <v>5</v>
          </cell>
          <cell r="O54" t="str">
            <v>182/756</v>
          </cell>
          <cell r="P54" t="str">
            <v>0…+6</v>
          </cell>
          <cell r="Q54">
            <v>60</v>
          </cell>
        </row>
        <row r="55">
          <cell r="B55">
            <v>1001012456876</v>
          </cell>
          <cell r="C55" t="str">
            <v>МОЛОЧНАЯ Папа может вар п/о_Ашан</v>
          </cell>
          <cell r="D55" t="str">
            <v>КГ</v>
          </cell>
          <cell r="E55" t="str">
            <v>Колбасные изделия</v>
          </cell>
          <cell r="F55" t="str">
            <v>Вареные колбасы</v>
          </cell>
          <cell r="G55" t="str">
            <v>Папа может</v>
          </cell>
          <cell r="H55" t="str">
            <v xml:space="preserve">ОМПК(С)
</v>
          </cell>
          <cell r="I55" t="str">
            <v>ТУ 10.13.14-180-00425283-2025</v>
          </cell>
          <cell r="J55" t="str">
            <v>Мясной продукт. Изделие колбасное вареное категории В.</v>
          </cell>
          <cell r="K55"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5">
            <v>9</v>
          </cell>
          <cell r="M55">
            <v>14</v>
          </cell>
          <cell r="N55">
            <v>5</v>
          </cell>
          <cell r="O55" t="str">
            <v>182/756</v>
          </cell>
          <cell r="P55" t="str">
            <v>0…+6</v>
          </cell>
          <cell r="Q55">
            <v>60</v>
          </cell>
        </row>
        <row r="56">
          <cell r="B56">
            <v>1001012456498</v>
          </cell>
          <cell r="C56" t="str">
            <v>МОЛОЧНАЯ Папа может вар п/о</v>
          </cell>
          <cell r="D56" t="str">
            <v>КГ</v>
          </cell>
          <cell r="E56" t="str">
            <v>Колбасные изделия</v>
          </cell>
          <cell r="F56" t="str">
            <v>Вареные колбасы</v>
          </cell>
          <cell r="G56" t="str">
            <v>Папа может</v>
          </cell>
          <cell r="H56" t="str">
            <v xml:space="preserve">ОМПК(С)
</v>
          </cell>
          <cell r="I56" t="str">
            <v>ТУ 10.13.14-180-00425283-2025</v>
          </cell>
          <cell r="J56" t="str">
            <v>Мясной продукт. Изделие колбасное вареное категории В.</v>
          </cell>
          <cell r="K5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6">
            <v>9</v>
          </cell>
          <cell r="M56">
            <v>14</v>
          </cell>
          <cell r="N56">
            <v>5</v>
          </cell>
          <cell r="O56" t="str">
            <v>182/756</v>
          </cell>
          <cell r="P56" t="str">
            <v>0…+6</v>
          </cell>
          <cell r="Q56">
            <v>60</v>
          </cell>
        </row>
        <row r="57">
          <cell r="B57">
            <v>1001012456481</v>
          </cell>
          <cell r="C57" t="str">
            <v>Z-МОЛОЧНАЯ Папа может вар п/о</v>
          </cell>
          <cell r="D57" t="str">
            <v>КГ</v>
          </cell>
          <cell r="E57" t="str">
            <v>Колбасные изделия</v>
          </cell>
          <cell r="F57" t="str">
            <v>Вареные колбасы</v>
          </cell>
          <cell r="G57" t="str">
            <v>Папа может</v>
          </cell>
          <cell r="H57" t="str">
            <v xml:space="preserve">ОМПК(С)
</v>
          </cell>
          <cell r="I57" t="str">
            <v>ТУ 10.13.14-180-00425283-2025</v>
          </cell>
          <cell r="J57" t="str">
            <v>Мясной продукт. Изделие колбасное вареное категории В.</v>
          </cell>
          <cell r="K5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7">
            <v>9</v>
          </cell>
          <cell r="M57">
            <v>14</v>
          </cell>
          <cell r="N57">
            <v>5</v>
          </cell>
          <cell r="O57" t="str">
            <v>182/756</v>
          </cell>
          <cell r="P57" t="str">
            <v>0…+6</v>
          </cell>
          <cell r="Q57">
            <v>60</v>
          </cell>
        </row>
        <row r="58">
          <cell r="B58">
            <v>1001012456904</v>
          </cell>
          <cell r="C58" t="str">
            <v>МОЛОЧНАЯ Папа может вар п/о 0.4кг 8шт.</v>
          </cell>
          <cell r="D58" t="str">
            <v>ШТ</v>
          </cell>
          <cell r="E58" t="str">
            <v>Колбасные изделия</v>
          </cell>
          <cell r="F58" t="str">
            <v>Вареные колбасы</v>
          </cell>
          <cell r="G58" t="str">
            <v>Папа может</v>
          </cell>
          <cell r="H58" t="str">
            <v>ОМПК(О)
ОМПК(Г)</v>
          </cell>
          <cell r="I58" t="str">
            <v>ТУ 10.13.14-180-00425283-2025</v>
          </cell>
          <cell r="J58" t="str">
            <v>Мясной продукт. Изделие колбасное вареное категории В.</v>
          </cell>
          <cell r="K5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8">
            <v>9</v>
          </cell>
          <cell r="M58">
            <v>14</v>
          </cell>
          <cell r="N58">
            <v>5</v>
          </cell>
          <cell r="O58" t="str">
            <v>182/756</v>
          </cell>
          <cell r="P58" t="str">
            <v>0…+6</v>
          </cell>
          <cell r="Q58">
            <v>60</v>
          </cell>
        </row>
        <row r="59">
          <cell r="B59">
            <v>1001012456479</v>
          </cell>
          <cell r="C59" t="str">
            <v>МОЛОЧНАЯ Папа может вар п/о 0.5кг 8шт.</v>
          </cell>
          <cell r="D59" t="str">
            <v>ШТ</v>
          </cell>
          <cell r="E59" t="str">
            <v>Колбасные изделия</v>
          </cell>
          <cell r="F59" t="str">
            <v>Вареные колбасы</v>
          </cell>
          <cell r="G59" t="str">
            <v>Папа может</v>
          </cell>
          <cell r="H59" t="str">
            <v>ОМПК(С)
ОМПК(Г)</v>
          </cell>
          <cell r="I59" t="str">
            <v>ТУ 10.13.14-180-00425283-2025</v>
          </cell>
          <cell r="J59" t="str">
            <v>Мясной продукт. Изделие колбасное вареное категории В.</v>
          </cell>
          <cell r="K59"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9">
            <v>9</v>
          </cell>
          <cell r="M59">
            <v>14</v>
          </cell>
          <cell r="N59">
            <v>5</v>
          </cell>
          <cell r="O59" t="str">
            <v>182/756</v>
          </cell>
          <cell r="P59" t="str">
            <v>0…+6</v>
          </cell>
          <cell r="Q59">
            <v>60</v>
          </cell>
        </row>
        <row r="60">
          <cell r="B60">
            <v>1001010027500</v>
          </cell>
          <cell r="C60" t="str">
            <v>МОЛОЧНАЯ GUTMANN вар п/о 0.5кг 8шт.</v>
          </cell>
          <cell r="D60" t="str">
            <v>ШТ</v>
          </cell>
          <cell r="E60" t="str">
            <v>Колбасные изделия</v>
          </cell>
          <cell r="F60" t="str">
            <v>Вареные колбасы</v>
          </cell>
          <cell r="G60" t="str">
            <v>GUTMANN</v>
          </cell>
          <cell r="H60" t="str">
            <v xml:space="preserve">ОМПК(С)
ОМПК(О)
</v>
          </cell>
          <cell r="I60" t="str">
            <v>ТУ 10.13.14-180-00425283-2025</v>
          </cell>
          <cell r="J60" t="str">
            <v>Мясной продукт. Изделие колбасное вареное категории Б.</v>
          </cell>
          <cell r="K60" t="str">
            <v>свинина, филе грудок куриных, мясо цыпленка-бройлера механической обвалки, вода питьевая,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чеснок сушеный молотый, перец красный, перец черный, тмин, паприка, кориандр, имбирь, горчица, белок молочный, сахара, антиокислитель (аскорбиновая кислота), усилитель вкуса и аромата (глутамат натрия 1-замещенный), ароматизаторы, краситель (кармины)</v>
          </cell>
          <cell r="L60">
            <v>11</v>
          </cell>
          <cell r="M60">
            <v>16</v>
          </cell>
          <cell r="N60">
            <v>3</v>
          </cell>
          <cell r="O60" t="str">
            <v>200/830</v>
          </cell>
          <cell r="P60" t="str">
            <v>0…+6</v>
          </cell>
          <cell r="Q60">
            <v>60</v>
          </cell>
        </row>
        <row r="61">
          <cell r="B61">
            <v>1001010477307</v>
          </cell>
          <cell r="C61" t="str">
            <v>МОЛОЧНАЯ ПРЕМИУМ вар б/о в/у срез 0.4кг</v>
          </cell>
          <cell r="D61" t="str">
            <v>ШТ</v>
          </cell>
          <cell r="E61" t="str">
            <v>Колбасные изделия</v>
          </cell>
          <cell r="F61" t="str">
            <v>Вареные колбасы</v>
          </cell>
          <cell r="G61" t="str">
            <v>Папа может</v>
          </cell>
          <cell r="H61" t="str">
            <v>ОМПК(О)</v>
          </cell>
          <cell r="I61" t="str">
            <v>ТУ 10.13.14-150-00425283-2018</v>
          </cell>
          <cell r="J61" t="str">
            <v>Изделие колбасное вареное из мяса кур охлажденное.</v>
          </cell>
          <cell r="K61" t="str">
            <v>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v>
          </cell>
          <cell r="L61">
            <v>10</v>
          </cell>
          <cell r="M61">
            <v>15</v>
          </cell>
          <cell r="N61">
            <v>2</v>
          </cell>
          <cell r="O61" t="str">
            <v>183/759</v>
          </cell>
          <cell r="P61" t="str">
            <v>0…+6</v>
          </cell>
          <cell r="Q61">
            <v>30</v>
          </cell>
        </row>
        <row r="62">
          <cell r="B62">
            <v>1001010026594</v>
          </cell>
          <cell r="C62" t="str">
            <v>МОЛОЧНАЯ СН вар п/о</v>
          </cell>
          <cell r="D62" t="str">
            <v>КГ</v>
          </cell>
          <cell r="E62" t="str">
            <v>Колбасные изделия</v>
          </cell>
          <cell r="F62" t="str">
            <v>Вареные колбасы</v>
          </cell>
          <cell r="G62" t="str">
            <v>Советское наследие</v>
          </cell>
          <cell r="H62" t="str">
            <v>ОМПК(С)</v>
          </cell>
          <cell r="I62" t="str">
            <v>ТУ 10.13.14-150-00425283-2018</v>
          </cell>
          <cell r="J62" t="str">
            <v>Изделие колбасное вареное из мяса кур охлажденное.</v>
          </cell>
          <cell r="K62" t="str">
            <v>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v>
          </cell>
          <cell r="L62">
            <v>13</v>
          </cell>
          <cell r="M62">
            <v>18</v>
          </cell>
          <cell r="N62">
            <v>9</v>
          </cell>
          <cell r="O62" t="str">
            <v>250/1040</v>
          </cell>
          <cell r="P62" t="str">
            <v>0…+6</v>
          </cell>
          <cell r="Q62">
            <v>60</v>
          </cell>
        </row>
        <row r="63">
          <cell r="B63">
            <v>1001017027409</v>
          </cell>
          <cell r="C63" t="str">
            <v>МУСУЛЬМАНСКАЯ ASLAM вар п/о 0.5кг 8шт.</v>
          </cell>
          <cell r="D63" t="str">
            <v>ШТ</v>
          </cell>
          <cell r="E63" t="str">
            <v>Колбасные изделия</v>
          </cell>
          <cell r="F63" t="str">
            <v>Вареные колбасы</v>
          </cell>
          <cell r="G63" t="str">
            <v>ASLAM</v>
          </cell>
          <cell r="H63" t="str">
            <v>ООО Казанские деликатесы</v>
          </cell>
          <cell r="I63" t="str">
            <v>ТУ 10.13.14-175-00425283-2025</v>
          </cell>
          <cell r="J63" t="str">
            <v>Изделие колбасное вареное из мяса кур охлажденное.</v>
          </cell>
          <cell r="K63"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63">
            <v>10</v>
          </cell>
          <cell r="M63">
            <v>11</v>
          </cell>
          <cell r="N63">
            <v>3</v>
          </cell>
          <cell r="O63" t="str">
            <v>151/628</v>
          </cell>
          <cell r="P63" t="str">
            <v>0…+6</v>
          </cell>
          <cell r="Q63">
            <v>60</v>
          </cell>
        </row>
        <row r="64">
          <cell r="B64">
            <v>1001017027404</v>
          </cell>
          <cell r="C64" t="str">
            <v>МУСУЛЬМАНСКАЯ ASLAM вар п/о 0.9кг 4шт.</v>
          </cell>
          <cell r="D64" t="str">
            <v>ШТ</v>
          </cell>
          <cell r="E64" t="str">
            <v>Колбасные изделия</v>
          </cell>
          <cell r="F64" t="str">
            <v>Вареные колбасы</v>
          </cell>
          <cell r="G64" t="str">
            <v>ASLAM</v>
          </cell>
          <cell r="H64" t="str">
            <v>ООО Казанские деликатесы</v>
          </cell>
          <cell r="I64" t="str">
            <v>ТУ 10.13.14-175-00425283-2025</v>
          </cell>
          <cell r="J64" t="str">
            <v>Изделие колбасное вареное из мяса кур охлажденное.</v>
          </cell>
          <cell r="K64"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64">
            <v>10</v>
          </cell>
          <cell r="M64">
            <v>11</v>
          </cell>
          <cell r="N64">
            <v>3</v>
          </cell>
          <cell r="O64" t="str">
            <v>151/628</v>
          </cell>
          <cell r="P64" t="str">
            <v>0…+6</v>
          </cell>
          <cell r="Q64">
            <v>60</v>
          </cell>
        </row>
        <row r="65">
          <cell r="B65">
            <v>1001012484063</v>
          </cell>
          <cell r="C65" t="str">
            <v>МЯСНАЯ Папа может вар п/о</v>
          </cell>
          <cell r="D65" t="str">
            <v>КГ</v>
          </cell>
          <cell r="E65" t="str">
            <v>Колбасные изделия</v>
          </cell>
          <cell r="F65" t="str">
            <v>Вареные колбасы</v>
          </cell>
          <cell r="G65" t="str">
            <v>Папа может</v>
          </cell>
          <cell r="H65" t="str">
            <v xml:space="preserve">ОМПК(О)
ОМПК(С)
</v>
          </cell>
          <cell r="I65" t="str">
            <v xml:space="preserve"> ТУ 10.13.14-130-00425283-2017</v>
          </cell>
          <cell r="J65" t="str">
            <v>Мясной продукт. Изделие колбасное вареное категории В.</v>
          </cell>
          <cell r="K65" t="str">
            <v>свинина, вода питьевая, мясо куриное механической обвалки,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65">
            <v>9</v>
          </cell>
          <cell r="M65">
            <v>14</v>
          </cell>
          <cell r="N65">
            <v>4</v>
          </cell>
          <cell r="O65" t="str">
            <v>178/739</v>
          </cell>
          <cell r="P65" t="str">
            <v>0…+6</v>
          </cell>
          <cell r="Q65">
            <v>60</v>
          </cell>
        </row>
        <row r="66">
          <cell r="B66">
            <v>1001012486333</v>
          </cell>
          <cell r="C66" t="str">
            <v>МЯСНАЯ Папа может вар п/о 0.4кг 8шт.</v>
          </cell>
          <cell r="D66" t="str">
            <v>ШТ</v>
          </cell>
          <cell r="E66" t="str">
            <v>Колбасные изделия</v>
          </cell>
          <cell r="F66" t="str">
            <v>Вареные колбасы</v>
          </cell>
          <cell r="G66" t="str">
            <v>Папа может</v>
          </cell>
          <cell r="H66" t="str">
            <v>ОМПК(О)</v>
          </cell>
          <cell r="I66" t="str">
            <v>ТУ 10.13.14-180-00425283-2025</v>
          </cell>
          <cell r="J66" t="str">
            <v>Мясной продукт. Изделие колбасное вареное категории В.</v>
          </cell>
          <cell r="K6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6">
            <v>9</v>
          </cell>
          <cell r="M66">
            <v>14</v>
          </cell>
          <cell r="N66">
            <v>5</v>
          </cell>
          <cell r="O66" t="str">
            <v>182/756</v>
          </cell>
          <cell r="P66" t="str">
            <v>0…+6</v>
          </cell>
          <cell r="Q66">
            <v>60</v>
          </cell>
        </row>
        <row r="67">
          <cell r="B67">
            <v>1001012486334</v>
          </cell>
          <cell r="C67" t="str">
            <v>МЯСНАЯ Папа может вар п/о 0.4кг_СНГ</v>
          </cell>
          <cell r="D67" t="str">
            <v>ШТ</v>
          </cell>
          <cell r="E67" t="str">
            <v>Колбасные изделия</v>
          </cell>
          <cell r="F67" t="str">
            <v>Вареные колбасы</v>
          </cell>
          <cell r="G67" t="str">
            <v>Папа может</v>
          </cell>
          <cell r="H67" t="str">
            <v>ОМПК(О)</v>
          </cell>
          <cell r="I67" t="str">
            <v>ТУ 10.13.14-180-00425283-2025</v>
          </cell>
          <cell r="J67" t="str">
            <v>Мясной продукт. Изделие колбасное вареное категории В.</v>
          </cell>
          <cell r="K6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7">
            <v>9</v>
          </cell>
          <cell r="M67">
            <v>14</v>
          </cell>
          <cell r="N67">
            <v>5</v>
          </cell>
          <cell r="O67" t="str">
            <v>182/756</v>
          </cell>
          <cell r="P67" t="str">
            <v>0…+6</v>
          </cell>
          <cell r="Q67">
            <v>60</v>
          </cell>
        </row>
        <row r="68">
          <cell r="B68">
            <v>1001012486332</v>
          </cell>
          <cell r="C68" t="str">
            <v>МЯСНАЯ Папа может вар п/о 0.5кг 8шт.</v>
          </cell>
          <cell r="D68" t="str">
            <v>ШТ</v>
          </cell>
          <cell r="E68" t="str">
            <v>Колбасные изделия</v>
          </cell>
          <cell r="F68" t="str">
            <v>Вареные колбасы</v>
          </cell>
          <cell r="G68" t="str">
            <v>Папа может</v>
          </cell>
          <cell r="H68" t="str">
            <v xml:space="preserve">ОМПК(О)
ОМПК(С)
ОМПК(Г)
</v>
          </cell>
          <cell r="I68" t="str">
            <v>ТУ 10.13.14-180-00425283-2025</v>
          </cell>
          <cell r="J68" t="str">
            <v>Мясной продукт. Изделие колбасное вареное категории В.</v>
          </cell>
          <cell r="K6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8">
            <v>9</v>
          </cell>
          <cell r="M68">
            <v>14</v>
          </cell>
          <cell r="N68">
            <v>5</v>
          </cell>
          <cell r="O68" t="str">
            <v>182/756</v>
          </cell>
          <cell r="P68" t="str">
            <v>0…+6</v>
          </cell>
          <cell r="Q68">
            <v>60</v>
          </cell>
        </row>
        <row r="69">
          <cell r="B69">
            <v>1001016767323</v>
          </cell>
          <cell r="C69" t="str">
            <v>ТОЛСТЫЙ СЛАЙС ВАРЕНЫЙ вар с/н мгс 1/150</v>
          </cell>
          <cell r="D69" t="str">
            <v>ШТ</v>
          </cell>
          <cell r="E69" t="str">
            <v>Колбасные изделия</v>
          </cell>
          <cell r="F69" t="str">
            <v>Вареные колбасы</v>
          </cell>
          <cell r="G69" t="str">
            <v>Папа может</v>
          </cell>
          <cell r="H69" t="str">
            <v>ОМПК(О)</v>
          </cell>
          <cell r="I69" t="str">
            <v>ТУ 10.13.14-130-00425283-2017</v>
          </cell>
          <cell r="J69" t="str">
            <v>Мясной продукт. Изделие колбасное вареное категории В.</v>
          </cell>
          <cell r="K69" t="str">
            <v>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9">
            <v>12</v>
          </cell>
          <cell r="M69">
            <v>14</v>
          </cell>
          <cell r="N69">
            <v>3</v>
          </cell>
          <cell r="O69" t="str">
            <v>186/764</v>
          </cell>
          <cell r="P69" t="str">
            <v>0…+6</v>
          </cell>
          <cell r="Q69">
            <v>30</v>
          </cell>
        </row>
        <row r="70">
          <cell r="B70">
            <v>1001017677629</v>
          </cell>
          <cell r="C70" t="str">
            <v>АСС:ТОЛСТ.СЛАЙС КОПЧ.VS ВАР. мгс 1/210</v>
          </cell>
          <cell r="D70" t="str">
            <v>ШТ</v>
          </cell>
          <cell r="E70" t="str">
            <v>Колбасные изделия</v>
          </cell>
          <cell r="F70" t="str">
            <v>Вареные колбасы</v>
          </cell>
          <cell r="G70" t="str">
            <v>Папа может</v>
          </cell>
          <cell r="H70" t="str">
            <v>ОМПК(О)</v>
          </cell>
          <cell r="I70" t="str">
            <v>ТУ 10.13.14-174-00425283-2024</v>
          </cell>
          <cell r="J70" t="str">
            <v>Мясной продукт. Ассорти вареных и варено-копченых колбас: Толстый слайс Копченый vs Вареный.</v>
          </cell>
          <cell r="K70" t="str">
            <v>СЕРВЕЛАТ ТОЛСТЫЙ СЛАЙС КОПЧЕНЫЙ: 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
ТОЛСТЫЙ СЛАЙС ВАРЕНЫЙ: 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70" t="str">
            <v>13
12</v>
          </cell>
          <cell r="M70" t="str">
            <v>17
14</v>
          </cell>
          <cell r="N70" t="str">
            <v>5
3</v>
          </cell>
          <cell r="O70" t="str">
            <v>225/935
186/764</v>
          </cell>
          <cell r="P70" t="str">
            <v>0…+6</v>
          </cell>
          <cell r="Q70">
            <v>30</v>
          </cell>
        </row>
        <row r="71">
          <cell r="B71">
            <v>1001016497242</v>
          </cell>
          <cell r="C71" t="str">
            <v>ПАПИН ВЫБОР Папа может вар п/о 0.5кг 8шт</v>
          </cell>
          <cell r="D71" t="str">
            <v>ШТ</v>
          </cell>
          <cell r="E71" t="str">
            <v>Колбасные изделия</v>
          </cell>
          <cell r="F71" t="str">
            <v>Вареные колбасы</v>
          </cell>
          <cell r="G71" t="str">
            <v>Папа может</v>
          </cell>
          <cell r="H71" t="str">
            <v>ОМПК(С)</v>
          </cell>
          <cell r="I71" t="str">
            <v>ТУ 10.13.14-180-00425283-2025</v>
          </cell>
          <cell r="J71" t="str">
            <v>Мясной продукт. Изделие колбасное вареное категории В.</v>
          </cell>
          <cell r="K71"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1">
            <v>9</v>
          </cell>
          <cell r="M71">
            <v>14</v>
          </cell>
          <cell r="N71">
            <v>5</v>
          </cell>
          <cell r="O71" t="str">
            <v>182/756</v>
          </cell>
          <cell r="P71" t="str">
            <v>0…+6</v>
          </cell>
          <cell r="Q71">
            <v>60</v>
          </cell>
        </row>
        <row r="72">
          <cell r="B72">
            <v>1001012487096</v>
          </cell>
          <cell r="C72" t="str">
            <v>МЯСНАЯ Папа может вар п/о 0.7кг 6шт.</v>
          </cell>
          <cell r="D72" t="str">
            <v>ШТ</v>
          </cell>
          <cell r="E72" t="str">
            <v>Колбасные изделия</v>
          </cell>
          <cell r="F72" t="str">
            <v>Вареные колбасы</v>
          </cell>
          <cell r="G72" t="str">
            <v>Папа может</v>
          </cell>
          <cell r="H72" t="str">
            <v>ОМПК(О)</v>
          </cell>
          <cell r="I72" t="str">
            <v>ТУ 10.13.14-180-00425283-2025</v>
          </cell>
          <cell r="J72" t="str">
            <v>Мясной продукт. Изделие колбасное вареное категории В.</v>
          </cell>
          <cell r="K72"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2">
            <v>9</v>
          </cell>
          <cell r="M72">
            <v>14</v>
          </cell>
          <cell r="N72">
            <v>5</v>
          </cell>
          <cell r="O72" t="str">
            <v>182/756</v>
          </cell>
          <cell r="P72" t="str">
            <v>0…+6</v>
          </cell>
          <cell r="Q72">
            <v>60</v>
          </cell>
        </row>
        <row r="73">
          <cell r="B73">
            <v>1001012486815</v>
          </cell>
          <cell r="C73" t="str">
            <v>МЯСНАЯ Папа может вар п/о 0.6кг 6шт.</v>
          </cell>
          <cell r="D73" t="str">
            <v>ШТ</v>
          </cell>
          <cell r="E73" t="str">
            <v>Колбасные изделия</v>
          </cell>
          <cell r="F73" t="str">
            <v>Вареные колбасы</v>
          </cell>
          <cell r="G73" t="str">
            <v>Папа может</v>
          </cell>
          <cell r="H73" t="str">
            <v>ОМПК(С)</v>
          </cell>
          <cell r="I73" t="str">
            <v>ТУ 10.13.14-180-00425283-2025</v>
          </cell>
          <cell r="J73" t="str">
            <v>Мясной продукт. Изделие колбасное вареное категории В.</v>
          </cell>
          <cell r="K7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3">
            <v>9</v>
          </cell>
          <cell r="M73">
            <v>14</v>
          </cell>
          <cell r="N73">
            <v>5</v>
          </cell>
          <cell r="O73" t="str">
            <v>182/756</v>
          </cell>
          <cell r="P73" t="str">
            <v>0…+6</v>
          </cell>
          <cell r="Q73">
            <v>60</v>
          </cell>
        </row>
        <row r="74">
          <cell r="B74">
            <v>1001012483969</v>
          </cell>
          <cell r="C74" t="str">
            <v>МЯСНАЯ Папа может вар п/о_Ашан</v>
          </cell>
          <cell r="D74" t="str">
            <v>КГ</v>
          </cell>
          <cell r="E74" t="str">
            <v>Колбасные изделия</v>
          </cell>
          <cell r="F74" t="str">
            <v>Вареные колбасы</v>
          </cell>
          <cell r="G74" t="str">
            <v>Папа может</v>
          </cell>
          <cell r="H74" t="str">
            <v>ОМПК(С)</v>
          </cell>
          <cell r="I74" t="str">
            <v>ТУ 10.13.14-180-00425283-2025</v>
          </cell>
          <cell r="J74" t="str">
            <v>Мясной продукт. Изделие колбасное вареное категории В.</v>
          </cell>
          <cell r="K7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4">
            <v>9</v>
          </cell>
          <cell r="M74">
            <v>14</v>
          </cell>
          <cell r="N74">
            <v>5</v>
          </cell>
          <cell r="O74" t="str">
            <v>182/756</v>
          </cell>
          <cell r="P74" t="str">
            <v>0…+6</v>
          </cell>
          <cell r="Q74">
            <v>60</v>
          </cell>
        </row>
        <row r="75">
          <cell r="B75">
            <v>1001012484109</v>
          </cell>
          <cell r="C75" t="str">
            <v>МЯСНАЯ Папа может вар п/о_Метро</v>
          </cell>
          <cell r="D75" t="str">
            <v>КГ</v>
          </cell>
          <cell r="E75" t="str">
            <v>Колбасные изделия</v>
          </cell>
          <cell r="F75" t="str">
            <v>Вареные колбасы</v>
          </cell>
          <cell r="G75" t="str">
            <v>Папа может</v>
          </cell>
          <cell r="H75" t="str">
            <v xml:space="preserve">ОМПК(О)
ОМПК(С)
</v>
          </cell>
          <cell r="I75" t="str">
            <v>ТУ 10.13.14-180-00425283-2025</v>
          </cell>
          <cell r="J75" t="str">
            <v>Мясной продукт. Изделие колбасное вареное категории В.</v>
          </cell>
          <cell r="K75"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5">
            <v>9</v>
          </cell>
          <cell r="M75">
            <v>14</v>
          </cell>
          <cell r="N75">
            <v>5</v>
          </cell>
          <cell r="O75" t="str">
            <v>182/756</v>
          </cell>
          <cell r="P75" t="str">
            <v>0…+6</v>
          </cell>
          <cell r="Q75">
            <v>60</v>
          </cell>
        </row>
        <row r="76">
          <cell r="B76">
            <v>1001012484025</v>
          </cell>
          <cell r="C76" t="str">
            <v>МЯСНАЯ Папа может вар п/о_О</v>
          </cell>
          <cell r="D76" t="str">
            <v>КГ</v>
          </cell>
          <cell r="E76" t="str">
            <v>Колбасные изделия</v>
          </cell>
          <cell r="F76" t="str">
            <v>Вареные колбасы</v>
          </cell>
          <cell r="G76" t="str">
            <v>Папа может</v>
          </cell>
          <cell r="H76" t="str">
            <v xml:space="preserve">ОМПК(О)
ОМПК(С)
</v>
          </cell>
          <cell r="I76" t="str">
            <v>ТУ 10.13.14-180-00425283-2025</v>
          </cell>
          <cell r="J76" t="str">
            <v>Мясной продукт. Изделие колбасное вареное категории В.</v>
          </cell>
          <cell r="K7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6">
            <v>9</v>
          </cell>
          <cell r="M76">
            <v>14</v>
          </cell>
          <cell r="N76">
            <v>5</v>
          </cell>
          <cell r="O76" t="str">
            <v>182/756</v>
          </cell>
          <cell r="P76" t="str">
            <v>0…+6</v>
          </cell>
          <cell r="Q76">
            <v>60</v>
          </cell>
        </row>
        <row r="77">
          <cell r="B77">
            <v>1001012484405</v>
          </cell>
          <cell r="C77" t="str">
            <v>МЯСНАЯ Папа может вар п/о_СНГ</v>
          </cell>
          <cell r="D77" t="str">
            <v>КГ</v>
          </cell>
          <cell r="E77" t="str">
            <v>Колбасные изделия</v>
          </cell>
          <cell r="F77" t="str">
            <v>Вареные колбасы</v>
          </cell>
          <cell r="G77" t="str">
            <v>Папа может</v>
          </cell>
          <cell r="H77" t="str">
            <v>ОМПК(С)</v>
          </cell>
          <cell r="I77" t="str">
            <v>ТУ 10.13.14-180-00425283-2025</v>
          </cell>
          <cell r="J77" t="str">
            <v>Мясной продукт. Изделие колбасное вареное категории В.</v>
          </cell>
          <cell r="K7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7">
            <v>9</v>
          </cell>
          <cell r="M77">
            <v>14</v>
          </cell>
          <cell r="N77">
            <v>5</v>
          </cell>
          <cell r="O77" t="str">
            <v>182/756</v>
          </cell>
          <cell r="P77" t="str">
            <v>0…+6</v>
          </cell>
          <cell r="Q77">
            <v>60</v>
          </cell>
        </row>
        <row r="78">
          <cell r="B78">
            <v>1001012484458</v>
          </cell>
          <cell r="C78" t="str">
            <v>МЯСНАЯ Папа может вар п/о_Х5</v>
          </cell>
          <cell r="D78" t="str">
            <v>КГ</v>
          </cell>
          <cell r="E78" t="str">
            <v>Колбасные изделия</v>
          </cell>
          <cell r="F78" t="str">
            <v>Вареные колбасы</v>
          </cell>
          <cell r="G78" t="str">
            <v>Папа может</v>
          </cell>
          <cell r="H78" t="str">
            <v xml:space="preserve">ОМПК(С)
</v>
          </cell>
          <cell r="I78" t="str">
            <v>ТУ 10.13.14-180-00425283-2025</v>
          </cell>
          <cell r="J78" t="str">
            <v>Мясной продукт. Изделие колбасное вареное категории В.</v>
          </cell>
          <cell r="K7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8">
            <v>9</v>
          </cell>
          <cell r="M78">
            <v>14</v>
          </cell>
          <cell r="N78">
            <v>5</v>
          </cell>
          <cell r="O78" t="str">
            <v>182/756</v>
          </cell>
          <cell r="P78" t="str">
            <v>0…+6</v>
          </cell>
          <cell r="Q78">
            <v>60</v>
          </cell>
        </row>
        <row r="79">
          <cell r="B79">
            <v>1001012485125</v>
          </cell>
          <cell r="C79" t="str">
            <v>Z-МЯСНАЯ Папа может вар п/о</v>
          </cell>
          <cell r="D79" t="str">
            <v>КГ</v>
          </cell>
          <cell r="E79" t="str">
            <v>Колбасные изделия</v>
          </cell>
          <cell r="F79" t="str">
            <v>Вареные колбасы</v>
          </cell>
          <cell r="G79" t="str">
            <v>Папа может</v>
          </cell>
          <cell r="H79" t="str">
            <v xml:space="preserve">ОМПК(С)
</v>
          </cell>
          <cell r="I79" t="str">
            <v>ТУ 10.13.14-180-00425283-2025</v>
          </cell>
          <cell r="J79" t="str">
            <v>Мясной продукт. Изделие колбасное вареное категории В.</v>
          </cell>
          <cell r="K79"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9">
            <v>9</v>
          </cell>
          <cell r="M79">
            <v>14</v>
          </cell>
          <cell r="N79">
            <v>5</v>
          </cell>
          <cell r="O79" t="str">
            <v>182/756</v>
          </cell>
          <cell r="P79" t="str">
            <v>0…+6</v>
          </cell>
          <cell r="Q79">
            <v>60</v>
          </cell>
        </row>
        <row r="80">
          <cell r="B80">
            <v>1001012484181</v>
          </cell>
          <cell r="C80" t="str">
            <v>Z-МЯСНАЯ Папа может вар п/о 0.4кг_СНГ</v>
          </cell>
          <cell r="D80" t="str">
            <v>ШТ</v>
          </cell>
          <cell r="E80" t="str">
            <v>Колбасные изделия</v>
          </cell>
          <cell r="F80" t="str">
            <v>Вареные колбасы</v>
          </cell>
          <cell r="G80" t="str">
            <v>Папа может</v>
          </cell>
          <cell r="H80" t="str">
            <v>ОМПК(О)</v>
          </cell>
          <cell r="I80" t="str">
            <v>ТУ 10.13.14-180-00425283-2025</v>
          </cell>
          <cell r="J80" t="str">
            <v>Мясной продукт. Изделие колбасное вареное категории В.</v>
          </cell>
          <cell r="K80"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0">
            <v>9</v>
          </cell>
          <cell r="M80">
            <v>14</v>
          </cell>
          <cell r="N80">
            <v>5</v>
          </cell>
          <cell r="O80" t="str">
            <v>182/756</v>
          </cell>
          <cell r="P80" t="str">
            <v>0…+6</v>
          </cell>
          <cell r="Q80">
            <v>60</v>
          </cell>
        </row>
        <row r="81">
          <cell r="B81">
            <v>1001012485055</v>
          </cell>
          <cell r="C81" t="str">
            <v>Z-МЯСНАЯ Папа может вар п/о_СНГ</v>
          </cell>
          <cell r="D81" t="str">
            <v>КГ</v>
          </cell>
          <cell r="E81" t="str">
            <v>Колбасные изделия</v>
          </cell>
          <cell r="F81" t="str">
            <v>Вареные колбасы</v>
          </cell>
          <cell r="G81" t="str">
            <v>Папа может</v>
          </cell>
          <cell r="H81" t="str">
            <v>ОМПК(С)</v>
          </cell>
          <cell r="I81" t="str">
            <v>ТУ 10.13.14-180-00425283-2025</v>
          </cell>
          <cell r="J81" t="str">
            <v>Мясной продукт. Изделие колбасное вареное категории В.</v>
          </cell>
          <cell r="K81"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1">
            <v>9</v>
          </cell>
          <cell r="M81">
            <v>14</v>
          </cell>
          <cell r="N81">
            <v>5</v>
          </cell>
          <cell r="O81" t="str">
            <v>182/756</v>
          </cell>
          <cell r="P81" t="str">
            <v>0…+6</v>
          </cell>
          <cell r="Q81">
            <v>60</v>
          </cell>
        </row>
        <row r="82">
          <cell r="B82">
            <v>1001012637334</v>
          </cell>
          <cell r="C82" t="str">
            <v>МЯСНАЯ СО ШПИКОМ ПМ вар п/о 0.4кг 8шт.</v>
          </cell>
          <cell r="D82" t="str">
            <v>ШТ</v>
          </cell>
          <cell r="E82" t="str">
            <v>Колбасные изделия</v>
          </cell>
          <cell r="F82" t="str">
            <v>Вареные колбасы</v>
          </cell>
          <cell r="G82" t="str">
            <v>Папа может</v>
          </cell>
          <cell r="H82" t="str">
            <v>ОМПК(С)</v>
          </cell>
          <cell r="I82" t="str">
            <v>ТУ 10.13.14-180-00425283-2025</v>
          </cell>
          <cell r="J82" t="str">
            <v>Мясной продукт. Изделие колбасное вареное категории В.</v>
          </cell>
          <cell r="K82"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2">
            <v>9</v>
          </cell>
          <cell r="M82">
            <v>16</v>
          </cell>
          <cell r="N82">
            <v>3</v>
          </cell>
          <cell r="O82" t="str">
            <v>192/796</v>
          </cell>
          <cell r="P82" t="str">
            <v>0…+6</v>
          </cell>
          <cell r="Q82">
            <v>60</v>
          </cell>
        </row>
        <row r="83">
          <cell r="B83">
            <v>1001012634574</v>
          </cell>
          <cell r="C83" t="str">
            <v>МЯСНАЯ СО ШПИКОМ Папа может вар п/о</v>
          </cell>
          <cell r="D83" t="str">
            <v>КГ</v>
          </cell>
          <cell r="E83" t="str">
            <v>Колбасные изделия</v>
          </cell>
          <cell r="F83" t="str">
            <v>Вареные колбасы</v>
          </cell>
          <cell r="G83" t="str">
            <v>Папа может</v>
          </cell>
          <cell r="H83" t="str">
            <v>ОМПК(С)</v>
          </cell>
          <cell r="I83" t="str">
            <v>ТУ 10.13.14-180-00425283-2025</v>
          </cell>
          <cell r="J83" t="str">
            <v>Мясной продукт. Изделие колбасное вареное категории В.</v>
          </cell>
          <cell r="K83"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3">
            <v>9</v>
          </cell>
          <cell r="M83">
            <v>16</v>
          </cell>
          <cell r="N83">
            <v>3</v>
          </cell>
          <cell r="O83" t="str">
            <v>192/796</v>
          </cell>
          <cell r="P83" t="str">
            <v>0…+6</v>
          </cell>
          <cell r="Q83">
            <v>60</v>
          </cell>
        </row>
        <row r="84">
          <cell r="B84">
            <v>1001012637569</v>
          </cell>
          <cell r="C84" t="str">
            <v>МЯСНАЯ СО ШПИКОМ ПМ вар п/о 1.35*8</v>
          </cell>
          <cell r="D84" t="str">
            <v>КГ</v>
          </cell>
          <cell r="E84" t="str">
            <v>Колбасные изделия</v>
          </cell>
          <cell r="F84" t="str">
            <v>Вареные колбасы</v>
          </cell>
          <cell r="G84" t="str">
            <v>Папа может</v>
          </cell>
          <cell r="H84" t="str">
            <v>ОМПК(С)</v>
          </cell>
          <cell r="I84" t="str">
            <v>ТУ 10.13.14-180-00425283-2025</v>
          </cell>
          <cell r="J84" t="str">
            <v>Мясной продукт. Изделие колбасное вареное категории В.</v>
          </cell>
          <cell r="K84"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4">
            <v>9</v>
          </cell>
          <cell r="M84">
            <v>16</v>
          </cell>
          <cell r="N84">
            <v>3</v>
          </cell>
          <cell r="O84" t="str">
            <v>192/796</v>
          </cell>
          <cell r="P84" t="str">
            <v>0…+6</v>
          </cell>
          <cell r="Q84">
            <v>60</v>
          </cell>
        </row>
        <row r="85">
          <cell r="B85">
            <v>1001012634424</v>
          </cell>
          <cell r="C85" t="str">
            <v>Z-МЯСНАЯ СО ШПИКОМ ПМ вар п/о_СНГ</v>
          </cell>
          <cell r="D85" t="str">
            <v>КГ</v>
          </cell>
          <cell r="E85" t="str">
            <v>Колбасные изделия</v>
          </cell>
          <cell r="F85" t="str">
            <v>Вареные колбасы</v>
          </cell>
          <cell r="G85" t="str">
            <v>Папа может</v>
          </cell>
          <cell r="H85" t="str">
            <v>ОМПК(С)</v>
          </cell>
          <cell r="I85" t="str">
            <v xml:space="preserve"> ТУ 10.13.14-130-00425283-2017</v>
          </cell>
          <cell r="J85" t="str">
            <v>Мясной продукт. Изделие колбасное вареное категории В.</v>
          </cell>
          <cell r="K85"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5">
            <v>9</v>
          </cell>
          <cell r="M85">
            <v>16</v>
          </cell>
          <cell r="N85">
            <v>3</v>
          </cell>
          <cell r="O85" t="str">
            <v>192/796</v>
          </cell>
          <cell r="P85" t="str">
            <v>0…+6</v>
          </cell>
          <cell r="Q85">
            <v>60</v>
          </cell>
        </row>
        <row r="86">
          <cell r="B86">
            <v>1001014375704</v>
          </cell>
          <cell r="C86" t="str">
            <v>ПАПИН БУТЕР Папа может вар п/о 0.4кг</v>
          </cell>
          <cell r="D86" t="str">
            <v>ШТ</v>
          </cell>
          <cell r="E86" t="str">
            <v>Колбасные изделия</v>
          </cell>
          <cell r="F86" t="str">
            <v>Вареные колбасы</v>
          </cell>
          <cell r="G86" t="str">
            <v>Папа может</v>
          </cell>
          <cell r="H86" t="str">
            <v xml:space="preserve">ОМПК(С)
</v>
          </cell>
          <cell r="I86" t="str">
            <v>ТУ 10.13.14-180-00425283-2025</v>
          </cell>
          <cell r="J86" t="str">
            <v>Мясной продукт. Изделие колбасное вареное категории В.</v>
          </cell>
          <cell r="K8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6">
            <v>9</v>
          </cell>
          <cell r="M86">
            <v>14</v>
          </cell>
          <cell r="N86">
            <v>5</v>
          </cell>
          <cell r="O86" t="str">
            <v>182/756</v>
          </cell>
          <cell r="P86" t="str">
            <v>0…+6</v>
          </cell>
          <cell r="Q86">
            <v>60</v>
          </cell>
        </row>
        <row r="87">
          <cell r="B87">
            <v>1001016867554</v>
          </cell>
          <cell r="C87" t="str">
            <v>РУССКАЯ ГОСТ вар н/о в/у_30с</v>
          </cell>
          <cell r="D87" t="str">
            <v>КГ</v>
          </cell>
          <cell r="E87" t="str">
            <v>Колбасные изделия</v>
          </cell>
          <cell r="F87" t="str">
            <v>Вареные колбасы</v>
          </cell>
          <cell r="G87" t="str">
            <v>Останкино</v>
          </cell>
          <cell r="H87" t="str">
            <v>ОМПК(Г)</v>
          </cell>
          <cell r="I87" t="str">
            <v>ГОСТ 23670-2019</v>
          </cell>
          <cell r="J87" t="str">
            <v>Мясной продукт. Изделие колбасное вареное категории Б.</v>
          </cell>
          <cell r="K87" t="str">
            <v>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v>
          </cell>
          <cell r="L87">
            <v>10</v>
          </cell>
          <cell r="M87">
            <v>30</v>
          </cell>
          <cell r="N87">
            <v>0</v>
          </cell>
          <cell r="O87" t="str">
            <v>310/1298</v>
          </cell>
          <cell r="P87" t="str">
            <v>0…+6</v>
          </cell>
          <cell r="Q87">
            <v>30</v>
          </cell>
        </row>
        <row r="88">
          <cell r="B88">
            <v>1001016867517</v>
          </cell>
          <cell r="C88" t="str">
            <v>РУССКАЯ ГОСТ Останкино вар н/о в/у</v>
          </cell>
          <cell r="D88" t="str">
            <v>КГ</v>
          </cell>
          <cell r="E88" t="str">
            <v>Колбасные изделия</v>
          </cell>
          <cell r="F88" t="str">
            <v>Вареные колбасы</v>
          </cell>
          <cell r="G88" t="str">
            <v>Останкино</v>
          </cell>
          <cell r="H88" t="str">
            <v>ОМПК(Г)</v>
          </cell>
          <cell r="I88" t="str">
            <v>ГОСТ 23670-2019</v>
          </cell>
          <cell r="J88" t="str">
            <v>Мясной продукт. Изделие колбасное вареное категории Б.</v>
          </cell>
          <cell r="K88" t="str">
            <v>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v>
          </cell>
          <cell r="L88">
            <v>10</v>
          </cell>
          <cell r="M88">
            <v>30</v>
          </cell>
          <cell r="N88">
            <v>0</v>
          </cell>
          <cell r="O88" t="str">
            <v>310/1298</v>
          </cell>
          <cell r="P88" t="str">
            <v>0…+6</v>
          </cell>
          <cell r="Q88">
            <v>30</v>
          </cell>
        </row>
        <row r="89">
          <cell r="B89">
            <v>1001010506989</v>
          </cell>
          <cell r="C89" t="str">
            <v>РУССКАЯ ОРИГИНАЛЬНАЯ вар ц/о в/у_45с</v>
          </cell>
          <cell r="D89" t="str">
            <v>КГ</v>
          </cell>
          <cell r="E89" t="str">
            <v>Колбасные изделия</v>
          </cell>
          <cell r="F89" t="str">
            <v>Вареные колбасы</v>
          </cell>
          <cell r="G89" t="str">
            <v>Коровино</v>
          </cell>
          <cell r="H89" t="str">
            <v>ОМПК(С)</v>
          </cell>
          <cell r="I89" t="str">
            <v>ТУ 10.13.14-150-00425283-2018</v>
          </cell>
          <cell r="J89" t="str">
            <v>Изделие колбасное вареное из мяса кур охлажденное.</v>
          </cell>
          <cell r="K89" t="str">
            <v>филе грудок куриных, мясо куриное механической обвалки, вода, свинина, белковый стабилизатор (вода,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стабилизатор альгинат натрия, натуральные пряности и экстракты пряностей (в т.ч. горчица, сельдерей), чеснок свежий, сахара, ароматизаторы, антиокислитель изоаскорбат натрия, усилитель вкуса и аромата глутамат натрия, краситель кармины</v>
          </cell>
          <cell r="L89">
            <v>8</v>
          </cell>
          <cell r="M89">
            <v>14</v>
          </cell>
          <cell r="N89">
            <v>4</v>
          </cell>
          <cell r="O89" t="str">
            <v>174/722</v>
          </cell>
          <cell r="P89" t="str">
            <v>0…+6</v>
          </cell>
          <cell r="Q89">
            <v>45</v>
          </cell>
        </row>
        <row r="90">
          <cell r="B90">
            <v>1001017597556</v>
          </cell>
          <cell r="C90" t="str">
            <v>РУССКАЯ ПО-ОСТАНКИНСКИ вар б/о в/у</v>
          </cell>
          <cell r="D90" t="str">
            <v>КГ</v>
          </cell>
          <cell r="E90" t="str">
            <v>Колбасные изделия</v>
          </cell>
          <cell r="F90" t="str">
            <v>Вареные колбасы</v>
          </cell>
          <cell r="G90" t="str">
            <v>Останкино</v>
          </cell>
          <cell r="H90" t="str">
            <v>ОМПК(Г)</v>
          </cell>
          <cell r="I90" t="str">
            <v>ТУ 10.13.14-180-00425283-2025</v>
          </cell>
          <cell r="J90" t="str">
            <v>Мясной продукт. Изделие колбасное вареное категории В.</v>
          </cell>
          <cell r="K90" t="str">
            <v>свинина, вода питьевая, стабилизатор белковый (вода питьевая, шкурка свиная, кожа куриная), филе грудок куриных, шпик, сыворотка молочная сухая, крахмал картофельный, смесь посолочно-нитритная (соль, фиксатор окраски (нитрит натрия)), чеснок свежий, соль, животный белок (говяжий), регуляторы кислотности (пирофосфаты, трифосфаты, цитраты натрия), загустители (тары камедь, камедь рожкового дерева, каррагинан, гуаровая камедь, кстантановая камедь, альгинат натрия), специи, экстракты специй, экстракты пряностей (в т.ч. горчица, сельдерей), антиокислители (изоаскорбат натрия, аскорбиновая кислота, лимонная кислота), усилитель вкуса и аромата (глутамат натрия), ароматизаторы, красители (диоксид титана, кармины)</v>
          </cell>
          <cell r="L90">
            <v>9</v>
          </cell>
          <cell r="M90">
            <v>13</v>
          </cell>
          <cell r="N90">
            <v>4</v>
          </cell>
          <cell r="O90" t="str">
            <v>169/702</v>
          </cell>
          <cell r="P90" t="str">
            <v>0…+6</v>
          </cell>
          <cell r="Q90">
            <v>30</v>
          </cell>
        </row>
        <row r="91">
          <cell r="B91">
            <v>1001015026797</v>
          </cell>
          <cell r="C91" t="str">
            <v>С ИНДЕЙКОЙ Папа может вар п/о 0.4кг 8шт.</v>
          </cell>
          <cell r="D91" t="str">
            <v>ШТ</v>
          </cell>
          <cell r="E91" t="str">
            <v>Колбасные изделия</v>
          </cell>
          <cell r="F91" t="str">
            <v>Вареные колбасы</v>
          </cell>
          <cell r="G91" t="str">
            <v>Папа может</v>
          </cell>
          <cell r="H91" t="str">
            <v>ОМПК(С)</v>
          </cell>
          <cell r="I91" t="str">
            <v>ТУ 10.13.14-150-00425283-2018</v>
          </cell>
          <cell r="J91" t="str">
            <v>Изделие колбасное вареное из мяса кур охлажденное.</v>
          </cell>
          <cell r="K91" t="str">
            <v>филе грудок куриных, мясо механической обвалки (куриное, индюшиное), вода питьевая,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91">
            <v>11</v>
          </cell>
          <cell r="M91">
            <v>14</v>
          </cell>
          <cell r="N91">
            <v>4</v>
          </cell>
          <cell r="O91" t="str">
            <v>186/773</v>
          </cell>
          <cell r="P91" t="str">
            <v>0…+6</v>
          </cell>
          <cell r="Q91">
            <v>60</v>
          </cell>
        </row>
        <row r="92">
          <cell r="B92">
            <v>1001015027481</v>
          </cell>
          <cell r="C92" t="str">
            <v>С ИНДЕЙКОЙ Папа может вар п/о 0.8кг 4шт.</v>
          </cell>
          <cell r="D92" t="str">
            <v>ШТ</v>
          </cell>
          <cell r="E92" t="str">
            <v>Колбасные изделия</v>
          </cell>
          <cell r="F92" t="str">
            <v>Вареные колбасы</v>
          </cell>
          <cell r="G92" t="str">
            <v>Папа может</v>
          </cell>
          <cell r="H92" t="str">
            <v>ОМПК(С)</v>
          </cell>
          <cell r="I92" t="str">
            <v>ТУ 10.13.14-150-00425283-2018</v>
          </cell>
          <cell r="J92" t="str">
            <v>Изделие колбасное вареное из мяса кур охлажденное.</v>
          </cell>
          <cell r="K92" t="str">
            <v>мясо куриное механической обвалки, стабилизатор белковый (кожа куриная, вода питьевая), филе грудок куриных, вода питьевая, мясо индюшиное механической обвалки,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(изоаскорбат натрия), усилитель вкуса и аромата (глутамат натрия), ароматизаторы, краситель (кармины)</v>
          </cell>
          <cell r="L92">
            <v>11</v>
          </cell>
          <cell r="M92">
            <v>14</v>
          </cell>
          <cell r="N92">
            <v>4</v>
          </cell>
          <cell r="O92" t="str">
            <v>186/773</v>
          </cell>
          <cell r="P92" t="str">
            <v>0…+6</v>
          </cell>
          <cell r="Q92">
            <v>60</v>
          </cell>
        </row>
        <row r="93">
          <cell r="B93">
            <v>1001010116327</v>
          </cell>
          <cell r="C93" t="str">
            <v>СЛИВОЧНАЯ Коровино вар п/о</v>
          </cell>
          <cell r="D93" t="str">
            <v>КГ</v>
          </cell>
          <cell r="E93" t="str">
            <v>Колбасные изделия</v>
          </cell>
          <cell r="F93" t="str">
            <v>Вареные колбасы</v>
          </cell>
          <cell r="G93" t="str">
            <v>Коровино</v>
          </cell>
          <cell r="H93" t="str">
            <v>ОМПК(С)</v>
          </cell>
          <cell r="I93" t="str">
            <v>ТУ 10.13.14-150-00425283-2018</v>
          </cell>
          <cell r="J93" t="str">
            <v>Изделие колбасное вареное из мяса кур охлажденное.</v>
          </cell>
          <cell r="K93" t="str">
            <v>мясо куриное механической обвалки, вода, филе грудок куриных, белковый стабилизатор (вода, кожа куриная, шкурка свиная), свинина, крахмал картофельный, сыворотка молочная сухая, смесь посолочно-нитритная (соль, фиксатор окраски нитрит натрия), молоко сухое, регуляторы кислотности: пирофосфаты, трифосфаты, ацетаты натрия, цитраты натрия, глюконо-дельта-лактон; стабилизаторы: полифосфаты, гуаровая камедь, ксантановая камедь; загуститель альгинат натрия, натуральные специи, ароматизаторы, антиокислитель изоаскорбат натрия, усилитель вкуса и аромата глутамат натрия, сахар, сливки сухие, соль, горчица, краситель кармины</v>
          </cell>
          <cell r="L93">
            <v>8</v>
          </cell>
          <cell r="M93">
            <v>14</v>
          </cell>
          <cell r="O93" t="str">
            <v>158/654</v>
          </cell>
          <cell r="P93" t="str">
            <v>0…+6</v>
          </cell>
          <cell r="Q93">
            <v>60</v>
          </cell>
        </row>
        <row r="94">
          <cell r="B94">
            <v>1001016747343</v>
          </cell>
          <cell r="C94" t="str">
            <v>СЕЙЧАС СЕЗОН ПМ вар п/о 0.4кг</v>
          </cell>
          <cell r="D94" t="str">
            <v>ШТ</v>
          </cell>
          <cell r="E94" t="str">
            <v>Колбасные изделия</v>
          </cell>
          <cell r="F94" t="str">
            <v>Вареные колбасы</v>
          </cell>
          <cell r="G94" t="str">
            <v>Папа может</v>
          </cell>
          <cell r="H94" t="str">
            <v>ОМПК(С)</v>
          </cell>
          <cell r="I94" t="str">
            <v xml:space="preserve"> ТУ 10.13.14-150-00425283-2018</v>
          </cell>
          <cell r="J94" t="str">
            <v>Изделие колбасное вареное из мяса кур охлажденное.</v>
          </cell>
          <cell r="K94"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стабилизаторы (альгинат натрия, полифосфаты), соль, загустители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4">
            <v>10</v>
          </cell>
          <cell r="M94">
            <v>16</v>
          </cell>
          <cell r="N94">
            <v>2</v>
          </cell>
          <cell r="O94" t="str">
            <v>192/796</v>
          </cell>
          <cell r="P94" t="str">
            <v>0…+6</v>
          </cell>
          <cell r="Q94">
            <v>60</v>
          </cell>
        </row>
        <row r="95">
          <cell r="B95">
            <v>1001016747341</v>
          </cell>
          <cell r="C95" t="str">
            <v>СЕЙЧАС СЕЗОН Папа может вар п/о 0.75кг</v>
          </cell>
          <cell r="D95" t="str">
            <v>ШТ</v>
          </cell>
          <cell r="E95" t="str">
            <v>Колбасные изделия</v>
          </cell>
          <cell r="F95" t="str">
            <v>Вареные колбасы</v>
          </cell>
          <cell r="G95" t="str">
            <v>Папа может</v>
          </cell>
          <cell r="H95" t="str">
            <v>ОМПК(Г)
ОМПК(О)</v>
          </cell>
          <cell r="I95" t="str">
            <v xml:space="preserve"> ТУ 10.13.14-150-00425283-2018</v>
          </cell>
          <cell r="J95" t="str">
            <v>Изделие колбасное вареное из мяса кур охлажденное.</v>
          </cell>
          <cell r="K95"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5">
            <v>10</v>
          </cell>
          <cell r="M95">
            <v>16</v>
          </cell>
          <cell r="N95">
            <v>2</v>
          </cell>
          <cell r="O95" t="str">
            <v>192/796</v>
          </cell>
          <cell r="P95" t="str">
            <v>0…+6</v>
          </cell>
          <cell r="Q95">
            <v>60</v>
          </cell>
        </row>
        <row r="96">
          <cell r="B96">
            <v>1001016747342</v>
          </cell>
          <cell r="C96" t="str">
            <v>СЕЙЧАС СЕЗОН Папа может вар п/о</v>
          </cell>
          <cell r="D96" t="str">
            <v>КГ</v>
          </cell>
          <cell r="E96" t="str">
            <v>Колбасные изделия</v>
          </cell>
          <cell r="F96" t="str">
            <v>Вареные колбасы</v>
          </cell>
          <cell r="G96" t="str">
            <v>Папа может</v>
          </cell>
          <cell r="H96" t="str">
            <v>ОМПК(С)</v>
          </cell>
          <cell r="I96" t="str">
            <v>ТУ 10.13.14-150-00425283-2018</v>
          </cell>
          <cell r="J96" t="str">
            <v>Изделие колбасное вареное из мяса кур охлажденное.</v>
          </cell>
          <cell r="K96"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6">
            <v>10</v>
          </cell>
          <cell r="M96">
            <v>16</v>
          </cell>
          <cell r="N96">
            <v>2</v>
          </cell>
          <cell r="O96" t="str">
            <v>192/796</v>
          </cell>
          <cell r="P96" t="str">
            <v>0…+6</v>
          </cell>
          <cell r="Q96">
            <v>60</v>
          </cell>
        </row>
        <row r="97">
          <cell r="B97">
            <v>1001010067479</v>
          </cell>
          <cell r="C97" t="str">
            <v>СЛИВОЧНАЯ ПМ вар п/о 0.5кг 8шт.</v>
          </cell>
          <cell r="D97" t="str">
            <v>ШТ</v>
          </cell>
          <cell r="E97" t="str">
            <v>Колбасные изделия</v>
          </cell>
          <cell r="F97" t="str">
            <v>Вареные колбасы</v>
          </cell>
          <cell r="G97" t="str">
            <v>Папа может</v>
          </cell>
          <cell r="H97" t="str">
            <v xml:space="preserve">ОМПК(С)
</v>
          </cell>
          <cell r="I97" t="str">
            <v xml:space="preserve"> ТУ 10.13.14-130-00425283-2017</v>
          </cell>
          <cell r="J97" t="str">
            <v>Мясной продукт. Изделие колбасное вареное категории В.</v>
          </cell>
          <cell r="K9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сливки сухие,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97">
            <v>9</v>
          </cell>
          <cell r="M97">
            <v>14</v>
          </cell>
          <cell r="N97">
            <v>5</v>
          </cell>
          <cell r="O97" t="str">
            <v>182/756</v>
          </cell>
          <cell r="P97" t="str">
            <v>0…+6</v>
          </cell>
          <cell r="Q97">
            <v>60</v>
          </cell>
        </row>
        <row r="98">
          <cell r="B98">
            <v>1001013967355</v>
          </cell>
          <cell r="C98" t="str">
            <v>СОЧНАЯ Папа может вар п/о 0.4кг 10шт.</v>
          </cell>
          <cell r="D98" t="str">
            <v>ШТ</v>
          </cell>
          <cell r="E98" t="str">
            <v>Колбасные изделия</v>
          </cell>
          <cell r="F98" t="str">
            <v>Вареные колбасы</v>
          </cell>
          <cell r="G98" t="str">
            <v>Папа может</v>
          </cell>
          <cell r="H98" t="str">
            <v>ОМПК(С)</v>
          </cell>
          <cell r="I98" t="str">
            <v>ТУ 10.13.14-150-00425283-2018</v>
          </cell>
          <cell r="J98" t="str">
            <v>Изделие колбасное вареное из мяса кур охлажденное.</v>
          </cell>
          <cell r="K98" t="str">
            <v>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98">
            <v>9</v>
          </cell>
          <cell r="M98">
            <v>14</v>
          </cell>
          <cell r="N98">
            <v>4</v>
          </cell>
          <cell r="O98" t="str">
            <v>178/739</v>
          </cell>
          <cell r="P98" t="str">
            <v>0…+6</v>
          </cell>
          <cell r="Q98">
            <v>60</v>
          </cell>
        </row>
        <row r="99">
          <cell r="B99">
            <v>1001013966114</v>
          </cell>
          <cell r="C99" t="str">
            <v>Z-СОЧНАЯ Папа может вар п/о 0.4кг</v>
          </cell>
          <cell r="D99" t="str">
            <v>ШТ</v>
          </cell>
          <cell r="E99" t="str">
            <v>Колбасные изделия</v>
          </cell>
          <cell r="F99" t="str">
            <v>Вареные колбасы</v>
          </cell>
          <cell r="G99" t="str">
            <v>Папа может</v>
          </cell>
          <cell r="H99" t="str">
            <v>ОМПК(С)</v>
          </cell>
          <cell r="I99" t="str">
            <v>ТУ 10.13.14-150-00425283-2018</v>
          </cell>
          <cell r="J99" t="str">
            <v>Изделие колбасное вареное из мяса кур охлажденное.</v>
          </cell>
          <cell r="K99" t="str">
            <v>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99">
            <v>9</v>
          </cell>
          <cell r="M99">
            <v>14</v>
          </cell>
          <cell r="N99">
            <v>4</v>
          </cell>
          <cell r="O99" t="str">
            <v>178/739</v>
          </cell>
          <cell r="P99" t="str">
            <v>0…+6</v>
          </cell>
          <cell r="Q99">
            <v>60</v>
          </cell>
        </row>
        <row r="100">
          <cell r="B100">
            <v>1001017097420</v>
          </cell>
          <cell r="C100" t="str">
            <v>СОЧНАЯ КЛАССИКА ПМ вар п/о 0.5кг 8шт.</v>
          </cell>
          <cell r="D100" t="str">
            <v>ШТ</v>
          </cell>
          <cell r="E100" t="str">
            <v>Колбасные изделия</v>
          </cell>
          <cell r="F100" t="str">
            <v>Вареные колбасы</v>
          </cell>
          <cell r="G100" t="str">
            <v>Папа может</v>
          </cell>
          <cell r="H100" t="str">
            <v>ОМПК(С)</v>
          </cell>
          <cell r="I100" t="str">
            <v>ТУ 10.13.14-150-00425283-2018</v>
          </cell>
          <cell r="J100" t="str">
            <v>Изделие колбасное вареное из мяса кур охлажденное.</v>
          </cell>
          <cell r="K100"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100">
            <v>10</v>
          </cell>
          <cell r="M100">
            <v>16</v>
          </cell>
          <cell r="N100">
            <v>2</v>
          </cell>
          <cell r="O100" t="str">
            <v>192/796</v>
          </cell>
          <cell r="P100" t="str">
            <v>0…+6</v>
          </cell>
          <cell r="Q100">
            <v>60</v>
          </cell>
        </row>
        <row r="101">
          <cell r="B101">
            <v>1001015696863</v>
          </cell>
          <cell r="C101" t="str">
            <v>СО ШПИКОМ И ЧЕСНОКОМ Коровино п/о</v>
          </cell>
          <cell r="D101" t="str">
            <v>КГ</v>
          </cell>
          <cell r="E101" t="str">
            <v>Колбасные изделия</v>
          </cell>
          <cell r="F101" t="str">
            <v>Вареные колбасы</v>
          </cell>
          <cell r="G101" t="str">
            <v>Коровино</v>
          </cell>
          <cell r="H101" t="str">
            <v>ОМПК(С)</v>
          </cell>
          <cell r="I101" t="str">
            <v>ТУ 10.13.14-150-00425283-2018</v>
          </cell>
          <cell r="J101" t="str">
            <v>Изделие колбасное вареное из мяса кур охлажденное.</v>
          </cell>
          <cell r="K101" t="str">
            <v>филе грудок куриных, мясо куриное механической обвалки, вода, свинина, белковый стабилизатор (вода, шкурка свиная, кожа куриная), шпик,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камеди (гуаровая, ксантановая); натуральные пряности и экстракты пряностей (в т.ч. горчичное семя, сельдерей), ароматизаторы, антиокислитель изоаскорбат натрия, усилитель вкуса и аромата глутамат натрия, растительное масло, соль, чеснок, краситель кармины</v>
          </cell>
          <cell r="L101">
            <v>8</v>
          </cell>
          <cell r="M101">
            <v>15</v>
          </cell>
          <cell r="N101">
            <v>3</v>
          </cell>
          <cell r="O101" t="str">
            <v>179/742</v>
          </cell>
          <cell r="P101" t="str">
            <v>0…+6</v>
          </cell>
          <cell r="Q101">
            <v>60</v>
          </cell>
        </row>
        <row r="102">
          <cell r="B102">
            <v>1001016427185</v>
          </cell>
          <cell r="C102" t="str">
            <v>СУПЕР МЯСНАЯ ПМ вар б/о в/у срез 0.4кг</v>
          </cell>
          <cell r="D102" t="str">
            <v>ШТ</v>
          </cell>
          <cell r="E102" t="str">
            <v>Колбасные изделия</v>
          </cell>
          <cell r="F102" t="str">
            <v>Вареные колбасы</v>
          </cell>
          <cell r="G102" t="str">
            <v>Папа может</v>
          </cell>
          <cell r="H102" t="str">
            <v>ОМПК(О)</v>
          </cell>
          <cell r="I102" t="str">
            <v>ТУ 10.13.14-150-00425283-2018</v>
          </cell>
          <cell r="J102" t="str">
            <v>Изделие колбасное вареное из мяса кур охлажденное.</v>
          </cell>
          <cell r="K102" t="str">
            <v>мясо куриное механической обвалки, вода питьевая, свинина, филе куриной грудки, стабилизатор белковый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антиокислитель (аскорбиновая кислота), усилитель вкуса и аромата (глутамат натрия), ароматизаторы, краситель (кармины)</v>
          </cell>
          <cell r="L102">
            <v>9</v>
          </cell>
          <cell r="M102">
            <v>14</v>
          </cell>
          <cell r="O102" t="str">
            <v>162/671</v>
          </cell>
          <cell r="P102" t="str">
            <v>0…+6</v>
          </cell>
          <cell r="Q102">
            <v>30</v>
          </cell>
        </row>
        <row r="103">
          <cell r="B103">
            <v>1001017567518</v>
          </cell>
          <cell r="C103" t="str">
            <v>ТЕЛЯЧЬЯ ГОСТ Останкино вар н/о в/у</v>
          </cell>
          <cell r="D103" t="str">
            <v>КГ</v>
          </cell>
          <cell r="E103" t="str">
            <v>Колбасные изделия</v>
          </cell>
          <cell r="F103" t="str">
            <v>Вареные колбасы</v>
          </cell>
          <cell r="G103" t="str">
            <v>Останкино</v>
          </cell>
          <cell r="H103" t="str">
            <v>ОМПК(Г)</v>
          </cell>
          <cell r="I103" t="str">
            <v>ГОСТ 23670-2019</v>
          </cell>
          <cell r="J103" t="str">
            <v>Мясной продукт. Изделие колбасное вареное категории А.</v>
          </cell>
          <cell r="K103" t="str">
            <v>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v>
          </cell>
          <cell r="L103">
            <v>12</v>
          </cell>
          <cell r="M103">
            <v>25</v>
          </cell>
          <cell r="N103">
            <v>0</v>
          </cell>
          <cell r="O103" t="str">
            <v>273/1143</v>
          </cell>
          <cell r="P103" t="str">
            <v>0…+6</v>
          </cell>
          <cell r="Q103">
            <v>30</v>
          </cell>
        </row>
        <row r="104">
          <cell r="B104">
            <v>1001012564813</v>
          </cell>
          <cell r="C104" t="str">
            <v>ФИЛЕЙНАЯ Папа может вар п/о</v>
          </cell>
          <cell r="D104" t="str">
            <v>КГ</v>
          </cell>
          <cell r="E104" t="str">
            <v>Колбасные изделия</v>
          </cell>
          <cell r="F104" t="str">
            <v>Вареные колбасы</v>
          </cell>
          <cell r="G104" t="str">
            <v>Папа может</v>
          </cell>
          <cell r="H104" t="str">
            <v>ОМПК(С)</v>
          </cell>
          <cell r="I104" t="str">
            <v>ТУ 10.13.14-150-00425283-2018</v>
          </cell>
          <cell r="J104" t="str">
            <v>Изделие колбасное вареное из мяса кур охлажденное.</v>
          </cell>
          <cell r="K104"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4">
            <v>11</v>
          </cell>
          <cell r="M104">
            <v>12</v>
          </cell>
          <cell r="N104">
            <v>3</v>
          </cell>
          <cell r="O104" t="str">
            <v>164/682</v>
          </cell>
          <cell r="P104" t="str">
            <v>0…+6</v>
          </cell>
          <cell r="Q104">
            <v>60</v>
          </cell>
        </row>
        <row r="105">
          <cell r="B105">
            <v>1001012566392</v>
          </cell>
          <cell r="C105" t="str">
            <v>ФИЛЕЙНАЯ Папа может вар п/о 0.4кг</v>
          </cell>
          <cell r="D105" t="str">
            <v>ШТ</v>
          </cell>
          <cell r="E105" t="str">
            <v>Колбасные изделия</v>
          </cell>
          <cell r="F105" t="str">
            <v>Вареные колбасы</v>
          </cell>
          <cell r="G105" t="str">
            <v>Папа может</v>
          </cell>
          <cell r="H105" t="str">
            <v>ОМПК(С)</v>
          </cell>
          <cell r="I105" t="str">
            <v>ТУ 10.13.14-150-00425283-2018</v>
          </cell>
          <cell r="J105" t="str">
            <v>Изделие колбасное вареное из мяса кур охлажденное.</v>
          </cell>
          <cell r="K105"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5">
            <v>11</v>
          </cell>
          <cell r="M105">
            <v>12</v>
          </cell>
          <cell r="N105">
            <v>3</v>
          </cell>
          <cell r="O105" t="str">
            <v>164/682</v>
          </cell>
          <cell r="P105" t="str">
            <v>0…+6</v>
          </cell>
          <cell r="Q105">
            <v>60</v>
          </cell>
        </row>
        <row r="106">
          <cell r="B106">
            <v>1001012566345</v>
          </cell>
          <cell r="C106" t="str">
            <v>ФИЛЕЙНАЯ Папа может вар п/о 0.5кг 8шт.</v>
          </cell>
          <cell r="D106" t="str">
            <v>ШТ</v>
          </cell>
          <cell r="E106" t="str">
            <v>Колбасные изделия</v>
          </cell>
          <cell r="F106" t="str">
            <v>Вареные колбасы</v>
          </cell>
          <cell r="G106" t="str">
            <v>Папа может</v>
          </cell>
          <cell r="H106" t="str">
            <v xml:space="preserve">ОМПК(С)
ОМПК(О)
</v>
          </cell>
          <cell r="I106" t="str">
            <v>ТУ 10.13.14-150-00425283-2018</v>
          </cell>
          <cell r="J106" t="str">
            <v>Изделие колбасное вареное из мяса кур охлажденное.</v>
          </cell>
          <cell r="K106"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6">
            <v>11</v>
          </cell>
          <cell r="M106">
            <v>12</v>
          </cell>
          <cell r="N106">
            <v>3</v>
          </cell>
          <cell r="O106" t="str">
            <v>164/682</v>
          </cell>
          <cell r="P106" t="str">
            <v>0…+6</v>
          </cell>
          <cell r="Q106">
            <v>60</v>
          </cell>
        </row>
        <row r="107">
          <cell r="B107">
            <v>1001012567522</v>
          </cell>
          <cell r="C107" t="str">
            <v>ФИЛЕЙНАЯ Папа может вар п/о 0.45кг 6шт.</v>
          </cell>
          <cell r="D107" t="str">
            <v>ШТ</v>
          </cell>
          <cell r="E107" t="str">
            <v>Колбасные изделия</v>
          </cell>
          <cell r="F107" t="str">
            <v>Вареные колбасы</v>
          </cell>
          <cell r="G107" t="str">
            <v>Папа может</v>
          </cell>
          <cell r="H107" t="str">
            <v>ОМПК(С)</v>
          </cell>
          <cell r="I107" t="str">
            <v>ТУ 10.13.14-150-00425283-2018</v>
          </cell>
          <cell r="J107" t="str">
            <v>Изделие колбасное вареное из мяса кур охлажденное.</v>
          </cell>
          <cell r="K107"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7">
            <v>11</v>
          </cell>
          <cell r="M107">
            <v>12</v>
          </cell>
          <cell r="N107">
            <v>3</v>
          </cell>
          <cell r="O107" t="str">
            <v>164/682</v>
          </cell>
          <cell r="P107" t="str">
            <v>0…+6</v>
          </cell>
          <cell r="Q107">
            <v>60</v>
          </cell>
        </row>
        <row r="108">
          <cell r="B108">
            <v>1001012566309</v>
          </cell>
          <cell r="C108" t="str">
            <v>ФИЛЕЙНАЯ Папа может вар п/о_А</v>
          </cell>
          <cell r="D108" t="str">
            <v>КГ</v>
          </cell>
          <cell r="E108" t="str">
            <v>Колбасные изделия</v>
          </cell>
          <cell r="F108" t="str">
            <v>Вареные колбасы</v>
          </cell>
          <cell r="G108" t="str">
            <v>Папа может</v>
          </cell>
          <cell r="H108" t="str">
            <v>ОМПК(С)</v>
          </cell>
          <cell r="I108" t="str">
            <v>ТУ 10.13.14-150-00425283-2018</v>
          </cell>
          <cell r="J108" t="str">
            <v>Изделие колбасное вареное из мяса кур охлажденное.</v>
          </cell>
          <cell r="K108"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8">
            <v>11</v>
          </cell>
          <cell r="M108">
            <v>12</v>
          </cell>
          <cell r="N108">
            <v>3</v>
          </cell>
          <cell r="O108" t="str">
            <v>164/682</v>
          </cell>
          <cell r="P108" t="str">
            <v>0…+6</v>
          </cell>
          <cell r="Q108">
            <v>60</v>
          </cell>
        </row>
        <row r="109">
          <cell r="B109">
            <v>1001012564211</v>
          </cell>
          <cell r="C109" t="str">
            <v>ФИЛЕЙНАЯ Папа может вар п/о_О</v>
          </cell>
          <cell r="D109" t="str">
            <v>КГ</v>
          </cell>
          <cell r="E109" t="str">
            <v>Колбасные изделия</v>
          </cell>
          <cell r="F109" t="str">
            <v>Вареные колбасы</v>
          </cell>
          <cell r="G109" t="str">
            <v>Папа может</v>
          </cell>
          <cell r="H109" t="str">
            <v>ОМПК(С)</v>
          </cell>
          <cell r="I109" t="str">
            <v>ТУ 10.13.14-150-00425283-2018</v>
          </cell>
          <cell r="J109" t="str">
            <v>Изделие колбасное вареное из мяса кур охлажденное.</v>
          </cell>
          <cell r="K109"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9">
            <v>11</v>
          </cell>
          <cell r="M109">
            <v>12</v>
          </cell>
          <cell r="N109">
            <v>3</v>
          </cell>
          <cell r="O109" t="str">
            <v>164/682</v>
          </cell>
          <cell r="P109" t="str">
            <v>0…+6</v>
          </cell>
          <cell r="Q109">
            <v>60</v>
          </cell>
        </row>
        <row r="110">
          <cell r="B110">
            <v>1001012564335</v>
          </cell>
          <cell r="C110" t="str">
            <v>ФИЛЕЙНАЯ Папа может вар п/о_СНГ</v>
          </cell>
          <cell r="D110" t="str">
            <v>КГ</v>
          </cell>
          <cell r="E110" t="str">
            <v>Колбасные изделия</v>
          </cell>
          <cell r="F110" t="str">
            <v>Вареные колбасы</v>
          </cell>
          <cell r="G110" t="str">
            <v>Папа может</v>
          </cell>
          <cell r="H110" t="str">
            <v>ОМПК(С)</v>
          </cell>
          <cell r="I110" t="str">
            <v>ТУ 10.13.14-150-00425283-2018</v>
          </cell>
          <cell r="J110" t="str">
            <v>Изделие колбасное вареное из мяса кур охлажденное.</v>
          </cell>
          <cell r="K110"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0">
            <v>11</v>
          </cell>
          <cell r="M110">
            <v>12</v>
          </cell>
          <cell r="N110">
            <v>3</v>
          </cell>
          <cell r="O110" t="str">
            <v>164/682</v>
          </cell>
          <cell r="P110" t="str">
            <v>0…+6</v>
          </cell>
          <cell r="Q110">
            <v>60</v>
          </cell>
        </row>
        <row r="111">
          <cell r="B111">
            <v>1001012564425</v>
          </cell>
          <cell r="C111" t="str">
            <v>Z-ФИЛЕЙНАЯ Папа может вар п/о_СНГ</v>
          </cell>
          <cell r="D111" t="str">
            <v>КГ</v>
          </cell>
          <cell r="E111" t="str">
            <v>Колбасные изделия</v>
          </cell>
          <cell r="F111" t="str">
            <v>Вареные колбасы</v>
          </cell>
          <cell r="G111" t="str">
            <v>Папа может</v>
          </cell>
          <cell r="H111" t="str">
            <v>ОМПК(С)</v>
          </cell>
          <cell r="I111" t="str">
            <v>ТУ 10.13.14-150-00425283-2018</v>
          </cell>
          <cell r="J111" t="str">
            <v>Изделие колбасное вареное из мяса кур охлажденное.</v>
          </cell>
          <cell r="K111"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1">
            <v>11</v>
          </cell>
          <cell r="M111">
            <v>12</v>
          </cell>
          <cell r="N111">
            <v>3</v>
          </cell>
          <cell r="O111" t="str">
            <v>164/682</v>
          </cell>
          <cell r="P111" t="str">
            <v>0…+6</v>
          </cell>
          <cell r="Q111">
            <v>60</v>
          </cell>
        </row>
        <row r="112">
          <cell r="B112">
            <v>1001012563485</v>
          </cell>
          <cell r="C112" t="str">
            <v>Z-ФИЛЕЙНАЯ Папа может вар п/о</v>
          </cell>
          <cell r="D112" t="str">
            <v>КГ</v>
          </cell>
          <cell r="E112" t="str">
            <v>Колбасные изделия</v>
          </cell>
          <cell r="F112" t="str">
            <v>Вареные колбасы</v>
          </cell>
          <cell r="G112" t="str">
            <v>Папа может</v>
          </cell>
          <cell r="H112" t="str">
            <v>ОМПК(С)</v>
          </cell>
          <cell r="I112" t="str">
            <v>ТУ 10.13.14-150-00425283-2018</v>
          </cell>
          <cell r="J112" t="str">
            <v>Изделие колбасное вареное из мяса кур охлажденное.</v>
          </cell>
          <cell r="K112"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2">
            <v>11</v>
          </cell>
          <cell r="M112">
            <v>12</v>
          </cell>
          <cell r="N112">
            <v>3</v>
          </cell>
          <cell r="O112" t="str">
            <v>164/682</v>
          </cell>
          <cell r="P112" t="str">
            <v>0…+6</v>
          </cell>
          <cell r="Q112">
            <v>60</v>
          </cell>
        </row>
        <row r="113">
          <cell r="B113">
            <v>1001012486502</v>
          </cell>
          <cell r="C113" t="str">
            <v>ФИРМЕННАЯ Папа может вар п/о 0.5кг 16шт.</v>
          </cell>
          <cell r="D113" t="str">
            <v>ШТ</v>
          </cell>
          <cell r="E113" t="str">
            <v>Колбасные изделия</v>
          </cell>
          <cell r="F113" t="str">
            <v>Вареные колбасы</v>
          </cell>
          <cell r="G113" t="str">
            <v>Папа может</v>
          </cell>
          <cell r="H113" t="str">
            <v>ОМПК(С)
ОМПК(О)
ОМПК(Г)</v>
          </cell>
          <cell r="I113" t="str">
            <v>ТУ 10.13.14-180-00425283-2025</v>
          </cell>
          <cell r="J113" t="str">
            <v>Мясной продукт. Изделие колбасное вареное категории В.</v>
          </cell>
          <cell r="K11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113">
            <v>9</v>
          </cell>
          <cell r="M113">
            <v>14</v>
          </cell>
          <cell r="N113">
            <v>5</v>
          </cell>
          <cell r="O113" t="str">
            <v>182/756</v>
          </cell>
          <cell r="P113" t="str">
            <v>0…+6</v>
          </cell>
          <cell r="Q113">
            <v>60</v>
          </cell>
        </row>
        <row r="114">
          <cell r="B114">
            <v>1001012505851</v>
          </cell>
          <cell r="C114" t="str">
            <v>ЭКСТРА Папа может вар п/о</v>
          </cell>
          <cell r="D114" t="str">
            <v>КГ</v>
          </cell>
          <cell r="E114" t="str">
            <v>Колбасные изделия</v>
          </cell>
          <cell r="F114" t="str">
            <v>Вареные колбасы</v>
          </cell>
          <cell r="G114" t="str">
            <v>Папа может</v>
          </cell>
          <cell r="H114" t="str">
            <v xml:space="preserve">ОМПК(С)
</v>
          </cell>
          <cell r="I114" t="str">
            <v xml:space="preserve"> ТУ 10.13.14-150-00425283-2018</v>
          </cell>
          <cell r="J114" t="str">
            <v>Изделие колбасное вареное из мяса кур охлажденное.</v>
          </cell>
          <cell r="K114"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4">
            <v>11</v>
          </cell>
          <cell r="M114">
            <v>12</v>
          </cell>
          <cell r="N114">
            <v>3</v>
          </cell>
          <cell r="O114" t="str">
            <v>164/682</v>
          </cell>
          <cell r="P114" t="str">
            <v>0…+6</v>
          </cell>
          <cell r="Q114">
            <v>60</v>
          </cell>
        </row>
        <row r="115">
          <cell r="B115">
            <v>1001012507632</v>
          </cell>
          <cell r="C115" t="str">
            <v>ЭКСТРА Папа может вар п/о 0.4кг 8шт_195к</v>
          </cell>
          <cell r="D115" t="str">
            <v>ШТ</v>
          </cell>
          <cell r="E115" t="str">
            <v>Колбасные изделия</v>
          </cell>
          <cell r="F115" t="str">
            <v>Вареные колбасы</v>
          </cell>
          <cell r="G115" t="str">
            <v>Папа может</v>
          </cell>
          <cell r="H115" t="str">
            <v xml:space="preserve">ОМПК(С)
</v>
          </cell>
          <cell r="I115" t="str">
            <v xml:space="preserve"> ТУ 10.13.14-150-00425283-2018</v>
          </cell>
          <cell r="J115" t="str">
            <v>Изделие колбасное вареное из мяса кур охлажденное.</v>
          </cell>
          <cell r="K115"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5">
            <v>11</v>
          </cell>
          <cell r="M115">
            <v>12</v>
          </cell>
          <cell r="N115">
            <v>3</v>
          </cell>
          <cell r="O115" t="str">
            <v>164/682</v>
          </cell>
          <cell r="P115" t="str">
            <v>0…+6</v>
          </cell>
          <cell r="Q115">
            <v>60</v>
          </cell>
        </row>
        <row r="116">
          <cell r="B116">
            <v>1001094517502</v>
          </cell>
          <cell r="C116" t="str">
            <v>ВЕТЧ.БАВАРСКАЯ GUTMANN в/у срез 0.4кг</v>
          </cell>
          <cell r="D116" t="str">
            <v>ШТ</v>
          </cell>
          <cell r="E116" t="str">
            <v>Колбасные изделия</v>
          </cell>
          <cell r="F116" t="str">
            <v>Ветчины</v>
          </cell>
          <cell r="G116" t="str">
            <v>GUTMANN</v>
          </cell>
          <cell r="H116" t="str">
            <v>ОМПК(Г)</v>
          </cell>
          <cell r="I116" t="str">
            <v>ТУ 10.13.14-149-00425283-2018</v>
          </cell>
          <cell r="J116" t="str">
            <v>Мясной продукт. Продукт из мяса вареный категории Б.</v>
          </cell>
          <cell r="K116" t="str">
            <v>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загуститель (каррагинан из водорослей EUCHEUMA), специи (в т.ч. горчица), пряности, экстракты специй,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v>
          </cell>
          <cell r="L116">
            <v>11</v>
          </cell>
          <cell r="M116">
            <v>14</v>
          </cell>
          <cell r="N116">
            <v>4</v>
          </cell>
          <cell r="O116" t="str">
            <v>186/773</v>
          </cell>
          <cell r="P116" t="str">
            <v>0…+6</v>
          </cell>
          <cell r="Q116">
            <v>45</v>
          </cell>
        </row>
        <row r="117">
          <cell r="B117">
            <v>1001093637593</v>
          </cell>
          <cell r="C117" t="str">
            <v>ВЕТЧ.БАЛЫКОВАЯ Коровино в/у 0.76кг</v>
          </cell>
          <cell r="D117" t="str">
            <v>ШТ</v>
          </cell>
          <cell r="E117" t="str">
            <v>Колбасные изделия</v>
          </cell>
          <cell r="F117" t="str">
            <v>Ветчины</v>
          </cell>
          <cell r="G117" t="str">
            <v>Коровино</v>
          </cell>
          <cell r="H117" t="str">
            <v xml:space="preserve">ОМПК(Г)
</v>
          </cell>
          <cell r="I117" t="str">
            <v>ТУ 10.13.14-182-00425283-2026</v>
          </cell>
          <cell r="J117" t="str">
            <v>Мясной продукт из свинины вареный категории Б.</v>
          </cell>
          <cell r="K117"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17">
            <v>11</v>
          </cell>
          <cell r="M117">
            <v>13</v>
          </cell>
          <cell r="N117">
            <v>4</v>
          </cell>
          <cell r="O117" t="str">
            <v>177/736</v>
          </cell>
          <cell r="P117" t="str">
            <v>0…+6</v>
          </cell>
          <cell r="Q117">
            <v>55</v>
          </cell>
        </row>
        <row r="118">
          <cell r="B118">
            <v>1001095797641</v>
          </cell>
          <cell r="C118" t="str">
            <v>ВЕТЧ.БРЕСТСКАЯ п/о 0.75кг 6шт.</v>
          </cell>
          <cell r="D118" t="str">
            <v>ШТ</v>
          </cell>
          <cell r="E118" t="str">
            <v>Колбасные изделия</v>
          </cell>
          <cell r="F118" t="str">
            <v>Ветчины</v>
          </cell>
          <cell r="G118" t="str">
            <v>Без ТМ</v>
          </cell>
          <cell r="H118" t="str">
            <v>ОМПК(С)</v>
          </cell>
          <cell r="I118" t="str">
            <v>ТУ 10.13.14-149-00425283-2018</v>
          </cell>
          <cell r="J118" t="str">
            <v>Мясной продукт из свинины вареный категории А.</v>
          </cell>
          <cell r="K118" t="str">
            <v>свинина, стабилизатор белковый (шкурка свиная, мясо цыпленка-бройлера механической обвалки, вода питьевая),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18">
            <v>10</v>
          </cell>
          <cell r="M118">
            <v>10</v>
          </cell>
          <cell r="N118">
            <v>4</v>
          </cell>
          <cell r="O118" t="str">
            <v>146/608</v>
          </cell>
          <cell r="P118" t="str">
            <v>0…+6</v>
          </cell>
          <cell r="Q118">
            <v>60</v>
          </cell>
        </row>
        <row r="119">
          <cell r="B119">
            <v>1001095227235</v>
          </cell>
          <cell r="C119" t="str">
            <v>ВЕТЧ.КЛАССИЧЕСКАЯ ПМ п/о 0.35кг 8шт_209к</v>
          </cell>
          <cell r="D119" t="str">
            <v>ШТ</v>
          </cell>
          <cell r="E119" t="str">
            <v>Колбасные изделия</v>
          </cell>
          <cell r="F119" t="str">
            <v>Ветчины</v>
          </cell>
          <cell r="G119" t="str">
            <v>Папа может</v>
          </cell>
          <cell r="H119" t="str">
            <v>ОМПК(Г)</v>
          </cell>
          <cell r="I119" t="str">
            <v>ТУ 10.13.14-149-00425283-2018</v>
          </cell>
          <cell r="J119" t="str">
            <v>Мясосодержащий продукт. Продукт из мяса вареный категории В.</v>
          </cell>
          <cell r="K119"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19">
            <v>10</v>
          </cell>
          <cell r="M119">
            <v>12</v>
          </cell>
          <cell r="N119">
            <v>2</v>
          </cell>
          <cell r="O119" t="str">
            <v>156/648</v>
          </cell>
          <cell r="P119" t="str">
            <v>0…+6</v>
          </cell>
          <cell r="Q119">
            <v>60</v>
          </cell>
        </row>
        <row r="120">
          <cell r="B120">
            <v>1001095227353</v>
          </cell>
          <cell r="C120" t="str">
            <v>ВЕТЧ.КЛАССИЧЕСКАЯ Коровино в/у 0.6кг_55с</v>
          </cell>
          <cell r="D120" t="str">
            <v>ШТ</v>
          </cell>
          <cell r="E120" t="str">
            <v>Колбасные изделия</v>
          </cell>
          <cell r="F120" t="str">
            <v>Ветчины</v>
          </cell>
          <cell r="G120" t="str">
            <v>Коровино</v>
          </cell>
          <cell r="H120" t="str">
            <v xml:space="preserve">ОМПК(С)
ОМПК(Г)
</v>
          </cell>
          <cell r="I120" t="str">
            <v>ТУ 10.13.14-182-00425283-2026</v>
          </cell>
          <cell r="J120" t="str">
            <v>Мясной продукт из свинины вареный категории Б.</v>
          </cell>
          <cell r="K120"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0">
            <v>10</v>
          </cell>
          <cell r="M120">
            <v>13</v>
          </cell>
          <cell r="N120">
            <v>4</v>
          </cell>
          <cell r="O120" t="str">
            <v>177/736</v>
          </cell>
          <cell r="P120" t="str">
            <v>0…+6</v>
          </cell>
          <cell r="Q120">
            <v>55</v>
          </cell>
        </row>
        <row r="121">
          <cell r="B121">
            <v>1001095226925</v>
          </cell>
          <cell r="C121" t="str">
            <v>ВЕТЧ.КЛАССИЧЕСКАЯ в/у 0.6кг 8шт.</v>
          </cell>
          <cell r="D121" t="str">
            <v>ШТ</v>
          </cell>
          <cell r="E121" t="str">
            <v>Колбасные изделия</v>
          </cell>
          <cell r="F121" t="str">
            <v>Ветчины</v>
          </cell>
          <cell r="G121" t="str">
            <v>Без ТМ</v>
          </cell>
          <cell r="H121" t="str">
            <v>ОМПК(С)</v>
          </cell>
          <cell r="I121" t="str">
            <v>ТУ 10.13.14-182-00425283-2026</v>
          </cell>
          <cell r="J121" t="str">
            <v>Мясной продукт из мяса вареный категории Б.</v>
          </cell>
          <cell r="K121"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1">
            <v>11</v>
          </cell>
          <cell r="M121">
            <v>13</v>
          </cell>
          <cell r="N121">
            <v>4</v>
          </cell>
          <cell r="O121" t="str">
            <v>177/736</v>
          </cell>
          <cell r="P121" t="str">
            <v>0…+6</v>
          </cell>
          <cell r="Q121">
            <v>45</v>
          </cell>
        </row>
        <row r="122">
          <cell r="B122">
            <v>1001095837670</v>
          </cell>
          <cell r="C122" t="str">
            <v>ВЕТЧ.КОПЧЕНАЯ в/у 0.6кг 8шт.</v>
          </cell>
          <cell r="D122" t="str">
            <v>ШТ</v>
          </cell>
          <cell r="E122" t="str">
            <v>Колбасные изделия</v>
          </cell>
          <cell r="F122" t="str">
            <v>Ветчины</v>
          </cell>
          <cell r="G122" t="str">
            <v>Коровино</v>
          </cell>
          <cell r="H122" t="str">
            <v>ОМПК(Г)</v>
          </cell>
          <cell r="I122" t="str">
            <v>ТУ 10.13.14-182-00425283-2026</v>
          </cell>
          <cell r="J122" t="str">
            <v>Мясной продукт из свинины вареный категории Б.</v>
          </cell>
          <cell r="K122"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2">
            <v>11</v>
          </cell>
          <cell r="M122">
            <v>13</v>
          </cell>
          <cell r="N122">
            <v>4</v>
          </cell>
          <cell r="O122" t="str">
            <v>177/736</v>
          </cell>
          <cell r="P122" t="str">
            <v>0…+6</v>
          </cell>
          <cell r="Q122">
            <v>55</v>
          </cell>
        </row>
        <row r="123">
          <cell r="B123">
            <v>1001094053215</v>
          </cell>
          <cell r="C123" t="str">
            <v>ВЕТЧ.МЯСНАЯ Папа может п/о 0.4кг 8шт.</v>
          </cell>
          <cell r="D123" t="str">
            <v>ШТ</v>
          </cell>
          <cell r="E123" t="str">
            <v>Колбасные изделия</v>
          </cell>
          <cell r="F123" t="str">
            <v>Ветчины</v>
          </cell>
          <cell r="G123" t="str">
            <v>Папа может</v>
          </cell>
          <cell r="H123" t="str">
            <v>ОМПК(Г)</v>
          </cell>
          <cell r="I123" t="str">
            <v>ТУ 10.13.14-149-00425283-2018</v>
          </cell>
          <cell r="J123" t="str">
            <v>Мясосодержащий продукт. Продукт из мяса вареный категории В.</v>
          </cell>
          <cell r="K123"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3">
            <v>10</v>
          </cell>
          <cell r="M123">
            <v>12</v>
          </cell>
          <cell r="N123">
            <v>2</v>
          </cell>
          <cell r="O123" t="str">
            <v>156/648</v>
          </cell>
          <cell r="P123" t="str">
            <v>0…+6</v>
          </cell>
          <cell r="Q123">
            <v>60</v>
          </cell>
        </row>
        <row r="124">
          <cell r="B124">
            <v>1001094053281</v>
          </cell>
          <cell r="C124" t="str">
            <v>ВЕТЧ.МЯСНАЯ Папа может п/о 0.4кг_СНГ</v>
          </cell>
          <cell r="D124" t="str">
            <v>ШТ</v>
          </cell>
          <cell r="E124" t="str">
            <v>Колбасные изделия</v>
          </cell>
          <cell r="F124" t="str">
            <v>Ветчины</v>
          </cell>
          <cell r="G124" t="str">
            <v>Папа может</v>
          </cell>
          <cell r="H124" t="str">
            <v>ОМПК(Г)</v>
          </cell>
          <cell r="I124" t="str">
            <v>ТУ 10.13.14-149-00425283-2018</v>
          </cell>
          <cell r="J124" t="str">
            <v>Мясосодержащий продукт. Продукт из мяса вареный категории В.</v>
          </cell>
          <cell r="K124"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4">
            <v>10</v>
          </cell>
          <cell r="M124">
            <v>12</v>
          </cell>
          <cell r="N124">
            <v>2</v>
          </cell>
          <cell r="O124" t="str">
            <v>156/648</v>
          </cell>
          <cell r="P124" t="str">
            <v>0…+6</v>
          </cell>
          <cell r="Q124">
            <v>60</v>
          </cell>
        </row>
        <row r="125">
          <cell r="B125">
            <v>1001094057348</v>
          </cell>
          <cell r="C125" t="str">
            <v>ВЕТЧ.МЯСНАЯ Папа может п/о 0.4кг 6шт.</v>
          </cell>
          <cell r="D125" t="str">
            <v>ШТ</v>
          </cell>
          <cell r="E125" t="str">
            <v>Колбасные изделия</v>
          </cell>
          <cell r="F125" t="str">
            <v>Ветчины</v>
          </cell>
          <cell r="G125" t="str">
            <v>Папа может</v>
          </cell>
          <cell r="H125" t="str">
            <v>ОМПК(С)</v>
          </cell>
          <cell r="I125" t="str">
            <v>ТУ 10.13.14-149-00425283-2018</v>
          </cell>
          <cell r="J125" t="str">
            <v>Мясосодержащий продукт. Продукт из мяса вареный категории В.</v>
          </cell>
          <cell r="K125"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5">
            <v>10</v>
          </cell>
          <cell r="M125">
            <v>12</v>
          </cell>
          <cell r="N125">
            <v>2</v>
          </cell>
          <cell r="O125" t="str">
            <v>156/648</v>
          </cell>
          <cell r="P125" t="str">
            <v>0…+6</v>
          </cell>
          <cell r="Q125">
            <v>60</v>
          </cell>
        </row>
        <row r="126">
          <cell r="B126">
            <v>1001092674584</v>
          </cell>
          <cell r="C126" t="str">
            <v>ВЕТЧ.ИЗ ЛОПАТКИ Папа может п/о_HRC</v>
          </cell>
          <cell r="D126" t="str">
            <v>КГ</v>
          </cell>
          <cell r="E126" t="str">
            <v>Колбасные изделия</v>
          </cell>
          <cell r="F126" t="str">
            <v>Ветчины</v>
          </cell>
          <cell r="G126" t="str">
            <v>Папа может</v>
          </cell>
          <cell r="H126" t="str">
            <v>ОМПК(С)
ОМПК(Г)</v>
          </cell>
          <cell r="I126" t="str">
            <v>ТУ 10.13.14-182-00425283-2026</v>
          </cell>
          <cell r="J126" t="str">
            <v>Мясосодержащий продукт из свинины вареный категории В.</v>
          </cell>
          <cell r="K126"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6">
            <v>10</v>
          </cell>
          <cell r="M126">
            <v>10</v>
          </cell>
          <cell r="N126">
            <v>4</v>
          </cell>
          <cell r="O126" t="str">
            <v>146/608</v>
          </cell>
          <cell r="P126" t="str">
            <v>0…+6</v>
          </cell>
          <cell r="Q126">
            <v>60</v>
          </cell>
        </row>
        <row r="127">
          <cell r="B127">
            <v>1001092675902</v>
          </cell>
          <cell r="C127" t="str">
            <v>ВЕТЧ.ИЗ ЛОПАТКИ Папа может п/о_HRC_Окей</v>
          </cell>
          <cell r="D127" t="str">
            <v>КГ</v>
          </cell>
          <cell r="E127" t="str">
            <v>Колбасные изделия</v>
          </cell>
          <cell r="F127" t="str">
            <v>Ветчины</v>
          </cell>
          <cell r="G127" t="str">
            <v>Папа может</v>
          </cell>
          <cell r="H127" t="str">
            <v>ОМПК(С)
ОМПК(Г)</v>
          </cell>
          <cell r="I127" t="str">
            <v>ТУ 10.13.14-182-00425283-2026</v>
          </cell>
          <cell r="J127" t="str">
            <v>Мясосодержащий продукт из свинины вареный категории В.</v>
          </cell>
          <cell r="K127"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7">
            <v>10</v>
          </cell>
          <cell r="M127">
            <v>10</v>
          </cell>
          <cell r="N127">
            <v>4</v>
          </cell>
          <cell r="O127" t="str">
            <v>146/608</v>
          </cell>
          <cell r="P127" t="str">
            <v>0…+6</v>
          </cell>
          <cell r="Q127">
            <v>60</v>
          </cell>
        </row>
        <row r="128">
          <cell r="B128">
            <v>1001092675945</v>
          </cell>
          <cell r="C128" t="str">
            <v>Z-ВЕТЧ.ИЗ ЛОПАТКИ Папа может п/о_HRC</v>
          </cell>
          <cell r="D128" t="str">
            <v>КГ</v>
          </cell>
          <cell r="E128" t="str">
            <v>Колбасные изделия</v>
          </cell>
          <cell r="F128" t="str">
            <v>Ветчины</v>
          </cell>
          <cell r="G128" t="str">
            <v>Папа может</v>
          </cell>
          <cell r="H128" t="str">
            <v>ОМПК(С)
ОМПК(Г)</v>
          </cell>
          <cell r="I128" t="str">
            <v>ТУ 10.13.14-182-00425283-2026</v>
          </cell>
          <cell r="J128" t="str">
            <v>Мясосодержащий продукт из свинины вареный категории В.</v>
          </cell>
          <cell r="K128"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8">
            <v>10</v>
          </cell>
          <cell r="M128">
            <v>10</v>
          </cell>
          <cell r="N128">
            <v>4</v>
          </cell>
          <cell r="O128" t="str">
            <v>146/608</v>
          </cell>
          <cell r="P128" t="str">
            <v>0…+6</v>
          </cell>
          <cell r="Q128">
            <v>60</v>
          </cell>
        </row>
        <row r="129">
          <cell r="B129">
            <v>1001092677543</v>
          </cell>
          <cell r="C129" t="str">
            <v>ВЕТЧ.ИЗ ЛОПАТКИ п/о (пресс)_HRC</v>
          </cell>
          <cell r="D129" t="str">
            <v>КГ</v>
          </cell>
          <cell r="E129" t="str">
            <v>Колбасные изделия</v>
          </cell>
          <cell r="F129" t="str">
            <v>Ветчины</v>
          </cell>
          <cell r="G129" t="str">
            <v>Папа может</v>
          </cell>
          <cell r="H129" t="str">
            <v>ОМПК(С)</v>
          </cell>
          <cell r="I129" t="str">
            <v>ТУ 10.13.14-182-00425283-2026</v>
          </cell>
          <cell r="J129" t="str">
            <v>Мясосодержащий продукт из свинины вареный категории В.</v>
          </cell>
          <cell r="K129"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9">
            <v>10</v>
          </cell>
          <cell r="M129">
            <v>10</v>
          </cell>
          <cell r="N129">
            <v>4</v>
          </cell>
          <cell r="O129" t="str">
            <v>146/608</v>
          </cell>
          <cell r="P129" t="str">
            <v>0…+6</v>
          </cell>
          <cell r="Q129">
            <v>60</v>
          </cell>
        </row>
        <row r="130">
          <cell r="B130">
            <v>1001096667266</v>
          </cell>
          <cell r="C130" t="str">
            <v>ВЕТЧ.ОХОТНИЧЬЯ ПМ п/о 0.35кг 6шт.</v>
          </cell>
          <cell r="D130" t="str">
            <v>ШТ</v>
          </cell>
          <cell r="E130" t="str">
            <v>Колбасные изделия</v>
          </cell>
          <cell r="F130" t="str">
            <v>Ветчины</v>
          </cell>
          <cell r="G130" t="str">
            <v>Папа может</v>
          </cell>
          <cell r="H130" t="str">
            <v>ОМПК(Г)</v>
          </cell>
          <cell r="I130" t="str">
            <v>ТУ 10.13.14-149-00425283-2018</v>
          </cell>
          <cell r="J130" t="str">
            <v>Мясосодержащий продукт. Продукт из мяса вареный категории В.</v>
          </cell>
          <cell r="K130"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30">
            <v>10</v>
          </cell>
          <cell r="M130">
            <v>12</v>
          </cell>
          <cell r="N130">
            <v>2</v>
          </cell>
          <cell r="O130" t="str">
            <v>156/648</v>
          </cell>
          <cell r="P130" t="str">
            <v>0…+6</v>
          </cell>
          <cell r="Q130">
            <v>60</v>
          </cell>
        </row>
        <row r="131">
          <cell r="B131">
            <v>1001092687245</v>
          </cell>
          <cell r="C131" t="str">
            <v>ВЕТЧ.ФИЛЕЙНАЯ ПМ п/о 0,4кг 8шт.</v>
          </cell>
          <cell r="D131" t="str">
            <v>ШТ</v>
          </cell>
          <cell r="E131" t="str">
            <v>Колбасные изделия</v>
          </cell>
          <cell r="F131" t="str">
            <v>Ветчины</v>
          </cell>
          <cell r="G131" t="str">
            <v>Папа может</v>
          </cell>
          <cell r="H131" t="str">
            <v>ОМПК(С)</v>
          </cell>
          <cell r="I131" t="str">
            <v>ТУ 10.13.14-188-00425283-2026</v>
          </cell>
          <cell r="J131" t="str">
            <v>Продукт из мяса кур вареный охлажденный.</v>
          </cell>
          <cell r="K131"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1">
            <v>10</v>
          </cell>
          <cell r="M131">
            <v>5</v>
          </cell>
          <cell r="N131">
            <v>4</v>
          </cell>
          <cell r="O131" t="str">
            <v>101/423</v>
          </cell>
          <cell r="P131" t="str">
            <v>0…+6</v>
          </cell>
          <cell r="Q131">
            <v>60</v>
          </cell>
        </row>
        <row r="132">
          <cell r="B132">
            <v>1001094966025</v>
          </cell>
          <cell r="C132" t="str">
            <v>ВЕТЧ.ФИРМЕННАЯ С ИНДЕЙКОЙ п/о</v>
          </cell>
          <cell r="D132" t="str">
            <v>КГ</v>
          </cell>
          <cell r="E132" t="str">
            <v>Колбасные изделия</v>
          </cell>
          <cell r="F132" t="str">
            <v>Ветчины</v>
          </cell>
          <cell r="G132" t="str">
            <v>Папа может</v>
          </cell>
          <cell r="H132" t="str">
            <v>ОМПК(С)</v>
          </cell>
          <cell r="I132" t="str">
            <v>ТУ 10.13.14-188-00425283-2026</v>
          </cell>
          <cell r="J132" t="str">
            <v>Продукт из мяса кур вареный охлажденный.</v>
          </cell>
          <cell r="K132"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2">
            <v>10</v>
          </cell>
          <cell r="M132">
            <v>5</v>
          </cell>
          <cell r="N132">
            <v>4</v>
          </cell>
          <cell r="O132" t="str">
            <v>101/423</v>
          </cell>
          <cell r="P132" t="str">
            <v>0…+6</v>
          </cell>
          <cell r="Q132">
            <v>60</v>
          </cell>
        </row>
        <row r="133">
          <cell r="B133">
            <v>1001094966848</v>
          </cell>
          <cell r="C133" t="str">
            <v>ВЕТЧ.ФИРМЕННАЯ С ИНДЕЙКОЙ ПМ п/о 1.5*4</v>
          </cell>
          <cell r="D133" t="str">
            <v>КГ</v>
          </cell>
          <cell r="E133" t="str">
            <v>Колбасные изделия</v>
          </cell>
          <cell r="F133" t="str">
            <v>Ветчины</v>
          </cell>
          <cell r="G133" t="str">
            <v>Папа может</v>
          </cell>
          <cell r="H133" t="str">
            <v>ОМПК(С)</v>
          </cell>
          <cell r="I133" t="str">
            <v>ТУ 10.13.14-188-00425283-2026</v>
          </cell>
          <cell r="J133" t="str">
            <v>Продукт из мяса кур вареный охлажденный.</v>
          </cell>
          <cell r="K133"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3">
            <v>10</v>
          </cell>
          <cell r="M133">
            <v>5</v>
          </cell>
          <cell r="N133">
            <v>4</v>
          </cell>
          <cell r="O133" t="str">
            <v>101/423</v>
          </cell>
          <cell r="P133" t="str">
            <v>0…+6</v>
          </cell>
          <cell r="Q133">
            <v>60</v>
          </cell>
        </row>
        <row r="134">
          <cell r="B134">
            <v>1001096687329</v>
          </cell>
          <cell r="C134" t="str">
            <v>ВЕТЧ.ДОМАШНЯЯ Папа может п/о 0.75кг 6шт.</v>
          </cell>
          <cell r="D134" t="str">
            <v>ШТ</v>
          </cell>
          <cell r="E134" t="str">
            <v>Колбасные изделия</v>
          </cell>
          <cell r="F134" t="str">
            <v>Ветчины</v>
          </cell>
          <cell r="G134" t="str">
            <v>Папа может</v>
          </cell>
          <cell r="H134" t="str">
            <v>ОМПК(С)</v>
          </cell>
          <cell r="I134" t="str">
            <v>ТУ 10.13.14-149-00425283-2018</v>
          </cell>
          <cell r="J134" t="str">
            <v>Мясосодержащий продукт. Продукт из мяса вареный категории В.</v>
          </cell>
          <cell r="K134"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34">
            <v>10</v>
          </cell>
          <cell r="M134">
            <v>12</v>
          </cell>
          <cell r="N134">
            <v>2</v>
          </cell>
          <cell r="O134" t="str">
            <v>156/648</v>
          </cell>
          <cell r="P134" t="str">
            <v>0…+6</v>
          </cell>
          <cell r="Q134">
            <v>60</v>
          </cell>
        </row>
        <row r="135">
          <cell r="B135">
            <v>1001096687574</v>
          </cell>
          <cell r="C135" t="str">
            <v>ВЕТЧ.ДОМАШНЯЯ Папа может п/о 0.75кг 12шт</v>
          </cell>
          <cell r="D135" t="str">
            <v>ШТ</v>
          </cell>
          <cell r="E135" t="str">
            <v>Колбасные изделия</v>
          </cell>
          <cell r="F135" t="str">
            <v>Ветчины</v>
          </cell>
          <cell r="G135" t="str">
            <v>Папа может</v>
          </cell>
          <cell r="H135" t="str">
            <v>ОМПК(С)</v>
          </cell>
          <cell r="I135" t="str">
            <v>ТУ 10.13.14-182-00425283-2026</v>
          </cell>
          <cell r="J135" t="str">
            <v>Мясосодержащий продукт из свинины вареный категории В.</v>
          </cell>
          <cell r="K135"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5">
            <v>10</v>
          </cell>
          <cell r="M135">
            <v>10</v>
          </cell>
          <cell r="N135">
            <v>4</v>
          </cell>
          <cell r="O135" t="str">
            <v>146/608</v>
          </cell>
          <cell r="P135" t="str">
            <v>0…+6</v>
          </cell>
          <cell r="Q135">
            <v>60</v>
          </cell>
        </row>
        <row r="136">
          <cell r="B136">
            <v>1001092646823</v>
          </cell>
          <cell r="C136" t="str">
            <v>ВЕТЧ.ДОМАШНЯЯ Папа может п/о</v>
          </cell>
          <cell r="D136" t="str">
            <v>КГ</v>
          </cell>
          <cell r="E136" t="str">
            <v>Колбасные изделия</v>
          </cell>
          <cell r="F136" t="str">
            <v>Ветчины</v>
          </cell>
          <cell r="G136" t="str">
            <v>Папа может</v>
          </cell>
          <cell r="H136" t="str">
            <v>ОМПК(С)</v>
          </cell>
          <cell r="I136" t="str">
            <v>ТУ 10.13.14-182-00425283-2026</v>
          </cell>
          <cell r="J136" t="str">
            <v>Мясосодержащий продукт из свинины вареный категории В.</v>
          </cell>
          <cell r="K136"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6">
            <v>10</v>
          </cell>
          <cell r="M136">
            <v>10</v>
          </cell>
          <cell r="N136">
            <v>4</v>
          </cell>
          <cell r="O136" t="str">
            <v>146/608</v>
          </cell>
          <cell r="P136" t="str">
            <v>0…+6</v>
          </cell>
          <cell r="Q136">
            <v>60</v>
          </cell>
        </row>
        <row r="137">
          <cell r="B137">
            <v>1001095726867</v>
          </cell>
          <cell r="C137" t="str">
            <v>ВЕТЧ.ДОМАШНИЙ РЕЦЕПТ Коровино п/о</v>
          </cell>
          <cell r="D137" t="str">
            <v>КГ</v>
          </cell>
          <cell r="E137" t="str">
            <v>Колбасные изделия</v>
          </cell>
          <cell r="F137" t="str">
            <v>Ветчины</v>
          </cell>
          <cell r="G137" t="str">
            <v>Коровино</v>
          </cell>
          <cell r="H137" t="str">
            <v>ОМПК(С)</v>
          </cell>
          <cell r="I137" t="str">
            <v>ТУ 10.13.14-182-00425283-2026</v>
          </cell>
          <cell r="J137" t="str">
            <v>Мясосодержащий продукт из свинины вареный категории В.</v>
          </cell>
          <cell r="K137"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7">
            <v>10</v>
          </cell>
          <cell r="M137">
            <v>10</v>
          </cell>
          <cell r="N137">
            <v>4</v>
          </cell>
          <cell r="O137" t="str">
            <v>146/608</v>
          </cell>
          <cell r="P137" t="str">
            <v>0…+6</v>
          </cell>
          <cell r="Q137">
            <v>60</v>
          </cell>
        </row>
        <row r="138">
          <cell r="B138">
            <v>1001092436470</v>
          </cell>
          <cell r="C138" t="str">
            <v>ВЕТЧ.МРАМОРНАЯ в/у_45с</v>
          </cell>
          <cell r="D138" t="str">
            <v>КГ</v>
          </cell>
          <cell r="E138" t="str">
            <v>Колбасные изделия</v>
          </cell>
          <cell r="F138" t="str">
            <v>Ветчины</v>
          </cell>
          <cell r="G138" t="str">
            <v>Останкино</v>
          </cell>
          <cell r="H138" t="str">
            <v>ОМПК(С)</v>
          </cell>
          <cell r="I138" t="str">
            <v>ТУ 10.13.14-182-00425283-2026</v>
          </cell>
          <cell r="J138" t="str">
            <v>Мясной продукт из свинины вареный категории Б.</v>
          </cell>
          <cell r="K138"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8">
            <v>11</v>
          </cell>
          <cell r="M138">
            <v>13</v>
          </cell>
          <cell r="N138">
            <v>4</v>
          </cell>
          <cell r="O138" t="str">
            <v>177/736</v>
          </cell>
          <cell r="P138" t="str">
            <v>0…+6</v>
          </cell>
          <cell r="Q138">
            <v>45</v>
          </cell>
        </row>
        <row r="139">
          <cell r="B139">
            <v>1001092485452</v>
          </cell>
          <cell r="C139" t="str">
            <v>ВЕТЧ.МЯСНАЯ Папа может п/о</v>
          </cell>
          <cell r="D139" t="str">
            <v>КГ</v>
          </cell>
          <cell r="E139" t="str">
            <v>Колбасные изделия</v>
          </cell>
          <cell r="F139" t="str">
            <v>Ветчины</v>
          </cell>
          <cell r="G139" t="str">
            <v>Папа может</v>
          </cell>
          <cell r="H139" t="str">
            <v>ОМПК(Г)</v>
          </cell>
          <cell r="I139" t="str">
            <v>ТУ 10.13.14-149-00425283-2018</v>
          </cell>
          <cell r="J139" t="str">
            <v>Мясосодержащий продукт. Продукт из мяса вареный категории В.</v>
          </cell>
          <cell r="K139"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39">
            <v>10</v>
          </cell>
          <cell r="M139">
            <v>12</v>
          </cell>
          <cell r="N139">
            <v>2</v>
          </cell>
          <cell r="O139" t="str">
            <v>156/684</v>
          </cell>
          <cell r="P139" t="str">
            <v>0…+6</v>
          </cell>
          <cell r="Q139">
            <v>60</v>
          </cell>
        </row>
        <row r="140">
          <cell r="B140">
            <v>1001095716866</v>
          </cell>
          <cell r="C140" t="str">
            <v>ВЕТЧ.НЕЖНАЯ Коровино п/о_Маяк</v>
          </cell>
          <cell r="D140" t="str">
            <v>КГ</v>
          </cell>
          <cell r="E140" t="str">
            <v>Колбасные изделия</v>
          </cell>
          <cell r="F140" t="str">
            <v>Ветчины</v>
          </cell>
          <cell r="G140" t="str">
            <v>Коровино</v>
          </cell>
          <cell r="H140" t="str">
            <v>ОМПК(С)</v>
          </cell>
          <cell r="I140" t="str">
            <v>ТУ 10.13.14-149-00425283-2018</v>
          </cell>
          <cell r="J140" t="str">
            <v>Мясосодержащий продукт. Продукт из мяса вареный категории В.</v>
          </cell>
          <cell r="K140" t="str">
            <v>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v>
          </cell>
          <cell r="L140">
            <v>10</v>
          </cell>
          <cell r="M140">
            <v>9</v>
          </cell>
          <cell r="N140">
            <v>3</v>
          </cell>
          <cell r="O140" t="str">
            <v>133/554</v>
          </cell>
          <cell r="P140" t="str">
            <v>0…+6</v>
          </cell>
          <cell r="Q140">
            <v>60</v>
          </cell>
        </row>
        <row r="141">
          <cell r="B141">
            <v>1001095717142</v>
          </cell>
          <cell r="C141" t="str">
            <v>ВЕТЧ.НЕЖНАЯ Коровино п/о_Т</v>
          </cell>
          <cell r="D141" t="str">
            <v>КГ</v>
          </cell>
          <cell r="E141" t="str">
            <v>Колбасные изделия</v>
          </cell>
          <cell r="F141" t="str">
            <v>Ветчины</v>
          </cell>
          <cell r="G141" t="str">
            <v>Коровино</v>
          </cell>
          <cell r="H141" t="str">
            <v>ОМПК(С)</v>
          </cell>
          <cell r="I141" t="str">
            <v>ТУ 10.13.14-182-00425283-2026</v>
          </cell>
          <cell r="J141" t="str">
            <v>Мясосодержащий продукт из свинины вареный категории В.</v>
          </cell>
          <cell r="K141"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1">
            <v>10</v>
          </cell>
          <cell r="M141">
            <v>10</v>
          </cell>
          <cell r="N141">
            <v>4</v>
          </cell>
          <cell r="O141" t="str">
            <v>146/608</v>
          </cell>
          <cell r="P141" t="str">
            <v>0…+6</v>
          </cell>
          <cell r="Q141">
            <v>60</v>
          </cell>
        </row>
        <row r="142">
          <cell r="B142">
            <v>1001095716907</v>
          </cell>
          <cell r="C142" t="str">
            <v>Z-ВЕТЧ.НЕЖНАЯ Коровино п/о</v>
          </cell>
          <cell r="D142" t="str">
            <v>КГ</v>
          </cell>
          <cell r="E142" t="str">
            <v>Колбасные изделия</v>
          </cell>
          <cell r="F142" t="str">
            <v>Ветчины</v>
          </cell>
          <cell r="G142" t="str">
            <v>Коровино</v>
          </cell>
          <cell r="H142" t="str">
            <v>ОМПК(С)</v>
          </cell>
          <cell r="I142" t="str">
            <v>ТУ 10.13.14-182-00425283-2026</v>
          </cell>
          <cell r="J142" t="str">
            <v>Мясосодержащий продукт из свинины вареный категории В.</v>
          </cell>
          <cell r="K142"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2">
            <v>10</v>
          </cell>
          <cell r="M142">
            <v>10</v>
          </cell>
          <cell r="N142">
            <v>4</v>
          </cell>
          <cell r="O142" t="str">
            <v>146/608</v>
          </cell>
          <cell r="P142" t="str">
            <v>0…+6</v>
          </cell>
          <cell r="Q142">
            <v>60</v>
          </cell>
        </row>
        <row r="143">
          <cell r="B143">
            <v>1001093345495</v>
          </cell>
          <cell r="C143" t="str">
            <v>ВЕТЧ.С ИНДЕЙКОЙ Папа может п/о 400*6</v>
          </cell>
          <cell r="D143" t="str">
            <v>ШТ</v>
          </cell>
          <cell r="E143" t="str">
            <v>Колбасные изделия</v>
          </cell>
          <cell r="F143" t="str">
            <v>Ветчины</v>
          </cell>
          <cell r="G143" t="str">
            <v>Папа может</v>
          </cell>
          <cell r="H143" t="str">
            <v>ОМПК(С)</v>
          </cell>
          <cell r="I143" t="str">
            <v>ТУ 10.13.14-188-00425283-2026</v>
          </cell>
          <cell r="J143" t="str">
            <v>Продукт из мяса кур вареный охлажденный</v>
          </cell>
          <cell r="K143"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3">
            <v>10</v>
          </cell>
          <cell r="M143">
            <v>5</v>
          </cell>
          <cell r="N143">
            <v>4</v>
          </cell>
          <cell r="O143" t="str">
            <v>101/423</v>
          </cell>
          <cell r="P143" t="str">
            <v>0…+6</v>
          </cell>
          <cell r="Q143">
            <v>60</v>
          </cell>
        </row>
        <row r="144">
          <cell r="B144">
            <v>1001097637637</v>
          </cell>
          <cell r="C144" t="str">
            <v>ВЕТЧ.С ИНДЕЙКОЙ ПМ п/о 0.4кг 12шт.</v>
          </cell>
          <cell r="D144" t="str">
            <v>ШТ</v>
          </cell>
          <cell r="E144" t="str">
            <v>Колбасные изделия</v>
          </cell>
          <cell r="F144" t="str">
            <v>Ветчины</v>
          </cell>
          <cell r="G144" t="str">
            <v>Папа может</v>
          </cell>
          <cell r="H144" t="str">
            <v>ОМПК(С)</v>
          </cell>
          <cell r="I144" t="str">
            <v>ТУ 10.13.14-188-00425283-2026</v>
          </cell>
          <cell r="J144" t="str">
            <v>Продукт из мяса кур вареный охлажденный</v>
          </cell>
          <cell r="K144"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4">
            <v>10</v>
          </cell>
          <cell r="M144">
            <v>5</v>
          </cell>
          <cell r="N144">
            <v>4</v>
          </cell>
          <cell r="O144" t="str">
            <v>101/423</v>
          </cell>
          <cell r="P144" t="str">
            <v>0…+6</v>
          </cell>
          <cell r="Q144">
            <v>60</v>
          </cell>
        </row>
        <row r="145">
          <cell r="B145">
            <v>1001095027377</v>
          </cell>
          <cell r="C145" t="str">
            <v>ВЕТЧ.С ИНДЕЙКОЙ ПМ в/у срез 0.3кг 6шт.</v>
          </cell>
          <cell r="D145" t="str">
            <v>ШТ</v>
          </cell>
          <cell r="E145" t="str">
            <v>Колбасные изделия</v>
          </cell>
          <cell r="F145" t="str">
            <v>Ветчины</v>
          </cell>
          <cell r="G145" t="str">
            <v>Папа может</v>
          </cell>
          <cell r="H145" t="str">
            <v>ОМПК(С)</v>
          </cell>
          <cell r="I145" t="str">
            <v>ТУ 10.13.14-188-00425283-2026</v>
          </cell>
          <cell r="J145" t="str">
            <v>Продукт из мяса кур вареный охлажденный</v>
          </cell>
          <cell r="K145"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5">
            <v>10</v>
          </cell>
          <cell r="M145">
            <v>5</v>
          </cell>
          <cell r="N145">
            <v>4</v>
          </cell>
          <cell r="O145" t="str">
            <v>101/423</v>
          </cell>
          <cell r="P145" t="str">
            <v>0…+6</v>
          </cell>
          <cell r="Q145">
            <v>45</v>
          </cell>
        </row>
        <row r="146">
          <cell r="B146">
            <v>1001095027482</v>
          </cell>
          <cell r="C146" t="str">
            <v>Z-ВЕТЧ.С ИНДЕЙКОЙ ПМ в/у срез 0.3кг</v>
          </cell>
          <cell r="D146" t="str">
            <v>ШТ</v>
          </cell>
          <cell r="E146" t="str">
            <v>Колбасные изделия</v>
          </cell>
          <cell r="F146" t="str">
            <v>Ветчины</v>
          </cell>
          <cell r="G146" t="str">
            <v>Папа может</v>
          </cell>
          <cell r="H146" t="str">
            <v>ОМПК(С)</v>
          </cell>
          <cell r="I146" t="str">
            <v>ТУ 10.13.14-188-00425283-2026</v>
          </cell>
          <cell r="J146" t="str">
            <v>Продукт из мяса кур вареный охлажденный</v>
          </cell>
          <cell r="K146"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6">
            <v>10</v>
          </cell>
          <cell r="M146">
            <v>5</v>
          </cell>
          <cell r="N146">
            <v>4</v>
          </cell>
          <cell r="O146" t="str">
            <v>101/423</v>
          </cell>
          <cell r="P146" t="str">
            <v>0…+6</v>
          </cell>
          <cell r="Q146">
            <v>7</v>
          </cell>
        </row>
        <row r="147">
          <cell r="B147">
            <v>1001092436495</v>
          </cell>
          <cell r="C147" t="str">
            <v>ВЕТЧ.МРАМОРНАЯ в/у срез 0.3кг 6шт_45с</v>
          </cell>
          <cell r="D147" t="str">
            <v>ШТ</v>
          </cell>
          <cell r="E147" t="str">
            <v>Колбасные изделия</v>
          </cell>
          <cell r="F147" t="str">
            <v>Ветчины</v>
          </cell>
          <cell r="G147" t="str">
            <v>Останкино</v>
          </cell>
          <cell r="H147" t="str">
            <v>ОМПК(С)</v>
          </cell>
          <cell r="I147" t="str">
            <v>ТУ 10.13.14-182-00425283-2026</v>
          </cell>
          <cell r="J147" t="str">
            <v>Мясной продукт из свинины вареный категории Б.</v>
          </cell>
          <cell r="K147"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7">
            <v>11</v>
          </cell>
          <cell r="M147">
            <v>13</v>
          </cell>
          <cell r="N147">
            <v>4</v>
          </cell>
          <cell r="O147" t="str">
            <v>177/736</v>
          </cell>
          <cell r="P147" t="str">
            <v>0…+6</v>
          </cell>
          <cell r="Q147">
            <v>45</v>
          </cell>
        </row>
        <row r="148">
          <cell r="B148">
            <v>1001092437354</v>
          </cell>
          <cell r="C148" t="str">
            <v>ВЕТЧ.МРАМОРНАЯ Коровино в/у 0.6кг_55с</v>
          </cell>
          <cell r="D148" t="str">
            <v>ШТ</v>
          </cell>
          <cell r="E148" t="str">
            <v>Колбасные изделия</v>
          </cell>
          <cell r="F148" t="str">
            <v>Ветчины</v>
          </cell>
          <cell r="G148" t="str">
            <v>Коровино</v>
          </cell>
          <cell r="H148" t="str">
            <v>ОМПК(С)
ОМПК(Г)</v>
          </cell>
          <cell r="I148" t="str">
            <v>ТУ 10.13.14-182-00425283-2026</v>
          </cell>
          <cell r="J148" t="str">
            <v>Мясной продукт из свинины вареный категории Б.</v>
          </cell>
          <cell r="K148"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8">
            <v>11</v>
          </cell>
          <cell r="M148">
            <v>13</v>
          </cell>
          <cell r="N148">
            <v>4</v>
          </cell>
          <cell r="O148" t="str">
            <v>177/736</v>
          </cell>
          <cell r="P148" t="str">
            <v>0…+6</v>
          </cell>
          <cell r="Q148">
            <v>55</v>
          </cell>
        </row>
        <row r="149">
          <cell r="B149">
            <v>1001093316411</v>
          </cell>
          <cell r="C149" t="str">
            <v>ВЕТЧ.РУБЛЕНАЯ ПМ в/у срез 0.3кг 6шт.</v>
          </cell>
          <cell r="D149" t="str">
            <v>ШТ</v>
          </cell>
          <cell r="E149" t="str">
            <v>Колбасные изделия</v>
          </cell>
          <cell r="F149" t="str">
            <v>Ветчины</v>
          </cell>
          <cell r="G149" t="str">
            <v>Папа может</v>
          </cell>
          <cell r="H149" t="str">
            <v>ОМПК(С)
ОМПК(Г)</v>
          </cell>
          <cell r="I149" t="str">
            <v>ТУ 10.13.14-182-00425283-2026</v>
          </cell>
          <cell r="J149" t="str">
            <v>Мясной продукт из свинины вареный категории Б.</v>
          </cell>
          <cell r="K149"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9">
            <v>11</v>
          </cell>
          <cell r="M149">
            <v>13</v>
          </cell>
          <cell r="N149">
            <v>4</v>
          </cell>
          <cell r="O149" t="str">
            <v>177/736</v>
          </cell>
          <cell r="P149" t="str">
            <v>0…+6</v>
          </cell>
          <cell r="Q149">
            <v>45</v>
          </cell>
        </row>
        <row r="150">
          <cell r="B150">
            <v>1001093316511</v>
          </cell>
          <cell r="C150" t="str">
            <v>Z-ВЕТЧ.РУБЛЕНАЯ ПМ в/у срез 0.3кг 6шт.</v>
          </cell>
          <cell r="D150" t="str">
            <v>ШТ</v>
          </cell>
          <cell r="E150" t="str">
            <v>Колбасные изделия</v>
          </cell>
          <cell r="F150" t="str">
            <v>Ветчины</v>
          </cell>
          <cell r="G150" t="str">
            <v>Папа может</v>
          </cell>
          <cell r="H150" t="str">
            <v>ОМПК(С)</v>
          </cell>
          <cell r="I150" t="str">
            <v>ТУ 10.13.14-182-00425283-2026</v>
          </cell>
          <cell r="J150" t="str">
            <v>Мясной продукт из свинины вареный категории Б.</v>
          </cell>
          <cell r="K150"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0">
            <v>11</v>
          </cell>
          <cell r="M150">
            <v>13</v>
          </cell>
          <cell r="N150">
            <v>4</v>
          </cell>
          <cell r="O150" t="str">
            <v>177/736</v>
          </cell>
          <cell r="P150" t="str">
            <v>0…+6</v>
          </cell>
          <cell r="Q150">
            <v>10</v>
          </cell>
        </row>
        <row r="151">
          <cell r="B151">
            <v>1001093317480</v>
          </cell>
          <cell r="C151" t="str">
            <v>ВЕТЧ.РУБЛЕНАЯ ПМ в/у срез 0.6кг_Kvalita</v>
          </cell>
          <cell r="D151" t="str">
            <v>ШТ</v>
          </cell>
          <cell r="E151" t="str">
            <v>Колбасные изделия</v>
          </cell>
          <cell r="F151" t="str">
            <v>Ветчины</v>
          </cell>
          <cell r="G151" t="str">
            <v>Папа может</v>
          </cell>
          <cell r="H151" t="str">
            <v>ОМПК(С)
ОМПК(Г)</v>
          </cell>
          <cell r="I151" t="str">
            <v>ТУ 10.13.14-182-00425283-2026</v>
          </cell>
          <cell r="J151" t="str">
            <v>Мясной продукт из свинины вареный категории Б.</v>
          </cell>
          <cell r="K151"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1">
            <v>11</v>
          </cell>
          <cell r="M151">
            <v>13</v>
          </cell>
          <cell r="N151">
            <v>4</v>
          </cell>
          <cell r="O151" t="str">
            <v>177/736</v>
          </cell>
          <cell r="P151" t="str">
            <v>0…+6</v>
          </cell>
          <cell r="Q151">
            <v>45</v>
          </cell>
        </row>
        <row r="152">
          <cell r="B152">
            <v>1001097707648</v>
          </cell>
          <cell r="C152" t="str">
            <v>ВЕТЧ. ИЗ ОКОРОКА с/н мгс 1/90 8шт_Л11</v>
          </cell>
          <cell r="D152" t="str">
            <v>ШТ</v>
          </cell>
          <cell r="E152" t="str">
            <v>Колбасные изделия</v>
          </cell>
          <cell r="F152" t="str">
            <v>Ветчины</v>
          </cell>
          <cell r="G152" t="str">
            <v>Останкино</v>
          </cell>
          <cell r="H152" t="str">
            <v xml:space="preserve">ОМПК(О)
</v>
          </cell>
          <cell r="I152" t="str">
            <v>ТУ 10.13.14-149-00425283-2018</v>
          </cell>
          <cell r="J152" t="str">
            <v>Мясной продукт. Продукт из мяса вареный.</v>
          </cell>
          <cell r="K152" t="str">
            <v>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2">
            <v>15</v>
          </cell>
          <cell r="M152">
            <v>3</v>
          </cell>
          <cell r="N152">
            <v>3</v>
          </cell>
          <cell r="O152" t="str">
            <v>99/417</v>
          </cell>
          <cell r="P152" t="str">
            <v>0…+6</v>
          </cell>
          <cell r="Q152">
            <v>30</v>
          </cell>
        </row>
        <row r="153">
          <cell r="B153">
            <v>1001097747647</v>
          </cell>
          <cell r="C153" t="str">
            <v>ХОЧУ ВЕТЧ.ИЗ СВ.ОТРУБА с/н мгс 1/100_Л11</v>
          </cell>
          <cell r="D153" t="str">
            <v>ШТ</v>
          </cell>
          <cell r="E153" t="str">
            <v>Колбасные изделия</v>
          </cell>
          <cell r="F153" t="str">
            <v>Ветчины</v>
          </cell>
          <cell r="G153" t="str">
            <v>Папа может</v>
          </cell>
          <cell r="H153" t="str">
            <v xml:space="preserve">ОМПК(О)
</v>
          </cell>
          <cell r="I153" t="str">
            <v>ТУ 10.13.14-149-00425283-2018</v>
          </cell>
          <cell r="J153" t="str">
            <v>Мясной продукт. Продукт из мяса вареный.</v>
          </cell>
          <cell r="K153" t="str">
            <v>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3">
            <v>15</v>
          </cell>
          <cell r="M153">
            <v>3</v>
          </cell>
          <cell r="N153">
            <v>3</v>
          </cell>
          <cell r="O153" t="str">
            <v>99/417</v>
          </cell>
          <cell r="P153" t="str">
            <v>0…+6</v>
          </cell>
          <cell r="Q153">
            <v>30</v>
          </cell>
        </row>
        <row r="154">
          <cell r="B154">
            <v>1001097717649</v>
          </cell>
          <cell r="C154" t="str">
            <v>ВЕТЧ. ДЛЯ РУЛЕТОВ с/н мгс 1/100 8шт_Л11</v>
          </cell>
          <cell r="D154" t="str">
            <v>ШТ</v>
          </cell>
          <cell r="E154" t="str">
            <v>Колбасные изделия</v>
          </cell>
          <cell r="F154" t="str">
            <v>Ветчины</v>
          </cell>
          <cell r="G154" t="str">
            <v>Останкино</v>
          </cell>
          <cell r="H154" t="str">
            <v xml:space="preserve">ОМПК(О)
</v>
          </cell>
          <cell r="I154" t="str">
            <v>ТУ 10.13.14-149-00425283-2018</v>
          </cell>
          <cell r="J154" t="str">
            <v>Мясной продукт. Продукт из мяса вареный.</v>
          </cell>
          <cell r="K154" t="str">
            <v>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v>
          </cell>
          <cell r="L154">
            <v>13</v>
          </cell>
          <cell r="M154">
            <v>14</v>
          </cell>
          <cell r="N154">
            <v>4</v>
          </cell>
          <cell r="O154" t="str">
            <v>194/807</v>
          </cell>
          <cell r="P154" t="str">
            <v>0…+6</v>
          </cell>
          <cell r="Q154">
            <v>30</v>
          </cell>
        </row>
        <row r="155">
          <cell r="B155">
            <v>1001097757650</v>
          </cell>
          <cell r="C155" t="str">
            <v>ХОЧУ ВЕТЧ. С ИНДЕЙКОЙ с/н мгс 1/100_Л11</v>
          </cell>
          <cell r="D155" t="str">
            <v>ШТ</v>
          </cell>
          <cell r="E155" t="str">
            <v>Колбасные изделия</v>
          </cell>
          <cell r="F155" t="str">
            <v>Ветчины</v>
          </cell>
          <cell r="G155" t="str">
            <v>Папа может</v>
          </cell>
          <cell r="H155" t="str">
            <v xml:space="preserve">ОМПК(О)
</v>
          </cell>
          <cell r="I155" t="str">
            <v>ТУ 10.13.14-171-00425283-2024</v>
          </cell>
          <cell r="J155" t="str">
            <v>Продукт из мяса кур вареный охлажденный.</v>
          </cell>
          <cell r="K155" t="str">
            <v>филе грудок куриных, филе бедра индейки,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белок животный (говяжий), мускатный орех, чеснок, перец душистый, перец черный, перец белый, сахара, антиокислители (аскорбиновая кислота, лимонная кислота), усилитель вкуса и аромата (глутамат натрия 1-замещенный), ароматизаторы, стартовая культура</v>
          </cell>
          <cell r="L155">
            <v>15</v>
          </cell>
          <cell r="M155">
            <v>7</v>
          </cell>
          <cell r="N155">
            <v>4</v>
          </cell>
          <cell r="O155" t="str">
            <v>139/582</v>
          </cell>
          <cell r="P155" t="str">
            <v>0…+6</v>
          </cell>
          <cell r="Q155">
            <v>30</v>
          </cell>
        </row>
        <row r="156">
          <cell r="B156">
            <v>1001097767651</v>
          </cell>
          <cell r="C156" t="str">
            <v>ХОЧУ ВЕТЧ. МРАМОР. ПМ с/н мгс 1/100_Л11</v>
          </cell>
          <cell r="D156" t="str">
            <v>ШТ</v>
          </cell>
          <cell r="E156" t="str">
            <v>Колбасные изделия</v>
          </cell>
          <cell r="F156" t="str">
            <v>Ветчины</v>
          </cell>
          <cell r="G156" t="str">
            <v>Папа может</v>
          </cell>
          <cell r="H156" t="str">
            <v xml:space="preserve">ОМПК(О)
</v>
          </cell>
          <cell r="I156" t="str">
            <v>ТУ 10.13.14-149-00425283-2018</v>
          </cell>
          <cell r="J156" t="str">
            <v>Мясной продукт. Продукт из мяса вареный.</v>
          </cell>
          <cell r="K156" t="str">
            <v>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v>
          </cell>
          <cell r="L156">
            <v>13</v>
          </cell>
          <cell r="M156">
            <v>14</v>
          </cell>
          <cell r="N156">
            <v>4</v>
          </cell>
          <cell r="O156" t="str">
            <v>194/807</v>
          </cell>
          <cell r="P156" t="str">
            <v>0…+6</v>
          </cell>
          <cell r="Q156">
            <v>30</v>
          </cell>
        </row>
        <row r="157">
          <cell r="B157">
            <v>1001097057444</v>
          </cell>
          <cell r="C157" t="str">
            <v>РУЛЕТ МРАМОРНЫЙ ASLAM п/о 0.5кг 8шт.</v>
          </cell>
          <cell r="D157" t="str">
            <v>ШТ</v>
          </cell>
          <cell r="E157" t="str">
            <v>Колбасные изделия</v>
          </cell>
          <cell r="F157" t="str">
            <v>Ветчины</v>
          </cell>
          <cell r="G157" t="str">
            <v>ASLAM</v>
          </cell>
          <cell r="H157" t="str">
            <v>ООО Казанские деликатесы</v>
          </cell>
          <cell r="I157" t="str">
            <v>ТУ 10.13.14-177-00425283-2025</v>
          </cell>
          <cell r="J157" t="str">
            <v>Продукт из мяса кур вареный охлажденный.</v>
          </cell>
          <cell r="K157" t="str">
            <v>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v>
          </cell>
          <cell r="L157">
            <v>12</v>
          </cell>
          <cell r="M157">
            <v>6</v>
          </cell>
          <cell r="N157">
            <v>5</v>
          </cell>
          <cell r="O157" t="str">
            <v>112/511</v>
          </cell>
          <cell r="P157" t="str">
            <v>0…+6</v>
          </cell>
          <cell r="Q157">
            <v>45</v>
          </cell>
        </row>
        <row r="158">
          <cell r="B158">
            <v>1001122287344</v>
          </cell>
          <cell r="C158" t="str">
            <v>КОНСЕРВЫ МЯС.ГОВЯДИНА ТУШ. В/С 338г_ЧЗ</v>
          </cell>
          <cell r="D158" t="str">
            <v>ШТ</v>
          </cell>
          <cell r="E158" t="str">
            <v>Колбасные изделия</v>
          </cell>
          <cell r="F158" t="str">
            <v>Консервы мясные</v>
          </cell>
          <cell r="G158" t="str">
            <v>Останкино</v>
          </cell>
          <cell r="H158" t="str">
            <v>Пионер</v>
          </cell>
          <cell r="I158" t="str">
            <v>ГОСТ 32125-2013</v>
          </cell>
          <cell r="J158" t="str">
            <v>Консервы мясные кусковые стерилизованные.</v>
          </cell>
          <cell r="K158" t="str">
            <v>говядина, жир, лук, соль, перец черный, лавровый лист. Массовая доля мяса не менее 58,0%</v>
          </cell>
          <cell r="L158">
            <v>15</v>
          </cell>
          <cell r="M158">
            <v>17</v>
          </cell>
          <cell r="O158" t="str">
            <v>213/892</v>
          </cell>
          <cell r="P158" t="str">
            <v>0…+20</v>
          </cell>
          <cell r="Q158" t="str">
            <v>3 года</v>
          </cell>
        </row>
        <row r="159">
          <cell r="B159">
            <v>1001123677345</v>
          </cell>
          <cell r="C159" t="str">
            <v>КОНСЕРВЫ МЯС.СВИНИНА ТУШ. В/С 325г_ЧЗ</v>
          </cell>
          <cell r="D159" t="str">
            <v>ШТ</v>
          </cell>
          <cell r="E159" t="str">
            <v>Колбасные изделия</v>
          </cell>
          <cell r="F159" t="str">
            <v>Консервы мясные</v>
          </cell>
          <cell r="G159" t="str">
            <v>Останкино</v>
          </cell>
          <cell r="H159" t="str">
            <v>Пионер</v>
          </cell>
          <cell r="I159" t="str">
            <v>ГОСТ 32125-2013</v>
          </cell>
          <cell r="J159" t="str">
            <v>Консервы мясные кусковые стерилизованные.</v>
          </cell>
          <cell r="K159" t="str">
            <v>свинина, лук, соль, перец черный, лист лавровый. Массовая доля мяса не менее 59,0%</v>
          </cell>
          <cell r="L159">
            <v>16</v>
          </cell>
          <cell r="M159">
            <v>18</v>
          </cell>
          <cell r="O159" t="str">
            <v>226/946</v>
          </cell>
          <cell r="P159" t="str">
            <v>0…+20</v>
          </cell>
          <cell r="Q159" t="str">
            <v>3 года</v>
          </cell>
        </row>
        <row r="160">
          <cell r="B160">
            <v>1001080238154</v>
          </cell>
          <cell r="C160" t="str">
            <v>БУЖЕНИНА ЗАПЕЧЕННАЯ кр/к в/у(п)</v>
          </cell>
          <cell r="D160" t="str">
            <v>КГ</v>
          </cell>
          <cell r="E160" t="str">
            <v>Колбасные изделия</v>
          </cell>
          <cell r="F160" t="str">
            <v>Копчености</v>
          </cell>
          <cell r="G160" t="str">
            <v>Останкино</v>
          </cell>
          <cell r="H160" t="str">
            <v>ОМПК(О)</v>
          </cell>
          <cell r="I160" t="str">
            <v>ГОСТ Р 55795-2013</v>
          </cell>
          <cell r="J160" t="str">
            <v>Запеченный мясной продукт из свинины категории Б.</v>
          </cell>
          <cell r="K160" t="str">
            <v>свинина, соль, перец красный, чеснок</v>
          </cell>
          <cell r="L160">
            <v>19</v>
          </cell>
          <cell r="M160">
            <v>30</v>
          </cell>
          <cell r="O160" t="str">
            <v>350/1470</v>
          </cell>
          <cell r="P160" t="str">
            <v>0…+6</v>
          </cell>
          <cell r="Q160">
            <v>10</v>
          </cell>
        </row>
        <row r="161">
          <cell r="B161">
            <v>1001080226843</v>
          </cell>
          <cell r="C161" t="str">
            <v>ДЫМОВИЦА ИЗ ЛОПАТКИ ПМ к/в кр/к в/у</v>
          </cell>
          <cell r="D161" t="str">
            <v>КГ</v>
          </cell>
          <cell r="E161" t="str">
            <v>Колбасные изделия</v>
          </cell>
          <cell r="F161" t="str">
            <v>Копчености</v>
          </cell>
          <cell r="G161" t="str">
            <v>Папа может</v>
          </cell>
          <cell r="H161" t="str">
            <v>ОМПК(О)</v>
          </cell>
          <cell r="I161" t="str">
            <v>ТУ 10.13.14-183-00425283-2026</v>
          </cell>
          <cell r="J161" t="str">
            <v>Мясной продукт из свинины копчено-вареный категории Б.</v>
          </cell>
          <cell r="K161"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161">
            <v>15</v>
          </cell>
          <cell r="M161">
            <v>5</v>
          </cell>
          <cell r="N161">
            <v>4</v>
          </cell>
          <cell r="O161" t="str">
            <v>121/508</v>
          </cell>
          <cell r="P161" t="str">
            <v>0…+6</v>
          </cell>
          <cell r="Q161">
            <v>30</v>
          </cell>
        </row>
        <row r="162">
          <cell r="B162">
            <v>1001080226932</v>
          </cell>
          <cell r="C162" t="str">
            <v>ДЫМОВИЦА ИЗ ЛОПАТКИ ПМ к/в кр/к в/у_М</v>
          </cell>
          <cell r="D162" t="str">
            <v>КГ</v>
          </cell>
          <cell r="E162" t="str">
            <v>Колбасные изделия</v>
          </cell>
          <cell r="F162" t="str">
            <v>Копчености</v>
          </cell>
          <cell r="G162" t="str">
            <v>Папа может</v>
          </cell>
          <cell r="H162" t="str">
            <v>ОМПК(О)</v>
          </cell>
          <cell r="I162" t="str">
            <v>ТУ 10.13.14-183-00425283-2026</v>
          </cell>
          <cell r="J162" t="str">
            <v>Мясной продукт из свинины копчено-вареный категории Б.</v>
          </cell>
          <cell r="K162"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162">
            <v>15</v>
          </cell>
          <cell r="M162">
            <v>5</v>
          </cell>
          <cell r="N162">
            <v>4</v>
          </cell>
          <cell r="O162" t="str">
            <v>121/508</v>
          </cell>
          <cell r="P162" t="str">
            <v>0…+6</v>
          </cell>
          <cell r="Q162">
            <v>30</v>
          </cell>
        </row>
        <row r="163">
          <cell r="B163">
            <v>1001085476933</v>
          </cell>
          <cell r="C163" t="str">
            <v>КАРБОНAД ДОМАШНИЙ ПМ к/в кр/к в/у_Глобус</v>
          </cell>
          <cell r="D163" t="str">
            <v>КГ</v>
          </cell>
          <cell r="E163" t="str">
            <v>Колбасные изделия</v>
          </cell>
          <cell r="F163" t="str">
            <v>Копчености</v>
          </cell>
          <cell r="G163" t="str">
            <v>Папа может</v>
          </cell>
          <cell r="H163" t="str">
            <v>ОМПК(О)</v>
          </cell>
          <cell r="I163" t="str">
            <v>ТУ 10.13.14-183-00425283-2026</v>
          </cell>
          <cell r="J163" t="str">
            <v>Мясной продукт из свинины копчено-вареный категории Б.</v>
          </cell>
          <cell r="K163"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3">
            <v>15</v>
          </cell>
          <cell r="M163">
            <v>6</v>
          </cell>
          <cell r="N163">
            <v>1</v>
          </cell>
          <cell r="O163" t="str">
            <v>118/494</v>
          </cell>
          <cell r="P163" t="str">
            <v>0…+6</v>
          </cell>
          <cell r="Q163">
            <v>45</v>
          </cell>
        </row>
        <row r="164">
          <cell r="B164">
            <v>1001085476929</v>
          </cell>
          <cell r="C164" t="str">
            <v>КАРБОНAД ДОМАШНИЙ ПМ к/в кр/к в/у</v>
          </cell>
          <cell r="D164" t="str">
            <v>КГ</v>
          </cell>
          <cell r="E164" t="str">
            <v>Колбасные изделия</v>
          </cell>
          <cell r="F164" t="str">
            <v>Копчености</v>
          </cell>
          <cell r="G164" t="str">
            <v>Папа может</v>
          </cell>
          <cell r="H164" t="str">
            <v>ОМПК(О)</v>
          </cell>
          <cell r="I164" t="str">
            <v>ТУ 10.13.14-183-00425283-2026</v>
          </cell>
          <cell r="J164" t="str">
            <v>Мясной продукт из свинины копчено-вареный категории Б.</v>
          </cell>
          <cell r="K164"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4">
            <v>15</v>
          </cell>
          <cell r="M164">
            <v>6</v>
          </cell>
          <cell r="N164">
            <v>1</v>
          </cell>
          <cell r="O164" t="str">
            <v>118/494</v>
          </cell>
          <cell r="P164" t="str">
            <v>0…+6</v>
          </cell>
          <cell r="Q164">
            <v>45</v>
          </cell>
        </row>
        <row r="165">
          <cell r="B165">
            <v>1001085476930</v>
          </cell>
          <cell r="C165" t="str">
            <v>КАРБОНAД ДОМАШНИЙ ПМ к/в кр/к в/у_СНГ</v>
          </cell>
          <cell r="D165" t="str">
            <v>КГ</v>
          </cell>
          <cell r="E165" t="str">
            <v>Колбасные изделия</v>
          </cell>
          <cell r="F165" t="str">
            <v>Копчености</v>
          </cell>
          <cell r="G165" t="str">
            <v>Папа может</v>
          </cell>
          <cell r="H165" t="str">
            <v>ОМПК(О)</v>
          </cell>
          <cell r="I165" t="str">
            <v>ТУ 10.13.14-183-00425283-2026</v>
          </cell>
          <cell r="J165" t="str">
            <v>Мясной продукт из свинины копчено-вареный категории Б.</v>
          </cell>
          <cell r="K165"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5">
            <v>15</v>
          </cell>
          <cell r="M165">
            <v>6</v>
          </cell>
          <cell r="N165">
            <v>1</v>
          </cell>
          <cell r="O165" t="str">
            <v>118/494</v>
          </cell>
          <cell r="P165" t="str">
            <v>0…+6</v>
          </cell>
          <cell r="Q165">
            <v>45</v>
          </cell>
        </row>
        <row r="166">
          <cell r="B166">
            <v>1001081596620</v>
          </cell>
          <cell r="C166" t="str">
            <v>РЕБРЫШКИ к/в в/у_30c</v>
          </cell>
          <cell r="D166" t="str">
            <v>КГ</v>
          </cell>
          <cell r="E166" t="str">
            <v>Колбасные изделия</v>
          </cell>
          <cell r="F166" t="str">
            <v>Копчености</v>
          </cell>
          <cell r="G166" t="str">
            <v>Папа может</v>
          </cell>
          <cell r="H166" t="str">
            <v>ОМПК(О)</v>
          </cell>
          <cell r="I166" t="str">
            <v>ТУ 10.13.14-183-00425283-2026</v>
          </cell>
          <cell r="J166" t="str">
            <v>Мясной продукт из свинины копчено-вареный.</v>
          </cell>
          <cell r="K166" t="str">
            <v>ребра свиные, вода питьевая, смесь посолочно-нитритная (соль, фиксатор окраски (нитрит натрия)), регуляторы кислотности (трифосфат, цитраты натрия), сахар</v>
          </cell>
          <cell r="L166">
            <v>17</v>
          </cell>
          <cell r="M166">
            <v>27</v>
          </cell>
          <cell r="N166">
            <v>1</v>
          </cell>
          <cell r="O166" t="str">
            <v>315/1305</v>
          </cell>
          <cell r="P166" t="str">
            <v>0…+6</v>
          </cell>
          <cell r="Q166">
            <v>30</v>
          </cell>
        </row>
        <row r="167">
          <cell r="B167">
            <v>1001084856189</v>
          </cell>
          <cell r="C167" t="str">
            <v>САЛО СОЛЕНОЕ С ЧЕРН.ПЕРЦ.мл/к в/у_Глобус</v>
          </cell>
          <cell r="D167" t="str">
            <v>КГ</v>
          </cell>
          <cell r="E167" t="str">
            <v>Колбасные изделия</v>
          </cell>
          <cell r="F167" t="str">
            <v>Копчености</v>
          </cell>
          <cell r="G167" t="str">
            <v>Папа может</v>
          </cell>
          <cell r="H167" t="str">
            <v>ОМПК(О)</v>
          </cell>
          <cell r="I167" t="str">
            <v>ТУ 10.13.15-158-00425283-2026</v>
          </cell>
          <cell r="J167" t="str">
            <v>Мясной продукт из шпика свиного соленый.</v>
          </cell>
          <cell r="K167" t="str">
            <v>грудинка свиная, вода питьевая, чеснок свежий, перец черный молотый, смесь посолочно-нитритная (соль, фиксатор окраски (нитрит натрия))</v>
          </cell>
          <cell r="L167">
            <v>12</v>
          </cell>
          <cell r="M167">
            <v>40</v>
          </cell>
          <cell r="N167">
            <v>1</v>
          </cell>
          <cell r="O167" t="str">
            <v>412/1701</v>
          </cell>
          <cell r="P167" t="str">
            <v>0…+6</v>
          </cell>
          <cell r="Q167">
            <v>40</v>
          </cell>
        </row>
        <row r="168">
          <cell r="B168">
            <v>1001084856008</v>
          </cell>
          <cell r="C168" t="str">
            <v>САЛО СОЛЕНОЕ С ЧЕРНЫМ ПЕРЦЕМ мл/к в/у</v>
          </cell>
          <cell r="D168" t="str">
            <v>КГ</v>
          </cell>
          <cell r="E168" t="str">
            <v>Колбасные изделия</v>
          </cell>
          <cell r="F168" t="str">
            <v>Копчености</v>
          </cell>
          <cell r="G168" t="str">
            <v>Папа может</v>
          </cell>
          <cell r="H168" t="str">
            <v>ОМПК(О)</v>
          </cell>
          <cell r="I168" t="str">
            <v>ТУ 10.13.15-158-00425283-2026</v>
          </cell>
          <cell r="J168" t="str">
            <v>Мясной продукт из шпика свиного соленый.</v>
          </cell>
          <cell r="K168" t="str">
            <v>грудинка свиная, вода питьевая, чеснок свежий, перец черный молотый, смесь посолочно-нитритная (соль, фиксатор окраски (нитрит натрия))</v>
          </cell>
          <cell r="L168">
            <v>12</v>
          </cell>
          <cell r="M168">
            <v>40</v>
          </cell>
          <cell r="N168">
            <v>1</v>
          </cell>
          <cell r="O168" t="str">
            <v>412/1701</v>
          </cell>
          <cell r="P168" t="str">
            <v>0…+6</v>
          </cell>
          <cell r="Q168">
            <v>40</v>
          </cell>
        </row>
        <row r="169">
          <cell r="B169">
            <v>1001454857510</v>
          </cell>
          <cell r="C169" t="str">
            <v>САЛО СОЛЕНОЕ С ЧЕРНЫМ ПЕРЦЕМ мл/к в/у_X5</v>
          </cell>
          <cell r="D169" t="str">
            <v>КГ</v>
          </cell>
          <cell r="E169" t="str">
            <v>Колбасные изделия</v>
          </cell>
          <cell r="F169" t="str">
            <v>Копчености</v>
          </cell>
          <cell r="G169" t="str">
            <v>Папа может</v>
          </cell>
          <cell r="H169" t="str">
            <v>ОМПК(О)</v>
          </cell>
          <cell r="I169" t="str">
            <v>ТУ 10.13.15-158-00425283-2026</v>
          </cell>
          <cell r="J169" t="str">
            <v>Мясной продукт из шпика свиного соленый.</v>
          </cell>
          <cell r="K169" t="str">
            <v>грудинка свиная, вода питьевая, чеснок свежий, перец черный молотый, смесь посолочно-нитритная (соль, фиксатор окраски (нитрит натрия))</v>
          </cell>
          <cell r="L169">
            <v>12</v>
          </cell>
          <cell r="M169">
            <v>40</v>
          </cell>
          <cell r="N169">
            <v>1</v>
          </cell>
          <cell r="O169" t="str">
            <v>412/1701</v>
          </cell>
          <cell r="P169" t="str">
            <v>0…+6</v>
          </cell>
          <cell r="Q169">
            <v>40</v>
          </cell>
        </row>
        <row r="170">
          <cell r="B170">
            <v>1001083426210</v>
          </cell>
          <cell r="C170" t="str">
            <v>ШЕЙКА КОПЧЕНАЯ ПМ к/в кр/к в/у_Ашан</v>
          </cell>
          <cell r="D170" t="str">
            <v>КГ</v>
          </cell>
          <cell r="E170" t="str">
            <v>Колбасные изделия</v>
          </cell>
          <cell r="F170" t="str">
            <v>Копчености</v>
          </cell>
          <cell r="G170" t="str">
            <v>Папа может</v>
          </cell>
          <cell r="H170" t="str">
            <v>ОМПК(О)</v>
          </cell>
          <cell r="I170" t="str">
            <v>ТУ 10.13.14-183-00425283-2026</v>
          </cell>
          <cell r="J170" t="str">
            <v>Мясной продукт из свинины копчено-вареный категории Б.</v>
          </cell>
          <cell r="K170"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0">
            <v>12</v>
          </cell>
          <cell r="M170">
            <v>10</v>
          </cell>
          <cell r="N170">
            <v>3</v>
          </cell>
          <cell r="O170" t="str">
            <v>150/625</v>
          </cell>
          <cell r="P170" t="str">
            <v>0…+6</v>
          </cell>
          <cell r="Q170">
            <v>45</v>
          </cell>
        </row>
        <row r="171">
          <cell r="B171">
            <v>1001083426211</v>
          </cell>
          <cell r="C171" t="str">
            <v>ШЕЙКА КОПЧЕНАЯ ПМ к/в кр/к в/у_М</v>
          </cell>
          <cell r="D171" t="str">
            <v>КГ</v>
          </cell>
          <cell r="E171" t="str">
            <v>Колбасные изделия</v>
          </cell>
          <cell r="F171" t="str">
            <v>Копчености</v>
          </cell>
          <cell r="G171" t="str">
            <v>Папа может</v>
          </cell>
          <cell r="H171" t="str">
            <v>ОМПК(О)</v>
          </cell>
          <cell r="I171" t="str">
            <v>ТУ 10.13.14-183-00425283-2026</v>
          </cell>
          <cell r="J171" t="str">
            <v>Мясной продукт из свинины копчено-вареный категории Б.</v>
          </cell>
          <cell r="K171"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1">
            <v>12</v>
          </cell>
          <cell r="M171">
            <v>10</v>
          </cell>
          <cell r="N171">
            <v>3</v>
          </cell>
          <cell r="O171" t="str">
            <v>150/625</v>
          </cell>
          <cell r="P171" t="str">
            <v>0…+6</v>
          </cell>
          <cell r="Q171">
            <v>45</v>
          </cell>
        </row>
        <row r="172">
          <cell r="B172">
            <v>1001083426235</v>
          </cell>
          <cell r="C172" t="str">
            <v>ШЕЙКА КОПЧЕНАЯ ПМ к/в кр/к в/у</v>
          </cell>
          <cell r="D172" t="str">
            <v>КГ</v>
          </cell>
          <cell r="E172" t="str">
            <v>Колбасные изделия</v>
          </cell>
          <cell r="F172" t="str">
            <v>Копчености</v>
          </cell>
          <cell r="G172" t="str">
            <v>Папа может</v>
          </cell>
          <cell r="H172" t="str">
            <v>ОМПК(О)</v>
          </cell>
          <cell r="I172" t="str">
            <v>ТУ 10.13.14-183-00425283-2026</v>
          </cell>
          <cell r="J172" t="str">
            <v>Мясной продукт из свинины копчено-вареный категории Б.</v>
          </cell>
          <cell r="K172"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2">
            <v>12</v>
          </cell>
          <cell r="M172">
            <v>10</v>
          </cell>
          <cell r="N172">
            <v>3</v>
          </cell>
          <cell r="O172" t="str">
            <v>150/625</v>
          </cell>
          <cell r="P172" t="str">
            <v>0…+6</v>
          </cell>
          <cell r="Q172">
            <v>45</v>
          </cell>
        </row>
        <row r="173">
          <cell r="B173">
            <v>1001085206945</v>
          </cell>
          <cell r="C173" t="str">
            <v>Z-БАЛЫК с/в в/у (для нарезки)</v>
          </cell>
          <cell r="D173" t="str">
            <v>КГ</v>
          </cell>
          <cell r="E173" t="str">
            <v>Колбасные изделия</v>
          </cell>
          <cell r="F173" t="str">
            <v>Копчености</v>
          </cell>
          <cell r="G173" t="str">
            <v>Останкино</v>
          </cell>
          <cell r="H173" t="str">
            <v>ОМПК(Г)</v>
          </cell>
          <cell r="I173" t="str">
            <v>ТУ 10.13.14-165-00425283-2023</v>
          </cell>
          <cell r="J173" t="str">
            <v>Мясной продукт. Продукт из свинины сыровяленый категории А.</v>
          </cell>
          <cell r="K173" t="str">
            <v>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v>
          </cell>
          <cell r="L173">
            <v>25</v>
          </cell>
          <cell r="M173">
            <v>3</v>
          </cell>
          <cell r="N173">
            <v>1</v>
          </cell>
          <cell r="O173" t="str">
            <v>131/553</v>
          </cell>
          <cell r="P173" t="str">
            <v>0…+6</v>
          </cell>
          <cell r="Q173">
            <v>50</v>
          </cell>
        </row>
        <row r="174">
          <cell r="B174">
            <v>1001457507598</v>
          </cell>
          <cell r="C174" t="str">
            <v>Z-КАРПАЧЧО ИЗ КУРИЦЫ с/к в/у гр/уп</v>
          </cell>
          <cell r="D174" t="str">
            <v>КГ</v>
          </cell>
          <cell r="E174" t="str">
            <v>Колбасные изделия</v>
          </cell>
          <cell r="F174" t="str">
            <v>Копчености</v>
          </cell>
          <cell r="G174" t="str">
            <v>Останкино</v>
          </cell>
          <cell r="H174" t="str">
            <v>ОМПК(Г)</v>
          </cell>
          <cell r="I174" t="str">
            <v>ТУ 10.13.15-159-00425283-2022</v>
          </cell>
          <cell r="J174" t="str">
            <v>Продукт из мяса кур сырокопченый охлажденный.</v>
          </cell>
          <cell r="K174" t="str">
            <v>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1-замещенный), ароматизаторы</v>
          </cell>
          <cell r="L174">
            <v>25</v>
          </cell>
          <cell r="M174">
            <v>4</v>
          </cell>
          <cell r="N174">
            <v>1</v>
          </cell>
          <cell r="O174" t="str">
            <v>140/590</v>
          </cell>
          <cell r="P174" t="str">
            <v>0…+6</v>
          </cell>
          <cell r="Q174">
            <v>7</v>
          </cell>
        </row>
        <row r="175">
          <cell r="B175">
            <v>1001081736944</v>
          </cell>
          <cell r="C175" t="str">
            <v>Z-ШЕЙКА с/в в/у (для нарезки)</v>
          </cell>
          <cell r="D175" t="str">
            <v>КГ</v>
          </cell>
          <cell r="E175" t="str">
            <v>Колбасные изделия</v>
          </cell>
          <cell r="F175" t="str">
            <v>Копчености</v>
          </cell>
          <cell r="G175" t="str">
            <v>Останкино</v>
          </cell>
          <cell r="H175" t="str">
            <v>ОМПК(Г)</v>
          </cell>
          <cell r="I175" t="str">
            <v>ТУ 10.13.14-165-00425283-2023</v>
          </cell>
          <cell r="J175" t="str">
            <v>Мясной продукт. Продукт из свинины сыровяленый категории А.</v>
          </cell>
          <cell r="K175" t="str">
            <v>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антиокислители (аскорбиновая кислота, лимонная кислота), усилитель вкуса и аромата (глутамат натрия 1-замещенный), ароматизатор</v>
          </cell>
          <cell r="L175">
            <v>18</v>
          </cell>
          <cell r="M175">
            <v>17</v>
          </cell>
          <cell r="N175">
            <v>2</v>
          </cell>
          <cell r="O175" t="str">
            <v>233/969</v>
          </cell>
          <cell r="P175" t="str">
            <v>0…+6</v>
          </cell>
          <cell r="Q175">
            <v>50</v>
          </cell>
        </row>
        <row r="176">
          <cell r="B176">
            <v>1001453907495</v>
          </cell>
          <cell r="C176" t="str">
            <v>БАЛЫК Останкино с/к кр/к в/у</v>
          </cell>
          <cell r="D176" t="str">
            <v>КГ</v>
          </cell>
          <cell r="E176" t="str">
            <v>Колбасные изделия</v>
          </cell>
          <cell r="F176" t="str">
            <v>Копчености</v>
          </cell>
          <cell r="G176" t="str">
            <v>Останкино</v>
          </cell>
          <cell r="H176" t="str">
            <v>ОМПК(О)</v>
          </cell>
          <cell r="I176" t="str">
            <v>ТУ 10.13.14-184-00425283-2026</v>
          </cell>
          <cell r="J176" t="str">
            <v>Мясной продукт из свинины сырокопченый категории А.</v>
          </cell>
          <cell r="K176"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176">
            <v>21</v>
          </cell>
          <cell r="M176">
            <v>4</v>
          </cell>
          <cell r="N176">
            <v>1</v>
          </cell>
          <cell r="O176" t="str">
            <v>124/522</v>
          </cell>
          <cell r="P176" t="str">
            <v>0…+6</v>
          </cell>
          <cell r="Q176">
            <v>60</v>
          </cell>
        </row>
        <row r="177">
          <cell r="B177">
            <v>1001083907188</v>
          </cell>
          <cell r="C177" t="str">
            <v>БАЛЫК Останкино с/к мл/к в/у 0.25кг</v>
          </cell>
          <cell r="D177" t="str">
            <v>ШТ</v>
          </cell>
          <cell r="E177" t="str">
            <v>Колбасные изделия</v>
          </cell>
          <cell r="F177" t="str">
            <v>Копчености</v>
          </cell>
          <cell r="G177" t="str">
            <v>Останкино</v>
          </cell>
          <cell r="H177" t="str">
            <v>ОМПК(О)</v>
          </cell>
          <cell r="I177" t="str">
            <v>ТУ 10.13.14-184-00425283-2026</v>
          </cell>
          <cell r="J177" t="str">
            <v>Мясной продукт из свинины сырокопченый категории А.</v>
          </cell>
          <cell r="K177"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177">
            <v>21</v>
          </cell>
          <cell r="M177">
            <v>4</v>
          </cell>
          <cell r="N177">
            <v>1</v>
          </cell>
          <cell r="O177" t="str">
            <v>124/522</v>
          </cell>
          <cell r="P177" t="str">
            <v>0…+6</v>
          </cell>
          <cell r="Q177">
            <v>60</v>
          </cell>
        </row>
        <row r="178">
          <cell r="B178">
            <v>1001456957380</v>
          </cell>
          <cell r="C178" t="str">
            <v>БУЖЕНИНА КЛАССИК к/з мл/к в/у 0.25кг</v>
          </cell>
          <cell r="D178" t="str">
            <v>ШТ</v>
          </cell>
          <cell r="E178" t="str">
            <v>Колбасные изделия</v>
          </cell>
          <cell r="F178" t="str">
            <v>Копчености</v>
          </cell>
          <cell r="G178" t="str">
            <v>Останкино</v>
          </cell>
          <cell r="H178" t="str">
            <v>ОМПК(О)</v>
          </cell>
          <cell r="I178" t="str">
            <v>ТУ 10.13.14-183-00425283-2026</v>
          </cell>
          <cell r="J178" t="str">
            <v>Мясной продукт из свинины запеченный категории Б.</v>
          </cell>
          <cell r="K178" t="str">
            <v>окорок свиной, вода питьевая, соль, белок животный (свиной), регуляторы кислотности (трифосфаты, цитраты натрия), чеснок сушеный молотый, сахара, антиокислители (аскорбиновая кислота, лимонная кислота), усилитель вкуса и аромата (глутамат натрия 1-замещенный), ароматизатор</v>
          </cell>
          <cell r="L178">
            <v>18</v>
          </cell>
          <cell r="M178">
            <v>13</v>
          </cell>
          <cell r="N178">
            <v>1</v>
          </cell>
          <cell r="O178" t="str">
            <v>193/804</v>
          </cell>
          <cell r="P178" t="str">
            <v>0…+6</v>
          </cell>
          <cell r="Q178">
            <v>30</v>
          </cell>
        </row>
        <row r="179">
          <cell r="B179">
            <v>1001084267094</v>
          </cell>
          <cell r="C179" t="str">
            <v>ГРУДИНКА ОХОТН. к/в мл/к в/у 0.3кг_50с</v>
          </cell>
          <cell r="D179" t="str">
            <v>ШТ</v>
          </cell>
          <cell r="E179" t="str">
            <v>Колбасные изделия</v>
          </cell>
          <cell r="F179" t="str">
            <v>Копчености</v>
          </cell>
          <cell r="G179" t="str">
            <v>Папа может</v>
          </cell>
          <cell r="H179" t="str">
            <v>ОМПК(О)</v>
          </cell>
          <cell r="I179" t="str">
            <v>ТУ 10.13.14-183-00425283-2026</v>
          </cell>
          <cell r="J179" t="str">
            <v>Мясной продукт из свинины копчено-вареный.</v>
          </cell>
          <cell r="K179" t="str">
            <v>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v>
          </cell>
          <cell r="L179">
            <v>14</v>
          </cell>
          <cell r="M179">
            <v>25</v>
          </cell>
          <cell r="N179">
            <v>4</v>
          </cell>
          <cell r="O179" t="str">
            <v>297/1231</v>
          </cell>
          <cell r="P179" t="str">
            <v>0…+6</v>
          </cell>
          <cell r="Q179">
            <v>50</v>
          </cell>
        </row>
        <row r="180">
          <cell r="B180">
            <v>1001085637187</v>
          </cell>
          <cell r="C180" t="str">
            <v>ГРУДИНКА ПРЕМИУМ к/в мл/к в/у 0.3кг_50с</v>
          </cell>
          <cell r="D180" t="str">
            <v>ШТ</v>
          </cell>
          <cell r="E180" t="str">
            <v>Колбасные изделия</v>
          </cell>
          <cell r="F180" t="str">
            <v>Копчености</v>
          </cell>
          <cell r="G180" t="str">
            <v>Останкино</v>
          </cell>
          <cell r="H180" t="str">
            <v>ОМПК(О)</v>
          </cell>
          <cell r="I180" t="str">
            <v>ТУ 10.13.14-183-00425283-2026</v>
          </cell>
          <cell r="J180" t="str">
            <v>Мясной продукт из свинины копчено-вареный.</v>
          </cell>
          <cell r="K180"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180">
            <v>14</v>
          </cell>
          <cell r="M180">
            <v>25</v>
          </cell>
          <cell r="N180">
            <v>4</v>
          </cell>
          <cell r="O180" t="str">
            <v>297/1231</v>
          </cell>
          <cell r="P180" t="str">
            <v>0…+6</v>
          </cell>
          <cell r="Q180">
            <v>50</v>
          </cell>
        </row>
        <row r="181">
          <cell r="B181">
            <v>1001455637483</v>
          </cell>
          <cell r="C181" t="str">
            <v>ГРУДИНКА ПРЕМИУМ к/в мл/к в/у</v>
          </cell>
          <cell r="D181" t="str">
            <v>КГ</v>
          </cell>
          <cell r="E181" t="str">
            <v>Колбасные изделия</v>
          </cell>
          <cell r="F181" t="str">
            <v>Копчености</v>
          </cell>
          <cell r="G181" t="str">
            <v>Останкино</v>
          </cell>
          <cell r="H181" t="str">
            <v>ОМПК(О)</v>
          </cell>
          <cell r="I181" t="str">
            <v>ТУ 10.13.14-183-00425283-2026</v>
          </cell>
          <cell r="J181" t="str">
            <v>Мясной продукт из свинины копчено-вареный.</v>
          </cell>
          <cell r="K181"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181">
            <v>14</v>
          </cell>
          <cell r="M181">
            <v>25</v>
          </cell>
          <cell r="N181">
            <v>4</v>
          </cell>
          <cell r="O181" t="str">
            <v>297/1231</v>
          </cell>
          <cell r="P181" t="str">
            <v>0…+6</v>
          </cell>
          <cell r="Q181">
            <v>50</v>
          </cell>
        </row>
        <row r="182">
          <cell r="B182">
            <v>1001085956711</v>
          </cell>
          <cell r="C182" t="str">
            <v>ГРУДИНКА ФИРМЕННАЯ ПМ к/в мл/к 0.3кг</v>
          </cell>
          <cell r="D182" t="str">
            <v>ШТ</v>
          </cell>
          <cell r="E182" t="str">
            <v>Колбасные изделия</v>
          </cell>
          <cell r="F182" t="str">
            <v>Копчености</v>
          </cell>
          <cell r="G182" t="str">
            <v>Папа может</v>
          </cell>
          <cell r="H182" t="str">
            <v>ОМПК(О)</v>
          </cell>
          <cell r="I182" t="str">
            <v>ТУ 10.13.14-183-00425283-2026</v>
          </cell>
          <cell r="J182" t="str">
            <v>Мясной продукт из свинины копчено-вареный.</v>
          </cell>
          <cell r="K182" t="str">
            <v>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v>
          </cell>
          <cell r="L182">
            <v>14</v>
          </cell>
          <cell r="M182">
            <v>25</v>
          </cell>
          <cell r="N182">
            <v>4</v>
          </cell>
          <cell r="O182" t="str">
            <v>297/1231</v>
          </cell>
          <cell r="P182" t="str">
            <v>0…+6</v>
          </cell>
          <cell r="Q182">
            <v>45</v>
          </cell>
        </row>
        <row r="183">
          <cell r="B183">
            <v>1001080216842</v>
          </cell>
          <cell r="C183" t="str">
            <v>ДЫМОВИЦА ИЗ ОКОРОКА к/в мл/к в/у 0.3кг</v>
          </cell>
          <cell r="D183" t="str">
            <v>ШТ</v>
          </cell>
          <cell r="E183" t="str">
            <v>Колбасные изделия</v>
          </cell>
          <cell r="F183" t="str">
            <v>Копчености</v>
          </cell>
          <cell r="G183" t="str">
            <v>Папа может</v>
          </cell>
          <cell r="H183" t="str">
            <v>ОМПК(О)</v>
          </cell>
          <cell r="I183" t="str">
            <v>ТУ 10.13.14-183-00425283-2026</v>
          </cell>
          <cell r="J183" t="str">
            <v>Мясной продукт из свинины копчено-вареный категории Б.</v>
          </cell>
          <cell r="K183" t="str">
            <v>окорок свиной, вода питьевая, стабилизатор белковый (шкурка свиная, вода питьевая), загустители (каррагинан, ксантановая камедь, модифицированный крахмал), смесь посолочно-нитритная (соль, фиксатор окраски (нитрит натрия)), белок соевый, регуляторы кислотности (трифосфаты, пирофосфаты, цитраты натрия), волокна пищевые (в т.ч. пшеничные), белок животный (говяжий), сахара, антиокислители (аскорбиновая кислота, лимонная кислота), горчица, усилитель вкуса и аромата (глутамат натрия 1-замещенный), ароматизаторы, краситель (кармины)</v>
          </cell>
          <cell r="L183">
            <v>14</v>
          </cell>
          <cell r="M183">
            <v>4</v>
          </cell>
          <cell r="N183">
            <v>4</v>
          </cell>
          <cell r="O183" t="str">
            <v>108/454</v>
          </cell>
          <cell r="P183" t="str">
            <v>0…+6</v>
          </cell>
          <cell r="Q183">
            <v>30</v>
          </cell>
        </row>
        <row r="184">
          <cell r="B184">
            <v>1001085476928</v>
          </cell>
          <cell r="C184" t="str">
            <v>КАРБОНАД ДОМАШНИЙ ПМ к/в мл/к в/у 0.3кг</v>
          </cell>
          <cell r="D184" t="str">
            <v>ШТ</v>
          </cell>
          <cell r="E184" t="str">
            <v>Колбасные изделия</v>
          </cell>
          <cell r="F184" t="str">
            <v>Копчености</v>
          </cell>
          <cell r="G184" t="str">
            <v>Папа может</v>
          </cell>
          <cell r="H184" t="str">
            <v>ОМПК(О)</v>
          </cell>
          <cell r="I184" t="str">
            <v>ТУ 10.13.14-183-00425283-2026</v>
          </cell>
          <cell r="J184" t="str">
            <v>Мясной продукт из свинины копчено-вареный категории Б.</v>
          </cell>
          <cell r="K184"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84">
            <v>15</v>
          </cell>
          <cell r="M184">
            <v>6</v>
          </cell>
          <cell r="N184">
            <v>1</v>
          </cell>
          <cell r="O184" t="str">
            <v>118/494</v>
          </cell>
          <cell r="P184" t="str">
            <v>0…+6</v>
          </cell>
          <cell r="Q184">
            <v>45</v>
          </cell>
        </row>
        <row r="185">
          <cell r="B185">
            <v>1001085966961</v>
          </cell>
          <cell r="C185" t="str">
            <v>КОРЕЙКА ПО-ДОМАШНЕМУ к/в мл/к в/у 0.3кг</v>
          </cell>
          <cell r="D185" t="str">
            <v>ШТ</v>
          </cell>
          <cell r="E185" t="str">
            <v>Колбасные изделия</v>
          </cell>
          <cell r="F185" t="str">
            <v>Копчености</v>
          </cell>
          <cell r="G185" t="str">
            <v>Папа может</v>
          </cell>
          <cell r="H185" t="str">
            <v>ОМПК(О)</v>
          </cell>
          <cell r="I185" t="str">
            <v>ТУ 10.13.14-183-00425283-2026</v>
          </cell>
          <cell r="J185" t="str">
            <v>Мясной продукт из свинины копчено-вареный категории Б.</v>
          </cell>
          <cell r="K185" t="str">
            <v>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5">
            <v>18</v>
          </cell>
          <cell r="M185">
            <v>6</v>
          </cell>
          <cell r="N185">
            <v>1</v>
          </cell>
          <cell r="O185" t="str">
            <v>130/545</v>
          </cell>
          <cell r="P185" t="str">
            <v>0…+6</v>
          </cell>
          <cell r="Q185">
            <v>45</v>
          </cell>
        </row>
        <row r="186">
          <cell r="B186">
            <v>1001455967623</v>
          </cell>
          <cell r="C186" t="str">
            <v>КОРЕЙКА ПО-ДОМАШНЕМУ к/в мл/к в/у</v>
          </cell>
          <cell r="D186" t="str">
            <v>КГ</v>
          </cell>
          <cell r="E186" t="str">
            <v>Колбасные изделия</v>
          </cell>
          <cell r="F186" t="str">
            <v>Копчености</v>
          </cell>
          <cell r="G186" t="str">
            <v>Папа может</v>
          </cell>
          <cell r="H186" t="str">
            <v>ОМПК(О)</v>
          </cell>
          <cell r="I186" t="str">
            <v>ТУ 10.13.14-183-00425283-2026</v>
          </cell>
          <cell r="J186" t="str">
            <v>Мясной продукт из свинины копчено-вареный категории Б.</v>
          </cell>
          <cell r="K186" t="str">
            <v>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6">
            <v>18</v>
          </cell>
          <cell r="M186">
            <v>6</v>
          </cell>
          <cell r="N186">
            <v>1</v>
          </cell>
          <cell r="O186" t="str">
            <v>130/545</v>
          </cell>
          <cell r="P186" t="str">
            <v>0…+6</v>
          </cell>
          <cell r="Q186">
            <v>45</v>
          </cell>
        </row>
        <row r="187">
          <cell r="B187">
            <v>1001085756881</v>
          </cell>
          <cell r="C187" t="str">
            <v>КОРЕЙКА ФИРМЕННАЯ ПМ к/в мл/к в/у 0.3кг</v>
          </cell>
          <cell r="D187" t="str">
            <v>ШТ</v>
          </cell>
          <cell r="E187" t="str">
            <v>Колбасные изделия</v>
          </cell>
          <cell r="F187" t="str">
            <v>Копчености</v>
          </cell>
          <cell r="G187" t="str">
            <v>Папа может</v>
          </cell>
          <cell r="H187" t="str">
            <v>ОМПК(О)</v>
          </cell>
          <cell r="I187" t="str">
            <v>ТУ 10.13.14-183-00425283-2026</v>
          </cell>
          <cell r="J187" t="str">
            <v>Мясной продукт из свинины копчено-вареный категории Б.</v>
          </cell>
          <cell r="K187" t="str">
            <v>свинина,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7">
            <v>18</v>
          </cell>
          <cell r="M187">
            <v>6</v>
          </cell>
          <cell r="N187">
            <v>1</v>
          </cell>
          <cell r="O187" t="str">
            <v>130/545</v>
          </cell>
          <cell r="P187" t="str">
            <v>0…+6</v>
          </cell>
          <cell r="Q187">
            <v>45</v>
          </cell>
        </row>
        <row r="188">
          <cell r="B188">
            <v>1001083444819</v>
          </cell>
          <cell r="C188" t="str">
            <v>ОКОРОК КОПЧЕНЫЙ к/в мл/к в/у 300*6</v>
          </cell>
          <cell r="D188" t="str">
            <v>ШТ</v>
          </cell>
          <cell r="E188" t="str">
            <v>Колбасные изделия</v>
          </cell>
          <cell r="F188" t="str">
            <v>Копчености</v>
          </cell>
          <cell r="G188" t="str">
            <v>Папа может</v>
          </cell>
          <cell r="H188" t="str">
            <v>ОМПК(О)</v>
          </cell>
          <cell r="I188" t="str">
            <v>ТУ 10.13.14-183-00425283-2026</v>
          </cell>
          <cell r="J188" t="str">
            <v>Мясной продукт из свинины копчено-вареный категории Б.</v>
          </cell>
          <cell r="K188" t="str">
            <v>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v>
          </cell>
          <cell r="L188">
            <v>14</v>
          </cell>
          <cell r="M188">
            <v>4</v>
          </cell>
          <cell r="N188">
            <v>3</v>
          </cell>
          <cell r="O188" t="str">
            <v>104/437</v>
          </cell>
          <cell r="P188" t="str">
            <v>0…+6</v>
          </cell>
          <cell r="Q188">
            <v>45</v>
          </cell>
        </row>
        <row r="189">
          <cell r="B189">
            <v>1001083446207</v>
          </cell>
          <cell r="C189" t="str">
            <v>ОКОРОК КОПЧЕНЫЙ к/в мл/к в/у 0.3кг_СНГ</v>
          </cell>
          <cell r="D189" t="str">
            <v>ШТ</v>
          </cell>
          <cell r="E189" t="str">
            <v>Колбасные изделия</v>
          </cell>
          <cell r="F189" t="str">
            <v>Копчености</v>
          </cell>
          <cell r="G189" t="str">
            <v>Папа может</v>
          </cell>
          <cell r="H189" t="str">
            <v>ОМПК(О)</v>
          </cell>
          <cell r="I189" t="str">
            <v>ТУ 10.13.14-183-00425283-2026</v>
          </cell>
          <cell r="J189" t="str">
            <v>Мясной продукт из свинины копчено-вареный категории Б.</v>
          </cell>
          <cell r="K189" t="str">
            <v>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v>
          </cell>
          <cell r="L189">
            <v>14</v>
          </cell>
          <cell r="M189">
            <v>4</v>
          </cell>
          <cell r="N189">
            <v>3</v>
          </cell>
          <cell r="O189" t="str">
            <v>104/437</v>
          </cell>
          <cell r="P189" t="str">
            <v>0…+6</v>
          </cell>
          <cell r="Q189">
            <v>45</v>
          </cell>
        </row>
        <row r="190">
          <cell r="B190">
            <v>1001457777655</v>
          </cell>
          <cell r="C190" t="str">
            <v>СВИНИНА ПО-БЕЛОРУССКИ к/в в/у 0.4кг</v>
          </cell>
          <cell r="D190" t="str">
            <v>ШТ</v>
          </cell>
          <cell r="E190" t="str">
            <v>Колбасные изделия</v>
          </cell>
          <cell r="F190" t="str">
            <v>Копчености</v>
          </cell>
          <cell r="G190" t="str">
            <v>Без ТМ</v>
          </cell>
          <cell r="H190" t="str">
            <v>ОМПК(О)</v>
          </cell>
          <cell r="I190" t="str">
            <v>ТУ 10.13.14-183-00425283-2026</v>
          </cell>
          <cell r="J190" t="str">
            <v>Мясной продукт из свинины копчено-вареный категории А.</v>
          </cell>
          <cell r="K190"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0">
            <v>13</v>
          </cell>
          <cell r="M190">
            <v>15</v>
          </cell>
          <cell r="N190">
            <v>3</v>
          </cell>
          <cell r="O190" t="str">
            <v>199/827</v>
          </cell>
          <cell r="P190" t="str">
            <v>0…+6</v>
          </cell>
          <cell r="Q190">
            <v>55</v>
          </cell>
        </row>
        <row r="191">
          <cell r="B191">
            <v>1001084217089</v>
          </cell>
          <cell r="C191" t="str">
            <v>СВИНИНА ПО-ДОМ.к/в мл/к в/у 0.3кг_СНГ_50</v>
          </cell>
          <cell r="D191" t="str">
            <v>ШТ</v>
          </cell>
          <cell r="E191" t="str">
            <v>Колбасные изделия</v>
          </cell>
          <cell r="F191" t="str">
            <v>Копчености</v>
          </cell>
          <cell r="G191" t="str">
            <v>Папа может</v>
          </cell>
          <cell r="H191" t="str">
            <v>ОМПК(О)</v>
          </cell>
          <cell r="I191" t="str">
            <v>ТУ 10.13.14-183-00425283-2026</v>
          </cell>
          <cell r="J191" t="str">
            <v>Мясной продукт из свинины копчено-вареный категории Б.</v>
          </cell>
          <cell r="K191"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1">
            <v>13</v>
          </cell>
          <cell r="M191">
            <v>15</v>
          </cell>
          <cell r="N191">
            <v>3</v>
          </cell>
          <cell r="O191" t="str">
            <v>199/827</v>
          </cell>
          <cell r="P191" t="str">
            <v>0…+6</v>
          </cell>
          <cell r="Q191">
            <v>50</v>
          </cell>
        </row>
        <row r="192">
          <cell r="B192">
            <v>1001084217090</v>
          </cell>
          <cell r="C192" t="str">
            <v>СВИНИНА ПО-ДОМ. к/в мл/к в/у 0.3кг_50с</v>
          </cell>
          <cell r="D192" t="str">
            <v>ШТ</v>
          </cell>
          <cell r="E192" t="str">
            <v>Колбасные изделия</v>
          </cell>
          <cell r="F192" t="str">
            <v>Копчености</v>
          </cell>
          <cell r="G192" t="str">
            <v>Папа может</v>
          </cell>
          <cell r="H192" t="str">
            <v>ОМПК(О)</v>
          </cell>
          <cell r="I192" t="str">
            <v>ТУ 10.13.14-183-00425283-2026</v>
          </cell>
          <cell r="J192" t="str">
            <v>Мясной продукт из свинины копчено-вареный категории Б.</v>
          </cell>
          <cell r="K192"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2">
            <v>13</v>
          </cell>
          <cell r="M192">
            <v>15</v>
          </cell>
          <cell r="N192">
            <v>3</v>
          </cell>
          <cell r="O192" t="str">
            <v>199/827</v>
          </cell>
          <cell r="P192" t="str">
            <v>0…+6</v>
          </cell>
          <cell r="Q192">
            <v>50</v>
          </cell>
        </row>
        <row r="193">
          <cell r="B193">
            <v>1001453547656</v>
          </cell>
          <cell r="C193" t="str">
            <v>СВИНИНА ПРАЗДНИЧНАЯ с/к мл/к в/у 0.3кг</v>
          </cell>
          <cell r="D193" t="str">
            <v>ШТ</v>
          </cell>
          <cell r="E193" t="str">
            <v>Колбасные изделия</v>
          </cell>
          <cell r="F193" t="str">
            <v>Копчености</v>
          </cell>
          <cell r="G193" t="str">
            <v>Без ТМ</v>
          </cell>
          <cell r="H193" t="str">
            <v>ОМПК(О)</v>
          </cell>
          <cell r="I193" t="str">
            <v>ТУ 10.13.14-184-00425283-2026</v>
          </cell>
          <cell r="J193" t="str">
            <v>Мясной продукт из свинины сырокопченый категории А.</v>
          </cell>
          <cell r="K193" t="str">
            <v>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v>
          </cell>
          <cell r="L193">
            <v>16</v>
          </cell>
          <cell r="M193">
            <v>14</v>
          </cell>
          <cell r="N193">
            <v>2</v>
          </cell>
          <cell r="O193" t="str">
            <v>198/824</v>
          </cell>
          <cell r="P193" t="str">
            <v>0…+6</v>
          </cell>
          <cell r="Q193">
            <v>55</v>
          </cell>
        </row>
        <row r="194">
          <cell r="B194">
            <v>1001084227087</v>
          </cell>
          <cell r="C194" t="str">
            <v>ШПИК С ЧЕСНОК.И ПЕРЦЕМ к/в в/у 0.3кг_50c</v>
          </cell>
          <cell r="D194" t="str">
            <v>ШТ</v>
          </cell>
          <cell r="E194" t="str">
            <v>Колбасные изделия</v>
          </cell>
          <cell r="F194" t="str">
            <v>Копчености</v>
          </cell>
          <cell r="G194" t="str">
            <v>Папа может</v>
          </cell>
          <cell r="H194" t="str">
            <v>ОМПК(О)</v>
          </cell>
          <cell r="I194" t="str">
            <v>ТУ 10.13.14-183-00425283-2026</v>
          </cell>
          <cell r="J194" t="str">
            <v>Мясной продукт из свинины копчено-вареный.</v>
          </cell>
          <cell r="K194" t="str">
            <v>свинина, вода питьевая, чеснок свежий, перец черный молотый, смесь посолочно-нитритная (соль, фиксатор окраски (нитрит натрия)), регуляторы кислотности (трифосфаты, цитраты натрия, пирофосфаты), желатин (говяжий), белок животный (свиной), белок молочный, белок пшеничный, антиокислитель (аскорбат натрия), ароматизаторы</v>
          </cell>
          <cell r="L194">
            <v>13</v>
          </cell>
          <cell r="M194">
            <v>27</v>
          </cell>
          <cell r="N194">
            <v>3</v>
          </cell>
          <cell r="O194" t="str">
            <v>307/1271</v>
          </cell>
          <cell r="P194" t="str">
            <v>0…+6</v>
          </cell>
          <cell r="Q194">
            <v>50</v>
          </cell>
        </row>
        <row r="195">
          <cell r="B195">
            <v>1001305066505</v>
          </cell>
          <cell r="C195" t="str">
            <v>АРОМАТНАЯ С ЧЕСНОКОМ ПМ п/к в/у 420*16</v>
          </cell>
          <cell r="D195" t="str">
            <v>ШТ</v>
          </cell>
          <cell r="E195" t="str">
            <v>Колбасные изделия</v>
          </cell>
          <cell r="F195" t="str">
            <v>Копченые колбасы</v>
          </cell>
          <cell r="G195" t="str">
            <v>Папа может</v>
          </cell>
          <cell r="H195" t="str">
            <v>ОМПК(К)</v>
          </cell>
          <cell r="I195" t="str">
            <v xml:space="preserve"> ТУ 10.13.14-160-00425283-2022</v>
          </cell>
          <cell r="J195" t="str">
            <v>Мясной продукт. Изделие колбасное полукопченое категории В.</v>
          </cell>
          <cell r="K195" t="str">
            <v>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195">
            <v>13</v>
          </cell>
          <cell r="M195">
            <v>17</v>
          </cell>
          <cell r="N195">
            <v>5</v>
          </cell>
          <cell r="O195" t="str">
            <v>225/935</v>
          </cell>
          <cell r="P195" t="str">
            <v>0…+6</v>
          </cell>
          <cell r="Q195">
            <v>45</v>
          </cell>
        </row>
        <row r="196">
          <cell r="B196">
            <v>1001303637506</v>
          </cell>
          <cell r="C196" t="str">
            <v>БАЛЫКОВАЯ GUTMANN п/к в/у 0.28кг 8шт.</v>
          </cell>
          <cell r="D196" t="str">
            <v>ШТ</v>
          </cell>
          <cell r="E196" t="str">
            <v>Колбасные изделия</v>
          </cell>
          <cell r="F196" t="str">
            <v>Копченые колбасы</v>
          </cell>
          <cell r="G196" t="str">
            <v>GUTMANN</v>
          </cell>
          <cell r="H196" t="str">
            <v>ОМПК(К)</v>
          </cell>
          <cell r="I196" t="str">
            <v>ТУ 10.13.14-160-00425283-2022</v>
          </cell>
          <cell r="J196" t="str">
            <v>Мясной продукт. Изделие колбасное полукопченое категории Б.</v>
          </cell>
          <cell r="K196"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стабилизаторы (пирофосфаты, полифосфаты), специи, экстракты специй (в т.ч. горчица), экстракты пряностей, чеснок сушеный молотый, сахара, антиокислители (аскорбат натрия, аскорбиновая кислота, лимонная кислота), усилитель вкуса и аромата (глутамат натрия), ароматизаторы, краситель (кармины)</v>
          </cell>
          <cell r="L196">
            <v>15</v>
          </cell>
          <cell r="M196">
            <v>16</v>
          </cell>
          <cell r="N196">
            <v>5</v>
          </cell>
          <cell r="O196" t="str">
            <v>224/932</v>
          </cell>
          <cell r="P196" t="str">
            <v>0…+6</v>
          </cell>
          <cell r="Q196">
            <v>50</v>
          </cell>
        </row>
        <row r="197">
          <cell r="B197">
            <v>1001303637603</v>
          </cell>
          <cell r="C197" t="str">
            <v>БАЛЫКОВАЯ Останкино в/к в/у 0.33кг 8шт.</v>
          </cell>
          <cell r="D197" t="str">
            <v>ШТ</v>
          </cell>
          <cell r="E197" t="str">
            <v>Колбасные изделия</v>
          </cell>
          <cell r="F197" t="str">
            <v>Копченые колбасы</v>
          </cell>
          <cell r="G197" t="str">
            <v>Останкино</v>
          </cell>
          <cell r="H197" t="str">
            <v>ОМПК(К)</v>
          </cell>
          <cell r="I197" t="str">
            <v>ТУ 10.13.14-161-00425283-2022</v>
          </cell>
          <cell r="J197" t="str">
            <v>Мясной продукт. Изделие колбасное варено-копченое.</v>
          </cell>
          <cell r="K197" t="str">
            <v>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v>
          </cell>
          <cell r="L197">
            <v>15</v>
          </cell>
          <cell r="M197">
            <v>17</v>
          </cell>
          <cell r="N197">
            <v>1</v>
          </cell>
          <cell r="O197" t="str">
            <v>217/901</v>
          </cell>
          <cell r="P197" t="str">
            <v>0…+6</v>
          </cell>
          <cell r="Q197">
            <v>45</v>
          </cell>
        </row>
        <row r="198">
          <cell r="B198">
            <v>1001303637564</v>
          </cell>
          <cell r="C198" t="str">
            <v>БАЛЫКОВАЯ Останкино в/к в/у</v>
          </cell>
          <cell r="D198" t="str">
            <v>КГ</v>
          </cell>
          <cell r="E198" t="str">
            <v>Колбасные изделия</v>
          </cell>
          <cell r="F198" t="str">
            <v>Копченые колбасы</v>
          </cell>
          <cell r="G198" t="str">
            <v>Останкино</v>
          </cell>
          <cell r="H198" t="str">
            <v>ОМПК(К)</v>
          </cell>
          <cell r="I198" t="str">
            <v>ТУ 10.13.14-161-00425283-2022</v>
          </cell>
          <cell r="J198" t="str">
            <v>Мясной продукт. Изделие колбасное варено-копченое.</v>
          </cell>
          <cell r="K198" t="str">
            <v>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v>
          </cell>
          <cell r="L198">
            <v>15</v>
          </cell>
          <cell r="M198">
            <v>17</v>
          </cell>
          <cell r="N198">
            <v>1</v>
          </cell>
          <cell r="O198" t="str">
            <v>217/901</v>
          </cell>
          <cell r="P198" t="str">
            <v>0…+6</v>
          </cell>
          <cell r="Q198">
            <v>45</v>
          </cell>
        </row>
        <row r="199">
          <cell r="B199">
            <v>1001043635226</v>
          </cell>
          <cell r="C199" t="str">
            <v>БАЛЫКОВАЯ Папа Может п/к в/у 0.84кг</v>
          </cell>
          <cell r="D199" t="str">
            <v>КГ</v>
          </cell>
          <cell r="E199" t="str">
            <v>Колбасные изделия</v>
          </cell>
          <cell r="F199" t="str">
            <v>Копченые колбасы</v>
          </cell>
          <cell r="G199" t="str">
            <v>Папа может</v>
          </cell>
          <cell r="H199" t="str">
            <v>ОМПК(К)</v>
          </cell>
          <cell r="I199" t="str">
            <v>ТУ 10.13.14-160-00425283-2022</v>
          </cell>
          <cell r="J199" t="str">
            <v>Мясной продукт. Изделие колбасное полукопченое категории Б.</v>
          </cell>
          <cell r="K199"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99">
            <v>15</v>
          </cell>
          <cell r="M199">
            <v>14</v>
          </cell>
          <cell r="N199">
            <v>5</v>
          </cell>
          <cell r="O199" t="str">
            <v>206/858</v>
          </cell>
          <cell r="P199" t="str">
            <v>0…+6</v>
          </cell>
          <cell r="Q199">
            <v>45</v>
          </cell>
        </row>
        <row r="200">
          <cell r="B200">
            <v>1001303637233</v>
          </cell>
          <cell r="C200" t="str">
            <v>БАЛЫКОВАЯ ПМ п/к в/у 0.31кг 8шт_209к</v>
          </cell>
          <cell r="D200" t="str">
            <v>ШТ</v>
          </cell>
          <cell r="E200" t="str">
            <v>Колбасные изделия</v>
          </cell>
          <cell r="F200" t="str">
            <v>Копченые колбасы</v>
          </cell>
          <cell r="G200" t="str">
            <v>Папа может</v>
          </cell>
          <cell r="H200" t="str">
            <v>ОМПК(К)</v>
          </cell>
          <cell r="I200" t="str">
            <v>ТУ 10.13.14-160-00425283-2022</v>
          </cell>
          <cell r="J200" t="str">
            <v>Мясной продукт. Изделие колбасное полукопченое категории Б.</v>
          </cell>
          <cell r="K200"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0">
            <v>15</v>
          </cell>
          <cell r="M200">
            <v>14</v>
          </cell>
          <cell r="N200">
            <v>5</v>
          </cell>
          <cell r="O200" t="str">
            <v>206/858</v>
          </cell>
          <cell r="P200" t="str">
            <v>0…+6</v>
          </cell>
          <cell r="Q200">
            <v>45</v>
          </cell>
        </row>
        <row r="201">
          <cell r="B201">
            <v>1001303637340</v>
          </cell>
          <cell r="C201" t="str">
            <v>БАЛЫКОВАЯ Коровино п/к в/у 0.76кг</v>
          </cell>
          <cell r="D201" t="str">
            <v>ШТ</v>
          </cell>
          <cell r="E201" t="str">
            <v>Колбасные изделия</v>
          </cell>
          <cell r="F201" t="str">
            <v>Копченые колбасы</v>
          </cell>
          <cell r="G201" t="str">
            <v>Коровино</v>
          </cell>
          <cell r="H201" t="str">
            <v>ОМПК(К)</v>
          </cell>
          <cell r="I201" t="str">
            <v>ТУ 10.13.14-160-00425283-2022</v>
          </cell>
          <cell r="J201" t="str">
            <v>Мясной продукт. Изделие колбасное полукопченое категории А.</v>
          </cell>
          <cell r="K201" t="str">
            <v>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1">
            <v>15</v>
          </cell>
          <cell r="M201">
            <v>14</v>
          </cell>
          <cell r="N201">
            <v>5</v>
          </cell>
          <cell r="O201" t="str">
            <v>206/858</v>
          </cell>
          <cell r="P201" t="str">
            <v>0…+6</v>
          </cell>
          <cell r="Q201">
            <v>50</v>
          </cell>
        </row>
        <row r="202">
          <cell r="B202">
            <v>1001303637149</v>
          </cell>
          <cell r="C202" t="str">
            <v>БАЛЫКОВАЯ Коровино п/к в/у 0.84кг_50с</v>
          </cell>
          <cell r="D202" t="str">
            <v>ШТ</v>
          </cell>
          <cell r="E202" t="str">
            <v>Колбасные изделия</v>
          </cell>
          <cell r="F202" t="str">
            <v>Копченые колбасы</v>
          </cell>
          <cell r="G202" t="str">
            <v>Коровино</v>
          </cell>
          <cell r="H202" t="str">
            <v>ОМПК(К)</v>
          </cell>
          <cell r="I202" t="str">
            <v>ТУ 10.13.14-160-00425283-2022</v>
          </cell>
          <cell r="J202" t="str">
            <v>Мясной продукт. Изделие колбасное полукопченое категории А.</v>
          </cell>
          <cell r="K202" t="str">
            <v>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2">
            <v>15</v>
          </cell>
          <cell r="M202">
            <v>14</v>
          </cell>
          <cell r="N202">
            <v>5</v>
          </cell>
          <cell r="O202" t="str">
            <v>206/858</v>
          </cell>
          <cell r="P202" t="str">
            <v>0…+6</v>
          </cell>
          <cell r="Q202">
            <v>50</v>
          </cell>
        </row>
        <row r="203">
          <cell r="B203">
            <v>1001303636579</v>
          </cell>
          <cell r="C203" t="str">
            <v>БАЛЫКОВАЯ СТМ Kvalita п/к в/у 0.84кг 6шт</v>
          </cell>
          <cell r="D203" t="str">
            <v>ШТ</v>
          </cell>
          <cell r="E203" t="str">
            <v>Колбасные изделия</v>
          </cell>
          <cell r="F203" t="str">
            <v>Копченые колбасы</v>
          </cell>
          <cell r="G203" t="str">
            <v>СТМ</v>
          </cell>
          <cell r="H203" t="str">
            <v>ОМПК(К)</v>
          </cell>
          <cell r="I203" t="str">
            <v>ТУ 10.13.14-160-00425283-2022</v>
          </cell>
          <cell r="J203" t="str">
            <v>Мясной продукт. Изделие колбасное полукопченое категории А.</v>
          </cell>
          <cell r="K203" t="str">
            <v>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v>
          </cell>
          <cell r="L203">
            <v>14</v>
          </cell>
          <cell r="M203">
            <v>17</v>
          </cell>
          <cell r="N203">
            <v>3</v>
          </cell>
          <cell r="O203" t="str">
            <v>221/918</v>
          </cell>
          <cell r="P203" t="str">
            <v>0…+6</v>
          </cell>
          <cell r="Q203">
            <v>45</v>
          </cell>
        </row>
        <row r="204">
          <cell r="B204">
            <v>1001303637591</v>
          </cell>
          <cell r="C204" t="str">
            <v>БАЛЫКОВАЯ СТМ Kvalit п/к в/у 0.84кг 10шт</v>
          </cell>
          <cell r="D204" t="str">
            <v>ШТ</v>
          </cell>
          <cell r="E204" t="str">
            <v>Колбасные изделия</v>
          </cell>
          <cell r="F204" t="str">
            <v>Копченые колбасы</v>
          </cell>
          <cell r="G204" t="str">
            <v>СТМ</v>
          </cell>
          <cell r="H204" t="str">
            <v>ОМПК(К)</v>
          </cell>
          <cell r="I204" t="str">
            <v>ТУ 10.13.14-160-00425283-2022</v>
          </cell>
          <cell r="J204" t="str">
            <v>Мясной продукт. Изделие колбасное полукопченое категории А.</v>
          </cell>
          <cell r="K204" t="str">
            <v>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v>
          </cell>
          <cell r="L204">
            <v>14</v>
          </cell>
          <cell r="M204">
            <v>17</v>
          </cell>
          <cell r="N204">
            <v>3</v>
          </cell>
          <cell r="O204" t="str">
            <v>221/918</v>
          </cell>
          <cell r="P204" t="str">
            <v>0…+6</v>
          </cell>
          <cell r="Q204">
            <v>45</v>
          </cell>
        </row>
        <row r="205">
          <cell r="B205">
            <v>1001302277175</v>
          </cell>
          <cell r="C205" t="str">
            <v>БОЯNСКАЯ ПМ п/к в/у 0.42кг 8шт_50с</v>
          </cell>
          <cell r="D205" t="str">
            <v>ШТ</v>
          </cell>
          <cell r="E205" t="str">
            <v>Колбасные изделия</v>
          </cell>
          <cell r="F205" t="str">
            <v>Копченые колбасы</v>
          </cell>
          <cell r="G205" t="str">
            <v>Папа может</v>
          </cell>
          <cell r="H205" t="str">
            <v>ОМПК(К)</v>
          </cell>
          <cell r="I205" t="str">
            <v>ТУ 10.13.14-160-00425283-2022</v>
          </cell>
          <cell r="J205" t="str">
            <v>Мясной продукт. Изделие колбасное полукопченое категории Б.</v>
          </cell>
          <cell r="K205" t="str">
            <v>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сахара, экстракты пряностей (перец черный, кардамон), чеснок сушеный молотый,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205">
            <v>14</v>
          </cell>
          <cell r="M205">
            <v>14</v>
          </cell>
          <cell r="N205">
            <v>3</v>
          </cell>
          <cell r="O205" t="str">
            <v>198/824</v>
          </cell>
          <cell r="P205" t="str">
            <v>0…+6</v>
          </cell>
          <cell r="Q205">
            <v>50</v>
          </cell>
        </row>
        <row r="206">
          <cell r="B206">
            <v>1001302277232</v>
          </cell>
          <cell r="C206" t="str">
            <v>БОЯNСКАЯ ПМ п/к в/у 0.28кг 8шт_209к</v>
          </cell>
          <cell r="D206" t="str">
            <v>ШТ</v>
          </cell>
          <cell r="E206" t="str">
            <v>Колбасные изделия</v>
          </cell>
          <cell r="F206" t="str">
            <v>Копченые колбасы</v>
          </cell>
          <cell r="G206" t="str">
            <v>Папа может</v>
          </cell>
          <cell r="H206" t="str">
            <v>ОМПК(К)</v>
          </cell>
          <cell r="I206" t="str">
            <v>ТУ 10.13.14-160-00425283-2022</v>
          </cell>
          <cell r="J206" t="str">
            <v>Мясной продукт. Изделие колбасное полукопченое категории Б.</v>
          </cell>
          <cell r="K206"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6">
            <v>15</v>
          </cell>
          <cell r="M206">
            <v>14</v>
          </cell>
          <cell r="N206">
            <v>5</v>
          </cell>
          <cell r="O206" t="str">
            <v>206/858</v>
          </cell>
          <cell r="P206" t="str">
            <v>0…+6</v>
          </cell>
          <cell r="Q206">
            <v>50</v>
          </cell>
        </row>
        <row r="207">
          <cell r="B207">
            <v>1001301777332</v>
          </cell>
          <cell r="C207" t="str">
            <v>БОЯРСКАЯ ПМ п/к в/у 0.28кг_СНГ</v>
          </cell>
          <cell r="D207" t="str">
            <v>ШТ</v>
          </cell>
          <cell r="E207" t="str">
            <v>Колбасные изделия</v>
          </cell>
          <cell r="F207" t="str">
            <v>Копченые колбасы</v>
          </cell>
          <cell r="G207" t="str">
            <v>Папа может</v>
          </cell>
          <cell r="H207" t="str">
            <v>ОМПК(К)</v>
          </cell>
          <cell r="I207" t="str">
            <v>ТУ 10.13.14-160-00425283-2022</v>
          </cell>
          <cell r="J207" t="str">
            <v>Мясной продукт. Изделие колбасное полукопченое категории Б.</v>
          </cell>
          <cell r="K207"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7">
            <v>15</v>
          </cell>
          <cell r="M207">
            <v>14</v>
          </cell>
          <cell r="N207">
            <v>5</v>
          </cell>
          <cell r="O207" t="str">
            <v>206/858</v>
          </cell>
          <cell r="P207" t="str">
            <v>0…+6</v>
          </cell>
          <cell r="Q207">
            <v>50</v>
          </cell>
        </row>
        <row r="208">
          <cell r="B208">
            <v>1001300516785</v>
          </cell>
          <cell r="C208" t="str">
            <v>ВЕНСКАЯ САЛЯМИ п/к в/у 0.33кг 8шт.</v>
          </cell>
          <cell r="D208" t="str">
            <v>ШТ</v>
          </cell>
          <cell r="E208" t="str">
            <v>Колбасные изделия</v>
          </cell>
          <cell r="F208" t="str">
            <v>Копченые колбасы</v>
          </cell>
          <cell r="G208" t="str">
            <v>Останкино</v>
          </cell>
          <cell r="H208" t="str">
            <v>ОМПК(К)</v>
          </cell>
          <cell r="I208" t="str">
            <v>ТУ 10.13.14-160-00425283-2022</v>
          </cell>
          <cell r="J208" t="str">
            <v>Мясной продукт. Изделие колбасное полукопченое категории Б.</v>
          </cell>
          <cell r="K208" t="str">
            <v>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перец черный, горчица, маис, кардамон, тмин,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v>
          </cell>
          <cell r="L208">
            <v>14</v>
          </cell>
          <cell r="M208">
            <v>25</v>
          </cell>
          <cell r="N208">
            <v>3</v>
          </cell>
          <cell r="O208" t="str">
            <v>293/1214</v>
          </cell>
          <cell r="P208" t="str">
            <v>0…+6</v>
          </cell>
          <cell r="Q208">
            <v>45</v>
          </cell>
        </row>
        <row r="209">
          <cell r="B209">
            <v>1001300516803</v>
          </cell>
          <cell r="C209" t="str">
            <v>ВЕНСКАЯ САЛЯМИ п/к в/у 0.66кг 8шт.</v>
          </cell>
          <cell r="D209" t="str">
            <v>ШТ</v>
          </cell>
          <cell r="E209" t="str">
            <v>Колбасные изделия</v>
          </cell>
          <cell r="F209" t="str">
            <v>Копченые колбасы</v>
          </cell>
          <cell r="G209" t="str">
            <v>Останкино</v>
          </cell>
          <cell r="H209" t="str">
            <v>ОМПК(К)</v>
          </cell>
          <cell r="I209" t="str">
            <v>ТУ 10.13.14-160-00425283-2022</v>
          </cell>
          <cell r="J209" t="str">
            <v>Мясной продукт. Изделие колбасное полукопченое категории Б.</v>
          </cell>
          <cell r="K209"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v>
          </cell>
          <cell r="L209">
            <v>14</v>
          </cell>
          <cell r="M209">
            <v>25</v>
          </cell>
          <cell r="N209">
            <v>2</v>
          </cell>
          <cell r="O209" t="str">
            <v>289/1197</v>
          </cell>
          <cell r="P209" t="str">
            <v>0…+6</v>
          </cell>
          <cell r="Q209">
            <v>45</v>
          </cell>
        </row>
        <row r="210">
          <cell r="B210">
            <v>1001300517132</v>
          </cell>
          <cell r="C210" t="str">
            <v>ВЕНСКАЯ САЛЯМИ п/к в/у 0.840кг</v>
          </cell>
          <cell r="D210" t="str">
            <v>КГ</v>
          </cell>
          <cell r="E210" t="str">
            <v>Колбасные изделия</v>
          </cell>
          <cell r="F210" t="str">
            <v>Копченые колбасы</v>
          </cell>
          <cell r="G210" t="str">
            <v>Останкино</v>
          </cell>
          <cell r="H210" t="str">
            <v>ОМПК(К)</v>
          </cell>
          <cell r="I210" t="str">
            <v>ТУ 10.13.14-160-00425283-2022</v>
          </cell>
          <cell r="J210" t="str">
            <v>Мясной продукт. Изделие колбасное полукопченое категории Б.</v>
          </cell>
          <cell r="K210"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v>
          </cell>
          <cell r="L210">
            <v>14</v>
          </cell>
          <cell r="M210">
            <v>25</v>
          </cell>
          <cell r="N210">
            <v>2</v>
          </cell>
          <cell r="O210" t="str">
            <v>289/1197</v>
          </cell>
          <cell r="P210" t="str">
            <v>0…+6</v>
          </cell>
          <cell r="Q210">
            <v>45</v>
          </cell>
        </row>
        <row r="211">
          <cell r="B211">
            <v>1001305646825</v>
          </cell>
          <cell r="C211" t="str">
            <v>ДОМАШНИЙ РЕЦЕПТ ПМ п/к б/о мгс 0.33кг</v>
          </cell>
          <cell r="D211" t="str">
            <v>ШТ</v>
          </cell>
          <cell r="E211" t="str">
            <v>Колбасные изделия</v>
          </cell>
          <cell r="F211" t="str">
            <v>Копченые колбасы</v>
          </cell>
          <cell r="G211" t="str">
            <v>Папа может</v>
          </cell>
          <cell r="H211" t="str">
            <v>ОМПК(К)</v>
          </cell>
          <cell r="I211" t="str">
            <v>ТУ 10.13.14-144-00425283-2017</v>
          </cell>
          <cell r="J211" t="str">
            <v>Изделие колбасное полукопченое из мяса кур охлажденное.</v>
          </cell>
          <cell r="K211" t="str">
            <v>филе грудок куриных, свинина, мясо цыпленка-бройлера механической обвалки, белковый стабилизатор (шкурка свиная, вода), вода,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v>
          </cell>
          <cell r="L211">
            <v>13</v>
          </cell>
          <cell r="M211">
            <v>22</v>
          </cell>
          <cell r="N211">
            <v>3</v>
          </cell>
          <cell r="O211" t="str">
            <v>262/1086</v>
          </cell>
          <cell r="P211" t="str">
            <v>0…+6</v>
          </cell>
          <cell r="Q211">
            <v>45</v>
          </cell>
        </row>
        <row r="212">
          <cell r="B212">
            <v>1001307687638</v>
          </cell>
          <cell r="C212" t="str">
            <v>МЯСНАЯ РУБЛЕНАЯ ASLAM п/к в/у 0.29кг 8шт</v>
          </cell>
          <cell r="D212" t="str">
            <v>ШТ</v>
          </cell>
          <cell r="E212" t="str">
            <v>Колбасные изделия</v>
          </cell>
          <cell r="F212" t="str">
            <v>Копченые колбасы</v>
          </cell>
          <cell r="G212" t="str">
            <v>ASLAM</v>
          </cell>
          <cell r="H212" t="str">
            <v>ООО Казанские деликатесы</v>
          </cell>
          <cell r="I212" t="str">
            <v>ТУ 10.13.14-176-00425283-2025</v>
          </cell>
          <cell r="J212" t="str">
            <v>Изделие колбасное полукопченое из мяса кур охлажденное.</v>
          </cell>
          <cell r="K212" t="str">
            <v>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2">
            <v>15</v>
          </cell>
          <cell r="M212">
            <v>24</v>
          </cell>
          <cell r="N212">
            <v>3</v>
          </cell>
          <cell r="O212" t="str">
            <v>288/1194</v>
          </cell>
          <cell r="P212" t="str">
            <v>0…+6</v>
          </cell>
          <cell r="Q212">
            <v>45</v>
          </cell>
        </row>
        <row r="213">
          <cell r="B213">
            <v>1001307687639</v>
          </cell>
          <cell r="C213" t="str">
            <v>МЯСНАЯ РУБЛЕНАЯ ASLAM п/к в/у 0.82кг 6шт</v>
          </cell>
          <cell r="D213" t="str">
            <v>ШТ</v>
          </cell>
          <cell r="E213" t="str">
            <v>Колбасные изделия</v>
          </cell>
          <cell r="F213" t="str">
            <v>Копченые колбасы</v>
          </cell>
          <cell r="G213" t="str">
            <v>ASLAM</v>
          </cell>
          <cell r="H213" t="str">
            <v>ООО Казанские деликатесы</v>
          </cell>
          <cell r="I213" t="str">
            <v>ТУ 10.13.14-176-00425283-2025</v>
          </cell>
          <cell r="J213" t="str">
            <v>Изделие колбасное полукопченое из мяса кур охлажденное.</v>
          </cell>
          <cell r="K213" t="str">
            <v>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3">
            <v>15</v>
          </cell>
          <cell r="M213">
            <v>24</v>
          </cell>
          <cell r="N213">
            <v>3</v>
          </cell>
          <cell r="O213" t="str">
            <v>288/1194</v>
          </cell>
          <cell r="P213" t="str">
            <v>0…+6</v>
          </cell>
          <cell r="Q213">
            <v>45</v>
          </cell>
        </row>
        <row r="214">
          <cell r="B214">
            <v>1001305427314</v>
          </cell>
          <cell r="C214" t="str">
            <v>РУБЛЕНАЯ Коровино п/к в/у 0.84кг 6шт_СНГ</v>
          </cell>
          <cell r="D214" t="str">
            <v>ШТ</v>
          </cell>
          <cell r="E214" t="str">
            <v>Колбасные изделия</v>
          </cell>
          <cell r="F214" t="str">
            <v>Копченые колбасы</v>
          </cell>
          <cell r="G214" t="str">
            <v>Коровино</v>
          </cell>
          <cell r="H214" t="str">
            <v>ОМПК(К)</v>
          </cell>
          <cell r="I214" t="str">
            <v>ТУ 10.13.14-160-00425283-2022</v>
          </cell>
          <cell r="J214" t="str">
            <v>Мясной продукт. Изделие колбасное полукопченое категории А.</v>
          </cell>
          <cell r="K214" t="str">
            <v>свинина, вода питьевая, стабилизатор белковый (шкурка свиная, вода питьевая, кожа куриная),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экстракты пряностей (перец черный, кардамон), чеснок сушеный, антиокислители (аскорбиновая кислота, лимонная кислота, аскорбат натрия), гидролизат кукурузного белка, усилитель вкуса и аромата (глутамат натрия), ароматизаторы, краситель (кармины)</v>
          </cell>
          <cell r="L214">
            <v>14</v>
          </cell>
          <cell r="M214">
            <v>16</v>
          </cell>
          <cell r="N214">
            <v>3</v>
          </cell>
          <cell r="O214" t="str">
            <v>212/881</v>
          </cell>
          <cell r="P214" t="str">
            <v>0…+6</v>
          </cell>
          <cell r="Q214">
            <v>60</v>
          </cell>
        </row>
        <row r="215">
          <cell r="B215">
            <v>1001307027397</v>
          </cell>
          <cell r="C215" t="str">
            <v>МУСУЛЬМАНСКАЯ ASLAM п/к в/у 0.29кг 8шт.</v>
          </cell>
          <cell r="D215" t="str">
            <v>ШТ</v>
          </cell>
          <cell r="E215" t="str">
            <v>Колбасные изделия</v>
          </cell>
          <cell r="F215" t="str">
            <v>Копченые колбасы</v>
          </cell>
          <cell r="G215" t="str">
            <v>ASLAM</v>
          </cell>
          <cell r="H215" t="str">
            <v>ООО Казанские деликатесы</v>
          </cell>
          <cell r="I215" t="str">
            <v>ТУ 10.13.14-176-00425283-2025</v>
          </cell>
          <cell r="J215" t="str">
            <v>Изделие колбасное полукопченое из мяса кур охлажденное.</v>
          </cell>
          <cell r="K215" t="str">
            <v>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v>
          </cell>
          <cell r="L215">
            <v>14</v>
          </cell>
          <cell r="M215">
            <v>25</v>
          </cell>
          <cell r="N215">
            <v>3</v>
          </cell>
          <cell r="O215" t="str">
            <v>293/1175</v>
          </cell>
          <cell r="P215" t="str">
            <v>0…+6</v>
          </cell>
          <cell r="Q215">
            <v>45</v>
          </cell>
        </row>
        <row r="216">
          <cell r="B216">
            <v>1001307027400</v>
          </cell>
          <cell r="C216" t="str">
            <v>МУСУЛЬМАНСКАЯ ASLAM п/к в/у 0.82кг 6шт.</v>
          </cell>
          <cell r="D216" t="str">
            <v>ШТ</v>
          </cell>
          <cell r="E216" t="str">
            <v>Колбасные изделия</v>
          </cell>
          <cell r="F216" t="str">
            <v>Копченые колбасы</v>
          </cell>
          <cell r="G216" t="str">
            <v>ASLAM</v>
          </cell>
          <cell r="H216" t="str">
            <v>ООО Казанские деликатесы</v>
          </cell>
          <cell r="I216" t="str">
            <v>ТУ 10.13.14-176-00425283-2025</v>
          </cell>
          <cell r="J216" t="str">
            <v>Изделие колбасное полукопченое из мяса кур охлажденное.</v>
          </cell>
          <cell r="K216" t="str">
            <v>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v>
          </cell>
          <cell r="L216">
            <v>14</v>
          </cell>
          <cell r="M216">
            <v>25</v>
          </cell>
          <cell r="N216">
            <v>3</v>
          </cell>
          <cell r="O216" t="str">
            <v>293/1175</v>
          </cell>
          <cell r="P216" t="str">
            <v>0…+6</v>
          </cell>
          <cell r="Q216">
            <v>45</v>
          </cell>
        </row>
        <row r="217">
          <cell r="B217">
            <v>1001057037398</v>
          </cell>
          <cell r="C217" t="str">
            <v>САЛЯМИ ZHAZIRA ASLAM в/к в/у 0.29кг 8шт.</v>
          </cell>
          <cell r="D217" t="str">
            <v>ШТ</v>
          </cell>
          <cell r="E217" t="str">
            <v>Колбасные изделия</v>
          </cell>
          <cell r="F217" t="str">
            <v>Копченые колбасы</v>
          </cell>
          <cell r="G217" t="str">
            <v>ASLAM</v>
          </cell>
          <cell r="H217" t="str">
            <v>ООО Казанские деликатесы</v>
          </cell>
          <cell r="I217" t="str">
            <v>ТУ 10.13.14-176-00425283-2025</v>
          </cell>
          <cell r="J217" t="str">
            <v>Изделие колбасное варено-копченое из мяса кур охлажденное.</v>
          </cell>
          <cell r="K217" t="str">
            <v>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v>
          </cell>
          <cell r="L217">
            <v>16</v>
          </cell>
          <cell r="M217">
            <v>24</v>
          </cell>
          <cell r="N217">
            <v>3</v>
          </cell>
          <cell r="O217" t="str">
            <v>292/1211</v>
          </cell>
          <cell r="P217" t="str">
            <v>0…+6</v>
          </cell>
          <cell r="Q217">
            <v>45</v>
          </cell>
        </row>
        <row r="218">
          <cell r="B218">
            <v>1001057037399</v>
          </cell>
          <cell r="C218" t="str">
            <v>САЛЯМИ ZHAZIRA ASLAM в/к в/у 0.82кг</v>
          </cell>
          <cell r="D218" t="str">
            <v>ШТ</v>
          </cell>
          <cell r="E218" t="str">
            <v>Колбасные изделия</v>
          </cell>
          <cell r="F218" t="str">
            <v>Копченые колбасы</v>
          </cell>
          <cell r="G218" t="str">
            <v>ASLAM</v>
          </cell>
          <cell r="H218" t="str">
            <v>ООО Казанские деликатесы</v>
          </cell>
          <cell r="I218" t="str">
            <v>ТУ 10.13.14-176-00425283-2025</v>
          </cell>
          <cell r="J218" t="str">
            <v>Изделие колбасное варено-копченое из мяса кур охлажденное.</v>
          </cell>
          <cell r="K218" t="str">
            <v>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v>
          </cell>
          <cell r="L218">
            <v>16</v>
          </cell>
          <cell r="M218">
            <v>24</v>
          </cell>
          <cell r="N218">
            <v>3</v>
          </cell>
          <cell r="O218" t="str">
            <v>292/1211</v>
          </cell>
          <cell r="P218" t="str">
            <v>0…+6</v>
          </cell>
          <cell r="Q218">
            <v>45</v>
          </cell>
        </row>
        <row r="219">
          <cell r="B219">
            <v>1001057047402</v>
          </cell>
          <cell r="C219" t="str">
            <v>СЕРВЕЛАТ SAMAH ASLAM в/к в/у 0.29кг 8шт.</v>
          </cell>
          <cell r="D219" t="str">
            <v>ШТ</v>
          </cell>
          <cell r="E219" t="str">
            <v>Колбасные изделия</v>
          </cell>
          <cell r="F219" t="str">
            <v>Копченые колбасы</v>
          </cell>
          <cell r="G219" t="str">
            <v>ASLAM</v>
          </cell>
          <cell r="H219" t="str">
            <v>ООО Казанские деликатесы</v>
          </cell>
          <cell r="I219" t="str">
            <v>ТУ 10.13.14-176-00425283-2025</v>
          </cell>
          <cell r="J219" t="str">
            <v>Изделие колбасное варено-копченое из мяса кур охлажденное.</v>
          </cell>
          <cell r="K219" t="str">
            <v>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9">
            <v>15</v>
          </cell>
          <cell r="M219">
            <v>24</v>
          </cell>
          <cell r="N219">
            <v>3</v>
          </cell>
          <cell r="O219" t="str">
            <v>288/1194</v>
          </cell>
          <cell r="P219" t="str">
            <v>0…+6</v>
          </cell>
          <cell r="Q219">
            <v>45</v>
          </cell>
        </row>
        <row r="220">
          <cell r="B220">
            <v>1001057047401</v>
          </cell>
          <cell r="C220" t="str">
            <v>СЕРВЕЛАТ SAMAH ASLAM в/к в/у 0.82кг 6шт.</v>
          </cell>
          <cell r="D220" t="str">
            <v>ШТ</v>
          </cell>
          <cell r="E220" t="str">
            <v>Колбасные изделия</v>
          </cell>
          <cell r="F220" t="str">
            <v>Копченые колбасы</v>
          </cell>
          <cell r="G220" t="str">
            <v>ASLAM</v>
          </cell>
          <cell r="H220" t="str">
            <v>ООО Казанские деликатесы</v>
          </cell>
          <cell r="I220" t="str">
            <v>ТУ 10.13.14-176-00425283-2025</v>
          </cell>
          <cell r="J220" t="str">
            <v>Изделие колбасное варено-копченое из мяса кур охлажденное.</v>
          </cell>
          <cell r="K220" t="str">
            <v>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20">
            <v>15</v>
          </cell>
          <cell r="M220">
            <v>24</v>
          </cell>
          <cell r="N220">
            <v>3</v>
          </cell>
          <cell r="O220" t="str">
            <v>288/1194</v>
          </cell>
          <cell r="P220" t="str">
            <v>0…+6</v>
          </cell>
          <cell r="Q220">
            <v>45</v>
          </cell>
        </row>
        <row r="221">
          <cell r="B221">
            <v>1001305427372</v>
          </cell>
          <cell r="C221" t="str">
            <v>РУБЛЕНАЯ ПМ п/к в/у 0.28кг 8шт.</v>
          </cell>
          <cell r="D221" t="str">
            <v>ШТ</v>
          </cell>
          <cell r="E221" t="str">
            <v>Колбасные изделия</v>
          </cell>
          <cell r="F221" t="str">
            <v>Копченые колбасы</v>
          </cell>
          <cell r="G221" t="str">
            <v>Папа может</v>
          </cell>
          <cell r="H221" t="str">
            <v>ОМПК(К)</v>
          </cell>
          <cell r="I221" t="str">
            <v>ТУ 10.13.14-160-00425283-2022</v>
          </cell>
          <cell r="J221" t="str">
            <v>Мясной продукт. Изделие колбасное полукопченое категории Б.</v>
          </cell>
          <cell r="K221" t="str">
            <v>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221">
            <v>14</v>
          </cell>
          <cell r="M221">
            <v>14</v>
          </cell>
          <cell r="N221">
            <v>3</v>
          </cell>
          <cell r="O221" t="str">
            <v>198/824</v>
          </cell>
          <cell r="P221" t="str">
            <v>0…+6</v>
          </cell>
          <cell r="Q221">
            <v>50</v>
          </cell>
        </row>
        <row r="222">
          <cell r="B222">
            <v>1001307387486</v>
          </cell>
          <cell r="C222" t="str">
            <v>КОЛБ.ВЕТЧИН.С ГОРЧИЦЕЙ ПМ п/к в/у 0.25кг</v>
          </cell>
          <cell r="D222" t="str">
            <v>ШТ</v>
          </cell>
          <cell r="E222" t="str">
            <v>Колбасные изделия</v>
          </cell>
          <cell r="F222" t="str">
            <v>Копченые колбасы</v>
          </cell>
          <cell r="G222" t="str">
            <v>Папа может</v>
          </cell>
          <cell r="H222" t="str">
            <v>ОМПК(О)</v>
          </cell>
          <cell r="I222" t="str">
            <v>ТУ 10.13.14-160-00425283-2022</v>
          </cell>
          <cell r="J222" t="str">
            <v>Мясной продукт. Изделие колбасное полукопченое категории Б.</v>
          </cell>
          <cell r="K222" t="str">
            <v>свинина,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стабилизаторы (пирофосфаты, полифосфаты), регуляторы кислотности (трифосфаты, цитраты натрия), семена горчицы, уксус спиртовой, соль, сахара, перец белый молотый, перец черный молотый, чеснок сушеный молотый,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v>
          </cell>
          <cell r="L222">
            <v>16</v>
          </cell>
          <cell r="M222">
            <v>20</v>
          </cell>
          <cell r="N222">
            <v>3</v>
          </cell>
          <cell r="O222" t="str">
            <v>256/1063</v>
          </cell>
          <cell r="P222" t="str">
            <v>0…+6</v>
          </cell>
          <cell r="Q222">
            <v>45</v>
          </cell>
        </row>
        <row r="223">
          <cell r="B223">
            <v>1001307367487</v>
          </cell>
          <cell r="C223" t="str">
            <v>КОЛБАСКИ ШТУТГАРТСКИЕ ПМ п/к в/у 0.25кг</v>
          </cell>
          <cell r="D223" t="str">
            <v>ШТ</v>
          </cell>
          <cell r="E223" t="str">
            <v>Колбасные изделия</v>
          </cell>
          <cell r="F223" t="str">
            <v>Копченые колбасы</v>
          </cell>
          <cell r="G223" t="str">
            <v>Папа может</v>
          </cell>
          <cell r="H223" t="str">
            <v>ОМПК(О)</v>
          </cell>
          <cell r="I223" t="str">
            <v>ТУ 10.13.14-160-00425283-2022</v>
          </cell>
          <cell r="J223" t="str">
            <v>Мясной продукт. Изделие колбасное полукопченое категории Б.</v>
          </cell>
          <cell r="K223" t="str">
            <v>свинина, стабилизатор белковый (шкурка свиная, вода питьевая), вода питьевая, смесь посолочно-нитритная (соль, фиксатор окраски (нитрит натрия)), соль, стабилизаторы (полифосфаты, пирофосфаты), регуляторы кислотности (трифосфаты, цитраты натрия), перец черный молотый, кумин молотый, паприка молотая, куркума, орегано сушеный молотый, чеснок сушеный молотый, экстракты пряностей, пряности, сахар, антиокислители (аскорбиновая кислота, лимонная кислота, изоаскорбат натрия), усилитель вкуса и аромата (глутамат натрия), ароматизаторы</v>
          </cell>
          <cell r="L223">
            <v>16</v>
          </cell>
          <cell r="M223">
            <v>21</v>
          </cell>
          <cell r="N223">
            <v>2</v>
          </cell>
          <cell r="O223" t="str">
            <v>261/1083</v>
          </cell>
          <cell r="P223" t="str">
            <v>0…+6</v>
          </cell>
          <cell r="Q223">
            <v>45</v>
          </cell>
        </row>
        <row r="224">
          <cell r="B224">
            <v>1001307377488</v>
          </cell>
          <cell r="C224" t="str">
            <v>КОЛБАСКИ КАРРИВУРСТ ПМ п/к в/у 0.25кг</v>
          </cell>
          <cell r="D224" t="str">
            <v>ШТ</v>
          </cell>
          <cell r="E224" t="str">
            <v>Колбасные изделия</v>
          </cell>
          <cell r="F224" t="str">
            <v>Копченые колбасы</v>
          </cell>
          <cell r="G224" t="str">
            <v>Папа может</v>
          </cell>
          <cell r="H224" t="str">
            <v>ОМПК(О)</v>
          </cell>
          <cell r="I224" t="str">
            <v>ТУ 10.13.14-160-00425283-2022</v>
          </cell>
          <cell r="J224" t="str">
            <v>Мясной продукт. Изделие колбасное полукопченое категории Б.</v>
          </cell>
          <cell r="K224" t="str">
            <v>свинина, стабилизатор белковый (шкурка свиная, вода питьевая), вода питьевая, смесь посолочно-нитритная (соль, фиксатор окраски (нитрит натрия)), желатин (свиной), стабилизаторы (полифосфаты, пирофосфаты), регуляторы кислотности (трифосфаты, цитраты натрия), загустители (гуаровая камедь, ксантановая камедь, тары камедь), куркума, кориандр молотый, перец красный молотый, перец черный молотый, горчица, экстракты пряностей (кориандр, перец красный, пажитник, кумин, перец черный, сельдерей, перец белый, чеснок), лук сушеный молотый, чеснок сушеный молотый, сахара, соль, антиокислители (аскорбиновая кислота, лимонная кислота), усилитель вкуса и аромата (глутамат натрия), ароматизаторы</v>
          </cell>
          <cell r="L224">
            <v>16</v>
          </cell>
          <cell r="M224">
            <v>20</v>
          </cell>
          <cell r="N224">
            <v>3</v>
          </cell>
          <cell r="O224" t="str">
            <v>256/1063</v>
          </cell>
          <cell r="P224" t="str">
            <v>0…+6</v>
          </cell>
          <cell r="Q224">
            <v>45</v>
          </cell>
        </row>
        <row r="225">
          <cell r="B225">
            <v>1001053946097</v>
          </cell>
          <cell r="C225" t="str">
            <v>КОЛБ.СНЭКИ Папа может в/к мгс 1/200</v>
          </cell>
          <cell r="D225" t="str">
            <v>ШТ</v>
          </cell>
          <cell r="E225" t="str">
            <v>Колбасные изделия</v>
          </cell>
          <cell r="F225" t="str">
            <v>Копченые колбасы</v>
          </cell>
          <cell r="G225" t="str">
            <v>Папа может</v>
          </cell>
          <cell r="H225" t="str">
            <v>Юнитекс</v>
          </cell>
          <cell r="I225" t="str">
            <v>ТУ 10.13.14-001-98189035-2019</v>
          </cell>
          <cell r="J225" t="str">
            <v>мясной продукт</v>
          </cell>
          <cell r="K225" t="str">
            <v>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v>
          </cell>
          <cell r="L225">
            <v>25</v>
          </cell>
          <cell r="M225">
            <v>35</v>
          </cell>
          <cell r="O225" t="str">
            <v>415/1738</v>
          </cell>
          <cell r="P225" t="str">
            <v>+2…+24</v>
          </cell>
          <cell r="Q225">
            <v>120</v>
          </cell>
        </row>
        <row r="226">
          <cell r="B226">
            <v>1001307587562</v>
          </cell>
          <cell r="C226" t="str">
            <v>КРАКОВСКАЯ ГОСТ Останкино п/к н/о мгс</v>
          </cell>
          <cell r="D226" t="str">
            <v>КГ</v>
          </cell>
          <cell r="E226" t="str">
            <v>Колбасные изделия</v>
          </cell>
          <cell r="F226" t="str">
            <v>Копченые колбасы</v>
          </cell>
          <cell r="G226" t="str">
            <v>Останкино</v>
          </cell>
          <cell r="H226" t="str">
            <v>ОМПК(К)</v>
          </cell>
          <cell r="I226" t="str">
            <v>ГОСТ 31785-2012</v>
          </cell>
          <cell r="J226" t="str">
            <v>Мясной продукт. Изделие колбасное полукопченое категории Б.</v>
          </cell>
          <cell r="K226" t="str">
            <v>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v>
          </cell>
          <cell r="L226">
            <v>14</v>
          </cell>
          <cell r="M226">
            <v>45</v>
          </cell>
          <cell r="N226">
            <v>0</v>
          </cell>
          <cell r="O226" t="str">
            <v>461/1930</v>
          </cell>
          <cell r="P226" t="str">
            <v>0…+6</v>
          </cell>
          <cell r="Q226">
            <v>45</v>
          </cell>
        </row>
        <row r="227">
          <cell r="B227">
            <v>1001300437291</v>
          </cell>
          <cell r="C227" t="str">
            <v>КРАКОВСКАЯ п/к н/о мгс_45с</v>
          </cell>
          <cell r="D227" t="str">
            <v>КГ</v>
          </cell>
          <cell r="E227" t="str">
            <v>Колбасные изделия</v>
          </cell>
          <cell r="F227" t="str">
            <v>Копченые колбасы</v>
          </cell>
          <cell r="G227" t="str">
            <v>Останкино</v>
          </cell>
          <cell r="H227" t="str">
            <v>ОМПК(К)</v>
          </cell>
          <cell r="I227" t="str">
            <v>ГОСТ 31785-2012</v>
          </cell>
          <cell r="J227" t="str">
            <v>Мясной продукт. Изделие колбасное полукопченое категории Б.</v>
          </cell>
          <cell r="K227" t="str">
            <v>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v>
          </cell>
          <cell r="L227">
            <v>14</v>
          </cell>
          <cell r="M227">
            <v>45</v>
          </cell>
          <cell r="N227">
            <v>0</v>
          </cell>
          <cell r="O227" t="str">
            <v>461/1930</v>
          </cell>
          <cell r="P227" t="str">
            <v>0…+6</v>
          </cell>
          <cell r="Q227">
            <v>45</v>
          </cell>
        </row>
        <row r="228">
          <cell r="B228">
            <v>1001303106995</v>
          </cell>
          <cell r="C228" t="str">
            <v>САЛЯМИ Папа может п/к в/у</v>
          </cell>
          <cell r="D228" t="str">
            <v>КГ</v>
          </cell>
          <cell r="E228" t="str">
            <v>Колбасные изделия</v>
          </cell>
          <cell r="F228" t="str">
            <v>Копченые колбасы</v>
          </cell>
          <cell r="G228" t="str">
            <v>Папа может</v>
          </cell>
          <cell r="H228" t="str">
            <v>ОМПК(К)</v>
          </cell>
          <cell r="I228" t="str">
            <v>ТУ 10.13.14-160-00425283-2022</v>
          </cell>
          <cell r="J228" t="str">
            <v>Мясной продукт. Изделие колбасное полукопченое категории В.</v>
          </cell>
          <cell r="K228" t="str">
            <v>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v>
          </cell>
          <cell r="L228">
            <v>10</v>
          </cell>
          <cell r="M228">
            <v>22</v>
          </cell>
          <cell r="N228">
            <v>1</v>
          </cell>
          <cell r="O228" t="str">
            <v>242/1001</v>
          </cell>
          <cell r="P228" t="str">
            <v>0…+6</v>
          </cell>
          <cell r="Q228">
            <v>45</v>
          </cell>
        </row>
        <row r="229">
          <cell r="B229">
            <v>1001303107241</v>
          </cell>
          <cell r="C229" t="str">
            <v>САЛЯМИ Папа может п/к в/у 0.28кг_209к</v>
          </cell>
          <cell r="D229" t="str">
            <v>ШТ</v>
          </cell>
          <cell r="E229" t="str">
            <v>Колбасные изделия</v>
          </cell>
          <cell r="F229" t="str">
            <v>Копченые колбасы</v>
          </cell>
          <cell r="G229" t="str">
            <v>Папа может</v>
          </cell>
          <cell r="H229" t="str">
            <v>ОМПК(К)</v>
          </cell>
          <cell r="I229" t="str">
            <v>ТУ 10.13.14-160-00425283-2022</v>
          </cell>
          <cell r="J229" t="str">
            <v>Мясной продукт. Изделие колбасное полукопченое категории В.</v>
          </cell>
          <cell r="K229" t="str">
            <v>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v>
          </cell>
          <cell r="L229">
            <v>10</v>
          </cell>
          <cell r="M229">
            <v>22</v>
          </cell>
          <cell r="N229">
            <v>1</v>
          </cell>
          <cell r="O229" t="str">
            <v>242/1001</v>
          </cell>
          <cell r="P229" t="str">
            <v>0…+6</v>
          </cell>
          <cell r="Q229">
            <v>45</v>
          </cell>
        </row>
        <row r="230">
          <cell r="B230">
            <v>1001307077390</v>
          </cell>
          <cell r="C230" t="str">
            <v>ВОСКРЕСЕНСКАЯ ВЯЛЕНАЯ Останкино в/к в/у</v>
          </cell>
          <cell r="D230" t="str">
            <v>КГ</v>
          </cell>
          <cell r="E230" t="str">
            <v>Колбасные изделия</v>
          </cell>
          <cell r="F230" t="str">
            <v>Копченые колбасы</v>
          </cell>
          <cell r="G230" t="str">
            <v>Останкино</v>
          </cell>
          <cell r="H230" t="str">
            <v>ОМПК(К)</v>
          </cell>
          <cell r="I230" t="str">
            <v>ТУ 10.13.14-161-00425283-2022</v>
          </cell>
          <cell r="J230" t="str">
            <v>Мясной продукт. Изделие колбасное варено-копченое.</v>
          </cell>
          <cell r="K230"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v>
          </cell>
          <cell r="L230">
            <v>18</v>
          </cell>
          <cell r="M230">
            <v>36</v>
          </cell>
          <cell r="N230">
            <v>3</v>
          </cell>
          <cell r="O230" t="str">
            <v>408/1689</v>
          </cell>
          <cell r="P230" t="str">
            <v>0…+6</v>
          </cell>
          <cell r="Q230">
            <v>45</v>
          </cell>
        </row>
        <row r="231">
          <cell r="B231">
            <v>1001307077513</v>
          </cell>
          <cell r="C231" t="str">
            <v>ВОСКРЕСЕНСКАЯ ВЯЛЕНАЯ в/к в/у срез 1/260</v>
          </cell>
          <cell r="D231" t="str">
            <v>ШТ</v>
          </cell>
          <cell r="E231" t="str">
            <v>Колбасные изделия</v>
          </cell>
          <cell r="F231" t="str">
            <v>Копченые колбасы</v>
          </cell>
          <cell r="G231" t="str">
            <v>Останкино</v>
          </cell>
          <cell r="H231" t="str">
            <v>ОМПК(К)</v>
          </cell>
          <cell r="I231" t="str">
            <v>ТУ 10.13.14-161-00425283-2022</v>
          </cell>
          <cell r="J231" t="str">
            <v>Мясной продукт. Изделие колбасное варено-копченое.</v>
          </cell>
          <cell r="K231"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v>
          </cell>
          <cell r="L231">
            <v>18</v>
          </cell>
          <cell r="M231">
            <v>36</v>
          </cell>
          <cell r="N231">
            <v>3</v>
          </cell>
          <cell r="O231" t="str">
            <v>408/1689</v>
          </cell>
          <cell r="P231" t="str">
            <v>0…+6</v>
          </cell>
          <cell r="Q231">
            <v>45</v>
          </cell>
        </row>
        <row r="232">
          <cell r="B232">
            <v>1001307107415</v>
          </cell>
          <cell r="C232" t="str">
            <v>НОВОМОСКОВСКАЯ Останкино в/к в/у</v>
          </cell>
          <cell r="D232" t="str">
            <v>КГ</v>
          </cell>
          <cell r="E232" t="str">
            <v>Колбасные изделия</v>
          </cell>
          <cell r="F232" t="str">
            <v>Копченые колбасы</v>
          </cell>
          <cell r="G232" t="str">
            <v>Останкино</v>
          </cell>
          <cell r="H232" t="str">
            <v>ОМПК(К)</v>
          </cell>
          <cell r="I232" t="str">
            <v>ТУ 10.13.14-161-00425283-2022</v>
          </cell>
          <cell r="J232" t="str">
            <v>Мясной продукт. Изделие колбасное варено-копченое.</v>
          </cell>
          <cell r="K232" t="str">
            <v>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v>
          </cell>
          <cell r="L232">
            <v>14</v>
          </cell>
          <cell r="M232">
            <v>39</v>
          </cell>
          <cell r="N232">
            <v>1</v>
          </cell>
          <cell r="O232" t="str">
            <v>411/1698</v>
          </cell>
          <cell r="P232" t="str">
            <v>0…+6</v>
          </cell>
          <cell r="Q232">
            <v>45</v>
          </cell>
        </row>
        <row r="233">
          <cell r="B233">
            <v>1001307107516</v>
          </cell>
          <cell r="C233" t="str">
            <v>НОВОМОСКОВСКАЯ в/к в/у срез 0.31кг</v>
          </cell>
          <cell r="D233" t="str">
            <v>ШТ</v>
          </cell>
          <cell r="E233" t="str">
            <v>Колбасные изделия</v>
          </cell>
          <cell r="F233" t="str">
            <v>Копченые колбасы</v>
          </cell>
          <cell r="G233" t="str">
            <v>Останкино</v>
          </cell>
          <cell r="H233" t="str">
            <v>ОМПК(К)</v>
          </cell>
          <cell r="I233" t="str">
            <v>ТУ 10.13.14-161-00425283-2022</v>
          </cell>
          <cell r="J233" t="str">
            <v>Мясной продукт. Изделие колбасное варено-копченое.</v>
          </cell>
          <cell r="K233" t="str">
            <v>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v>
          </cell>
          <cell r="L233">
            <v>14</v>
          </cell>
          <cell r="M233">
            <v>39</v>
          </cell>
          <cell r="N233">
            <v>1</v>
          </cell>
          <cell r="O233" t="str">
            <v>411/1698</v>
          </cell>
          <cell r="P233" t="str">
            <v>0…+6</v>
          </cell>
          <cell r="Q233">
            <v>45</v>
          </cell>
        </row>
        <row r="234">
          <cell r="B234">
            <v>1001306697277</v>
          </cell>
          <cell r="C234" t="str">
            <v>ПАПИН ВЫБОР С ЧЕСНОЧКОМ ПМ п/к в/у 1/420</v>
          </cell>
          <cell r="D234" t="str">
            <v>ШТ</v>
          </cell>
          <cell r="E234" t="str">
            <v>Колбасные изделия</v>
          </cell>
          <cell r="F234" t="str">
            <v>Копченые колбасы</v>
          </cell>
          <cell r="G234" t="str">
            <v>Папа может</v>
          </cell>
          <cell r="H234" t="str">
            <v>ОМПК(К)</v>
          </cell>
          <cell r="I234" t="str">
            <v>ТУ 10.13.14-160-00425283-2022</v>
          </cell>
          <cell r="J234" t="str">
            <v>Мясной продукт. Изделие колбасное полукопченое категории В.</v>
          </cell>
          <cell r="K234" t="str">
            <v>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234">
            <v>13</v>
          </cell>
          <cell r="M234">
            <v>19</v>
          </cell>
          <cell r="N234">
            <v>5</v>
          </cell>
          <cell r="O234" t="str">
            <v>243/1009</v>
          </cell>
          <cell r="P234" t="str">
            <v>0…+6</v>
          </cell>
          <cell r="Q234">
            <v>45</v>
          </cell>
        </row>
        <row r="235">
          <cell r="B235">
            <v>1001301957294</v>
          </cell>
          <cell r="C235" t="str">
            <v>СЕРВЕЛАТ АВСТРИЙСКИЙ в/к в/у 0.42кг_55с</v>
          </cell>
          <cell r="D235" t="str">
            <v>ШТ</v>
          </cell>
          <cell r="E235" t="str">
            <v>Колбасные изделия</v>
          </cell>
          <cell r="F235" t="str">
            <v>Копченые колбасы</v>
          </cell>
          <cell r="G235" t="str">
            <v>Папа может</v>
          </cell>
          <cell r="H235" t="str">
            <v>ОМПК(К)</v>
          </cell>
          <cell r="I235" t="str">
            <v>ТУ 10.13.14-161-00425283-2022</v>
          </cell>
          <cell r="J235" t="str">
            <v>Мясной продукт. Изделие колбасное варено-копченое.</v>
          </cell>
          <cell r="K235" t="str">
            <v>свинина,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специи (в т.ч. горчица), ароматизаторы, сахара, регуляторы кислотности (пирофосфаты, трифосфаты, цитраты натрия), антиокислители (аскорбиновая кислота, лимонная кислота), загуститель (альгинат натрия), усилитель вкуса и аромата (глутамат натрия 1-замещенный), гемоглобин, краситель (кармины)</v>
          </cell>
          <cell r="L235">
            <v>12</v>
          </cell>
          <cell r="M235">
            <v>20</v>
          </cell>
          <cell r="N235">
            <v>5</v>
          </cell>
          <cell r="O235" t="str">
            <v>248/1029</v>
          </cell>
          <cell r="P235" t="str">
            <v>0…+6</v>
          </cell>
          <cell r="Q235">
            <v>55</v>
          </cell>
        </row>
        <row r="236">
          <cell r="B236">
            <v>1001307137418</v>
          </cell>
          <cell r="C236" t="str">
            <v>СЕРВЕЛАТ АРБАТСКИЙ АВТОРСКИЙ в/к мгс</v>
          </cell>
          <cell r="D236" t="str">
            <v>КГ</v>
          </cell>
          <cell r="E236" t="str">
            <v>Колбасные изделия</v>
          </cell>
          <cell r="F236" t="str">
            <v>Копченые колбасы</v>
          </cell>
          <cell r="G236" t="str">
            <v>Останкино</v>
          </cell>
          <cell r="H236" t="str">
            <v>ОМПК(К)
ОМПК(О)</v>
          </cell>
          <cell r="I236" t="str">
            <v>ТУ 10.13.14-161-00425283-2022</v>
          </cell>
          <cell r="J236" t="str">
            <v>Мясной продукт. Изделие колбасное варено-копченое.</v>
          </cell>
          <cell r="K236"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сахара, специи, экстракты специй (в т.ч. горчица), экстракты пряностей, белок соевый, антиокислитель (аскорбиновая кислота), усилитель вкуса и аромата (глутамат натрия), ароматизаторы, гемоглобин, краситель (кармины), фермент (лизин)</v>
          </cell>
          <cell r="L236">
            <v>18</v>
          </cell>
          <cell r="M236">
            <v>36</v>
          </cell>
          <cell r="N236">
            <v>2</v>
          </cell>
          <cell r="O236" t="str">
            <v>404/1672</v>
          </cell>
          <cell r="P236" t="str">
            <v>0…+6</v>
          </cell>
          <cell r="Q236">
            <v>45</v>
          </cell>
        </row>
        <row r="237">
          <cell r="B237">
            <v>1001306717472</v>
          </cell>
          <cell r="C237" t="str">
            <v>Z-СЕРВ. БАВАРСКИЙ в/к (для нарезки)</v>
          </cell>
          <cell r="D237" t="str">
            <v>КГ</v>
          </cell>
          <cell r="E237" t="str">
            <v>Колбасные изделия</v>
          </cell>
          <cell r="F237" t="str">
            <v>Копченые колбасы</v>
          </cell>
          <cell r="G237" t="str">
            <v>Останкино</v>
          </cell>
          <cell r="H237" t="str">
            <v>ОМПК(К)</v>
          </cell>
          <cell r="I237" t="str">
            <v>ТУ 10.13.14-161-00425283-2022</v>
          </cell>
          <cell r="J237" t="str">
            <v>Мясной продукт. Изделие колбасное варено-копченое.</v>
          </cell>
          <cell r="K237" t="str">
            <v>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черный перец, белый перец, чеснок, кориандр, красная паприка, соль, белок животный (говяжий), сахар, регуляторы кислотности (трифосфаты, пирофосфаты, глюконо-дельта-лактон, цитраты натрия), экстракты специй и пряностей, антиокислители (лимонная кислота, аскорбиновая кислота, экстракт розмарина), усилитель вкуса и аромата (глутамат натрия), гемоглобин, ароматизаторы, краситель (кармины)</v>
          </cell>
          <cell r="L237">
            <v>13</v>
          </cell>
          <cell r="M237">
            <v>28</v>
          </cell>
          <cell r="N237">
            <v>1</v>
          </cell>
          <cell r="O237" t="str">
            <v>308/1274</v>
          </cell>
          <cell r="P237" t="str">
            <v>0…+6</v>
          </cell>
          <cell r="Q237">
            <v>5</v>
          </cell>
        </row>
        <row r="238">
          <cell r="B238">
            <v>1001306717610</v>
          </cell>
          <cell r="C238" t="str">
            <v>СЕРВЕЛАТ БАВАРСКИЙ в/к с/н в/у 1/100_Л11</v>
          </cell>
          <cell r="D238" t="str">
            <v>ШТ</v>
          </cell>
          <cell r="E238" t="str">
            <v>Колбасные изделия</v>
          </cell>
          <cell r="F238" t="str">
            <v>Копченые колбасы</v>
          </cell>
          <cell r="G238" t="str">
            <v>Останкино</v>
          </cell>
          <cell r="H238" t="str">
            <v>ОМПК(О)</v>
          </cell>
          <cell r="I238" t="str">
            <v>ТУ 10.13.14-161-00425283-2022</v>
          </cell>
          <cell r="J238" t="str">
            <v>Мясной продукт. Изделие колбасное варено-копченое.</v>
          </cell>
          <cell r="K238" t="str">
            <v>свинина, шпик, стабилизатор белковый (шкурка свиная, вода питьевая), сыворотка молочная сухая, смесь посолочно-нитритная (соль, фиксатор окраски (нитрит натрия)), черный перец, белый перец, чеснок сушеный молотый, кориандр, красная паприка, крахмал картофельный, белок животный (говяжий), регуляторы кислотности (пирофосфаты, трифосфаты, глюконо-дельта-лактон, цитраты натрия), горчица, экстракты пряностей,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38">
            <v>14</v>
          </cell>
          <cell r="M238">
            <v>25</v>
          </cell>
          <cell r="N238">
            <v>4</v>
          </cell>
          <cell r="O238" t="str">
            <v>297/1231</v>
          </cell>
          <cell r="P238" t="str">
            <v>0…+6</v>
          </cell>
          <cell r="Q238">
            <v>45</v>
          </cell>
        </row>
        <row r="239">
          <cell r="B239">
            <v>1001306927360</v>
          </cell>
          <cell r="C239" t="str">
            <v>СЕРВЕЛАТ ВЕНСКИЙ п/к в/у 0.65кг_Kvalita</v>
          </cell>
          <cell r="D239" t="str">
            <v>ШТ</v>
          </cell>
          <cell r="E239" t="str">
            <v>Колбасные изделия</v>
          </cell>
          <cell r="F239" t="str">
            <v>Копченые колбасы</v>
          </cell>
          <cell r="G239" t="str">
            <v>СТМ</v>
          </cell>
          <cell r="H239" t="str">
            <v>ОМПК(К)</v>
          </cell>
          <cell r="I239" t="str">
            <v>ТУ 10.13.14-160-00425283-2022</v>
          </cell>
          <cell r="J239" t="str">
            <v>Мясной продукт. Изделие колбасное полукопченое категории Б.</v>
          </cell>
          <cell r="K239" t="str">
            <v>свинина, филе грудок куриных, шпик, белковый стабилизатор (шкурка свиная, вода питьевая), сыворотка молочная сухая, смесь посолочно-нитритная (соль, фиксатор окраски (нитрит натрия)), крахмал кукурузный,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гемоглобин, краситель (кармины)</v>
          </cell>
          <cell r="L239">
            <v>12</v>
          </cell>
          <cell r="M239">
            <v>20</v>
          </cell>
          <cell r="N239">
            <v>3</v>
          </cell>
          <cell r="O239" t="str">
            <v>240/995</v>
          </cell>
          <cell r="P239" t="str">
            <v>0…+6</v>
          </cell>
          <cell r="Q239">
            <v>45</v>
          </cell>
        </row>
        <row r="240">
          <cell r="B240">
            <v>1001305627161</v>
          </cell>
          <cell r="C240" t="str">
            <v>СЕРВЕЛАТ ДОМАШНИЙ ПМ в/к в/у 0.84кг_50с</v>
          </cell>
          <cell r="D240" t="str">
            <v>ШТ</v>
          </cell>
          <cell r="E240" t="str">
            <v>Колбасные изделия</v>
          </cell>
          <cell r="F240" t="str">
            <v>Копченые колбасы</v>
          </cell>
          <cell r="G240" t="str">
            <v>Папа может</v>
          </cell>
          <cell r="H240" t="str">
            <v>ОМПК(К)</v>
          </cell>
          <cell r="I240" t="str">
            <v>ТУ 10.13.14-161-00425283-2022</v>
          </cell>
          <cell r="J240" t="str">
            <v>Мясной продукт. Изделие колбасное варено-копченое.</v>
          </cell>
          <cell r="K240" t="str">
            <v>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натуральные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v>
          </cell>
          <cell r="L240">
            <v>13</v>
          </cell>
          <cell r="M240">
            <v>20</v>
          </cell>
          <cell r="O240" t="str">
            <v>232/961</v>
          </cell>
          <cell r="P240" t="str">
            <v>0…+6</v>
          </cell>
          <cell r="Q240">
            <v>50</v>
          </cell>
        </row>
        <row r="241">
          <cell r="B241">
            <v>1001305627505</v>
          </cell>
          <cell r="C241" t="str">
            <v>СЕРВЕЛАТ ДОМАШНИЙ Коровино в/к в/у 1/280</v>
          </cell>
          <cell r="D241" t="str">
            <v>ШТ</v>
          </cell>
          <cell r="E241" t="str">
            <v>Колбасные изделия</v>
          </cell>
          <cell r="F241" t="str">
            <v>Копченые колбасы</v>
          </cell>
          <cell r="G241" t="str">
            <v>Коровино</v>
          </cell>
          <cell r="H241" t="str">
            <v>ОМПК(К)</v>
          </cell>
          <cell r="I241" t="str">
            <v xml:space="preserve">ТУ 10.13.14-154-00425283-2020 </v>
          </cell>
          <cell r="J241" t="str">
            <v>Изделие колбасное варено-копченое из мяса кур охлажденное.</v>
          </cell>
          <cell r="K241" t="str">
            <v>ясо цыпленка-бройлера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v>
          </cell>
          <cell r="L241">
            <v>12</v>
          </cell>
          <cell r="M241">
            <v>15</v>
          </cell>
          <cell r="N241">
            <v>4</v>
          </cell>
          <cell r="O241" t="str">
            <v>199/844</v>
          </cell>
          <cell r="P241" t="str">
            <v>0…+6</v>
          </cell>
          <cell r="Q241">
            <v>45</v>
          </cell>
        </row>
        <row r="242">
          <cell r="B242">
            <v>1001300367362</v>
          </cell>
          <cell r="C242" t="str">
            <v>СЕРВЕЛАТ ЕВРОПЕЙСКИЙ в/к в/у 0.35кг_Л</v>
          </cell>
          <cell r="D242" t="str">
            <v>ШТ</v>
          </cell>
          <cell r="E242" t="str">
            <v>Колбасные изделия</v>
          </cell>
          <cell r="F242" t="str">
            <v>Копченые колбасы</v>
          </cell>
          <cell r="G242" t="str">
            <v>СТМ</v>
          </cell>
          <cell r="H242" t="str">
            <v>ОМПК(К)</v>
          </cell>
          <cell r="I242" t="str">
            <v>ТУ 10.13.14-161-00425283-2022</v>
          </cell>
          <cell r="J242" t="str">
            <v>Мясной продукт. Изделие колбасное варено-копченое.</v>
          </cell>
          <cell r="K242"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42">
            <v>11</v>
          </cell>
          <cell r="M242">
            <v>21</v>
          </cell>
          <cell r="N242">
            <v>0</v>
          </cell>
          <cell r="O242" t="str">
            <v>233/964</v>
          </cell>
          <cell r="P242" t="str">
            <v>0…+6</v>
          </cell>
          <cell r="Q242">
            <v>45</v>
          </cell>
        </row>
        <row r="243">
          <cell r="B243">
            <v>1001300366807</v>
          </cell>
          <cell r="C243" t="str">
            <v>СЕРВЕЛАТ ЕВРОПЕЙСКИЙ в/к в/у 0.33кг 8шт.</v>
          </cell>
          <cell r="D243" t="str">
            <v>ШТ</v>
          </cell>
          <cell r="E243" t="str">
            <v>Колбасные изделия</v>
          </cell>
          <cell r="F243" t="str">
            <v>Копченые колбасы</v>
          </cell>
          <cell r="G243" t="str">
            <v>Останкино</v>
          </cell>
          <cell r="H243" t="str">
            <v>ОМПК(К)</v>
          </cell>
          <cell r="I243" t="str">
            <v>ТУ 10.13.14-161-00425283-2022</v>
          </cell>
          <cell r="J243" t="str">
            <v>Мясной продукт. Изделие колбасное варено-копченое.</v>
          </cell>
          <cell r="K243" t="str">
            <v>cвинина,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3">
            <v>14</v>
          </cell>
          <cell r="M243">
            <v>24</v>
          </cell>
          <cell r="N243">
            <v>2</v>
          </cell>
          <cell r="O243" t="str">
            <v>280/1160</v>
          </cell>
          <cell r="P243" t="str">
            <v>0…+6</v>
          </cell>
          <cell r="Q243">
            <v>45</v>
          </cell>
        </row>
        <row r="244">
          <cell r="B244">
            <v>1001300366806</v>
          </cell>
          <cell r="C244" t="str">
            <v>СЕРВЕЛАТ ЕВРОПЕЙСКИЙ в/к в/у 0.66кг 8шт.</v>
          </cell>
          <cell r="D244" t="str">
            <v>ШТ</v>
          </cell>
          <cell r="E244" t="str">
            <v>Колбасные изделия</v>
          </cell>
          <cell r="F244" t="str">
            <v>Копченые колбасы</v>
          </cell>
          <cell r="G244" t="str">
            <v>Останкино</v>
          </cell>
          <cell r="H244" t="str">
            <v>ОМПК(К)</v>
          </cell>
          <cell r="I244" t="str">
            <v>ТУ 10.13.14-161-00425283-2022</v>
          </cell>
          <cell r="J244" t="str">
            <v>Мясной продукт. Изделие колбасное варено-копченое.</v>
          </cell>
          <cell r="K244" t="str">
            <v>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глюконо-дельта-лактон;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4">
            <v>14</v>
          </cell>
          <cell r="M244">
            <v>24</v>
          </cell>
          <cell r="N244">
            <v>2</v>
          </cell>
          <cell r="O244" t="str">
            <v>280/1160</v>
          </cell>
          <cell r="P244" t="str">
            <v>0…+6</v>
          </cell>
          <cell r="Q244">
            <v>45</v>
          </cell>
        </row>
        <row r="245">
          <cell r="B245">
            <v>1001300367133</v>
          </cell>
          <cell r="C245" t="str">
            <v>СЕРВЕЛАТ ЕВРОПЕЙСКИЙ в/к в/у 0.84кг</v>
          </cell>
          <cell r="D245" t="str">
            <v>КГ</v>
          </cell>
          <cell r="E245" t="str">
            <v>Колбасные изделия</v>
          </cell>
          <cell r="F245" t="str">
            <v>Копченые колбасы</v>
          </cell>
          <cell r="G245" t="str">
            <v>Останкино</v>
          </cell>
          <cell r="H245" t="str">
            <v>ОМПК(К)</v>
          </cell>
          <cell r="I245" t="str">
            <v>ТУ 10.13.14-161-00425283-2022</v>
          </cell>
          <cell r="J245" t="str">
            <v>Мясной продукт. Изделие колбасное варено-копченое.</v>
          </cell>
          <cell r="K245" t="str">
            <v>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5">
            <v>14</v>
          </cell>
          <cell r="M245">
            <v>24</v>
          </cell>
          <cell r="N245">
            <v>2</v>
          </cell>
          <cell r="O245" t="str">
            <v>280/1160</v>
          </cell>
          <cell r="P245" t="str">
            <v>0…+6</v>
          </cell>
          <cell r="Q245">
            <v>45</v>
          </cell>
        </row>
        <row r="246">
          <cell r="B246">
            <v>1001300367363</v>
          </cell>
          <cell r="C246" t="str">
            <v>СЕРВЕЛАТ ЕВРОПЕЙСКИЙ в/к в/у 0.7кг 8шт_Л</v>
          </cell>
          <cell r="D246" t="str">
            <v>ШТ</v>
          </cell>
          <cell r="E246" t="str">
            <v>Колбасные изделия</v>
          </cell>
          <cell r="F246" t="str">
            <v>Копченые колбасы</v>
          </cell>
          <cell r="G246" t="str">
            <v>СТМ</v>
          </cell>
          <cell r="H246" t="str">
            <v>ОМПК(К)</v>
          </cell>
          <cell r="I246" t="str">
            <v>ТУ 10.13.14-161-00425283-2022</v>
          </cell>
          <cell r="J246" t="str">
            <v>Мясной продукт. Изделие колбасное варено-копченое.</v>
          </cell>
          <cell r="K246"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46">
            <v>11</v>
          </cell>
          <cell r="M246">
            <v>21</v>
          </cell>
          <cell r="N246">
            <v>0</v>
          </cell>
          <cell r="O246" t="str">
            <v>233/964</v>
          </cell>
          <cell r="P246" t="str">
            <v>0…+6</v>
          </cell>
          <cell r="Q246">
            <v>45</v>
          </cell>
        </row>
        <row r="247">
          <cell r="B247">
            <v>1001050385943</v>
          </cell>
          <cell r="C247" t="str">
            <v>Z-СЕРВЕЛАТ ЗЕРНИСТЫЙ Папа может в/к в/у</v>
          </cell>
          <cell r="D247" t="str">
            <v>КГ</v>
          </cell>
          <cell r="E247" t="str">
            <v>Колбасные изделия</v>
          </cell>
          <cell r="F247" t="str">
            <v>Копченые колбасы</v>
          </cell>
          <cell r="G247" t="str">
            <v>Папа может</v>
          </cell>
          <cell r="H247" t="str">
            <v>ОМПК(К)</v>
          </cell>
          <cell r="I247" t="str">
            <v>ТУ 10.13.14-161-00425283-2022</v>
          </cell>
          <cell r="J247" t="str">
            <v>Мясной продукт. Изделие колбасное варено-копченое.</v>
          </cell>
          <cell r="K247"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7">
            <v>12</v>
          </cell>
          <cell r="M247">
            <v>19</v>
          </cell>
          <cell r="N247">
            <v>5</v>
          </cell>
          <cell r="O247" t="str">
            <v>239/992</v>
          </cell>
          <cell r="P247" t="str">
            <v>0…+6</v>
          </cell>
          <cell r="Q247">
            <v>45</v>
          </cell>
        </row>
        <row r="248">
          <cell r="B248">
            <v>1001300387157</v>
          </cell>
          <cell r="C248" t="str">
            <v>СЕРВЕЛАТ ЗЕРНИСТЫЙ ПМ в/к в/у_50с</v>
          </cell>
          <cell r="D248" t="str">
            <v>КГ</v>
          </cell>
          <cell r="E248" t="str">
            <v>Колбасные изделия</v>
          </cell>
          <cell r="F248" t="str">
            <v>Копченые колбасы</v>
          </cell>
          <cell r="G248" t="str">
            <v>Папа может</v>
          </cell>
          <cell r="H248" t="str">
            <v>ОМПК(К)</v>
          </cell>
          <cell r="I248" t="str">
            <v>ТУ 10.13.14-161-00425283-2022</v>
          </cell>
          <cell r="J248" t="str">
            <v>Мясной продукт. Изделие колбасное варено-копченое.</v>
          </cell>
          <cell r="K248"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8">
            <v>12</v>
          </cell>
          <cell r="M248">
            <v>19</v>
          </cell>
          <cell r="N248">
            <v>5</v>
          </cell>
          <cell r="O248" t="str">
            <v>239/992</v>
          </cell>
          <cell r="P248" t="str">
            <v>0…+6</v>
          </cell>
          <cell r="Q248">
            <v>50</v>
          </cell>
        </row>
        <row r="249">
          <cell r="B249">
            <v>1001300386913</v>
          </cell>
          <cell r="C249" t="str">
            <v>СЕРВЕЛАТ ЗЕРНИСТЫЙ Папа может в/к в/у_О</v>
          </cell>
          <cell r="D249" t="str">
            <v>КГ</v>
          </cell>
          <cell r="E249" t="str">
            <v>Колбасные изделия</v>
          </cell>
          <cell r="F249" t="str">
            <v>Копченые колбасы</v>
          </cell>
          <cell r="G249" t="str">
            <v>Папа может</v>
          </cell>
          <cell r="H249" t="str">
            <v>ОМПК(К)</v>
          </cell>
          <cell r="I249" t="str">
            <v>ТУ 10.13.14-161-00425283-2022</v>
          </cell>
          <cell r="J249" t="str">
            <v>Мясной продукт. Изделие колбасное варено-копченое.</v>
          </cell>
          <cell r="K249"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9">
            <v>12</v>
          </cell>
          <cell r="M249">
            <v>19</v>
          </cell>
          <cell r="N249">
            <v>5</v>
          </cell>
          <cell r="O249" t="str">
            <v>239/992</v>
          </cell>
          <cell r="P249" t="str">
            <v>0…+6</v>
          </cell>
          <cell r="Q249">
            <v>50</v>
          </cell>
        </row>
        <row r="250">
          <cell r="B250">
            <v>1001300387154</v>
          </cell>
          <cell r="C250" t="str">
            <v>СЕРВЕЛАТ ЗЕРНИСТЫЙ ПМ в/к в/у 0.35кг_50с</v>
          </cell>
          <cell r="D250" t="str">
            <v>ШТ</v>
          </cell>
          <cell r="E250" t="str">
            <v>Колбасные изделия</v>
          </cell>
          <cell r="F250" t="str">
            <v>Копченые колбасы</v>
          </cell>
          <cell r="G250" t="str">
            <v>Папа может</v>
          </cell>
          <cell r="H250" t="str">
            <v>ОМПК(К)</v>
          </cell>
          <cell r="I250" t="str">
            <v>ТУ 10.13.14-161-00425283-2022</v>
          </cell>
          <cell r="J250" t="str">
            <v>Мясной продукт. Изделие колбасное варено-копченое.</v>
          </cell>
          <cell r="K250"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0">
            <v>12</v>
          </cell>
          <cell r="M250">
            <v>19</v>
          </cell>
          <cell r="N250">
            <v>5</v>
          </cell>
          <cell r="O250" t="str">
            <v>239/992</v>
          </cell>
          <cell r="P250" t="str">
            <v>0…+6</v>
          </cell>
          <cell r="Q250">
            <v>50</v>
          </cell>
        </row>
        <row r="251">
          <cell r="B251">
            <v>1001300387155</v>
          </cell>
          <cell r="C251" t="str">
            <v>СЕРВЕЛАТ ЗЕРНИСТЫЙ ПМ в/к в/у 0.56кг_50с</v>
          </cell>
          <cell r="D251" t="str">
            <v>ШТ</v>
          </cell>
          <cell r="E251" t="str">
            <v>Колбасные изделия</v>
          </cell>
          <cell r="F251" t="str">
            <v>Копченые колбасы</v>
          </cell>
          <cell r="G251" t="str">
            <v>Папа может</v>
          </cell>
          <cell r="H251" t="str">
            <v>ОМПК(К)</v>
          </cell>
          <cell r="I251" t="str">
            <v>ТУ 10.13.14-161-00425283-2022</v>
          </cell>
          <cell r="J251" t="str">
            <v>Мясной продукт. Изделие колбасное варено-копченое.</v>
          </cell>
          <cell r="K251"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1">
            <v>12</v>
          </cell>
          <cell r="M251">
            <v>19</v>
          </cell>
          <cell r="N251">
            <v>5</v>
          </cell>
          <cell r="O251" t="str">
            <v>239/992</v>
          </cell>
          <cell r="P251" t="str">
            <v>0…+6</v>
          </cell>
          <cell r="Q251">
            <v>50</v>
          </cell>
        </row>
        <row r="252">
          <cell r="B252">
            <v>1001304506998</v>
          </cell>
          <cell r="C252" t="str">
            <v>СЕРВЕЛАТ КАРЕЛЬСКИЙ ПМ в/к в/у 0.35кг</v>
          </cell>
          <cell r="D252" t="str">
            <v>ШТ</v>
          </cell>
          <cell r="E252" t="str">
            <v>Колбасные изделия</v>
          </cell>
          <cell r="F252" t="str">
            <v>Копченые колбасы</v>
          </cell>
          <cell r="G252" t="str">
            <v>Папа может</v>
          </cell>
          <cell r="H252" t="str">
            <v>ОМПК(К)</v>
          </cell>
          <cell r="I252" t="str">
            <v>ТУ 10.13.14-161-00425283-2022</v>
          </cell>
          <cell r="J252" t="str">
            <v>Мясной продукт. Изделие колбасное варено-копченое.</v>
          </cell>
          <cell r="K252"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2">
            <v>13</v>
          </cell>
          <cell r="M252">
            <v>20</v>
          </cell>
          <cell r="N252">
            <v>6</v>
          </cell>
          <cell r="O252" t="str">
            <v>256/1063</v>
          </cell>
          <cell r="P252" t="str">
            <v>0…+6</v>
          </cell>
          <cell r="Q252">
            <v>45</v>
          </cell>
        </row>
        <row r="253">
          <cell r="B253">
            <v>1001304507236</v>
          </cell>
          <cell r="C253" t="str">
            <v>СЕРВЕЛАТ КАРЕЛЬСКИЙ в/к в/у 0.28кг_209к</v>
          </cell>
          <cell r="D253" t="str">
            <v>ШТ</v>
          </cell>
          <cell r="E253" t="str">
            <v>Колбасные изделия</v>
          </cell>
          <cell r="F253" t="str">
            <v>Копченые колбасы</v>
          </cell>
          <cell r="G253" t="str">
            <v>Папа может</v>
          </cell>
          <cell r="H253" t="str">
            <v>ОМПК(К)</v>
          </cell>
          <cell r="I253" t="str">
            <v>ТУ 10.13.14-161-00425283-2022</v>
          </cell>
          <cell r="J253" t="str">
            <v>Мясной продукт. Изделие колбасное варено-копченое.</v>
          </cell>
          <cell r="K253"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3">
            <v>13</v>
          </cell>
          <cell r="M253">
            <v>20</v>
          </cell>
          <cell r="N253">
            <v>6</v>
          </cell>
          <cell r="O253" t="str">
            <v>256/1063</v>
          </cell>
          <cell r="P253" t="str">
            <v>0…+6</v>
          </cell>
          <cell r="Q253">
            <v>45</v>
          </cell>
        </row>
        <row r="254">
          <cell r="B254">
            <v>1001304237158</v>
          </cell>
          <cell r="C254" t="str">
            <v>СЕРВ.КОПЧ.НА БУКЕ в/к в/у 0.35кг_СНГ_50с</v>
          </cell>
          <cell r="D254" t="str">
            <v>ШТ</v>
          </cell>
          <cell r="E254" t="str">
            <v>Колбасные изделия</v>
          </cell>
          <cell r="F254" t="str">
            <v>Копченые колбасы</v>
          </cell>
          <cell r="G254" t="str">
            <v>Папа может</v>
          </cell>
          <cell r="H254" t="str">
            <v>ОМПК(К)</v>
          </cell>
          <cell r="I254" t="str">
            <v>ТУ 10.13.14-161-00425283-2022</v>
          </cell>
          <cell r="J254" t="str">
            <v>Мясной продукт. Изделие колбасное варено-копченое.</v>
          </cell>
          <cell r="K254" t="str">
            <v>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4">
            <v>10</v>
          </cell>
          <cell r="M254">
            <v>24</v>
          </cell>
          <cell r="N254">
            <v>3</v>
          </cell>
          <cell r="O254" t="str">
            <v>268/1109</v>
          </cell>
          <cell r="P254" t="str">
            <v>0…+6</v>
          </cell>
          <cell r="Q254">
            <v>50</v>
          </cell>
        </row>
        <row r="255">
          <cell r="B255">
            <v>1001305587179</v>
          </cell>
          <cell r="C255" t="str">
            <v>СЕРВЕЛАТ КОПЧ.С ДЫМ.ПМ в/к в/у 1/350_50с</v>
          </cell>
          <cell r="D255" t="str">
            <v>ШТ</v>
          </cell>
          <cell r="E255" t="str">
            <v>Колбасные изделия</v>
          </cell>
          <cell r="F255" t="str">
            <v>Копченые колбасы</v>
          </cell>
          <cell r="G255" t="str">
            <v>Папа может</v>
          </cell>
          <cell r="H255" t="str">
            <v>ОМПК(К)</v>
          </cell>
          <cell r="I255" t="str">
            <v>ТУ 10.13.14-161-00425283-2022</v>
          </cell>
          <cell r="J255" t="str">
            <v>Мясной продукт. Изделие колбасное варено-копченое.</v>
          </cell>
          <cell r="K255" t="str">
            <v>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v>
          </cell>
          <cell r="L255">
            <v>13</v>
          </cell>
          <cell r="M255">
            <v>20</v>
          </cell>
          <cell r="N255">
            <v>5</v>
          </cell>
          <cell r="O255" t="str">
            <v>252/1046</v>
          </cell>
          <cell r="P255" t="str">
            <v>0…+6</v>
          </cell>
          <cell r="Q255">
            <v>50</v>
          </cell>
        </row>
        <row r="256">
          <cell r="B256">
            <v>1001304237156</v>
          </cell>
          <cell r="C256" t="str">
            <v>СЕРВЕЛАТ КОПЧ.НА БУКЕ в/к в/у 0.35кг_50с</v>
          </cell>
          <cell r="D256" t="str">
            <v>ШТ</v>
          </cell>
          <cell r="E256" t="str">
            <v>Колбасные изделия</v>
          </cell>
          <cell r="F256" t="str">
            <v>Копченые колбасы</v>
          </cell>
          <cell r="G256" t="str">
            <v>Папа может</v>
          </cell>
          <cell r="H256" t="str">
            <v>ОМПК(К)</v>
          </cell>
          <cell r="I256" t="str">
            <v>ТУ 10.13.14-161-00425283-2022</v>
          </cell>
          <cell r="J256" t="str">
            <v>Мясной продукт. Изделие колбасное варено-копченое.</v>
          </cell>
          <cell r="K256" t="str">
            <v>свинина, филе грудки куриной,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v>
          </cell>
          <cell r="L256">
            <v>13</v>
          </cell>
          <cell r="M256">
            <v>20</v>
          </cell>
          <cell r="N256">
            <v>5</v>
          </cell>
          <cell r="O256" t="str">
            <v>252/1046</v>
          </cell>
          <cell r="P256" t="str">
            <v>0…+6</v>
          </cell>
          <cell r="Q256">
            <v>50</v>
          </cell>
        </row>
        <row r="257">
          <cell r="B257">
            <v>1001304237335</v>
          </cell>
          <cell r="C257" t="str">
            <v>СЕРВЕЛАТ КОПЧ.НА БУКЕ ПМ в/к в/у 0.7кг</v>
          </cell>
          <cell r="D257" t="str">
            <v>ШТ</v>
          </cell>
          <cell r="E257" t="str">
            <v>Колбасные изделия</v>
          </cell>
          <cell r="F257" t="str">
            <v>Копченые колбасы</v>
          </cell>
          <cell r="G257" t="str">
            <v>Папа может</v>
          </cell>
          <cell r="H257" t="str">
            <v>ОМПК(К)</v>
          </cell>
          <cell r="I257" t="str">
            <v>ТУ 10.13.14-161-00425283-2022</v>
          </cell>
          <cell r="J257" t="str">
            <v>Мясной продукт. Изделие колбасное варено-копченое.</v>
          </cell>
          <cell r="K257" t="str">
            <v>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7">
            <v>10</v>
          </cell>
          <cell r="M257">
            <v>24</v>
          </cell>
          <cell r="N257">
            <v>3</v>
          </cell>
          <cell r="O257" t="str">
            <v>268/1109</v>
          </cell>
          <cell r="P257" t="str">
            <v>0…+6</v>
          </cell>
          <cell r="Q257">
            <v>50</v>
          </cell>
        </row>
        <row r="258">
          <cell r="B258">
            <v>1001305587315</v>
          </cell>
          <cell r="C258" t="str">
            <v>СЕРВЕЛАТ КОП.С ДЫМ.Кор в/к в/у 0.7кг_СНГ</v>
          </cell>
          <cell r="D258" t="str">
            <v>ШТ</v>
          </cell>
          <cell r="E258" t="str">
            <v>Колбасные изделия</v>
          </cell>
          <cell r="F258" t="str">
            <v>Копченые колбасы</v>
          </cell>
          <cell r="G258" t="str">
            <v>Коровино</v>
          </cell>
          <cell r="H258" t="str">
            <v>ОМПК(К)</v>
          </cell>
          <cell r="I258" t="str">
            <v>ТУ 10.13.14-161-00425283-2022</v>
          </cell>
          <cell r="J258" t="str">
            <v>Мясной продукт. Изделие колбасное варено-копченое категории А.</v>
          </cell>
          <cell r="K258" t="str">
            <v>свинина, шпик, стабилизатор белковый (шкурка свиная, вода питьевая), филе грудок куриных, мясо куриное механической обвалки, крахмал кукурузный, сыворотка сухая молочная,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8">
            <v>10</v>
          </cell>
          <cell r="M258">
            <v>24</v>
          </cell>
          <cell r="N258">
            <v>3</v>
          </cell>
          <cell r="O258" t="str">
            <v>268/1109</v>
          </cell>
          <cell r="P258" t="str">
            <v>0…+6</v>
          </cell>
          <cell r="Q258">
            <v>60</v>
          </cell>
        </row>
        <row r="259">
          <cell r="B259">
            <v>1001300456946</v>
          </cell>
          <cell r="C259" t="str">
            <v>СЕРВЕЛАТ КРЕМЛЕВСКИЙ в/к в/у 0.84кг</v>
          </cell>
          <cell r="D259" t="str">
            <v>КГ</v>
          </cell>
          <cell r="E259" t="str">
            <v>Колбасные изделия</v>
          </cell>
          <cell r="F259" t="str">
            <v>Копченые колбасы</v>
          </cell>
          <cell r="G259" t="str">
            <v>Останкино</v>
          </cell>
          <cell r="H259" t="str">
            <v>ОМПК(К)</v>
          </cell>
          <cell r="I259" t="str">
            <v>ТУ 10.13.14-161-00425283-2022</v>
          </cell>
          <cell r="J259" t="str">
            <v>Мясной продукт. Изделие колбасное варено-копченое.</v>
          </cell>
          <cell r="K259" t="str">
            <v>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v>
          </cell>
          <cell r="L259">
            <v>14</v>
          </cell>
          <cell r="M259">
            <v>24</v>
          </cell>
          <cell r="N259">
            <v>2</v>
          </cell>
          <cell r="O259" t="str">
            <v>280/1160</v>
          </cell>
          <cell r="P259" t="str">
            <v>0…+6</v>
          </cell>
          <cell r="Q259">
            <v>45</v>
          </cell>
        </row>
        <row r="260">
          <cell r="B260">
            <v>1001300456787</v>
          </cell>
          <cell r="C260" t="str">
            <v>СЕРВЕЛАТ КРЕМЛЕВСКИЙ в/к в/у 0.33кг 8шт.</v>
          </cell>
          <cell r="D260" t="str">
            <v>ШТ</v>
          </cell>
          <cell r="E260" t="str">
            <v>Колбасные изделия</v>
          </cell>
          <cell r="F260" t="str">
            <v>Копченые колбасы</v>
          </cell>
          <cell r="G260" t="str">
            <v>Останкино</v>
          </cell>
          <cell r="H260" t="str">
            <v>ОМПК(К)</v>
          </cell>
          <cell r="I260" t="str">
            <v>ТУ 10.13.14-161-00425283-2022</v>
          </cell>
          <cell r="J260" t="str">
            <v>Мясной продукт. Изделие колбасное варено-копченое.</v>
          </cell>
          <cell r="K260" t="str">
            <v>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v>
          </cell>
          <cell r="L260">
            <v>14</v>
          </cell>
          <cell r="M260">
            <v>25</v>
          </cell>
          <cell r="N260">
            <v>3</v>
          </cell>
          <cell r="O260" t="str">
            <v>293/1214</v>
          </cell>
          <cell r="P260" t="str">
            <v>0…+6</v>
          </cell>
          <cell r="Q260">
            <v>45</v>
          </cell>
        </row>
        <row r="261">
          <cell r="B261">
            <v>1001304626688</v>
          </cell>
          <cell r="C261" t="str">
            <v>СЕРВЕЛАТ МЕЛКОЗЕРНЕНЫЙ ПМ в/к в/у 0.35кг</v>
          </cell>
          <cell r="D261" t="str">
            <v>ШТ</v>
          </cell>
          <cell r="E261" t="str">
            <v>Колбасные изделия</v>
          </cell>
          <cell r="F261" t="str">
            <v>Копченые колбасы</v>
          </cell>
          <cell r="G261" t="str">
            <v>Папа может</v>
          </cell>
          <cell r="H261" t="str">
            <v>ОМПК(К)</v>
          </cell>
          <cell r="I261" t="str">
            <v>ТУ 10.13.14-161-00425283-2022</v>
          </cell>
          <cell r="J261" t="str">
            <v>Мясной продукт. Изделие колбасное варено-копченое.</v>
          </cell>
          <cell r="K261" t="str">
            <v>свинина, филе грудок куриных, шпик, белковый стабилизатор (шкурка свиная, вода питьевая), сыворотка сухая молочная, смесь посолочно-нитритная (соль, фиксатор окраски (нитрит натрия)), соль, крахмал кукурузный, регуляторы кислотности (пирофосфаты), стабилизатор (альгинат натрия), загуститель (ксантановая камедь), клетчатка растительная, экстракты специй (черный перец, сельдерей), чеснок сушеный, лук сушеный, усилитель вкуса и аромата (глутамат натрия 1-замещенный), антиокислитель (лимонная кислота), гемоглобин, краситель (кармины)</v>
          </cell>
          <cell r="L261">
            <v>13</v>
          </cell>
          <cell r="M261">
            <v>20</v>
          </cell>
          <cell r="N261">
            <v>5</v>
          </cell>
          <cell r="O261" t="str">
            <v>252/1046</v>
          </cell>
          <cell r="P261" t="str">
            <v>0…+6</v>
          </cell>
          <cell r="Q261">
            <v>50</v>
          </cell>
        </row>
        <row r="262">
          <cell r="B262">
            <v>1001301847392</v>
          </cell>
          <cell r="C262" t="str">
            <v>СЕРВЕЛАТ МОСКОВСКИЙ п/к в/у 0.3кг_бренд</v>
          </cell>
          <cell r="D262" t="str">
            <v>ШТ</v>
          </cell>
          <cell r="E262" t="str">
            <v>Колбасные изделия</v>
          </cell>
          <cell r="F262" t="str">
            <v>Копченые колбасы</v>
          </cell>
          <cell r="G262" t="str">
            <v>Останкино</v>
          </cell>
          <cell r="H262" t="str">
            <v>ОМПК(К)</v>
          </cell>
          <cell r="I262" t="str">
            <v>ГОСТ 31785-2012</v>
          </cell>
          <cell r="J262" t="str">
            <v>Мясной продукт. Изделие колбасное полукопченое категории Б.</v>
          </cell>
          <cell r="K262" t="str">
            <v>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v>
          </cell>
          <cell r="L262">
            <v>13</v>
          </cell>
          <cell r="M262">
            <v>41</v>
          </cell>
          <cell r="N262">
            <v>0</v>
          </cell>
          <cell r="O262" t="str">
            <v>421/1738</v>
          </cell>
          <cell r="P262" t="str">
            <v>0…+6</v>
          </cell>
          <cell r="Q262">
            <v>45</v>
          </cell>
        </row>
        <row r="263">
          <cell r="B263">
            <v>1001301847421</v>
          </cell>
          <cell r="C263" t="str">
            <v>СЕРВЕЛАТ МОСКОВСКИЙ п/к в/у 0.3кг</v>
          </cell>
          <cell r="D263" t="str">
            <v>ШТ</v>
          </cell>
          <cell r="E263" t="str">
            <v>Колбасные изделия</v>
          </cell>
          <cell r="F263" t="str">
            <v>Копченые колбасы</v>
          </cell>
          <cell r="G263" t="str">
            <v>Останкино</v>
          </cell>
          <cell r="H263" t="str">
            <v>ОМПК(К)</v>
          </cell>
          <cell r="I263" t="str">
            <v>ГОСТ 31785-2012</v>
          </cell>
          <cell r="J263" t="str">
            <v>Мясной продукт. Изделие колбасное полукопченое категории Б.</v>
          </cell>
          <cell r="K263" t="str">
            <v>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v>
          </cell>
          <cell r="L263">
            <v>13</v>
          </cell>
          <cell r="M263">
            <v>41</v>
          </cell>
          <cell r="N263">
            <v>0</v>
          </cell>
          <cell r="O263" t="str">
            <v>421/1738</v>
          </cell>
          <cell r="P263" t="str">
            <v>0…+6</v>
          </cell>
          <cell r="Q263">
            <v>45</v>
          </cell>
        </row>
        <row r="264">
          <cell r="B264">
            <v>1001306647249</v>
          </cell>
          <cell r="C264" t="str">
            <v>СЕРВЕЛАТ МЯСНОЙ в/к в/у 0.28кг</v>
          </cell>
          <cell r="D264" t="str">
            <v>ШТ</v>
          </cell>
          <cell r="E264" t="str">
            <v>Колбасные изделия</v>
          </cell>
          <cell r="F264" t="str">
            <v>Копченые колбасы</v>
          </cell>
          <cell r="G264" t="str">
            <v>Папа может</v>
          </cell>
          <cell r="H264" t="str">
            <v>ОМПК(К)</v>
          </cell>
          <cell r="I264" t="str">
            <v>ТУ 10.13.14-161-00425283-2022</v>
          </cell>
          <cell r="J264" t="str">
            <v>Мясной продукт. Изделие колбасное варено-копченое.</v>
          </cell>
          <cell r="K264"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64">
            <v>13</v>
          </cell>
          <cell r="M264">
            <v>20</v>
          </cell>
          <cell r="N264">
            <v>6</v>
          </cell>
          <cell r="O264" t="str">
            <v>256/1063</v>
          </cell>
          <cell r="P264" t="str">
            <v>0…+6</v>
          </cell>
          <cell r="Q264">
            <v>45</v>
          </cell>
        </row>
        <row r="265">
          <cell r="B265">
            <v>1001307657600</v>
          </cell>
          <cell r="C265" t="str">
            <v>СЕРВЕЛАТ НЕМЕЦКИЙ ПМ в/к в/у 0.28кг 8шт.</v>
          </cell>
          <cell r="D265" t="str">
            <v>ШТ</v>
          </cell>
          <cell r="E265" t="str">
            <v>Колбасные изделия</v>
          </cell>
          <cell r="F265" t="str">
            <v>Копченые колбасы</v>
          </cell>
          <cell r="G265" t="str">
            <v>Папа может</v>
          </cell>
          <cell r="H265" t="str">
            <v>ОМПК(К)</v>
          </cell>
          <cell r="I265" t="str">
            <v>ТУ 10.13.14-161-00425283-2022</v>
          </cell>
          <cell r="J265" t="str">
            <v>Мясной продукт. Изделие колбасное варено-копченое.</v>
          </cell>
          <cell r="K265" t="str">
            <v>свинина, филе грудок куриных, шпик стабилизатор белковый (шкурка свиная,вода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 замещенный), ароматизаторы, гемоглобин, краситель (кармины)</v>
          </cell>
          <cell r="L265">
            <v>13</v>
          </cell>
          <cell r="M265">
            <v>20</v>
          </cell>
          <cell r="N265">
            <v>6</v>
          </cell>
          <cell r="O265" t="str">
            <v>256/1053</v>
          </cell>
          <cell r="P265" t="str">
            <v>0…+6</v>
          </cell>
          <cell r="Q265">
            <v>45</v>
          </cell>
        </row>
        <row r="266">
          <cell r="B266">
            <v>1001307117416</v>
          </cell>
          <cell r="C266" t="str">
            <v>СЕРВЕЛАТ ОРЕХОВЫЙ С КЕДР.ОРЕХОМ в/к мгс</v>
          </cell>
          <cell r="D266" t="str">
            <v>КГ</v>
          </cell>
          <cell r="E266" t="str">
            <v>Колбасные изделия</v>
          </cell>
          <cell r="F266" t="str">
            <v>Копченые колбасы</v>
          </cell>
          <cell r="G266" t="str">
            <v>Останкино</v>
          </cell>
          <cell r="H266" t="str">
            <v>ОМПК(К)
ОМПК(О)</v>
          </cell>
          <cell r="I266" t="str">
            <v>ТУ 10.13.14-161-00425283-2022</v>
          </cell>
          <cell r="J266" t="str">
            <v>Мясной продукт. Изделие колбасное варено-копченое.</v>
          </cell>
          <cell r="K266"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v>
          </cell>
          <cell r="L266">
            <v>19</v>
          </cell>
          <cell r="M266">
            <v>37</v>
          </cell>
          <cell r="N266">
            <v>2</v>
          </cell>
          <cell r="O266" t="str">
            <v>417/1723</v>
          </cell>
          <cell r="P266" t="str">
            <v>0…+6</v>
          </cell>
          <cell r="Q266">
            <v>45</v>
          </cell>
        </row>
        <row r="267">
          <cell r="B267">
            <v>1001307117547</v>
          </cell>
          <cell r="C267" t="str">
            <v>Z-СЕРВ. ОРЕХОВЫЙ С КЕДР.ОРЕХОМ в/к мгс</v>
          </cell>
          <cell r="D267" t="str">
            <v>КГ</v>
          </cell>
          <cell r="E267" t="str">
            <v>Колбасные изделия</v>
          </cell>
          <cell r="F267" t="str">
            <v>Копченые колбасы</v>
          </cell>
          <cell r="G267" t="str">
            <v>Останкино</v>
          </cell>
          <cell r="H267" t="str">
            <v>ОМПК(К)</v>
          </cell>
          <cell r="I267" t="str">
            <v>ТУ 10.13.14-161-00425283-2022</v>
          </cell>
          <cell r="J267" t="str">
            <v>Мясной продукт. Изделие колбасное варено-копченое.</v>
          </cell>
          <cell r="K267"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v>
          </cell>
          <cell r="L267">
            <v>19</v>
          </cell>
          <cell r="M267">
            <v>37</v>
          </cell>
          <cell r="N267">
            <v>2</v>
          </cell>
          <cell r="O267" t="str">
            <v>417/1723</v>
          </cell>
          <cell r="P267" t="str">
            <v>0…+6</v>
          </cell>
          <cell r="Q267">
            <v>10</v>
          </cell>
        </row>
        <row r="268">
          <cell r="B268">
            <v>1001305197238</v>
          </cell>
          <cell r="C268" t="str">
            <v>СЕРВЕЛАТ ОРЕХОВЫЙ в/к в/у 0.31кг_209к</v>
          </cell>
          <cell r="D268" t="str">
            <v>ШТ</v>
          </cell>
          <cell r="E268" t="str">
            <v>Колбасные изделия</v>
          </cell>
          <cell r="F268" t="str">
            <v>Копченые колбасы</v>
          </cell>
          <cell r="G268" t="str">
            <v>Папа может</v>
          </cell>
          <cell r="H268" t="str">
            <v>ОМПК(К)</v>
          </cell>
          <cell r="I268" t="str">
            <v>ТУ 10.13.14-161-00425283-2022</v>
          </cell>
          <cell r="J268" t="str">
            <v>Мясной продукт. Изделие колбасное варено-копченое.</v>
          </cell>
          <cell r="K268" t="str">
            <v>свинина, шпик, мясо цыпленка-бройлера бескостное, стабилизатор белковый (шкурка свиная, вода питьевая), белок соевый,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орех кедровый, экстракты специй, лук репчатый сушеный, горчица, сахара, антиокислители (лимонная кислота, аскорбиновая кислота), гемоглобин, усилитель вкуса и аромата (глутамат натрия 1-замещенный), ароматизаторы, краситель (кармины)</v>
          </cell>
          <cell r="L268">
            <v>13</v>
          </cell>
          <cell r="M268">
            <v>20</v>
          </cell>
          <cell r="N268">
            <v>4</v>
          </cell>
          <cell r="O268" t="str">
            <v>248/1029</v>
          </cell>
          <cell r="P268" t="str">
            <v>0…+6</v>
          </cell>
          <cell r="Q268">
            <v>45</v>
          </cell>
        </row>
        <row r="269">
          <cell r="B269">
            <v>1001305197379</v>
          </cell>
          <cell r="C269" t="str">
            <v>СЕРВЕЛАТ ОРЕХОВЫЙ Кор в/к в/у 0.65_катА</v>
          </cell>
          <cell r="D269" t="str">
            <v>ШТ</v>
          </cell>
          <cell r="E269" t="str">
            <v>Колбасные изделия</v>
          </cell>
          <cell r="F269" t="str">
            <v>Копченые колбасы</v>
          </cell>
          <cell r="G269" t="str">
            <v>Коровино</v>
          </cell>
          <cell r="H269" t="str">
            <v>ОМПК(К)</v>
          </cell>
          <cell r="I269" t="str">
            <v>ТУ 10.13.14-161-00425283-2022</v>
          </cell>
          <cell r="J269" t="str">
            <v>Мясной продукт. Изделие колбасное варено-копченое А.</v>
          </cell>
          <cell r="K269" t="str">
            <v>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v>
          </cell>
          <cell r="L269">
            <v>11</v>
          </cell>
          <cell r="M269">
            <v>21</v>
          </cell>
          <cell r="N269">
            <v>1</v>
          </cell>
          <cell r="O269" t="str">
            <v>237/981</v>
          </cell>
          <cell r="P269" t="str">
            <v>0…+6</v>
          </cell>
          <cell r="Q269">
            <v>45</v>
          </cell>
        </row>
        <row r="270">
          <cell r="B270">
            <v>1001305197535</v>
          </cell>
          <cell r="C270" t="str">
            <v>СЕРВЕЛАТ ОРЕХОВЫЙ Коровино в/к в/у 0.7кг</v>
          </cell>
          <cell r="D270" t="str">
            <v>ШТ</v>
          </cell>
          <cell r="E270" t="str">
            <v>Колбасные изделия</v>
          </cell>
          <cell r="F270" t="str">
            <v>Копченые колбасы</v>
          </cell>
          <cell r="G270" t="str">
            <v>Коровино</v>
          </cell>
          <cell r="H270" t="str">
            <v>ОМПК(К)</v>
          </cell>
          <cell r="I270" t="str">
            <v>ТУ 10.13.14-161-00425283-2022</v>
          </cell>
          <cell r="J270" t="str">
            <v>Мясной продукт. Изделие колбасное варено-копченое А.</v>
          </cell>
          <cell r="K270" t="str">
            <v>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v>
          </cell>
          <cell r="L270">
            <v>11</v>
          </cell>
          <cell r="M270">
            <v>21</v>
          </cell>
          <cell r="N270">
            <v>1</v>
          </cell>
          <cell r="O270" t="str">
            <v>237/981</v>
          </cell>
          <cell r="P270" t="str">
            <v>0…+6</v>
          </cell>
          <cell r="Q270">
            <v>45</v>
          </cell>
        </row>
        <row r="271">
          <cell r="B271">
            <v>1001305827164</v>
          </cell>
          <cell r="C271" t="str">
            <v>СЕРВЕЛАТ ОРИГИН.ПМ в/к в/у 1/420_Kvalita</v>
          </cell>
          <cell r="D271" t="str">
            <v>ШТ</v>
          </cell>
          <cell r="E271" t="str">
            <v>Колбасные изделия</v>
          </cell>
          <cell r="F271" t="str">
            <v>Копченые колбасы</v>
          </cell>
          <cell r="G271" t="str">
            <v>Папа может</v>
          </cell>
          <cell r="H271" t="str">
            <v>ОМПК(К)</v>
          </cell>
          <cell r="I271" t="str">
            <v>ТУ 10.13.14-161-00425283-2022</v>
          </cell>
          <cell r="J271" t="str">
            <v>Мясной продукт. Изделие колбасное варено-копченое.</v>
          </cell>
          <cell r="K271" t="str">
            <v>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271">
            <v>13</v>
          </cell>
          <cell r="M271">
            <v>20</v>
          </cell>
          <cell r="O271" t="str">
            <v>232/961</v>
          </cell>
          <cell r="P271" t="str">
            <v>0…+6</v>
          </cell>
          <cell r="Q271">
            <v>50</v>
          </cell>
        </row>
        <row r="272">
          <cell r="B272">
            <v>1001305827588</v>
          </cell>
          <cell r="C272" t="str">
            <v>СЕРВ.ОРИГИН.ПМ в/к в/у 1/420 20шт_Kvalit</v>
          </cell>
          <cell r="D272" t="str">
            <v>ШТ</v>
          </cell>
          <cell r="E272" t="str">
            <v>Колбасные изделия</v>
          </cell>
          <cell r="F272" t="str">
            <v>Копченые колбасы</v>
          </cell>
          <cell r="G272" t="str">
            <v>Папа может</v>
          </cell>
          <cell r="H272" t="str">
            <v>ОМПК(К)</v>
          </cell>
          <cell r="I272" t="str">
            <v>ТУ 10.13.14-161-00425283-2022</v>
          </cell>
          <cell r="J272" t="str">
            <v>Мясной продукт. Изделие колбасное варено-копченое.</v>
          </cell>
          <cell r="K272" t="str">
            <v>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272">
            <v>13</v>
          </cell>
          <cell r="M272">
            <v>20</v>
          </cell>
          <cell r="O272" t="str">
            <v>232/961</v>
          </cell>
          <cell r="P272" t="str">
            <v>0…+6</v>
          </cell>
          <cell r="Q272">
            <v>50</v>
          </cell>
        </row>
        <row r="273">
          <cell r="B273">
            <v>1001303987166</v>
          </cell>
          <cell r="C273" t="str">
            <v>СЕРВЕЛАТ ОХОТНИЧИЙ ПМ в/к в/у_50с</v>
          </cell>
          <cell r="D273" t="str">
            <v>КГ</v>
          </cell>
          <cell r="E273" t="str">
            <v>Колбасные изделия</v>
          </cell>
          <cell r="F273" t="str">
            <v>Копченые колбасы</v>
          </cell>
          <cell r="G273" t="str">
            <v>Папа может</v>
          </cell>
          <cell r="H273" t="str">
            <v>ОМПК(К)</v>
          </cell>
          <cell r="I273" t="str">
            <v>ТУ 10.13.14-161-00425283-2022</v>
          </cell>
          <cell r="J273" t="str">
            <v>Мясной продукт. Изделие колбасное варено-копченое.</v>
          </cell>
          <cell r="K273"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3">
            <v>13</v>
          </cell>
          <cell r="M273">
            <v>20</v>
          </cell>
          <cell r="N273">
            <v>5</v>
          </cell>
          <cell r="O273" t="str">
            <v>252/1046</v>
          </cell>
          <cell r="P273" t="str">
            <v>0…+6</v>
          </cell>
          <cell r="Q273">
            <v>50</v>
          </cell>
        </row>
        <row r="274">
          <cell r="B274">
            <v>1001303987333</v>
          </cell>
          <cell r="C274" t="str">
            <v>СЕРВЕЛАТ ОХОТНИЧИЙ ПМ в/к в/у 0.28кг_СНГ</v>
          </cell>
          <cell r="D274" t="str">
            <v>ШТ</v>
          </cell>
          <cell r="E274" t="str">
            <v>Колбасные изделия</v>
          </cell>
          <cell r="F274" t="str">
            <v>Копченые колбасы</v>
          </cell>
          <cell r="G274" t="str">
            <v>Папа может</v>
          </cell>
          <cell r="H274" t="str">
            <v>ОМПК(К)</v>
          </cell>
          <cell r="I274" t="str">
            <v>ТУ 10.13.14-161-00425283-2022</v>
          </cell>
          <cell r="J274" t="str">
            <v>Мясной продукт. Изделие колбасное варено-копченое.</v>
          </cell>
          <cell r="K274"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4">
            <v>13</v>
          </cell>
          <cell r="M274">
            <v>20</v>
          </cell>
          <cell r="N274">
            <v>5</v>
          </cell>
          <cell r="O274" t="str">
            <v>252/1046</v>
          </cell>
          <cell r="P274" t="str">
            <v>0…+6</v>
          </cell>
          <cell r="Q274">
            <v>50</v>
          </cell>
        </row>
        <row r="275">
          <cell r="B275">
            <v>1001303987165</v>
          </cell>
          <cell r="C275" t="str">
            <v>СЕРВЕЛАТ ОХОТНИЧИЙ ПМ в/к в/у_СНГ_50с</v>
          </cell>
          <cell r="D275" t="str">
            <v>КГ</v>
          </cell>
          <cell r="E275" t="str">
            <v>Колбасные изделия</v>
          </cell>
          <cell r="F275" t="str">
            <v>Копченые колбасы</v>
          </cell>
          <cell r="G275" t="str">
            <v>Папа может</v>
          </cell>
          <cell r="H275" t="str">
            <v>ОМПК(К)</v>
          </cell>
          <cell r="I275" t="str">
            <v>ТУ 10.13.14-161-00425283-2022</v>
          </cell>
          <cell r="J275" t="str">
            <v>Мясной продукт. Изделие колбасное варено-копченое.</v>
          </cell>
          <cell r="K275" t="str">
            <v>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v>
          </cell>
          <cell r="L275">
            <v>13</v>
          </cell>
          <cell r="M275">
            <v>23</v>
          </cell>
          <cell r="N275">
            <v>3</v>
          </cell>
          <cell r="O275" t="str">
            <v>271/1123</v>
          </cell>
          <cell r="P275" t="str">
            <v>0…+6</v>
          </cell>
          <cell r="Q275">
            <v>50</v>
          </cell>
        </row>
        <row r="276">
          <cell r="B276">
            <v>1001303987336</v>
          </cell>
          <cell r="C276" t="str">
            <v>СЕРВЕЛАТ ОХОТНИЧИЙ ПМ в/к в/у 0.7кг_С</v>
          </cell>
          <cell r="D276" t="str">
            <v>ШТ</v>
          </cell>
          <cell r="E276" t="str">
            <v>Колбасные изделия</v>
          </cell>
          <cell r="F276" t="str">
            <v>Копченые колбасы</v>
          </cell>
          <cell r="G276" t="str">
            <v>Папа может</v>
          </cell>
          <cell r="H276" t="str">
            <v>ОМПК(К)</v>
          </cell>
          <cell r="I276" t="str">
            <v>ТУ 10.13.14-161-00425283-2022</v>
          </cell>
          <cell r="J276" t="str">
            <v>Мясной продукт. Изделие колбасное варено-копченое.</v>
          </cell>
          <cell r="K276" t="str">
            <v>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v>
          </cell>
          <cell r="L276">
            <v>13</v>
          </cell>
          <cell r="M276">
            <v>23</v>
          </cell>
          <cell r="N276">
            <v>3</v>
          </cell>
          <cell r="O276" t="str">
            <v>271/1123</v>
          </cell>
          <cell r="P276" t="str">
            <v>0…+6</v>
          </cell>
          <cell r="Q276">
            <v>50</v>
          </cell>
        </row>
        <row r="277">
          <cell r="B277">
            <v>1001303987169</v>
          </cell>
          <cell r="C277" t="str">
            <v>СЕРВЕЛАТ ОХОТНИЧИЙ ПМ в/к в/у 0.35кг_50с</v>
          </cell>
          <cell r="D277" t="str">
            <v>ШТ</v>
          </cell>
          <cell r="E277" t="str">
            <v>Колбасные изделия</v>
          </cell>
          <cell r="F277" t="str">
            <v>Копченые колбасы</v>
          </cell>
          <cell r="G277" t="str">
            <v>Папа может</v>
          </cell>
          <cell r="H277" t="str">
            <v>ОМПК(К)</v>
          </cell>
          <cell r="I277" t="str">
            <v>ТУ 10.13.14-161-00425283-2022</v>
          </cell>
          <cell r="J277" t="str">
            <v>Мясной продукт. Изделие колбасное варено-копченое.</v>
          </cell>
          <cell r="K277"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7">
            <v>13</v>
          </cell>
          <cell r="M277">
            <v>20</v>
          </cell>
          <cell r="N277">
            <v>5</v>
          </cell>
          <cell r="O277" t="str">
            <v>252/1046</v>
          </cell>
          <cell r="P277" t="str">
            <v>0…+6</v>
          </cell>
          <cell r="Q277">
            <v>50</v>
          </cell>
        </row>
        <row r="278">
          <cell r="B278">
            <v>1001304077293</v>
          </cell>
          <cell r="C278" t="str">
            <v>СЕРВЕЛАТ ПРАЖСКИЙ ПМ в/к в/у 0.7кг_55с</v>
          </cell>
          <cell r="D278" t="str">
            <v>ШТ</v>
          </cell>
          <cell r="E278" t="str">
            <v>Колбасные изделия</v>
          </cell>
          <cell r="F278" t="str">
            <v>Копченые колбасы</v>
          </cell>
          <cell r="G278" t="str">
            <v>Папа может</v>
          </cell>
          <cell r="H278" t="str">
            <v>ОМПК(К)</v>
          </cell>
          <cell r="I278" t="str">
            <v>ТУ 10.13.14-161-00425283-2022</v>
          </cell>
          <cell r="J278" t="str">
            <v>Мясной продукт. Изделие колбасное варено-копченое.</v>
          </cell>
          <cell r="K278" t="str">
            <v>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78">
            <v>13</v>
          </cell>
          <cell r="M278">
            <v>20</v>
          </cell>
          <cell r="N278">
            <v>6</v>
          </cell>
          <cell r="O278" t="str">
            <v>256/1063</v>
          </cell>
          <cell r="P278" t="str">
            <v>0…+6</v>
          </cell>
          <cell r="Q278">
            <v>55</v>
          </cell>
        </row>
        <row r="279">
          <cell r="B279">
            <v>1001304076691</v>
          </cell>
          <cell r="C279" t="str">
            <v>СЕРВЕЛАТ ПРАЖСКИЙ ПМ в/к в/у 0.35кг 8шт.</v>
          </cell>
          <cell r="D279" t="str">
            <v>ШТ</v>
          </cell>
          <cell r="E279" t="str">
            <v>Колбасные изделия</v>
          </cell>
          <cell r="F279" t="str">
            <v>Копченые колбасы</v>
          </cell>
          <cell r="G279" t="str">
            <v>Папа может</v>
          </cell>
          <cell r="H279" t="str">
            <v>ОМПК(К)</v>
          </cell>
          <cell r="I279" t="str">
            <v>ТУ 10.13.14-161-00425283-2022</v>
          </cell>
          <cell r="J279" t="str">
            <v>Мясной продукт. Изделие колбасное варено-копченое.</v>
          </cell>
          <cell r="K279" t="str">
            <v>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79">
            <v>13</v>
          </cell>
          <cell r="M279">
            <v>20</v>
          </cell>
          <cell r="N279">
            <v>6</v>
          </cell>
          <cell r="O279" t="str">
            <v>256/1063</v>
          </cell>
          <cell r="P279" t="str">
            <v>0…+6</v>
          </cell>
          <cell r="Q279">
            <v>45</v>
          </cell>
        </row>
        <row r="280">
          <cell r="B280">
            <v>1001303086695</v>
          </cell>
          <cell r="C280" t="str">
            <v>СЕРВЕЛАТ РУССКИЙ ПМ в/к в/у 0.31кг_СНГ</v>
          </cell>
          <cell r="D280" t="str">
            <v>ШТ</v>
          </cell>
          <cell r="E280" t="str">
            <v>Колбасные изделия</v>
          </cell>
          <cell r="F280" t="str">
            <v>Копченые колбасы</v>
          </cell>
          <cell r="G280" t="str">
            <v>Папа может</v>
          </cell>
          <cell r="H280" t="str">
            <v>ОМПК(К)</v>
          </cell>
          <cell r="I280" t="str">
            <v>ТУ 10.13.14-161-00425283-2022</v>
          </cell>
          <cell r="J280" t="str">
            <v>Мясной продукт. Изделие колбасное варено-копченое.</v>
          </cell>
          <cell r="K280" t="str">
            <v>свинина, окорок свиной, шпик, стабилизатор белковый (шкурка свиная, вода питьевая), смесь посолочно-нитритная (соль, фиксатор окраски (нитрит натрия)), регуляторы кислотности (пирофосфаты, трифосфаты, цитраты натрия), чеснок сушеный молотый, экстракты пряностей (перец душистый, перец черный), горчица,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80">
            <v>16</v>
          </cell>
          <cell r="M280">
            <v>20</v>
          </cell>
          <cell r="N280">
            <v>5</v>
          </cell>
          <cell r="O280" t="str">
            <v>264/1148</v>
          </cell>
          <cell r="P280" t="str">
            <v>0…+6</v>
          </cell>
          <cell r="Q280">
            <v>45</v>
          </cell>
        </row>
        <row r="281">
          <cell r="B281">
            <v>1001307917498</v>
          </cell>
          <cell r="C281" t="str">
            <v>СЕРВЕЛАТ С ГОВЯДИНОЙ ПМ в/к в/у 0.28кг</v>
          </cell>
          <cell r="D281" t="str">
            <v>ШТ</v>
          </cell>
          <cell r="E281" t="str">
            <v>Колбасные изделия</v>
          </cell>
          <cell r="F281" t="str">
            <v>Копченые колбасы</v>
          </cell>
          <cell r="G281" t="str">
            <v>Папа может</v>
          </cell>
          <cell r="H281" t="str">
            <v>ОМПК(К)</v>
          </cell>
          <cell r="I281" t="str">
            <v>ТУ 10.13.14-185-00425283-2026</v>
          </cell>
          <cell r="J281" t="str">
            <v>Изделие колбасное варено-копченое из мяса кур охлажденное.</v>
          </cell>
          <cell r="K281" t="str">
            <v>филе грудок куриных, говядина, мясо цыпленка-бройлера механической обвалки, вода питьевая, белок соевый, крахмал картофельный, смесь посолочно-нитритная (соль, фиксатор окраски (нитрит натрия)), регуляторы кислотности (пирофосфаты, цитраты натрия, трифосфаты), кардамон, перец чили, кориандр, тмин, карри, имбирь, мускатный орех, лук репчатый сушеный, перец черный, перец душистый, клетчатка растительная,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экстракт гардении красной</v>
          </cell>
          <cell r="L281">
            <v>13</v>
          </cell>
          <cell r="M281">
            <v>25</v>
          </cell>
          <cell r="N281">
            <v>5</v>
          </cell>
          <cell r="O281" t="str">
            <v>297/1231</v>
          </cell>
          <cell r="P281" t="str">
            <v>0…+6</v>
          </cell>
          <cell r="Q281">
            <v>45</v>
          </cell>
        </row>
        <row r="282">
          <cell r="B282">
            <v>1001307487496</v>
          </cell>
          <cell r="C282" t="str">
            <v>СЕРВЕЛАТ С ИНДЕЙКОЙ ПМ в/к в/у 0.28кг</v>
          </cell>
          <cell r="D282" t="str">
            <v>ШТ</v>
          </cell>
          <cell r="E282" t="str">
            <v>Колбасные изделия</v>
          </cell>
          <cell r="F282" t="str">
            <v>Копченые колбасы</v>
          </cell>
          <cell r="G282" t="str">
            <v>Папа может</v>
          </cell>
          <cell r="H282" t="str">
            <v>ОМПК(К)</v>
          </cell>
          <cell r="I282" t="str">
            <v>ТУ 10.13.14-185-00425283-2026</v>
          </cell>
          <cell r="J282" t="str">
            <v>Изделие колбасное варено-копченое из мяса кур охлажденное.</v>
          </cell>
          <cell r="K282" t="str">
            <v>филе куриное, говядина, филе бедра индейки, мясо цыпленка-бройлера механической обвалки, сыворотка молочная сухая, крахмал картофельный, смесь посолочно-нитритная (соль, фиксатор окраски (нитрит натрия)), регуляторы кислотности (пирофосфат, цитраты натрия), перец черный, кориандр, мускатный орех, кардамон, волокна пищевые, сахар, антиокислители (аскорбиновая кислота, лимонная кислота), усилитель вкуса и аромата (глутамат натрия 1-замещенный), ароматизаторы, краситель (понсо R4)</v>
          </cell>
          <cell r="L282">
            <v>14</v>
          </cell>
          <cell r="M282">
            <v>25</v>
          </cell>
          <cell r="N282">
            <v>5</v>
          </cell>
          <cell r="O282" t="str">
            <v>301/1248</v>
          </cell>
          <cell r="P282" t="str">
            <v>0…+6</v>
          </cell>
          <cell r="Q282">
            <v>45</v>
          </cell>
        </row>
        <row r="283">
          <cell r="B283">
            <v>1001307357489</v>
          </cell>
          <cell r="C283" t="str">
            <v>СЫРРРВЕЛАТ Папа может в/к в/у 0.28кг 8шт</v>
          </cell>
          <cell r="D283" t="str">
            <v>ШТ</v>
          </cell>
          <cell r="E283" t="str">
            <v>Колбасные изделия</v>
          </cell>
          <cell r="F283" t="str">
            <v>Копченые колбасы</v>
          </cell>
          <cell r="G283" t="str">
            <v>Папа может</v>
          </cell>
          <cell r="H283" t="str">
            <v>ОМПК(К)</v>
          </cell>
          <cell r="I283" t="str">
            <v>ТУ 10.13.14-161-00425283-2022</v>
          </cell>
          <cell r="J283" t="str">
            <v>Мясной продукт. Изделие колбасное варено-копченое.</v>
          </cell>
          <cell r="K283" t="str">
            <v>свинина, стабилизатор белковый (вода питьевая, шкурка свиная), филе грудок куриных, сыр плавленый (вода питьевая,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масло сливочное, молоко сухое обезжиренное, сыворотка молочная сухая, эмульгаторы (полифосфат натрия, орто-фосфат натрия 2-замещенный), крахмал кукурузный, загуститель (каррагинан), соль), сыворотка молочная сухая, смесь посолочно-нитритная (соль, фиксатор окраски (нитрит натрия)), крахмал картофельный, стабилизаторы (пирофосфаты, полифосфаты), регуляторы кислотности (трифосфаты, цитраты натрия), белок животный (говяжий), чеснок сушеный, экстракты специй, орех молотый (миндаль), сахара, соль, антиокислители (аскорбиновая кислота, изоаскорбат натрия), усилитель вкуса и аромата (глутамат натрия), ароматизаторы, гемоглобин, краситель (кармины)</v>
          </cell>
          <cell r="L283">
            <v>16</v>
          </cell>
          <cell r="M283">
            <v>15</v>
          </cell>
          <cell r="N283">
            <v>4</v>
          </cell>
          <cell r="O283" t="str">
            <v>215/895</v>
          </cell>
          <cell r="P283" t="str">
            <v>0…+6</v>
          </cell>
          <cell r="Q283">
            <v>45</v>
          </cell>
        </row>
        <row r="284">
          <cell r="B284">
            <v>1001304087163</v>
          </cell>
          <cell r="C284" t="str">
            <v>СЕРВЕЛАТ КЛАССИЧ.ПМ в/к в/у 0.62кг_50с</v>
          </cell>
          <cell r="D284" t="str">
            <v>ШТ</v>
          </cell>
          <cell r="E284" t="str">
            <v>Колбасные изделия</v>
          </cell>
          <cell r="F284" t="str">
            <v>Копченые колбасы</v>
          </cell>
          <cell r="G284" t="str">
            <v>Папа может</v>
          </cell>
          <cell r="H284" t="str">
            <v>ОМПК(К)</v>
          </cell>
          <cell r="I284" t="str">
            <v>ТУ 10.13.14-161-00425283-2022</v>
          </cell>
          <cell r="J284" t="str">
            <v>Мясной продукт. Изделие колбасное варено-копченое.</v>
          </cell>
          <cell r="K284"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v>
          </cell>
          <cell r="L284">
            <v>12</v>
          </cell>
          <cell r="M284">
            <v>20</v>
          </cell>
          <cell r="N284">
            <v>5</v>
          </cell>
          <cell r="O284" t="str">
            <v>248/1029</v>
          </cell>
          <cell r="P284" t="str">
            <v>0…+6</v>
          </cell>
          <cell r="Q284">
            <v>50</v>
          </cell>
        </row>
        <row r="285">
          <cell r="B285">
            <v>1001301876782</v>
          </cell>
          <cell r="C285" t="str">
            <v>СЕРВЕЛАТ ФИНСКИЙ в/к в/у 0.6кг 8шт.</v>
          </cell>
          <cell r="D285" t="str">
            <v>ШТ</v>
          </cell>
          <cell r="E285" t="str">
            <v>Колбасные изделия</v>
          </cell>
          <cell r="F285" t="str">
            <v>Копченые колбасы</v>
          </cell>
          <cell r="G285" t="str">
            <v>Папа может</v>
          </cell>
          <cell r="H285" t="str">
            <v xml:space="preserve">ОМПК(К)
</v>
          </cell>
          <cell r="I285" t="str">
            <v>ТУ 10.13.14-161-00425283-2022</v>
          </cell>
          <cell r="J285" t="str">
            <v>Мясной продукт. Изделие колбасное варено-копченое.</v>
          </cell>
          <cell r="K285"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5">
            <v>12</v>
          </cell>
          <cell r="M285">
            <v>20</v>
          </cell>
          <cell r="N285">
            <v>5</v>
          </cell>
          <cell r="O285" t="str">
            <v>248/1029</v>
          </cell>
          <cell r="P285" t="str">
            <v>0…+6</v>
          </cell>
          <cell r="Q285">
            <v>45</v>
          </cell>
        </row>
        <row r="286">
          <cell r="B286">
            <v>1001051875595</v>
          </cell>
          <cell r="C286" t="str">
            <v>СЕРВЕЛАТ ФИНСКИЙ в/к в/у 0.840кг_45с</v>
          </cell>
          <cell r="D286" t="str">
            <v>ШТ</v>
          </cell>
          <cell r="E286" t="str">
            <v>Колбасные изделия</v>
          </cell>
          <cell r="F286" t="str">
            <v>Копченые колбасы</v>
          </cell>
          <cell r="G286" t="str">
            <v>Папа может</v>
          </cell>
          <cell r="H286" t="str">
            <v>ОМПК(К)</v>
          </cell>
          <cell r="I286" t="str">
            <v>ТУ 10.13.14-161-00425283-2022</v>
          </cell>
          <cell r="J286" t="str">
            <v>Мясной продукт. Изделие колбасное варено-копченое.</v>
          </cell>
          <cell r="K286"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6">
            <v>12</v>
          </cell>
          <cell r="M286">
            <v>20</v>
          </cell>
          <cell r="N286">
            <v>5</v>
          </cell>
          <cell r="O286" t="str">
            <v>248/1029</v>
          </cell>
          <cell r="P286" t="str">
            <v>0…+6</v>
          </cell>
          <cell r="Q286">
            <v>45</v>
          </cell>
        </row>
        <row r="287">
          <cell r="B287">
            <v>1001051875600</v>
          </cell>
          <cell r="C287" t="str">
            <v>СЕРВЕЛАТ ФИНСКИЙ в/к в/у 45c_О</v>
          </cell>
          <cell r="D287" t="str">
            <v>КГ</v>
          </cell>
          <cell r="E287" t="str">
            <v>Колбасные изделия</v>
          </cell>
          <cell r="F287" t="str">
            <v>Копченые колбасы</v>
          </cell>
          <cell r="G287" t="str">
            <v>Папа может</v>
          </cell>
          <cell r="H287" t="str">
            <v>ОМПК(К)</v>
          </cell>
          <cell r="I287" t="str">
            <v>ТУ 10.13.14-161-00425283-2022</v>
          </cell>
          <cell r="J287" t="str">
            <v>Мясной продукт. Изделие колбасное варено-копченое.</v>
          </cell>
          <cell r="K287"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7">
            <v>12</v>
          </cell>
          <cell r="M287">
            <v>20</v>
          </cell>
          <cell r="N287">
            <v>5</v>
          </cell>
          <cell r="O287" t="str">
            <v>248/1029</v>
          </cell>
          <cell r="P287" t="str">
            <v>0…+6</v>
          </cell>
          <cell r="Q287">
            <v>45</v>
          </cell>
        </row>
        <row r="288">
          <cell r="B288">
            <v>1001051875607</v>
          </cell>
          <cell r="C288" t="str">
            <v>СЕРВЕЛАТ ФИНСКИЙ в/к в/у 45с_СНГ</v>
          </cell>
          <cell r="D288" t="str">
            <v>КГ</v>
          </cell>
          <cell r="E288" t="str">
            <v>Колбасные изделия</v>
          </cell>
          <cell r="F288" t="str">
            <v>Копченые колбасы</v>
          </cell>
          <cell r="G288" t="str">
            <v>Папа может</v>
          </cell>
          <cell r="H288" t="str">
            <v>ОМПК(К)</v>
          </cell>
          <cell r="I288" t="str">
            <v>ТУ 10.13.14-161-00425283-2022</v>
          </cell>
          <cell r="J288" t="str">
            <v>Мясной продукт. Изделие колбасное варено-копченое.</v>
          </cell>
          <cell r="K288" t="str">
            <v>свинина,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клетчатка, регуляторы кислотности (пирофосфаты, трифосфаты, цитраты натрия), загуститель (альгинат натрия), специи (в т.ч. горчица),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v>
          </cell>
          <cell r="L288">
            <v>11</v>
          </cell>
          <cell r="M288">
            <v>21</v>
          </cell>
          <cell r="N288">
            <v>2</v>
          </cell>
          <cell r="O288" t="str">
            <v>241/998</v>
          </cell>
          <cell r="P288" t="str">
            <v>0…+6</v>
          </cell>
          <cell r="Q288">
            <v>45</v>
          </cell>
        </row>
        <row r="289">
          <cell r="B289">
            <v>1001051875544</v>
          </cell>
          <cell r="C289" t="str">
            <v>СЕРВЕЛАТ ФИНСКИЙ в/к в/у_45с</v>
          </cell>
          <cell r="D289" t="str">
            <v>КГ</v>
          </cell>
          <cell r="E289" t="str">
            <v>Колбасные изделия</v>
          </cell>
          <cell r="F289" t="str">
            <v>Копченые колбасы</v>
          </cell>
          <cell r="G289" t="str">
            <v>Папа может</v>
          </cell>
          <cell r="H289" t="str">
            <v>ОМПК(К)</v>
          </cell>
          <cell r="I289" t="str">
            <v>ТУ 10.13.14-161-00425283-2022</v>
          </cell>
          <cell r="J289" t="str">
            <v>Мясной продукт. Изделие колбасное варено-копченое.</v>
          </cell>
          <cell r="K289"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9">
            <v>12</v>
          </cell>
          <cell r="M289">
            <v>20</v>
          </cell>
          <cell r="N289">
            <v>5</v>
          </cell>
          <cell r="O289" t="str">
            <v>248/1029</v>
          </cell>
          <cell r="P289" t="str">
            <v>0…+6</v>
          </cell>
          <cell r="Q289">
            <v>45</v>
          </cell>
        </row>
        <row r="290">
          <cell r="B290">
            <v>1001051873657</v>
          </cell>
          <cell r="C290" t="str">
            <v>СЕРВЕЛАТ ФИНСКИЙ в/к в/у_Ашан</v>
          </cell>
          <cell r="D290" t="str">
            <v>КГ</v>
          </cell>
          <cell r="E290" t="str">
            <v>Колбасные изделия</v>
          </cell>
          <cell r="F290" t="str">
            <v>Копченые колбасы</v>
          </cell>
          <cell r="G290" t="str">
            <v>Папа может</v>
          </cell>
          <cell r="H290" t="str">
            <v>ОМПК(К)</v>
          </cell>
          <cell r="I290" t="str">
            <v>ТУ 10.13.14-161-00425283-2022</v>
          </cell>
          <cell r="J290" t="str">
            <v>Мясной продукт. Изделие колбасное варено-копченое.</v>
          </cell>
          <cell r="K290"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0">
            <v>12</v>
          </cell>
          <cell r="M290">
            <v>20</v>
          </cell>
          <cell r="N290">
            <v>5</v>
          </cell>
          <cell r="O290" t="str">
            <v>248/1029</v>
          </cell>
          <cell r="P290" t="str">
            <v>0…+6</v>
          </cell>
          <cell r="Q290">
            <v>45</v>
          </cell>
        </row>
        <row r="291">
          <cell r="B291">
            <v>1001051873892</v>
          </cell>
          <cell r="C291" t="str">
            <v>СЕРВЕЛАТ ФИНСКИЙ в/к в/у_Глобус</v>
          </cell>
          <cell r="D291" t="str">
            <v>КГ</v>
          </cell>
          <cell r="E291" t="str">
            <v>Колбасные изделия</v>
          </cell>
          <cell r="F291" t="str">
            <v>Копченые колбасы</v>
          </cell>
          <cell r="G291" t="str">
            <v>Папа может</v>
          </cell>
          <cell r="H291" t="str">
            <v>ОМПК(К)</v>
          </cell>
          <cell r="I291" t="str">
            <v>ТУ 10.13.14-161-00425283-2022</v>
          </cell>
          <cell r="J291" t="str">
            <v>Мясной продукт. Изделие колбасное варено-копченое.</v>
          </cell>
          <cell r="K291"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1">
            <v>12</v>
          </cell>
          <cell r="M291">
            <v>20</v>
          </cell>
          <cell r="N291">
            <v>5</v>
          </cell>
          <cell r="O291" t="str">
            <v>248/1029</v>
          </cell>
          <cell r="P291" t="str">
            <v>0…+6</v>
          </cell>
          <cell r="Q291">
            <v>45</v>
          </cell>
        </row>
        <row r="292">
          <cell r="B292">
            <v>1001051872477</v>
          </cell>
          <cell r="C292" t="str">
            <v>СЕРВЕЛАТ ФИНСКИЙ в/к в/у_Х5</v>
          </cell>
          <cell r="D292" t="str">
            <v>КГ</v>
          </cell>
          <cell r="E292" t="str">
            <v>Колбасные изделия</v>
          </cell>
          <cell r="F292" t="str">
            <v>Копченые колбасы</v>
          </cell>
          <cell r="G292" t="str">
            <v>Папа может</v>
          </cell>
          <cell r="H292" t="str">
            <v>ОМПК(К)</v>
          </cell>
          <cell r="I292" t="str">
            <v>ТУ 10.13.14-161-00425283-2022</v>
          </cell>
          <cell r="J292" t="str">
            <v>Мясной продукт. Изделие колбасное варено-копченое.</v>
          </cell>
          <cell r="K292"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2">
            <v>12</v>
          </cell>
          <cell r="M292">
            <v>20</v>
          </cell>
          <cell r="N292">
            <v>5</v>
          </cell>
          <cell r="O292" t="str">
            <v>248/1029</v>
          </cell>
          <cell r="P292" t="str">
            <v>0…+6</v>
          </cell>
          <cell r="Q292">
            <v>45</v>
          </cell>
        </row>
        <row r="293">
          <cell r="B293">
            <v>1001301876697</v>
          </cell>
          <cell r="C293" t="str">
            <v>СЕРВЕЛАТ ФИНСКИЙ ПМ в/к в/у 0.35кг 8шт.</v>
          </cell>
          <cell r="D293" t="str">
            <v>ШТ</v>
          </cell>
          <cell r="E293" t="str">
            <v>Колбасные изделия</v>
          </cell>
          <cell r="F293" t="str">
            <v>Копченые колбасы</v>
          </cell>
          <cell r="G293" t="str">
            <v>Папа может</v>
          </cell>
          <cell r="H293" t="str">
            <v>ОМПК(К)</v>
          </cell>
          <cell r="I293" t="str">
            <v>ТУ 10.13.14-161-00425283-2022</v>
          </cell>
          <cell r="J293" t="str">
            <v>Мясной продукт. Изделие колбасное варено-копченое.</v>
          </cell>
          <cell r="K293"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3">
            <v>12</v>
          </cell>
          <cell r="M293">
            <v>20</v>
          </cell>
          <cell r="N293">
            <v>5</v>
          </cell>
          <cell r="O293" t="str">
            <v>248/1029</v>
          </cell>
          <cell r="P293" t="str">
            <v>0…+6</v>
          </cell>
          <cell r="Q293">
            <v>45</v>
          </cell>
        </row>
        <row r="294">
          <cell r="B294">
            <v>1001301876699</v>
          </cell>
          <cell r="C294" t="str">
            <v>СЕРВЕЛАТ ФИНСКИЙ ПМ в/к в/у 0.42кг 8шт.</v>
          </cell>
          <cell r="D294" t="str">
            <v>ШТ</v>
          </cell>
          <cell r="E294" t="str">
            <v>Колбасные изделия</v>
          </cell>
          <cell r="F294" t="str">
            <v>Копченые колбасы</v>
          </cell>
          <cell r="G294" t="str">
            <v>Папа может</v>
          </cell>
          <cell r="H294" t="str">
            <v>ОМПК(К)</v>
          </cell>
          <cell r="I294" t="str">
            <v>ТУ 10.13.14-161-00425283-2022</v>
          </cell>
          <cell r="J294" t="str">
            <v>Мясной продукт. Изделие колбасное варено-копченое.</v>
          </cell>
          <cell r="K294"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4">
            <v>12</v>
          </cell>
          <cell r="M294">
            <v>20</v>
          </cell>
          <cell r="N294">
            <v>5</v>
          </cell>
          <cell r="O294" t="str">
            <v>248/1029</v>
          </cell>
          <cell r="P294" t="str">
            <v>0…+6</v>
          </cell>
          <cell r="Q294">
            <v>45</v>
          </cell>
        </row>
        <row r="295">
          <cell r="B295">
            <v>1001304477393</v>
          </cell>
          <cell r="C295" t="str">
            <v>СЕРВЕЛАТ ФИРМЕННЫЙ Кор в/к в/у 0.7кг 8шт</v>
          </cell>
          <cell r="D295" t="str">
            <v>ШТ</v>
          </cell>
          <cell r="E295" t="str">
            <v>Колбасные изделия</v>
          </cell>
          <cell r="F295" t="str">
            <v>Копченые колбасы</v>
          </cell>
          <cell r="G295" t="str">
            <v>Коровино</v>
          </cell>
          <cell r="H295" t="str">
            <v>ОМПК(Г)</v>
          </cell>
          <cell r="I295" t="str">
            <v>ТУ 10.13.14-161-00425283-2022</v>
          </cell>
          <cell r="J295" t="str">
            <v>Мясной продукт. Изделие колбасное варено-копченое.</v>
          </cell>
          <cell r="K295"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95">
            <v>11</v>
          </cell>
          <cell r="M295">
            <v>21</v>
          </cell>
          <cell r="N295">
            <v>2</v>
          </cell>
          <cell r="O295" t="str">
            <v>241/998</v>
          </cell>
          <cell r="P295" t="str">
            <v>0…+6</v>
          </cell>
          <cell r="Q295">
            <v>45</v>
          </cell>
        </row>
        <row r="296">
          <cell r="B296">
            <v>1001306387148</v>
          </cell>
          <cell r="C296" t="str">
            <v>СЕРВЕЛАТ ШВЕЙЦАРСКИЙ ПРЕМИУМ в/к в/у</v>
          </cell>
          <cell r="D296" t="str">
            <v>КГ</v>
          </cell>
          <cell r="E296" t="str">
            <v>Колбасные изделия</v>
          </cell>
          <cell r="F296" t="str">
            <v>Копченые колбасы</v>
          </cell>
          <cell r="G296" t="str">
            <v>Останкино</v>
          </cell>
          <cell r="H296" t="str">
            <v>ОМПК(К)</v>
          </cell>
          <cell r="I296" t="str">
            <v>ТУ 10.13.14-161-00425283-2022</v>
          </cell>
          <cell r="J296" t="str">
            <v>Мясной продукт. Изделие колбасное варено-копченое.</v>
          </cell>
          <cell r="K296" t="str">
            <v>свинина, шпик, стабилизатор белковый (шкурка свиная, вода питьевая), вода питьевая, смесь посолочно-нитритная (соль, фиксатор окраски (нитрит натрия)), соль, волокна растительные,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v>
          </cell>
          <cell r="L296">
            <v>13</v>
          </cell>
          <cell r="M296">
            <v>29</v>
          </cell>
          <cell r="O296" t="str">
            <v>313/1294</v>
          </cell>
          <cell r="P296" t="str">
            <v>0…+6</v>
          </cell>
          <cell r="Q296">
            <v>45</v>
          </cell>
        </row>
        <row r="297">
          <cell r="B297">
            <v>1001054193265</v>
          </cell>
          <cell r="C297" t="str">
            <v>Z-СЕРВЕЛАТ ШВЕЙЦАРСКИЙ в/к (для нарезки)</v>
          </cell>
          <cell r="D297" t="str">
            <v>КГ</v>
          </cell>
          <cell r="E297" t="str">
            <v>Колбасные изделия</v>
          </cell>
          <cell r="F297" t="str">
            <v>Копченые колбасы</v>
          </cell>
          <cell r="G297" t="str">
            <v>Останкино</v>
          </cell>
          <cell r="H297" t="str">
            <v>ОМПК(К)</v>
          </cell>
          <cell r="I297" t="str">
            <v>ТУ 10.13.14-161-00425283-2022</v>
          </cell>
          <cell r="J297" t="str">
            <v>Мясной продукт. Изделие колбасное варено-копченое.</v>
          </cell>
          <cell r="K297" t="str">
            <v>свинина, шпик, белковый стабилизатор (шкурка свиная, вода), вода, смесь посолочно-нитритная (соль, фиксатор окраски нитрит натрия), соль, растительные волокна,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v>
          </cell>
          <cell r="L297">
            <v>13</v>
          </cell>
          <cell r="M297">
            <v>29</v>
          </cell>
          <cell r="O297" t="str">
            <v>313/1294</v>
          </cell>
          <cell r="P297" t="str">
            <v>0…+6</v>
          </cell>
          <cell r="Q297">
            <v>50</v>
          </cell>
        </row>
        <row r="298">
          <cell r="B298">
            <v>1001051873828</v>
          </cell>
          <cell r="C298" t="str">
            <v>Z-СЕРВЕЛАТ ФИНСКИЙ в/к в/у</v>
          </cell>
          <cell r="D298" t="str">
            <v>КГ</v>
          </cell>
          <cell r="E298" t="str">
            <v>Колбасные изделия</v>
          </cell>
          <cell r="F298" t="str">
            <v>Копченые колбасы</v>
          </cell>
          <cell r="G298" t="str">
            <v>Папа может</v>
          </cell>
          <cell r="H298" t="str">
            <v>ОМПК(К)</v>
          </cell>
          <cell r="I298" t="str">
            <v>ТУ 10.13.14-161-00425283-2022</v>
          </cell>
          <cell r="J298" t="str">
            <v>Мясной продукт. Изделие колбасное варено-копченое.</v>
          </cell>
          <cell r="K298"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8">
            <v>12</v>
          </cell>
          <cell r="M298">
            <v>20</v>
          </cell>
          <cell r="N298">
            <v>5</v>
          </cell>
          <cell r="O298" t="str">
            <v>248/1029</v>
          </cell>
          <cell r="P298" t="str">
            <v>0…+6</v>
          </cell>
          <cell r="Q298">
            <v>45</v>
          </cell>
        </row>
        <row r="299">
          <cell r="B299">
            <v>1001051875901</v>
          </cell>
          <cell r="C299" t="str">
            <v>Z-СЕРВЕЛАТ ФИНСКИЙ в/к в/у 0.840кг</v>
          </cell>
          <cell r="D299" t="str">
            <v>ШТ</v>
          </cell>
          <cell r="E299" t="str">
            <v>Колбасные изделия</v>
          </cell>
          <cell r="F299" t="str">
            <v>Копченые колбасы</v>
          </cell>
          <cell r="G299" t="str">
            <v>Папа может</v>
          </cell>
          <cell r="H299" t="str">
            <v>ОМПК(К)</v>
          </cell>
          <cell r="I299" t="str">
            <v>ТУ 10.13.14-161-00425283-2022</v>
          </cell>
          <cell r="J299" t="str">
            <v>Мясной продукт. Изделие колбасное варено-копченое.</v>
          </cell>
          <cell r="K299"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9">
            <v>12</v>
          </cell>
          <cell r="M299">
            <v>20</v>
          </cell>
          <cell r="N299">
            <v>5</v>
          </cell>
          <cell r="O299" t="str">
            <v>248/1029</v>
          </cell>
          <cell r="P299" t="str">
            <v>0…+6</v>
          </cell>
          <cell r="Q299">
            <v>45</v>
          </cell>
        </row>
        <row r="300">
          <cell r="B300">
            <v>1001051873261</v>
          </cell>
          <cell r="C300" t="str">
            <v>Z-СЕРВЕЛАТ ФИНСКИЙ в/к (для нарезки)</v>
          </cell>
          <cell r="D300" t="str">
            <v>КГ</v>
          </cell>
          <cell r="E300" t="str">
            <v>Колбасные изделия</v>
          </cell>
          <cell r="F300" t="str">
            <v>Копченые колбасы</v>
          </cell>
          <cell r="G300" t="str">
            <v>Папа может</v>
          </cell>
          <cell r="H300" t="str">
            <v>ОМПК(К)</v>
          </cell>
          <cell r="I300" t="str">
            <v>ТУ 10.13.14-161-00425283-2022</v>
          </cell>
          <cell r="J300" t="str">
            <v>Мясной продукт. Изделие колбасное варено-копченое.</v>
          </cell>
          <cell r="K300" t="str">
            <v>свинина, филе грудок куриных, шпик, стабилизатор белковый (шкурка свиная, вода питьевая), вода питьевая, сыворотка сухая молочная, соль, смесь посолочно-нитритная (соль, фиксатор окраски (нитрит натрия)), белок животный (говяжий), сахар, регулятор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300">
            <v>13</v>
          </cell>
          <cell r="M300">
            <v>20</v>
          </cell>
          <cell r="O300" t="str">
            <v>232/961</v>
          </cell>
          <cell r="P300" t="str">
            <v>0…+6</v>
          </cell>
          <cell r="Q300">
            <v>45</v>
          </cell>
        </row>
        <row r="301">
          <cell r="B301">
            <v>1001306657449</v>
          </cell>
          <cell r="C301" t="str">
            <v>Z-СЕРВ.ФИН.ТОЛС.СЛАЙСЫ в/к (для нарезки)</v>
          </cell>
          <cell r="D301" t="str">
            <v>КГ</v>
          </cell>
          <cell r="E301" t="str">
            <v>Колбасные изделия</v>
          </cell>
          <cell r="F301" t="str">
            <v>Копченые колбасы</v>
          </cell>
          <cell r="G301" t="str">
            <v>Папа может</v>
          </cell>
          <cell r="H301" t="str">
            <v>ОМПК(К)</v>
          </cell>
          <cell r="I301" t="str">
            <v>ТУ 10.13.14-161-00425283-2022</v>
          </cell>
          <cell r="J301" t="str">
            <v>Мясной продукт. Изделие колбасное варено-копченое.</v>
          </cell>
          <cell r="K301" t="str">
            <v>свинина, стабилизатор белковый (шкурка свиная, вода питьевая), мясо куриное механической обвалки, шпик,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цитраты натрия, трифосфаты, глюконо-дельта-лактон), стабилизатор (полифосфаты), клетчатка, белок соевый, загустители (альгинат натрия, каррагинан, гуаровая камедь, ксантановая камедь), пряности, экстракты пряностей, сахара, соль, антиокислители (лимонная кислота, аскорбиновая кислота, аскорбат натрия), усилитель вкуса и аромата (глутамат натрия), гемоглобин, ароматизаторы, ароматизатор коптильный, краситель (кармины)</v>
          </cell>
          <cell r="L301">
            <v>13</v>
          </cell>
          <cell r="M301">
            <v>18</v>
          </cell>
          <cell r="N301">
            <v>3</v>
          </cell>
          <cell r="O301" t="str">
            <v>226/938</v>
          </cell>
          <cell r="P301" t="str">
            <v>0…+6</v>
          </cell>
          <cell r="Q301">
            <v>5</v>
          </cell>
        </row>
        <row r="302">
          <cell r="B302">
            <v>1001304497237</v>
          </cell>
          <cell r="C302" t="str">
            <v>СЕРВЕЛАТ ШВАРЦЕР ПМ в/к в/у 0.28кг_209к</v>
          </cell>
          <cell r="D302" t="str">
            <v>ШТ</v>
          </cell>
          <cell r="E302" t="str">
            <v>Колбасные изделия</v>
          </cell>
          <cell r="F302" t="str">
            <v>Копченые колбасы</v>
          </cell>
          <cell r="G302" t="str">
            <v>Папа может</v>
          </cell>
          <cell r="H302" t="str">
            <v>ОМПК(К)</v>
          </cell>
          <cell r="I302" t="str">
            <v>ТУ 10.13.14-161-00425283-2022</v>
          </cell>
          <cell r="J302" t="str">
            <v>Мясной продукт. Изделие колбасное варено-копченое.</v>
          </cell>
          <cell r="K302"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пищевые растительные волокна, соль, регуляторы кислотности (цитраты натрия, пирофосфаты, трифосфаты), загуститель (альгинат натрия), экстракты специй, чеснок сушеный, лук сушеный, масло подсолнечное рафинированное дезодорированное, сахара, антиокислители (аскорбиновая кислота, изоаскорбат натрия, лимонная кислота), усилитель вкуса и аромата (глутамат натрия), ароматизатор, гемоглобин, краситель (кармины)</v>
          </cell>
          <cell r="L302">
            <v>13</v>
          </cell>
          <cell r="M302">
            <v>18</v>
          </cell>
          <cell r="N302">
            <v>0</v>
          </cell>
          <cell r="O302" t="str">
            <v>214/887</v>
          </cell>
          <cell r="P302" t="str">
            <v>0…+6</v>
          </cell>
          <cell r="Q302">
            <v>45</v>
          </cell>
        </row>
        <row r="303">
          <cell r="B303">
            <v>1001302347292</v>
          </cell>
          <cell r="C303" t="str">
            <v>ЧЕСНОЧНАЯ п/к в/у_55с</v>
          </cell>
          <cell r="D303" t="str">
            <v>КГ</v>
          </cell>
          <cell r="E303" t="str">
            <v>Колбасные изделия</v>
          </cell>
          <cell r="F303" t="str">
            <v>Копченые колбасы</v>
          </cell>
          <cell r="G303" t="str">
            <v>Папа может</v>
          </cell>
          <cell r="H303" t="str">
            <v>ОМПК(К)</v>
          </cell>
          <cell r="I303" t="str">
            <v>ТУ 10.13.14-160-00425283-2022</v>
          </cell>
          <cell r="J303" t="str">
            <v>Мясной продукт. Изделие колбасное полукопченое категории В.</v>
          </cell>
          <cell r="K303"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3">
            <v>13</v>
          </cell>
          <cell r="M303">
            <v>19</v>
          </cell>
          <cell r="N303">
            <v>5</v>
          </cell>
          <cell r="O303" t="str">
            <v>243/1009</v>
          </cell>
          <cell r="P303" t="str">
            <v>0…+6</v>
          </cell>
          <cell r="Q303">
            <v>55</v>
          </cell>
        </row>
        <row r="304">
          <cell r="B304">
            <v>1001042343778</v>
          </cell>
          <cell r="C304" t="str">
            <v>Z-ЧЕСНОЧНАЯ п/к в/у</v>
          </cell>
          <cell r="D304" t="str">
            <v>КГ</v>
          </cell>
          <cell r="E304" t="str">
            <v>Колбасные изделия</v>
          </cell>
          <cell r="F304" t="str">
            <v>Копченые колбасы</v>
          </cell>
          <cell r="G304" t="str">
            <v>Папа может</v>
          </cell>
          <cell r="H304" t="str">
            <v>ОМПК(К)</v>
          </cell>
          <cell r="I304" t="str">
            <v>ТУ 10.13.14-160-00425283-2022</v>
          </cell>
          <cell r="J304" t="str">
            <v>Мясной продукт. Изделие колбасное полукопченое категории В.</v>
          </cell>
          <cell r="K304"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4">
            <v>13</v>
          </cell>
          <cell r="M304">
            <v>19</v>
          </cell>
          <cell r="N304">
            <v>5</v>
          </cell>
          <cell r="O304" t="str">
            <v>243/1009</v>
          </cell>
          <cell r="P304" t="str">
            <v>0…+6</v>
          </cell>
          <cell r="Q304">
            <v>45</v>
          </cell>
        </row>
        <row r="305">
          <cell r="B305">
            <v>1001302347177</v>
          </cell>
          <cell r="C305" t="str">
            <v>ЧЕСНОЧНАЯ ПМ п/к в/у 0.35кг 8шт_50с</v>
          </cell>
          <cell r="D305" t="str">
            <v>ШТ</v>
          </cell>
          <cell r="E305" t="str">
            <v>Колбасные изделия</v>
          </cell>
          <cell r="F305" t="str">
            <v>Копченые колбасы</v>
          </cell>
          <cell r="G305" t="str">
            <v>Папа может</v>
          </cell>
          <cell r="H305" t="str">
            <v>ОМПК(К)</v>
          </cell>
          <cell r="I305" t="str">
            <v>ТУ 10.13.14-160-00425283-2022</v>
          </cell>
          <cell r="J305" t="str">
            <v>Мясной продукт. Изделие колбасное полукопченое категории В.</v>
          </cell>
          <cell r="K305"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5">
            <v>13</v>
          </cell>
          <cell r="M305">
            <v>19</v>
          </cell>
          <cell r="N305">
            <v>5</v>
          </cell>
          <cell r="O305" t="str">
            <v>243/1009</v>
          </cell>
          <cell r="P305" t="str">
            <v>0…+6</v>
          </cell>
          <cell r="Q305">
            <v>50</v>
          </cell>
        </row>
        <row r="306">
          <cell r="B306">
            <v>1001305436728</v>
          </cell>
          <cell r="C306" t="str">
            <v>Z-ИМПЕРСКАЯ в/к (для нарезки)</v>
          </cell>
          <cell r="D306" t="str">
            <v>КГ</v>
          </cell>
          <cell r="E306" t="str">
            <v>Колбасные изделия</v>
          </cell>
          <cell r="F306" t="str">
            <v>Копченые колбасы</v>
          </cell>
          <cell r="G306" t="str">
            <v>Папа может</v>
          </cell>
          <cell r="H306" t="str">
            <v>ОМПК(К)</v>
          </cell>
          <cell r="I306" t="str">
            <v>ТУ 10.13.14-161-00425283-2022</v>
          </cell>
          <cell r="J306" t="str">
            <v>Мясной продукт. Изделие колбасное варено-копченое.</v>
          </cell>
          <cell r="K306" t="str">
            <v>свинина, шпик,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натуральные пряности (в т.ч. горчица), усилитель вкуса и аромата глутамат натрия, виноградный сахар, антиокислители: аскорбиновая кислота, изоаскорбат натрия</v>
          </cell>
          <cell r="L306">
            <v>14</v>
          </cell>
          <cell r="M306">
            <v>26</v>
          </cell>
          <cell r="O306" t="str">
            <v>290/1200</v>
          </cell>
          <cell r="P306" t="str">
            <v>0…+6</v>
          </cell>
          <cell r="Q306">
            <v>50</v>
          </cell>
        </row>
        <row r="307">
          <cell r="B307">
            <v>1001303636729</v>
          </cell>
          <cell r="C307" t="str">
            <v>Z-БАЛЫКОВАЯ в/к (для нарезки)</v>
          </cell>
          <cell r="D307" t="str">
            <v>КГ</v>
          </cell>
          <cell r="E307" t="str">
            <v>Колбасные изделия</v>
          </cell>
          <cell r="F307" t="str">
            <v>Копченые колбасы</v>
          </cell>
          <cell r="G307" t="str">
            <v>Папа может</v>
          </cell>
          <cell r="H307" t="str">
            <v>ОМПК(К)</v>
          </cell>
          <cell r="I307" t="str">
            <v>ТУ 10.13.14-161-00425283-2022</v>
          </cell>
          <cell r="J307" t="str">
            <v>Мясной продукт. Изделие колбасное варено-копченое.</v>
          </cell>
          <cell r="K307" t="str">
            <v>свинина, вода, мясо цыпленка-бройлера механической обвалки,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сахара, натуральные пряности, усилитель вкуса и аромата глутамат натрия, ароматизаторы, антиокислители: аскорбат натрия, изоаскорбат натрия</v>
          </cell>
          <cell r="L307">
            <v>14</v>
          </cell>
          <cell r="M307">
            <v>17</v>
          </cell>
          <cell r="O307" t="str">
            <v>209/867</v>
          </cell>
          <cell r="P307" t="str">
            <v>0…+6</v>
          </cell>
          <cell r="Q307">
            <v>50</v>
          </cell>
        </row>
        <row r="308">
          <cell r="B308">
            <v>1001215576586</v>
          </cell>
          <cell r="C308" t="str">
            <v>МРАМОРНАЯ И БАЛЫКОВАЯ в/к с/н мгс 1/90</v>
          </cell>
          <cell r="D308" t="str">
            <v>ШТ</v>
          </cell>
          <cell r="E308" t="str">
            <v>Колбасные изделия</v>
          </cell>
          <cell r="F308" t="str">
            <v>Копченые колбасы</v>
          </cell>
          <cell r="G308" t="str">
            <v>Папа может</v>
          </cell>
          <cell r="H308" t="str">
            <v>ОМПК(О)</v>
          </cell>
          <cell r="I308" t="str">
            <v>ТУ 10.13.14-161-00425283-2022</v>
          </cell>
          <cell r="J308" t="str">
            <v>Мясной продукт. Изделие колбасное варено-копченое.</v>
          </cell>
          <cell r="K308" t="str">
            <v>МРАМОРНАЯ: свинина, шпик,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 сахара, перец черный, перец белый, горчица, экстракты специй, антиокислители (аскорбиновая кислота), усилитель вкуса и аромата (глутамат натрия 1-замещенный), гемоглобин, ароматизаторы, краситель (кармины).
БАЛЫКОВАЯ: 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антиокислители (аскорбиновая кислота), усилитель вкуса и аромата (глутамат натрия 1-замещенный), ароматизаторы.</v>
          </cell>
          <cell r="L308" t="str">
            <v>15
15</v>
          </cell>
          <cell r="M308" t="str">
            <v>19
19</v>
          </cell>
          <cell r="N308" t="str">
            <v>4
5</v>
          </cell>
          <cell r="O308" t="str">
            <v>247/1026
251/1043</v>
          </cell>
          <cell r="P308" t="str">
            <v>0…+6</v>
          </cell>
          <cell r="Q308">
            <v>45</v>
          </cell>
        </row>
        <row r="309">
          <cell r="B309">
            <v>1001217297466</v>
          </cell>
          <cell r="C309" t="str">
            <v>СЕРВ.ТОЛСТ.СЛАЙС КОПЧ. в/к с/н мгс 1/150</v>
          </cell>
          <cell r="D309" t="str">
            <v>ШТ</v>
          </cell>
          <cell r="E309" t="str">
            <v>Колбасные изделия</v>
          </cell>
          <cell r="F309" t="str">
            <v>Копченые колбасы</v>
          </cell>
          <cell r="G309" t="str">
            <v>Папа может</v>
          </cell>
          <cell r="H309" t="str">
            <v>ОМПК(О)</v>
          </cell>
          <cell r="I309" t="str">
            <v>ТУ 10.13.14-161-00425283-2022</v>
          </cell>
          <cell r="J309" t="str">
            <v>Мясной продукт. Изделие колбасное варено-копченое.</v>
          </cell>
          <cell r="K309"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v>
          </cell>
          <cell r="L309">
            <v>13</v>
          </cell>
          <cell r="M309">
            <v>17</v>
          </cell>
          <cell r="N309">
            <v>5</v>
          </cell>
          <cell r="O309" t="str">
            <v>225/935</v>
          </cell>
          <cell r="P309" t="str">
            <v>0…+6</v>
          </cell>
          <cell r="Q309">
            <v>45</v>
          </cell>
        </row>
        <row r="310">
          <cell r="B310">
            <v>1001211877252</v>
          </cell>
          <cell r="C310" t="str">
            <v>СЕРВЕЛАТ ФИНСКИЙ ПМ в/к с/н мгс 1/100*12</v>
          </cell>
          <cell r="D310" t="str">
            <v>ШТ</v>
          </cell>
          <cell r="E310" t="str">
            <v>Колбасные изделия</v>
          </cell>
          <cell r="F310" t="str">
            <v>Копченые колбасы</v>
          </cell>
          <cell r="G310" t="str">
            <v>Папа может</v>
          </cell>
          <cell r="H310" t="str">
            <v>ОМПК(О)</v>
          </cell>
          <cell r="I310" t="str">
            <v>ТУ 10.13.14-161-00425283-2022</v>
          </cell>
          <cell r="J310" t="str">
            <v>Мясной продукт. Изделие колбасное варено-копченое.</v>
          </cell>
          <cell r="K310"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красители (кармины)</v>
          </cell>
          <cell r="L310">
            <v>13</v>
          </cell>
          <cell r="M310">
            <v>21</v>
          </cell>
          <cell r="N310">
            <v>4</v>
          </cell>
          <cell r="O310" t="str">
            <v>257/1066</v>
          </cell>
          <cell r="P310" t="str">
            <v>0…+6</v>
          </cell>
          <cell r="Q310">
            <v>45</v>
          </cell>
        </row>
        <row r="311">
          <cell r="B311">
            <v>1001304197608</v>
          </cell>
          <cell r="C311" t="str">
            <v>СЕРВЕЛАТ ШВЕЙЦАРСК.в/к с/н в/у 1/100_Л11</v>
          </cell>
          <cell r="D311" t="str">
            <v>ШТ</v>
          </cell>
          <cell r="E311" t="str">
            <v>Колбасные изделия</v>
          </cell>
          <cell r="F311" t="str">
            <v>Копченые колбасы</v>
          </cell>
          <cell r="G311" t="str">
            <v>Останкино</v>
          </cell>
          <cell r="H311" t="str">
            <v>ОМПК(О)</v>
          </cell>
          <cell r="I311" t="str">
            <v>ТУ 10.13.14-161-00425283-2022</v>
          </cell>
          <cell r="J311" t="str">
            <v>Мясной продукт. Изделие колбасное варено-копченое.</v>
          </cell>
          <cell r="K311" t="str">
            <v>свинина, окорок свиной, шпик, стабилизатор белковый (шкурка свиная, вода питьевая), смесь посолочно-нитритная (соль, фиксатор окраски (нитрит натрия)), волокна пищевые (пшеничные), соль, регуляторы кислотности (пирофосфаты, трифосфаты, цитраты натрия), горчица, чеснок сушеный молотый, перец душистый, чили, ароматизаторы, гемоглобин, антиокислители (лимонная кислота, аскорбиновая кислота), сахара, усилитель вкуса и аромата (глутамат натрия 1-замещенный), краситель (кармины)</v>
          </cell>
          <cell r="L311">
            <v>14</v>
          </cell>
          <cell r="M311">
            <v>23</v>
          </cell>
          <cell r="N311">
            <v>4</v>
          </cell>
          <cell r="O311" t="str">
            <v>279/1157</v>
          </cell>
          <cell r="P311" t="str">
            <v>0…+6</v>
          </cell>
          <cell r="Q311">
            <v>45</v>
          </cell>
        </row>
        <row r="312">
          <cell r="B312">
            <v>1001220226208</v>
          </cell>
          <cell r="C312" t="str">
            <v>ДЫМОВИЦА ИЗ ЛОПАТКИ ПМ к/в с/н в/у 1/150</v>
          </cell>
          <cell r="D312" t="str">
            <v>ШТ</v>
          </cell>
          <cell r="E312" t="str">
            <v>Колбасные изделия</v>
          </cell>
          <cell r="F312" t="str">
            <v>Копчености</v>
          </cell>
          <cell r="G312" t="str">
            <v>Папа может</v>
          </cell>
          <cell r="H312" t="str">
            <v>ОМПК(О)</v>
          </cell>
          <cell r="I312" t="str">
            <v>ТУ 10.13.14-183-00425283-2026</v>
          </cell>
          <cell r="J312" t="str">
            <v>Мясной продукт из свинины копчено-вареный категории Б.</v>
          </cell>
          <cell r="K312"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312">
            <v>15</v>
          </cell>
          <cell r="M312">
            <v>5</v>
          </cell>
          <cell r="N312">
            <v>4</v>
          </cell>
          <cell r="O312" t="str">
            <v>121/508</v>
          </cell>
          <cell r="P312" t="str">
            <v>0…+6</v>
          </cell>
          <cell r="Q312">
            <v>45</v>
          </cell>
        </row>
        <row r="313">
          <cell r="B313">
            <v>1001220227411</v>
          </cell>
          <cell r="C313" t="str">
            <v>ДЫМОВИЦА ИЗ ЛОП.к/в с/н в/у 1/100_СТМ МC</v>
          </cell>
          <cell r="D313" t="str">
            <v>ШТ</v>
          </cell>
          <cell r="E313" t="str">
            <v>Колбасные изделия</v>
          </cell>
          <cell r="F313" t="str">
            <v>Копчености</v>
          </cell>
          <cell r="G313" t="str">
            <v>СТМ</v>
          </cell>
          <cell r="H313" t="str">
            <v>ОМПК(О)</v>
          </cell>
          <cell r="I313" t="str">
            <v>ТУ 10.13.14-183-00425283-2026</v>
          </cell>
          <cell r="J313" t="str">
            <v>Мясной продукт из свинины копчено-вареный категории Б.</v>
          </cell>
          <cell r="K313" t="str">
            <v>свинина, вода питьевая, смесь посолочно-нитритная (соль, фиксатор окраски (нитрит натрия)), крахмал картофельный, белок животный (говяжий), регуляторы кислотности (цитраты натрия, трифосфаты), загустители (каррагинан из водорослей EUCHEUMA, ксантановая камедь, модифицированный крахмал), соль, пряности, экстракты пряностей,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v>
          </cell>
          <cell r="L313">
            <v>13</v>
          </cell>
          <cell r="M313">
            <v>5</v>
          </cell>
          <cell r="N313">
            <v>1</v>
          </cell>
          <cell r="O313" t="str">
            <v>101/423</v>
          </cell>
          <cell r="P313" t="str">
            <v>0…+6</v>
          </cell>
          <cell r="Q313">
            <v>30</v>
          </cell>
        </row>
        <row r="314">
          <cell r="B314">
            <v>1001225406754</v>
          </cell>
          <cell r="C314" t="str">
            <v>БАЛЫК И ШЕЙКА с/в с/н мгс 1/90 8шт.</v>
          </cell>
          <cell r="D314" t="str">
            <v>ШТ</v>
          </cell>
          <cell r="E314" t="str">
            <v>Колбасные изделия</v>
          </cell>
          <cell r="F314" t="str">
            <v>Копчености</v>
          </cell>
          <cell r="G314" t="str">
            <v>Останкино</v>
          </cell>
          <cell r="H314" t="str">
            <v>ОМПК(О)</v>
          </cell>
          <cell r="I314" t="str">
            <v>ТУ 10.13.14-184-00425283-2026</v>
          </cell>
          <cell r="J314" t="str">
            <v>Мясные продукты из свинины сыровяленые категории А: мясное ассорти: Балык и Шейка.</v>
          </cell>
          <cell r="K314" t="str">
            <v xml:space="preserve">БАЛЫК: 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ШЕЙКА: 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v>
          </cell>
          <cell r="L314" t="str">
            <v>25
18</v>
          </cell>
          <cell r="M314" t="str">
            <v>3
17</v>
          </cell>
          <cell r="N314" t="str">
            <v>1
2</v>
          </cell>
          <cell r="O314" t="str">
            <v>131/553
233/969</v>
          </cell>
          <cell r="P314" t="str">
            <v>0…+6</v>
          </cell>
          <cell r="Q314">
            <v>60</v>
          </cell>
        </row>
        <row r="315">
          <cell r="B315">
            <v>1001225407181</v>
          </cell>
          <cell r="C315" t="str">
            <v>БАЛЫК И ШЕЙКА ПМ к/з с/н мгс 1/90 8шт.</v>
          </cell>
          <cell r="D315" t="str">
            <v>ШТ</v>
          </cell>
          <cell r="E315" t="str">
            <v>Колбасные изделия</v>
          </cell>
          <cell r="F315" t="str">
            <v>Копчености</v>
          </cell>
          <cell r="G315" t="str">
            <v>Папа может</v>
          </cell>
          <cell r="H315" t="str">
            <v>ОМПК(О)</v>
          </cell>
          <cell r="I315" t="str">
            <v>ТУ 10.13.14-183-00425283-2026</v>
          </cell>
          <cell r="J315" t="str">
            <v>Мясные продукты из свинины копчено-запеченные: мясное ассорти: Балык и Шейка.</v>
          </cell>
          <cell r="K315" t="str">
            <v>БАЛЫК: карбонад свиной,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пряности, экстракты пряностей, сахара, белок животный (говяжий), антиокислитель (аскорбиновая кислота), усилитель вкуса и аромата (глутамат натрия 1-замещенный), ароматизатор.
ШЕЙКА: шейка свиная,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ПРЯНОСТИ, сахара, белок животный (говяжий), антиокислитель (аскорбиновая кислота), усилитель вкуса и аромата (глутамат натрия 1-замещенный), ароматизатор.</v>
          </cell>
          <cell r="L315" t="str">
            <v>15
19</v>
          </cell>
          <cell r="M315" t="str">
            <v>12
4</v>
          </cell>
          <cell r="N315" t="str">
            <v>2
1</v>
          </cell>
          <cell r="O315" t="str">
            <v>176/733
116/488</v>
          </cell>
          <cell r="P315" t="str">
            <v>0…+6</v>
          </cell>
          <cell r="Q315">
            <v>50</v>
          </cell>
        </row>
        <row r="316">
          <cell r="B316">
            <v>1001225416228</v>
          </cell>
          <cell r="C316" t="str">
            <v>МЯСНОЕ АССОРТИ к/з с/н мгс 1/90 10шт.</v>
          </cell>
          <cell r="D316" t="str">
            <v>ШТ</v>
          </cell>
          <cell r="E316" t="str">
            <v>Колбасные изделия</v>
          </cell>
          <cell r="F316" t="str">
            <v>Копчености</v>
          </cell>
          <cell r="G316" t="str">
            <v>Останкино</v>
          </cell>
          <cell r="H316" t="str">
            <v>ОМПК(О)</v>
          </cell>
          <cell r="I316" t="str">
            <v>ТУ 10.13.14-183-00425283-2026</v>
          </cell>
          <cell r="J316" t="str">
            <v>Мясные продукты из свинины копчено-запеченные: Мясное ассорти: Балык и Шейка.</v>
          </cell>
          <cell r="K316" t="str">
            <v>БАЛЫК категории А: карбонад свиной, смесь посолочно-нитритная (соль, фиксатор окраски (нитрит натрия)), перец черный, регуляторы кислотности (пирофосфаты, трифосфаты, цитраты натрия), загустители (каррагинан, гуаровая камедь, ксантановая камедь), сахара, белок животный (говяжий), антиокислитель (аскорбиновая кислота), усилитель вкуса и аромата (глутамат натрия 1-замещенный), ароматизатор.
ШЕЙКА категории Б: шейка свиная, смесь посолочно-нитритная (соль, фиксатор окраски (нитрит натрия)), перец черный молотый, регуляторы кислотности (пирофосфаты, трифосфаты, цитраты натрия), загустители (каррагинан, ксантановая камедь, гуаровая камедь), сахара, белок животный (говяжий), антиокислитель (аскорбиновая кислота), усилитель вкуса и аромата (глутамат натрия 1-замещенный), ароматизатор.</v>
          </cell>
          <cell r="L316" t="str">
            <v>15
19</v>
          </cell>
          <cell r="M316" t="str">
            <v>12
4</v>
          </cell>
          <cell r="N316" t="str">
            <v>2
1</v>
          </cell>
          <cell r="O316" t="str">
            <v>176/733
116/488</v>
          </cell>
          <cell r="P316" t="str">
            <v>0…+6</v>
          </cell>
          <cell r="Q316">
            <v>45</v>
          </cell>
        </row>
        <row r="317">
          <cell r="B317">
            <v>1001225156500</v>
          </cell>
          <cell r="C317" t="str">
            <v>КАРБОНАД к/в с/н в/у 1/150 8шт.</v>
          </cell>
          <cell r="D317" t="str">
            <v>ШТ</v>
          </cell>
          <cell r="E317" t="str">
            <v>Колбасные изделия</v>
          </cell>
          <cell r="F317" t="str">
            <v>Копчености</v>
          </cell>
          <cell r="G317" t="str">
            <v>Останкино</v>
          </cell>
          <cell r="H317" t="str">
            <v>ОМПК(О)</v>
          </cell>
          <cell r="I317" t="str">
            <v>ТУ 10.13.14-183-00425283-2026</v>
          </cell>
          <cell r="J317" t="str">
            <v>Мясной продукт из свинины копчено-вареный категории А.</v>
          </cell>
          <cell r="K317"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7">
            <v>18</v>
          </cell>
          <cell r="M317">
            <v>6</v>
          </cell>
          <cell r="N317">
            <v>1</v>
          </cell>
          <cell r="O317" t="str">
            <v>130/545</v>
          </cell>
          <cell r="P317" t="str">
            <v>0…+6</v>
          </cell>
          <cell r="Q317">
            <v>45</v>
          </cell>
        </row>
        <row r="318">
          <cell r="B318">
            <v>1001225157541</v>
          </cell>
          <cell r="C318" t="str">
            <v>КАРБОНАД к/в с/н мгс 1/100 10шт.</v>
          </cell>
          <cell r="D318" t="str">
            <v>ШТ</v>
          </cell>
          <cell r="E318" t="str">
            <v>Колбасные изделия</v>
          </cell>
          <cell r="F318" t="str">
            <v>Копчености</v>
          </cell>
          <cell r="G318" t="str">
            <v>Останкино</v>
          </cell>
          <cell r="H318" t="str">
            <v>ОМПК(О)</v>
          </cell>
          <cell r="I318" t="str">
            <v>ТУ 10.13.14-183-00425283-2026</v>
          </cell>
          <cell r="J318" t="str">
            <v>Мясной продукт из свинины копчено-вареный категории А.</v>
          </cell>
          <cell r="K318"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8">
            <v>18</v>
          </cell>
          <cell r="M318">
            <v>6</v>
          </cell>
          <cell r="N318">
            <v>1</v>
          </cell>
          <cell r="O318" t="str">
            <v>130/545</v>
          </cell>
          <cell r="P318" t="str">
            <v>0…+6</v>
          </cell>
          <cell r="Q318">
            <v>45</v>
          </cell>
        </row>
        <row r="319">
          <cell r="B319">
            <v>1001225157458</v>
          </cell>
          <cell r="C319" t="str">
            <v>КАРБОНАД Останкино к/в с/н в/у 1/100_Л11</v>
          </cell>
          <cell r="D319" t="str">
            <v>ШТ</v>
          </cell>
          <cell r="E319" t="str">
            <v>Колбасные изделия</v>
          </cell>
          <cell r="F319" t="str">
            <v>Копчености</v>
          </cell>
          <cell r="G319" t="str">
            <v>Останкино</v>
          </cell>
          <cell r="H319" t="str">
            <v>ОМПК(О)</v>
          </cell>
          <cell r="I319" t="str">
            <v>ТУ 10.13.14-183-00425283-2026</v>
          </cell>
          <cell r="J319" t="str">
            <v>Мясной продукт из свинины копчено-вареный категории А.</v>
          </cell>
          <cell r="K319"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9">
            <v>18</v>
          </cell>
          <cell r="M319">
            <v>6</v>
          </cell>
          <cell r="N319">
            <v>1</v>
          </cell>
          <cell r="O319" t="str">
            <v>130/545</v>
          </cell>
          <cell r="P319" t="str">
            <v>0…+6</v>
          </cell>
          <cell r="Q319">
            <v>45</v>
          </cell>
        </row>
        <row r="320">
          <cell r="B320">
            <v>1001225156473</v>
          </cell>
          <cell r="C320" t="str">
            <v>КАРБОНАД к/в с/н в/у 1/100 10шт_Т/СТМ</v>
          </cell>
          <cell r="D320" t="str">
            <v>ШТ</v>
          </cell>
          <cell r="E320" t="str">
            <v>Колбасные изделия</v>
          </cell>
          <cell r="F320" t="str">
            <v>Копчености</v>
          </cell>
          <cell r="G320" t="str">
            <v>СТМ</v>
          </cell>
          <cell r="H320" t="str">
            <v>ОМПК(О)</v>
          </cell>
          <cell r="I320" t="str">
            <v>ТУ 10.13.14-183-00425283-2026</v>
          </cell>
          <cell r="J320" t="str">
            <v>Мясной продукт из свинины копчено-вареный категории А.</v>
          </cell>
          <cell r="K320" t="str">
            <v>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20">
            <v>18</v>
          </cell>
          <cell r="M320">
            <v>6</v>
          </cell>
          <cell r="N320">
            <v>1</v>
          </cell>
          <cell r="O320" t="str">
            <v>130/545</v>
          </cell>
          <cell r="P320" t="str">
            <v>0…+6</v>
          </cell>
          <cell r="Q320">
            <v>45</v>
          </cell>
        </row>
        <row r="321">
          <cell r="B321">
            <v>1001225157412</v>
          </cell>
          <cell r="C321" t="str">
            <v>КАРБОНАД к/в с/н в/у 1/100*10_Х5/СТМ МС</v>
          </cell>
          <cell r="D321" t="str">
            <v>ШТ</v>
          </cell>
          <cell r="E321" t="str">
            <v>Колбасные изделия</v>
          </cell>
          <cell r="F321" t="str">
            <v>Копчености</v>
          </cell>
          <cell r="G321" t="str">
            <v>СТМ</v>
          </cell>
          <cell r="H321" t="str">
            <v>ОМПК(О)</v>
          </cell>
          <cell r="I321" t="str">
            <v>ТУ 10.13.14-183-00425283-2026</v>
          </cell>
          <cell r="J321" t="str">
            <v>Мясной продукт из свинины копчено-вареный категории А.</v>
          </cell>
          <cell r="K321" t="str">
            <v>свинина, вода питьевая, соль, регуляторы кислотности (пирофосфаты, трифосфаты, цитраты натрия), стабилизатор (полифосфаты), белок животный (свиной), сывороточный молочный белок, антиокислитель (аскорбат натрия), смесь посолочно-нитритная (соль, фиксатор окраски (нитрит натрия)), ароматизаторы</v>
          </cell>
          <cell r="L321">
            <v>18</v>
          </cell>
          <cell r="M321">
            <v>10</v>
          </cell>
          <cell r="N321">
            <v>0</v>
          </cell>
          <cell r="O321" t="str">
            <v>162/676</v>
          </cell>
          <cell r="P321" t="str">
            <v>0…+6</v>
          </cell>
          <cell r="Q321">
            <v>45</v>
          </cell>
        </row>
        <row r="322">
          <cell r="B322">
            <v>1001227507499</v>
          </cell>
          <cell r="C322" t="str">
            <v>КАРПАЧЧО ИЗ КУРИЦЫ с/к с/н мгс 1/80_Л10</v>
          </cell>
          <cell r="D322" t="str">
            <v>ШТ</v>
          </cell>
          <cell r="E322" t="str">
            <v>Колбасные изделия</v>
          </cell>
          <cell r="F322" t="str">
            <v>Копчености</v>
          </cell>
          <cell r="G322" t="str">
            <v>Останкино</v>
          </cell>
          <cell r="H322" t="str">
            <v>ОМПК(О)</v>
          </cell>
          <cell r="I322" t="str">
            <v>ТУ 10.13.14-187-00425283-2026</v>
          </cell>
          <cell r="J322" t="str">
            <v>Продукт из мяса кур сырокопченый охлажденный.</v>
          </cell>
          <cell r="K322" t="str">
            <v>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1 -замещенный), ароматизаторы</v>
          </cell>
          <cell r="L322">
            <v>25</v>
          </cell>
          <cell r="M322">
            <v>4</v>
          </cell>
          <cell r="N322">
            <v>1</v>
          </cell>
          <cell r="O322" t="str">
            <v>140/590</v>
          </cell>
          <cell r="P322" t="str">
            <v>0…+6</v>
          </cell>
          <cell r="Q322">
            <v>45</v>
          </cell>
        </row>
        <row r="323">
          <cell r="B323">
            <v>1001220286279</v>
          </cell>
          <cell r="C323" t="str">
            <v>КОРЕЙКА ПО-ОСТ.к/в в/с с/н в/у 1/150_45с</v>
          </cell>
          <cell r="D323" t="str">
            <v>ШТ</v>
          </cell>
          <cell r="E323" t="str">
            <v>Колбасные изделия</v>
          </cell>
          <cell r="F323" t="str">
            <v>Копчености</v>
          </cell>
          <cell r="G323" t="str">
            <v>Останкино</v>
          </cell>
          <cell r="H323" t="str">
            <v>ОМПК(О)</v>
          </cell>
          <cell r="I323" t="str">
            <v>ТУ 10.13.14-183-00425283-2026</v>
          </cell>
          <cell r="J323" t="str">
            <v>Мясной продукт из свинины копчено-вареный категории Б.</v>
          </cell>
          <cell r="K323"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3">
            <v>17</v>
          </cell>
          <cell r="M323">
            <v>10</v>
          </cell>
          <cell r="N323">
            <v>1</v>
          </cell>
          <cell r="O323" t="str">
            <v>162/766</v>
          </cell>
          <cell r="P323" t="str">
            <v>0…+6</v>
          </cell>
          <cell r="Q323">
            <v>45</v>
          </cell>
        </row>
        <row r="324">
          <cell r="B324">
            <v>1001220287459</v>
          </cell>
          <cell r="C324" t="str">
            <v>КОРЕЙКА ПО-ОСТ.к/в в/с с/н в/у 1/100_Л11</v>
          </cell>
          <cell r="D324" t="str">
            <v>ШТ</v>
          </cell>
          <cell r="E324" t="str">
            <v>Колбасные изделия</v>
          </cell>
          <cell r="F324" t="str">
            <v>Копчености</v>
          </cell>
          <cell r="G324" t="str">
            <v>Останкино</v>
          </cell>
          <cell r="H324" t="str">
            <v>ОМПК(О)</v>
          </cell>
          <cell r="I324" t="str">
            <v>ТУ 10.13.14-183-00425283-2026</v>
          </cell>
          <cell r="J324" t="str">
            <v>Мясной продукт из свинины копчено-вареный категории Б.</v>
          </cell>
          <cell r="K324"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4">
            <v>17</v>
          </cell>
          <cell r="M324">
            <v>10</v>
          </cell>
          <cell r="N324">
            <v>1</v>
          </cell>
          <cell r="O324" t="str">
            <v>162/766</v>
          </cell>
          <cell r="P324" t="str">
            <v>0…+6</v>
          </cell>
          <cell r="Q324">
            <v>45</v>
          </cell>
        </row>
        <row r="325">
          <cell r="B325">
            <v>1001220287511</v>
          </cell>
          <cell r="C325" t="str">
            <v>КОРЕЙКА ПО-ОСТ.к/в в/с с/н мгс 1/100_Л11</v>
          </cell>
          <cell r="D325" t="str">
            <v>ШТ</v>
          </cell>
          <cell r="E325" t="str">
            <v>Колбасные изделия</v>
          </cell>
          <cell r="F325" t="str">
            <v>Копчености</v>
          </cell>
          <cell r="G325" t="str">
            <v>Останкино</v>
          </cell>
          <cell r="H325" t="str">
            <v>ОМПК(О)</v>
          </cell>
          <cell r="I325" t="str">
            <v>ТУ 10.13.14-183-00425283-2026</v>
          </cell>
          <cell r="J325" t="str">
            <v>Мясной продукт из свинины копчено-вареный категории Б.</v>
          </cell>
          <cell r="K325"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5">
            <v>17</v>
          </cell>
          <cell r="M325">
            <v>10</v>
          </cell>
          <cell r="N325">
            <v>1</v>
          </cell>
          <cell r="O325" t="str">
            <v>162/766</v>
          </cell>
          <cell r="P325" t="str">
            <v>0…+6</v>
          </cell>
          <cell r="Q325">
            <v>45</v>
          </cell>
        </row>
        <row r="326">
          <cell r="B326">
            <v>1001225157046</v>
          </cell>
          <cell r="C326" t="str">
            <v>КАРБОНАД ЮБ.к/в в/у 1/150*14_Х5/СТМ Верн</v>
          </cell>
          <cell r="D326" t="str">
            <v>ШТ</v>
          </cell>
          <cell r="E326" t="str">
            <v>Колбасные изделия</v>
          </cell>
          <cell r="F326" t="str">
            <v>Копчености</v>
          </cell>
          <cell r="G326" t="str">
            <v>СТМ</v>
          </cell>
          <cell r="H326" t="str">
            <v>ОМПК(О)</v>
          </cell>
          <cell r="I326" t="str">
            <v>ТУ 10.13.14-183-00425283-2026</v>
          </cell>
          <cell r="J326" t="str">
            <v>Мясной продукт из свинины копчено-вареный категории А.</v>
          </cell>
          <cell r="K326" t="str">
            <v>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26">
            <v>18</v>
          </cell>
          <cell r="M326">
            <v>6</v>
          </cell>
          <cell r="N326">
            <v>1</v>
          </cell>
          <cell r="O326" t="str">
            <v>130/545</v>
          </cell>
          <cell r="P326" t="str">
            <v>0…+6</v>
          </cell>
          <cell r="Q326">
            <v>45</v>
          </cell>
        </row>
        <row r="327">
          <cell r="B327">
            <v>1001225637198</v>
          </cell>
          <cell r="C327" t="str">
            <v>ГРУДИНКА ПРЕМИУМ к/в с/н в/у 1/150*8_50с</v>
          </cell>
          <cell r="D327" t="str">
            <v>ШТ</v>
          </cell>
          <cell r="E327" t="str">
            <v>Колбасные изделия</v>
          </cell>
          <cell r="F327" t="str">
            <v>Копчености</v>
          </cell>
          <cell r="G327" t="str">
            <v>Останкино</v>
          </cell>
          <cell r="H327" t="str">
            <v>ОМПК(О)</v>
          </cell>
          <cell r="I327" t="str">
            <v>ТУ 10.13.14-183-00425283-2026</v>
          </cell>
          <cell r="J327" t="str">
            <v>Мясной продукт из свинины копчено-вареный.</v>
          </cell>
          <cell r="K327"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327">
            <v>14</v>
          </cell>
          <cell r="M327">
            <v>25</v>
          </cell>
          <cell r="N327">
            <v>4</v>
          </cell>
          <cell r="O327" t="str">
            <v>297/1231</v>
          </cell>
          <cell r="P327" t="str">
            <v>0…+6</v>
          </cell>
          <cell r="Q327">
            <v>50</v>
          </cell>
        </row>
        <row r="328">
          <cell r="B328">
            <v>1001455347609</v>
          </cell>
          <cell r="C328" t="str">
            <v>СВИНИНА КОПЧЕН. ПМ к/в с/н в/у 1/100_Л11</v>
          </cell>
          <cell r="D328" t="str">
            <v>ШТ</v>
          </cell>
          <cell r="E328" t="str">
            <v>Колбасные изделия</v>
          </cell>
          <cell r="F328" t="str">
            <v>Копчености</v>
          </cell>
          <cell r="G328" t="str">
            <v>Папа может</v>
          </cell>
          <cell r="H328" t="str">
            <v>ОМПК(О)</v>
          </cell>
          <cell r="I328" t="str">
            <v>ТУ 10.13.14-183-00425283-2026</v>
          </cell>
          <cell r="J328" t="str">
            <v>Мясной продукт из свинины копчено-вареный категории Б.</v>
          </cell>
          <cell r="K328"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1 -замещенный), ароматизаторы, краситель (кармины)</v>
          </cell>
          <cell r="L328">
            <v>13</v>
          </cell>
          <cell r="M328">
            <v>15</v>
          </cell>
          <cell r="N328">
            <v>3</v>
          </cell>
          <cell r="O328" t="str">
            <v>199/827</v>
          </cell>
          <cell r="P328" t="str">
            <v>0…+6</v>
          </cell>
          <cell r="Q328">
            <v>45</v>
          </cell>
        </row>
        <row r="329">
          <cell r="B329">
            <v>1001222706818</v>
          </cell>
          <cell r="C329" t="str">
            <v>РУЛЕТ ФИЛЕЙНЫЙ к/в в/у 1/100_Х5/СТМ МФ</v>
          </cell>
          <cell r="D329" t="str">
            <v>ШТ</v>
          </cell>
          <cell r="E329" t="str">
            <v>Колбасные изделия</v>
          </cell>
          <cell r="F329" t="str">
            <v>Копчености</v>
          </cell>
          <cell r="G329" t="str">
            <v>СТМ</v>
          </cell>
          <cell r="H329" t="str">
            <v>ОМПК(О)</v>
          </cell>
          <cell r="I329" t="str">
            <v>ТУ 10.13.14-188-00425283-2026</v>
          </cell>
          <cell r="J329" t="str">
            <v>Продукт из мяса кур копчено-вареный охлажденный.</v>
          </cell>
          <cell r="K329" t="str">
            <v>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v>
          </cell>
          <cell r="L329">
            <v>14</v>
          </cell>
          <cell r="M329" t="str">
            <v>3</v>
          </cell>
          <cell r="N329" t="str">
            <v>2</v>
          </cell>
          <cell r="O329" t="str">
            <v>91/383</v>
          </cell>
          <cell r="P329" t="str">
            <v>0…+6</v>
          </cell>
          <cell r="Q329">
            <v>45</v>
          </cell>
        </row>
        <row r="330">
          <cell r="B330">
            <v>1001227527504</v>
          </cell>
          <cell r="C330" t="str">
            <v>РУЛЕТ НЕЖНЫЙ к/в с/н в/у 1/100_СТМ</v>
          </cell>
          <cell r="D330" t="str">
            <v>ШТ</v>
          </cell>
          <cell r="E330" t="str">
            <v>Колбасные изделия</v>
          </cell>
          <cell r="F330" t="str">
            <v>Копчености</v>
          </cell>
          <cell r="G330" t="str">
            <v>СТМ</v>
          </cell>
          <cell r="H330" t="str">
            <v>ОМПК(О)</v>
          </cell>
          <cell r="I330" t="str">
            <v>ТУ 10.13.14-188-00425283-2026</v>
          </cell>
          <cell r="J330" t="str">
            <v>Продукт из мяса кур копчено-вареный охлажденный.</v>
          </cell>
          <cell r="K330" t="str">
            <v>филе грудок куриных, вода питьевая, смесь посолочно-нитритная (соль, фиксатор окраски (нитрит натрия)), регуляторы кислотности (трифосфаты, пирифосфаты,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v>
          </cell>
          <cell r="L330">
            <v>17</v>
          </cell>
          <cell r="M330">
            <v>2</v>
          </cell>
          <cell r="N330">
            <v>2</v>
          </cell>
          <cell r="O330" t="str">
            <v>94/397</v>
          </cell>
          <cell r="P330" t="str">
            <v>0…+6</v>
          </cell>
          <cell r="Q330">
            <v>45</v>
          </cell>
        </row>
        <row r="331">
          <cell r="B331">
            <v>1001452707614</v>
          </cell>
          <cell r="C331" t="str">
            <v>РУЛЕТ ФИЛЕЙНЫЙ к/в с/н в/у 1/100_Л11</v>
          </cell>
          <cell r="D331" t="str">
            <v>ШТ</v>
          </cell>
          <cell r="E331" t="str">
            <v>Колбасные изделия</v>
          </cell>
          <cell r="F331" t="str">
            <v>Копчености</v>
          </cell>
          <cell r="G331" t="str">
            <v>Останкино</v>
          </cell>
          <cell r="H331" t="str">
            <v>ОМПК(О)</v>
          </cell>
          <cell r="I331" t="str">
            <v>ТУ 10.13.14-188-00425283-2026</v>
          </cell>
          <cell r="J331" t="str">
            <v>Продукт из мяса кур копчено-вареный охлажденный.</v>
          </cell>
          <cell r="K331" t="str">
            <v>филе грудок куриных, вода питьевая, смесь посолочно-нитритная (соль, фиксатор окраски (нитрит натрия)), регуляторы кислотности (трифосфаты, пирофосфаты,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v>
          </cell>
          <cell r="L331">
            <v>17</v>
          </cell>
          <cell r="M331">
            <v>2</v>
          </cell>
          <cell r="N331">
            <v>2</v>
          </cell>
          <cell r="O331" t="str">
            <v>94/397</v>
          </cell>
          <cell r="P331" t="str">
            <v>0…+6</v>
          </cell>
          <cell r="Q331">
            <v>45</v>
          </cell>
        </row>
        <row r="332">
          <cell r="B332">
            <v>1001225156169</v>
          </cell>
          <cell r="C332" t="str">
            <v>КАРБОНАД к/в с/н в/у 1/100*10_Х5/СТМ МФ</v>
          </cell>
          <cell r="D332" t="str">
            <v>ШТ</v>
          </cell>
          <cell r="E332" t="str">
            <v>Колбасные изделия</v>
          </cell>
          <cell r="F332" t="str">
            <v>Копчености</v>
          </cell>
          <cell r="G332" t="str">
            <v>СТМ</v>
          </cell>
          <cell r="H332" t="str">
            <v>ОМПК(О)</v>
          </cell>
          <cell r="I332" t="str">
            <v>ТУ 10.13.14-183-00425283-2026</v>
          </cell>
          <cell r="J332" t="str">
            <v>Мясной продукт из свинины копчено-вареный категории А.</v>
          </cell>
          <cell r="K332" t="str">
            <v>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v>
          </cell>
          <cell r="L332">
            <v>15</v>
          </cell>
          <cell r="M332">
            <v>13</v>
          </cell>
          <cell r="O332" t="str">
            <v xml:space="preserve">177/736 </v>
          </cell>
          <cell r="P332" t="str">
            <v>0…+6</v>
          </cell>
          <cell r="Q332">
            <v>45</v>
          </cell>
        </row>
        <row r="333">
          <cell r="B333">
            <v>1001193915568</v>
          </cell>
          <cell r="C333" t="str">
            <v>ШЕЙКА Останкино с/к с/н в/у 1/100 10шт.</v>
          </cell>
          <cell r="D333" t="str">
            <v>ШТ</v>
          </cell>
          <cell r="E333" t="str">
            <v>Колбасные изделия</v>
          </cell>
          <cell r="F333" t="str">
            <v>Копчености</v>
          </cell>
          <cell r="G333" t="str">
            <v>Останкино</v>
          </cell>
          <cell r="H333" t="str">
            <v>ОМПК(О)</v>
          </cell>
          <cell r="I333" t="str">
            <v>ТУ 10.13.14-146-00425283-2018</v>
          </cell>
          <cell r="J333" t="str">
            <v>Мясной продукт. Изделие из свинины сырокопченое категории А.</v>
          </cell>
          <cell r="K333" t="str">
            <v>шейка свиная, вода, смесь посолочно-нитритная (соль, фиксатор окраски нитрит натрия), соль, сахар, регуляторы кислотности: ацетаты натрия, цитраты натрия, трифосфаты, пирофосфаты, глюконо-дельта-лактон, цитраты кальция, стабилизатор полифосфат, усилитель вкуса и аромата (глутамат натрия), ароматизаторы, уплотнитель сульфат магния, краситель кармины</v>
          </cell>
          <cell r="L333">
            <v>15</v>
          </cell>
          <cell r="M333">
            <v>19</v>
          </cell>
          <cell r="N333">
            <v>0</v>
          </cell>
          <cell r="O333" t="str">
            <v>231/958</v>
          </cell>
          <cell r="P333" t="str">
            <v>0…+6</v>
          </cell>
          <cell r="Q333">
            <v>45</v>
          </cell>
        </row>
        <row r="334">
          <cell r="B334">
            <v>1001107397485</v>
          </cell>
          <cell r="C334" t="str">
            <v>РИЕТ МЯСНОЙ С ГРИБАМИ ПМ п/о 1/150</v>
          </cell>
          <cell r="D334" t="str">
            <v>ШТ</v>
          </cell>
          <cell r="E334" t="str">
            <v>Колбасные изделия</v>
          </cell>
          <cell r="F334" t="str">
            <v>Прочая продукция</v>
          </cell>
          <cell r="G334" t="str">
            <v>Папа может</v>
          </cell>
          <cell r="H334" t="str">
            <v>ОМПК(Г)</v>
          </cell>
          <cell r="I334" t="str">
            <v>ТУ 10.13.14-138-00425283-2026</v>
          </cell>
          <cell r="J334" t="str">
            <v>Мясосодержащий продукт. Изделие колбасное из термически обработанных ингредиентов: паштет.</v>
          </cell>
          <cell r="K334" t="str">
            <v>свинина, филе грудок куриных, мясо цыпленка-бройлера механической обвалки, стабилизатор белковый (шкурка свиная, кожа куриная, вода питьевая), говядина, масло подсолнечное рафинированное дезодорированное, вода питьевая, молоко сухое, желток яичный сухой, грибы сушеные,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волокна пищевые (пшеничные), белок животный (говяжий, свиной), пряности (в т.ч. горчица, сельдерей), антиокислители (аскорбиновая кислота, лимонная кислота), усилитель вкуса и аромата (глутамат натрия 1-замещенный), ароматизаторы, краситель (кармины).</v>
          </cell>
          <cell r="L334">
            <v>10</v>
          </cell>
          <cell r="M334">
            <v>32</v>
          </cell>
          <cell r="N334">
            <v>4</v>
          </cell>
          <cell r="O334" t="str">
            <v>344/1422</v>
          </cell>
          <cell r="P334" t="str">
            <v>0…+6</v>
          </cell>
          <cell r="Q334">
            <v>60</v>
          </cell>
        </row>
        <row r="335">
          <cell r="B335">
            <v>1001201976454</v>
          </cell>
          <cell r="C335" t="str">
            <v>АРОМАТНАЯ с/к с/н в/у 1/100 10шт.</v>
          </cell>
          <cell r="D335" t="str">
            <v>ШТ</v>
          </cell>
          <cell r="E335" t="str">
            <v>Колбасные изделия</v>
          </cell>
          <cell r="F335" t="str">
            <v>С/к колбасы</v>
          </cell>
          <cell r="G335" t="str">
            <v>Останкино</v>
          </cell>
          <cell r="H335" t="str">
            <v>ОМПК(О)
ОМПК(Г)</v>
          </cell>
          <cell r="I335" t="str">
            <v>ТУ 10.13.14-181-00425283-2026</v>
          </cell>
          <cell r="J335" t="str">
            <v>Мясной продукт. Изделие колбасное сырокопченое.</v>
          </cell>
          <cell r="K335"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35">
            <v>19</v>
          </cell>
          <cell r="M335">
            <v>40</v>
          </cell>
          <cell r="N335">
            <v>6</v>
          </cell>
          <cell r="O335" t="str">
            <v>460/1905</v>
          </cell>
          <cell r="P335" t="str">
            <v>0…+6</v>
          </cell>
          <cell r="Q335">
            <v>60</v>
          </cell>
        </row>
        <row r="336">
          <cell r="B336">
            <v>1001061977613</v>
          </cell>
          <cell r="C336" t="str">
            <v>АРОМАТНАЯ с/к с/н в/у 1/100 10шт_Л10</v>
          </cell>
          <cell r="D336" t="str">
            <v>ШТ</v>
          </cell>
          <cell r="E336" t="str">
            <v>Колбасные изделия</v>
          </cell>
          <cell r="F336" t="str">
            <v>С/к колбасы</v>
          </cell>
          <cell r="G336" t="str">
            <v>Останкино</v>
          </cell>
          <cell r="H336" t="str">
            <v xml:space="preserve">ОМПК(О)
</v>
          </cell>
          <cell r="I336" t="str">
            <v>ТУ 10.13.14-181-00425283-2026</v>
          </cell>
          <cell r="J336" t="str">
            <v>Мясной продукт. Изделие колбасное сырокопченое.</v>
          </cell>
          <cell r="K336"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36">
            <v>19</v>
          </cell>
          <cell r="M336">
            <v>40</v>
          </cell>
          <cell r="N336">
            <v>6</v>
          </cell>
          <cell r="O336" t="str">
            <v>460/1905</v>
          </cell>
          <cell r="P336" t="str">
            <v>0…+6</v>
          </cell>
          <cell r="Q336">
            <v>60</v>
          </cell>
        </row>
        <row r="337">
          <cell r="B337">
            <v>1001207647565</v>
          </cell>
          <cell r="C337" t="str">
            <v>АСС: БУРГУНДИЯ И САЛЯМИ с/к с/н мгс 1/90</v>
          </cell>
          <cell r="D337" t="str">
            <v>ШТ</v>
          </cell>
          <cell r="E337" t="str">
            <v>Колбасные изделия</v>
          </cell>
          <cell r="F337" t="str">
            <v>С/к колбасы</v>
          </cell>
          <cell r="G337" t="str">
            <v>Папа может</v>
          </cell>
          <cell r="H337" t="str">
            <v>ОМПК(О)</v>
          </cell>
          <cell r="I337" t="str">
            <v>ТУ 10.13.14-181-00425283-2026</v>
          </cell>
          <cell r="J337" t="str">
            <v>Мясной продукт. Изделие колбасное сырокопченое полусухое с регулятором кислотности: Ассорти колбас: Бургундия и Салями.</v>
          </cell>
          <cell r="K337" t="str">
            <v>БУРГУНДИЯ: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
САЛЯМИ: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v>
          </cell>
          <cell r="L337" t="str">
            <v>20
19</v>
          </cell>
          <cell r="M337" t="str">
            <v>30
30</v>
          </cell>
          <cell r="N337" t="str">
            <v>5
4</v>
          </cell>
          <cell r="O337" t="str">
            <v>370/1535
362/1501</v>
          </cell>
          <cell r="P337" t="str">
            <v>0…+6</v>
          </cell>
          <cell r="Q337">
            <v>60</v>
          </cell>
        </row>
        <row r="338">
          <cell r="B338">
            <v>1001190715677</v>
          </cell>
          <cell r="C338" t="str">
            <v>БРАУНШВЕЙГСКАЯ полусухая с/к в/у 1/100</v>
          </cell>
          <cell r="D338" t="str">
            <v>ШТ</v>
          </cell>
          <cell r="E338" t="str">
            <v>Колбасные изделия</v>
          </cell>
          <cell r="F338" t="str">
            <v>С/к колбасы</v>
          </cell>
          <cell r="G338" t="str">
            <v>Останкино</v>
          </cell>
          <cell r="H338" t="str">
            <v>ОМПК(Г)
ОМПК(О)</v>
          </cell>
          <cell r="I338" t="str">
            <v>ГОСТ Р 55456-2013</v>
          </cell>
          <cell r="J338" t="str">
            <v>Мясной продукт категории А. Изделие колбасное сырокопченое</v>
          </cell>
          <cell r="K338"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38">
            <v>15</v>
          </cell>
          <cell r="M338">
            <v>53</v>
          </cell>
          <cell r="N338">
            <v>0</v>
          </cell>
          <cell r="O338" t="str">
            <v>537/2216</v>
          </cell>
          <cell r="P338" t="str">
            <v>0…+6</v>
          </cell>
          <cell r="Q338">
            <v>60</v>
          </cell>
        </row>
        <row r="339">
          <cell r="B339">
            <v>1001066607626</v>
          </cell>
          <cell r="C339" t="str">
            <v>БРАУНШВЕЙГСКАЯ с/к с/н мгс 1/100_Л10</v>
          </cell>
          <cell r="D339" t="str">
            <v>ШТ</v>
          </cell>
          <cell r="E339" t="str">
            <v>Колбасные изделия</v>
          </cell>
          <cell r="F339" t="str">
            <v>С/к колбасы</v>
          </cell>
          <cell r="G339" t="str">
            <v>Останкино</v>
          </cell>
          <cell r="H339" t="str">
            <v>ОМПК(О)</v>
          </cell>
          <cell r="I339" t="str">
            <v>ГОСТ Р 55456-2013</v>
          </cell>
          <cell r="J339" t="str">
            <v>Мясной продукт категории А. Изделие колбасное сырокопченое</v>
          </cell>
          <cell r="K339"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39">
            <v>15</v>
          </cell>
          <cell r="M339">
            <v>53</v>
          </cell>
          <cell r="N339">
            <v>0</v>
          </cell>
          <cell r="O339" t="str">
            <v>537/2216</v>
          </cell>
          <cell r="P339" t="str">
            <v>0…+6</v>
          </cell>
          <cell r="Q339">
            <v>60</v>
          </cell>
        </row>
        <row r="340">
          <cell r="B340">
            <v>1001206607509</v>
          </cell>
          <cell r="C340" t="str">
            <v>БРАУНШВЕЙГСКАЯ GUTMANN с/к с/н мгс 1/130</v>
          </cell>
          <cell r="D340" t="str">
            <v>ШТ</v>
          </cell>
          <cell r="E340" t="str">
            <v>Колбасные изделия</v>
          </cell>
          <cell r="F340" t="str">
            <v>С/к колбасы</v>
          </cell>
          <cell r="G340" t="str">
            <v>GUTMANN</v>
          </cell>
          <cell r="H340" t="str">
            <v>ОМПК(О)</v>
          </cell>
          <cell r="I340" t="str">
            <v>ГОСТ Р 55456-2013</v>
          </cell>
          <cell r="J340" t="str">
            <v>Мясной продукт категории А. Изделие колбасное сырокопченое</v>
          </cell>
          <cell r="K340"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40">
            <v>15</v>
          </cell>
          <cell r="M340">
            <v>53</v>
          </cell>
          <cell r="N340">
            <v>0</v>
          </cell>
          <cell r="O340" t="str">
            <v>537/2216</v>
          </cell>
          <cell r="P340" t="str">
            <v>0…+6</v>
          </cell>
          <cell r="Q340">
            <v>60</v>
          </cell>
        </row>
        <row r="341">
          <cell r="B341">
            <v>1001203657139</v>
          </cell>
          <cell r="C341" t="str">
            <v>БУРГУНДИЯ ПМ с/к с/н мгс 1/90 14шт.</v>
          </cell>
          <cell r="D341" t="str">
            <v>ШТ</v>
          </cell>
          <cell r="E341" t="str">
            <v>Колбасные изделия</v>
          </cell>
          <cell r="F341" t="str">
            <v>С/к колбасы</v>
          </cell>
          <cell r="G341" t="str">
            <v>Папа может</v>
          </cell>
          <cell r="H341" t="str">
            <v>ОМПК(О)</v>
          </cell>
          <cell r="I341" t="str">
            <v>ТУ 10.13.14-181-00425283-2026</v>
          </cell>
          <cell r="J341" t="str">
            <v>Мясной продукт. Изделие колбасное сырокопченое.</v>
          </cell>
          <cell r="K341" t="str">
            <v>свинина,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пряности, сахара, антиокислители (аскорбиновая кислота, изоаскорбат натрия), гемоглобин, краситель (кармины)</v>
          </cell>
          <cell r="L341">
            <v>20</v>
          </cell>
          <cell r="M341">
            <v>30</v>
          </cell>
          <cell r="N341">
            <v>5</v>
          </cell>
          <cell r="O341" t="str">
            <v>370/1535</v>
          </cell>
          <cell r="P341" t="str">
            <v>0…+6</v>
          </cell>
          <cell r="Q341">
            <v>60</v>
          </cell>
        </row>
        <row r="342">
          <cell r="B342">
            <v>1001205386222</v>
          </cell>
          <cell r="C342" t="str">
            <v>ИТАЛЬЯНСКОЕ АССОРТИ с/в с/н мгс 1/90</v>
          </cell>
          <cell r="D342" t="str">
            <v>ШТ</v>
          </cell>
          <cell r="E342" t="str">
            <v>Колбасные изделия</v>
          </cell>
          <cell r="F342" t="str">
            <v>С/к колбасы</v>
          </cell>
          <cell r="G342" t="str">
            <v>Останкино</v>
          </cell>
          <cell r="H342" t="str">
            <v>ОМПК(О)</v>
          </cell>
          <cell r="I342" t="str">
            <v>ТУ 10.13.14-181-00425283-2026</v>
          </cell>
          <cell r="J342" t="str">
            <v>Мясные продукты. Изделия колбасные сыровяленые полусухие с регулятором кислотности: колбасы Итальянское ассорти.</v>
          </cell>
          <cell r="K342" t="str">
            <v>САН-РЕМО: 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
ПАЛЕРМО: 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изоаскорбат натрия, лимонная кислота), усилитель вкуса и аромата (глутамат натрия 1-замещенный), ароматизаторы, белок молочный, гемоглобин, краситель (кармины).</v>
          </cell>
          <cell r="L342" t="str">
            <v>22
19</v>
          </cell>
          <cell r="M342" t="str">
            <v>28
30</v>
          </cell>
          <cell r="N342" t="str">
            <v>5
6</v>
          </cell>
          <cell r="O342" t="str">
            <v>360/1495
370/1535</v>
          </cell>
          <cell r="P342" t="str">
            <v>0…+6</v>
          </cell>
          <cell r="Q342">
            <v>60</v>
          </cell>
        </row>
        <row r="343">
          <cell r="B343">
            <v>1001205376221</v>
          </cell>
          <cell r="C343" t="str">
            <v>НЕАПОЛИТАНСКИЙ ДУЭТ с/к с/н мгс 1/90</v>
          </cell>
          <cell r="D343" t="str">
            <v>ШТ</v>
          </cell>
          <cell r="E343" t="str">
            <v>Колбасные изделия</v>
          </cell>
          <cell r="F343" t="str">
            <v>С/к колбасы</v>
          </cell>
          <cell r="G343" t="str">
            <v>Останкино</v>
          </cell>
          <cell r="H343" t="str">
            <v>ОМПК(О)</v>
          </cell>
          <cell r="I343" t="str">
            <v>ТУ 10.13.14-181-00425283-2026</v>
          </cell>
          <cell r="J343" t="str">
            <v>Мясной продукт. Изделие колбасное сырокопченое полусухое с регулятором кислотности: Ассорти колбас: Неаполитанский дуэт.</v>
          </cell>
          <cell r="K343" t="str">
            <v>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v>
          </cell>
          <cell r="L343" t="str">
            <v>19
20</v>
          </cell>
          <cell r="M343" t="str">
            <v>30
30</v>
          </cell>
          <cell r="N343" t="str">
            <v>4
5</v>
          </cell>
          <cell r="O343" t="str">
            <v>362/1501
370/1535</v>
          </cell>
          <cell r="P343" t="str">
            <v>0…+6</v>
          </cell>
          <cell r="Q343">
            <v>60</v>
          </cell>
        </row>
        <row r="344">
          <cell r="B344">
            <v>1001205376979</v>
          </cell>
          <cell r="C344" t="str">
            <v>НЕАПОЛИТАНСКИЙ ДУЭТ с/к с/н мгс 1/180</v>
          </cell>
          <cell r="D344" t="str">
            <v>ШТ</v>
          </cell>
          <cell r="E344" t="str">
            <v>Колбасные изделия</v>
          </cell>
          <cell r="F344" t="str">
            <v>С/к колбасы</v>
          </cell>
          <cell r="G344" t="str">
            <v>Останкино</v>
          </cell>
          <cell r="H344" t="str">
            <v>ОМПК(О)</v>
          </cell>
          <cell r="I344" t="str">
            <v>ТУ 10.13.14-181-00425283-2026</v>
          </cell>
          <cell r="J344" t="str">
            <v>Мясной продукт. Изделие колбасное сырокопченое полусухое с регулятором кислотности: Ассорти колбас: Неаполитанский дуэт.</v>
          </cell>
          <cell r="K344" t="str">
            <v>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v>
          </cell>
          <cell r="L344" t="str">
            <v>19
20</v>
          </cell>
          <cell r="M344" t="str">
            <v>30
30</v>
          </cell>
          <cell r="N344" t="str">
            <v>4
5</v>
          </cell>
          <cell r="O344" t="str">
            <v>362/1501
370/1535</v>
          </cell>
          <cell r="P344" t="str">
            <v>0…+6</v>
          </cell>
          <cell r="Q344">
            <v>60</v>
          </cell>
        </row>
        <row r="345">
          <cell r="B345">
            <v>1001206757309</v>
          </cell>
          <cell r="C345" t="str">
            <v>САЛЬЧИЧОН И САЛЯМИ ПМ с/к с/н мгс 1/90</v>
          </cell>
          <cell r="D345" t="str">
            <v>ШТ</v>
          </cell>
          <cell r="E345" t="str">
            <v>Колбасные изделия</v>
          </cell>
          <cell r="F345" t="str">
            <v>С/к колбасы</v>
          </cell>
          <cell r="G345" t="str">
            <v>Папа может</v>
          </cell>
          <cell r="H345" t="str">
            <v>ОМПК(О)</v>
          </cell>
          <cell r="I345" t="str">
            <v>ТУ 10.13.14-181-00425283-2026</v>
          </cell>
          <cell r="J345" t="str">
            <v>Мясной продукт. Изделие колбасное сырокопченое полусухое с регулятором кислотности: Ассорти колбас: Сальчичон и Салями.</v>
          </cell>
          <cell r="K345" t="str">
            <v>САЛЬЧИЧОН: свинина,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 
САЛЯМИ: 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сыворотка молочная сухая, специи,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45" t="str">
            <v>22
19</v>
          </cell>
          <cell r="M345" t="str">
            <v>35
40</v>
          </cell>
          <cell r="N345" t="str">
            <v>4
6</v>
          </cell>
          <cell r="O345" t="str">
            <v>419/1737
460/1905</v>
          </cell>
          <cell r="P345" t="str">
            <v>0…+6</v>
          </cell>
          <cell r="Q345">
            <v>60</v>
          </cell>
        </row>
        <row r="346">
          <cell r="B346">
            <v>1001203107138</v>
          </cell>
          <cell r="C346" t="str">
            <v>САЛЯМИ ПМ с/к с/н мгс 1/90 14шт.</v>
          </cell>
          <cell r="D346" t="str">
            <v>ШТ</v>
          </cell>
          <cell r="E346" t="str">
            <v>Колбасные изделия</v>
          </cell>
          <cell r="F346" t="str">
            <v>С/к колбасы</v>
          </cell>
          <cell r="G346" t="str">
            <v>Папа может</v>
          </cell>
          <cell r="H346" t="str">
            <v>ОМПК(О)</v>
          </cell>
          <cell r="I346" t="str">
            <v>ТУ 10.13.14-181-00425283-2026</v>
          </cell>
          <cell r="J346" t="str">
            <v>Мясной продукт. Изделие колбасное сырокопченое.</v>
          </cell>
          <cell r="K346" t="str">
            <v>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46">
            <v>19</v>
          </cell>
          <cell r="M346">
            <v>40</v>
          </cell>
          <cell r="N346">
            <v>6</v>
          </cell>
          <cell r="O346" t="str">
            <v>460/1905</v>
          </cell>
          <cell r="P346" t="str">
            <v>0…+6</v>
          </cell>
          <cell r="Q346">
            <v>60</v>
          </cell>
        </row>
        <row r="347">
          <cell r="B347">
            <v>1001067867667</v>
          </cell>
          <cell r="C347" t="str">
            <v>САЛЯМИ БЕРЛИНСКАЯ с/к с/н мгс 1/130_Л10</v>
          </cell>
          <cell r="D347" t="str">
            <v>ШТ</v>
          </cell>
          <cell r="E347" t="str">
            <v>Колбасные изделия</v>
          </cell>
          <cell r="F347" t="str">
            <v>С/к колбасы</v>
          </cell>
          <cell r="G347" t="str">
            <v>GUTMANN</v>
          </cell>
          <cell r="H347" t="str">
            <v>ОМПК(О)</v>
          </cell>
          <cell r="I347" t="str">
            <v>ТУ 10.13.14-181-00425283-2026</v>
          </cell>
          <cell r="J347" t="str">
            <v>Мясной продукт. Изделие колбасное сырокопченое.</v>
          </cell>
          <cell r="K347" t="str">
            <v>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v>
          </cell>
          <cell r="L347">
            <v>19</v>
          </cell>
          <cell r="M347">
            <v>30</v>
          </cell>
          <cell r="N347">
            <v>4</v>
          </cell>
          <cell r="O347" t="str">
            <v>362/1501</v>
          </cell>
          <cell r="P347" t="str">
            <v>0…+6</v>
          </cell>
          <cell r="Q347">
            <v>60</v>
          </cell>
        </row>
        <row r="348">
          <cell r="B348">
            <v>1001060757653</v>
          </cell>
          <cell r="C348" t="str">
            <v>ОХОТНИЧЬЯ ПМ с/к с/н мгс 1/100 10шт.</v>
          </cell>
          <cell r="D348" t="str">
            <v>ШТ</v>
          </cell>
          <cell r="E348" t="str">
            <v>Колбасные изделия</v>
          </cell>
          <cell r="F348" t="str">
            <v>С/к колбасы</v>
          </cell>
          <cell r="G348" t="str">
            <v>Папа может</v>
          </cell>
          <cell r="H348" t="str">
            <v>ОМПК(О)</v>
          </cell>
          <cell r="I348" t="str">
            <v>ТУ 10.13.14-140-00425283-2015</v>
          </cell>
          <cell r="J348" t="str">
            <v>Мясной продукт. Изделие колбасное сырокопченое.</v>
          </cell>
          <cell r="K348"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348">
            <v>20</v>
          </cell>
          <cell r="M348">
            <v>40</v>
          </cell>
          <cell r="N348">
            <v>0</v>
          </cell>
          <cell r="O348" t="str">
            <v>462/1911</v>
          </cell>
          <cell r="P348" t="str">
            <v>0…+6</v>
          </cell>
          <cell r="Q348">
            <v>60</v>
          </cell>
        </row>
        <row r="349">
          <cell r="B349">
            <v>1001064447640</v>
          </cell>
          <cell r="C349" t="str">
            <v>ПЕППЕРОНИ с/к с/н мгс 1*8_HRC_90с</v>
          </cell>
          <cell r="D349" t="str">
            <v>КГ</v>
          </cell>
          <cell r="E349" t="str">
            <v>Колбасные изделия</v>
          </cell>
          <cell r="F349" t="str">
            <v>С/к колбасы</v>
          </cell>
          <cell r="G349" t="str">
            <v>Останкино</v>
          </cell>
          <cell r="H349" t="str">
            <v>ОМПК(О)</v>
          </cell>
          <cell r="I349" t="str">
            <v>ТУ 10.13.14-181-00425283-2026</v>
          </cell>
          <cell r="J349" t="str">
            <v>Мясной продукт. Изделие колбасное сырокопченое.</v>
          </cell>
          <cell r="K349" t="str">
            <v>свинина, говядина, шпик, вода питьевая, белок соевый, белок молочный, волокна пищевые (растительные), смесь посолочно-нитритная (соль, фиксатор окраски (нитрит натрия)), перец чили, паприка, тмин, чеснок сушеный молотый, перец черный,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49">
            <v>17</v>
          </cell>
          <cell r="M349">
            <v>40</v>
          </cell>
          <cell r="N349">
            <v>5</v>
          </cell>
          <cell r="O349" t="str">
            <v>448/1854</v>
          </cell>
          <cell r="P349" t="str">
            <v>0…+6</v>
          </cell>
          <cell r="Q349">
            <v>90</v>
          </cell>
        </row>
        <row r="350">
          <cell r="B350">
            <v>1001203107448</v>
          </cell>
          <cell r="C350" t="str">
            <v>САЛЯМИ с/к с/н мгс 1*8_HRC</v>
          </cell>
          <cell r="D350" t="str">
            <v>КГ</v>
          </cell>
          <cell r="E350" t="str">
            <v>Колбасные изделия</v>
          </cell>
          <cell r="F350" t="str">
            <v>С/к колбасы</v>
          </cell>
          <cell r="G350" t="str">
            <v>Без ТМ</v>
          </cell>
          <cell r="H350" t="str">
            <v>ОМПК(О)</v>
          </cell>
          <cell r="I350" t="str">
            <v>ТУ 10.13.14-181-00425283-2026</v>
          </cell>
          <cell r="J350" t="str">
            <v>Мясной продукт. Изделие колбасное сырокопченое.</v>
          </cell>
          <cell r="K350" t="str">
            <v>свинина, шпик, филе грудок куриных, говядина, белок соевый, белок молочный, клетчатка растительная (в т.ч. пшеничная), волокна пищевые, смесь посолочно-нитритная (соль, фиксатор окраски (нитрит натрия)), регуляторы кислотности (пирофосфаты, глюконо-дельта-ланктон, стабилизаторы (трифосфаты), пряности, экстракты пряностей, сахара, соль,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350">
            <v>19</v>
          </cell>
          <cell r="M350">
            <v>40</v>
          </cell>
          <cell r="N350">
            <v>2</v>
          </cell>
          <cell r="O350" t="str">
            <v>444/1837</v>
          </cell>
          <cell r="P350" t="str">
            <v>0…+6</v>
          </cell>
          <cell r="Q350">
            <v>60</v>
          </cell>
        </row>
        <row r="351">
          <cell r="B351">
            <v>1001205596873</v>
          </cell>
          <cell r="C351" t="str">
            <v>ПРАЖСКАЯ с/к с/н в/у 1/100*10_Х5/СТМ МФ</v>
          </cell>
          <cell r="D351" t="str">
            <v>ШТ</v>
          </cell>
          <cell r="E351" t="str">
            <v>Колбасные изделия</v>
          </cell>
          <cell r="F351" t="str">
            <v>С/к колбасы</v>
          </cell>
          <cell r="G351" t="str">
            <v>СТМ</v>
          </cell>
          <cell r="H351" t="str">
            <v>ОМПК(О)</v>
          </cell>
          <cell r="I351" t="str">
            <v>ТУ 10.13.14-181-00425283-2026</v>
          </cell>
          <cell r="J351" t="str">
            <v>Мясной продукт. Изделие колбасное сырокопченое.</v>
          </cell>
          <cell r="K351" t="str">
            <v>свинина, шпик, вода, соевый белок, жир говяжий, смесь посолочно-нитритная (соль, фиксатор окраски нитрит натрия), молочный белок, растительная клетчатка (в т.ч. пшеничная), регулятор кислотности пирофосфаты, специи и экстракты специй, соль, сахара, усилители вкуса и аромата: Е621, Е631; антиокислители: изоаскорбат натрия, аскорбат натрия, аскорбиновая кислота; ароматизатор, красители: кармины, красный рисовый; стартовая культура</v>
          </cell>
          <cell r="L351">
            <v>21</v>
          </cell>
          <cell r="M351">
            <v>48</v>
          </cell>
          <cell r="O351" t="str">
            <v>516/2133</v>
          </cell>
          <cell r="P351" t="str">
            <v>0…+6</v>
          </cell>
          <cell r="Q351">
            <v>60</v>
          </cell>
        </row>
        <row r="352">
          <cell r="B352">
            <v>1001065597628</v>
          </cell>
          <cell r="C352" t="str">
            <v>ПРАЖСКАЯ с/к с/н мгс 1/100*10_Х5/СТМ МФ</v>
          </cell>
          <cell r="D352" t="str">
            <v>ШТ</v>
          </cell>
          <cell r="E352" t="str">
            <v>Колбасные изделия</v>
          </cell>
          <cell r="F352" t="str">
            <v>С/к колбасы</v>
          </cell>
          <cell r="G352" t="str">
            <v>СТМ</v>
          </cell>
          <cell r="H352" t="str">
            <v>ОМПК(О)</v>
          </cell>
          <cell r="I352" t="str">
            <v>ТУ 10.13.14-181-00425283-2026</v>
          </cell>
          <cell r="J352" t="str">
            <v>Мясной продукт. Изделие колбасное сырокопченое.</v>
          </cell>
          <cell r="K352" t="str">
            <v>свинина, шпик, белок соевый, говядина, вода питьевая, белок молочный, клетчатка растительная, смесь посолочно-нитритная (соль, фиксатор окраски (нитрит натрия)), сыворотка молочная сухая, соль, регулятор кислотности (пирофосфаты), специи, экстракты специй, сахара, антиокислители (аскорбиновая кислота, аскорбат натрия, изоаскорбат натрия), усилитель вкуса и аромата Е621, ароматизатор, гемоглобин, краситель (кармины), стартовая культура</v>
          </cell>
          <cell r="L352">
            <v>21</v>
          </cell>
          <cell r="M352">
            <v>41</v>
          </cell>
          <cell r="N352">
            <v>2</v>
          </cell>
          <cell r="O352" t="str">
            <v>461/1908</v>
          </cell>
          <cell r="P352" t="str">
            <v>0…+6</v>
          </cell>
          <cell r="Q352">
            <v>60</v>
          </cell>
        </row>
        <row r="353">
          <cell r="B353">
            <v>1001205246619</v>
          </cell>
          <cell r="C353" t="str">
            <v>ФИРМЕННАЯ КОПЧ.НА БУКЕ с/к с/н в/у 1/150</v>
          </cell>
          <cell r="D353" t="str">
            <v>ШТ</v>
          </cell>
          <cell r="E353" t="str">
            <v>Колбасные изделия</v>
          </cell>
          <cell r="F353" t="str">
            <v>С/к колбасы</v>
          </cell>
          <cell r="G353" t="str">
            <v>Папа может</v>
          </cell>
          <cell r="H353" t="str">
            <v>ОМПК(Г)</v>
          </cell>
          <cell r="I353" t="str">
            <v>ТУ 10.13.14-181-00425283-2026</v>
          </cell>
          <cell r="J353" t="str">
            <v>Мясной продукт. Изделие колбасное сырокопченое.</v>
          </cell>
          <cell r="K353" t="str">
            <v>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53">
            <v>19</v>
          </cell>
          <cell r="M353">
            <v>40</v>
          </cell>
          <cell r="N353">
            <v>6</v>
          </cell>
          <cell r="O353" t="str">
            <v>460/1905</v>
          </cell>
          <cell r="P353" t="str">
            <v>0…+6</v>
          </cell>
          <cell r="Q353">
            <v>60</v>
          </cell>
        </row>
        <row r="354">
          <cell r="B354">
            <v>1001205247286</v>
          </cell>
          <cell r="C354" t="str">
            <v>ФИРМЕННАЯ КОПЧ.НА БУКЕ с/к с/н мгс 1/150</v>
          </cell>
          <cell r="D354" t="str">
            <v>ШТ</v>
          </cell>
          <cell r="E354" t="str">
            <v>Колбасные изделия</v>
          </cell>
          <cell r="F354" t="str">
            <v>С/к колбасы</v>
          </cell>
          <cell r="G354" t="str">
            <v>Папа может</v>
          </cell>
          <cell r="H354" t="str">
            <v>ОМПК(О)</v>
          </cell>
          <cell r="I354" t="str">
            <v>ТУ 9213-140-00425283-2015</v>
          </cell>
          <cell r="J354" t="str">
            <v>Мясной продукт. Изделие колбасное сырокопченое.</v>
          </cell>
          <cell r="K354" t="str">
            <v>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v>
          </cell>
          <cell r="L354">
            <v>21</v>
          </cell>
          <cell r="M354">
            <v>41</v>
          </cell>
          <cell r="N354">
            <v>1</v>
          </cell>
          <cell r="O354" t="str">
            <v>457/1891</v>
          </cell>
          <cell r="P354" t="str">
            <v>0…+6</v>
          </cell>
          <cell r="Q354">
            <v>60</v>
          </cell>
        </row>
        <row r="355">
          <cell r="B355">
            <v>1001190765679</v>
          </cell>
          <cell r="C355" t="str">
            <v>САЛЯМИ ИТАЛЬЯНСКАЯ с/к в/у 1/150_60с</v>
          </cell>
          <cell r="D355" t="str">
            <v>ШТ</v>
          </cell>
          <cell r="E355" t="str">
            <v>Колбасные изделия</v>
          </cell>
          <cell r="F355" t="str">
            <v>С/к колбасы</v>
          </cell>
          <cell r="G355" t="str">
            <v>Останкино</v>
          </cell>
          <cell r="H355" t="str">
            <v>ОМПК(Г)</v>
          </cell>
          <cell r="I355" t="str">
            <v>ТУ 10.13.14-181-00425283-2026</v>
          </cell>
          <cell r="J355" t="str">
            <v>Мясной продукт. Изделие колбасное сырокопченое.</v>
          </cell>
          <cell r="K355"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355">
            <v>18</v>
          </cell>
          <cell r="M355">
            <v>42</v>
          </cell>
          <cell r="N355">
            <v>5</v>
          </cell>
          <cell r="O355" t="str">
            <v>470/1945</v>
          </cell>
          <cell r="P355" t="str">
            <v>0…+6</v>
          </cell>
          <cell r="Q355">
            <v>60</v>
          </cell>
        </row>
        <row r="356">
          <cell r="B356">
            <v>1001190765681</v>
          </cell>
          <cell r="C356" t="str">
            <v>САЛЯМИ ИТАЛЬЯНСКАЯ с/к в/у 1/150_СНГ_60с</v>
          </cell>
          <cell r="D356" t="str">
            <v>ШТ</v>
          </cell>
          <cell r="E356" t="str">
            <v>Колбасные изделия</v>
          </cell>
          <cell r="F356" t="str">
            <v>С/к колбасы</v>
          </cell>
          <cell r="G356" t="str">
            <v>Останкино</v>
          </cell>
          <cell r="H356" t="str">
            <v>ОМПК(О)</v>
          </cell>
          <cell r="I356" t="str">
            <v>ТУ 10.13.14-181-00425283-2026</v>
          </cell>
          <cell r="J356" t="str">
            <v>Мясной продукт. Изделие колбасное сырокопченое.</v>
          </cell>
          <cell r="K356"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356">
            <v>18</v>
          </cell>
          <cell r="M356">
            <v>42</v>
          </cell>
          <cell r="N356">
            <v>5</v>
          </cell>
          <cell r="O356" t="str">
            <v>470/1945</v>
          </cell>
          <cell r="P356" t="str">
            <v>0…+6</v>
          </cell>
          <cell r="Q356">
            <v>60</v>
          </cell>
        </row>
        <row r="357">
          <cell r="B357">
            <v>1001203117382</v>
          </cell>
          <cell r="C357" t="str">
            <v>САЛЯМИ МЕЛКОЗЕРНЕНАЯ с/к в/у 1/120 8шт.</v>
          </cell>
          <cell r="D357" t="str">
            <v>ШТ</v>
          </cell>
          <cell r="E357" t="str">
            <v>Колбасные изделия</v>
          </cell>
          <cell r="F357" t="str">
            <v>С/к колбасы</v>
          </cell>
          <cell r="G357" t="str">
            <v>Останкино</v>
          </cell>
          <cell r="H357" t="str">
            <v>ОМПК(Г)</v>
          </cell>
          <cell r="I357" t="str">
            <v>ТУ 10.13.14-181-00425283-2026</v>
          </cell>
          <cell r="J357" t="str">
            <v>Мясной продукт. Изделие колбасное сырокопченое.</v>
          </cell>
          <cell r="K35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57">
            <v>17</v>
          </cell>
          <cell r="M357">
            <v>40</v>
          </cell>
          <cell r="N357">
            <v>6</v>
          </cell>
          <cell r="O357" t="str">
            <v>452/1871</v>
          </cell>
          <cell r="P357" t="str">
            <v>0…+6</v>
          </cell>
          <cell r="Q357">
            <v>60</v>
          </cell>
        </row>
        <row r="358">
          <cell r="B358">
            <v>1001203117267</v>
          </cell>
          <cell r="C358" t="str">
            <v>САЛЯМИ МЕЛКОЗЕРНЕНАЯ ПМ с/к в/у 1/120</v>
          </cell>
          <cell r="D358" t="str">
            <v>ШТ</v>
          </cell>
          <cell r="E358" t="str">
            <v>Колбасные изделия</v>
          </cell>
          <cell r="F358" t="str">
            <v>С/к колбасы</v>
          </cell>
          <cell r="G358" t="str">
            <v>Папа может</v>
          </cell>
          <cell r="H358" t="str">
            <v>ОМПК(Г)</v>
          </cell>
          <cell r="I358" t="str">
            <v>ТУ 10.13.14-181-00425283-2026</v>
          </cell>
          <cell r="J358" t="str">
            <v>Мясной продукт. Изделие колбасное сырокопченое.</v>
          </cell>
          <cell r="K358" t="str">
            <v>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58">
            <v>17</v>
          </cell>
          <cell r="M358">
            <v>40</v>
          </cell>
          <cell r="N358">
            <v>6</v>
          </cell>
          <cell r="O358" t="str">
            <v>452/1871</v>
          </cell>
          <cell r="P358" t="str">
            <v>0…+6</v>
          </cell>
          <cell r="Q358">
            <v>60</v>
          </cell>
        </row>
        <row r="359">
          <cell r="B359">
            <v>1001202506442</v>
          </cell>
          <cell r="C359" t="str">
            <v>ЭКСТРА Папа может с/к с/н в/у 1/100_СНГ</v>
          </cell>
          <cell r="D359" t="str">
            <v>ШТ</v>
          </cell>
          <cell r="E359" t="str">
            <v>Колбасные изделия</v>
          </cell>
          <cell r="F359" t="str">
            <v>С/к колбасы</v>
          </cell>
          <cell r="G359" t="str">
            <v>Папа может</v>
          </cell>
          <cell r="H359" t="str">
            <v>ОМПК(О)</v>
          </cell>
          <cell r="I359" t="str">
            <v>ТУ 10.13.14-181-00425283-2026</v>
          </cell>
          <cell r="J359" t="str">
            <v>Мясной продукт. Изделие колбасное сырокопченое.</v>
          </cell>
          <cell r="K359"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59">
            <v>18</v>
          </cell>
          <cell r="M359">
            <v>38</v>
          </cell>
          <cell r="N359">
            <v>3</v>
          </cell>
          <cell r="O359" t="str">
            <v>426/1763</v>
          </cell>
          <cell r="P359" t="str">
            <v>0…+6</v>
          </cell>
          <cell r="Q359">
            <v>60</v>
          </cell>
        </row>
        <row r="360">
          <cell r="B360">
            <v>1001062507627</v>
          </cell>
          <cell r="C360" t="str">
            <v>ЭКСТРА ПМ с/к с/н в/у 1/100 10шт_СНГ_Л10</v>
          </cell>
          <cell r="D360" t="str">
            <v>ШТ</v>
          </cell>
          <cell r="E360" t="str">
            <v>Колбасные изделия</v>
          </cell>
          <cell r="F360" t="str">
            <v>С/к колбасы</v>
          </cell>
          <cell r="G360" t="str">
            <v>Папа может</v>
          </cell>
          <cell r="H360" t="str">
            <v>ОМПК(О)</v>
          </cell>
          <cell r="I360" t="str">
            <v>ТУ 10.13.14-181-00425283-2026</v>
          </cell>
          <cell r="J360" t="str">
            <v>Мясной продукт. Изделие колбасное сырокопченое.</v>
          </cell>
          <cell r="K360"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60">
            <v>18</v>
          </cell>
          <cell r="M360">
            <v>38</v>
          </cell>
          <cell r="N360">
            <v>3</v>
          </cell>
          <cell r="O360" t="str">
            <v>426/1763</v>
          </cell>
          <cell r="P360" t="str">
            <v>0…+6</v>
          </cell>
          <cell r="Q360">
            <v>60</v>
          </cell>
        </row>
        <row r="361">
          <cell r="B361">
            <v>1001062507616</v>
          </cell>
          <cell r="C361" t="str">
            <v>ЭКСТРА Папа может с/к с/н в/у 1/100_Л10</v>
          </cell>
          <cell r="D361" t="str">
            <v>ШТ</v>
          </cell>
          <cell r="E361" t="str">
            <v>Колбасные изделия</v>
          </cell>
          <cell r="F361" t="str">
            <v>С/к колбасы</v>
          </cell>
          <cell r="G361" t="str">
            <v>Папа может</v>
          </cell>
          <cell r="H361" t="str">
            <v xml:space="preserve">ОМПК(О)
</v>
          </cell>
          <cell r="I361" t="str">
            <v>ТУ 10.13.14-140-00425283-2015</v>
          </cell>
          <cell r="J361" t="str">
            <v>Мясной продукт. Изделие колбасное сырокопченое.</v>
          </cell>
          <cell r="K361"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361">
            <v>23</v>
          </cell>
          <cell r="M361">
            <v>32</v>
          </cell>
          <cell r="N361">
            <v>0</v>
          </cell>
          <cell r="O361" t="str">
            <v>380/1575</v>
          </cell>
          <cell r="P361" t="str">
            <v>0…+6</v>
          </cell>
          <cell r="Q361">
            <v>60</v>
          </cell>
        </row>
        <row r="362">
          <cell r="B362">
            <v>1001202507218</v>
          </cell>
          <cell r="C362" t="str">
            <v>Z-ЭКСТРА Папа может с/к с/н в/у 1/100</v>
          </cell>
          <cell r="D362" t="str">
            <v>ШТ</v>
          </cell>
          <cell r="E362" t="str">
            <v>Колбасные изделия</v>
          </cell>
          <cell r="F362" t="str">
            <v>С/к колбасы</v>
          </cell>
          <cell r="G362" t="str">
            <v>Папа может</v>
          </cell>
          <cell r="H362" t="str">
            <v>ОМПК(Г)</v>
          </cell>
          <cell r="I362" t="str">
            <v>ТУ 9213-140-00425283-2015</v>
          </cell>
          <cell r="J362" t="str">
            <v>Мясной продукт. Изделие колбасное сырокопченое.</v>
          </cell>
          <cell r="K362"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362">
            <v>23</v>
          </cell>
          <cell r="M362">
            <v>32</v>
          </cell>
          <cell r="O362" t="str">
            <v>380/1575</v>
          </cell>
          <cell r="P362" t="str">
            <v>0…+6</v>
          </cell>
          <cell r="Q362">
            <v>60</v>
          </cell>
        </row>
        <row r="363">
          <cell r="B363">
            <v>1001202507491</v>
          </cell>
          <cell r="C363" t="str">
            <v>ЭКСТРА с/к с/н мгс 1*2_HRC</v>
          </cell>
          <cell r="D363" t="str">
            <v>КГ</v>
          </cell>
          <cell r="E363" t="str">
            <v>Колбасные изделия</v>
          </cell>
          <cell r="F363" t="str">
            <v>С/к колбасы</v>
          </cell>
          <cell r="G363" t="str">
            <v>Без ТМ</v>
          </cell>
          <cell r="H363" t="str">
            <v>ОМПК(О)</v>
          </cell>
          <cell r="I363" t="str">
            <v>ТУ 10.13.14-181-00425283-2026</v>
          </cell>
          <cell r="J363" t="str">
            <v>Мясной продукт. Изделие колбасное сырокопченое.</v>
          </cell>
          <cell r="K363"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63">
            <v>18</v>
          </cell>
          <cell r="M363">
            <v>38</v>
          </cell>
          <cell r="N363">
            <v>3</v>
          </cell>
          <cell r="O363" t="str">
            <v>426/1763</v>
          </cell>
          <cell r="P363" t="str">
            <v>0…+6</v>
          </cell>
          <cell r="Q363">
            <v>60</v>
          </cell>
        </row>
        <row r="364">
          <cell r="B364">
            <v>1001223907047</v>
          </cell>
          <cell r="C364" t="str">
            <v>БАЛЫК с/к с/н в/у 1/150*14_Х5/СТМ Вернер</v>
          </cell>
          <cell r="D364" t="str">
            <v>ШТ</v>
          </cell>
          <cell r="E364" t="str">
            <v>Колбасные изделия</v>
          </cell>
          <cell r="F364" t="str">
            <v>Копчености</v>
          </cell>
          <cell r="G364" t="str">
            <v>СТМ</v>
          </cell>
          <cell r="H364" t="str">
            <v>ОМПК(О)</v>
          </cell>
          <cell r="I364" t="str">
            <v>ТУ 10.13.14-184-00425283-2026</v>
          </cell>
          <cell r="J364" t="str">
            <v>Мясной продукт из свинины сырокопченый категории А.</v>
          </cell>
          <cell r="K364"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4">
            <v>21</v>
          </cell>
          <cell r="M364">
            <v>4</v>
          </cell>
          <cell r="N364">
            <v>1</v>
          </cell>
          <cell r="O364" t="str">
            <v>124/522</v>
          </cell>
          <cell r="P364" t="str">
            <v>0…+6</v>
          </cell>
          <cell r="Q364">
            <v>45</v>
          </cell>
        </row>
        <row r="365">
          <cell r="B365">
            <v>1001223907288</v>
          </cell>
          <cell r="C365" t="str">
            <v>БАЛЫК с/к с/н в/у 1/100 10шт.</v>
          </cell>
          <cell r="D365" t="str">
            <v>ШТ</v>
          </cell>
          <cell r="E365" t="str">
            <v>Колбасные изделия</v>
          </cell>
          <cell r="F365" t="str">
            <v>Копчености</v>
          </cell>
          <cell r="G365" t="str">
            <v>Останкино</v>
          </cell>
          <cell r="H365" t="str">
            <v>ОМПК(О)</v>
          </cell>
          <cell r="I365" t="str">
            <v>ТУ 10.13.14-184-00425283-2026</v>
          </cell>
          <cell r="J365" t="str">
            <v>Мясной продукт из свинины сырокопченый категории А.</v>
          </cell>
          <cell r="K365"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5">
            <v>19</v>
          </cell>
          <cell r="M365">
            <v>5</v>
          </cell>
          <cell r="N365">
            <v>0</v>
          </cell>
          <cell r="O365" t="str">
            <v>121/508</v>
          </cell>
          <cell r="P365" t="str">
            <v>0…+6</v>
          </cell>
          <cell r="Q365">
            <v>60</v>
          </cell>
        </row>
        <row r="366">
          <cell r="B366">
            <v>1001453907612</v>
          </cell>
          <cell r="C366" t="str">
            <v>БАЛЫК с/к с/н в/у 1/100 10шт_Л11</v>
          </cell>
          <cell r="D366" t="str">
            <v>ШТ</v>
          </cell>
          <cell r="E366" t="str">
            <v>Колбасные изделия</v>
          </cell>
          <cell r="F366" t="str">
            <v>Копчености</v>
          </cell>
          <cell r="G366" t="str">
            <v>Останкино</v>
          </cell>
          <cell r="H366" t="str">
            <v>ОМПК(О)</v>
          </cell>
          <cell r="I366" t="str">
            <v>ТУ 10.13.14-184-00425283-2026</v>
          </cell>
          <cell r="J366" t="str">
            <v>Мясной продукт из свинины сырокопченый категории А.</v>
          </cell>
          <cell r="K366"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6">
            <v>19</v>
          </cell>
          <cell r="M366">
            <v>5</v>
          </cell>
          <cell r="N366">
            <v>0</v>
          </cell>
          <cell r="O366" t="str">
            <v>121/508</v>
          </cell>
          <cell r="P366" t="str">
            <v>0…+6</v>
          </cell>
          <cell r="Q366">
            <v>60</v>
          </cell>
        </row>
        <row r="367">
          <cell r="B367">
            <v>1001227547508</v>
          </cell>
          <cell r="C367" t="str">
            <v>КОРЕЙКА GUTMANN с/к с/н мгс 1/130</v>
          </cell>
          <cell r="D367" t="str">
            <v>ШТ</v>
          </cell>
          <cell r="E367" t="str">
            <v>Колбасные изделия</v>
          </cell>
          <cell r="F367" t="str">
            <v>Копчености</v>
          </cell>
          <cell r="G367" t="str">
            <v>GUTMANN</v>
          </cell>
          <cell r="H367" t="str">
            <v>ОМПК(О)</v>
          </cell>
          <cell r="I367" t="str">
            <v>ТУ 10.13.14-184-00425283-2026</v>
          </cell>
          <cell r="J367" t="str">
            <v>Мясной продукт из свинины сырокопченый категории А.</v>
          </cell>
          <cell r="K367" t="str">
            <v>корейка свиная,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7">
            <v>21</v>
          </cell>
          <cell r="M367">
            <v>4</v>
          </cell>
          <cell r="N367">
            <v>1</v>
          </cell>
          <cell r="O367" t="str">
            <v>124/522</v>
          </cell>
          <cell r="P367" t="str">
            <v>0…+6</v>
          </cell>
          <cell r="Q367">
            <v>45</v>
          </cell>
        </row>
        <row r="368">
          <cell r="B368">
            <v>1001223297053</v>
          </cell>
          <cell r="C368" t="str">
            <v>БЕКОН ДЛЯ КУЛИНАРИИ с/к с/н мгс 1*2_HRC</v>
          </cell>
          <cell r="D368" t="str">
            <v>КГ</v>
          </cell>
          <cell r="E368" t="str">
            <v>Колбасные изделия</v>
          </cell>
          <cell r="F368" t="str">
            <v>Копчености</v>
          </cell>
          <cell r="G368" t="str">
            <v>Без ТМ</v>
          </cell>
          <cell r="H368" t="str">
            <v>ОМПК(О)</v>
          </cell>
          <cell r="I368" t="str">
            <v>ТУ 10.13.14-184-00425283-2026</v>
          </cell>
          <cell r="J368" t="str">
            <v>Мясной продукт из свинины сырокопченый категории Б.</v>
          </cell>
          <cell r="K368" t="str">
            <v>грудинка свиная, смесь посолочно-нитритная (соль, фиксатор окраски (нитрит натрия)), регуляторы кислотности (трифосфаты, цитраты натрия), специи, экстракты специй (в т.ч. сельдерей), сахара, антиокислитель (аскорбат натрия), усилитель вкуса и аромата (глутамат натрия 1-замещенный)</v>
          </cell>
          <cell r="L368">
            <v>14</v>
          </cell>
          <cell r="M368">
            <v>28</v>
          </cell>
          <cell r="N368">
            <v>2</v>
          </cell>
          <cell r="O368" t="str">
            <v>316/1308</v>
          </cell>
          <cell r="P368" t="str">
            <v>0…+6</v>
          </cell>
          <cell r="Q368">
            <v>30</v>
          </cell>
        </row>
        <row r="369">
          <cell r="B369">
            <v>1001223297103</v>
          </cell>
          <cell r="C369" t="str">
            <v>БЕКОН Останкино с/к с/н в/у 1/180_50с</v>
          </cell>
          <cell r="D369" t="str">
            <v>ШТ</v>
          </cell>
          <cell r="E369" t="str">
            <v>Колбасные изделия</v>
          </cell>
          <cell r="F369" t="str">
            <v>Копчености</v>
          </cell>
          <cell r="G369" t="str">
            <v>Останкино</v>
          </cell>
          <cell r="H369" t="str">
            <v>ОМПК(О)</v>
          </cell>
          <cell r="I369" t="str">
            <v>ТУ 10.13.14-184-00425283-2026</v>
          </cell>
          <cell r="J369" t="str">
            <v>Мясной продукт из свинины сырокопченый категории Б.</v>
          </cell>
          <cell r="K369"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69">
            <v>14</v>
          </cell>
          <cell r="M369">
            <v>28</v>
          </cell>
          <cell r="N369">
            <v>2</v>
          </cell>
          <cell r="O369" t="str">
            <v>316/1308</v>
          </cell>
          <cell r="P369" t="str">
            <v>0…+6</v>
          </cell>
          <cell r="Q369">
            <v>50</v>
          </cell>
        </row>
        <row r="370">
          <cell r="B370">
            <v>1001223297104</v>
          </cell>
          <cell r="C370" t="str">
            <v>БЕКОН Останкино с/к с/н в/у 1/180_СНГ_50</v>
          </cell>
          <cell r="D370" t="str">
            <v>ШТ</v>
          </cell>
          <cell r="E370" t="str">
            <v>Колбасные изделия</v>
          </cell>
          <cell r="F370" t="str">
            <v>Копчености</v>
          </cell>
          <cell r="G370" t="str">
            <v>Останкино</v>
          </cell>
          <cell r="H370" t="str">
            <v>ОМПК(О)</v>
          </cell>
          <cell r="I370" t="str">
            <v>ТУ 10.13.14-184-00425283-2026</v>
          </cell>
          <cell r="J370" t="str">
            <v>Мясной продукт из свинины сырокопченый категории Б.</v>
          </cell>
          <cell r="K370"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0">
            <v>14</v>
          </cell>
          <cell r="M370">
            <v>28</v>
          </cell>
          <cell r="N370">
            <v>2</v>
          </cell>
          <cell r="O370" t="str">
            <v>316/1308</v>
          </cell>
          <cell r="P370" t="str">
            <v>0…+6</v>
          </cell>
          <cell r="Q370">
            <v>50</v>
          </cell>
        </row>
        <row r="371">
          <cell r="B371">
            <v>1001223297092</v>
          </cell>
          <cell r="C371" t="str">
            <v>БЕКОН Папа может с/к с/н в/у 1/140_50с</v>
          </cell>
          <cell r="D371" t="str">
            <v>ШТ</v>
          </cell>
          <cell r="E371" t="str">
            <v>Колбасные изделия</v>
          </cell>
          <cell r="F371" t="str">
            <v>Копчености</v>
          </cell>
          <cell r="G371" t="str">
            <v>Папа может</v>
          </cell>
          <cell r="H371" t="str">
            <v>ОМПК(О)</v>
          </cell>
          <cell r="I371" t="str">
            <v>ТУ 10.13.14-184-00425283-2026</v>
          </cell>
          <cell r="J371" t="str">
            <v>Мясной продукт из свинины сырокопченый категории Б.</v>
          </cell>
          <cell r="K371"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1">
            <v>14</v>
          </cell>
          <cell r="M371">
            <v>28</v>
          </cell>
          <cell r="N371">
            <v>2</v>
          </cell>
          <cell r="O371" t="str">
            <v>316/1308</v>
          </cell>
          <cell r="P371" t="str">
            <v>0…+6</v>
          </cell>
          <cell r="Q371">
            <v>50</v>
          </cell>
        </row>
        <row r="372">
          <cell r="B372">
            <v>1001223297031</v>
          </cell>
          <cell r="C372" t="str">
            <v>БЕКОН Папа может с/к с/н в/у 1/215 8шт.</v>
          </cell>
          <cell r="D372" t="str">
            <v>ШТ</v>
          </cell>
          <cell r="E372" t="str">
            <v>Колбасные изделия</v>
          </cell>
          <cell r="F372" t="str">
            <v>Копчености</v>
          </cell>
          <cell r="G372" t="str">
            <v>Папа может</v>
          </cell>
          <cell r="H372" t="str">
            <v>ОМПК(О)</v>
          </cell>
          <cell r="I372" t="str">
            <v>ТУ 10.13.14-184-00425283-2026</v>
          </cell>
          <cell r="J372" t="str">
            <v>Мясной продукт из свинины сырокопченый категории Б.</v>
          </cell>
          <cell r="K372"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2">
            <v>14</v>
          </cell>
          <cell r="M372">
            <v>28</v>
          </cell>
          <cell r="N372">
            <v>2</v>
          </cell>
          <cell r="O372" t="str">
            <v>316/1308</v>
          </cell>
          <cell r="P372" t="str">
            <v>0…+6</v>
          </cell>
          <cell r="Q372">
            <v>50</v>
          </cell>
        </row>
        <row r="373">
          <cell r="B373">
            <v>1001223297093</v>
          </cell>
          <cell r="C373" t="str">
            <v>БЕКОН Папа может с/к с/н в/у 1/250_50с</v>
          </cell>
          <cell r="D373" t="str">
            <v>ШТ</v>
          </cell>
          <cell r="E373" t="str">
            <v>Колбасные изделия</v>
          </cell>
          <cell r="F373" t="str">
            <v>Копчености</v>
          </cell>
          <cell r="G373" t="str">
            <v>Папа может</v>
          </cell>
          <cell r="H373" t="str">
            <v>ОМПК(О)</v>
          </cell>
          <cell r="I373" t="str">
            <v>ТУ 10.13.14-184-00425283-2026</v>
          </cell>
          <cell r="J373" t="str">
            <v>Мясной продукт из свинины сырокопченый категории Б.</v>
          </cell>
          <cell r="K373"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3">
            <v>14</v>
          </cell>
          <cell r="M373">
            <v>28</v>
          </cell>
          <cell r="N373">
            <v>2</v>
          </cell>
          <cell r="O373" t="str">
            <v>316/1308</v>
          </cell>
          <cell r="P373" t="str">
            <v>0…+6</v>
          </cell>
          <cell r="Q373">
            <v>50</v>
          </cell>
        </row>
        <row r="374">
          <cell r="B374">
            <v>1001226877338</v>
          </cell>
          <cell r="C374" t="str">
            <v>ВЕТЧИНА СЫРОКОПЧЕНАЯ с/н в/у 1/100 10шт.</v>
          </cell>
          <cell r="D374" t="str">
            <v>ШТ</v>
          </cell>
          <cell r="E374" t="str">
            <v>Колбасные изделия</v>
          </cell>
          <cell r="F374" t="str">
            <v>Копчености</v>
          </cell>
          <cell r="G374" t="str">
            <v>Останкино</v>
          </cell>
          <cell r="H374" t="str">
            <v>ОМПК(О)</v>
          </cell>
          <cell r="I374" t="str">
            <v>ТУ 10.13.14-184-00425283-2026</v>
          </cell>
          <cell r="J374" t="str">
            <v>Мясной продукт из свинины сырокопченый категории А.</v>
          </cell>
          <cell r="K374"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4">
            <v>16</v>
          </cell>
          <cell r="M374">
            <v>14</v>
          </cell>
          <cell r="N374">
            <v>2</v>
          </cell>
          <cell r="O374" t="str">
            <v>198/824</v>
          </cell>
          <cell r="P374" t="str">
            <v>0…+6</v>
          </cell>
          <cell r="Q374">
            <v>45</v>
          </cell>
        </row>
        <row r="375">
          <cell r="B375">
            <v>1001234916449</v>
          </cell>
          <cell r="C375" t="str">
            <v>МЯСО ПРАЗДНИЧНОЕ с/к с/н в/у 1/100 10шт.</v>
          </cell>
          <cell r="D375" t="str">
            <v>ШТ</v>
          </cell>
          <cell r="E375" t="str">
            <v>Колбасные изделия</v>
          </cell>
          <cell r="F375" t="str">
            <v>Копчености</v>
          </cell>
          <cell r="G375" t="str">
            <v>Останкино</v>
          </cell>
          <cell r="H375" t="str">
            <v>ОМПК(О)</v>
          </cell>
          <cell r="I375" t="str">
            <v>ТУ 10.13.14-184-00425283-2026</v>
          </cell>
          <cell r="J375" t="str">
            <v>Мясной продукт из свинины сырокопченый категории А.</v>
          </cell>
          <cell r="K375" t="str">
            <v>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v>
          </cell>
          <cell r="L375">
            <v>16</v>
          </cell>
          <cell r="M375">
            <v>14</v>
          </cell>
          <cell r="N375">
            <v>2</v>
          </cell>
          <cell r="O375" t="str">
            <v>198/824</v>
          </cell>
          <cell r="P375" t="str">
            <v>0…+6</v>
          </cell>
          <cell r="Q375">
            <v>45</v>
          </cell>
        </row>
        <row r="376">
          <cell r="B376">
            <v>1001234146448</v>
          </cell>
          <cell r="C376" t="str">
            <v>СВИНИНА МАДЕРА с/к с/н в/у 1/100 10шт.</v>
          </cell>
          <cell r="D376" t="str">
            <v>ШТ</v>
          </cell>
          <cell r="E376" t="str">
            <v>Колбасные изделия</v>
          </cell>
          <cell r="F376" t="str">
            <v>Копчености</v>
          </cell>
          <cell r="G376" t="str">
            <v>Останкино</v>
          </cell>
          <cell r="H376" t="str">
            <v>ОМПК(О)</v>
          </cell>
          <cell r="I376" t="str">
            <v>ТУ 10.13.14-184-00425283-2026</v>
          </cell>
          <cell r="J376" t="str">
            <v>Мясной продукт из свинины сырокопченый категории А.</v>
          </cell>
          <cell r="K376"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6">
            <v>16</v>
          </cell>
          <cell r="M376">
            <v>14</v>
          </cell>
          <cell r="N376">
            <v>2</v>
          </cell>
          <cell r="O376" t="str">
            <v>198/824</v>
          </cell>
          <cell r="P376" t="str">
            <v>0…+6</v>
          </cell>
          <cell r="Q376">
            <v>45</v>
          </cell>
        </row>
        <row r="377">
          <cell r="B377">
            <v>1001194145811</v>
          </cell>
          <cell r="C377" t="str">
            <v>СВИНИНА МАДЕРА с/к с/н в/у 1/100 8шт.</v>
          </cell>
          <cell r="D377" t="str">
            <v>ШТ</v>
          </cell>
          <cell r="E377" t="str">
            <v>Колбасные изделия</v>
          </cell>
          <cell r="F377" t="str">
            <v>Копчености</v>
          </cell>
          <cell r="G377" t="str">
            <v>Останкино</v>
          </cell>
          <cell r="H377" t="str">
            <v>ОМПК(О)</v>
          </cell>
          <cell r="I377" t="str">
            <v>ТУ 10.13.14-184-00425283-2026</v>
          </cell>
          <cell r="J377" t="str">
            <v>Мясной продукт из свинины сырокопченый категории А.</v>
          </cell>
          <cell r="K377"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7">
            <v>16</v>
          </cell>
          <cell r="M377">
            <v>14</v>
          </cell>
          <cell r="N377">
            <v>2</v>
          </cell>
          <cell r="O377" t="str">
            <v>198/824</v>
          </cell>
          <cell r="P377" t="str">
            <v>0…+6</v>
          </cell>
          <cell r="Q377">
            <v>45</v>
          </cell>
        </row>
        <row r="378">
          <cell r="B378">
            <v>1001061973986</v>
          </cell>
          <cell r="C378" t="str">
            <v>АРОМАТНАЯ с/к в/у 1/250 8шт.</v>
          </cell>
          <cell r="D378" t="str">
            <v>ШТ</v>
          </cell>
          <cell r="E378" t="str">
            <v>Колбасные изделия</v>
          </cell>
          <cell r="F378" t="str">
            <v>С/к колбасы</v>
          </cell>
          <cell r="G378" t="str">
            <v>Останкино</v>
          </cell>
          <cell r="H378" t="str">
            <v>ОМПК(О)</v>
          </cell>
          <cell r="I378" t="str">
            <v>ТУ 10.13.14-181-00425283-2026</v>
          </cell>
          <cell r="J378" t="str">
            <v>Мясной продукт. Изделие колбасное сырокопченое.</v>
          </cell>
          <cell r="K378"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78">
            <v>19</v>
          </cell>
          <cell r="M378">
            <v>40</v>
          </cell>
          <cell r="N378">
            <v>6</v>
          </cell>
          <cell r="O378" t="str">
            <v>460/1905</v>
          </cell>
          <cell r="P378" t="str">
            <v>0…+6</v>
          </cell>
          <cell r="Q378">
            <v>120</v>
          </cell>
        </row>
        <row r="379">
          <cell r="B379">
            <v>1001061975197</v>
          </cell>
          <cell r="C379" t="str">
            <v>АРОМАТНАЯ с/к в/у 1/250 8шт_СНГ</v>
          </cell>
          <cell r="D379" t="str">
            <v>ШТ</v>
          </cell>
          <cell r="E379" t="str">
            <v>Колбасные изделия</v>
          </cell>
          <cell r="F379" t="str">
            <v>С/к колбасы</v>
          </cell>
          <cell r="G379" t="str">
            <v>Останкино</v>
          </cell>
          <cell r="H379" t="str">
            <v>ОМПК(О)</v>
          </cell>
          <cell r="I379" t="str">
            <v>ТУ 10.13.14-181-00425283-2026</v>
          </cell>
          <cell r="J379" t="str">
            <v>Мясной продукт. Изделие колбасное сырокопченое.</v>
          </cell>
          <cell r="K379"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79">
            <v>19</v>
          </cell>
          <cell r="M379">
            <v>40</v>
          </cell>
          <cell r="N379">
            <v>6</v>
          </cell>
          <cell r="O379" t="str">
            <v>460/1905</v>
          </cell>
          <cell r="P379" t="str">
            <v>0…+6</v>
          </cell>
          <cell r="Q379">
            <v>120</v>
          </cell>
        </row>
        <row r="380">
          <cell r="B380">
            <v>1001061973582</v>
          </cell>
          <cell r="C380" t="str">
            <v>АРОМАТНАЯ с/к в/у_А</v>
          </cell>
          <cell r="D380" t="str">
            <v>КГ</v>
          </cell>
          <cell r="E380" t="str">
            <v>Колбасные изделия</v>
          </cell>
          <cell r="F380" t="str">
            <v>С/к колбасы</v>
          </cell>
          <cell r="G380" t="str">
            <v>Останкино</v>
          </cell>
          <cell r="H380" t="str">
            <v>ОМПК(О)</v>
          </cell>
          <cell r="I380" t="str">
            <v>ТУ 10.13.14-181-00425283-2026</v>
          </cell>
          <cell r="J380" t="str">
            <v>Мясной продукт. Изделие колбасное сырокопченое.</v>
          </cell>
          <cell r="K380"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0">
            <v>19</v>
          </cell>
          <cell r="M380">
            <v>40</v>
          </cell>
          <cell r="N380">
            <v>6</v>
          </cell>
          <cell r="O380" t="str">
            <v>460/1905</v>
          </cell>
          <cell r="P380" t="str">
            <v>0…+12</v>
          </cell>
          <cell r="Q380">
            <v>120</v>
          </cell>
        </row>
        <row r="381">
          <cell r="B381">
            <v>1001061975033</v>
          </cell>
          <cell r="C381" t="str">
            <v>Z-АРОМАТНАЯ с/к в/у</v>
          </cell>
          <cell r="D381" t="str">
            <v>КГ</v>
          </cell>
          <cell r="E381" t="str">
            <v>Колбасные изделия</v>
          </cell>
          <cell r="F381" t="str">
            <v>С/к колбасы</v>
          </cell>
          <cell r="G381" t="str">
            <v>Останкино</v>
          </cell>
          <cell r="H381" t="str">
            <v>ОМПК(О)</v>
          </cell>
          <cell r="I381" t="str">
            <v>ТУ 10.13.14-181-00425283-2026</v>
          </cell>
          <cell r="J381" t="str">
            <v>Мясной продукт. Изделие колбасное сырокопченое.</v>
          </cell>
          <cell r="K381"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1">
            <v>19</v>
          </cell>
          <cell r="M381">
            <v>40</v>
          </cell>
          <cell r="N381">
            <v>6</v>
          </cell>
          <cell r="O381" t="str">
            <v>460/1905</v>
          </cell>
          <cell r="P381" t="str">
            <v>0…+12</v>
          </cell>
          <cell r="Q381">
            <v>120</v>
          </cell>
        </row>
        <row r="382">
          <cell r="B382">
            <v>1001061975909</v>
          </cell>
          <cell r="C382" t="str">
            <v>Z-АРОМАТНАЯ с/к в/у (для нарезки)</v>
          </cell>
          <cell r="D382" t="str">
            <v>КГ</v>
          </cell>
          <cell r="E382" t="str">
            <v>Колбасные изделия</v>
          </cell>
          <cell r="F382" t="str">
            <v>С/к колбасы</v>
          </cell>
          <cell r="G382" t="str">
            <v>Останкино</v>
          </cell>
          <cell r="H382" t="str">
            <v>ОМПК(О)</v>
          </cell>
          <cell r="I382" t="str">
            <v>ТУ 10.13.14-181-00425283-2026</v>
          </cell>
          <cell r="J382" t="str">
            <v>Мясной продукт. Изделие колбасное сырокопченое.</v>
          </cell>
          <cell r="K382"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2">
            <v>19</v>
          </cell>
          <cell r="M382">
            <v>40</v>
          </cell>
          <cell r="N382">
            <v>6</v>
          </cell>
          <cell r="O382" t="str">
            <v>460/1905</v>
          </cell>
          <cell r="P382" t="str">
            <v>0…+12</v>
          </cell>
          <cell r="Q382">
            <v>120</v>
          </cell>
        </row>
        <row r="383">
          <cell r="B383">
            <v>1001061977337</v>
          </cell>
          <cell r="C383" t="str">
            <v>Z-АРОМАТНАЯ мгс в/у (для нарезки 70 мм)</v>
          </cell>
          <cell r="D383" t="str">
            <v>КГ</v>
          </cell>
          <cell r="E383" t="str">
            <v>Колбасные изделия</v>
          </cell>
          <cell r="F383" t="str">
            <v>С/к колбасы</v>
          </cell>
          <cell r="G383" t="str">
            <v>Папа может</v>
          </cell>
          <cell r="H383" t="str">
            <v xml:space="preserve">ОМПК(О)
ОМПК(Г)
</v>
          </cell>
          <cell r="I383" t="str">
            <v>ТУ 10.13.14-181-00425283-2026</v>
          </cell>
          <cell r="J383" t="str">
            <v>Мясной продукт. Изделие колбасное сырокопченое.</v>
          </cell>
          <cell r="K383"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3">
            <v>19</v>
          </cell>
          <cell r="M383">
            <v>40</v>
          </cell>
          <cell r="N383">
            <v>6</v>
          </cell>
          <cell r="O383" t="str">
            <v>460/1905</v>
          </cell>
          <cell r="P383" t="str">
            <v>0…+12</v>
          </cell>
          <cell r="Q383">
            <v>60</v>
          </cell>
        </row>
        <row r="384">
          <cell r="B384">
            <v>1001061974946</v>
          </cell>
          <cell r="C384" t="str">
            <v>Z-АРОМАТНАЯ с/к в/у 1/250</v>
          </cell>
          <cell r="D384" t="str">
            <v>ШТ</v>
          </cell>
          <cell r="E384" t="str">
            <v>Колбасные изделия</v>
          </cell>
          <cell r="F384" t="str">
            <v>С/к колбасы</v>
          </cell>
          <cell r="G384" t="str">
            <v>Останкино</v>
          </cell>
          <cell r="H384" t="str">
            <v>ОМПК(О)</v>
          </cell>
          <cell r="I384" t="str">
            <v>ТУ 10.13.14-181-00425283-2026</v>
          </cell>
          <cell r="J384" t="str">
            <v>Мясной продукт. Изделие колбасное сырокопченое.</v>
          </cell>
          <cell r="K384"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4">
            <v>19</v>
          </cell>
          <cell r="M384">
            <v>40</v>
          </cell>
          <cell r="N384">
            <v>6</v>
          </cell>
          <cell r="O384" t="str">
            <v>460/1905</v>
          </cell>
          <cell r="P384" t="str">
            <v>0…+6</v>
          </cell>
          <cell r="Q384">
            <v>120</v>
          </cell>
        </row>
        <row r="385">
          <cell r="B385">
            <v>1001067017386</v>
          </cell>
          <cell r="C385" t="str">
            <v>БАРСЕЛОНА ПМ с/к в/у 1/150</v>
          </cell>
          <cell r="D385" t="str">
            <v>ШТ</v>
          </cell>
          <cell r="E385" t="str">
            <v>Колбасные изделия</v>
          </cell>
          <cell r="F385" t="str">
            <v>С/к колбасы</v>
          </cell>
          <cell r="G385" t="str">
            <v>Папа может</v>
          </cell>
          <cell r="H385" t="str">
            <v>ОМПК(Г)</v>
          </cell>
          <cell r="I385" t="str">
            <v>ТУ 10.13.14-140-00425283-2015</v>
          </cell>
          <cell r="J385" t="str">
            <v>Мясной продукт. Изделие колбасное сырокопченое.</v>
          </cell>
          <cell r="K385"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5">
            <v>12</v>
          </cell>
          <cell r="M385">
            <v>29</v>
          </cell>
          <cell r="N385">
            <v>3</v>
          </cell>
          <cell r="O385" t="str">
            <v>329/1328</v>
          </cell>
          <cell r="P385" t="str">
            <v>0…+25</v>
          </cell>
          <cell r="Q385">
            <v>90</v>
          </cell>
        </row>
        <row r="386">
          <cell r="B386">
            <v>1001067017671</v>
          </cell>
          <cell r="C386" t="str">
            <v>БАРСЕЛОНА ПМ с/к в/у 1/150 12шт.</v>
          </cell>
          <cell r="D386" t="str">
            <v>ШТ</v>
          </cell>
          <cell r="E386" t="str">
            <v>Колбасные изделия</v>
          </cell>
          <cell r="F386" t="str">
            <v>С/к колбасы</v>
          </cell>
          <cell r="G386" t="str">
            <v>Папа может</v>
          </cell>
          <cell r="H386" t="str">
            <v>ОМПК(Г)</v>
          </cell>
          <cell r="I386" t="str">
            <v>ТУ 10.13.14-140-00425283-2015</v>
          </cell>
          <cell r="J386" t="str">
            <v>Мясной продукт. Изделие колбасное сырокопченое.</v>
          </cell>
          <cell r="K386"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6">
            <v>12</v>
          </cell>
          <cell r="M386">
            <v>29</v>
          </cell>
          <cell r="N386">
            <v>3</v>
          </cell>
          <cell r="O386" t="str">
            <v>329/1328</v>
          </cell>
          <cell r="P386" t="str">
            <v>0…+25</v>
          </cell>
          <cell r="Q386">
            <v>90</v>
          </cell>
        </row>
        <row r="387">
          <cell r="B387">
            <v>1001067017528</v>
          </cell>
          <cell r="C387" t="str">
            <v>Z-БАРСЕЛОНА ПМ с/к в/у 1/150 гр/уп</v>
          </cell>
          <cell r="D387" t="str">
            <v>ШТ</v>
          </cell>
          <cell r="E387" t="str">
            <v>Колбасные изделия</v>
          </cell>
          <cell r="F387" t="str">
            <v>С/к колбасы</v>
          </cell>
          <cell r="G387" t="str">
            <v>Папа может</v>
          </cell>
          <cell r="H387" t="str">
            <v>ОМПК(Г)</v>
          </cell>
          <cell r="I387" t="str">
            <v>ТУ 10.13.14-140-00425283-2015</v>
          </cell>
          <cell r="J387" t="str">
            <v>Мясной продукт. Изделие колбасное сырокопченое.</v>
          </cell>
          <cell r="K387"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7">
            <v>12</v>
          </cell>
          <cell r="M387">
            <v>29</v>
          </cell>
          <cell r="N387">
            <v>3</v>
          </cell>
          <cell r="O387" t="str">
            <v>329/1328</v>
          </cell>
          <cell r="P387" t="str">
            <v>0…+6</v>
          </cell>
          <cell r="Q387">
            <v>30</v>
          </cell>
        </row>
        <row r="388">
          <cell r="B388">
            <v>1001060717143</v>
          </cell>
          <cell r="C388" t="str">
            <v>БРАУНШВЕЙГСКАЯ ГОСТ с/к в/у 1/220 8шт.</v>
          </cell>
          <cell r="D388" t="str">
            <v>ШТ</v>
          </cell>
          <cell r="E388" t="str">
            <v>Колбасные изделия</v>
          </cell>
          <cell r="F388" t="str">
            <v>С/к колбасы</v>
          </cell>
          <cell r="G388" t="str">
            <v>Останкино</v>
          </cell>
          <cell r="H388" t="str">
            <v>ОМПК(Г)
ОМПК(О)</v>
          </cell>
          <cell r="I388" t="str">
            <v>ГОСТ Р 55456-2013</v>
          </cell>
          <cell r="J388" t="str">
            <v>Мясной продукт. Изделие колбасное сырокопченое категории А.</v>
          </cell>
          <cell r="K388"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88">
            <v>15</v>
          </cell>
          <cell r="M388">
            <v>53</v>
          </cell>
          <cell r="O388" t="str">
            <v>537/2216</v>
          </cell>
          <cell r="P388" t="str">
            <v>0…+6</v>
          </cell>
          <cell r="Q388">
            <v>120</v>
          </cell>
        </row>
        <row r="389">
          <cell r="B389">
            <v>1001060714613</v>
          </cell>
          <cell r="C389" t="str">
            <v>БРАУНШВЕЙГСКАЯ полусухая с/к в/у_А</v>
          </cell>
          <cell r="D389" t="str">
            <v>КГ</v>
          </cell>
          <cell r="E389" t="str">
            <v>Колбасные изделия</v>
          </cell>
          <cell r="F389" t="str">
            <v>С/к колбасы</v>
          </cell>
          <cell r="G389" t="str">
            <v>Останкино</v>
          </cell>
          <cell r="H389" t="str">
            <v>ОМПК(О)</v>
          </cell>
          <cell r="I389" t="str">
            <v>ГОСТ Р 55456-2013</v>
          </cell>
          <cell r="J389" t="str">
            <v>Мясной продукт. Изделие колбасное сырокопченое категории А.</v>
          </cell>
          <cell r="K389"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89">
            <v>15</v>
          </cell>
          <cell r="M389">
            <v>53</v>
          </cell>
          <cell r="O389" t="str">
            <v>537/2216</v>
          </cell>
          <cell r="P389" t="str">
            <v>0…+12</v>
          </cell>
          <cell r="Q389">
            <v>120</v>
          </cell>
        </row>
        <row r="390">
          <cell r="B390">
            <v>1001060713765</v>
          </cell>
          <cell r="C390" t="str">
            <v>БРАУНШВЕЙГСКАЯ полусухая с/к в/у_Глобус</v>
          </cell>
          <cell r="D390" t="str">
            <v>КГ</v>
          </cell>
          <cell r="E390" t="str">
            <v>Колбасные изделия</v>
          </cell>
          <cell r="F390" t="str">
            <v>С/к колбасы</v>
          </cell>
          <cell r="G390" t="str">
            <v>Останкино</v>
          </cell>
          <cell r="H390" t="str">
            <v>ОМПК(О)</v>
          </cell>
          <cell r="I390" t="str">
            <v>ГОСТ Р 55456-2013</v>
          </cell>
          <cell r="J390" t="str">
            <v>Мясной продукт. Изделие колбасное сырокопченое категории А.</v>
          </cell>
          <cell r="K390"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0">
            <v>15</v>
          </cell>
          <cell r="M390">
            <v>53</v>
          </cell>
          <cell r="O390" t="str">
            <v>537/2216</v>
          </cell>
          <cell r="P390" t="str">
            <v>0…+12</v>
          </cell>
          <cell r="Q390">
            <v>120</v>
          </cell>
        </row>
        <row r="391">
          <cell r="B391">
            <v>1001060717122</v>
          </cell>
          <cell r="C391" t="str">
            <v>Z-БРАУНШВЕЙГСКАЯ с/к в/у (для нарезки)</v>
          </cell>
          <cell r="D391" t="str">
            <v>КГ</v>
          </cell>
          <cell r="E391" t="str">
            <v>Колбасные изделия</v>
          </cell>
          <cell r="F391" t="str">
            <v>С/к колбасы</v>
          </cell>
          <cell r="G391" t="str">
            <v>Останкино</v>
          </cell>
          <cell r="H391" t="str">
            <v>ОМПК(О)</v>
          </cell>
          <cell r="I391" t="str">
            <v>ГОСТ Р 55456-2013</v>
          </cell>
          <cell r="J391" t="str">
            <v>Мясной продукт. Изделие колбасное сырокопченое категории А.</v>
          </cell>
          <cell r="K391"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1">
            <v>15</v>
          </cell>
          <cell r="M391">
            <v>53</v>
          </cell>
          <cell r="O391" t="str">
            <v>537/2216</v>
          </cell>
          <cell r="P391" t="str">
            <v>0…+12</v>
          </cell>
          <cell r="Q391">
            <v>120</v>
          </cell>
        </row>
        <row r="392">
          <cell r="B392">
            <v>1001060717657</v>
          </cell>
          <cell r="C392" t="str">
            <v>Z-БРАУНШВЕЙГСКАЯ мгс (для нарезки 70 мм)</v>
          </cell>
          <cell r="D392" t="str">
            <v>КГ</v>
          </cell>
          <cell r="E392" t="str">
            <v>Колбасные изделия</v>
          </cell>
          <cell r="F392" t="str">
            <v>С/к колбасы</v>
          </cell>
          <cell r="G392" t="str">
            <v>Останкино</v>
          </cell>
          <cell r="H392" t="str">
            <v>ОМПК(О)</v>
          </cell>
          <cell r="I392" t="str">
            <v>ГОСТ Р 55456-2013</v>
          </cell>
          <cell r="J392" t="str">
            <v>Мясной продукт. Изделие колбасное сырокопченое категории А.</v>
          </cell>
          <cell r="K392"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2">
            <v>15</v>
          </cell>
          <cell r="M392">
            <v>53</v>
          </cell>
          <cell r="O392" t="str">
            <v>537/2216</v>
          </cell>
          <cell r="P392" t="str">
            <v>0…+12</v>
          </cell>
          <cell r="Q392">
            <v>30</v>
          </cell>
        </row>
        <row r="393">
          <cell r="B393">
            <v>1001066607387</v>
          </cell>
          <cell r="C393" t="str">
            <v>Z-БРАУНШВЕЙГСКАЯ ГОСТ с/к в/у 0.44 гр/уп</v>
          </cell>
          <cell r="D393" t="str">
            <v>ШТ</v>
          </cell>
          <cell r="E393" t="str">
            <v>Колбасные изделия</v>
          </cell>
          <cell r="F393" t="str">
            <v>С/к колбасы</v>
          </cell>
          <cell r="G393" t="str">
            <v>Останкино</v>
          </cell>
          <cell r="H393" t="str">
            <v>ОМПК(Г)</v>
          </cell>
          <cell r="I393" t="str">
            <v>ГОСТ Р 55456-2013</v>
          </cell>
          <cell r="J393" t="str">
            <v>Мясной продукт. Изделие колбасное сырокопченое категории А.</v>
          </cell>
          <cell r="K393"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3">
            <v>15</v>
          </cell>
          <cell r="M393">
            <v>53</v>
          </cell>
          <cell r="O393" t="str">
            <v>537/2216</v>
          </cell>
          <cell r="P393" t="str">
            <v>0…+6</v>
          </cell>
          <cell r="Q393">
            <v>30</v>
          </cell>
        </row>
        <row r="394">
          <cell r="B394">
            <v>1001063657544</v>
          </cell>
          <cell r="C394" t="str">
            <v>Z-БУРГУНДИЯ с/к в/у 0.44 гр/уп</v>
          </cell>
          <cell r="D394" t="str">
            <v>ШТ</v>
          </cell>
          <cell r="E394" t="str">
            <v>Колбасные изделия</v>
          </cell>
          <cell r="F394" t="str">
            <v>С/к колбасы</v>
          </cell>
          <cell r="G394" t="str">
            <v>Без ТМ</v>
          </cell>
          <cell r="H394" t="str">
            <v>ОМПК(Г)</v>
          </cell>
          <cell r="I394" t="str">
            <v>ТУ 10.13.14-140-00425283-2015</v>
          </cell>
          <cell r="J394" t="str">
            <v>Мясной продукт. Изделие колбасное сырокопченое.</v>
          </cell>
          <cell r="K394" t="str">
            <v>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v>
          </cell>
          <cell r="L394">
            <v>20</v>
          </cell>
          <cell r="M394">
            <v>40</v>
          </cell>
          <cell r="N394">
            <v>1</v>
          </cell>
          <cell r="O394" t="str">
            <v>444/1837</v>
          </cell>
          <cell r="P394" t="str">
            <v>0…+6</v>
          </cell>
          <cell r="Q394">
            <v>30</v>
          </cell>
        </row>
        <row r="395">
          <cell r="B395">
            <v>1001063657370</v>
          </cell>
          <cell r="C395" t="str">
            <v>Z-БУРГУНДИЯ с/к в/у</v>
          </cell>
          <cell r="D395" t="str">
            <v>КГ</v>
          </cell>
          <cell r="E395" t="str">
            <v>Колбасные изделия</v>
          </cell>
          <cell r="F395" t="str">
            <v>С/к колбасы</v>
          </cell>
          <cell r="G395" t="str">
            <v>Останкино</v>
          </cell>
          <cell r="H395" t="str">
            <v>ОМПК(Г)
ОМПК(О)</v>
          </cell>
          <cell r="I395" t="str">
            <v>ТУ 10.13.14-140-00425283-2015</v>
          </cell>
          <cell r="J395" t="str">
            <v>Мясной продукт. Изделие колбасное сырокопченое.</v>
          </cell>
          <cell r="K395" t="str">
            <v>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сахара, антиокислитель (изоаскорбат натрия), усилитель вкуса и аромата (глутамат натрия), ароматизаторы, краситель (кармины), гемоглобин, стартовая культура</v>
          </cell>
          <cell r="L395">
            <v>10</v>
          </cell>
          <cell r="M395">
            <v>43</v>
          </cell>
          <cell r="N395">
            <v>2</v>
          </cell>
          <cell r="O395" t="str">
            <v>435/1795</v>
          </cell>
          <cell r="P395" t="str">
            <v>0…+12</v>
          </cell>
          <cell r="Q395">
            <v>120</v>
          </cell>
        </row>
        <row r="396">
          <cell r="B396">
            <v>1001063656968</v>
          </cell>
          <cell r="C396" t="str">
            <v>БУРГУНДИЯ Папа может с/к в/у 0.5кг 8шт.</v>
          </cell>
          <cell r="D396" t="str">
            <v>ШТ</v>
          </cell>
          <cell r="E396" t="str">
            <v>Колбасные изделия</v>
          </cell>
          <cell r="F396" t="str">
            <v>С/к колбасы</v>
          </cell>
          <cell r="G396" t="str">
            <v>Папа может</v>
          </cell>
          <cell r="H396" t="str">
            <v>ОМПК(О)</v>
          </cell>
          <cell r="I396" t="str">
            <v>ТУ 10.13.14-181-00425283-2026</v>
          </cell>
          <cell r="J396" t="str">
            <v>Мясной продукт. Изделие колбасное сырокопченое.</v>
          </cell>
          <cell r="K396" t="str">
            <v>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v>
          </cell>
          <cell r="L396">
            <v>22</v>
          </cell>
          <cell r="M396">
            <v>42</v>
          </cell>
          <cell r="N396">
            <v>6</v>
          </cell>
          <cell r="O396" t="str">
            <v>490/2030</v>
          </cell>
          <cell r="P396" t="str">
            <v>0…+12</v>
          </cell>
          <cell r="Q396">
            <v>120</v>
          </cell>
        </row>
        <row r="397">
          <cell r="B397">
            <v>1001063656967</v>
          </cell>
          <cell r="C397" t="str">
            <v>БУРГУНДИЯ Папа может с/к в/у 1/250 8шт.</v>
          </cell>
          <cell r="D397" t="str">
            <v>ШТ</v>
          </cell>
          <cell r="E397" t="str">
            <v>Колбасные изделия</v>
          </cell>
          <cell r="F397" t="str">
            <v>С/к колбасы</v>
          </cell>
          <cell r="G397" t="str">
            <v>Папа может</v>
          </cell>
          <cell r="H397" t="str">
            <v>ОМПК(О)</v>
          </cell>
          <cell r="I397" t="str">
            <v>ТУ 10.13.14-181-00425283-2026</v>
          </cell>
          <cell r="J397" t="str">
            <v>Мясной продукт. Изделие колбасное сырокопченое.</v>
          </cell>
          <cell r="K397" t="str">
            <v>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v>
          </cell>
          <cell r="L397">
            <v>22</v>
          </cell>
          <cell r="M397">
            <v>42</v>
          </cell>
          <cell r="N397">
            <v>6</v>
          </cell>
          <cell r="O397" t="str">
            <v>490/2030</v>
          </cell>
          <cell r="P397" t="str">
            <v>0…+6</v>
          </cell>
          <cell r="Q397">
            <v>120</v>
          </cell>
        </row>
        <row r="398">
          <cell r="B398">
            <v>1001060707471</v>
          </cell>
          <cell r="C398" t="str">
            <v>ЕВРЕЙСКАЯ полусухая ГОСТ срез с/к в/у</v>
          </cell>
          <cell r="D398" t="str">
            <v>КГ</v>
          </cell>
          <cell r="E398" t="str">
            <v>Колбасные изделия</v>
          </cell>
          <cell r="F398" t="str">
            <v>С/к колбасы</v>
          </cell>
          <cell r="G398" t="str">
            <v>Останкино</v>
          </cell>
          <cell r="H398" t="str">
            <v>ОМПК(О)</v>
          </cell>
          <cell r="I398" t="str">
            <v>ГОСТ Р 55456-2013</v>
          </cell>
          <cell r="J398" t="str">
            <v>Мясной продукт. Изделие колбасное сырокопченое категории А.</v>
          </cell>
          <cell r="K398"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398">
            <v>19</v>
          </cell>
          <cell r="M398">
            <v>45</v>
          </cell>
          <cell r="O398" t="str">
            <v>481/1988</v>
          </cell>
          <cell r="P398" t="str">
            <v>0…+6</v>
          </cell>
          <cell r="Q398">
            <v>120</v>
          </cell>
        </row>
        <row r="399">
          <cell r="B399">
            <v>1001060704070</v>
          </cell>
          <cell r="C399" t="str">
            <v>ЕВРЕЙСКАЯ полусухая с/к в/у_Ашан</v>
          </cell>
          <cell r="D399" t="str">
            <v>КГ</v>
          </cell>
          <cell r="E399" t="str">
            <v>Колбасные изделия</v>
          </cell>
          <cell r="F399" t="str">
            <v>С/к колбасы</v>
          </cell>
          <cell r="G399" t="str">
            <v>Останкино</v>
          </cell>
          <cell r="H399" t="str">
            <v>ОМПК(О)</v>
          </cell>
          <cell r="I399" t="str">
            <v>ГОСТ Р 55456-2013</v>
          </cell>
          <cell r="J399" t="str">
            <v>Мясной продукт. Изделие колбасное сырокопченое категории А.</v>
          </cell>
          <cell r="K399"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399">
            <v>19</v>
          </cell>
          <cell r="M399">
            <v>45</v>
          </cell>
          <cell r="O399" t="str">
            <v>481/1988</v>
          </cell>
          <cell r="P399" t="str">
            <v>0…+12</v>
          </cell>
          <cell r="Q399">
            <v>120</v>
          </cell>
        </row>
        <row r="400">
          <cell r="B400">
            <v>1001060703070</v>
          </cell>
          <cell r="C400" t="str">
            <v>ЕВРЕЙСКАЯ полусухая с/к в/у_Метро</v>
          </cell>
          <cell r="D400" t="str">
            <v>КГ</v>
          </cell>
          <cell r="E400" t="str">
            <v>Колбасные изделия</v>
          </cell>
          <cell r="F400" t="str">
            <v>С/к колбасы</v>
          </cell>
          <cell r="G400" t="str">
            <v>Останкино</v>
          </cell>
          <cell r="H400" t="str">
            <v>ОМПК(О)</v>
          </cell>
          <cell r="I400" t="str">
            <v>ГОСТ Р 55456-2013</v>
          </cell>
          <cell r="J400" t="str">
            <v>Мясной продукт. Изделие колбасное сырокопченое категории А.</v>
          </cell>
          <cell r="K400"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0">
            <v>19</v>
          </cell>
          <cell r="M400">
            <v>45</v>
          </cell>
          <cell r="O400" t="str">
            <v>481/1988</v>
          </cell>
          <cell r="P400" t="str">
            <v>0…+12</v>
          </cell>
          <cell r="Q400">
            <v>120</v>
          </cell>
        </row>
        <row r="401">
          <cell r="B401">
            <v>1001060704192</v>
          </cell>
          <cell r="C401" t="str">
            <v>ЕВРЕЙСКАЯ полусухая с/к в/у_Х5</v>
          </cell>
          <cell r="D401" t="str">
            <v>КГ</v>
          </cell>
          <cell r="E401" t="str">
            <v>Колбасные изделия</v>
          </cell>
          <cell r="F401" t="str">
            <v>С/к колбасы</v>
          </cell>
          <cell r="G401" t="str">
            <v>Останкино</v>
          </cell>
          <cell r="H401" t="str">
            <v>ОМПК(О)</v>
          </cell>
          <cell r="I401" t="str">
            <v>ГОСТ Р 55456-2013</v>
          </cell>
          <cell r="J401" t="str">
            <v>Мясной продукт. Изделие колбасное сырокопченое категории А.</v>
          </cell>
          <cell r="K401"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1">
            <v>19</v>
          </cell>
          <cell r="M401">
            <v>45</v>
          </cell>
          <cell r="O401" t="str">
            <v>481/1988</v>
          </cell>
          <cell r="P401" t="str">
            <v>0…+12</v>
          </cell>
          <cell r="Q401">
            <v>120</v>
          </cell>
        </row>
        <row r="402">
          <cell r="B402">
            <v>1001060707636</v>
          </cell>
          <cell r="C402" t="str">
            <v>Z-ЕВРЕЙСКАЯ полусух. с/к в/у 0.5кг гр/уп</v>
          </cell>
          <cell r="D402" t="str">
            <v>ШТ</v>
          </cell>
          <cell r="E402" t="str">
            <v>Колбасные изделия</v>
          </cell>
          <cell r="F402" t="str">
            <v>С/к колбасы</v>
          </cell>
          <cell r="G402" t="str">
            <v>Останкино</v>
          </cell>
          <cell r="H402" t="str">
            <v>ОМПК(Г)</v>
          </cell>
          <cell r="I402" t="str">
            <v>ГОСТ Р 55456-2013</v>
          </cell>
          <cell r="J402" t="str">
            <v>Мясной продукт. Изделие колбасное сырокопченое категории А.</v>
          </cell>
          <cell r="K402"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2">
            <v>19</v>
          </cell>
          <cell r="M402">
            <v>45</v>
          </cell>
          <cell r="O402" t="str">
            <v>481/1988</v>
          </cell>
          <cell r="P402" t="str">
            <v>0…+12</v>
          </cell>
          <cell r="Q402">
            <v>30</v>
          </cell>
        </row>
        <row r="403">
          <cell r="B403">
            <v>1001060707621</v>
          </cell>
          <cell r="C403" t="str">
            <v>Z-ЕВРЕЙСКАЯ с/к в/у гр/уп (для нарезки)</v>
          </cell>
          <cell r="D403" t="str">
            <v>КГ</v>
          </cell>
          <cell r="E403" t="str">
            <v>Колбасные изделия</v>
          </cell>
          <cell r="F403" t="str">
            <v>С/к колбасы</v>
          </cell>
          <cell r="G403" t="str">
            <v>Останкино</v>
          </cell>
          <cell r="H403" t="str">
            <v>ОМПК(Г)</v>
          </cell>
          <cell r="I403" t="str">
            <v>ГОСТ Р 55456-2013</v>
          </cell>
          <cell r="J403" t="str">
            <v>Мясной продукт. Изделие колбасное сырокопченое категории А.</v>
          </cell>
          <cell r="K403"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3">
            <v>19</v>
          </cell>
          <cell r="M403">
            <v>45</v>
          </cell>
          <cell r="O403" t="str">
            <v>481/1988</v>
          </cell>
          <cell r="P403" t="str">
            <v>0…+12</v>
          </cell>
          <cell r="Q403">
            <v>30</v>
          </cell>
        </row>
        <row r="404">
          <cell r="B404">
            <v>1001065876924</v>
          </cell>
          <cell r="C404" t="str">
            <v>КАРЕЛЬСКАЯ ПМ с/к в/у 0.5кг 8шт_Kvalita</v>
          </cell>
          <cell r="D404" t="str">
            <v>ШТ</v>
          </cell>
          <cell r="E404" t="str">
            <v>Колбасные изделия</v>
          </cell>
          <cell r="F404" t="str">
            <v>С/к колбасы</v>
          </cell>
          <cell r="G404" t="str">
            <v>Папа может</v>
          </cell>
          <cell r="H404" t="str">
            <v>ОМПК(О)</v>
          </cell>
          <cell r="I404" t="str">
            <v>ТУ 10.13.14-181-00425283-2026</v>
          </cell>
          <cell r="J404" t="str">
            <v>Мясной продукт. Изделие колбасное сырокопченое.</v>
          </cell>
          <cell r="K404" t="str">
            <v>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v>
          </cell>
          <cell r="L404">
            <v>22</v>
          </cell>
          <cell r="M404">
            <v>42</v>
          </cell>
          <cell r="N404">
            <v>6</v>
          </cell>
          <cell r="O404" t="str">
            <v>490/2030</v>
          </cell>
          <cell r="P404" t="str">
            <v>0…+12</v>
          </cell>
          <cell r="Q404">
            <v>120</v>
          </cell>
        </row>
        <row r="405">
          <cell r="B405">
            <v>1001065877582</v>
          </cell>
          <cell r="C405" t="str">
            <v>КАРЕЛЬСКАЯ ПМ с/к в/у 0.5кг_Kvalita_305к</v>
          </cell>
          <cell r="D405" t="str">
            <v>ШТ</v>
          </cell>
          <cell r="E405" t="str">
            <v>Колбасные изделия</v>
          </cell>
          <cell r="F405" t="str">
            <v>С/к колбасы</v>
          </cell>
          <cell r="G405" t="str">
            <v>Папа может</v>
          </cell>
          <cell r="H405" t="str">
            <v>ОМПК(О)</v>
          </cell>
          <cell r="I405" t="str">
            <v>ТУ 10.13.14-181-00425283-2026</v>
          </cell>
          <cell r="J405" t="str">
            <v>Мясной продукт. Изделие колбасное сырокопченое.</v>
          </cell>
          <cell r="K405" t="str">
            <v>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v>
          </cell>
          <cell r="L405">
            <v>22</v>
          </cell>
          <cell r="M405">
            <v>42</v>
          </cell>
          <cell r="N405">
            <v>6</v>
          </cell>
          <cell r="O405" t="str">
            <v>490/2030</v>
          </cell>
          <cell r="P405" t="str">
            <v>0…+12</v>
          </cell>
          <cell r="Q405">
            <v>120</v>
          </cell>
        </row>
        <row r="406">
          <cell r="B406">
            <v>1001067537507</v>
          </cell>
          <cell r="C406" t="str">
            <v>КЁЛЬН GUTMANN с/к в/у 1/220 8шт.</v>
          </cell>
          <cell r="D406" t="str">
            <v>ШТ</v>
          </cell>
          <cell r="E406" t="str">
            <v>Колбасные изделия</v>
          </cell>
          <cell r="F406" t="str">
            <v>С/к колбасы</v>
          </cell>
          <cell r="G406" t="str">
            <v>GUTMANN</v>
          </cell>
          <cell r="H406" t="str">
            <v xml:space="preserve">ОМПК(Г)
</v>
          </cell>
          <cell r="I406" t="str">
            <v>ТУ 10.13.14-140-00425283-2015</v>
          </cell>
          <cell r="J406" t="str">
            <v>Мясной продукт. Изделие колбасное сырокопченое.</v>
          </cell>
          <cell r="K406" t="str">
            <v>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v>
          </cell>
          <cell r="L406">
            <v>20</v>
          </cell>
          <cell r="M406">
            <v>40</v>
          </cell>
          <cell r="N406">
            <v>1</v>
          </cell>
          <cell r="O406" t="str">
            <v>444/1837</v>
          </cell>
          <cell r="P406" t="str">
            <v>0…+6</v>
          </cell>
          <cell r="Q406">
            <v>120</v>
          </cell>
        </row>
        <row r="407">
          <cell r="B407">
            <v>1001065867470</v>
          </cell>
          <cell r="C407" t="str">
            <v>КОПЧЕНАЯ НА ДУБЕ ПМ с/к в/у 1/150 12шт.</v>
          </cell>
          <cell r="D407" t="str">
            <v>ШТ</v>
          </cell>
          <cell r="E407" t="str">
            <v>Колбасные изделия</v>
          </cell>
          <cell r="F407" t="str">
            <v>С/к колбасы</v>
          </cell>
          <cell r="G407" t="str">
            <v>Папа может</v>
          </cell>
          <cell r="H407" t="str">
            <v>ОМПК(Г)</v>
          </cell>
          <cell r="I407" t="str">
            <v>ТУ 10.13.14-140-00425283-2015</v>
          </cell>
          <cell r="J407" t="str">
            <v>Мясной продукт. Изделие колбасное сырокопченое.</v>
          </cell>
          <cell r="K407" t="str">
            <v>свинина, шпик, филе грудок куриных, белок соевый,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07">
            <v>15</v>
          </cell>
          <cell r="M407">
            <v>30</v>
          </cell>
          <cell r="N407">
            <v>2</v>
          </cell>
          <cell r="O407" t="str">
            <v>338/1399</v>
          </cell>
          <cell r="P407" t="str">
            <v>0…+25</v>
          </cell>
          <cell r="Q407">
            <v>90</v>
          </cell>
        </row>
        <row r="408">
          <cell r="B408">
            <v>1001061007246</v>
          </cell>
          <cell r="C408" t="str">
            <v>КЛАССИКА Папа может с/к в/у 0.5кг 8шт.</v>
          </cell>
          <cell r="D408" t="str">
            <v>ШТ</v>
          </cell>
          <cell r="E408" t="str">
            <v>Колбасные изделия</v>
          </cell>
          <cell r="F408" t="str">
            <v>С/к колбасы</v>
          </cell>
          <cell r="G408" t="str">
            <v>Папа может</v>
          </cell>
          <cell r="H408" t="str">
            <v>ОМПК(О)</v>
          </cell>
          <cell r="I408" t="str">
            <v>ТУ 10.13.14-181-00425283-2026</v>
          </cell>
          <cell r="J408" t="str">
            <v>Мясной продукт. Изделие колбасное сырокопченое.</v>
          </cell>
          <cell r="K408"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08">
            <v>17</v>
          </cell>
          <cell r="M408">
            <v>41</v>
          </cell>
          <cell r="N408">
            <v>7</v>
          </cell>
          <cell r="O408" t="str">
            <v>465/1925</v>
          </cell>
          <cell r="P408" t="str">
            <v>0…+12</v>
          </cell>
          <cell r="Q408">
            <v>120</v>
          </cell>
        </row>
        <row r="409">
          <cell r="B409">
            <v>1001065616832</v>
          </cell>
          <cell r="C409" t="str">
            <v>АССОРТИ СЫРОКОПЧЕНЫХ КОЛБАС Коровино в/у</v>
          </cell>
          <cell r="D409" t="str">
            <v>КГ</v>
          </cell>
          <cell r="E409" t="str">
            <v>Колбасные изделия</v>
          </cell>
          <cell r="F409" t="str">
            <v>С/к колбасы</v>
          </cell>
          <cell r="G409" t="str">
            <v>Коровино</v>
          </cell>
          <cell r="H409" t="str">
            <v>ОМПК(О)
ОМПК(Г)</v>
          </cell>
          <cell r="I409" t="str">
            <v>ТУ 10.13.14-181-00425283-2026</v>
          </cell>
          <cell r="J409" t="str">
            <v>Мясной продукт. Изделие колбасное сырокопченое.</v>
          </cell>
          <cell r="K409"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v>
          </cell>
          <cell r="L409">
            <v>11</v>
          </cell>
          <cell r="M409">
            <v>67</v>
          </cell>
          <cell r="N409">
            <v>0</v>
          </cell>
          <cell r="O409" t="str">
            <v>647/2666</v>
          </cell>
          <cell r="P409" t="str">
            <v>0…+6</v>
          </cell>
          <cell r="Q409">
            <v>30</v>
          </cell>
        </row>
        <row r="410">
          <cell r="B410">
            <v>1001065617258</v>
          </cell>
          <cell r="C410" t="str">
            <v>Z-АССОРТИ СЫРОКОПЧЕНЫХ КОЛБАС в/у</v>
          </cell>
          <cell r="D410" t="str">
            <v>КГ</v>
          </cell>
          <cell r="E410" t="str">
            <v>Колбасные изделия</v>
          </cell>
          <cell r="F410" t="str">
            <v>С/к колбасы</v>
          </cell>
          <cell r="G410" t="str">
            <v>Коровино</v>
          </cell>
          <cell r="H410" t="str">
            <v>ОМПК(Г)
ОМПК(О)</v>
          </cell>
          <cell r="I410" t="str">
            <v>ТУ 10.13.14-181-00425283-2026</v>
          </cell>
          <cell r="J410" t="str">
            <v>Мясной продукт. Изделие колбасное сырокопченое.</v>
          </cell>
          <cell r="K410"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v>
          </cell>
          <cell r="L410">
            <v>11</v>
          </cell>
          <cell r="M410">
            <v>67</v>
          </cell>
          <cell r="O410" t="str">
            <v>647/2666</v>
          </cell>
          <cell r="P410" t="str">
            <v>0…+6</v>
          </cell>
          <cell r="Q410">
            <v>30</v>
          </cell>
        </row>
        <row r="411">
          <cell r="B411">
            <v>1001060677299</v>
          </cell>
          <cell r="C411" t="str">
            <v>НАБОР ДЛЯ ПИЦЦЫ Папа Может с/к в/у</v>
          </cell>
          <cell r="D411" t="str">
            <v>КГ</v>
          </cell>
          <cell r="E411" t="str">
            <v>Колбасные изделия</v>
          </cell>
          <cell r="F411" t="str">
            <v>С/к колбасы</v>
          </cell>
          <cell r="G411" t="str">
            <v>Папа может</v>
          </cell>
          <cell r="H411" t="str">
            <v>ОМПК(О)</v>
          </cell>
          <cell r="I411" t="str">
            <v>ТУ 10.13.14-181-00425283-2026</v>
          </cell>
          <cell r="J411" t="str">
            <v>Мясной продукт. Изделие колбасное сырокопченое.</v>
          </cell>
          <cell r="K411"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v>
          </cell>
          <cell r="L411">
            <v>11</v>
          </cell>
          <cell r="M411">
            <v>67</v>
          </cell>
          <cell r="N411">
            <v>2</v>
          </cell>
          <cell r="O411" t="str">
            <v>655/2700</v>
          </cell>
          <cell r="P411" t="str">
            <v>0…+6</v>
          </cell>
          <cell r="Q411">
            <v>30</v>
          </cell>
        </row>
        <row r="412">
          <cell r="B412">
            <v>1001200677442</v>
          </cell>
          <cell r="C412" t="str">
            <v>НАБОР ДЛЯ ПИЦЦЫ с/к с/н мгс 3*3_HRC</v>
          </cell>
          <cell r="D412" t="str">
            <v>КГ</v>
          </cell>
          <cell r="E412" t="str">
            <v>Колбасные изделия</v>
          </cell>
          <cell r="F412" t="str">
            <v>С/к колбасы</v>
          </cell>
          <cell r="G412" t="str">
            <v>Без ТМ</v>
          </cell>
          <cell r="H412" t="str">
            <v>ОМПК(О)</v>
          </cell>
          <cell r="I412" t="str">
            <v>ТУ 10.13.14-181-00425283-2026</v>
          </cell>
          <cell r="J412" t="str">
            <v>Мясной продукт. Изделие колбасное сырокопченое.</v>
          </cell>
          <cell r="K412"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v>
          </cell>
          <cell r="L412">
            <v>11</v>
          </cell>
          <cell r="M412">
            <v>67</v>
          </cell>
          <cell r="N412">
            <v>2</v>
          </cell>
          <cell r="O412" t="str">
            <v>655/2700</v>
          </cell>
          <cell r="P412" t="str">
            <v>0…+6</v>
          </cell>
          <cell r="Q412">
            <v>30</v>
          </cell>
        </row>
        <row r="413">
          <cell r="B413">
            <v>1001067127422</v>
          </cell>
          <cell r="C413" t="str">
            <v>МАРОЧНАЯ Коровино с/к в/у 0.5кг 8шт.</v>
          </cell>
          <cell r="D413" t="str">
            <v>ШТ</v>
          </cell>
          <cell r="E413" t="str">
            <v>Колбасные изделия</v>
          </cell>
          <cell r="F413" t="str">
            <v>С/к колбасы</v>
          </cell>
          <cell r="G413" t="str">
            <v>Коровино</v>
          </cell>
          <cell r="H413" t="str">
            <v>ОМПК(О)</v>
          </cell>
          <cell r="I413" t="str">
            <v>ТУ 10.13.14-181-00425283-2026</v>
          </cell>
          <cell r="J413" t="str">
            <v>Мясной продукт. Изделие колбасное сырокопченое.</v>
          </cell>
          <cell r="K413"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13">
            <v>20</v>
          </cell>
          <cell r="M413">
            <v>40</v>
          </cell>
          <cell r="N413">
            <v>0</v>
          </cell>
          <cell r="O413" t="str">
            <v>462/1911</v>
          </cell>
          <cell r="P413" t="str">
            <v>0…+12</v>
          </cell>
          <cell r="Q413">
            <v>120</v>
          </cell>
        </row>
        <row r="414">
          <cell r="B414">
            <v>1001066967381</v>
          </cell>
          <cell r="C414" t="str">
            <v>МОНРЕАЛЬ В АРОМАТ.СПЕЦИЯХ с/к мгс срез</v>
          </cell>
          <cell r="D414" t="str">
            <v>КГ</v>
          </cell>
          <cell r="E414" t="str">
            <v>Колбасные изделия</v>
          </cell>
          <cell r="F414" t="str">
            <v>С/к колбасы</v>
          </cell>
          <cell r="G414" t="str">
            <v>Останкино</v>
          </cell>
          <cell r="H414" t="str">
            <v>ОМПК(Г)</v>
          </cell>
          <cell r="I414" t="str">
            <v>ТУ 10.13.14-140-00425283-2015</v>
          </cell>
          <cell r="J414" t="str">
            <v>Мясной продукт. Изделие колбасное сырокопченое.</v>
          </cell>
          <cell r="K414"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14">
            <v>13</v>
          </cell>
          <cell r="M414">
            <v>35</v>
          </cell>
          <cell r="N414">
            <v>5</v>
          </cell>
          <cell r="O414" t="str">
            <v>387/1601</v>
          </cell>
          <cell r="P414" t="str">
            <v>0…+6</v>
          </cell>
          <cell r="Q414">
            <v>120</v>
          </cell>
        </row>
        <row r="415">
          <cell r="B415">
            <v>1001066497295</v>
          </cell>
          <cell r="C415" t="str">
            <v>ПАПИН ВЫБОР Папа Может с/к в/у 1/220 8шт</v>
          </cell>
          <cell r="D415" t="str">
            <v>ШТ</v>
          </cell>
          <cell r="E415" t="str">
            <v>Колбасные изделия</v>
          </cell>
          <cell r="F415" t="str">
            <v>С/к колбасы</v>
          </cell>
          <cell r="G415" t="str">
            <v>Папа может</v>
          </cell>
          <cell r="H415" t="str">
            <v>ОМПК(Г)</v>
          </cell>
          <cell r="I415" t="str">
            <v>ТУ 10.13.14-140-00425283-2015</v>
          </cell>
          <cell r="J415" t="str">
            <v>Мясной продукт. Изделие колбасное сырокопченое.</v>
          </cell>
          <cell r="K415" t="str">
            <v>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v>
          </cell>
          <cell r="L415">
            <v>19</v>
          </cell>
          <cell r="M415">
            <v>49</v>
          </cell>
          <cell r="N415">
            <v>2</v>
          </cell>
          <cell r="O415" t="str">
            <v>525/2170</v>
          </cell>
          <cell r="P415" t="str">
            <v>0…+6</v>
          </cell>
          <cell r="Q415">
            <v>90</v>
          </cell>
        </row>
        <row r="416">
          <cell r="B416">
            <v>1001066497526</v>
          </cell>
          <cell r="C416" t="str">
            <v>Z-ПАПИН ВЫБОР Папа Может с/к в/у 1/220</v>
          </cell>
          <cell r="D416" t="str">
            <v>ШТ</v>
          </cell>
          <cell r="E416" t="str">
            <v>Колбасные изделия</v>
          </cell>
          <cell r="F416" t="str">
            <v>С/к колбасы</v>
          </cell>
          <cell r="G416" t="str">
            <v>Папа может</v>
          </cell>
          <cell r="H416" t="str">
            <v>ОМПК(Г)</v>
          </cell>
          <cell r="I416" t="str">
            <v>ТУ 10.13.14-140-00425283-2015</v>
          </cell>
          <cell r="J416" t="str">
            <v>Мясной продукт. Изделие колбасное сырокопченое.</v>
          </cell>
          <cell r="K416" t="str">
            <v>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v>
          </cell>
          <cell r="L416">
            <v>19</v>
          </cell>
          <cell r="M416">
            <v>49</v>
          </cell>
          <cell r="N416">
            <v>2</v>
          </cell>
          <cell r="O416" t="str">
            <v>525/2170</v>
          </cell>
          <cell r="P416" t="str">
            <v>0…+6</v>
          </cell>
          <cell r="Q416">
            <v>30</v>
          </cell>
        </row>
        <row r="417">
          <cell r="B417">
            <v>1001060755931</v>
          </cell>
          <cell r="C417" t="str">
            <v>ОХОТНИЧЬЯ Папа может с/к в/у 1/220 8шт.</v>
          </cell>
          <cell r="D417" t="str">
            <v>ШТ</v>
          </cell>
          <cell r="E417" t="str">
            <v>Колбасные изделия</v>
          </cell>
          <cell r="F417" t="str">
            <v>С/к колбасы</v>
          </cell>
          <cell r="G417" t="str">
            <v>Папа может</v>
          </cell>
          <cell r="H417" t="str">
            <v xml:space="preserve">ОМПК(Г)
</v>
          </cell>
          <cell r="I417" t="str">
            <v>ТУ 10.13.14-140-00425283-2015</v>
          </cell>
          <cell r="J417" t="str">
            <v>Мясной продукт. Изделие колбасное сырокопченое.</v>
          </cell>
          <cell r="K417"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7">
            <v>20</v>
          </cell>
          <cell r="M417">
            <v>40</v>
          </cell>
          <cell r="O417" t="str">
            <v>462/1911</v>
          </cell>
          <cell r="P417" t="str">
            <v>0…+6</v>
          </cell>
          <cell r="Q417">
            <v>120</v>
          </cell>
        </row>
        <row r="418">
          <cell r="B418">
            <v>1001060757211</v>
          </cell>
          <cell r="C418" t="str">
            <v>ОХОТНИЧЬЯ Папа может с/к в/у 1/220_СНГ</v>
          </cell>
          <cell r="D418" t="str">
            <v>ШТ</v>
          </cell>
          <cell r="E418" t="str">
            <v>Колбасные изделия</v>
          </cell>
          <cell r="F418" t="str">
            <v>С/к колбасы</v>
          </cell>
          <cell r="G418" t="str">
            <v>Папа может</v>
          </cell>
          <cell r="H418" t="str">
            <v xml:space="preserve">ОМПК(О)
</v>
          </cell>
          <cell r="I418" t="str">
            <v>ТУ 10.13.14-140-00425283-2015</v>
          </cell>
          <cell r="J418" t="str">
            <v>Мясной продукт. Изделие колбасное сырокопченое.</v>
          </cell>
          <cell r="K418"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8">
            <v>20</v>
          </cell>
          <cell r="M418">
            <v>40</v>
          </cell>
          <cell r="N418">
            <v>0</v>
          </cell>
          <cell r="O418" t="str">
            <v>462/1911</v>
          </cell>
          <cell r="P418" t="str">
            <v>0…+6</v>
          </cell>
          <cell r="Q418">
            <v>120</v>
          </cell>
        </row>
        <row r="419">
          <cell r="B419">
            <v>1001060756032</v>
          </cell>
          <cell r="C419" t="str">
            <v>Z-ОХОТНИЧЬЯ Папа может с/к в/у 1/220</v>
          </cell>
          <cell r="D419" t="str">
            <v>ШТ</v>
          </cell>
          <cell r="E419" t="str">
            <v>Колбасные изделия</v>
          </cell>
          <cell r="F419" t="str">
            <v>С/к колбасы</v>
          </cell>
          <cell r="G419" t="str">
            <v>Папа может</v>
          </cell>
          <cell r="H419" t="str">
            <v>ОМПК(Г)</v>
          </cell>
          <cell r="I419" t="str">
            <v>ТУ 10.13.14-140-00425283-2015</v>
          </cell>
          <cell r="J419" t="str">
            <v>Мясной продукт. Изделие колбасное сырокопченое.</v>
          </cell>
          <cell r="K419"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9">
            <v>20</v>
          </cell>
          <cell r="M419">
            <v>40</v>
          </cell>
          <cell r="O419" t="str">
            <v>462/1911</v>
          </cell>
          <cell r="P419" t="str">
            <v>0…+6</v>
          </cell>
          <cell r="Q419">
            <v>120</v>
          </cell>
        </row>
        <row r="420">
          <cell r="B420">
            <v>1001060756288</v>
          </cell>
          <cell r="C420" t="str">
            <v>Z-ОХОТНИЧЬЯ ПМ с/к в/у (для нарезки)</v>
          </cell>
          <cell r="D420" t="str">
            <v>КГ</v>
          </cell>
          <cell r="E420" t="str">
            <v>Колбасные изделия</v>
          </cell>
          <cell r="F420" t="str">
            <v>С/к колбасы</v>
          </cell>
          <cell r="G420" t="str">
            <v>Папа может</v>
          </cell>
          <cell r="H420" t="str">
            <v>ОМПК(О)</v>
          </cell>
          <cell r="I420" t="str">
            <v>ТУ 10.13.14-181-00425283-2026</v>
          </cell>
          <cell r="J420" t="str">
            <v>Мясной продукт. Изделие колбасное сырокопченое.</v>
          </cell>
          <cell r="K420"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20">
            <v>17</v>
          </cell>
          <cell r="M420">
            <v>41</v>
          </cell>
          <cell r="N420">
            <v>7</v>
          </cell>
          <cell r="O420" t="str">
            <v>465/1925</v>
          </cell>
          <cell r="P420" t="str">
            <v>0…+12</v>
          </cell>
          <cell r="Q420">
            <v>120</v>
          </cell>
        </row>
        <row r="421">
          <cell r="B421">
            <v>1001060757672</v>
          </cell>
          <cell r="C421" t="str">
            <v>Z-ОХОТНИЧЬЯ с/к в/у (для нарезки 70 мм)</v>
          </cell>
          <cell r="D421" t="str">
            <v>КГ</v>
          </cell>
          <cell r="E421" t="str">
            <v>Колбасные изделия</v>
          </cell>
          <cell r="F421" t="str">
            <v>С/к колбасы</v>
          </cell>
          <cell r="G421" t="str">
            <v>Папа может</v>
          </cell>
          <cell r="H421" t="str">
            <v>ОМПК(Г)</v>
          </cell>
          <cell r="I421" t="str">
            <v>ТУ 10.13.14-140-00425283-2015</v>
          </cell>
          <cell r="J421" t="str">
            <v>Мясной продукт. Изделие колбасное сырокопченое.</v>
          </cell>
          <cell r="K421"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21">
            <v>20</v>
          </cell>
          <cell r="M421">
            <v>40</v>
          </cell>
          <cell r="N421">
            <v>0</v>
          </cell>
          <cell r="O421" t="str">
            <v>462/1911</v>
          </cell>
          <cell r="P421" t="str">
            <v>0…+6</v>
          </cell>
          <cell r="Q421">
            <v>30</v>
          </cell>
        </row>
        <row r="422">
          <cell r="B422">
            <v>1001063145708</v>
          </cell>
          <cell r="C422" t="str">
            <v>ПОСОЛЬСКАЯ Папа может с/к в/у</v>
          </cell>
          <cell r="D422" t="str">
            <v>КГ</v>
          </cell>
          <cell r="E422" t="str">
            <v>Колбасные изделия</v>
          </cell>
          <cell r="F422" t="str">
            <v>С/к колбасы</v>
          </cell>
          <cell r="G422" t="str">
            <v>Папа может</v>
          </cell>
          <cell r="H422" t="str">
            <v>ОМПК(О)</v>
          </cell>
          <cell r="I422" t="str">
            <v>ТУ 10.13.14-139-00425283-2015</v>
          </cell>
          <cell r="J422" t="str">
            <v>Изделие колбасное сырокопченое из мяса кур охлажденное фирменное</v>
          </cell>
          <cell r="K422"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2">
            <v>21</v>
          </cell>
          <cell r="M422">
            <v>42</v>
          </cell>
          <cell r="O422" t="str">
            <v>462/1911</v>
          </cell>
          <cell r="P422" t="str">
            <v>0…+12</v>
          </cell>
          <cell r="Q422">
            <v>120</v>
          </cell>
        </row>
        <row r="423">
          <cell r="B423">
            <v>1001063147247</v>
          </cell>
          <cell r="C423" t="str">
            <v>ПОСОЛЬСКАЯ Папа может с/к в/у 0.5кг 8шт.</v>
          </cell>
          <cell r="D423" t="str">
            <v>ШТ</v>
          </cell>
          <cell r="E423" t="str">
            <v>Колбасные изделия</v>
          </cell>
          <cell r="F423" t="str">
            <v>С/к колбасы</v>
          </cell>
          <cell r="G423" t="str">
            <v>Папа может</v>
          </cell>
          <cell r="H423" t="str">
            <v>ОМПК(О)</v>
          </cell>
          <cell r="I423" t="str">
            <v>ТУ 10.13.14-139-00425283-2015</v>
          </cell>
          <cell r="J423" t="str">
            <v>Изделие колбасное сырокопченое из мяса кур охлажденное фирменное</v>
          </cell>
          <cell r="K423"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3">
            <v>21</v>
          </cell>
          <cell r="M423">
            <v>42</v>
          </cell>
          <cell r="O423" t="str">
            <v>462/1911</v>
          </cell>
          <cell r="P423" t="str">
            <v>0…+12</v>
          </cell>
          <cell r="Q423">
            <v>120</v>
          </cell>
        </row>
        <row r="424">
          <cell r="B424">
            <v>1001063147579</v>
          </cell>
          <cell r="C424" t="str">
            <v>ПОСОЛЬСКАЯ ПМ с/к в/у 0.5кг 8шт_305к</v>
          </cell>
          <cell r="D424" t="str">
            <v>ШТ</v>
          </cell>
          <cell r="E424" t="str">
            <v>Колбасные изделия</v>
          </cell>
          <cell r="F424" t="str">
            <v>С/к колбасы</v>
          </cell>
          <cell r="G424" t="str">
            <v>Папа может</v>
          </cell>
          <cell r="H424" t="str">
            <v>ОМПК(О)</v>
          </cell>
          <cell r="I424" t="str">
            <v>ТУ 10.13.14-139-00425283-2015</v>
          </cell>
          <cell r="J424" t="str">
            <v>Изделие колбасное сырокопченое из мяса кур охлажденное фирменное</v>
          </cell>
          <cell r="K424"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4">
            <v>21</v>
          </cell>
          <cell r="M424">
            <v>42</v>
          </cell>
          <cell r="O424" t="str">
            <v>462/1911</v>
          </cell>
          <cell r="P424" t="str">
            <v>0…+12</v>
          </cell>
          <cell r="Q424">
            <v>120</v>
          </cell>
        </row>
        <row r="425">
          <cell r="B425">
            <v>1001063147281</v>
          </cell>
          <cell r="C425" t="str">
            <v>Z-ПОСОЛЬСКАЯ Папа может с/к в/у 0.5кг</v>
          </cell>
          <cell r="D425" t="str">
            <v>ШТ</v>
          </cell>
          <cell r="E425" t="str">
            <v>Колбасные изделия</v>
          </cell>
          <cell r="F425" t="str">
            <v>С/к колбасы</v>
          </cell>
          <cell r="G425" t="str">
            <v>Папа может</v>
          </cell>
          <cell r="H425" t="str">
            <v>ОМПК(О)</v>
          </cell>
          <cell r="I425" t="str">
            <v>ТУ 10.13.14-139-00425283-2015</v>
          </cell>
          <cell r="J425" t="str">
            <v>Изделие колбасное сырокопченое из мяса кур охлажденное фирменное</v>
          </cell>
          <cell r="K425"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5">
            <v>21</v>
          </cell>
          <cell r="M425">
            <v>42</v>
          </cell>
          <cell r="O425" t="str">
            <v>462/1911</v>
          </cell>
          <cell r="P425" t="str">
            <v>0…+12</v>
          </cell>
          <cell r="Q425">
            <v>120</v>
          </cell>
        </row>
        <row r="426">
          <cell r="B426">
            <v>1001060720614</v>
          </cell>
          <cell r="C426" t="str">
            <v>ПРАЗДНИЧНАЯ с/к в/с дек.спец.мгс</v>
          </cell>
          <cell r="D426" t="str">
            <v>КГ</v>
          </cell>
          <cell r="E426" t="str">
            <v>Колбасные изделия</v>
          </cell>
          <cell r="F426" t="str">
            <v>С/к колбасы</v>
          </cell>
          <cell r="G426" t="str">
            <v>Останкино</v>
          </cell>
          <cell r="H426" t="str">
            <v>ОМПК(О)
ОМПК(Г)</v>
          </cell>
          <cell r="I426" t="str">
            <v>ТУ 10.13.14-140-00425283-2015</v>
          </cell>
          <cell r="J426" t="str">
            <v>Мясной продукт. Изделие колбасное сырокопченое.</v>
          </cell>
          <cell r="K426"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6">
            <v>22</v>
          </cell>
          <cell r="M426">
            <v>49</v>
          </cell>
          <cell r="O426" t="str">
            <v>529/2187</v>
          </cell>
          <cell r="P426" t="str">
            <v>0…+12</v>
          </cell>
          <cell r="Q426">
            <v>120</v>
          </cell>
        </row>
        <row r="427">
          <cell r="B427">
            <v>1001060727320</v>
          </cell>
          <cell r="C427" t="str">
            <v>ПРАЗДНИЧНАЯ с/к в/с дек.спец.мгс_М</v>
          </cell>
          <cell r="D427" t="str">
            <v>КГ</v>
          </cell>
          <cell r="E427" t="str">
            <v>Колбасные изделия</v>
          </cell>
          <cell r="F427" t="str">
            <v>С/к колбасы</v>
          </cell>
          <cell r="G427" t="str">
            <v>Останкино</v>
          </cell>
          <cell r="H427" t="str">
            <v>ОМПК(О)
ОМПК(Г)</v>
          </cell>
          <cell r="I427" t="str">
            <v>ТУ 10.13.14-140-00425283-2015</v>
          </cell>
          <cell r="J427" t="str">
            <v>Мясной продукт. Изделие колбасное сырокопченое.</v>
          </cell>
          <cell r="K427"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7">
            <v>22</v>
          </cell>
          <cell r="M427">
            <v>49</v>
          </cell>
          <cell r="O427" t="str">
            <v>529/2187</v>
          </cell>
          <cell r="P427" t="str">
            <v>0…+12</v>
          </cell>
          <cell r="Q427">
            <v>120</v>
          </cell>
        </row>
        <row r="428">
          <cell r="B428">
            <v>1001060724399</v>
          </cell>
          <cell r="C428" t="str">
            <v>ПРАЗДНИЧНАЯ с/к в/с дек.спец.мгс_Х5</v>
          </cell>
          <cell r="D428" t="str">
            <v>КГ</v>
          </cell>
          <cell r="E428" t="str">
            <v>Колбасные изделия</v>
          </cell>
          <cell r="F428" t="str">
            <v>С/к колбасы</v>
          </cell>
          <cell r="G428" t="str">
            <v>Останкино</v>
          </cell>
          <cell r="H428" t="str">
            <v>ОМПК(О)
ОМПК(Г)</v>
          </cell>
          <cell r="I428" t="str">
            <v>ТУ 10.13.14-140-00425283-2015</v>
          </cell>
          <cell r="J428" t="str">
            <v>Мясной продукт. Изделие колбасное сырокопченое.</v>
          </cell>
          <cell r="K428"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8">
            <v>22</v>
          </cell>
          <cell r="M428">
            <v>49</v>
          </cell>
          <cell r="O428" t="str">
            <v>529/2187</v>
          </cell>
          <cell r="P428" t="str">
            <v>0…+12</v>
          </cell>
          <cell r="Q428">
            <v>120</v>
          </cell>
        </row>
        <row r="429">
          <cell r="B429">
            <v>1001060726971</v>
          </cell>
          <cell r="C429" t="str">
            <v>ПРАЗДНИЧНАЯ с/к в/с дек.спец.мгс срез</v>
          </cell>
          <cell r="D429" t="str">
            <v>КГ</v>
          </cell>
          <cell r="E429" t="str">
            <v>Колбасные изделия</v>
          </cell>
          <cell r="F429" t="str">
            <v>С/к колбасы</v>
          </cell>
          <cell r="G429" t="str">
            <v>Останкино</v>
          </cell>
          <cell r="H429" t="str">
            <v>ОМПК(Г)</v>
          </cell>
          <cell r="I429" t="str">
            <v>ТУ 10.13.14-140-00425283-2015</v>
          </cell>
          <cell r="J429" t="str">
            <v>Мясной продукт. Изделие колбасное сырокопченое.</v>
          </cell>
          <cell r="K429"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9">
            <v>22</v>
          </cell>
          <cell r="M429">
            <v>49</v>
          </cell>
          <cell r="O429" t="str">
            <v>529/2187</v>
          </cell>
          <cell r="P429" t="str">
            <v>0…+6</v>
          </cell>
          <cell r="Q429">
            <v>120</v>
          </cell>
        </row>
        <row r="430">
          <cell r="B430">
            <v>1001060727318</v>
          </cell>
          <cell r="C430" t="str">
            <v>ПРАЗДНИЧНАЯ с/к в/с дек.спец. мгс 1/270</v>
          </cell>
          <cell r="D430" t="str">
            <v>ШТ</v>
          </cell>
          <cell r="E430" t="str">
            <v>Колбасные изделия</v>
          </cell>
          <cell r="F430" t="str">
            <v>С/к колбасы</v>
          </cell>
          <cell r="G430" t="str">
            <v>Останкино</v>
          </cell>
          <cell r="H430" t="str">
            <v>ОМПК(Г)</v>
          </cell>
          <cell r="I430" t="str">
            <v>ТУ 9213-140-00425283-2015</v>
          </cell>
          <cell r="J430" t="str">
            <v>Мясной продукт. Изделие колбасное сырокопченое.</v>
          </cell>
          <cell r="K430"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0">
            <v>22</v>
          </cell>
          <cell r="M430">
            <v>49</v>
          </cell>
          <cell r="O430" t="str">
            <v>529/2187</v>
          </cell>
          <cell r="P430" t="str">
            <v>0…+6</v>
          </cell>
          <cell r="Q430">
            <v>120</v>
          </cell>
        </row>
        <row r="431">
          <cell r="B431">
            <v>1001060727389</v>
          </cell>
          <cell r="C431" t="str">
            <v>Z-ПРАЗДНИЧНАЯ с/к в/с дек.сп. мгс 1/270</v>
          </cell>
          <cell r="D431" t="str">
            <v>ШТ</v>
          </cell>
          <cell r="E431" t="str">
            <v>Колбасные изделия</v>
          </cell>
          <cell r="F431" t="str">
            <v>С/к колбасы</v>
          </cell>
          <cell r="G431" t="str">
            <v>Останкино</v>
          </cell>
          <cell r="H431" t="str">
            <v>ОМПК(Г)</v>
          </cell>
          <cell r="I431" t="str">
            <v>ТУ 10.13.14-140-00425283-2015</v>
          </cell>
          <cell r="J431" t="str">
            <v>Мясной продукт. Изделие колбасное сырокопченое.</v>
          </cell>
          <cell r="K431"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1">
            <v>22</v>
          </cell>
          <cell r="M431">
            <v>49</v>
          </cell>
          <cell r="O431" t="str">
            <v>529/2187</v>
          </cell>
          <cell r="P431" t="str">
            <v>0…+6</v>
          </cell>
          <cell r="Q431">
            <v>30</v>
          </cell>
        </row>
        <row r="432">
          <cell r="B432">
            <v>1001060727316</v>
          </cell>
          <cell r="C432" t="str">
            <v>ПРАЗДНИЧНАЯ с/к в/с дек.спец. мгс 0.54кг</v>
          </cell>
          <cell r="D432" t="str">
            <v>ШТ</v>
          </cell>
          <cell r="E432" t="str">
            <v>Колбасные изделия</v>
          </cell>
          <cell r="F432" t="str">
            <v>С/к колбасы</v>
          </cell>
          <cell r="G432" t="str">
            <v>Останкино</v>
          </cell>
          <cell r="H432" t="str">
            <v>ОМПК(Г)</v>
          </cell>
          <cell r="I432" t="str">
            <v>ТУ 10.13.14-140-00425283-2015</v>
          </cell>
          <cell r="J432" t="str">
            <v>Мясной продукт. Изделие колбасное сырокопченое.</v>
          </cell>
          <cell r="K432"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2">
            <v>22</v>
          </cell>
          <cell r="M432">
            <v>49</v>
          </cell>
          <cell r="O432" t="str">
            <v>529/2187</v>
          </cell>
          <cell r="P432" t="str">
            <v>0…+12</v>
          </cell>
          <cell r="Q432">
            <v>120</v>
          </cell>
        </row>
        <row r="433">
          <cell r="B433">
            <v>1001060727388</v>
          </cell>
          <cell r="C433" t="str">
            <v>Z-ПРАЗДНИЧНАЯ с/к в/с дек.сп. мгс 0.54кг</v>
          </cell>
          <cell r="D433" t="str">
            <v>ШТ</v>
          </cell>
          <cell r="E433" t="str">
            <v>Колбасные изделия</v>
          </cell>
          <cell r="F433" t="str">
            <v>С/к колбасы</v>
          </cell>
          <cell r="G433" t="str">
            <v>Останкино</v>
          </cell>
          <cell r="H433" t="str">
            <v>ОМПК(Г)</v>
          </cell>
          <cell r="I433" t="str">
            <v>ТУ 10.13.14-140-00425283-2015</v>
          </cell>
          <cell r="J433" t="str">
            <v>Мясной продукт. Изделие колбасное сырокопченое.</v>
          </cell>
          <cell r="K433"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3">
            <v>22</v>
          </cell>
          <cell r="M433">
            <v>49</v>
          </cell>
          <cell r="O433" t="str">
            <v>529/2187</v>
          </cell>
          <cell r="P433" t="str">
            <v>0…+12</v>
          </cell>
          <cell r="Q433">
            <v>120</v>
          </cell>
        </row>
        <row r="434">
          <cell r="B434">
            <v>1001062353684</v>
          </cell>
          <cell r="C434" t="str">
            <v>ПРЕСИЖН с/к в/у 1/250 8шт.</v>
          </cell>
          <cell r="D434" t="str">
            <v>ШТ</v>
          </cell>
          <cell r="E434" t="str">
            <v>Колбасные изделия</v>
          </cell>
          <cell r="F434" t="str">
            <v>С/к колбасы</v>
          </cell>
          <cell r="G434" t="str">
            <v>Останкино</v>
          </cell>
          <cell r="H434" t="str">
            <v xml:space="preserve">ОМПК(О)
</v>
          </cell>
          <cell r="I434" t="str">
            <v>ТУ 10.13.14-181-00425283-2026</v>
          </cell>
          <cell r="J434" t="str">
            <v>Мясной продукт. Изделие колбасное сырокопченое.</v>
          </cell>
          <cell r="K434"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4">
            <v>20</v>
          </cell>
          <cell r="M434">
            <v>42</v>
          </cell>
          <cell r="N434">
            <v>5</v>
          </cell>
          <cell r="O434" t="str">
            <v>478/1979</v>
          </cell>
          <cell r="P434" t="str">
            <v>0…+6</v>
          </cell>
          <cell r="Q434">
            <v>120</v>
          </cell>
        </row>
        <row r="435">
          <cell r="B435">
            <v>1001062357519</v>
          </cell>
          <cell r="C435" t="str">
            <v>ПРЕСИЖН с/к в/у срез</v>
          </cell>
          <cell r="D435" t="str">
            <v>КГ</v>
          </cell>
          <cell r="E435" t="str">
            <v>Колбасные изделия</v>
          </cell>
          <cell r="F435" t="str">
            <v>С/к колбасы</v>
          </cell>
          <cell r="G435" t="str">
            <v>Останкино</v>
          </cell>
          <cell r="H435" t="str">
            <v xml:space="preserve">ОМПК(О)
</v>
          </cell>
          <cell r="I435" t="str">
            <v>ТУ 10.13.14-181-00425283-2026</v>
          </cell>
          <cell r="J435" t="str">
            <v>Мясной продукт. Изделие колбасное сырокопченое.</v>
          </cell>
          <cell r="K435"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5">
            <v>20</v>
          </cell>
          <cell r="M435">
            <v>42</v>
          </cell>
          <cell r="N435">
            <v>5</v>
          </cell>
          <cell r="O435" t="str">
            <v>478/1979</v>
          </cell>
          <cell r="P435" t="str">
            <v>0…+6</v>
          </cell>
          <cell r="Q435">
            <v>120</v>
          </cell>
        </row>
        <row r="436">
          <cell r="B436">
            <v>1001062355040</v>
          </cell>
          <cell r="C436" t="str">
            <v>Z-ПРЕСИЖН с/к в/у</v>
          </cell>
          <cell r="D436" t="str">
            <v>КГ</v>
          </cell>
          <cell r="E436" t="str">
            <v>Колбасные изделия</v>
          </cell>
          <cell r="F436" t="str">
            <v>С/к колбасы</v>
          </cell>
          <cell r="G436" t="str">
            <v>Останкино</v>
          </cell>
          <cell r="H436" t="str">
            <v>ОМПК(О)</v>
          </cell>
          <cell r="I436" t="str">
            <v>ТУ 10.13.14-181-00425283-2026</v>
          </cell>
          <cell r="J436" t="str">
            <v>Мясной продукт. Изделие колбасное сырокопченое.</v>
          </cell>
          <cell r="K436"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6">
            <v>20</v>
          </cell>
          <cell r="M436">
            <v>42</v>
          </cell>
          <cell r="N436">
            <v>5</v>
          </cell>
          <cell r="O436" t="str">
            <v>478/1979</v>
          </cell>
          <cell r="P436" t="str">
            <v>0…+12</v>
          </cell>
          <cell r="Q436">
            <v>120</v>
          </cell>
        </row>
        <row r="437">
          <cell r="B437">
            <v>1001062356572</v>
          </cell>
          <cell r="C437" t="str">
            <v>Z-ПРЕСИЖН с/к в/у 1/250</v>
          </cell>
          <cell r="D437" t="str">
            <v>ШТ</v>
          </cell>
          <cell r="E437" t="str">
            <v>Колбасные изделия</v>
          </cell>
          <cell r="F437" t="str">
            <v>С/к колбасы</v>
          </cell>
          <cell r="G437" t="str">
            <v>Останкино</v>
          </cell>
          <cell r="H437" t="str">
            <v>ОМПК(О)
ОМПК(Г)</v>
          </cell>
          <cell r="I437" t="str">
            <v>ТУ 10.13.14-181-00425283-2026</v>
          </cell>
          <cell r="J437" t="str">
            <v>Мясной продукт. Изделие колбасное сырокопченое.</v>
          </cell>
          <cell r="K437"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7">
            <v>20</v>
          </cell>
          <cell r="M437">
            <v>42</v>
          </cell>
          <cell r="N437">
            <v>5</v>
          </cell>
          <cell r="O437" t="str">
            <v>478/1979</v>
          </cell>
          <cell r="P437" t="str">
            <v>0…+6</v>
          </cell>
          <cell r="Q437">
            <v>120</v>
          </cell>
        </row>
        <row r="438">
          <cell r="B438">
            <v>1001062353679</v>
          </cell>
          <cell r="C438" t="str">
            <v>ПРЕСИЖН с/к в/у</v>
          </cell>
          <cell r="D438" t="str">
            <v>КГ</v>
          </cell>
          <cell r="E438" t="str">
            <v>Колбасные изделия</v>
          </cell>
          <cell r="F438" t="str">
            <v>С/к колбасы</v>
          </cell>
          <cell r="G438" t="str">
            <v>Останкино</v>
          </cell>
          <cell r="H438" t="str">
            <v>ОМПК(О)</v>
          </cell>
          <cell r="I438" t="str">
            <v>ТУ 10.13.14-181-00425283-2026</v>
          </cell>
          <cell r="J438" t="str">
            <v>Мясной продукт. Изделие колбасное сырокопченое.</v>
          </cell>
          <cell r="K438"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8">
            <v>20</v>
          </cell>
          <cell r="M438">
            <v>42</v>
          </cell>
          <cell r="N438">
            <v>5</v>
          </cell>
          <cell r="O438" t="str">
            <v>478/1979</v>
          </cell>
          <cell r="P438" t="str">
            <v>0…+12</v>
          </cell>
          <cell r="Q438">
            <v>120</v>
          </cell>
        </row>
        <row r="439">
          <cell r="B439">
            <v>1001062355996</v>
          </cell>
          <cell r="C439" t="str">
            <v>ПРЕСИЖН с/к в/у_О</v>
          </cell>
          <cell r="D439" t="str">
            <v>КГ</v>
          </cell>
          <cell r="E439" t="str">
            <v>Колбасные изделия</v>
          </cell>
          <cell r="F439" t="str">
            <v>С/к колбасы</v>
          </cell>
          <cell r="G439" t="str">
            <v>Останкино</v>
          </cell>
          <cell r="H439" t="str">
            <v>ОМПК(О)</v>
          </cell>
          <cell r="I439" t="str">
            <v>ТУ 10.13.14-181-00425283-2026</v>
          </cell>
          <cell r="J439" t="str">
            <v>Мясной продукт. Изделие колбасное сырокопченое.</v>
          </cell>
          <cell r="K439"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9">
            <v>20</v>
          </cell>
          <cell r="M439">
            <v>42</v>
          </cell>
          <cell r="N439">
            <v>5</v>
          </cell>
          <cell r="O439" t="str">
            <v>478/1979</v>
          </cell>
          <cell r="P439" t="str">
            <v>0…+12</v>
          </cell>
          <cell r="Q439">
            <v>120</v>
          </cell>
        </row>
        <row r="440">
          <cell r="B440">
            <v>1001062353680</v>
          </cell>
          <cell r="C440" t="str">
            <v>ПРЕСИЖН с/к дек.спец.мгс</v>
          </cell>
          <cell r="D440" t="str">
            <v>КГ</v>
          </cell>
          <cell r="E440" t="str">
            <v>Колбасные изделия</v>
          </cell>
          <cell r="F440" t="str">
            <v>С/к колбасы</v>
          </cell>
          <cell r="G440" t="str">
            <v>Останкино</v>
          </cell>
          <cell r="H440" t="str">
            <v>ОМПК(О)
ОМПК(Г)</v>
          </cell>
          <cell r="I440" t="str">
            <v>ТУ 10.13.14-140-00425283-2015</v>
          </cell>
          <cell r="J440" t="str">
            <v>Мясной продукт. Изделие колбасное сырокопченое.</v>
          </cell>
          <cell r="K440"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0">
            <v>13</v>
          </cell>
          <cell r="M440">
            <v>35</v>
          </cell>
          <cell r="N440">
            <v>5</v>
          </cell>
          <cell r="O440" t="str">
            <v>387/1601</v>
          </cell>
          <cell r="P440" t="str">
            <v>0…+12</v>
          </cell>
          <cell r="Q440">
            <v>120</v>
          </cell>
        </row>
        <row r="441">
          <cell r="B441">
            <v>1001062353691</v>
          </cell>
          <cell r="C441" t="str">
            <v>ПРЕСИЖН с/к дек.спец.мгс_А-Т</v>
          </cell>
          <cell r="D441" t="str">
            <v>КГ</v>
          </cell>
          <cell r="E441" t="str">
            <v>Колбасные изделия</v>
          </cell>
          <cell r="F441" t="str">
            <v>С/к колбасы</v>
          </cell>
          <cell r="G441" t="str">
            <v>Останкино</v>
          </cell>
          <cell r="H441" t="str">
            <v>ОМПК(О)
ОМПК(Г)</v>
          </cell>
          <cell r="I441" t="str">
            <v>ТУ 10.13.14-140-00425283-2015</v>
          </cell>
          <cell r="J441" t="str">
            <v>Мясной продукт. Изделие колбасное сырокопченое.</v>
          </cell>
          <cell r="K441"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1">
            <v>13</v>
          </cell>
          <cell r="M441">
            <v>35</v>
          </cell>
          <cell r="N441">
            <v>5</v>
          </cell>
          <cell r="O441" t="str">
            <v>387/1601</v>
          </cell>
          <cell r="P441" t="str">
            <v>0…+12</v>
          </cell>
          <cell r="Q441">
            <v>120</v>
          </cell>
        </row>
        <row r="442">
          <cell r="B442">
            <v>1001062353692</v>
          </cell>
          <cell r="C442" t="str">
            <v>ПРЕСИЖН с/к дек.спец.мгс_О</v>
          </cell>
          <cell r="D442" t="str">
            <v>КГ</v>
          </cell>
          <cell r="E442" t="str">
            <v>Колбасные изделия</v>
          </cell>
          <cell r="F442" t="str">
            <v>С/к колбасы</v>
          </cell>
          <cell r="G442" t="str">
            <v>Останкино</v>
          </cell>
          <cell r="H442" t="str">
            <v>ОМПК(О)
ОМПК(Г)</v>
          </cell>
          <cell r="I442" t="str">
            <v>ТУ 10.13.14-140-00425283-2015</v>
          </cell>
          <cell r="J442" t="str">
            <v>Мясной продукт. Изделие колбасное сырокопченое.</v>
          </cell>
          <cell r="K442"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2">
            <v>13</v>
          </cell>
          <cell r="M442">
            <v>35</v>
          </cell>
          <cell r="N442">
            <v>5</v>
          </cell>
          <cell r="O442" t="str">
            <v>387/1601</v>
          </cell>
          <cell r="P442" t="str">
            <v>0…+12</v>
          </cell>
          <cell r="Q442">
            <v>120</v>
          </cell>
        </row>
        <row r="443">
          <cell r="B443">
            <v>1001066567317</v>
          </cell>
          <cell r="C443" t="str">
            <v>ПРЕСИЖН с/к дек.спец. мгс 0.54кг</v>
          </cell>
          <cell r="D443" t="str">
            <v>ШТ</v>
          </cell>
          <cell r="E443" t="str">
            <v>Колбасные изделия</v>
          </cell>
          <cell r="F443" t="str">
            <v>С/к колбасы</v>
          </cell>
          <cell r="G443" t="str">
            <v>Останкино</v>
          </cell>
          <cell r="H443" t="str">
            <v>ОМПК(О)
ОМПК(Г)</v>
          </cell>
          <cell r="I443" t="str">
            <v>ТУ 10.13.14-140-00425283-2015</v>
          </cell>
          <cell r="J443" t="str">
            <v>Мясной продукт. Изделие колбасное сырокопченое.</v>
          </cell>
          <cell r="K443"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3">
            <v>13</v>
          </cell>
          <cell r="M443">
            <v>35</v>
          </cell>
          <cell r="N443">
            <v>5</v>
          </cell>
          <cell r="O443" t="str">
            <v>387/1601</v>
          </cell>
          <cell r="P443" t="str">
            <v>0…+12</v>
          </cell>
          <cell r="Q443">
            <v>120</v>
          </cell>
        </row>
        <row r="444">
          <cell r="B444">
            <v>1001066567537</v>
          </cell>
          <cell r="C444" t="str">
            <v>Z-ПРЕСИЖН с/к дек.спец. мгс 0.54кг</v>
          </cell>
          <cell r="D444" t="str">
            <v>ШТ</v>
          </cell>
          <cell r="E444" t="str">
            <v>Колбасные изделия</v>
          </cell>
          <cell r="F444" t="str">
            <v>С/к колбасы</v>
          </cell>
          <cell r="G444" t="str">
            <v>Останкино</v>
          </cell>
          <cell r="H444" t="str">
            <v>ОМПК(О)
ОМПК(Г)</v>
          </cell>
          <cell r="I444" t="str">
            <v>ТУ 10.13.14-140-00425283-2015</v>
          </cell>
          <cell r="J444" t="str">
            <v>Мясной продукт. Изделие колбасное сырокопченое.</v>
          </cell>
          <cell r="K444"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4">
            <v>13</v>
          </cell>
          <cell r="M444">
            <v>35</v>
          </cell>
          <cell r="N444">
            <v>5</v>
          </cell>
          <cell r="O444" t="str">
            <v>387/1601</v>
          </cell>
          <cell r="P444" t="str">
            <v>0…+12</v>
          </cell>
          <cell r="Q444">
            <v>30</v>
          </cell>
        </row>
        <row r="445">
          <cell r="B445">
            <v>1001060746507</v>
          </cell>
          <cell r="C445" t="str">
            <v>ПРЕСТИЖ с/к в/у 1/250 16шт.</v>
          </cell>
          <cell r="D445" t="str">
            <v>ШТ</v>
          </cell>
          <cell r="E445" t="str">
            <v>Колбасные изделия</v>
          </cell>
          <cell r="F445" t="str">
            <v>С/к колбасы</v>
          </cell>
          <cell r="G445" t="str">
            <v>Останкино</v>
          </cell>
          <cell r="H445" t="str">
            <v>ОМПК(О)
ОМПК(Г)</v>
          </cell>
          <cell r="I445" t="str">
            <v>ТУ 10.13.14-140-00425283-2015</v>
          </cell>
          <cell r="J445" t="str">
            <v>Мясной продукт. Изделие колбасное сырокопченое.</v>
          </cell>
          <cell r="K445" t="str">
            <v>свинина, шпик, белок соевый, говядина, филе грудок куриных, белок молочный, клетчатка (в т.ч. пшеничная), смесь посолочно-нитритная (соль, фиксатор окраски (нитрит натрия), регулятор кислотности (пирофосфаты), экстракты пряностей, соль, сахара, антиокислитель (изоаскорбат натрия), усилитель вкуса и аромата (глутамат натрия), гемоглобин, ароматизатор, краситель (кармины), стартовая культура</v>
          </cell>
          <cell r="L445">
            <v>13</v>
          </cell>
          <cell r="M445">
            <v>35</v>
          </cell>
          <cell r="N445">
            <v>2</v>
          </cell>
          <cell r="O445" t="str">
            <v>375/1550</v>
          </cell>
          <cell r="P445" t="str">
            <v>0…+6</v>
          </cell>
          <cell r="Q445">
            <v>120</v>
          </cell>
        </row>
        <row r="446">
          <cell r="B446">
            <v>1001063237147</v>
          </cell>
          <cell r="C446" t="str">
            <v>САЛЬЧИЧОН Останкино с/к в/у 1/220 8шт.</v>
          </cell>
          <cell r="D446" t="str">
            <v>ШТ</v>
          </cell>
          <cell r="E446" t="str">
            <v>Колбасные изделия</v>
          </cell>
          <cell r="F446" t="str">
            <v>С/к колбасы</v>
          </cell>
          <cell r="G446" t="str">
            <v>Останкино</v>
          </cell>
          <cell r="H446" t="str">
            <v>ОМПК(Г)</v>
          </cell>
          <cell r="I446" t="str">
            <v>ТУ 10.13.14-173-00425283-2024</v>
          </cell>
          <cell r="J446" t="str">
            <v>Мясной продукт. Изделие колбасное сырокопченое.</v>
          </cell>
          <cell r="K446"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6">
            <v>23</v>
          </cell>
          <cell r="M446">
            <v>41</v>
          </cell>
          <cell r="N446">
            <v>2</v>
          </cell>
          <cell r="O446" t="str">
            <v>469/1942</v>
          </cell>
          <cell r="P446" t="str">
            <v>0…+6</v>
          </cell>
          <cell r="Q446">
            <v>120</v>
          </cell>
        </row>
        <row r="447">
          <cell r="B447">
            <v>1001063237465</v>
          </cell>
          <cell r="C447" t="str">
            <v>САЛЬЧИЧОН Останкино с/к в/у 1/220_СНГ</v>
          </cell>
          <cell r="D447" t="str">
            <v>ШТ</v>
          </cell>
          <cell r="E447" t="str">
            <v>Колбасные изделия</v>
          </cell>
          <cell r="F447" t="str">
            <v>С/к колбасы</v>
          </cell>
          <cell r="G447" t="str">
            <v>Останкино</v>
          </cell>
          <cell r="H447" t="str">
            <v>ОМПК(Г)</v>
          </cell>
          <cell r="I447" t="str">
            <v>ТУ 10.13.14-173-00425283-2024</v>
          </cell>
          <cell r="J447" t="str">
            <v>Мясной продукт. Изделие колбасное сырокопченое.</v>
          </cell>
          <cell r="K447"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7">
            <v>23</v>
          </cell>
          <cell r="M447">
            <v>41</v>
          </cell>
          <cell r="N447">
            <v>2</v>
          </cell>
          <cell r="O447" t="str">
            <v>469/1942</v>
          </cell>
          <cell r="P447" t="str">
            <v>0…+6</v>
          </cell>
          <cell r="Q447">
            <v>120</v>
          </cell>
        </row>
        <row r="448">
          <cell r="B448">
            <v>1001063237324</v>
          </cell>
          <cell r="C448" t="str">
            <v>Z-САЛЬЧИЧОН Останкино с/к в/у 0.44кг</v>
          </cell>
          <cell r="D448" t="str">
            <v>КГ</v>
          </cell>
          <cell r="E448" t="str">
            <v>Колбасные изделия</v>
          </cell>
          <cell r="F448" t="str">
            <v>С/к колбасы</v>
          </cell>
          <cell r="G448" t="str">
            <v>Останкино</v>
          </cell>
          <cell r="H448" t="str">
            <v>ОМПК(Г)</v>
          </cell>
          <cell r="I448" t="str">
            <v>ТУ 10.13.14-173-00425283-2024</v>
          </cell>
          <cell r="J448" t="str">
            <v>Мясной продукт. Изделие колбасное сырокопченое.</v>
          </cell>
          <cell r="K448"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8">
            <v>23</v>
          </cell>
          <cell r="M448">
            <v>41</v>
          </cell>
          <cell r="N448">
            <v>2</v>
          </cell>
          <cell r="O448" t="str">
            <v>469/1942</v>
          </cell>
          <cell r="P448" t="str">
            <v>0…+12</v>
          </cell>
          <cell r="Q448">
            <v>120</v>
          </cell>
        </row>
        <row r="449">
          <cell r="B449">
            <v>1001307147417</v>
          </cell>
          <cell r="C449" t="str">
            <v>АССОРТИ САЛЬЧИЧОН И ЧОРИЗО с/к в/у 1/440</v>
          </cell>
          <cell r="D449" t="str">
            <v>ШТ</v>
          </cell>
          <cell r="E449" t="str">
            <v>Колбасные изделия</v>
          </cell>
          <cell r="F449" t="str">
            <v>С/к колбасы</v>
          </cell>
          <cell r="G449" t="str">
            <v>Останкино</v>
          </cell>
          <cell r="H449" t="str">
            <v>ОМПК(Г)</v>
          </cell>
          <cell r="I449" t="str">
            <v>ТУ 10.13.14-174-00425283-2024</v>
          </cell>
          <cell r="J449" t="str">
            <v>Мясной продукт. Изделие колбасное сырокопченое.</v>
          </cell>
          <cell r="K449" t="str">
            <v>САЛЬЧИЧОН: 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 
ЧОРИЗО: 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49" t="str">
            <v>23
12</v>
          </cell>
          <cell r="M449" t="str">
            <v>41
26</v>
          </cell>
          <cell r="N449" t="str">
            <v>2
2</v>
          </cell>
          <cell r="O449" t="str">
            <v>469/1942
290/1200</v>
          </cell>
          <cell r="P449" t="str">
            <v>0…+6</v>
          </cell>
          <cell r="Q449">
            <v>90</v>
          </cell>
        </row>
        <row r="450">
          <cell r="B450">
            <v>1001066857339</v>
          </cell>
          <cell r="C450" t="str">
            <v>САЛЯМИ ДАТСКАЯ ПМ с/к в/у 1/250_Kvalita</v>
          </cell>
          <cell r="D450" t="str">
            <v>ШТ</v>
          </cell>
          <cell r="E450" t="str">
            <v>Колбасные изделия</v>
          </cell>
          <cell r="F450" t="str">
            <v>С/к колбасы</v>
          </cell>
          <cell r="G450" t="str">
            <v>Папа может</v>
          </cell>
          <cell r="H450" t="str">
            <v>ОМПК(О)</v>
          </cell>
          <cell r="I450" t="str">
            <v>ТУ 10.13.14-181-00425283-2026</v>
          </cell>
          <cell r="J450" t="str">
            <v>Мясной продукт. Изделие колбасное сырокопченое.</v>
          </cell>
          <cell r="K450"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50">
            <v>17</v>
          </cell>
          <cell r="M450">
            <v>41</v>
          </cell>
          <cell r="N450">
            <v>7</v>
          </cell>
          <cell r="O450" t="str">
            <v>465/1925</v>
          </cell>
          <cell r="P450" t="str">
            <v>0…+6</v>
          </cell>
          <cell r="Q450">
            <v>120</v>
          </cell>
        </row>
        <row r="451">
          <cell r="B451">
            <v>1001060763287</v>
          </cell>
          <cell r="C451" t="str">
            <v>САЛЯМИ ИТАЛЬЯНСКАЯ с/к в/у</v>
          </cell>
          <cell r="D451" t="str">
            <v>КГ</v>
          </cell>
          <cell r="E451" t="str">
            <v>Колбасные изделия</v>
          </cell>
          <cell r="F451" t="str">
            <v>С/к колбасы</v>
          </cell>
          <cell r="G451" t="str">
            <v>Останкино</v>
          </cell>
          <cell r="H451" t="str">
            <v>ОМПК(О)</v>
          </cell>
          <cell r="I451" t="str">
            <v>ТУ 10.13.14-181-00425283-2026</v>
          </cell>
          <cell r="J451" t="str">
            <v>Мясной продукт. Изделие колбасное сырокопченое.</v>
          </cell>
          <cell r="K451"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1">
            <v>18</v>
          </cell>
          <cell r="M451">
            <v>42</v>
          </cell>
          <cell r="N451">
            <v>5</v>
          </cell>
          <cell r="O451" t="str">
            <v>470/1945</v>
          </cell>
          <cell r="P451" t="str">
            <v>0…+12</v>
          </cell>
          <cell r="Q451">
            <v>120</v>
          </cell>
        </row>
        <row r="452">
          <cell r="B452">
            <v>1001060764993</v>
          </cell>
          <cell r="C452" t="str">
            <v>САЛЯМИ ИТАЛЬЯНСКАЯ с/к в/у 1/250*8_120с</v>
          </cell>
          <cell r="D452" t="str">
            <v>ШТ</v>
          </cell>
          <cell r="E452" t="str">
            <v>Колбасные изделия</v>
          </cell>
          <cell r="F452" t="str">
            <v>С/к колбасы</v>
          </cell>
          <cell r="G452" t="str">
            <v>Останкино</v>
          </cell>
          <cell r="H452" t="str">
            <v>ОМПК(О)</v>
          </cell>
          <cell r="I452" t="str">
            <v>ТУ 10.13.14-181-00425283-2026</v>
          </cell>
          <cell r="J452" t="str">
            <v>Мясной продукт. Изделие колбасное сырокопченое.</v>
          </cell>
          <cell r="K452"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2">
            <v>18</v>
          </cell>
          <cell r="M452">
            <v>42</v>
          </cell>
          <cell r="N452">
            <v>5</v>
          </cell>
          <cell r="O452" t="str">
            <v>470/1945</v>
          </cell>
          <cell r="P452" t="str">
            <v>0…+6</v>
          </cell>
          <cell r="Q452">
            <v>120</v>
          </cell>
        </row>
        <row r="453">
          <cell r="B453">
            <v>1001060765178</v>
          </cell>
          <cell r="C453" t="str">
            <v>САЛЯМИ ИТАЛЬЯНСКАЯ с/к в/у 1/250 8шт_СНГ</v>
          </cell>
          <cell r="D453" t="str">
            <v>ШТ</v>
          </cell>
          <cell r="E453" t="str">
            <v>Колбасные изделия</v>
          </cell>
          <cell r="F453" t="str">
            <v>С/к колбасы</v>
          </cell>
          <cell r="G453" t="str">
            <v>Останкино</v>
          </cell>
          <cell r="H453" t="str">
            <v>ОМПК(О)</v>
          </cell>
          <cell r="I453" t="str">
            <v>ТУ 10.13.14-181-00425283-2026</v>
          </cell>
          <cell r="J453" t="str">
            <v>Мясной продукт. Изделие колбасное сырокопченое.</v>
          </cell>
          <cell r="K453"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3">
            <v>18</v>
          </cell>
          <cell r="M453">
            <v>42</v>
          </cell>
          <cell r="N453">
            <v>5</v>
          </cell>
          <cell r="O453" t="str">
            <v>470/1945</v>
          </cell>
          <cell r="P453" t="str">
            <v>0…+6</v>
          </cell>
          <cell r="Q453">
            <v>120</v>
          </cell>
        </row>
        <row r="454">
          <cell r="B454">
            <v>1001060765861</v>
          </cell>
          <cell r="C454" t="str">
            <v>Z-САЛЯМИ ИТАЛЬЯНСКАЯ с/к в/у 1/250</v>
          </cell>
          <cell r="D454" t="str">
            <v>ШТ</v>
          </cell>
          <cell r="E454" t="str">
            <v>Колбасные изделия</v>
          </cell>
          <cell r="F454" t="str">
            <v>С/к колбасы</v>
          </cell>
          <cell r="G454" t="str">
            <v>Останкино</v>
          </cell>
          <cell r="H454" t="str">
            <v>ОМПК(О)</v>
          </cell>
          <cell r="I454" t="str">
            <v>ТУ 10.13.14-181-00425283-2026</v>
          </cell>
          <cell r="J454" t="str">
            <v>Мясной продукт. Изделие колбасное сырокопченое.</v>
          </cell>
          <cell r="K454"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4">
            <v>18</v>
          </cell>
          <cell r="M454">
            <v>42</v>
          </cell>
          <cell r="N454">
            <v>5</v>
          </cell>
          <cell r="O454" t="str">
            <v>470/1945</v>
          </cell>
          <cell r="P454" t="str">
            <v>0…+6</v>
          </cell>
          <cell r="Q454">
            <v>120</v>
          </cell>
        </row>
        <row r="455">
          <cell r="B455">
            <v>1001060765911</v>
          </cell>
          <cell r="C455" t="str">
            <v>Z-САЛЯМИ ИТАЛЬЯН. с/к в/у (для нарезки)</v>
          </cell>
          <cell r="D455" t="str">
            <v>КГ</v>
          </cell>
          <cell r="E455" t="str">
            <v>Колбасные изделия</v>
          </cell>
          <cell r="F455" t="str">
            <v>С/к колбасы</v>
          </cell>
          <cell r="G455" t="str">
            <v>Останкино</v>
          </cell>
          <cell r="H455" t="str">
            <v>ОМПК(О)
Малаховский МК</v>
          </cell>
          <cell r="I455" t="str">
            <v>ТУ 9213-140-00425283-2015</v>
          </cell>
          <cell r="J455" t="str">
            <v>Мясной продукт. Изделие колбасное сырокопченое.</v>
          </cell>
          <cell r="K455" t="str">
            <v>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455">
            <v>16</v>
          </cell>
          <cell r="M455">
            <v>50</v>
          </cell>
          <cell r="O455" t="str">
            <v>514/2123</v>
          </cell>
          <cell r="P455" t="str">
            <v>0…+12</v>
          </cell>
          <cell r="Q455">
            <v>120</v>
          </cell>
        </row>
        <row r="456">
          <cell r="B456">
            <v>1001060767373</v>
          </cell>
          <cell r="C456" t="str">
            <v>САЛЯМИ ИТАЛЬЯНСКАЯ с/к в/у_Ашан</v>
          </cell>
          <cell r="D456" t="str">
            <v>КГ</v>
          </cell>
          <cell r="E456" t="str">
            <v>Колбасные изделия</v>
          </cell>
          <cell r="F456" t="str">
            <v>С/к колбасы</v>
          </cell>
          <cell r="G456" t="str">
            <v>Останкино</v>
          </cell>
          <cell r="H456" t="str">
            <v>ОМПК(О)</v>
          </cell>
          <cell r="I456" t="str">
            <v>ТУ 10.13.14-181-00425283-2026</v>
          </cell>
          <cell r="J456" t="str">
            <v>Мясной продукт. Изделие колбасное сырокопченое.</v>
          </cell>
          <cell r="K456"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6">
            <v>18</v>
          </cell>
          <cell r="M456">
            <v>42</v>
          </cell>
          <cell r="N456">
            <v>5</v>
          </cell>
          <cell r="O456" t="str">
            <v>470/1945</v>
          </cell>
          <cell r="P456" t="str">
            <v>0…+12</v>
          </cell>
          <cell r="Q456">
            <v>120</v>
          </cell>
        </row>
        <row r="457">
          <cell r="B457">
            <v>1001060766187</v>
          </cell>
          <cell r="C457" t="str">
            <v>САЛЯМИ ИТАЛЬЯНСКАЯ с/к в/у_Глобус</v>
          </cell>
          <cell r="D457" t="str">
            <v>КГ</v>
          </cell>
          <cell r="E457" t="str">
            <v>Колбасные изделия</v>
          </cell>
          <cell r="F457" t="str">
            <v>С/к колбасы</v>
          </cell>
          <cell r="G457" t="str">
            <v>Останкино</v>
          </cell>
          <cell r="H457" t="str">
            <v>ОМПК(О)</v>
          </cell>
          <cell r="I457" t="str">
            <v>ТУ 10.13.14-181-00425283-2026</v>
          </cell>
          <cell r="J457" t="str">
            <v>Мясной продукт. Изделие колбасное сырокопченое.</v>
          </cell>
          <cell r="K45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7">
            <v>18</v>
          </cell>
          <cell r="M457">
            <v>42</v>
          </cell>
          <cell r="N457">
            <v>5</v>
          </cell>
          <cell r="O457" t="str">
            <v>470/1945</v>
          </cell>
          <cell r="P457" t="str">
            <v>0…+12</v>
          </cell>
          <cell r="Q457">
            <v>120</v>
          </cell>
        </row>
        <row r="458">
          <cell r="B458">
            <v>1001060764082</v>
          </cell>
          <cell r="C458" t="str">
            <v>САЛЯМИ ИТАЛЬЯНСКАЯ с/к в/у_Метро</v>
          </cell>
          <cell r="D458" t="str">
            <v>КГ</v>
          </cell>
          <cell r="E458" t="str">
            <v>Колбасные изделия</v>
          </cell>
          <cell r="F458" t="str">
            <v>С/к колбасы</v>
          </cell>
          <cell r="G458" t="str">
            <v>Останкино</v>
          </cell>
          <cell r="H458" t="str">
            <v>ОМПК(О)</v>
          </cell>
          <cell r="I458" t="str">
            <v>ТУ 10.13.14-181-00425283-2026</v>
          </cell>
          <cell r="J458" t="str">
            <v>Мясной продукт. Изделие колбасное сырокопченое.</v>
          </cell>
          <cell r="K458"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8">
            <v>18</v>
          </cell>
          <cell r="M458">
            <v>42</v>
          </cell>
          <cell r="N458">
            <v>5</v>
          </cell>
          <cell r="O458" t="str">
            <v>470/1945</v>
          </cell>
          <cell r="P458" t="str">
            <v>0…+12</v>
          </cell>
          <cell r="Q458">
            <v>120</v>
          </cell>
        </row>
        <row r="459">
          <cell r="B459">
            <v>1001060763382</v>
          </cell>
          <cell r="C459" t="str">
            <v>САЛЯМИ ИТАЛЬЯНСКАЯ с/к в/у_О</v>
          </cell>
          <cell r="D459" t="str">
            <v>КГ</v>
          </cell>
          <cell r="E459" t="str">
            <v>Колбасные изделия</v>
          </cell>
          <cell r="F459" t="str">
            <v>С/к колбасы</v>
          </cell>
          <cell r="G459" t="str">
            <v>Останкино</v>
          </cell>
          <cell r="H459" t="str">
            <v>ОМПК(О)</v>
          </cell>
          <cell r="I459" t="str">
            <v>ТУ 10.13.14-181-00425283-2026</v>
          </cell>
          <cell r="J459" t="str">
            <v>Мясной продукт. Изделие колбасное сырокопченое.</v>
          </cell>
          <cell r="K459"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9">
            <v>18</v>
          </cell>
          <cell r="M459">
            <v>42</v>
          </cell>
          <cell r="N459">
            <v>5</v>
          </cell>
          <cell r="O459" t="str">
            <v>470/1945</v>
          </cell>
          <cell r="P459" t="str">
            <v>0…+12</v>
          </cell>
          <cell r="Q459">
            <v>120</v>
          </cell>
        </row>
        <row r="460">
          <cell r="B460">
            <v>1001060765041</v>
          </cell>
          <cell r="C460" t="str">
            <v>Z-САЛЯМИ ИТАЛЬЯНСКАЯ с/к в/у</v>
          </cell>
          <cell r="D460" t="str">
            <v>КГ</v>
          </cell>
          <cell r="E460" t="str">
            <v>Колбасные изделия</v>
          </cell>
          <cell r="F460" t="str">
            <v>С/к колбасы</v>
          </cell>
          <cell r="G460" t="str">
            <v>Останкино</v>
          </cell>
          <cell r="H460" t="str">
            <v>ОМПК(О)</v>
          </cell>
          <cell r="I460" t="str">
            <v>ТУ 10.13.14-181-00425283-2026</v>
          </cell>
          <cell r="J460" t="str">
            <v>Мясной продукт. Изделие колбасное сырокопченое.</v>
          </cell>
          <cell r="K460"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0">
            <v>18</v>
          </cell>
          <cell r="M460">
            <v>42</v>
          </cell>
          <cell r="N460">
            <v>5</v>
          </cell>
          <cell r="O460" t="str">
            <v>470/1945</v>
          </cell>
          <cell r="P460" t="str">
            <v>0…+12</v>
          </cell>
          <cell r="Q460">
            <v>120</v>
          </cell>
        </row>
        <row r="461">
          <cell r="B461">
            <v>1001060784621</v>
          </cell>
          <cell r="C461" t="str">
            <v>САЛЯМИ МЕЛКОЗЕРНЁНАЯ с/к в/у_Ашан</v>
          </cell>
          <cell r="D461" t="str">
            <v>КГ</v>
          </cell>
          <cell r="E461" t="str">
            <v>Колбасные изделия</v>
          </cell>
          <cell r="F461" t="str">
            <v>С/к колбасы</v>
          </cell>
          <cell r="G461" t="str">
            <v>Останкино</v>
          </cell>
          <cell r="H461" t="str">
            <v>ОМПК(О)</v>
          </cell>
          <cell r="I461" t="str">
            <v>ТУ 10.13.14-181-00425283-2026</v>
          </cell>
          <cell r="J461" t="str">
            <v>Мясной продукт. Изделие колбасное сырокопченое.</v>
          </cell>
          <cell r="K461"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1">
            <v>17</v>
          </cell>
          <cell r="M461">
            <v>40</v>
          </cell>
          <cell r="N461">
            <v>6</v>
          </cell>
          <cell r="O461" t="str">
            <v>452/1871</v>
          </cell>
          <cell r="P461" t="str">
            <v>0…+12</v>
          </cell>
          <cell r="Q461">
            <v>120</v>
          </cell>
        </row>
        <row r="462">
          <cell r="B462">
            <v>1001063117352</v>
          </cell>
          <cell r="C462" t="str">
            <v>САЛЯМИ МЕЛКОЗЕРНЕНАЯ с/к в/у_Глобус</v>
          </cell>
          <cell r="D462" t="str">
            <v>КГ</v>
          </cell>
          <cell r="E462" t="str">
            <v>Колбасные изделия</v>
          </cell>
          <cell r="F462" t="str">
            <v>С/к колбасы</v>
          </cell>
          <cell r="G462" t="str">
            <v>Останкино</v>
          </cell>
          <cell r="H462" t="str">
            <v>ОМПК(О)</v>
          </cell>
          <cell r="I462" t="str">
            <v>ТУ 10.13.14-140-00425283-2015</v>
          </cell>
          <cell r="J462" t="str">
            <v>Мясной продукт. Изделие колбасное сырокопченое.</v>
          </cell>
          <cell r="K462"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2">
            <v>17</v>
          </cell>
          <cell r="M462">
            <v>40</v>
          </cell>
          <cell r="N462">
            <v>6</v>
          </cell>
          <cell r="O462" t="str">
            <v>452/1871</v>
          </cell>
          <cell r="P462" t="str">
            <v>0…+12</v>
          </cell>
          <cell r="Q462">
            <v>120</v>
          </cell>
        </row>
        <row r="463">
          <cell r="B463">
            <v>1001060784118</v>
          </cell>
          <cell r="C463" t="str">
            <v>САЛЯМИ МЕЛКОЗЕРНЕНАЯ с/к в/у_Л</v>
          </cell>
          <cell r="D463" t="str">
            <v>КГ</v>
          </cell>
          <cell r="E463" t="str">
            <v>Колбасные изделия</v>
          </cell>
          <cell r="F463" t="str">
            <v>С/к колбасы</v>
          </cell>
          <cell r="G463" t="str">
            <v>Останкино</v>
          </cell>
          <cell r="H463" t="str">
            <v>ОМПК(О)</v>
          </cell>
          <cell r="I463" t="str">
            <v>ТУ 10.13.14-181-00425283-2026</v>
          </cell>
          <cell r="J463" t="str">
            <v>Мясной продукт. Изделие колбасное сырокопченое.</v>
          </cell>
          <cell r="K463"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3">
            <v>17</v>
          </cell>
          <cell r="M463">
            <v>40</v>
          </cell>
          <cell r="N463">
            <v>6</v>
          </cell>
          <cell r="O463" t="str">
            <v>452/1871</v>
          </cell>
          <cell r="P463" t="str">
            <v>0…+12</v>
          </cell>
          <cell r="Q463">
            <v>120</v>
          </cell>
        </row>
        <row r="464">
          <cell r="B464">
            <v>1001063116571</v>
          </cell>
          <cell r="C464" t="str">
            <v>САЛЯМИ МЕЛКОЗЕРНЁНАЯ с/к в/у 0.5кг 8шт.</v>
          </cell>
          <cell r="D464" t="str">
            <v>ШТ</v>
          </cell>
          <cell r="E464" t="str">
            <v>Колбасные изделия</v>
          </cell>
          <cell r="F464" t="str">
            <v>С/к колбасы</v>
          </cell>
          <cell r="G464" t="str">
            <v>Останкино</v>
          </cell>
          <cell r="H464" t="str">
            <v>ОМПК(О)</v>
          </cell>
          <cell r="I464" t="str">
            <v>ТУ 10.13.14-181-00425283-2026</v>
          </cell>
          <cell r="J464" t="str">
            <v>Мясной продукт. Изделие колбасное сырокопченое.</v>
          </cell>
          <cell r="K464"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4">
            <v>17</v>
          </cell>
          <cell r="M464">
            <v>40</v>
          </cell>
          <cell r="N464">
            <v>6</v>
          </cell>
          <cell r="O464" t="str">
            <v>452/1871</v>
          </cell>
          <cell r="P464" t="str">
            <v>0…+12</v>
          </cell>
          <cell r="Q464">
            <v>120</v>
          </cell>
        </row>
        <row r="465">
          <cell r="B465">
            <v>1001063115043</v>
          </cell>
          <cell r="C465" t="str">
            <v>Z-САЛЯМИ МЕЛКОЗЕРНЕНАЯ с/к в/у</v>
          </cell>
          <cell r="D465" t="str">
            <v>КГ</v>
          </cell>
          <cell r="E465" t="str">
            <v>Колбасные изделия</v>
          </cell>
          <cell r="F465" t="str">
            <v>С/к колбасы</v>
          </cell>
          <cell r="G465" t="str">
            <v>Останкино</v>
          </cell>
          <cell r="H465" t="str">
            <v>ОМПК(О)</v>
          </cell>
          <cell r="I465" t="str">
            <v>ТУ 10.13.14-181-00425283-2026</v>
          </cell>
          <cell r="J465" t="str">
            <v>Мясной продукт. Изделие колбасное сырокопченое.</v>
          </cell>
          <cell r="K465"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5">
            <v>17</v>
          </cell>
          <cell r="M465">
            <v>40</v>
          </cell>
          <cell r="N465">
            <v>6</v>
          </cell>
          <cell r="O465" t="str">
            <v>452/1871</v>
          </cell>
          <cell r="P465" t="str">
            <v>0…+12</v>
          </cell>
          <cell r="Q465">
            <v>120</v>
          </cell>
        </row>
        <row r="466">
          <cell r="B466">
            <v>1001063115912</v>
          </cell>
          <cell r="C466" t="str">
            <v>Z-САЛЯМИ МЕЛКОЗЕРН.с/к в/у (для нарезки)</v>
          </cell>
          <cell r="D466" t="str">
            <v>КГ</v>
          </cell>
          <cell r="E466" t="str">
            <v>Колбасные изделия</v>
          </cell>
          <cell r="F466" t="str">
            <v>С/к колбасы</v>
          </cell>
          <cell r="G466" t="str">
            <v>Останкино</v>
          </cell>
          <cell r="H466" t="str">
            <v>ОМПК(О)</v>
          </cell>
          <cell r="I466" t="str">
            <v>ТУ 10.13.14-140-00425283-2015</v>
          </cell>
          <cell r="J466" t="str">
            <v>Мясной продукт. Изделие колбасное сырокопченое.</v>
          </cell>
          <cell r="K466" t="str">
            <v>свинина, шпик, вода питьевая, белок соевый, смесь посолочно-нитритная (соль, фиксатор окраски (нитрит натрия)), соль, регуляторы кислотности (пирофосфаты, глюконо-дельта-лактон), белок молочный, клетчатка (в т.ч. пшеничная), пряности (перец белый, перец черный), сахар, антиокислитель (изоаскорбат натрия), усилитель вкуса и аромата (глутамат натрия), ароматизаторы (в т.ч. орех), гемоглобин, краситель (кармины), стартовая культура</v>
          </cell>
          <cell r="L466">
            <v>13</v>
          </cell>
          <cell r="M466">
            <v>40</v>
          </cell>
          <cell r="N466">
            <v>0</v>
          </cell>
          <cell r="O466" t="str">
            <v>358/1479</v>
          </cell>
          <cell r="P466" t="str">
            <v>0…+12</v>
          </cell>
          <cell r="Q466">
            <v>120</v>
          </cell>
        </row>
        <row r="467">
          <cell r="B467">
            <v>1001063107215</v>
          </cell>
          <cell r="C467" t="str">
            <v>Z-САЛЯМИ Папа может с/к в/у 1/250</v>
          </cell>
          <cell r="D467" t="str">
            <v>ШТ</v>
          </cell>
          <cell r="E467" t="str">
            <v>Колбасные изделия</v>
          </cell>
          <cell r="F467" t="str">
            <v>С/к колбасы</v>
          </cell>
          <cell r="G467" t="str">
            <v>Папа может</v>
          </cell>
          <cell r="H467" t="str">
            <v>ОМПК(О)</v>
          </cell>
          <cell r="I467" t="str">
            <v>ТУ 10.13.14-181-00425283-2026</v>
          </cell>
          <cell r="J467" t="str">
            <v>Мясной продукт. Изделие колбасное сырокопченое.</v>
          </cell>
          <cell r="K46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7">
            <v>18</v>
          </cell>
          <cell r="M467">
            <v>42</v>
          </cell>
          <cell r="N467">
            <v>5</v>
          </cell>
          <cell r="O467" t="str">
            <v>470/1945</v>
          </cell>
          <cell r="P467" t="str">
            <v>0…+6</v>
          </cell>
          <cell r="Q467">
            <v>120</v>
          </cell>
        </row>
        <row r="468">
          <cell r="B468">
            <v>1001063106937</v>
          </cell>
          <cell r="C468" t="str">
            <v>САЛЯМИ Папа может с/к в/у 1/250 8шт.</v>
          </cell>
          <cell r="D468" t="str">
            <v>ШТ</v>
          </cell>
          <cell r="E468" t="str">
            <v>Колбасные изделия</v>
          </cell>
          <cell r="F468" t="str">
            <v>С/к колбасы</v>
          </cell>
          <cell r="G468" t="str">
            <v>Папа может</v>
          </cell>
          <cell r="H468" t="str">
            <v>ОМПК(О)</v>
          </cell>
          <cell r="I468" t="str">
            <v>ТУ 10.13.14-181-00425283-2026</v>
          </cell>
          <cell r="J468" t="str">
            <v>Мясной продукт. Изделие колбасное сырокопченое.</v>
          </cell>
          <cell r="K468"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8">
            <v>18</v>
          </cell>
          <cell r="M468">
            <v>42</v>
          </cell>
          <cell r="N468">
            <v>5</v>
          </cell>
          <cell r="O468" t="str">
            <v>470/1945</v>
          </cell>
          <cell r="P468" t="str">
            <v>0…+6</v>
          </cell>
          <cell r="Q468">
            <v>120</v>
          </cell>
        </row>
        <row r="469">
          <cell r="B469">
            <v>1001063107213</v>
          </cell>
          <cell r="C469" t="str">
            <v>САЛЯМИ Папа может с/к в/у 1/250_СНГ</v>
          </cell>
          <cell r="D469" t="str">
            <v>ШТ</v>
          </cell>
          <cell r="E469" t="str">
            <v>Колбасные изделия</v>
          </cell>
          <cell r="F469" t="str">
            <v>С/к колбасы</v>
          </cell>
          <cell r="G469" t="str">
            <v>Папа может</v>
          </cell>
          <cell r="H469" t="str">
            <v>ОМПК(О)</v>
          </cell>
          <cell r="I469" t="str">
            <v>ТУ 10.13.14-181-00425283-2026</v>
          </cell>
          <cell r="J469" t="str">
            <v>Мясной продукт. Изделие колбасное сырокопченое.</v>
          </cell>
          <cell r="K469"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9">
            <v>18</v>
          </cell>
          <cell r="M469">
            <v>42</v>
          </cell>
          <cell r="N469">
            <v>5</v>
          </cell>
          <cell r="O469" t="str">
            <v>470/1945</v>
          </cell>
          <cell r="P469" t="str">
            <v>0…+6</v>
          </cell>
          <cell r="Q469">
            <v>120</v>
          </cell>
        </row>
        <row r="470">
          <cell r="B470">
            <v>1001063104299</v>
          </cell>
          <cell r="C470" t="str">
            <v>САЛЯМИ с/к в/у</v>
          </cell>
          <cell r="D470" t="str">
            <v>КГ</v>
          </cell>
          <cell r="E470" t="str">
            <v>Колбасные изделия</v>
          </cell>
          <cell r="F470" t="str">
            <v>С/к колбасы</v>
          </cell>
          <cell r="G470" t="str">
            <v>Без ТМ</v>
          </cell>
          <cell r="H470" t="str">
            <v>ОМПК(О)</v>
          </cell>
          <cell r="I470" t="str">
            <v>ТУ 10.13.14-181-00425283-2026</v>
          </cell>
          <cell r="J470" t="str">
            <v>Мясной продукт. Изделие колбасное сырокопченое.</v>
          </cell>
          <cell r="K470"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70">
            <v>20</v>
          </cell>
          <cell r="M470">
            <v>40</v>
          </cell>
          <cell r="N470">
            <v>0</v>
          </cell>
          <cell r="O470" t="str">
            <v>462/1911</v>
          </cell>
          <cell r="P470" t="str">
            <v>0…+12</v>
          </cell>
          <cell r="Q470">
            <v>120</v>
          </cell>
        </row>
        <row r="471">
          <cell r="B471">
            <v>1001063097456</v>
          </cell>
          <cell r="C471" t="str">
            <v>САЛЯМИ ФИНСКАЯ Папа может с/к в/у 1/150</v>
          </cell>
          <cell r="D471" t="str">
            <v>ШТ</v>
          </cell>
          <cell r="E471" t="str">
            <v>Колбасные изделия</v>
          </cell>
          <cell r="F471" t="str">
            <v>С/к колбасы</v>
          </cell>
          <cell r="G471" t="str">
            <v>Папа может</v>
          </cell>
          <cell r="H471" t="str">
            <v>ОМПК(Г)</v>
          </cell>
          <cell r="I471" t="str">
            <v>ТУ 10.13.14-140-00425283-2015</v>
          </cell>
          <cell r="J471" t="str">
            <v>Мясной продукт. Изделие колбасное сырокопченое.</v>
          </cell>
          <cell r="K471" t="str">
            <v>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71">
            <v>15</v>
          </cell>
          <cell r="M471">
            <v>24</v>
          </cell>
          <cell r="N471">
            <v>1</v>
          </cell>
          <cell r="O471" t="str">
            <v>280/1160</v>
          </cell>
          <cell r="P471" t="str">
            <v>0…+25</v>
          </cell>
          <cell r="Q471">
            <v>90</v>
          </cell>
        </row>
        <row r="472">
          <cell r="B472">
            <v>1001063097525</v>
          </cell>
          <cell r="C472" t="str">
            <v>Z-САЛЯМИ ФИНСКАЯ ПМ с/к в/у 1/150 гр/уп</v>
          </cell>
          <cell r="D472" t="str">
            <v>ШТ</v>
          </cell>
          <cell r="E472" t="str">
            <v>Колбасные изделия</v>
          </cell>
          <cell r="F472" t="str">
            <v>С/к колбасы</v>
          </cell>
          <cell r="G472" t="str">
            <v>Папа может</v>
          </cell>
          <cell r="H472" t="str">
            <v>ОМПК(Г)</v>
          </cell>
          <cell r="I472" t="str">
            <v>ТУ 10.13.14-140-00425283-2015</v>
          </cell>
          <cell r="J472" t="str">
            <v>Мясной продукт. Изделие колбасное сырокопченое.</v>
          </cell>
          <cell r="K472" t="str">
            <v>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72">
            <v>15</v>
          </cell>
          <cell r="M472">
            <v>24</v>
          </cell>
          <cell r="N472">
            <v>1</v>
          </cell>
          <cell r="O472" t="str">
            <v>280/1160</v>
          </cell>
          <cell r="P472" t="str">
            <v>0…+6</v>
          </cell>
          <cell r="Q472">
            <v>30</v>
          </cell>
        </row>
        <row r="473">
          <cell r="B473">
            <v>1001065467383</v>
          </cell>
          <cell r="C473" t="str">
            <v>САН-РЕМО Останкино с/в в/у 1/220 8шт.</v>
          </cell>
          <cell r="D473" t="str">
            <v>ШТ</v>
          </cell>
          <cell r="E473" t="str">
            <v>Колбасные изделия</v>
          </cell>
          <cell r="F473" t="str">
            <v>С/к колбасы</v>
          </cell>
          <cell r="G473" t="str">
            <v>Останкино</v>
          </cell>
          <cell r="H473" t="str">
            <v>ОМПК(Г)</v>
          </cell>
          <cell r="I473" t="str">
            <v>ТУ 10.13.14-164-00425283-2023</v>
          </cell>
          <cell r="J473" t="str">
            <v>Мясной продукт. Изделие колбасное сыровяленое.</v>
          </cell>
          <cell r="K473" t="str">
            <v>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v>
          </cell>
          <cell r="L473">
            <v>13</v>
          </cell>
          <cell r="M473">
            <v>23</v>
          </cell>
          <cell r="N473">
            <v>2</v>
          </cell>
          <cell r="O473" t="str">
            <v>267/1106</v>
          </cell>
          <cell r="P473" t="str">
            <v>0…+6</v>
          </cell>
          <cell r="Q473">
            <v>90</v>
          </cell>
        </row>
        <row r="474">
          <cell r="B474">
            <v>1001065467666</v>
          </cell>
          <cell r="C474" t="str">
            <v>САН-РЕМО Останкино с/в в/у срез</v>
          </cell>
          <cell r="D474" t="str">
            <v>КГ</v>
          </cell>
          <cell r="E474" t="str">
            <v>Колбасные изделия</v>
          </cell>
          <cell r="F474" t="str">
            <v>С/к колбасы</v>
          </cell>
          <cell r="G474" t="str">
            <v>Останкино</v>
          </cell>
          <cell r="H474" t="str">
            <v>ОМПК(Г)</v>
          </cell>
          <cell r="I474" t="str">
            <v>ТУ 10.13.14-181-00425283-2026</v>
          </cell>
          <cell r="J474" t="str">
            <v>Мясной продукт. Изделие колбасное сыровяленое.</v>
          </cell>
          <cell r="K474" t="str">
            <v>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v>
          </cell>
          <cell r="L474">
            <v>22</v>
          </cell>
          <cell r="M474">
            <v>28</v>
          </cell>
          <cell r="N474">
            <v>5</v>
          </cell>
          <cell r="O474" t="str">
            <v>360/1495</v>
          </cell>
          <cell r="P474" t="str">
            <v>0…+6</v>
          </cell>
          <cell r="Q474">
            <v>90</v>
          </cell>
        </row>
        <row r="475">
          <cell r="B475">
            <v>1001065467394</v>
          </cell>
          <cell r="C475" t="str">
            <v>Z-САН-РЕМО Останкино с/в в/у гр/уп</v>
          </cell>
          <cell r="D475" t="str">
            <v>КГ</v>
          </cell>
          <cell r="E475" t="str">
            <v>Колбасные изделия</v>
          </cell>
          <cell r="F475" t="str">
            <v>С/к колбасы</v>
          </cell>
          <cell r="G475" t="str">
            <v>Останкино</v>
          </cell>
          <cell r="H475" t="str">
            <v>ОМПК(Г)</v>
          </cell>
          <cell r="I475" t="str">
            <v>ТУ 10.13.14-164-00425283-2023</v>
          </cell>
          <cell r="J475" t="str">
            <v>Мясной продукт. Изделие колбасное сыровяленое.</v>
          </cell>
          <cell r="K475" t="str">
            <v>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v>
          </cell>
          <cell r="L475">
            <v>13</v>
          </cell>
          <cell r="M475">
            <v>23</v>
          </cell>
          <cell r="N475">
            <v>2</v>
          </cell>
          <cell r="O475" t="str">
            <v>267/1106</v>
          </cell>
          <cell r="P475" t="str">
            <v>0…+6</v>
          </cell>
          <cell r="Q475">
            <v>15</v>
          </cell>
        </row>
        <row r="476">
          <cell r="B476">
            <v>1001065236657</v>
          </cell>
          <cell r="C476" t="str">
            <v>Z-СВИНАЯ ГОСТ с/к б/о в/у 1/250</v>
          </cell>
          <cell r="D476" t="str">
            <v>ШТ</v>
          </cell>
          <cell r="E476" t="str">
            <v>Колбасные изделия</v>
          </cell>
          <cell r="F476" t="str">
            <v>С/к колбасы</v>
          </cell>
          <cell r="G476" t="str">
            <v>Останкино</v>
          </cell>
          <cell r="H476" t="str">
            <v>ОМПК(Г)</v>
          </cell>
          <cell r="I476" t="str">
            <v>ГОСТ Р 55456-2013</v>
          </cell>
          <cell r="J476" t="str">
            <v>Мясной продукт. Изделие колбасное сырокопченое категории Б.</v>
          </cell>
          <cell r="K476"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6">
            <v>12</v>
          </cell>
          <cell r="M476">
            <v>65</v>
          </cell>
          <cell r="O476" t="str">
            <v>633/2609</v>
          </cell>
          <cell r="P476" t="str">
            <v>0…+6</v>
          </cell>
          <cell r="Q476">
            <v>30</v>
          </cell>
        </row>
        <row r="477">
          <cell r="B477">
            <v>1001065236702</v>
          </cell>
          <cell r="C477" t="str">
            <v>СВИНАЯ ГОСТ с/к б/о в/у 1/250 Х5/СТМ Вер</v>
          </cell>
          <cell r="D477" t="str">
            <v>ШТ</v>
          </cell>
          <cell r="E477" t="str">
            <v>Колбасные изделия</v>
          </cell>
          <cell r="F477" t="str">
            <v>С/к колбасы</v>
          </cell>
          <cell r="G477" t="str">
            <v>СТМ</v>
          </cell>
          <cell r="H477" t="str">
            <v>ОМПК(О)</v>
          </cell>
          <cell r="I477" t="str">
            <v>ГОСТ Р 55456-2013</v>
          </cell>
          <cell r="J477" t="str">
            <v>Мясной продукт. Изделие колбасное сырокопченое категории Б.</v>
          </cell>
          <cell r="K477" t="str">
            <v>грудинка свиная, свинина, смесь посолочно-нитритная (соль, фиксатор окраски (нитрит натрия)), коньяк, чеснок сушеный, специи, экстракты специй, сахара, стартовая культура</v>
          </cell>
          <cell r="L477">
            <v>11</v>
          </cell>
          <cell r="M477">
            <v>58</v>
          </cell>
          <cell r="N477">
            <v>0</v>
          </cell>
          <cell r="O477" t="str">
            <v>566/2333</v>
          </cell>
          <cell r="P477" t="str">
            <v>0…+6</v>
          </cell>
          <cell r="Q477">
            <v>120</v>
          </cell>
        </row>
        <row r="478">
          <cell r="B478">
            <v>1001065237248</v>
          </cell>
          <cell r="C478" t="str">
            <v>СВИНАЯ ГОСТ Останкино с/к в/у 0.5кг 8шт.</v>
          </cell>
          <cell r="D478" t="str">
            <v>ШТ</v>
          </cell>
          <cell r="E478" t="str">
            <v>Колбасные изделия</v>
          </cell>
          <cell r="F478" t="str">
            <v>С/к колбасы</v>
          </cell>
          <cell r="G478" t="str">
            <v>Останкино</v>
          </cell>
          <cell r="H478" t="str">
            <v>ОМПК(О)</v>
          </cell>
          <cell r="I478" t="str">
            <v>ГОСТ Р 55456-2013</v>
          </cell>
          <cell r="J478" t="str">
            <v>Мясной продукт. Изделие колбасное сырокопченое категории Б.</v>
          </cell>
          <cell r="K478"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8">
            <v>12</v>
          </cell>
          <cell r="M478">
            <v>65</v>
          </cell>
          <cell r="N478">
            <v>0</v>
          </cell>
          <cell r="O478" t="str">
            <v>633/2609</v>
          </cell>
          <cell r="P478" t="str">
            <v>0…+12</v>
          </cell>
          <cell r="Q478">
            <v>120</v>
          </cell>
        </row>
        <row r="479">
          <cell r="B479">
            <v>1001065237140</v>
          </cell>
          <cell r="C479" t="str">
            <v>СВИНАЯ ГОСТ Останкино с/к в/у</v>
          </cell>
          <cell r="D479" t="str">
            <v>КГ</v>
          </cell>
          <cell r="E479" t="str">
            <v>Колбасные изделия</v>
          </cell>
          <cell r="F479" t="str">
            <v>С/к колбасы</v>
          </cell>
          <cell r="G479" t="str">
            <v>Останкино</v>
          </cell>
          <cell r="H479" t="str">
            <v>ОМПК(О)</v>
          </cell>
          <cell r="I479" t="str">
            <v>ГОСТ Р 55456-2013</v>
          </cell>
          <cell r="J479" t="str">
            <v>Мясной продукт. Изделие колбасное сырокопченое категории Б.</v>
          </cell>
          <cell r="K479"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9">
            <v>12</v>
          </cell>
          <cell r="M479">
            <v>65</v>
          </cell>
          <cell r="N479">
            <v>0</v>
          </cell>
          <cell r="O479" t="str">
            <v>633/2609</v>
          </cell>
          <cell r="P479" t="str">
            <v>0…+12</v>
          </cell>
          <cell r="Q479">
            <v>120</v>
          </cell>
        </row>
        <row r="480">
          <cell r="B480">
            <v>1001065237652</v>
          </cell>
          <cell r="C480" t="str">
            <v>Z-СВИНАЯ с/к в/у гр/уп (для нарезки)</v>
          </cell>
          <cell r="D480" t="str">
            <v>КГ</v>
          </cell>
          <cell r="E480" t="str">
            <v>Колбасные изделия</v>
          </cell>
          <cell r="F480" t="str">
            <v>С/к колбасы</v>
          </cell>
          <cell r="G480" t="str">
            <v>Останкино</v>
          </cell>
          <cell r="H480" t="str">
            <v>ОМПК(Г)</v>
          </cell>
          <cell r="I480" t="str">
            <v>ГОСТ Р 55456-2013</v>
          </cell>
          <cell r="J480" t="str">
            <v>Мясной продукт. Изделие колбасное сырокопченое категории Б.</v>
          </cell>
          <cell r="K480"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80">
            <v>12</v>
          </cell>
          <cell r="M480">
            <v>65</v>
          </cell>
          <cell r="O480" t="str">
            <v>633/2609</v>
          </cell>
          <cell r="P480" t="str">
            <v>0…+12</v>
          </cell>
          <cell r="Q480">
            <v>30</v>
          </cell>
        </row>
        <row r="481">
          <cell r="B481">
            <v>1001063217364</v>
          </cell>
          <cell r="C481" t="str">
            <v>ЧОРИЗО Останкино с/к в/у 1/220 8шт.</v>
          </cell>
          <cell r="D481" t="str">
            <v>ШТ</v>
          </cell>
          <cell r="E481" t="str">
            <v>Колбасные изделия</v>
          </cell>
          <cell r="F481" t="str">
            <v>С/к колбасы</v>
          </cell>
          <cell r="G481" t="str">
            <v>Останкино</v>
          </cell>
          <cell r="H481" t="str">
            <v>ОМПК(Г)</v>
          </cell>
          <cell r="I481" t="str">
            <v>ТУ 10.13.14-145-00425283-2017</v>
          </cell>
          <cell r="J481" t="str">
            <v>Мясной продукт. Изделие колбасное сырокопченое.</v>
          </cell>
          <cell r="K481"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1">
            <v>12</v>
          </cell>
          <cell r="M481">
            <v>26</v>
          </cell>
          <cell r="N481">
            <v>2</v>
          </cell>
          <cell r="O481" t="str">
            <v>290/1200</v>
          </cell>
          <cell r="P481" t="str">
            <v>0…+6</v>
          </cell>
          <cell r="Q481">
            <v>90</v>
          </cell>
        </row>
        <row r="482">
          <cell r="B482">
            <v>1001063217464</v>
          </cell>
          <cell r="C482" t="str">
            <v>ЧОРИЗО Останкино с/к в/у 1/220 8шт_СНГ</v>
          </cell>
          <cell r="D482" t="str">
            <v>ШТ</v>
          </cell>
          <cell r="E482" t="str">
            <v>Колбасные изделия</v>
          </cell>
          <cell r="F482" t="str">
            <v>С/к колбасы</v>
          </cell>
          <cell r="G482" t="str">
            <v>Останкино</v>
          </cell>
          <cell r="H482" t="str">
            <v>ОМПК(Г)</v>
          </cell>
          <cell r="I482" t="str">
            <v>ТУ 10.13.14-145-00425283-2017</v>
          </cell>
          <cell r="J482" t="str">
            <v>Мясной продукт. Изделие колбасное сырокопченое.</v>
          </cell>
          <cell r="K482"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2">
            <v>12</v>
          </cell>
          <cell r="M482">
            <v>26</v>
          </cell>
          <cell r="N482">
            <v>2</v>
          </cell>
          <cell r="O482" t="str">
            <v>290/1200</v>
          </cell>
          <cell r="P482" t="str">
            <v>0…+6</v>
          </cell>
          <cell r="Q482">
            <v>90</v>
          </cell>
        </row>
        <row r="483">
          <cell r="B483">
            <v>1001063217366</v>
          </cell>
          <cell r="C483" t="str">
            <v>Z-ЧОРИЗО Останкино с/к в/у</v>
          </cell>
          <cell r="D483" t="str">
            <v>КГ</v>
          </cell>
          <cell r="E483" t="str">
            <v>Колбасные изделия</v>
          </cell>
          <cell r="F483" t="str">
            <v>С/к колбасы</v>
          </cell>
          <cell r="G483" t="str">
            <v>Останкино</v>
          </cell>
          <cell r="H483" t="str">
            <v>ОМПК(Г)</v>
          </cell>
          <cell r="I483" t="str">
            <v>ТУ 10.13.14-145-00425283-2017</v>
          </cell>
          <cell r="J483" t="str">
            <v>Мясной продукт. Изделие колбасное сырокопченое.</v>
          </cell>
          <cell r="K483"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3">
            <v>12</v>
          </cell>
          <cell r="M483">
            <v>26</v>
          </cell>
          <cell r="N483">
            <v>2</v>
          </cell>
          <cell r="O483" t="str">
            <v>290/1200</v>
          </cell>
          <cell r="P483" t="str">
            <v>0…+12</v>
          </cell>
          <cell r="Q483">
            <v>90</v>
          </cell>
        </row>
        <row r="484">
          <cell r="B484">
            <v>1001062505483</v>
          </cell>
          <cell r="C484" t="str">
            <v>ЭКСТРА Папа может с/к в/у 1/250 8шт.</v>
          </cell>
          <cell r="D484" t="str">
            <v>ШТ</v>
          </cell>
          <cell r="E484" t="str">
            <v>Колбасные изделия</v>
          </cell>
          <cell r="F484" t="str">
            <v>С/к колбасы</v>
          </cell>
          <cell r="G484" t="str">
            <v>Папа может</v>
          </cell>
          <cell r="H484" t="str">
            <v>ОМПК(О)</v>
          </cell>
          <cell r="I484" t="str">
            <v>ТУ 10.13.14-181-00425283-2026</v>
          </cell>
          <cell r="J484" t="str">
            <v>Мясной продукт. Изделие колбасное сырокопченое.</v>
          </cell>
          <cell r="K484"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4">
            <v>18</v>
          </cell>
          <cell r="M484">
            <v>38</v>
          </cell>
          <cell r="N484">
            <v>3</v>
          </cell>
          <cell r="O484" t="str">
            <v>426/1763</v>
          </cell>
          <cell r="P484" t="str">
            <v>0…+6</v>
          </cell>
          <cell r="Q484">
            <v>120</v>
          </cell>
        </row>
        <row r="485">
          <cell r="B485">
            <v>1001062507463</v>
          </cell>
          <cell r="C485" t="str">
            <v>ЭКСТРА Папа может с/к в/у 1/250 8шт_СНГ</v>
          </cell>
          <cell r="D485" t="str">
            <v>ШТ</v>
          </cell>
          <cell r="E485" t="str">
            <v>Колбасные изделия</v>
          </cell>
          <cell r="F485" t="str">
            <v>С/к колбасы</v>
          </cell>
          <cell r="G485" t="str">
            <v>Папа может</v>
          </cell>
          <cell r="H485" t="str">
            <v>ОМПК(О)</v>
          </cell>
          <cell r="I485" t="str">
            <v>ТУ 10.13.14-181-00425283-2026</v>
          </cell>
          <cell r="J485" t="str">
            <v>Мясной продукт. Изделие колбасное сырокопченое.</v>
          </cell>
          <cell r="K485"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5">
            <v>18</v>
          </cell>
          <cell r="M485">
            <v>38</v>
          </cell>
          <cell r="N485">
            <v>3</v>
          </cell>
          <cell r="O485" t="str">
            <v>426/1763</v>
          </cell>
          <cell r="P485" t="str">
            <v>0…+6</v>
          </cell>
          <cell r="Q485">
            <v>120</v>
          </cell>
        </row>
        <row r="486">
          <cell r="B486">
            <v>1001062504117</v>
          </cell>
          <cell r="C486" t="str">
            <v>ЭКСТРА Папа может с/к в/у_Л</v>
          </cell>
          <cell r="D486" t="str">
            <v>КГ</v>
          </cell>
          <cell r="E486" t="str">
            <v>Колбасные изделия</v>
          </cell>
          <cell r="F486" t="str">
            <v>С/к колбасы</v>
          </cell>
          <cell r="G486" t="str">
            <v>Папа может</v>
          </cell>
          <cell r="H486" t="str">
            <v>ОМПК(О)</v>
          </cell>
          <cell r="I486" t="str">
            <v>ТУ 10.13.14-181-00425283-2026</v>
          </cell>
          <cell r="J486" t="str">
            <v>Мясной продукт. Изделие колбасное сырокопченое.</v>
          </cell>
          <cell r="K486"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6">
            <v>18</v>
          </cell>
          <cell r="M486">
            <v>38</v>
          </cell>
          <cell r="N486">
            <v>3</v>
          </cell>
          <cell r="O486" t="str">
            <v>426/1763</v>
          </cell>
          <cell r="P486" t="str">
            <v>0…+12</v>
          </cell>
          <cell r="Q486">
            <v>120</v>
          </cell>
        </row>
        <row r="487">
          <cell r="B487">
            <v>1001065237635</v>
          </cell>
          <cell r="C487" t="str">
            <v>Z-СВИНАЯ ГОСТ с/к мгс 0.5кг гр/уп</v>
          </cell>
          <cell r="D487" t="str">
            <v>ШТ</v>
          </cell>
          <cell r="E487" t="str">
            <v>Колбасные изделия</v>
          </cell>
          <cell r="F487" t="str">
            <v>С/к колбасы</v>
          </cell>
          <cell r="G487" t="str">
            <v>Останкино</v>
          </cell>
          <cell r="H487" t="str">
            <v>ОМПК(Г)</v>
          </cell>
          <cell r="I487" t="str">
            <v>ГОСТ Р 55456-2013</v>
          </cell>
          <cell r="J487" t="str">
            <v>Мясной продукт. Изделие колбасное сырокопченое категории Б.</v>
          </cell>
          <cell r="K487"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87">
            <v>12</v>
          </cell>
          <cell r="M487">
            <v>65</v>
          </cell>
          <cell r="O487" t="str">
            <v>633/2609</v>
          </cell>
          <cell r="P487" t="str">
            <v>0…+12</v>
          </cell>
          <cell r="Q487">
            <v>30</v>
          </cell>
        </row>
        <row r="488">
          <cell r="B488">
            <v>1001062504674</v>
          </cell>
          <cell r="C488" t="str">
            <v>Z-ЭКСТРА Папа может с/к в/у</v>
          </cell>
          <cell r="D488" t="str">
            <v>КГ</v>
          </cell>
          <cell r="E488" t="str">
            <v>Колбасные изделия</v>
          </cell>
          <cell r="F488" t="str">
            <v>С/к колбасы</v>
          </cell>
          <cell r="G488" t="str">
            <v>Папа может</v>
          </cell>
          <cell r="H488" t="str">
            <v>ОМПК(О)</v>
          </cell>
          <cell r="I488" t="str">
            <v>ТУ 10.13.14-181-00425283-2026</v>
          </cell>
          <cell r="J488" t="str">
            <v>Мясной продукт. Изделие колбасное сырокопченое.</v>
          </cell>
          <cell r="K488"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8">
            <v>18</v>
          </cell>
          <cell r="M488">
            <v>38</v>
          </cell>
          <cell r="N488">
            <v>3</v>
          </cell>
          <cell r="O488" t="str">
            <v>426/1763</v>
          </cell>
          <cell r="P488" t="str">
            <v>0…+12</v>
          </cell>
          <cell r="Q488">
            <v>120</v>
          </cell>
        </row>
        <row r="489">
          <cell r="B489">
            <v>1001062505913</v>
          </cell>
          <cell r="C489" t="str">
            <v>Z-ЭКСТРА Папа может с/к в/у(для нарезки)</v>
          </cell>
          <cell r="D489" t="str">
            <v>КГ</v>
          </cell>
          <cell r="E489" t="str">
            <v>Колбасные изделия</v>
          </cell>
          <cell r="F489" t="str">
            <v>С/к колбасы</v>
          </cell>
          <cell r="G489" t="str">
            <v>Останкино</v>
          </cell>
          <cell r="H489" t="str">
            <v>ОМПК(О)
ОМПК(Г)</v>
          </cell>
          <cell r="I489" t="str">
            <v>ТУ 9213-140-00425283-2015</v>
          </cell>
          <cell r="J489" t="str">
            <v>Мясной продукт. Изделие колбасное сырокопченое.</v>
          </cell>
          <cell r="K489"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и экстракты пряностей (кориандр, паприка, перец черный, перец чили),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489">
            <v>23</v>
          </cell>
          <cell r="M489">
            <v>32</v>
          </cell>
          <cell r="O489" t="str">
            <v>380/1575</v>
          </cell>
          <cell r="P489" t="str">
            <v>0…+12</v>
          </cell>
          <cell r="Q489">
            <v>120</v>
          </cell>
        </row>
        <row r="490">
          <cell r="B490">
            <v>1001062506575</v>
          </cell>
          <cell r="C490" t="str">
            <v>Z-ЭКСТРА Папа может с/к в/у 1/250</v>
          </cell>
          <cell r="D490" t="str">
            <v>ШТ</v>
          </cell>
          <cell r="E490" t="str">
            <v>Колбасные изделия</v>
          </cell>
          <cell r="F490" t="str">
            <v>С/к колбасы</v>
          </cell>
          <cell r="G490" t="str">
            <v>Папа может</v>
          </cell>
          <cell r="H490" t="str">
            <v>ОМПК(О)</v>
          </cell>
          <cell r="I490" t="str">
            <v>ТУ 10.13.14-181-00425283-2026</v>
          </cell>
          <cell r="J490" t="str">
            <v>Мясной продукт. Изделие колбасное сырокопченое.</v>
          </cell>
          <cell r="K490"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90">
            <v>18</v>
          </cell>
          <cell r="M490">
            <v>38</v>
          </cell>
          <cell r="N490">
            <v>3</v>
          </cell>
          <cell r="O490" t="str">
            <v>426/1763</v>
          </cell>
          <cell r="P490" t="str">
            <v>0…+6</v>
          </cell>
          <cell r="Q490">
            <v>120</v>
          </cell>
        </row>
        <row r="491">
          <cell r="B491">
            <v>1001062474023</v>
          </cell>
          <cell r="C491" t="str">
            <v>ЮБИЛЕЙНАЯ с/к в/у 1/250 8шт.</v>
          </cell>
          <cell r="D491" t="str">
            <v>ШТ</v>
          </cell>
          <cell r="E491" t="str">
            <v>Колбасные изделия</v>
          </cell>
          <cell r="F491" t="str">
            <v>С/к колбасы</v>
          </cell>
          <cell r="G491" t="str">
            <v>Останкино</v>
          </cell>
          <cell r="H491" t="str">
            <v>ОМПК(О)</v>
          </cell>
          <cell r="I491" t="str">
            <v>ТУ 10.13.14-181-00425283-2026</v>
          </cell>
          <cell r="J491" t="str">
            <v>Мясной продукт. Изделие колбасное сырокопченое.</v>
          </cell>
          <cell r="K491"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1">
            <v>20</v>
          </cell>
          <cell r="M491">
            <v>39</v>
          </cell>
          <cell r="N491">
            <v>5</v>
          </cell>
          <cell r="O491" t="str">
            <v>451/1868</v>
          </cell>
          <cell r="P491" t="str">
            <v>0…+6</v>
          </cell>
          <cell r="Q491">
            <v>120</v>
          </cell>
        </row>
        <row r="492">
          <cell r="B492">
            <v>1001062474767</v>
          </cell>
          <cell r="C492" t="str">
            <v>ЮБИЛЕЙНАЯ с/к в/у 1/250 8шт_СНГ</v>
          </cell>
          <cell r="D492" t="str">
            <v>ШТ</v>
          </cell>
          <cell r="E492" t="str">
            <v>Колбасные изделия</v>
          </cell>
          <cell r="F492" t="str">
            <v>С/к колбасы</v>
          </cell>
          <cell r="G492" t="str">
            <v>Останкино</v>
          </cell>
          <cell r="H492" t="str">
            <v>ОМПК(О)</v>
          </cell>
          <cell r="I492" t="str">
            <v>ТУ 10.13.14-181-00425283-2026</v>
          </cell>
          <cell r="J492" t="str">
            <v>Мясной продукт. Изделие колбасное сырокопченое.</v>
          </cell>
          <cell r="K492"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2">
            <v>20</v>
          </cell>
          <cell r="M492">
            <v>39</v>
          </cell>
          <cell r="N492">
            <v>5</v>
          </cell>
          <cell r="O492" t="str">
            <v>451/1868</v>
          </cell>
          <cell r="P492" t="str">
            <v>0…+6</v>
          </cell>
          <cell r="Q492">
            <v>120</v>
          </cell>
        </row>
        <row r="493">
          <cell r="B493">
            <v>1001062473970</v>
          </cell>
          <cell r="C493" t="str">
            <v>ЮБИЛЕЙНАЯ с/к в/у_Ашан</v>
          </cell>
          <cell r="D493" t="str">
            <v>КГ</v>
          </cell>
          <cell r="E493" t="str">
            <v>Колбасные изделия</v>
          </cell>
          <cell r="F493" t="str">
            <v>С/к колбасы</v>
          </cell>
          <cell r="G493" t="str">
            <v>Останкино</v>
          </cell>
          <cell r="H493" t="str">
            <v>ОМПК(О)</v>
          </cell>
          <cell r="I493" t="str">
            <v>ТУ 10.13.14-181-00425283-2026</v>
          </cell>
          <cell r="J493" t="str">
            <v>Мясной продукт. Изделие колбасное сырокопченое.</v>
          </cell>
          <cell r="K493"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3">
            <v>20</v>
          </cell>
          <cell r="M493">
            <v>39</v>
          </cell>
          <cell r="N493">
            <v>5</v>
          </cell>
          <cell r="O493" t="str">
            <v>451/1868</v>
          </cell>
          <cell r="P493" t="str">
            <v>0…+12</v>
          </cell>
          <cell r="Q493">
            <v>120</v>
          </cell>
        </row>
        <row r="494">
          <cell r="B494">
            <v>1001062475047</v>
          </cell>
          <cell r="C494" t="str">
            <v>Z-ЮБИЛЕЙНАЯ с/к в/у</v>
          </cell>
          <cell r="D494" t="str">
            <v>КГ</v>
          </cell>
          <cell r="E494" t="str">
            <v>Колбасные изделия</v>
          </cell>
          <cell r="F494" t="str">
            <v>С/к колбасы</v>
          </cell>
          <cell r="G494" t="str">
            <v>Останкино</v>
          </cell>
          <cell r="H494" t="str">
            <v>ОМПК(О)</v>
          </cell>
          <cell r="I494" t="str">
            <v>ТУ 10.13.14-181-00425283-2026</v>
          </cell>
          <cell r="J494" t="str">
            <v>Мясной продукт. Изделие колбасное сырокопченое.</v>
          </cell>
          <cell r="K494"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4">
            <v>20</v>
          </cell>
          <cell r="M494">
            <v>39</v>
          </cell>
          <cell r="N494">
            <v>5</v>
          </cell>
          <cell r="O494" t="str">
            <v>451/1868</v>
          </cell>
          <cell r="P494" t="str">
            <v>0…+12</v>
          </cell>
          <cell r="Q494">
            <v>120</v>
          </cell>
        </row>
        <row r="495">
          <cell r="B495">
            <v>1001062476300</v>
          </cell>
          <cell r="C495" t="str">
            <v>Z-ЮБИЛЕЙНАЯ с/к в/у 1/250</v>
          </cell>
          <cell r="D495" t="str">
            <v>ШТ</v>
          </cell>
          <cell r="E495" t="str">
            <v>Колбасные изделия</v>
          </cell>
          <cell r="F495" t="str">
            <v>С/к колбасы</v>
          </cell>
          <cell r="G495" t="str">
            <v>Останкино</v>
          </cell>
          <cell r="H495" t="str">
            <v>ОМПК(О)</v>
          </cell>
          <cell r="I495" t="str">
            <v>ТУ 10.13.14-181-00425283-2026</v>
          </cell>
          <cell r="J495" t="str">
            <v>Мясной продукт. Изделие колбасное сырокопченое.</v>
          </cell>
          <cell r="K495"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5">
            <v>20</v>
          </cell>
          <cell r="M495">
            <v>39</v>
          </cell>
          <cell r="N495">
            <v>5</v>
          </cell>
          <cell r="O495" t="str">
            <v>451/1868</v>
          </cell>
          <cell r="P495" t="str">
            <v>0…+6</v>
          </cell>
          <cell r="Q495">
            <v>120</v>
          </cell>
        </row>
        <row r="496">
          <cell r="B496">
            <v>1001066357180</v>
          </cell>
          <cell r="C496" t="str">
            <v>Z-САЛЬЧИЧОН ПРЕМИУМ с/к в/у(для нарезки)</v>
          </cell>
          <cell r="D496" t="str">
            <v>КГ</v>
          </cell>
          <cell r="E496" t="str">
            <v>Колбасные изделия</v>
          </cell>
          <cell r="F496" t="str">
            <v>С/к колбасы</v>
          </cell>
          <cell r="G496" t="str">
            <v>Останкино</v>
          </cell>
          <cell r="H496" t="str">
            <v>ОМПК(Г)</v>
          </cell>
          <cell r="I496" t="str">
            <v>ТУ 10.13.14-145-00425283-2017</v>
          </cell>
          <cell r="J496" t="str">
            <v>Мясной продукт. Изделие колбасное сырокопченое.</v>
          </cell>
          <cell r="K496" t="str">
            <v>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v>
          </cell>
          <cell r="L496">
            <v>22</v>
          </cell>
          <cell r="M496">
            <v>38</v>
          </cell>
          <cell r="N496">
            <v>2</v>
          </cell>
          <cell r="O496" t="str">
            <v>439/1819</v>
          </cell>
          <cell r="P496" t="str">
            <v>0…+6</v>
          </cell>
          <cell r="Q496">
            <v>60</v>
          </cell>
        </row>
        <row r="497">
          <cell r="B497">
            <v>1001065466943</v>
          </cell>
          <cell r="C497" t="str">
            <v>Z-САН-РЕМО/ТОЛЕДО с/в в/у (для нарезки)</v>
          </cell>
          <cell r="D497" t="str">
            <v>КГ</v>
          </cell>
          <cell r="E497" t="str">
            <v>Колбасные изделия</v>
          </cell>
          <cell r="F497" t="str">
            <v>С/к колбасы</v>
          </cell>
          <cell r="G497" t="str">
            <v>Останкино</v>
          </cell>
          <cell r="H497" t="str">
            <v>ОМПК(Г)</v>
          </cell>
          <cell r="I497" t="str">
            <v>ТУ 10.13.14-164-00425283-2023</v>
          </cell>
          <cell r="J497" t="str">
            <v>Мясной продукт. Изделие колбасное сыровяленое.</v>
          </cell>
          <cell r="K497"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v>
          </cell>
          <cell r="L497">
            <v>16</v>
          </cell>
          <cell r="M497">
            <v>24</v>
          </cell>
          <cell r="O497" t="str">
            <v>280/1160</v>
          </cell>
          <cell r="P497" t="str">
            <v>0…+6</v>
          </cell>
          <cell r="Q497">
            <v>65</v>
          </cell>
        </row>
        <row r="498">
          <cell r="B498">
            <v>1001063206940</v>
          </cell>
          <cell r="C498" t="str">
            <v>Z-МИЛАНО с/к в/у (для нарезки)</v>
          </cell>
          <cell r="D498" t="str">
            <v>КГ</v>
          </cell>
          <cell r="E498" t="str">
            <v>Колбасные изделия</v>
          </cell>
          <cell r="F498" t="str">
            <v>С/к колбасы</v>
          </cell>
          <cell r="G498" t="str">
            <v>Останкино</v>
          </cell>
          <cell r="H498" t="str">
            <v>ОМПК(Г)</v>
          </cell>
          <cell r="I498" t="str">
            <v>ТУ 10.13.14-145-00425283-2017</v>
          </cell>
          <cell r="J498" t="str">
            <v>Мясной продукт. Изделие колбасное сырокопченое.</v>
          </cell>
          <cell r="K498" t="str">
            <v>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v>
          </cell>
          <cell r="L498">
            <v>17</v>
          </cell>
          <cell r="M498">
            <v>19</v>
          </cell>
          <cell r="O498" t="str">
            <v>239/992</v>
          </cell>
          <cell r="P498" t="str">
            <v>0…+6</v>
          </cell>
          <cell r="Q498">
            <v>65</v>
          </cell>
        </row>
        <row r="499">
          <cell r="B499">
            <v>1001065446941</v>
          </cell>
          <cell r="C499" t="str">
            <v>Z-ТОСКАНО с/к в/у (для нарезки)</v>
          </cell>
          <cell r="D499" t="str">
            <v>КГ</v>
          </cell>
          <cell r="E499" t="str">
            <v>Колбасные изделия</v>
          </cell>
          <cell r="F499" t="str">
            <v>С/к колбасы</v>
          </cell>
          <cell r="G499" t="str">
            <v>Останкино</v>
          </cell>
          <cell r="H499" t="str">
            <v>ОМПК(Г)</v>
          </cell>
          <cell r="I499" t="str">
            <v>ТУ 10.13.14-145-00425283-2017</v>
          </cell>
          <cell r="J499" t="str">
            <v>Мясной продукт. Изделие колбасное сырокопченое.</v>
          </cell>
          <cell r="K499"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v>
          </cell>
          <cell r="L499">
            <v>15</v>
          </cell>
          <cell r="M499">
            <v>26</v>
          </cell>
          <cell r="O499" t="str">
            <v>294/1217</v>
          </cell>
          <cell r="P499" t="str">
            <v>0…+6</v>
          </cell>
          <cell r="Q499">
            <v>65</v>
          </cell>
        </row>
        <row r="500">
          <cell r="B500">
            <v>1001065456942</v>
          </cell>
          <cell r="C500" t="str">
            <v>Z-ПАЛЕРМО/КАПРИ с/в в/у (для нарезки)</v>
          </cell>
          <cell r="D500" t="str">
            <v>КГ</v>
          </cell>
          <cell r="E500" t="str">
            <v>Колбасные изделия</v>
          </cell>
          <cell r="F500" t="str">
            <v>С/к колбасы</v>
          </cell>
          <cell r="G500" t="str">
            <v>Останкино</v>
          </cell>
          <cell r="H500" t="str">
            <v>ОМПК(Г)</v>
          </cell>
          <cell r="I500" t="str">
            <v>ТУ 10.13.14-164-00425283-2023</v>
          </cell>
          <cell r="J500" t="str">
            <v>Мясной продукт. Изделие колбасное сыровяленое.</v>
          </cell>
          <cell r="K500"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v>
          </cell>
          <cell r="L500">
            <v>15</v>
          </cell>
          <cell r="M500">
            <v>26</v>
          </cell>
          <cell r="O500" t="str">
            <v>294/1217</v>
          </cell>
          <cell r="P500" t="str">
            <v>0…+6</v>
          </cell>
          <cell r="Q500">
            <v>65</v>
          </cell>
        </row>
        <row r="501">
          <cell r="B501">
            <v>1001060653917</v>
          </cell>
          <cell r="C501" t="str">
            <v>БАСТУРМА сыровяленая в/с в/у</v>
          </cell>
          <cell r="D501" t="str">
            <v>КГ</v>
          </cell>
          <cell r="E501" t="str">
            <v>Колбасные изделия</v>
          </cell>
          <cell r="F501" t="str">
            <v>С/к колбасы</v>
          </cell>
          <cell r="G501" t="str">
            <v>Останкино</v>
          </cell>
          <cell r="H501" t="str">
            <v>ОМПК(О)</v>
          </cell>
          <cell r="I501" t="str">
            <v>ТУ 10.13.14-184-00425283-2026</v>
          </cell>
          <cell r="J501" t="str">
            <v>Мясной продукт из говядины сыровяленый категории А.</v>
          </cell>
          <cell r="K501"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1">
            <v>41</v>
          </cell>
          <cell r="M501">
            <v>7</v>
          </cell>
          <cell r="N501">
            <v>2</v>
          </cell>
          <cell r="O501" t="str">
            <v>235/990</v>
          </cell>
          <cell r="P501" t="str">
            <v>0…+12</v>
          </cell>
          <cell r="Q501">
            <v>120</v>
          </cell>
        </row>
        <row r="502">
          <cell r="B502">
            <v>1001070656289</v>
          </cell>
          <cell r="C502" t="str">
            <v>БАСТУРМА сыровяленая в/с в/у_Ашан</v>
          </cell>
          <cell r="D502" t="str">
            <v>КГ</v>
          </cell>
          <cell r="E502" t="str">
            <v>Колбасные изделия</v>
          </cell>
          <cell r="F502" t="str">
            <v>С/к колбасы</v>
          </cell>
          <cell r="G502" t="str">
            <v>Останкино</v>
          </cell>
          <cell r="H502" t="str">
            <v>ОМПК(О)</v>
          </cell>
          <cell r="I502" t="str">
            <v>ТУ 10.13.14-184-00425283-2026</v>
          </cell>
          <cell r="J502" t="str">
            <v>Мясной продукт из говядины сыровяленый категории А.</v>
          </cell>
          <cell r="K502"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2">
            <v>41</v>
          </cell>
          <cell r="M502">
            <v>7</v>
          </cell>
          <cell r="N502">
            <v>2</v>
          </cell>
          <cell r="O502" t="str">
            <v>235/990</v>
          </cell>
          <cell r="P502" t="str">
            <v>0…+12</v>
          </cell>
          <cell r="Q502">
            <v>120</v>
          </cell>
        </row>
        <row r="503">
          <cell r="B503">
            <v>1001070656752</v>
          </cell>
          <cell r="C503" t="str">
            <v>БАСТУРМА сыровяленая в/с в/у_Г</v>
          </cell>
          <cell r="D503" t="str">
            <v>КГ</v>
          </cell>
          <cell r="E503" t="str">
            <v>Колбасные изделия</v>
          </cell>
          <cell r="F503" t="str">
            <v>С/к колбасы</v>
          </cell>
          <cell r="G503" t="str">
            <v>Останкино</v>
          </cell>
          <cell r="H503" t="str">
            <v>ОМПК(О)</v>
          </cell>
          <cell r="I503" t="str">
            <v>ТУ 10.13.14-184-00425283-2026</v>
          </cell>
          <cell r="J503" t="str">
            <v>Мясной продукт из говядины сыровяленый категории А.</v>
          </cell>
          <cell r="K503"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3">
            <v>41</v>
          </cell>
          <cell r="M503">
            <v>7</v>
          </cell>
          <cell r="N503">
            <v>2</v>
          </cell>
          <cell r="O503" t="str">
            <v>235/990</v>
          </cell>
          <cell r="P503" t="str">
            <v>0…+12</v>
          </cell>
          <cell r="Q503">
            <v>120</v>
          </cell>
        </row>
        <row r="504">
          <cell r="B504">
            <v>1001070656118</v>
          </cell>
          <cell r="C504" t="str">
            <v>БАСТУРМА сыровяленая в/с в/у_Л</v>
          </cell>
          <cell r="D504" t="str">
            <v>КГ</v>
          </cell>
          <cell r="E504" t="str">
            <v>Колбасные изделия</v>
          </cell>
          <cell r="F504" t="str">
            <v>С/к колбасы</v>
          </cell>
          <cell r="G504" t="str">
            <v>Останкино</v>
          </cell>
          <cell r="H504" t="str">
            <v>ОМПК(О)</v>
          </cell>
          <cell r="I504" t="str">
            <v>ТУ 10.13.14-184-00425283-2026</v>
          </cell>
          <cell r="J504" t="str">
            <v>Мясной продукт из говядины сыровяленый категории А.</v>
          </cell>
          <cell r="K504"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4">
            <v>41</v>
          </cell>
          <cell r="M504">
            <v>7</v>
          </cell>
          <cell r="N504">
            <v>2</v>
          </cell>
          <cell r="O504" t="str">
            <v>235/990</v>
          </cell>
          <cell r="P504" t="str">
            <v>0…+12</v>
          </cell>
          <cell r="Q504">
            <v>120</v>
          </cell>
        </row>
        <row r="505">
          <cell r="B505">
            <v>1001070656152</v>
          </cell>
          <cell r="C505" t="str">
            <v>Z-БАСТУРМА сыровяленая в/с в/у</v>
          </cell>
          <cell r="D505" t="str">
            <v>КГ</v>
          </cell>
          <cell r="E505" t="str">
            <v>Колбасные изделия</v>
          </cell>
          <cell r="F505" t="str">
            <v>С/к колбасы</v>
          </cell>
          <cell r="G505" t="str">
            <v>Останкино</v>
          </cell>
          <cell r="H505" t="str">
            <v>ОМПК(О)</v>
          </cell>
          <cell r="I505" t="str">
            <v>ТУ 10.13.14-184-00425283-2026</v>
          </cell>
          <cell r="J505" t="str">
            <v>Мясной продукт из говядины сыровяленый категории А.</v>
          </cell>
          <cell r="K505"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5">
            <v>41</v>
          </cell>
          <cell r="M505">
            <v>7</v>
          </cell>
          <cell r="N505">
            <v>2</v>
          </cell>
          <cell r="O505" t="str">
            <v>235/990</v>
          </cell>
          <cell r="P505" t="str">
            <v>0…+12</v>
          </cell>
          <cell r="Q505">
            <v>120</v>
          </cell>
        </row>
        <row r="506">
          <cell r="B506">
            <v>1001035937001</v>
          </cell>
          <cell r="C506" t="str">
            <v>КЛАССИЧЕСКИЕ Папа может сар б/о мгс 1*3</v>
          </cell>
          <cell r="D506" t="str">
            <v>КГ</v>
          </cell>
          <cell r="E506" t="str">
            <v>Колбасные изделия</v>
          </cell>
          <cell r="F506" t="str">
            <v>Сардельки</v>
          </cell>
          <cell r="G506" t="str">
            <v>Папа может</v>
          </cell>
          <cell r="H506" t="str">
            <v>ОМПК(О)</v>
          </cell>
          <cell r="I506" t="str">
            <v>ТУ 10.13.14-150-00425283-2026</v>
          </cell>
          <cell r="J506" t="str">
            <v>Изделие колбасное вареное из мяса кур охлажденное.</v>
          </cell>
          <cell r="K506" t="str">
            <v>мясо цыпленка-бройлера бескостное, мясо цыпленка-бройлера механической обвалки, свинина, говядина, стабилизатор белковый (шкурка свиная, вода питьевая), вода питьевая, сыворотка молочная сухая,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ксантановая камедь), лук репчатый сушеный, чеснок сушеный молотый, тмин, пажитник, сельдерей, антиокислители (аскорбиновая кислота, лимонная кислота), усилитель вкуса и аромата (глутамат натрия 1-замещенный), ароматизатор, красители (кармины, экстракт паприки)</v>
          </cell>
          <cell r="L506">
            <v>9</v>
          </cell>
          <cell r="M506">
            <v>15</v>
          </cell>
          <cell r="N506">
            <v>6</v>
          </cell>
          <cell r="O506" t="str">
            <v>195/810</v>
          </cell>
          <cell r="P506" t="str">
            <v>0…+6</v>
          </cell>
          <cell r="Q506">
            <v>45</v>
          </cell>
        </row>
        <row r="507">
          <cell r="B507">
            <v>1001031017050</v>
          </cell>
          <cell r="C507" t="str">
            <v>КОЛБАСКИ БЕЛЫЕ МЮНХЕНСКИЕ б/о мгс 1/320</v>
          </cell>
          <cell r="D507" t="str">
            <v>ШТ</v>
          </cell>
          <cell r="E507" t="str">
            <v>Колбасные изделия</v>
          </cell>
          <cell r="F507" t="str">
            <v>Сардельки</v>
          </cell>
          <cell r="G507" t="str">
            <v>Останкино</v>
          </cell>
          <cell r="H507" t="str">
            <v xml:space="preserve">ОМПК(О)
</v>
          </cell>
          <cell r="I507" t="str">
            <v>ТУ 10.13.14-180-00425283-2025</v>
          </cell>
          <cell r="J507" t="str">
            <v>Мясной продукт. Изделие колбасное вареное категории Б.</v>
          </cell>
          <cell r="K507" t="str">
            <v>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v>
          </cell>
          <cell r="L507">
            <v>14</v>
          </cell>
          <cell r="M507">
            <v>15</v>
          </cell>
          <cell r="N507">
            <v>2</v>
          </cell>
          <cell r="O507" t="str">
            <v>199/827</v>
          </cell>
          <cell r="P507" t="str">
            <v>0…+6</v>
          </cell>
          <cell r="Q507">
            <v>45</v>
          </cell>
        </row>
        <row r="508">
          <cell r="B508">
            <v>1001031017503</v>
          </cell>
          <cell r="C508" t="str">
            <v>КОЛБ.БЕЛЫЕ МЮНХЕН.GUTMANN б/о мгс 1/320</v>
          </cell>
          <cell r="D508" t="str">
            <v>ШТ</v>
          </cell>
          <cell r="E508" t="str">
            <v>Колбасные изделия</v>
          </cell>
          <cell r="F508" t="str">
            <v>Сардельки</v>
          </cell>
          <cell r="G508" t="str">
            <v>GUTMANN</v>
          </cell>
          <cell r="H508" t="str">
            <v xml:space="preserve">ОМПК(Г)
</v>
          </cell>
          <cell r="I508" t="str">
            <v>ТУ 10.13.14-180-00425283-2025</v>
          </cell>
          <cell r="J508" t="str">
            <v>Мясной продукт. Изделие колбасное вареное категории Б.</v>
          </cell>
          <cell r="K508" t="str">
            <v>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v>
          </cell>
          <cell r="L508">
            <v>14</v>
          </cell>
          <cell r="M508">
            <v>15</v>
          </cell>
          <cell r="N508">
            <v>2</v>
          </cell>
          <cell r="O508">
            <v>827998</v>
          </cell>
          <cell r="P508" t="str">
            <v>0…+6</v>
          </cell>
          <cell r="Q508">
            <v>45</v>
          </cell>
        </row>
        <row r="509">
          <cell r="B509">
            <v>1001032736549</v>
          </cell>
          <cell r="C509" t="str">
            <v>МЯСНЫЕ Папа может сар б/о мгс 1*3_Х5_45с</v>
          </cell>
          <cell r="D509" t="str">
            <v>КГ</v>
          </cell>
          <cell r="E509" t="str">
            <v>Колбасные изделия</v>
          </cell>
          <cell r="F509" t="str">
            <v>Сардельки</v>
          </cell>
          <cell r="G509" t="str">
            <v>Папа может</v>
          </cell>
          <cell r="H509" t="str">
            <v>ОМПК(О)</v>
          </cell>
          <cell r="I509" t="str">
            <v>ТУ 10.13.14-180-00425283-2025</v>
          </cell>
          <cell r="J509" t="str">
            <v>Мясной продукт. Изделие колбасное вареное категории В.</v>
          </cell>
          <cell r="K509"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09">
            <v>11</v>
          </cell>
          <cell r="M509">
            <v>16</v>
          </cell>
          <cell r="N509">
            <v>2</v>
          </cell>
          <cell r="O509" t="str">
            <v>196/813</v>
          </cell>
          <cell r="P509" t="str">
            <v>0…+6</v>
          </cell>
          <cell r="Q509">
            <v>45</v>
          </cell>
        </row>
        <row r="510">
          <cell r="B510">
            <v>1001032736529</v>
          </cell>
          <cell r="C510" t="str">
            <v>МЯСНЫЕ Папа может сар б/о мгс 1*3_Л_45с</v>
          </cell>
          <cell r="D510" t="str">
            <v>КГ</v>
          </cell>
          <cell r="E510" t="str">
            <v>Колбасные изделия</v>
          </cell>
          <cell r="F510" t="str">
            <v>Сардельки</v>
          </cell>
          <cell r="G510" t="str">
            <v>Папа может</v>
          </cell>
          <cell r="H510" t="str">
            <v>ОМПК(О)</v>
          </cell>
          <cell r="I510" t="str">
            <v>ТУ 10.13.14-180-00425283-2025</v>
          </cell>
          <cell r="J510" t="str">
            <v>Мясной продукт. Изделие колбасное вареное категории В.</v>
          </cell>
          <cell r="K510"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10">
            <v>11</v>
          </cell>
          <cell r="M510">
            <v>16</v>
          </cell>
          <cell r="N510">
            <v>2</v>
          </cell>
          <cell r="O510" t="str">
            <v>196/813</v>
          </cell>
          <cell r="P510" t="str">
            <v>0…+6</v>
          </cell>
          <cell r="Q510">
            <v>45</v>
          </cell>
        </row>
        <row r="511">
          <cell r="B511">
            <v>1001032736550</v>
          </cell>
          <cell r="C511" t="str">
            <v>МЯСНЫЕ Папа может сар б/о мгс 1*3_О_45с</v>
          </cell>
          <cell r="D511" t="str">
            <v>КГ</v>
          </cell>
          <cell r="E511" t="str">
            <v>Колбасные изделия</v>
          </cell>
          <cell r="F511" t="str">
            <v>Сардельки</v>
          </cell>
          <cell r="G511" t="str">
            <v>Папа может</v>
          </cell>
          <cell r="H511" t="str">
            <v>ОМПК(О)</v>
          </cell>
          <cell r="I511" t="str">
            <v>ТУ 10.13.14-180-00425283-2025</v>
          </cell>
          <cell r="J511" t="str">
            <v>Мясной продукт. Изделие колбасное вареное категории В.</v>
          </cell>
          <cell r="K511"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11">
            <v>11</v>
          </cell>
          <cell r="M511">
            <v>16</v>
          </cell>
          <cell r="N511">
            <v>2</v>
          </cell>
          <cell r="O511" t="str">
            <v>196/813</v>
          </cell>
          <cell r="P511" t="str">
            <v>0…+6</v>
          </cell>
          <cell r="Q511">
            <v>45</v>
          </cell>
        </row>
        <row r="512">
          <cell r="B512">
            <v>1001033856608</v>
          </cell>
          <cell r="C512" t="str">
            <v>С ГОВЯДИНОЙ ОРИГИН. сар б/о мгс 1*3_45с</v>
          </cell>
          <cell r="D512" t="str">
            <v>КГ</v>
          </cell>
          <cell r="E512" t="str">
            <v>Колбасные изделия</v>
          </cell>
          <cell r="F512" t="str">
            <v>Сардельки</v>
          </cell>
          <cell r="G512" t="str">
            <v>Папа может</v>
          </cell>
          <cell r="H512" t="str">
            <v>ОМПК(О)</v>
          </cell>
          <cell r="I512" t="str">
            <v>ТУ 10.13.14-180-00425283-2025</v>
          </cell>
          <cell r="J512" t="str">
            <v>Мясосодержащий продукт. Изделие колбасное вареное категории В.</v>
          </cell>
          <cell r="K512"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 кукурузный,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загустители (каррагинан, гуаровая камедь, конжак), антиокислители (аскорбиновая кислота, лимонная кислота), экстракты пряностей, усилитель вкуса и аромата (глутамат натрия), краситель (кармины)</v>
          </cell>
          <cell r="L512">
            <v>11</v>
          </cell>
          <cell r="M512">
            <v>15</v>
          </cell>
          <cell r="N512">
            <v>3</v>
          </cell>
          <cell r="O512" t="str">
            <v>191/793</v>
          </cell>
          <cell r="P512" t="str">
            <v>0…+6</v>
          </cell>
          <cell r="Q512">
            <v>45</v>
          </cell>
        </row>
        <row r="513">
          <cell r="B513">
            <v>1001035027646</v>
          </cell>
          <cell r="C513" t="str">
            <v>С ИНДЕЙКОЙ ПМ сар п/о мгс 0.3кг 8шт.</v>
          </cell>
          <cell r="D513" t="str">
            <v>ШТ</v>
          </cell>
          <cell r="E513" t="str">
            <v>Колбасные изделия</v>
          </cell>
          <cell r="F513" t="str">
            <v>Сардельки</v>
          </cell>
          <cell r="G513" t="str">
            <v>Папа может</v>
          </cell>
          <cell r="H513" t="str">
            <v>ОМПК(Г)</v>
          </cell>
          <cell r="I513" t="str">
            <v>ТУ 10.13.14-150-00425283-2018</v>
          </cell>
          <cell r="J513" t="str">
            <v>Изделие колбасное вареное из мяса кур охлажденное.</v>
          </cell>
          <cell r="K513" t="str">
            <v>мясо цыпленка-бройлера механической обвалки, филе грудок куриных, мясо индейки бескостное, стабилизатор белковый (кожа куриная, вода питьевая), говядина,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модифицированный крахмал), перец черный, мускатный орех, перец чили, кардамон перец белый, сахара, антиокислитель (аскорбиновая кислота, лимонная кислота), усилитель вкуса и аромата (глутамат натрия 1-замещенный), ароматизатор, краситель (кармины)</v>
          </cell>
          <cell r="L513">
            <v>10</v>
          </cell>
          <cell r="M513">
            <v>12</v>
          </cell>
          <cell r="N513">
            <v>4</v>
          </cell>
          <cell r="O513" t="str">
            <v>164/682</v>
          </cell>
          <cell r="P513" t="str">
            <v>0…+6</v>
          </cell>
          <cell r="Q513">
            <v>60</v>
          </cell>
        </row>
        <row r="514">
          <cell r="B514">
            <v>1001031076527</v>
          </cell>
          <cell r="C514" t="str">
            <v>ШПИКАЧКИ СОЧНЫЕ ПМ сар б/о мгс 1*3_45с</v>
          </cell>
          <cell r="D514" t="str">
            <v>КГ</v>
          </cell>
          <cell r="E514" t="str">
            <v>Колбасные изделия</v>
          </cell>
          <cell r="F514" t="str">
            <v>Сардельки</v>
          </cell>
          <cell r="G514" t="str">
            <v>Папа может</v>
          </cell>
          <cell r="H514" t="str">
            <v>ОМПК(О)</v>
          </cell>
          <cell r="I514" t="str">
            <v>ТУ 10.13.14-180-00425283-2025</v>
          </cell>
          <cell r="J514" t="str">
            <v>Мясной продукт. Изделие колбасное вареное категории В.</v>
          </cell>
          <cell r="K514" t="str">
            <v>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v>
          </cell>
          <cell r="L514">
            <v>9</v>
          </cell>
          <cell r="M514">
            <v>26</v>
          </cell>
          <cell r="O514" t="str">
            <v>270/1115</v>
          </cell>
          <cell r="P514" t="str">
            <v>0…+6</v>
          </cell>
          <cell r="Q514">
            <v>45</v>
          </cell>
        </row>
        <row r="515">
          <cell r="B515">
            <v>1001031076548</v>
          </cell>
          <cell r="C515" t="str">
            <v>ШПИКАЧКИ СОЧНЫЕ сар б/о мгс 1*3_А_45с</v>
          </cell>
          <cell r="D515" t="str">
            <v>КГ</v>
          </cell>
          <cell r="E515" t="str">
            <v>Колбасные изделия</v>
          </cell>
          <cell r="F515" t="str">
            <v>Сардельки</v>
          </cell>
          <cell r="G515" t="str">
            <v>Папа может</v>
          </cell>
          <cell r="H515" t="str">
            <v>ОМПК(О)</v>
          </cell>
          <cell r="I515" t="str">
            <v>ТУ 10.13.14-180-00425283-2025</v>
          </cell>
          <cell r="J515" t="str">
            <v>Мясной продукт. Изделие колбасное вареное категории В.</v>
          </cell>
          <cell r="K515" t="str">
            <v>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v>
          </cell>
          <cell r="L515">
            <v>9</v>
          </cell>
          <cell r="M515">
            <v>26</v>
          </cell>
          <cell r="O515" t="str">
            <v>270/1115</v>
          </cell>
          <cell r="P515" t="str">
            <v>0…+6</v>
          </cell>
          <cell r="Q515">
            <v>45</v>
          </cell>
        </row>
        <row r="516">
          <cell r="B516">
            <v>1001031897056</v>
          </cell>
          <cell r="C516" t="str">
            <v>СОЧНЫЕ Папа может сар п/о мгс 1*3_60с</v>
          </cell>
          <cell r="D516" t="str">
            <v>КГ</v>
          </cell>
          <cell r="E516" t="str">
            <v>Колбасные изделия</v>
          </cell>
          <cell r="F516" t="str">
            <v>Сардельки</v>
          </cell>
          <cell r="G516" t="str">
            <v>Папа может</v>
          </cell>
          <cell r="H516" t="str">
            <v>ОМПК(Г)</v>
          </cell>
          <cell r="I516" t="str">
            <v>ТУ 10.13.14-150-00425283-2018</v>
          </cell>
          <cell r="J516" t="str">
            <v>Изделие колбасное вареное из мяса кур охлажденное.</v>
          </cell>
          <cell r="K516" t="str">
            <v>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v>
          </cell>
          <cell r="L516">
            <v>10</v>
          </cell>
          <cell r="M516">
            <v>17</v>
          </cell>
          <cell r="N516">
            <v>4</v>
          </cell>
          <cell r="O516" t="str">
            <v>209/867</v>
          </cell>
          <cell r="P516" t="str">
            <v>0…+6</v>
          </cell>
          <cell r="Q516">
            <v>60</v>
          </cell>
        </row>
        <row r="517">
          <cell r="B517">
            <v>1001031897057</v>
          </cell>
          <cell r="C517" t="str">
            <v>СОЧНЫЕ Папа может сар п/о мгс 0.3кг_60с</v>
          </cell>
          <cell r="D517" t="str">
            <v>ШТ</v>
          </cell>
          <cell r="E517" t="str">
            <v>Колбасные изделия</v>
          </cell>
          <cell r="F517" t="str">
            <v>Сардельки</v>
          </cell>
          <cell r="G517" t="str">
            <v>Папа может</v>
          </cell>
          <cell r="H517" t="str">
            <v>ОМПК(Г)</v>
          </cell>
          <cell r="I517" t="str">
            <v>ТУ 10.13.14-150-00425283-2018</v>
          </cell>
          <cell r="J517" t="str">
            <v>Изделие колбасное вареное из мяса кур охлажденное.</v>
          </cell>
          <cell r="K517" t="str">
            <v>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v>
          </cell>
          <cell r="L517">
            <v>10</v>
          </cell>
          <cell r="M517">
            <v>17</v>
          </cell>
          <cell r="N517">
            <v>4</v>
          </cell>
          <cell r="O517" t="str">
            <v>209/867</v>
          </cell>
          <cell r="P517" t="str">
            <v>0…+6</v>
          </cell>
          <cell r="Q517">
            <v>60</v>
          </cell>
        </row>
        <row r="518">
          <cell r="B518">
            <v>1001035267055</v>
          </cell>
          <cell r="C518" t="str">
            <v>СОЧНЫЕ С СЫРОМ ПМ сар п/о мгс 0.3кг_60с</v>
          </cell>
          <cell r="D518" t="str">
            <v>ШТ</v>
          </cell>
          <cell r="E518" t="str">
            <v>Колбасные изделия</v>
          </cell>
          <cell r="F518" t="str">
            <v>Сардельки</v>
          </cell>
          <cell r="G518" t="str">
            <v>Папа может</v>
          </cell>
          <cell r="H518" t="str">
            <v>ОМПК(Г)</v>
          </cell>
          <cell r="I518" t="str">
            <v>ТУ 10.13.14-150-00425283-2018</v>
          </cell>
          <cell r="J518" t="str">
            <v>Изделие колбасное вареное из мяса кур охлажденное.</v>
          </cell>
          <cell r="K518" t="str">
            <v>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крахмал картофельный,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пряности, экстракты пряностей, сахара, антиокислители (аскорбиновая кислота, лимонная кислота), усилитель вкуса и аромата (глутамат натрия), ароматизаторы, краситель (кармины)</v>
          </cell>
          <cell r="L518">
            <v>11</v>
          </cell>
          <cell r="M518">
            <v>13</v>
          </cell>
          <cell r="N518">
            <v>4</v>
          </cell>
          <cell r="O518" t="str">
            <v>177/736</v>
          </cell>
          <cell r="P518" t="str">
            <v>0…+6</v>
          </cell>
          <cell r="Q518">
            <v>60</v>
          </cell>
        </row>
        <row r="519">
          <cell r="B519">
            <v>1001035277058</v>
          </cell>
          <cell r="C519" t="str">
            <v>ШПИКАЧКИ СОЧНЫЕ С БЕК. п/о мгс 1*3_60с</v>
          </cell>
          <cell r="D519" t="str">
            <v>КГ</v>
          </cell>
          <cell r="E519" t="str">
            <v>Колбасные изделия</v>
          </cell>
          <cell r="F519" t="str">
            <v>Сардельки</v>
          </cell>
          <cell r="G519" t="str">
            <v>Папа может</v>
          </cell>
          <cell r="H519" t="str">
            <v>ОМПК(Г)</v>
          </cell>
          <cell r="I519" t="str">
            <v>ТУ 10.13.14-150-00425283-2018</v>
          </cell>
          <cell r="J519" t="str">
            <v>Изделие колбасное вареное из мяса кур охлажденное.</v>
          </cell>
          <cell r="K519" t="str">
            <v>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v>
          </cell>
          <cell r="L519">
            <v>10</v>
          </cell>
          <cell r="M519">
            <v>20</v>
          </cell>
          <cell r="N519">
            <v>3</v>
          </cell>
          <cell r="O519" t="str">
            <v>232/961</v>
          </cell>
          <cell r="P519" t="str">
            <v>0…+6</v>
          </cell>
          <cell r="Q519">
            <v>60</v>
          </cell>
        </row>
        <row r="520">
          <cell r="B520">
            <v>1001035277059</v>
          </cell>
          <cell r="C520" t="str">
            <v>ШПИКАЧКИ СОЧНЫЕ С БЕК. п/о мгс 0.3кг_60с</v>
          </cell>
          <cell r="D520" t="str">
            <v>ШТ</v>
          </cell>
          <cell r="E520" t="str">
            <v>Колбасные изделия</v>
          </cell>
          <cell r="F520" t="str">
            <v>Сардельки</v>
          </cell>
          <cell r="G520" t="str">
            <v>Папа может</v>
          </cell>
          <cell r="H520" t="str">
            <v>ОМПК(Г)</v>
          </cell>
          <cell r="I520" t="str">
            <v>ТУ 10.13.14-150-00425283-2018</v>
          </cell>
          <cell r="J520" t="str">
            <v>Изделие колбасное вареное из мяса кур охлажденное.</v>
          </cell>
          <cell r="K520" t="str">
            <v>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v>
          </cell>
          <cell r="L520">
            <v>10</v>
          </cell>
          <cell r="M520">
            <v>20</v>
          </cell>
          <cell r="N520">
            <v>3</v>
          </cell>
          <cell r="O520" t="str">
            <v>232/961</v>
          </cell>
          <cell r="P520" t="str">
            <v>0…+6</v>
          </cell>
          <cell r="Q520">
            <v>60</v>
          </cell>
        </row>
        <row r="521">
          <cell r="B521">
            <v>1001033856609</v>
          </cell>
          <cell r="C521" t="str">
            <v>С ГОВЯДИНОЙ ПМ сар б/о мгс 0.4кг_45с</v>
          </cell>
          <cell r="D521" t="str">
            <v>ШТ</v>
          </cell>
          <cell r="E521" t="str">
            <v>Колбасные изделия</v>
          </cell>
          <cell r="F521" t="str">
            <v>Сардельки</v>
          </cell>
          <cell r="G521" t="str">
            <v>Папа может</v>
          </cell>
          <cell r="H521" t="str">
            <v>ОМПК(О)</v>
          </cell>
          <cell r="I521" t="str">
            <v>ТУ 10.13.14-180-00425283-2025</v>
          </cell>
          <cell r="J521" t="str">
            <v>Мясосодержащий продукт. Изделие колбасное вареное категории В.</v>
          </cell>
          <cell r="K521"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загуститель (альгинат натрия), экстракты пряностей, сахара, антиокислители (лимонная кислота, аскорбиновая кислота), усилитель вкуса и аромата (глутамат натрия), лук сушеный молотый, краситель (кармины)</v>
          </cell>
          <cell r="L521">
            <v>9</v>
          </cell>
          <cell r="M521">
            <v>16</v>
          </cell>
          <cell r="N521">
            <v>2</v>
          </cell>
          <cell r="O521" t="str">
            <v>188/779</v>
          </cell>
          <cell r="P521" t="str">
            <v>0…+6</v>
          </cell>
          <cell r="Q521">
            <v>45</v>
          </cell>
        </row>
        <row r="522">
          <cell r="B522">
            <v>1001034206836</v>
          </cell>
          <cell r="C522" t="str">
            <v>СВИНЫЕ ГОСТ сар н/о мгс 1*3</v>
          </cell>
          <cell r="D522" t="str">
            <v>КГ</v>
          </cell>
          <cell r="E522" t="str">
            <v>Колбасные изделия</v>
          </cell>
          <cell r="F522" t="str">
            <v>Сардельки</v>
          </cell>
          <cell r="G522" t="str">
            <v>Останкино</v>
          </cell>
          <cell r="H522" t="str">
            <v>ОМПК(О)</v>
          </cell>
          <cell r="I522" t="str">
            <v>ГОСТ 23670-2019</v>
          </cell>
          <cell r="J522" t="str">
            <v>Мясной продукт. Изделие колбасное вареное категории Б.</v>
          </cell>
          <cell r="K522"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2">
            <v>10</v>
          </cell>
          <cell r="M522">
            <v>30</v>
          </cell>
          <cell r="N522">
            <v>0</v>
          </cell>
          <cell r="O522" t="str">
            <v>310/1298</v>
          </cell>
          <cell r="P522" t="str">
            <v>0…+6</v>
          </cell>
          <cell r="Q522">
            <v>35</v>
          </cell>
        </row>
        <row r="523">
          <cell r="B523">
            <v>1001034206618</v>
          </cell>
          <cell r="C523" t="str">
            <v>СВИНЫЕ сар б/о мгс 0.5кг Х5/СТМ Вернер</v>
          </cell>
          <cell r="D523" t="str">
            <v>ШТ</v>
          </cell>
          <cell r="E523" t="str">
            <v>Колбасные изделия</v>
          </cell>
          <cell r="F523" t="str">
            <v>Сардельки</v>
          </cell>
          <cell r="G523" t="str">
            <v>СТМ</v>
          </cell>
          <cell r="H523" t="str">
            <v>ОМПК(О)</v>
          </cell>
          <cell r="I523" t="str">
            <v>ГОСТ 23670-2019</v>
          </cell>
          <cell r="J523" t="str">
            <v>Мясной продукт. Изделие колбасное вареное категории Б.</v>
          </cell>
          <cell r="K523"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3">
            <v>10</v>
          </cell>
          <cell r="M523">
            <v>30</v>
          </cell>
          <cell r="O523" t="str">
            <v>310/1298</v>
          </cell>
          <cell r="P523" t="str">
            <v>0…+6</v>
          </cell>
          <cell r="Q523">
            <v>35</v>
          </cell>
        </row>
        <row r="524">
          <cell r="B524">
            <v>1001034207633</v>
          </cell>
          <cell r="C524" t="str">
            <v>СВИНЫЕ сар б/о мгс 0.5кг/СТМ Вернер_45с</v>
          </cell>
          <cell r="D524" t="str">
            <v>ШТ</v>
          </cell>
          <cell r="E524" t="str">
            <v>Колбасные изделия</v>
          </cell>
          <cell r="F524" t="str">
            <v>Сардельки</v>
          </cell>
          <cell r="G524" t="str">
            <v>СТМ</v>
          </cell>
          <cell r="H524" t="str">
            <v>ОМПК(О)</v>
          </cell>
          <cell r="I524" t="str">
            <v>ГОСТ 23670-2019</v>
          </cell>
          <cell r="J524" t="str">
            <v>Мясной продукт. Изделие колбасное вареное категории Б.</v>
          </cell>
          <cell r="K524"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4">
            <v>10</v>
          </cell>
          <cell r="M524">
            <v>30</v>
          </cell>
          <cell r="O524" t="str">
            <v>310/1298</v>
          </cell>
          <cell r="P524" t="str">
            <v>0…+6</v>
          </cell>
          <cell r="Q524">
            <v>45</v>
          </cell>
        </row>
        <row r="525">
          <cell r="B525">
            <v>1001034207634</v>
          </cell>
          <cell r="C525" t="str">
            <v>СВИНЫЕ ГОСТ сар б/о мгс 0.4кг 6шт_45с</v>
          </cell>
          <cell r="D525" t="str">
            <v>ШТ</v>
          </cell>
          <cell r="E525" t="str">
            <v>Колбасные изделия</v>
          </cell>
          <cell r="F525" t="str">
            <v>Сардельки</v>
          </cell>
          <cell r="G525" t="str">
            <v>Останкино</v>
          </cell>
          <cell r="H525" t="str">
            <v>ОМПК(О)</v>
          </cell>
          <cell r="I525" t="str">
            <v>ГОСТ 23670-2019</v>
          </cell>
          <cell r="J525" t="str">
            <v>Мясной продукт. Изделие колбасное вареное категории Б.</v>
          </cell>
          <cell r="K525"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5">
            <v>10</v>
          </cell>
          <cell r="M525">
            <v>30</v>
          </cell>
          <cell r="N525">
            <v>0</v>
          </cell>
          <cell r="O525" t="str">
            <v>310/1298</v>
          </cell>
          <cell r="P525" t="str">
            <v>0…+6</v>
          </cell>
          <cell r="Q525">
            <v>45</v>
          </cell>
        </row>
        <row r="526">
          <cell r="B526">
            <v>1001031076528</v>
          </cell>
          <cell r="C526" t="str">
            <v>ШПИКАЧКИ СОЧНЫЕ ПМ сар б/о мгс 0.4кг_45с</v>
          </cell>
          <cell r="D526" t="str">
            <v>ШТ</v>
          </cell>
          <cell r="E526" t="str">
            <v>Колбасные изделия</v>
          </cell>
          <cell r="F526" t="str">
            <v>Сардельки</v>
          </cell>
          <cell r="G526" t="str">
            <v>Папа может</v>
          </cell>
          <cell r="H526" t="str">
            <v>ОМПК(О)</v>
          </cell>
          <cell r="I526" t="str">
            <v>ТУ 10.13.14-180-00425283-2025</v>
          </cell>
          <cell r="J526" t="str">
            <v>Мясной продукт. Изделие колбасное вареное категории В.</v>
          </cell>
          <cell r="K526" t="str">
            <v>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конжак),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v>
          </cell>
          <cell r="L526">
            <v>10</v>
          </cell>
          <cell r="M526">
            <v>20</v>
          </cell>
          <cell r="N526">
            <v>1</v>
          </cell>
          <cell r="O526" t="str">
            <v>224/927</v>
          </cell>
          <cell r="P526" t="str">
            <v>0…+6</v>
          </cell>
          <cell r="Q526">
            <v>45</v>
          </cell>
        </row>
        <row r="527">
          <cell r="B527">
            <v>1001035667060</v>
          </cell>
          <cell r="C527" t="str">
            <v>ШПИКАЧКИ С БЕКОНОМ сар п/о мгс 0.8кг_60с</v>
          </cell>
          <cell r="D527" t="str">
            <v>ШТ</v>
          </cell>
          <cell r="E527" t="str">
            <v>Колбасные изделия</v>
          </cell>
          <cell r="F527" t="str">
            <v>Сардельки</v>
          </cell>
          <cell r="G527" t="str">
            <v>Коровино</v>
          </cell>
          <cell r="H527" t="str">
            <v>ОМПК(Г)</v>
          </cell>
          <cell r="I527" t="str">
            <v>ТУ 10.13.14-150-00425283-2018</v>
          </cell>
          <cell r="J527" t="str">
            <v>Изделие колбасное вареное из мяса кур охлажденное.</v>
          </cell>
          <cell r="K527" t="str">
            <v>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v>
          </cell>
          <cell r="L527">
            <v>10</v>
          </cell>
          <cell r="M527">
            <v>20</v>
          </cell>
          <cell r="N527">
            <v>3</v>
          </cell>
          <cell r="O527" t="str">
            <v>232/961</v>
          </cell>
          <cell r="P527" t="str">
            <v>0…+6</v>
          </cell>
          <cell r="Q527">
            <v>60</v>
          </cell>
        </row>
        <row r="528">
          <cell r="B528">
            <v>1001027317478</v>
          </cell>
          <cell r="C528" t="str">
            <v>АСС: 2 ВК ПОРЦ МОЛ И С БЕК сос мгс 0.4кг</v>
          </cell>
          <cell r="D528" t="str">
            <v>ШТ</v>
          </cell>
          <cell r="E528" t="str">
            <v>Колбасные изделия</v>
          </cell>
          <cell r="F528" t="str">
            <v>Сосиски</v>
          </cell>
          <cell r="G528" t="str">
            <v>Папа может</v>
          </cell>
          <cell r="H528" t="str">
            <v>ОМПК(Г)</v>
          </cell>
          <cell r="I528" t="str">
            <v>ТУ 10.13.14-180-00425283-2025</v>
          </cell>
          <cell r="J528" t="str">
            <v>Мясной продукт. Изделие колбасное вареное категории В.</v>
          </cell>
          <cell r="K528" t="str">
            <v>сосиски Молочные: 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сливки сухие, крахмал картофельный,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сахара, антиокислители (лимонная кислота, аскорбиновая кислота), усилитель вкуса и аромата (глутамат натрия), ароматизаторы, краситель (кармины). 
сосиски С беконом: свинина, мясо куриное механической обвалки, вода питьевая, стабилизатор белковый (вода питьевая, шкурка свиная), шпик,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стабилизатор (полифосфаты), загустители (каррагинан, альгинат натрия, гуаровая камедь, модифицированный крахмал, камедь целлюлозы), сахара, чеснок свежий, специи (чеснок сушеный, перец белый молотый, перец черный молотый), экстракты специй, антиокислитель (аскорбиновая кислота), усилитель вкуса и аромата (глутамат натрия), ароматизаторы, краситель (кармины).</v>
          </cell>
          <cell r="L528" t="str">
            <v>10
10</v>
          </cell>
          <cell r="M528" t="str">
            <v>15
21</v>
          </cell>
          <cell r="N528" t="str">
            <v>4
3</v>
          </cell>
          <cell r="O528" t="str">
            <v>191/793
241/998</v>
          </cell>
          <cell r="P528" t="str">
            <v>0…+6</v>
          </cell>
          <cell r="Q528">
            <v>45</v>
          </cell>
        </row>
        <row r="529">
          <cell r="B529">
            <v>1001027427492</v>
          </cell>
          <cell r="C529" t="str">
            <v>АСС:СОЧ.МИКС КЛАС.VS С СЫР. сос мгс 0.4</v>
          </cell>
          <cell r="D529" t="str">
            <v>ШТ</v>
          </cell>
          <cell r="E529" t="str">
            <v>Колбасные изделия</v>
          </cell>
          <cell r="F529" t="str">
            <v>Сосиски</v>
          </cell>
          <cell r="G529" t="str">
            <v>Папа может</v>
          </cell>
          <cell r="H529" t="str">
            <v>ОМПК(Г)</v>
          </cell>
          <cell r="I529" t="str">
            <v>ТУ 10.13.14-150-00425283-2018</v>
          </cell>
          <cell r="J529" t="str">
            <v>Изделие колбасное вареное из мяса кур охлажденное.</v>
          </cell>
          <cell r="K529" t="str">
            <v xml:space="preserve">сосиски Классические: мясо куриное механической обвалки, свинина, стабилизатор белковый (вода питьевая, шкурка свиная), вода питьевая, сыворотка молочная сухая, масло подсолнечное рафинированное дезодорированное, крахмал картофельный, крахмал кукурузный, смесь посолочно-нитритная (соль, фиксатор окраски (нитрит натрия)), сахара, белок животный (говяжий), регуляторы кислотности (цитраты натрия, пирофосфаты, трифосфаты), загустители (камедь целлюлозы, гуаровая камедь, каррагинан, конжак, ксантановая камедь, альгинат натрия, модифицированный крахмал), экстракты пряностей, антиокислители (аскорбиновая кислота, лимонная кислота, изоаскорбат натрия), гидролизат соевого белка, усилитель вкуса и аромата (глутамат натрия), ароматизаторы, краситель (кармины).  
сосиски С сыром: 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 </v>
          </cell>
          <cell r="L529" t="str">
            <v>9
10</v>
          </cell>
          <cell r="M529" t="str">
            <v>13
18</v>
          </cell>
          <cell r="N529" t="str">
            <v>5
4</v>
          </cell>
          <cell r="O529" t="str">
            <v>173/719
222/921</v>
          </cell>
          <cell r="P529" t="str">
            <v>0…+6</v>
          </cell>
          <cell r="Q529">
            <v>45</v>
          </cell>
        </row>
        <row r="530">
          <cell r="B530">
            <v>1001026947371</v>
          </cell>
          <cell r="C530" t="str">
            <v>БРЕСТСКИЕ сос п/о в/у 0.3кг 8шт.</v>
          </cell>
          <cell r="D530" t="str">
            <v>ШТ</v>
          </cell>
          <cell r="E530" t="str">
            <v>Колбасные изделия</v>
          </cell>
          <cell r="F530" t="str">
            <v>Сосиски</v>
          </cell>
          <cell r="G530" t="str">
            <v>Без ТМ</v>
          </cell>
          <cell r="H530" t="str">
            <v>ОМПК(Г)</v>
          </cell>
          <cell r="I530" t="str">
            <v>ТУ 10.13.14-150-00425283-2026</v>
          </cell>
          <cell r="J530" t="str">
            <v>Изделие колбасное вареное из мяса кур охлажденное.</v>
          </cell>
          <cell r="K530" t="str">
            <v>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загустители (альгинат натрия, каррагинан, ксантановая камедь, гуаровая камедь, модифицированный крахмал), перец черный, мускатный орех, кардамон, чеснок сушеный молотый, паприка,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30">
            <v>10</v>
          </cell>
          <cell r="M530">
            <v>12</v>
          </cell>
          <cell r="N530">
            <v>6</v>
          </cell>
          <cell r="O530" t="str">
            <v>172/716</v>
          </cell>
          <cell r="P530" t="str">
            <v>0…+6</v>
          </cell>
          <cell r="Q530">
            <v>45</v>
          </cell>
        </row>
        <row r="531">
          <cell r="B531">
            <v>1001020867062</v>
          </cell>
          <cell r="C531" t="str">
            <v>ВЕНСКИЕ ПРЕМИУМ сос б/о мгс 1*4</v>
          </cell>
          <cell r="D531" t="str">
            <v>КГ</v>
          </cell>
          <cell r="E531" t="str">
            <v>Колбасные изделия</v>
          </cell>
          <cell r="F531" t="str">
            <v>Сосиски</v>
          </cell>
          <cell r="G531" t="str">
            <v>Останкино</v>
          </cell>
          <cell r="H531" t="str">
            <v>ОМПК(О)</v>
          </cell>
          <cell r="I531" t="str">
            <v>ТУ 10.13.14-180-00425283-2025</v>
          </cell>
          <cell r="J531" t="str">
            <v>Мясной продукт. Изделие колбасное вареное категории Б.</v>
          </cell>
          <cell r="K531" t="str">
            <v>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v>
          </cell>
          <cell r="L531">
            <v>12</v>
          </cell>
          <cell r="M531">
            <v>20</v>
          </cell>
          <cell r="O531" t="str">
            <v>228/944</v>
          </cell>
          <cell r="P531" t="str">
            <v>0…+6</v>
          </cell>
          <cell r="Q531">
            <v>45</v>
          </cell>
        </row>
        <row r="532">
          <cell r="B532">
            <v>1001020867123</v>
          </cell>
          <cell r="C532" t="str">
            <v>ВЕНСКИЕ ПРЕМИУМ сос б/о мгс 0.3кг 6шт.</v>
          </cell>
          <cell r="D532" t="str">
            <v>ШТ</v>
          </cell>
          <cell r="E532" t="str">
            <v>Колбасные изделия</v>
          </cell>
          <cell r="F532" t="str">
            <v>Сосиски</v>
          </cell>
          <cell r="G532" t="str">
            <v>Останкино</v>
          </cell>
          <cell r="H532" t="str">
            <v>ОМПК(О)</v>
          </cell>
          <cell r="I532" t="str">
            <v>ТУ 10.13.14-180-00425283-2025</v>
          </cell>
          <cell r="J532" t="str">
            <v>Мясной продукт. Изделие колбасное вареное категории Б.</v>
          </cell>
          <cell r="K532"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v>
          </cell>
          <cell r="L532">
            <v>13</v>
          </cell>
          <cell r="M532">
            <v>17</v>
          </cell>
          <cell r="N532">
            <v>5</v>
          </cell>
          <cell r="O532" t="str">
            <v>225/935</v>
          </cell>
          <cell r="P532" t="str">
            <v>0…+6</v>
          </cell>
          <cell r="Q532">
            <v>45</v>
          </cell>
        </row>
        <row r="533">
          <cell r="B533">
            <v>1001027517524</v>
          </cell>
          <cell r="C533" t="str">
            <v>ВЕРНЫЙ ВЫБОР ПМ сос п/о мгс 0.6кг 8шт.</v>
          </cell>
          <cell r="D533" t="str">
            <v>ШТ</v>
          </cell>
          <cell r="E533" t="str">
            <v>Колбасные изделия</v>
          </cell>
          <cell r="F533" t="str">
            <v>Сосиски</v>
          </cell>
          <cell r="G533" t="str">
            <v>Папа может</v>
          </cell>
          <cell r="H533" t="str">
            <v>ОМПК(Г)</v>
          </cell>
          <cell r="I533" t="str">
            <v>ТУ 10.13.14-150-00425283-2018</v>
          </cell>
          <cell r="J533" t="str">
            <v>Изделие колбасное вареное из мяса кур охлажденное.</v>
          </cell>
          <cell r="K533"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33">
            <v>8</v>
          </cell>
          <cell r="M533">
            <v>10</v>
          </cell>
          <cell r="N533">
            <v>5</v>
          </cell>
          <cell r="O533" t="str">
            <v>142/591</v>
          </cell>
          <cell r="P533" t="str">
            <v>0…+6</v>
          </cell>
          <cell r="Q533">
            <v>45</v>
          </cell>
        </row>
        <row r="534">
          <cell r="B534">
            <v>1001025767284</v>
          </cell>
          <cell r="C534" t="str">
            <v>ДЛЯ ДЕТЕЙ сос п/о мгс 0.33кг 6шт.</v>
          </cell>
          <cell r="D534" t="str">
            <v>ШТ</v>
          </cell>
          <cell r="E534" t="str">
            <v>Колбасные изделия</v>
          </cell>
          <cell r="F534" t="str">
            <v>Сосиски</v>
          </cell>
          <cell r="G534" t="str">
            <v>Останкино</v>
          </cell>
          <cell r="H534" t="str">
            <v>ОМПК(Г)</v>
          </cell>
          <cell r="I534" t="str">
            <v>ТУ 10.86.10-157-00425283-2022</v>
          </cell>
          <cell r="J534" t="str">
            <v>Мясной продукт. Изделие колбасное вареное для питания детей старше трех лет.</v>
          </cell>
          <cell r="K534" t="str">
            <v>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v>
          </cell>
          <cell r="L534">
            <v>12</v>
          </cell>
          <cell r="M534">
            <v>22</v>
          </cell>
          <cell r="N534">
            <v>0</v>
          </cell>
          <cell r="O534" t="str">
            <v>246/1018</v>
          </cell>
          <cell r="P534" t="str">
            <v>0…+6</v>
          </cell>
          <cell r="Q534">
            <v>30</v>
          </cell>
        </row>
        <row r="535">
          <cell r="B535">
            <v>1001025767659</v>
          </cell>
          <cell r="C535" t="str">
            <v>ДЛЯ ДЕТЕЙ сос п/о мгс 0.264кг 12шт_Х5</v>
          </cell>
          <cell r="D535" t="str">
            <v>ШТ</v>
          </cell>
          <cell r="E535" t="str">
            <v>Колбасные изделия</v>
          </cell>
          <cell r="F535" t="str">
            <v>Сосиски</v>
          </cell>
          <cell r="G535" t="str">
            <v>Останкино</v>
          </cell>
          <cell r="H535" t="str">
            <v>ОМПК(Г)</v>
          </cell>
          <cell r="I535" t="str">
            <v>ТУ 10.86.10-157-00425283-2022</v>
          </cell>
          <cell r="J535" t="str">
            <v>Мясной продукт. Изделие колбасное вареное для питания детей старше трех лет.</v>
          </cell>
          <cell r="K535"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5">
            <v>12</v>
          </cell>
          <cell r="M535">
            <v>22</v>
          </cell>
          <cell r="N535">
            <v>0</v>
          </cell>
          <cell r="O535" t="str">
            <v>246/1018</v>
          </cell>
          <cell r="P535" t="str">
            <v>0…+6</v>
          </cell>
          <cell r="Q535">
            <v>30</v>
          </cell>
        </row>
        <row r="536">
          <cell r="B536">
            <v>1001025767461</v>
          </cell>
          <cell r="C536" t="str">
            <v>ДЛЯ ДЕТЕЙ Папа может сос п/о мгс 0.33кг</v>
          </cell>
          <cell r="D536" t="str">
            <v>ШТ</v>
          </cell>
          <cell r="E536" t="str">
            <v>Колбасные изделия</v>
          </cell>
          <cell r="F536" t="str">
            <v>Сосиски</v>
          </cell>
          <cell r="G536" t="str">
            <v>Папа может</v>
          </cell>
          <cell r="H536" t="str">
            <v>ОМПК(Г)</v>
          </cell>
          <cell r="I536" t="str">
            <v>ТУ 10.86.10-157-00425283-2022</v>
          </cell>
          <cell r="J536" t="str">
            <v>Мясной продукт. Изделие колбасное вареное для питания детей старше трех лет.</v>
          </cell>
          <cell r="K536"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6">
            <v>12</v>
          </cell>
          <cell r="M536">
            <v>22</v>
          </cell>
          <cell r="N536">
            <v>0</v>
          </cell>
          <cell r="O536" t="str">
            <v>246/1018</v>
          </cell>
          <cell r="P536" t="str">
            <v>0…+6</v>
          </cell>
          <cell r="Q536">
            <v>30</v>
          </cell>
        </row>
        <row r="537">
          <cell r="B537">
            <v>1001025767601</v>
          </cell>
          <cell r="C537" t="str">
            <v>ДЛЯ ДЕТЕЙ Папа может сос п/о мгс 0.264кг</v>
          </cell>
          <cell r="D537" t="str">
            <v>ШТ</v>
          </cell>
          <cell r="E537" t="str">
            <v>Колбасные изделия</v>
          </cell>
          <cell r="F537" t="str">
            <v>Сосиски</v>
          </cell>
          <cell r="G537" t="str">
            <v>Папа может</v>
          </cell>
          <cell r="H537" t="str">
            <v>ОМПК(Г)</v>
          </cell>
          <cell r="I537" t="str">
            <v>ТУ 10.86.10-157-00425283-2022</v>
          </cell>
          <cell r="J537" t="str">
            <v>Мясной продукт. Изделие колбасное вареное для питания детей старше трех лет.</v>
          </cell>
          <cell r="K537"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7">
            <v>12</v>
          </cell>
          <cell r="M537">
            <v>22</v>
          </cell>
          <cell r="N537">
            <v>0</v>
          </cell>
          <cell r="O537" t="str">
            <v>246/1018</v>
          </cell>
          <cell r="P537" t="str">
            <v>0…+6</v>
          </cell>
          <cell r="Q537">
            <v>30</v>
          </cell>
        </row>
        <row r="538">
          <cell r="B538">
            <v>1001027267469</v>
          </cell>
          <cell r="C538" t="str">
            <v>КОЛБ.РУБЛЕН.С ГОВЯД.ПМ сос п/о в/у 1/320</v>
          </cell>
          <cell r="D538" t="str">
            <v>ШТ</v>
          </cell>
          <cell r="E538" t="str">
            <v>Колбасные изделия</v>
          </cell>
          <cell r="F538" t="str">
            <v>Сосиски</v>
          </cell>
          <cell r="G538" t="str">
            <v>Папа может</v>
          </cell>
          <cell r="H538" t="str">
            <v>ОМПК(О)</v>
          </cell>
          <cell r="I538" t="str">
            <v>ТУ 10.13.14-180-00425283-2025</v>
          </cell>
          <cell r="J538" t="str">
            <v>Мясной продукт. Изделие колбасное вареное категории Б.</v>
          </cell>
          <cell r="K538" t="str">
            <v>говядина, мясо куриное механической обвалки, филе грудок куриных, вода питьевая, говядина, крахмал картофельный, молоко сухое обезжиренное, смесь посолочно-нитритная (соль, фиксатор окраски (нитрит натрия)), сахар, соль, регуляторы кислотности (пирофосфаты, трифосфаты, цитраты натрия), лук сушеный молотый,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 красители (кармины, сахарный коллер), гемоглобин</v>
          </cell>
          <cell r="L538">
            <v>12</v>
          </cell>
          <cell r="M538">
            <v>15</v>
          </cell>
          <cell r="N538">
            <v>4</v>
          </cell>
          <cell r="O538" t="str">
            <v>199/857</v>
          </cell>
          <cell r="P538" t="str">
            <v>0…+6</v>
          </cell>
          <cell r="Q538">
            <v>45</v>
          </cell>
        </row>
        <row r="539">
          <cell r="B539">
            <v>1001027257467</v>
          </cell>
          <cell r="C539" t="str">
            <v>КОЛБ.РУБЛЕН.КУРИНЫЕ ПМ сос п/о в/у 1/320</v>
          </cell>
          <cell r="D539" t="str">
            <v>ШТ</v>
          </cell>
          <cell r="E539" t="str">
            <v>Колбасные изделия</v>
          </cell>
          <cell r="F539" t="str">
            <v>Сосиски</v>
          </cell>
          <cell r="G539" t="str">
            <v>Папа может</v>
          </cell>
          <cell r="H539" t="str">
            <v>ОМПК(О)</v>
          </cell>
          <cell r="I539" t="str">
            <v>ТУ 10.13.14-150-00425283-2026</v>
          </cell>
          <cell r="J539" t="str">
            <v>Изделие колбасное вареное из мяса кур охлажденное.</v>
          </cell>
          <cell r="K539" t="str">
            <v>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v>
          </cell>
          <cell r="L539">
            <v>15</v>
          </cell>
          <cell r="M539">
            <v>13</v>
          </cell>
          <cell r="N539">
            <v>2</v>
          </cell>
          <cell r="O539" t="str">
            <v>185/770</v>
          </cell>
          <cell r="P539" t="str">
            <v>0…+6</v>
          </cell>
          <cell r="Q539">
            <v>45</v>
          </cell>
        </row>
        <row r="540">
          <cell r="B540">
            <v>1001027277468</v>
          </cell>
          <cell r="C540" t="str">
            <v>КОЛБ.РУБЛЕН.СВИНЫЕ ПМ сос п/о в/у 1/320</v>
          </cell>
          <cell r="D540" t="str">
            <v>ШТ</v>
          </cell>
          <cell r="E540" t="str">
            <v>Колбасные изделия</v>
          </cell>
          <cell r="F540" t="str">
            <v>Сосиски</v>
          </cell>
          <cell r="G540" t="str">
            <v>Папа может</v>
          </cell>
          <cell r="H540" t="str">
            <v>ОМПК(О)</v>
          </cell>
          <cell r="I540" t="str">
            <v>ТУ 10.13.14-180-00425283-2025</v>
          </cell>
          <cell r="J540" t="str">
            <v>Мясной продукт. Изделие колбасное вареное категории Б.</v>
          </cell>
          <cell r="K540" t="str">
            <v>свинина, вода питьевая, молоко сухое обезжиренное, крахмал картофельный, смесь посолочно-нитритная (соль, фиксатор окраски (нитрит натрия)), сахар, соль, регуляторы кислотности (пирофосфаты, трифосфаты, цитраты натрия), паприка, петрушка, чеснок,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v>
          </cell>
          <cell r="L540">
            <v>13</v>
          </cell>
          <cell r="M540">
            <v>19</v>
          </cell>
          <cell r="N540">
            <v>4</v>
          </cell>
          <cell r="O540" t="str">
            <v>239/992</v>
          </cell>
          <cell r="P540" t="str">
            <v>0…+6</v>
          </cell>
          <cell r="Q540">
            <v>45</v>
          </cell>
        </row>
        <row r="541">
          <cell r="B541">
            <v>1001020837501</v>
          </cell>
          <cell r="C541" t="str">
            <v>МОЛОЧНЫЕ GUTMANN сос п/о мгс 0.5кг 10шт.</v>
          </cell>
          <cell r="D541" t="str">
            <v>ШТ</v>
          </cell>
          <cell r="E541" t="str">
            <v>Колбасные изделия</v>
          </cell>
          <cell r="F541" t="str">
            <v>Сосиски</v>
          </cell>
          <cell r="G541" t="str">
            <v>GUTMANN</v>
          </cell>
          <cell r="H541" t="str">
            <v>ОМПК(Г)</v>
          </cell>
          <cell r="I541" t="str">
            <v>ТУ 10.13.14-180-00425283-2025</v>
          </cell>
          <cell r="J541" t="str">
            <v>Мясосодержащий продукт. Изделие колбасное вареное категории В.</v>
          </cell>
          <cell r="K541" t="str">
            <v>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v>
          </cell>
          <cell r="L541">
            <v>10</v>
          </cell>
          <cell r="M541">
            <v>12</v>
          </cell>
          <cell r="N541">
            <v>3</v>
          </cell>
          <cell r="O541" t="str">
            <v>665/160</v>
          </cell>
          <cell r="P541" t="str">
            <v>0…+6</v>
          </cell>
          <cell r="Q541">
            <v>50</v>
          </cell>
        </row>
        <row r="542">
          <cell r="B542">
            <v>1001020837676</v>
          </cell>
          <cell r="C542" t="str">
            <v>МОЛОЧНЫЕ GUTMANN сос п/о мгс 0.5кг 8шт.</v>
          </cell>
          <cell r="D542" t="str">
            <v>ШТ</v>
          </cell>
          <cell r="E542" t="str">
            <v>Колбасные изделия</v>
          </cell>
          <cell r="F542" t="str">
            <v>Сосиски</v>
          </cell>
          <cell r="G542" t="str">
            <v>GUTMANN</v>
          </cell>
          <cell r="H542" t="str">
            <v>ОМПК(Г)</v>
          </cell>
          <cell r="I542" t="str">
            <v>ТУ 10.13.14-180-00425283-2025</v>
          </cell>
          <cell r="J542" t="str">
            <v>Мясосодержащий продукт. Изделие колбасное вареное категории В.</v>
          </cell>
          <cell r="K542" t="str">
            <v>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v>
          </cell>
          <cell r="L542">
            <v>10</v>
          </cell>
          <cell r="M542">
            <v>12</v>
          </cell>
          <cell r="N542">
            <v>3</v>
          </cell>
          <cell r="O542" t="str">
            <v>665/160</v>
          </cell>
          <cell r="P542" t="str">
            <v>0…+6</v>
          </cell>
          <cell r="Q542">
            <v>50</v>
          </cell>
        </row>
        <row r="543">
          <cell r="B543">
            <v>1001022657074</v>
          </cell>
          <cell r="C543" t="str">
            <v>МОЛОЧ.ПРЕМИУМ ПМ сос п/о мгс 0.6кг_50с</v>
          </cell>
          <cell r="D543" t="str">
            <v>ШТ</v>
          </cell>
          <cell r="E543" t="str">
            <v>Колбасные изделия</v>
          </cell>
          <cell r="F543" t="str">
            <v>Сосиски</v>
          </cell>
          <cell r="G543" t="str">
            <v>Папа может</v>
          </cell>
          <cell r="H543" t="str">
            <v>ОМПК(Г)</v>
          </cell>
          <cell r="I543" t="str">
            <v>ТУ 10.13.14-180-00425283-2025</v>
          </cell>
          <cell r="J543" t="str">
            <v>Мясосодержащий продукт. Изделие колбасное вареное категории В.</v>
          </cell>
          <cell r="K543"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43">
            <v>10</v>
          </cell>
          <cell r="M543">
            <v>12</v>
          </cell>
          <cell r="N543">
            <v>3</v>
          </cell>
          <cell r="O543" t="str">
            <v>160/665</v>
          </cell>
          <cell r="P543" t="str">
            <v>0…+6</v>
          </cell>
          <cell r="Q543">
            <v>50</v>
          </cell>
        </row>
        <row r="544">
          <cell r="B544">
            <v>1001022726303</v>
          </cell>
          <cell r="C544" t="str">
            <v>МЯСНЫЕ Папа может сос п/о мгс 1.5*3</v>
          </cell>
          <cell r="D544" t="str">
            <v>КГ</v>
          </cell>
          <cell r="E544" t="str">
            <v>Колбасные изделия</v>
          </cell>
          <cell r="F544" t="str">
            <v>Сосиски</v>
          </cell>
          <cell r="G544" t="str">
            <v>Папа может</v>
          </cell>
          <cell r="H544" t="str">
            <v>ОМПК(Г)</v>
          </cell>
          <cell r="I544" t="str">
            <v>ТУ 10.13.14-180-00425283-2025</v>
          </cell>
          <cell r="J544" t="str">
            <v>Мясной продукт. Изделие колбасное вареное категории В.</v>
          </cell>
          <cell r="K544" t="str">
            <v>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v>
          </cell>
          <cell r="L544">
            <v>10</v>
          </cell>
          <cell r="M544">
            <v>13</v>
          </cell>
          <cell r="N544">
            <v>5</v>
          </cell>
          <cell r="O544" t="str">
            <v>177/736</v>
          </cell>
          <cell r="P544" t="str">
            <v>0…+6</v>
          </cell>
          <cell r="Q544">
            <v>45</v>
          </cell>
        </row>
        <row r="545">
          <cell r="B545">
            <v>1001025507272</v>
          </cell>
          <cell r="C545" t="str">
            <v>МЯСНЫЕ С ГОВЯД.ПМ сос п/о мгс 1кг 6шт.</v>
          </cell>
          <cell r="D545" t="str">
            <v>ШТ</v>
          </cell>
          <cell r="E545" t="str">
            <v>Колбасные изделия</v>
          </cell>
          <cell r="F545" t="str">
            <v>Сосиски</v>
          </cell>
          <cell r="G545" t="str">
            <v>Папа может</v>
          </cell>
          <cell r="H545" t="str">
            <v>ОМПК(Г)</v>
          </cell>
          <cell r="I545" t="str">
            <v>ТУ 10.13.14-180-00425283-2025</v>
          </cell>
          <cell r="J545" t="str">
            <v>Мясной продукт. Изделие колбасное вареное категории В.</v>
          </cell>
          <cell r="K545"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45">
            <v>10</v>
          </cell>
          <cell r="M545">
            <v>12</v>
          </cell>
          <cell r="N545">
            <v>4</v>
          </cell>
          <cell r="O545" t="str">
            <v>164/682</v>
          </cell>
          <cell r="P545" t="str">
            <v>0…+6</v>
          </cell>
          <cell r="Q545">
            <v>50</v>
          </cell>
        </row>
        <row r="546">
          <cell r="B546">
            <v>1001025507271</v>
          </cell>
          <cell r="C546" t="str">
            <v>МЯСНЫЕ С ГОВЯДИНОЙ ПМ сос п/о мгс 1.5*4</v>
          </cell>
          <cell r="D546" t="str">
            <v>КГ</v>
          </cell>
          <cell r="E546" t="str">
            <v>Колбасные изделия</v>
          </cell>
          <cell r="F546" t="str">
            <v>Сосиски</v>
          </cell>
          <cell r="G546" t="str">
            <v>Папа может</v>
          </cell>
          <cell r="H546" t="str">
            <v>ОМПК(Г)</v>
          </cell>
          <cell r="I546" t="str">
            <v>ТУ 10.13.14-180-00425283-2025</v>
          </cell>
          <cell r="J546" t="str">
            <v>Мясной продукт. Изделие колбасное вареное категории В.</v>
          </cell>
          <cell r="K546"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46">
            <v>10</v>
          </cell>
          <cell r="M546">
            <v>12</v>
          </cell>
          <cell r="N546">
            <v>4</v>
          </cell>
          <cell r="O546" t="str">
            <v>164/682</v>
          </cell>
          <cell r="P546" t="str">
            <v>0…+6</v>
          </cell>
          <cell r="Q546">
            <v>50</v>
          </cell>
        </row>
        <row r="547">
          <cell r="B547">
            <v>1001027287473</v>
          </cell>
          <cell r="C547" t="str">
            <v>ПО-ОСТАНКИНСКИ ПМ сос п/о мгс 0.5кг 10шт</v>
          </cell>
          <cell r="D547" t="str">
            <v>ШТ</v>
          </cell>
          <cell r="E547" t="str">
            <v>Колбасные изделия</v>
          </cell>
          <cell r="F547" t="str">
            <v>Сосиски</v>
          </cell>
          <cell r="G547" t="str">
            <v>Папа может</v>
          </cell>
          <cell r="H547" t="str">
            <v>ОМПК(Г)</v>
          </cell>
          <cell r="I547" t="str">
            <v>ТУ 10.13.14-180-00425283-2025</v>
          </cell>
          <cell r="J547" t="str">
            <v>Мясной продукт. Изделие колбасное вареное категории В.</v>
          </cell>
          <cell r="K547" t="str">
            <v xml:space="preserve">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 </v>
          </cell>
          <cell r="L547">
            <v>10</v>
          </cell>
          <cell r="M547">
            <v>13</v>
          </cell>
          <cell r="N547">
            <v>5</v>
          </cell>
          <cell r="O547" t="str">
            <v>177/736</v>
          </cell>
          <cell r="P547" t="str">
            <v>0…+6</v>
          </cell>
          <cell r="Q547">
            <v>50</v>
          </cell>
        </row>
        <row r="548">
          <cell r="B548">
            <v>1001027247460</v>
          </cell>
          <cell r="C548" t="str">
            <v>СО ВКУС.ПИЦЦА БАРБЕКЮ сос п/о мгс 0.33кг</v>
          </cell>
          <cell r="D548" t="str">
            <v>ШТ</v>
          </cell>
          <cell r="E548" t="str">
            <v>Колбасные изделия</v>
          </cell>
          <cell r="F548" t="str">
            <v>Сосиски</v>
          </cell>
          <cell r="G548" t="str">
            <v>Папа может</v>
          </cell>
          <cell r="H548" t="str">
            <v>ОМПК(Г)</v>
          </cell>
          <cell r="I548" t="str">
            <v>ТУ 10.13.14-150-00425283-2018</v>
          </cell>
          <cell r="J548" t="str">
            <v>Изделие колбасное вареное из мяса кур охлажденное.</v>
          </cell>
          <cell r="K548" t="str">
            <v xml:space="preserve">мясо куриное механической обвалки, свинина, вода питьевая, стабилизатор белковый (вода питьевая, шкурка свиная, говядина), сыворотка молочная сухая, крахмал кукурузный, желатин пищевой, соль, овощи сушеные (томат, лук репчатый, чеснок), пряности (паприка, базилик, орегано, кориандр, пажитник, перец красный), экстракты пряностей, сырный порошок,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конжак, ксантановая камедь, гуммиарабик, альгинат натрия, гуаровая камедь, модифицированный крахмал, камедь целлюлозы), сахара, антиокислители (изоаскорбат натрия, аскорбиновая кислота, лимонная кислота), усилитель вкуса и аромата (глутамат натрия), ароматизатор коптильный, ароматизаторы, краситель (кармины) </v>
          </cell>
          <cell r="L548">
            <v>10</v>
          </cell>
          <cell r="M548">
            <v>12</v>
          </cell>
          <cell r="N548">
            <v>4</v>
          </cell>
          <cell r="O548" t="str">
            <v>156/682</v>
          </cell>
          <cell r="P548" t="str">
            <v>0…+6</v>
          </cell>
          <cell r="Q548">
            <v>45</v>
          </cell>
        </row>
        <row r="549">
          <cell r="B549">
            <v>1001027327475</v>
          </cell>
          <cell r="C549" t="str">
            <v>СО ВКУС.СОУСА ШРИРАЧА сос п/о мгс 0.33кг</v>
          </cell>
          <cell r="D549" t="str">
            <v>ШТ</v>
          </cell>
          <cell r="E549" t="str">
            <v>Колбасные изделия</v>
          </cell>
          <cell r="F549" t="str">
            <v>Сосиски</v>
          </cell>
          <cell r="G549" t="str">
            <v>Папа может</v>
          </cell>
          <cell r="H549" t="str">
            <v>ОМПК(Г)</v>
          </cell>
          <cell r="I549" t="str">
            <v>ТУ 10.13.14-150-00425283-2018</v>
          </cell>
          <cell r="J549" t="str">
            <v>Изделие колбасное вареное из мяса кур охлажденное.</v>
          </cell>
          <cell r="K549" t="str">
            <v>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куркума, перец чили, сок лимона, перец черный, мускатный орех,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49">
            <v>10</v>
          </cell>
          <cell r="M549">
            <v>12</v>
          </cell>
          <cell r="N549">
            <v>5</v>
          </cell>
          <cell r="O549" t="str">
            <v>168/699</v>
          </cell>
          <cell r="P549" t="str">
            <v>0…+6</v>
          </cell>
          <cell r="Q549">
            <v>45</v>
          </cell>
        </row>
        <row r="550">
          <cell r="B550">
            <v>1001027697642</v>
          </cell>
          <cell r="C550" t="str">
            <v>СО ВКУС.МЕКСИК. ТАКО сос п/о мгс 0.264кг</v>
          </cell>
          <cell r="D550" t="str">
            <v>ШТ</v>
          </cell>
          <cell r="E550" t="str">
            <v>Колбасные изделия</v>
          </cell>
          <cell r="F550" t="str">
            <v>Сосиски</v>
          </cell>
          <cell r="G550" t="str">
            <v>Папа может</v>
          </cell>
          <cell r="H550" t="str">
            <v>ОМПК(Г)</v>
          </cell>
          <cell r="I550" t="str">
            <v>ТУ 10.13.14-150-00425283-2018</v>
          </cell>
          <cell r="J550" t="str">
            <v>Изделие колбасное вареное из мяса кур охлажденное.</v>
          </cell>
          <cell r="K550" t="str">
            <v>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лук, чеснок, перец черный, кориандр, шпинат, петрушка, перец чили, кумин, гвоздика, мускатный орех, смесь посолочно-нитритная (соль, фиксатор окраски (нитрит натрия)), желатин пищевой,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50">
            <v>9</v>
          </cell>
          <cell r="M550">
            <v>10</v>
          </cell>
          <cell r="N550">
            <v>4</v>
          </cell>
          <cell r="O550" t="str">
            <v>142/591</v>
          </cell>
          <cell r="P550" t="str">
            <v>0…+6</v>
          </cell>
          <cell r="Q550">
            <v>45</v>
          </cell>
        </row>
        <row r="551">
          <cell r="B551">
            <v>1001022377065</v>
          </cell>
          <cell r="C551" t="str">
            <v>СОЧНЫЕ ПМ сос п/о мгс 0.6кг 8шт_50с</v>
          </cell>
          <cell r="D551" t="str">
            <v>ШТ</v>
          </cell>
          <cell r="E551" t="str">
            <v>Колбасные изделия</v>
          </cell>
          <cell r="F551" t="str">
            <v>Сосиски</v>
          </cell>
          <cell r="G551" t="str">
            <v>Папа может</v>
          </cell>
          <cell r="H551" t="str">
            <v>ОМПК(Г)</v>
          </cell>
          <cell r="I551" t="str">
            <v>ТУ 10.13.14-180-00425283-2025</v>
          </cell>
          <cell r="J551" t="str">
            <v>Мясной продукт. Изделие колбасное вареное категории В.</v>
          </cell>
          <cell r="K55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551">
            <v>10</v>
          </cell>
          <cell r="M551">
            <v>13</v>
          </cell>
          <cell r="N551">
            <v>5</v>
          </cell>
          <cell r="O551" t="str">
            <v>177/736</v>
          </cell>
          <cell r="P551" t="str">
            <v>0…+6</v>
          </cell>
          <cell r="Q551">
            <v>50</v>
          </cell>
        </row>
        <row r="552">
          <cell r="B552">
            <v>1001022246713</v>
          </cell>
          <cell r="C552" t="str">
            <v>СОЧНЫЙ ГРИЛЬ ПМ сос п/о мгс 0.41кг 8шт.</v>
          </cell>
          <cell r="D552" t="str">
            <v>ШТ</v>
          </cell>
          <cell r="E552" t="str">
            <v>Колбасные изделия</v>
          </cell>
          <cell r="F552" t="str">
            <v>Сосиски</v>
          </cell>
          <cell r="G552" t="str">
            <v>Папа может</v>
          </cell>
          <cell r="H552" t="str">
            <v>ОМПК(Г)</v>
          </cell>
          <cell r="I552" t="str">
            <v>ТУ 10.13.14-180-00425283-2025</v>
          </cell>
          <cell r="J552" t="str">
            <v>Мясной продукт. Изделие колбасное вареное категории В.</v>
          </cell>
          <cell r="K552"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2">
            <v>9</v>
          </cell>
          <cell r="M552">
            <v>13</v>
          </cell>
          <cell r="N552">
            <v>5</v>
          </cell>
          <cell r="O552" t="str">
            <v>173/719</v>
          </cell>
          <cell r="P552" t="str">
            <v>0…+6</v>
          </cell>
          <cell r="Q552">
            <v>45</v>
          </cell>
        </row>
        <row r="553">
          <cell r="B553">
            <v>1001027417490</v>
          </cell>
          <cell r="C553" t="str">
            <v>СОЧНЫЙ ГРИЛЬ сос ц/о мгс 0.41кг_Даблпак</v>
          </cell>
          <cell r="D553" t="str">
            <v>ШТ</v>
          </cell>
          <cell r="E553" t="str">
            <v>Колбасные изделия</v>
          </cell>
          <cell r="F553" t="str">
            <v>Сосиски</v>
          </cell>
          <cell r="G553" t="str">
            <v>Папа может</v>
          </cell>
          <cell r="H553" t="str">
            <v>ОМПК(Г)</v>
          </cell>
          <cell r="I553" t="str">
            <v>ТУ 10.13.14-130-00425283-2017</v>
          </cell>
          <cell r="J553" t="str">
            <v>Мясной продукт. Изделие колбасное вареное категории В.</v>
          </cell>
          <cell r="K553"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3">
            <v>9</v>
          </cell>
          <cell r="M553">
            <v>13</v>
          </cell>
          <cell r="N553">
            <v>5</v>
          </cell>
          <cell r="O553" t="str">
            <v>173/719</v>
          </cell>
          <cell r="P553" t="str">
            <v>0…+6</v>
          </cell>
          <cell r="Q553">
            <v>45</v>
          </cell>
        </row>
        <row r="554">
          <cell r="B554">
            <v>1001022246958</v>
          </cell>
          <cell r="C554" t="str">
            <v>СОЧНЫЙ ГРИЛЬ ПМ сос п/о мгс 1.5*4</v>
          </cell>
          <cell r="D554" t="str">
            <v>КГ</v>
          </cell>
          <cell r="E554" t="str">
            <v>Колбасные изделия</v>
          </cell>
          <cell r="F554" t="str">
            <v>Сосиски</v>
          </cell>
          <cell r="G554" t="str">
            <v>Папа может</v>
          </cell>
          <cell r="H554" t="str">
            <v>ОМПК(Г)</v>
          </cell>
          <cell r="I554" t="str">
            <v>ТУ 10.13.14-130-00425283-2017</v>
          </cell>
          <cell r="J554" t="str">
            <v>Мясной продукт. Изделие колбасное вареное категории В.</v>
          </cell>
          <cell r="K554"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4">
            <v>9</v>
          </cell>
          <cell r="M554">
            <v>13</v>
          </cell>
          <cell r="N554">
            <v>5</v>
          </cell>
          <cell r="O554" t="str">
            <v>173/719</v>
          </cell>
          <cell r="P554" t="str">
            <v>0…+6</v>
          </cell>
          <cell r="Q554">
            <v>45</v>
          </cell>
        </row>
        <row r="555">
          <cell r="B555">
            <v>1001022246959</v>
          </cell>
          <cell r="C555" t="str">
            <v>СОЧНЫЙ ГРИЛЬ ПМ сос п/о мгс 1.5*4_А</v>
          </cell>
          <cell r="D555" t="str">
            <v>КГ</v>
          </cell>
          <cell r="E555" t="str">
            <v>Колбасные изделия</v>
          </cell>
          <cell r="F555" t="str">
            <v>Сосиски</v>
          </cell>
          <cell r="G555" t="str">
            <v>Папа может</v>
          </cell>
          <cell r="H555" t="str">
            <v>ОМПК(Г)</v>
          </cell>
          <cell r="I555" t="str">
            <v>ТУ 10.13.14-130-00425283-2017</v>
          </cell>
          <cell r="J555" t="str">
            <v>Мясной продукт. Изделие колбасное вареное категории В.</v>
          </cell>
          <cell r="K555"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5">
            <v>9</v>
          </cell>
          <cell r="M555">
            <v>13</v>
          </cell>
          <cell r="N555">
            <v>5</v>
          </cell>
          <cell r="O555" t="str">
            <v>173/719</v>
          </cell>
          <cell r="P555" t="str">
            <v>0…+6</v>
          </cell>
          <cell r="Q555">
            <v>45</v>
          </cell>
        </row>
        <row r="556">
          <cell r="B556">
            <v>1001022246661</v>
          </cell>
          <cell r="C556" t="str">
            <v>СОЧНЫЙ ГРИЛЬ ПМ сос п/о мгс 1.5*4_Маяк</v>
          </cell>
          <cell r="D556" t="str">
            <v>КГ</v>
          </cell>
          <cell r="E556" t="str">
            <v>Колбасные изделия</v>
          </cell>
          <cell r="F556" t="str">
            <v>Сосиски</v>
          </cell>
          <cell r="G556" t="str">
            <v>Папа может</v>
          </cell>
          <cell r="H556" t="str">
            <v>ОМПК(Г)</v>
          </cell>
          <cell r="I556" t="str">
            <v>ТУ 10.13.14-130-00425283-2017</v>
          </cell>
          <cell r="J556" t="str">
            <v>Мясной продукт. Изделие колбасное вареное категории В.</v>
          </cell>
          <cell r="K556"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6">
            <v>9</v>
          </cell>
          <cell r="M556">
            <v>13</v>
          </cell>
          <cell r="N556">
            <v>5</v>
          </cell>
          <cell r="O556" t="str">
            <v>173/719</v>
          </cell>
          <cell r="P556" t="str">
            <v>0…+6</v>
          </cell>
          <cell r="Q556">
            <v>45</v>
          </cell>
        </row>
        <row r="557">
          <cell r="B557">
            <v>1001027417643</v>
          </cell>
          <cell r="C557" t="str">
            <v>СОЧНЫЙ ГРИЛЬ ПМ сос п/о мгс 0.8кг 5шт.</v>
          </cell>
          <cell r="D557" t="str">
            <v>ШТ</v>
          </cell>
          <cell r="E557" t="str">
            <v>Колбасные изделия</v>
          </cell>
          <cell r="F557" t="str">
            <v>Сосиски</v>
          </cell>
          <cell r="G557" t="str">
            <v>Папа может</v>
          </cell>
          <cell r="H557" t="str">
            <v>ОМПК(Г)</v>
          </cell>
          <cell r="I557" t="str">
            <v>ТУ 10.13.14-130-00425283-2017</v>
          </cell>
          <cell r="J557" t="str">
            <v>Мясной продукт. Изделие колбасное вареное категории В.</v>
          </cell>
          <cell r="K557"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7">
            <v>9</v>
          </cell>
          <cell r="M557">
            <v>13</v>
          </cell>
          <cell r="N557">
            <v>5</v>
          </cell>
          <cell r="O557" t="str">
            <v>173/719</v>
          </cell>
          <cell r="P557" t="str">
            <v>0…+6</v>
          </cell>
          <cell r="Q557">
            <v>45</v>
          </cell>
        </row>
        <row r="558">
          <cell r="B558">
            <v>1001026797319</v>
          </cell>
          <cell r="C558" t="str">
            <v>СУПЕР КОПЧЕНЫЕ ПМ сос ц/о мгс 0.41кг 8шт</v>
          </cell>
          <cell r="D558" t="str">
            <v>ШТ</v>
          </cell>
          <cell r="E558" t="str">
            <v>Колбасные изделия</v>
          </cell>
          <cell r="F558" t="str">
            <v>Сосиски</v>
          </cell>
          <cell r="G558" t="str">
            <v>Папа может</v>
          </cell>
          <cell r="H558" t="str">
            <v>ОМПК(Г)</v>
          </cell>
          <cell r="I558" t="str">
            <v>ТУ 10.13.14-130-00425283-2017</v>
          </cell>
          <cell r="J558" t="str">
            <v>Мясной продукт. Изделие колбасное вареное категории В.</v>
          </cell>
          <cell r="K558"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8">
            <v>9</v>
          </cell>
          <cell r="M558">
            <v>13</v>
          </cell>
          <cell r="N558">
            <v>5</v>
          </cell>
          <cell r="O558" t="str">
            <v>173/719</v>
          </cell>
          <cell r="P558" t="str">
            <v>0…+6</v>
          </cell>
          <cell r="Q558">
            <v>45</v>
          </cell>
        </row>
        <row r="559">
          <cell r="B559">
            <v>1001025886987</v>
          </cell>
          <cell r="C559" t="str">
            <v>СУПЕР СЫТНЫЕ ПМ сос п/о мгс 0.6кг 8шт.</v>
          </cell>
          <cell r="D559" t="str">
            <v>ШТ</v>
          </cell>
          <cell r="E559" t="str">
            <v>Колбасные изделия</v>
          </cell>
          <cell r="F559" t="str">
            <v>Сосиски</v>
          </cell>
          <cell r="G559" t="str">
            <v>Папа может</v>
          </cell>
          <cell r="H559" t="str">
            <v>ОМПК(Г)</v>
          </cell>
          <cell r="I559" t="str">
            <v>ТУ 10.13.14-150-00425283-2018</v>
          </cell>
          <cell r="J559" t="str">
            <v>Изделие колбасное вареное из мяса кур охлажденное.</v>
          </cell>
          <cell r="K559"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59">
            <v>8</v>
          </cell>
          <cell r="M559">
            <v>10</v>
          </cell>
          <cell r="N559">
            <v>5</v>
          </cell>
          <cell r="O559" t="str">
            <v>142/591</v>
          </cell>
          <cell r="P559" t="str">
            <v>0…+6</v>
          </cell>
          <cell r="Q559">
            <v>45</v>
          </cell>
        </row>
        <row r="560">
          <cell r="B560">
            <v>1001026617662</v>
          </cell>
          <cell r="C560" t="str">
            <v>ТОМ ЯМ ПМ сос п/о мгс 0.264кг 6шт.</v>
          </cell>
          <cell r="D560" t="str">
            <v>ШТ</v>
          </cell>
          <cell r="E560" t="str">
            <v>Колбасные изделия</v>
          </cell>
          <cell r="F560" t="str">
            <v>Сосиски</v>
          </cell>
          <cell r="G560" t="str">
            <v>Папа может</v>
          </cell>
          <cell r="H560" t="str">
            <v>ОМПК(Г)</v>
          </cell>
          <cell r="I560" t="str">
            <v>ТУ 10.13.14-150-00425283-2018</v>
          </cell>
          <cell r="J560" t="str">
            <v>Изделие колбасное вареное из мяса кур охлажденное.</v>
          </cell>
          <cell r="K560" t="str">
            <v>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v>
          </cell>
          <cell r="L560">
            <v>10</v>
          </cell>
          <cell r="M560">
            <v>11</v>
          </cell>
          <cell r="N560">
            <v>2</v>
          </cell>
          <cell r="O560" t="str">
            <v>136/564</v>
          </cell>
          <cell r="P560" t="str">
            <v>0…+6</v>
          </cell>
          <cell r="Q560">
            <v>45</v>
          </cell>
        </row>
        <row r="561">
          <cell r="B561">
            <v>1001025887494</v>
          </cell>
          <cell r="C561" t="str">
            <v>СУПЕР СЫТНЫЕ ПМ сос п/о мгс 1.5*6</v>
          </cell>
          <cell r="D561" t="str">
            <v>КГ</v>
          </cell>
          <cell r="E561" t="str">
            <v>Колбасные изделия</v>
          </cell>
          <cell r="F561" t="str">
            <v>Сосиски</v>
          </cell>
          <cell r="G561" t="str">
            <v>Папа может</v>
          </cell>
          <cell r="H561" t="str">
            <v>ОМПК(Г)</v>
          </cell>
          <cell r="I561" t="str">
            <v>ТУ 10.13.14-150-00425283-2018</v>
          </cell>
          <cell r="J561" t="str">
            <v>Изделие колбасное вареное из мяса кур охлажденное.</v>
          </cell>
          <cell r="K561"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61">
            <v>8</v>
          </cell>
          <cell r="M561">
            <v>10</v>
          </cell>
          <cell r="N561">
            <v>5</v>
          </cell>
          <cell r="O561" t="str">
            <v>142/591</v>
          </cell>
          <cell r="P561" t="str">
            <v>0…+6</v>
          </cell>
          <cell r="Q561">
            <v>45</v>
          </cell>
        </row>
        <row r="562">
          <cell r="B562">
            <v>1001025887661</v>
          </cell>
          <cell r="C562" t="str">
            <v>СУПЕР СЫТНЫЕ ПМ сос п/о мгс 0.84кг 5шт.</v>
          </cell>
          <cell r="D562" t="str">
            <v>ШТ</v>
          </cell>
          <cell r="E562" t="str">
            <v>Колбасные изделия</v>
          </cell>
          <cell r="F562" t="str">
            <v>Сосиски</v>
          </cell>
          <cell r="G562" t="str">
            <v>Папа может</v>
          </cell>
          <cell r="H562" t="str">
            <v>ОМПК(Г)</v>
          </cell>
          <cell r="I562" t="str">
            <v>ТУ 10.13.14-150-00425283-2018</v>
          </cell>
          <cell r="J562" t="str">
            <v>Изделие колбасное вареное из мяса кур охлажденное.</v>
          </cell>
          <cell r="K562"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62">
            <v>8</v>
          </cell>
          <cell r="M562">
            <v>10</v>
          </cell>
          <cell r="N562">
            <v>5</v>
          </cell>
          <cell r="O562" t="str">
            <v>142/591</v>
          </cell>
          <cell r="P562" t="str">
            <v>0…+6</v>
          </cell>
          <cell r="Q562">
            <v>45</v>
          </cell>
        </row>
        <row r="563">
          <cell r="B563">
            <v>1001022557121</v>
          </cell>
          <cell r="C563" t="str">
            <v>ФИЛЕЙНЫЕ ПМ сос ц/о в/у 1/270 8шт.</v>
          </cell>
          <cell r="D563" t="str">
            <v>ШТ</v>
          </cell>
          <cell r="E563" t="str">
            <v>Колбасные изделия</v>
          </cell>
          <cell r="F563" t="str">
            <v>Сосиски</v>
          </cell>
          <cell r="G563" t="str">
            <v>Папа может</v>
          </cell>
          <cell r="H563" t="str">
            <v xml:space="preserve">ОМПК(Г)
</v>
          </cell>
          <cell r="I563" t="str">
            <v>ТУ 10.13.14-150-00425283-2026</v>
          </cell>
          <cell r="J563" t="str">
            <v>Изделие колбасное вареное из мяса кур охлажденное.</v>
          </cell>
          <cell r="K563" t="str">
            <v>филе грудок куриных, мясо цыпленка-бройлера механической обвалки, говядина, стабилизатор белковый (кожа куриная, вода питьевая),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перец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63">
            <v>11</v>
          </cell>
          <cell r="M563">
            <v>12</v>
          </cell>
          <cell r="N563">
            <v>4</v>
          </cell>
          <cell r="O563" t="str">
            <v>168/699</v>
          </cell>
          <cell r="P563" t="str">
            <v>0…+6</v>
          </cell>
          <cell r="Q563">
            <v>45</v>
          </cell>
        </row>
        <row r="564">
          <cell r="B564">
            <v>1001022557257</v>
          </cell>
          <cell r="C564" t="str">
            <v>ФИЛЕЙНЫЕ ПМ сос ц/о мгс 0.33кг 8шт.</v>
          </cell>
          <cell r="D564" t="str">
            <v>ШТ</v>
          </cell>
          <cell r="E564" t="str">
            <v>Колбасные изделия</v>
          </cell>
          <cell r="F564" t="str">
            <v>Сосиски</v>
          </cell>
          <cell r="G564" t="str">
            <v>Папа может</v>
          </cell>
          <cell r="H564" t="str">
            <v>ОМПК(Г)</v>
          </cell>
          <cell r="I564" t="str">
            <v>ТУ 10.13.14-150-00425283-2018</v>
          </cell>
          <cell r="J564" t="str">
            <v>Изделие колбасное вареное из мяса кур охлажденное.</v>
          </cell>
          <cell r="K564"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564">
            <v>12</v>
          </cell>
          <cell r="M564">
            <v>14</v>
          </cell>
          <cell r="N564">
            <v>1</v>
          </cell>
          <cell r="O564" t="str">
            <v>178/739</v>
          </cell>
          <cell r="P564" t="str">
            <v>0…+6</v>
          </cell>
          <cell r="Q564">
            <v>45</v>
          </cell>
        </row>
        <row r="565">
          <cell r="B565">
            <v>1001022556837</v>
          </cell>
          <cell r="C565" t="str">
            <v>ФИЛЕЙНЫЕ Папа Может сос ц/о мгс 0.4кг</v>
          </cell>
          <cell r="D565" t="str">
            <v>ШТ</v>
          </cell>
          <cell r="E565" t="str">
            <v>Колбасные изделия</v>
          </cell>
          <cell r="F565" t="str">
            <v>Сосиски</v>
          </cell>
          <cell r="G565" t="str">
            <v>Папа может</v>
          </cell>
          <cell r="H565" t="str">
            <v xml:space="preserve">ОМПК(Г)
</v>
          </cell>
          <cell r="I565" t="str">
            <v>ТУ 10.13.14-150-00425283-2018</v>
          </cell>
          <cell r="J565" t="str">
            <v>Изделие колбасное вареное из мяса кур охлажденное.</v>
          </cell>
          <cell r="K565"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565">
            <v>12</v>
          </cell>
          <cell r="M565">
            <v>14</v>
          </cell>
          <cell r="N565">
            <v>1</v>
          </cell>
          <cell r="O565" t="str">
            <v>178/739</v>
          </cell>
          <cell r="P565" t="str">
            <v>0…+6</v>
          </cell>
          <cell r="Q565">
            <v>45</v>
          </cell>
        </row>
        <row r="566">
          <cell r="B566">
            <v>1001027067385</v>
          </cell>
          <cell r="C566" t="str">
            <v>ЧИКЕН КАРРИ Папа может сос п/о мгс 1/330</v>
          </cell>
          <cell r="D566" t="str">
            <v>ШТ</v>
          </cell>
          <cell r="E566" t="str">
            <v>Колбасные изделия</v>
          </cell>
          <cell r="F566" t="str">
            <v>Сосиски</v>
          </cell>
          <cell r="G566" t="str">
            <v>Папа может</v>
          </cell>
          <cell r="H566" t="str">
            <v>ОМПК(Г)</v>
          </cell>
          <cell r="I566" t="str">
            <v>ТУ 10.13.14-150-00425283-2018</v>
          </cell>
          <cell r="J566" t="str">
            <v>Изделие колбасное вареное из мяса кур охлажденное.</v>
          </cell>
          <cell r="K566" t="str">
            <v>мясо куриное механической обвалки, свинина, вода питьевая, стабилизатор белковый (вода питьевая, шкурка свиная, говядина), куркума, кориандр молотый, перец красный молотый, перец черный молотый, горчица порошок, пажитник, кумин молотый, экстракт сельдерея, лук репчатый сушеный молотый, чеснок сушеный молотый, желатин пищевой,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глюконо-дельта-лактон), стабилизатор (полифосфат), загустители (альгинат натрия, каррагинан, гуаровая камедь, камедь целлюлозы, модифицированный крахмал), сахара, соль, антиокилсители (аскорбиновая кислота, изоаскорбат натрия, аскорбат натрия), усилитель вкуса и аромата (глутамат натрия 1-замещенный), ароматизаторы, краситель (кармины)</v>
          </cell>
          <cell r="L566">
            <v>10</v>
          </cell>
          <cell r="M566">
            <v>12</v>
          </cell>
          <cell r="N566">
            <v>3</v>
          </cell>
          <cell r="O566" t="str">
            <v>160/665</v>
          </cell>
          <cell r="P566" t="str">
            <v>0…+6</v>
          </cell>
          <cell r="Q566">
            <v>45</v>
          </cell>
        </row>
        <row r="567">
          <cell r="B567">
            <v>1001027577542</v>
          </cell>
          <cell r="C567" t="str">
            <v>СОЧНЫЕ С СЫРОМ ПМ сос ц/о мгс 0.3кг 6шт.</v>
          </cell>
          <cell r="D567" t="str">
            <v>ШТ</v>
          </cell>
          <cell r="E567" t="str">
            <v>Колбасные изделия</v>
          </cell>
          <cell r="F567" t="str">
            <v>Сосиски</v>
          </cell>
          <cell r="G567" t="str">
            <v>Папа может</v>
          </cell>
          <cell r="H567" t="str">
            <v xml:space="preserve">ОМПК(О)
</v>
          </cell>
          <cell r="I567" t="str">
            <v>ТУ 10.13.14-150-00425283-2026</v>
          </cell>
          <cell r="J567" t="str">
            <v>Изделие колбасное вареное из мяса кур охлажденное.</v>
          </cell>
          <cell r="K567" t="str">
            <v>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(конжак, ксантановая камедь, альгинат натрия, каррагинан, гуаровая камедь, камедь целлюлозы, модифицированный крахмал), специи, чеснок сушеный молотый, сахара, антиокислители (изоаскорбат натрия, лимонная кислота аскорбиновая кислота), усилитель вкуса и аромата (глутамат натрия), ароматизаторы, краситель (кармины)</v>
          </cell>
          <cell r="L567">
            <v>12</v>
          </cell>
          <cell r="M567">
            <v>13</v>
          </cell>
          <cell r="N567">
            <v>4</v>
          </cell>
          <cell r="O567" t="str">
            <v>181/753</v>
          </cell>
          <cell r="P567" t="str">
            <v>0…+6</v>
          </cell>
          <cell r="Q567">
            <v>45</v>
          </cell>
        </row>
        <row r="568">
          <cell r="B568">
            <v>1001025176475</v>
          </cell>
          <cell r="C568" t="str">
            <v>С СЫРОМ Папа может сос ц/о мгс 0.4кг 6шт</v>
          </cell>
          <cell r="D568" t="str">
            <v>ШТ</v>
          </cell>
          <cell r="E568" t="str">
            <v>Колбасные изделия</v>
          </cell>
          <cell r="F568" t="str">
            <v>Сосиски</v>
          </cell>
          <cell r="G568" t="str">
            <v>Папа может</v>
          </cell>
          <cell r="H568" t="str">
            <v xml:space="preserve">ОМПК(Г)
</v>
          </cell>
          <cell r="I568" t="str">
            <v>ТУ 10.13.14-150-00425283-2018</v>
          </cell>
          <cell r="J568" t="str">
            <v>Изделие колбасное вареное из мяса кур охлажденное.</v>
          </cell>
          <cell r="K568"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68">
            <v>10</v>
          </cell>
          <cell r="M568">
            <v>18</v>
          </cell>
          <cell r="N568">
            <v>4</v>
          </cell>
          <cell r="O568" t="str">
            <v>222/921</v>
          </cell>
          <cell r="P568" t="str">
            <v>0…+6</v>
          </cell>
          <cell r="Q568">
            <v>45</v>
          </cell>
        </row>
        <row r="569">
          <cell r="B569">
            <v>1001025177297</v>
          </cell>
          <cell r="C569" t="str">
            <v>С СЫРОМ ПМ сос ц/о мгс 0.4кг 6шт_Лента</v>
          </cell>
          <cell r="D569" t="str">
            <v>ШТ</v>
          </cell>
          <cell r="E569" t="str">
            <v>Колбасные изделия</v>
          </cell>
          <cell r="F569" t="str">
            <v>Сосиски</v>
          </cell>
          <cell r="G569" t="str">
            <v>Папа может</v>
          </cell>
          <cell r="H569" t="str">
            <v xml:space="preserve">ОМПК(Г)
</v>
          </cell>
          <cell r="I569" t="str">
            <v>ТУ 10.13.14-150-00425283-2018</v>
          </cell>
          <cell r="J569" t="str">
            <v>Изделие колбасное вареное из мяса кур охлажденное.</v>
          </cell>
          <cell r="K569"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69">
            <v>10</v>
          </cell>
          <cell r="M569">
            <v>18</v>
          </cell>
          <cell r="N569">
            <v>4</v>
          </cell>
          <cell r="O569" t="str">
            <v>222/921</v>
          </cell>
          <cell r="P569" t="str">
            <v>0…+6</v>
          </cell>
          <cell r="Q569">
            <v>45</v>
          </cell>
        </row>
        <row r="570">
          <cell r="B570">
            <v>1001025177563</v>
          </cell>
          <cell r="C570" t="str">
            <v>С СЫРОМ ПМ сос ц/о мгс 0.3кг 12шт.</v>
          </cell>
          <cell r="D570" t="str">
            <v>ШТ</v>
          </cell>
          <cell r="E570" t="str">
            <v>Колбасные изделия</v>
          </cell>
          <cell r="F570" t="str">
            <v>Сосиски</v>
          </cell>
          <cell r="G570" t="str">
            <v>Папа может</v>
          </cell>
          <cell r="H570" t="str">
            <v xml:space="preserve">ОМПК(Г)
</v>
          </cell>
          <cell r="I570" t="str">
            <v>ТУ 10.13.14-150-00425283-2018</v>
          </cell>
          <cell r="J570" t="str">
            <v>Изделие колбасное вареное из мяса кур охлажденное.</v>
          </cell>
          <cell r="K570"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70">
            <v>10</v>
          </cell>
          <cell r="M570">
            <v>18</v>
          </cell>
          <cell r="N570">
            <v>4</v>
          </cell>
          <cell r="O570" t="str">
            <v>222/921</v>
          </cell>
          <cell r="P570" t="str">
            <v>0…+6</v>
          </cell>
          <cell r="Q570">
            <v>45</v>
          </cell>
        </row>
        <row r="571">
          <cell r="B571">
            <v>1001022556708</v>
          </cell>
          <cell r="C571" t="str">
            <v>ИЗ ФИЛЕ КУРИНОЙ ГРУДКИ сос ц/о мгс 0.4кг</v>
          </cell>
          <cell r="D571" t="str">
            <v>ШТ</v>
          </cell>
          <cell r="E571" t="str">
            <v>Колбасные изделия</v>
          </cell>
          <cell r="F571" t="str">
            <v>Сосиски</v>
          </cell>
          <cell r="G571" t="str">
            <v>Папа может</v>
          </cell>
          <cell r="H571" t="str">
            <v xml:space="preserve">ОМПК(Г)
</v>
          </cell>
          <cell r="I571" t="str">
            <v>ТУ 10.13.14-150-00425283-2018</v>
          </cell>
          <cell r="J571" t="str">
            <v>Изделие колбасное вареное из мяса кур охлажденное 1 сорта.</v>
          </cell>
          <cell r="K571" t="str">
            <v>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v>
          </cell>
          <cell r="L571">
            <v>10</v>
          </cell>
          <cell r="M571">
            <v>13</v>
          </cell>
          <cell r="N571">
            <v>3</v>
          </cell>
          <cell r="O571" t="str">
            <v>169/702</v>
          </cell>
          <cell r="P571" t="str">
            <v>0…+6</v>
          </cell>
          <cell r="Q571">
            <v>45</v>
          </cell>
        </row>
        <row r="572">
          <cell r="B572">
            <v>1001023857296</v>
          </cell>
          <cell r="C572" t="str">
            <v>С ГОВЯДИНОЙ ПМ сос п/о мгс 0.8кг_Kvalita</v>
          </cell>
          <cell r="D572" t="str">
            <v>ШТ</v>
          </cell>
          <cell r="E572" t="str">
            <v>Колбасные изделия</v>
          </cell>
          <cell r="F572" t="str">
            <v>Сосиски</v>
          </cell>
          <cell r="G572" t="str">
            <v>Папа может</v>
          </cell>
          <cell r="H572" t="str">
            <v>ОМПК(Г)</v>
          </cell>
          <cell r="I572" t="str">
            <v>ТУ 10.13.14-130-00425283-2017</v>
          </cell>
          <cell r="J572" t="str">
            <v>Мясосодержащий продукт. Изделие колбасное вареное категории В.</v>
          </cell>
          <cell r="K572"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572">
            <v>7</v>
          </cell>
          <cell r="M572">
            <v>10</v>
          </cell>
          <cell r="N572">
            <v>3</v>
          </cell>
          <cell r="O572" t="str">
            <v>130/540</v>
          </cell>
          <cell r="P572" t="str">
            <v>0…+6</v>
          </cell>
          <cell r="Q572">
            <v>50</v>
          </cell>
        </row>
        <row r="573">
          <cell r="B573">
            <v>1001023857578</v>
          </cell>
          <cell r="C573" t="str">
            <v>С ГОВЯД.ПМ сос п/о мгс 0.8кг_309к_Kvalit</v>
          </cell>
          <cell r="D573" t="str">
            <v>ШТ</v>
          </cell>
          <cell r="E573" t="str">
            <v>Колбасные изделия</v>
          </cell>
          <cell r="F573" t="str">
            <v>Сосиски</v>
          </cell>
          <cell r="G573" t="str">
            <v>Папа может</v>
          </cell>
          <cell r="H573" t="str">
            <v>ОМПК(Г)</v>
          </cell>
          <cell r="I573" t="str">
            <v>ТУ 10.13.14-130-00425283-2017</v>
          </cell>
          <cell r="J573" t="str">
            <v>Мясосодержащий продукт. Изделие колбасное вареное категории В.</v>
          </cell>
          <cell r="K573"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573">
            <v>7</v>
          </cell>
          <cell r="M573">
            <v>10</v>
          </cell>
          <cell r="N573">
            <v>3</v>
          </cell>
          <cell r="O573" t="str">
            <v>130/540</v>
          </cell>
          <cell r="P573" t="str">
            <v>0…+6</v>
          </cell>
          <cell r="Q573">
            <v>50</v>
          </cell>
        </row>
        <row r="574">
          <cell r="B574">
            <v>1001023857405</v>
          </cell>
          <cell r="C574" t="str">
            <v>С ГОВЯДИНОЙ ASLAM сос п/о мгс 0.41кг</v>
          </cell>
          <cell r="D574" t="str">
            <v>ШТ</v>
          </cell>
          <cell r="E574" t="str">
            <v>Колбасные изделия</v>
          </cell>
          <cell r="F574" t="str">
            <v>Сосиски</v>
          </cell>
          <cell r="G574" t="str">
            <v>ASLAM</v>
          </cell>
          <cell r="H574" t="str">
            <v>ООО Казанские деликатесы</v>
          </cell>
          <cell r="I574" t="str">
            <v>ТУ 10.13.14-175-00425283-2025</v>
          </cell>
          <cell r="J574" t="str">
            <v>Изделие колбасное вареное из мяса кур охлажденное.</v>
          </cell>
          <cell r="K574" t="str">
            <v>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v>
          </cell>
          <cell r="L574">
            <v>12</v>
          </cell>
          <cell r="M574">
            <v>10</v>
          </cell>
          <cell r="N574">
            <v>2</v>
          </cell>
          <cell r="O574" t="str">
            <v>146/608</v>
          </cell>
          <cell r="P574" t="str">
            <v>0…+6</v>
          </cell>
          <cell r="Q574">
            <v>45</v>
          </cell>
        </row>
        <row r="575">
          <cell r="B575">
            <v>1001023857407</v>
          </cell>
          <cell r="C575" t="str">
            <v>С ГОВЯДИНОЙ ASLAM сос п/о мгс 1.025*6</v>
          </cell>
          <cell r="D575" t="str">
            <v>ШТ</v>
          </cell>
          <cell r="E575" t="str">
            <v>Колбасные изделия</v>
          </cell>
          <cell r="F575" t="str">
            <v>Сосиски</v>
          </cell>
          <cell r="G575" t="str">
            <v>ASLAM</v>
          </cell>
          <cell r="H575" t="str">
            <v>ООО Казанские деликатесы</v>
          </cell>
          <cell r="I575" t="str">
            <v>ТУ 10.13.14-175-00425283-2025</v>
          </cell>
          <cell r="J575" t="str">
            <v>Изделие колбасное вареное из мяса кур охлажденное.</v>
          </cell>
          <cell r="K575" t="str">
            <v>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v>
          </cell>
          <cell r="L575">
            <v>12</v>
          </cell>
          <cell r="M575">
            <v>10</v>
          </cell>
          <cell r="N575">
            <v>2</v>
          </cell>
          <cell r="O575" t="str">
            <v>146/608</v>
          </cell>
          <cell r="P575" t="str">
            <v>0…+6</v>
          </cell>
          <cell r="Q575">
            <v>45</v>
          </cell>
        </row>
        <row r="576">
          <cell r="B576">
            <v>1001023857476</v>
          </cell>
          <cell r="C576" t="str">
            <v>С ГОВЯДИНОЙ ПМ сос п/о мгс 0.4 кг 10шт.</v>
          </cell>
          <cell r="D576" t="str">
            <v>ШТ</v>
          </cell>
          <cell r="E576" t="str">
            <v>Колбасные изделия</v>
          </cell>
          <cell r="F576" t="str">
            <v>Сосиски</v>
          </cell>
          <cell r="G576" t="str">
            <v>Папа может</v>
          </cell>
          <cell r="H576" t="str">
            <v>ОМПК(Г)</v>
          </cell>
          <cell r="I576" t="str">
            <v>ТУ 10.13.14-180-00425283-2025</v>
          </cell>
          <cell r="J576" t="str">
            <v>Мясосодержащий продукт. Изделие колбасное вареное категории В.</v>
          </cell>
          <cell r="K576" t="str">
            <v>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76">
            <v>10</v>
          </cell>
          <cell r="M576">
            <v>13</v>
          </cell>
          <cell r="N576">
            <v>1</v>
          </cell>
          <cell r="O576" t="str">
            <v>161/668</v>
          </cell>
          <cell r="P576" t="str">
            <v>0…+6</v>
          </cell>
          <cell r="Q576">
            <v>50</v>
          </cell>
        </row>
        <row r="577">
          <cell r="B577">
            <v>1001023857631</v>
          </cell>
          <cell r="C577" t="str">
            <v>С ГОВЯДИНОЙ ПМ сос п/о мгс 0.25кг 8шт.</v>
          </cell>
          <cell r="D577" t="str">
            <v>ШТ</v>
          </cell>
          <cell r="E577" t="str">
            <v>Колбасные изделия</v>
          </cell>
          <cell r="F577" t="str">
            <v>Сосиски</v>
          </cell>
          <cell r="G577" t="str">
            <v>Папа может</v>
          </cell>
          <cell r="H577" t="str">
            <v>ОМПК(Г)</v>
          </cell>
          <cell r="I577" t="str">
            <v>ТУ 10.13.14-180-00425283-2025</v>
          </cell>
          <cell r="J577" t="str">
            <v>Мясосодержащий продукт. Изделие колбасное вареное категории В.</v>
          </cell>
          <cell r="K577" t="str">
            <v>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77">
            <v>10</v>
          </cell>
          <cell r="M577">
            <v>13</v>
          </cell>
          <cell r="N577">
            <v>1</v>
          </cell>
          <cell r="O577" t="str">
            <v>161/668</v>
          </cell>
          <cell r="P577" t="str">
            <v>0…+6</v>
          </cell>
          <cell r="Q577">
            <v>50</v>
          </cell>
        </row>
        <row r="578">
          <cell r="B578">
            <v>1001025027040</v>
          </cell>
          <cell r="C578" t="str">
            <v>С ИНДЕЙКОЙ ПМ сос ц/о в/у 1/270 8шт.</v>
          </cell>
          <cell r="D578" t="str">
            <v>ШТ</v>
          </cell>
          <cell r="E578" t="str">
            <v>Колбасные изделия</v>
          </cell>
          <cell r="F578" t="str">
            <v>Сосиски</v>
          </cell>
          <cell r="G578" t="str">
            <v>Папа может</v>
          </cell>
          <cell r="H578" t="str">
            <v xml:space="preserve">ОМПК(Г)
</v>
          </cell>
          <cell r="I578" t="str">
            <v>ТУ 10.13.14-150-00425283-2026</v>
          </cell>
          <cell r="J578" t="str">
            <v>Изделие колбасное вареное из мяса кур охлажденное.</v>
          </cell>
          <cell r="K578" t="str">
            <v>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578">
            <v>11</v>
          </cell>
          <cell r="M578">
            <v>12</v>
          </cell>
          <cell r="N578">
            <v>4</v>
          </cell>
          <cell r="O578" t="str">
            <v>168/699</v>
          </cell>
          <cell r="P578" t="str">
            <v>0…+6</v>
          </cell>
          <cell r="Q578">
            <v>45</v>
          </cell>
        </row>
        <row r="579">
          <cell r="B579">
            <v>1001025027658</v>
          </cell>
          <cell r="C579" t="str">
            <v>С ИНДЕЙКОЙ ПМ сос ц/о мгс 0.33кг 8шт.</v>
          </cell>
          <cell r="D579" t="str">
            <v>ШТ</v>
          </cell>
          <cell r="E579" t="str">
            <v>Колбасные изделия</v>
          </cell>
          <cell r="F579" t="str">
            <v>Сосиски</v>
          </cell>
          <cell r="G579" t="str">
            <v>Папа может</v>
          </cell>
          <cell r="H579" t="str">
            <v xml:space="preserve">ОМПК(Г)
</v>
          </cell>
          <cell r="I579" t="str">
            <v>ТУ 10.13.14-150-00425283-2018</v>
          </cell>
          <cell r="J579" t="str">
            <v>Изделие колбасное вареное из мяса кур охлажденное.</v>
          </cell>
          <cell r="K579" t="str">
            <v>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579">
            <v>11</v>
          </cell>
          <cell r="M579">
            <v>12</v>
          </cell>
          <cell r="N579">
            <v>4</v>
          </cell>
          <cell r="O579" t="str">
            <v>168/699</v>
          </cell>
          <cell r="P579" t="str">
            <v>0…+6</v>
          </cell>
          <cell r="Q579">
            <v>45</v>
          </cell>
        </row>
        <row r="580">
          <cell r="B580">
            <v>1001022656853</v>
          </cell>
          <cell r="C580" t="str">
            <v>МОЛОЧНЫЕ ПРЕМИУМ ПМ сос п/о мгс 1*6_50с</v>
          </cell>
          <cell r="D580" t="str">
            <v>КГ</v>
          </cell>
          <cell r="E580" t="str">
            <v>Колбасные изделия</v>
          </cell>
          <cell r="F580" t="str">
            <v>Сосиски</v>
          </cell>
          <cell r="G580" t="str">
            <v>Папа может</v>
          </cell>
          <cell r="H580" t="str">
            <v>ОМПК(Г)</v>
          </cell>
          <cell r="I580" t="str">
            <v>ТУ 10.13.14-180-00425283-2025</v>
          </cell>
          <cell r="J580" t="str">
            <v>Мясосодержащий продукт. Изделие колбасное вареное категории В.</v>
          </cell>
          <cell r="K580"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0">
            <v>10</v>
          </cell>
          <cell r="M580">
            <v>12</v>
          </cell>
          <cell r="N580">
            <v>3</v>
          </cell>
          <cell r="O580" t="str">
            <v>160/665</v>
          </cell>
          <cell r="P580" t="str">
            <v>0…+6</v>
          </cell>
          <cell r="Q580">
            <v>50</v>
          </cell>
        </row>
        <row r="581">
          <cell r="B581">
            <v>1001022657075</v>
          </cell>
          <cell r="C581" t="str">
            <v>МОЛОЧ.ПРЕМИУМ ПМ сос п/о мгс 1.5*4_О_50с</v>
          </cell>
          <cell r="D581" t="str">
            <v>КГ</v>
          </cell>
          <cell r="E581" t="str">
            <v>Колбасные изделия</v>
          </cell>
          <cell r="F581" t="str">
            <v>Сосиски</v>
          </cell>
          <cell r="G581" t="str">
            <v>Папа может</v>
          </cell>
          <cell r="H581" t="str">
            <v>ОМПК(Г)</v>
          </cell>
          <cell r="I581" t="str">
            <v>ТУ 10.13.14-180-00425283-2025</v>
          </cell>
          <cell r="J581" t="str">
            <v>Мясосодержащий продукт. Изделие колбасное вареное категории В.</v>
          </cell>
          <cell r="K581"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1">
            <v>10</v>
          </cell>
          <cell r="M581">
            <v>12</v>
          </cell>
          <cell r="N581">
            <v>3</v>
          </cell>
          <cell r="O581" t="str">
            <v>160/665</v>
          </cell>
          <cell r="P581" t="str">
            <v>0…+6</v>
          </cell>
          <cell r="Q581">
            <v>50</v>
          </cell>
        </row>
        <row r="582">
          <cell r="B582">
            <v>1001022657076</v>
          </cell>
          <cell r="C582" t="str">
            <v>МОЛОЧ.ПРЕМИУМ ПМ сос п/о мгс 1.5*4_50с</v>
          </cell>
          <cell r="D582" t="str">
            <v>КГ</v>
          </cell>
          <cell r="E582" t="str">
            <v>Колбасные изделия</v>
          </cell>
          <cell r="F582" t="str">
            <v>Сосиски</v>
          </cell>
          <cell r="G582" t="str">
            <v>Папа может</v>
          </cell>
          <cell r="H582" t="str">
            <v>ОМПК(Г)</v>
          </cell>
          <cell r="I582" t="str">
            <v>ТУ 10.13.14-180-00425283-2025</v>
          </cell>
          <cell r="J582" t="str">
            <v>Мясосодержащий продукт. Изделие колбасное вареное категории В.</v>
          </cell>
          <cell r="K582"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2">
            <v>10</v>
          </cell>
          <cell r="M582">
            <v>12</v>
          </cell>
          <cell r="N582">
            <v>3</v>
          </cell>
          <cell r="O582" t="str">
            <v>160/665</v>
          </cell>
          <cell r="P582" t="str">
            <v>0…+6</v>
          </cell>
          <cell r="Q582">
            <v>50</v>
          </cell>
        </row>
        <row r="583">
          <cell r="B583">
            <v>1001020967079</v>
          </cell>
          <cell r="C583" t="str">
            <v>МОЛОЧ.ОРИГИН.сос п/о мгс 1*6_Kvalita_50с</v>
          </cell>
          <cell r="D583" t="str">
            <v>КГ</v>
          </cell>
          <cell r="E583" t="str">
            <v>Колбасные изделия</v>
          </cell>
          <cell r="F583" t="str">
            <v>Сосиски</v>
          </cell>
          <cell r="G583" t="str">
            <v>Папа может</v>
          </cell>
          <cell r="H583" t="str">
            <v>ОМПК(Г)</v>
          </cell>
          <cell r="I583" t="str">
            <v>ТУ 10.13.14-130-00425283-2017</v>
          </cell>
          <cell r="J583" t="str">
            <v>Мясосодержащий продукт. Изделие колбасное вареное категории В.</v>
          </cell>
          <cell r="K583" t="str">
            <v>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v>
          </cell>
          <cell r="L583">
            <v>10</v>
          </cell>
          <cell r="M583">
            <v>19</v>
          </cell>
          <cell r="O583" t="str">
            <v>211/873</v>
          </cell>
          <cell r="P583" t="str">
            <v>0…+6</v>
          </cell>
          <cell r="Q583">
            <v>50</v>
          </cell>
        </row>
        <row r="584">
          <cell r="B584">
            <v>1001023696765</v>
          </cell>
          <cell r="C584" t="str">
            <v>РУБЛЕНЫЕ сос ц/о мгс 0.36кг 6шт.</v>
          </cell>
          <cell r="D584" t="str">
            <v>ШТ</v>
          </cell>
          <cell r="E584" t="str">
            <v>Колбасные изделия</v>
          </cell>
          <cell r="F584" t="str">
            <v>Сосиски</v>
          </cell>
          <cell r="G584" t="str">
            <v>Останкино</v>
          </cell>
          <cell r="H584" t="str">
            <v>ОМПК(О)</v>
          </cell>
          <cell r="I584" t="str">
            <v>ТУ 10.13.14-180-00425283-2025</v>
          </cell>
          <cell r="J584" t="str">
            <v>Мясной продукт. Изделие колбасное вареное категории Б.</v>
          </cell>
          <cell r="K584"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4">
            <v>14</v>
          </cell>
          <cell r="M584">
            <v>15</v>
          </cell>
          <cell r="N584">
            <v>3</v>
          </cell>
          <cell r="O584" t="str">
            <v>203/844</v>
          </cell>
          <cell r="P584" t="str">
            <v>0…+6</v>
          </cell>
          <cell r="Q584">
            <v>45</v>
          </cell>
        </row>
        <row r="585">
          <cell r="B585">
            <v>1001023697520</v>
          </cell>
          <cell r="C585" t="str">
            <v>РУБЛЕНЫЕ сос ц/о в/у 0.36кг 8шт.</v>
          </cell>
          <cell r="D585" t="str">
            <v>ШТ</v>
          </cell>
          <cell r="E585" t="str">
            <v>Колбасные изделия</v>
          </cell>
          <cell r="F585" t="str">
            <v>Сосиски</v>
          </cell>
          <cell r="G585" t="str">
            <v>Останкино</v>
          </cell>
          <cell r="H585" t="str">
            <v>ОМПК(Г)</v>
          </cell>
          <cell r="I585" t="str">
            <v>ТУ 10.13.14-180-00425283-2025</v>
          </cell>
          <cell r="J585" t="str">
            <v>Мясной продукт. Изделие колбасное вареное категории Б.</v>
          </cell>
          <cell r="K585"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5">
            <v>14</v>
          </cell>
          <cell r="M585">
            <v>15</v>
          </cell>
          <cell r="N585">
            <v>3</v>
          </cell>
          <cell r="O585" t="str">
            <v>203/844</v>
          </cell>
          <cell r="P585" t="str">
            <v>0…+6</v>
          </cell>
          <cell r="Q585">
            <v>45</v>
          </cell>
        </row>
        <row r="586">
          <cell r="B586">
            <v>1001023696996</v>
          </cell>
          <cell r="C586" t="str">
            <v>РУБЛЕНЫЕ сос ц/о мгс 0.72кг 4шт.</v>
          </cell>
          <cell r="D586" t="str">
            <v>ШТ</v>
          </cell>
          <cell r="E586" t="str">
            <v>Колбасные изделия</v>
          </cell>
          <cell r="F586" t="str">
            <v>Сосиски</v>
          </cell>
          <cell r="G586" t="str">
            <v>Останкино</v>
          </cell>
          <cell r="H586" t="str">
            <v>ОМПК(О)</v>
          </cell>
          <cell r="I586" t="str">
            <v>ТУ 10.13.14-180-00425283-2025</v>
          </cell>
          <cell r="J586" t="str">
            <v>Мясной продукт. Изделие колбасное вареное категории Б.</v>
          </cell>
          <cell r="K586"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6">
            <v>14</v>
          </cell>
          <cell r="M586">
            <v>15</v>
          </cell>
          <cell r="N586">
            <v>3</v>
          </cell>
          <cell r="O586" t="str">
            <v>203/844</v>
          </cell>
          <cell r="P586" t="str">
            <v>0…+6</v>
          </cell>
          <cell r="Q586">
            <v>45</v>
          </cell>
        </row>
        <row r="587">
          <cell r="B587">
            <v>1001023696767</v>
          </cell>
          <cell r="C587" t="str">
            <v>РУБЛЕНЫЕ сос ц/о мгс 1*4</v>
          </cell>
          <cell r="D587" t="str">
            <v>КГ</v>
          </cell>
          <cell r="E587" t="str">
            <v>Колбасные изделия</v>
          </cell>
          <cell r="F587" t="str">
            <v>Сосиски</v>
          </cell>
          <cell r="G587" t="str">
            <v>Останкино</v>
          </cell>
          <cell r="H587" t="str">
            <v>ОМПК(О)</v>
          </cell>
          <cell r="I587" t="str">
            <v>ТУ 10.13.14-180-00425283-2025</v>
          </cell>
          <cell r="J587" t="str">
            <v>Мясной продукт. Изделие колбасное вареное категории Б.</v>
          </cell>
          <cell r="K587"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7">
            <v>14</v>
          </cell>
          <cell r="M587">
            <v>15</v>
          </cell>
          <cell r="N587">
            <v>3</v>
          </cell>
          <cell r="O587" t="str">
            <v>203/844</v>
          </cell>
          <cell r="P587" t="str">
            <v>0…+6</v>
          </cell>
          <cell r="Q587">
            <v>45</v>
          </cell>
        </row>
        <row r="588">
          <cell r="B588">
            <v>1001023697595</v>
          </cell>
          <cell r="C588" t="str">
            <v>РУБЛЕНЫЕ Останкино сос ц/о мгс 1*4</v>
          </cell>
          <cell r="D588" t="str">
            <v>КГ</v>
          </cell>
          <cell r="E588" t="str">
            <v>Колбасные изделия</v>
          </cell>
          <cell r="F588" t="str">
            <v>Сосиски</v>
          </cell>
          <cell r="G588" t="str">
            <v>Останкино</v>
          </cell>
          <cell r="H588" t="str">
            <v>ОМПК(О)</v>
          </cell>
          <cell r="I588" t="str">
            <v>ТУ 10.13.14-180-00425283-2025</v>
          </cell>
          <cell r="J588" t="str">
            <v>Мясной продукт. Изделие колбасное вареное категории Б.</v>
          </cell>
          <cell r="K588"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8">
            <v>14</v>
          </cell>
          <cell r="M588">
            <v>15</v>
          </cell>
          <cell r="N588">
            <v>3</v>
          </cell>
          <cell r="O588" t="str">
            <v>203/844</v>
          </cell>
          <cell r="P588" t="str">
            <v>0…+6</v>
          </cell>
          <cell r="Q588">
            <v>45</v>
          </cell>
        </row>
        <row r="589">
          <cell r="B589">
            <v>1001020846764</v>
          </cell>
          <cell r="C589" t="str">
            <v>СЛИВОЧНЫЕ сос ц/о мгс 1*4</v>
          </cell>
          <cell r="D589" t="str">
            <v>КГ</v>
          </cell>
          <cell r="E589" t="str">
            <v>Колбасные изделия</v>
          </cell>
          <cell r="F589" t="str">
            <v>Сосиски</v>
          </cell>
          <cell r="G589" t="str">
            <v>Останкино</v>
          </cell>
          <cell r="H589" t="str">
            <v>ОМПК(Г)</v>
          </cell>
          <cell r="I589" t="str">
            <v>ТУ 10.13.14-180-00425283-2025</v>
          </cell>
          <cell r="J589" t="str">
            <v>Мясной продукт. Изделие колбасное вареное категории Б.</v>
          </cell>
          <cell r="K589"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89">
            <v>12</v>
          </cell>
          <cell r="M589">
            <v>10</v>
          </cell>
          <cell r="N589">
            <v>4</v>
          </cell>
          <cell r="O589" t="str">
            <v>154/642</v>
          </cell>
          <cell r="P589" t="str">
            <v>0…+6</v>
          </cell>
          <cell r="Q589">
            <v>45</v>
          </cell>
        </row>
        <row r="590">
          <cell r="B590">
            <v>1001020846762</v>
          </cell>
          <cell r="C590" t="str">
            <v>СЛИВОЧНЫЕ сос ц/о мгс 0.41кг 8шт.</v>
          </cell>
          <cell r="D590" t="str">
            <v>ШТ</v>
          </cell>
          <cell r="E590" t="str">
            <v>Колбасные изделия</v>
          </cell>
          <cell r="F590" t="str">
            <v>Сосиски</v>
          </cell>
          <cell r="G590" t="str">
            <v>Останкино</v>
          </cell>
          <cell r="H590" t="str">
            <v>ОМПК(Г)</v>
          </cell>
          <cell r="I590" t="str">
            <v>ТУ 10.13.14-180-00425283-2025</v>
          </cell>
          <cell r="J590" t="str">
            <v>Мясной продукт. Изделие колбасное вареное категории Б.</v>
          </cell>
          <cell r="K590"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90">
            <v>12</v>
          </cell>
          <cell r="M590">
            <v>10</v>
          </cell>
          <cell r="N590">
            <v>4</v>
          </cell>
          <cell r="O590" t="str">
            <v>154/642</v>
          </cell>
          <cell r="P590" t="str">
            <v>0…+6</v>
          </cell>
          <cell r="Q590">
            <v>45</v>
          </cell>
        </row>
        <row r="591">
          <cell r="B591">
            <v>1001024976530</v>
          </cell>
          <cell r="C591" t="str">
            <v>МОЛОЧНЫЕ КЛАССИЧЕСКИЕ сос п/о мгс 0.8кг</v>
          </cell>
          <cell r="D591" t="str">
            <v>ШТ</v>
          </cell>
          <cell r="E591" t="str">
            <v>Колбасные изделия</v>
          </cell>
          <cell r="F591" t="str">
            <v>Сосиски</v>
          </cell>
          <cell r="G591" t="str">
            <v>Папа может</v>
          </cell>
          <cell r="H591" t="str">
            <v>ОМПК(О)
ОМПК(Г)</v>
          </cell>
          <cell r="I591" t="str">
            <v>ТУ 10.13.14-150-00425283-2026</v>
          </cell>
          <cell r="J591" t="str">
            <v>Изделие колбасное вареное из мяса кур охлажденное.</v>
          </cell>
          <cell r="K591"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1">
            <v>7</v>
          </cell>
          <cell r="M591">
            <v>16</v>
          </cell>
          <cell r="N591">
            <v>4</v>
          </cell>
          <cell r="O591" t="str">
            <v>188/779</v>
          </cell>
          <cell r="P591" t="str">
            <v>0…+6</v>
          </cell>
          <cell r="Q591">
            <v>45</v>
          </cell>
        </row>
        <row r="592">
          <cell r="B592">
            <v>1001024977674</v>
          </cell>
          <cell r="C592" t="str">
            <v>МОЛОЧНЫЕ КЛАССИЧ. сос п/о мгс 0.8кг 6шт.</v>
          </cell>
          <cell r="D592" t="str">
            <v>ШТ</v>
          </cell>
          <cell r="E592" t="str">
            <v>Колбасные изделия</v>
          </cell>
          <cell r="F592" t="str">
            <v>Сосиски</v>
          </cell>
          <cell r="G592" t="str">
            <v>Папа может</v>
          </cell>
          <cell r="H592" t="str">
            <v>ОМПК(О)
ОМПК(Г)</v>
          </cell>
          <cell r="I592" t="str">
            <v>ТУ 10.13.14-150-00425283-2018</v>
          </cell>
          <cell r="J592" t="str">
            <v>Изделие колбасное вареное из мяса кур охлажденное.</v>
          </cell>
          <cell r="K592"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2">
            <v>7</v>
          </cell>
          <cell r="M592">
            <v>16</v>
          </cell>
          <cell r="N592">
            <v>4</v>
          </cell>
          <cell r="O592" t="str">
            <v>188/779</v>
          </cell>
          <cell r="P592" t="str">
            <v>0…+6</v>
          </cell>
          <cell r="Q592">
            <v>45</v>
          </cell>
        </row>
        <row r="593">
          <cell r="B593">
            <v>1001024976616</v>
          </cell>
          <cell r="C593" t="str">
            <v>МОЛОЧНЫЕ КЛАССИЧЕСКИЕ сос п/о в/у 0.3кг</v>
          </cell>
          <cell r="D593" t="str">
            <v>ШТ</v>
          </cell>
          <cell r="E593" t="str">
            <v>Колбасные изделия</v>
          </cell>
          <cell r="F593" t="str">
            <v>Сосиски</v>
          </cell>
          <cell r="G593" t="str">
            <v>Папа может</v>
          </cell>
          <cell r="H593" t="str">
            <v>ОМПК(Г)</v>
          </cell>
          <cell r="I593" t="str">
            <v>ТУ 10.13.14-150-00425283-2026</v>
          </cell>
          <cell r="J593" t="str">
            <v>Изделие колбасное вареное из мяса кур охлажденное.</v>
          </cell>
          <cell r="K593" t="str">
            <v>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v>
          </cell>
          <cell r="L593">
            <v>9</v>
          </cell>
          <cell r="M593">
            <v>15</v>
          </cell>
          <cell r="N593">
            <v>3</v>
          </cell>
          <cell r="O593" t="str">
            <v>183/759</v>
          </cell>
          <cell r="P593" t="str">
            <v>0…+6</v>
          </cell>
          <cell r="Q593">
            <v>45</v>
          </cell>
        </row>
        <row r="594">
          <cell r="B594">
            <v>1001024976829</v>
          </cell>
          <cell r="C594" t="str">
            <v>МОЛОЧНЫЕ КЛАССИЧЕСКИЕ сос п/о мгс 2*4</v>
          </cell>
          <cell r="D594" t="str">
            <v>КГ</v>
          </cell>
          <cell r="E594" t="str">
            <v>Колбасные изделия</v>
          </cell>
          <cell r="F594" t="str">
            <v>Сосиски</v>
          </cell>
          <cell r="G594" t="str">
            <v>Папа может</v>
          </cell>
          <cell r="H594" t="str">
            <v>ОМПК(Г)</v>
          </cell>
          <cell r="I594" t="str">
            <v>ТУ 10.13.14-150-00425283-2018</v>
          </cell>
          <cell r="J594" t="str">
            <v>Изделие колбасное вареное из мяса кур охлажденное.</v>
          </cell>
          <cell r="K594"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4">
            <v>7</v>
          </cell>
          <cell r="M594">
            <v>16</v>
          </cell>
          <cell r="N594">
            <v>4</v>
          </cell>
          <cell r="O594" t="str">
            <v>188/779</v>
          </cell>
          <cell r="P594" t="str">
            <v>0…+6</v>
          </cell>
          <cell r="Q594">
            <v>45</v>
          </cell>
        </row>
        <row r="595">
          <cell r="B595">
            <v>1001020836973</v>
          </cell>
          <cell r="C595" t="str">
            <v>МОЛОЧНЫЕ ГОСТ ПМ сос п/о мгс 0.3кг_55с</v>
          </cell>
          <cell r="D595" t="str">
            <v>ШТ</v>
          </cell>
          <cell r="E595" t="str">
            <v>Колбасные изделия</v>
          </cell>
          <cell r="F595" t="str">
            <v>Сосиски</v>
          </cell>
          <cell r="G595" t="str">
            <v>Папа может</v>
          </cell>
          <cell r="H595" t="str">
            <v>ОМПК(Г)</v>
          </cell>
          <cell r="I595" t="str">
            <v>ГОСТ 23670-2019</v>
          </cell>
          <cell r="J595" t="str">
            <v>Мясной продукт. Изделие колбасное вареное категории Б.</v>
          </cell>
          <cell r="K595" t="str">
            <v>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(перец черный молотый, орех мускатный), сахар, антиокислитель (аскорбиновая кислота), усилитель вкуса и аромата (глутамат натрия)</v>
          </cell>
          <cell r="L595">
            <v>11</v>
          </cell>
          <cell r="M595">
            <v>28</v>
          </cell>
          <cell r="N595">
            <v>0</v>
          </cell>
          <cell r="O595" t="str">
            <v>296/1239</v>
          </cell>
          <cell r="P595" t="str">
            <v>0…+6</v>
          </cell>
          <cell r="Q595">
            <v>55</v>
          </cell>
        </row>
        <row r="596">
          <cell r="B596">
            <v>1001020836761</v>
          </cell>
          <cell r="C596" t="str">
            <v>МОЛОЧНЫЕ ГОСТ сос ц/о мгс 1*4</v>
          </cell>
          <cell r="D596" t="str">
            <v>КГ</v>
          </cell>
          <cell r="E596" t="str">
            <v>Колбасные изделия</v>
          </cell>
          <cell r="F596" t="str">
            <v>Сосиски</v>
          </cell>
          <cell r="G596" t="str">
            <v>Останкино</v>
          </cell>
          <cell r="H596" t="str">
            <v>ОМПК(Г)</v>
          </cell>
          <cell r="I596" t="str">
            <v>ГОСТ 23670-2019</v>
          </cell>
          <cell r="J596" t="str">
            <v>Мясной продукт. Изделие колбасное вареное категории Б.</v>
          </cell>
          <cell r="K596" t="str">
            <v>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v>
          </cell>
          <cell r="L596">
            <v>11</v>
          </cell>
          <cell r="M596">
            <v>28</v>
          </cell>
          <cell r="O596" t="str">
            <v>296/1239</v>
          </cell>
          <cell r="P596" t="str">
            <v>0…+6</v>
          </cell>
          <cell r="Q596">
            <v>30</v>
          </cell>
        </row>
        <row r="597">
          <cell r="B597">
            <v>1001026407680</v>
          </cell>
          <cell r="C597" t="str">
            <v>МОЛОЧНЫЕ ГОСТ сос ц/о мгс 1*4_Лента</v>
          </cell>
          <cell r="D597" t="str">
            <v>КГ</v>
          </cell>
          <cell r="E597" t="str">
            <v>Колбасные изделия</v>
          </cell>
          <cell r="F597" t="str">
            <v>Сосиски</v>
          </cell>
          <cell r="G597" t="str">
            <v>Останкино</v>
          </cell>
          <cell r="H597" t="str">
            <v>ОМПК(Г)</v>
          </cell>
          <cell r="I597" t="str">
            <v>ГОСТ 23670-2019</v>
          </cell>
          <cell r="J597" t="str">
            <v>Мясной продукт. Изделие колбасное вареное категории Б.</v>
          </cell>
          <cell r="K597" t="str">
            <v>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v>
          </cell>
          <cell r="L597">
            <v>11</v>
          </cell>
          <cell r="M597">
            <v>28</v>
          </cell>
          <cell r="O597" t="str">
            <v>296/1239</v>
          </cell>
          <cell r="P597" t="str">
            <v>0…+6</v>
          </cell>
          <cell r="Q597">
            <v>30</v>
          </cell>
        </row>
        <row r="598">
          <cell r="B598">
            <v>1001020836759</v>
          </cell>
          <cell r="C598" t="str">
            <v>МОЛОЧНЫЕ ГОСТ сос ц/о мгс 0.4кг 7шт.</v>
          </cell>
          <cell r="D598" t="str">
            <v>ШТ</v>
          </cell>
          <cell r="E598" t="str">
            <v>Колбасные изделия</v>
          </cell>
          <cell r="F598" t="str">
            <v>Сосиски</v>
          </cell>
          <cell r="G598" t="str">
            <v>Останкино</v>
          </cell>
          <cell r="H598" t="str">
            <v>ОМПК(Г)</v>
          </cell>
          <cell r="I598" t="str">
            <v>ГОСТ 23670-2019</v>
          </cell>
          <cell r="J598" t="str">
            <v>Мясной продукт. Изделие колбасное вареное категории Б.</v>
          </cell>
          <cell r="K598" t="str">
            <v>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v>
          </cell>
          <cell r="L598">
            <v>11</v>
          </cell>
          <cell r="M598">
            <v>28</v>
          </cell>
          <cell r="N598">
            <v>0</v>
          </cell>
          <cell r="O598" t="str">
            <v>296/1239</v>
          </cell>
          <cell r="P598" t="str">
            <v>0…+6</v>
          </cell>
          <cell r="Q598">
            <v>30</v>
          </cell>
        </row>
        <row r="599">
          <cell r="B599">
            <v>1001020837061</v>
          </cell>
          <cell r="C599" t="str">
            <v>МОЛОЧНЫЕ сос ц/о мгс 0.5кг Х5/СТМ Вернер</v>
          </cell>
          <cell r="D599" t="str">
            <v>ШТ</v>
          </cell>
          <cell r="E599" t="str">
            <v>Колбасные изделия</v>
          </cell>
          <cell r="F599" t="str">
            <v>Сосиски</v>
          </cell>
          <cell r="G599" t="str">
            <v>СТМ</v>
          </cell>
          <cell r="H599" t="str">
            <v>ОМПК(Г)</v>
          </cell>
          <cell r="I599" t="str">
            <v>ГОСТ 23670-2019</v>
          </cell>
          <cell r="J599" t="str">
            <v>Мясной продукт. Изделие колбасное вареное категории Б.</v>
          </cell>
          <cell r="K599" t="str">
            <v>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v>
          </cell>
          <cell r="L599">
            <v>11</v>
          </cell>
          <cell r="M599">
            <v>28</v>
          </cell>
          <cell r="O599" t="str">
            <v>296/1239</v>
          </cell>
          <cell r="P599" t="str">
            <v>0…+6</v>
          </cell>
          <cell r="Q599">
            <v>35</v>
          </cell>
        </row>
        <row r="600">
          <cell r="B600">
            <v>1001026407172</v>
          </cell>
          <cell r="C600" t="str">
            <v>МОЛОЧН.ГОСТ сос п/о мгс 0.6кг_Табыш/СТМ</v>
          </cell>
          <cell r="D600" t="str">
            <v>ШТ</v>
          </cell>
          <cell r="E600" t="str">
            <v>Колбасные изделия</v>
          </cell>
          <cell r="F600" t="str">
            <v>Сосиски</v>
          </cell>
          <cell r="G600" t="str">
            <v>СТМ</v>
          </cell>
          <cell r="H600" t="str">
            <v>ОМПК(Г)</v>
          </cell>
          <cell r="I600" t="str">
            <v>ГОСТ 23670-2019</v>
          </cell>
          <cell r="J600" t="str">
            <v>Мясной продукт. Изделие колбасное вареное категории Б.</v>
          </cell>
          <cell r="K600" t="str">
            <v>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v>
          </cell>
          <cell r="L600">
            <v>11</v>
          </cell>
          <cell r="M600">
            <v>28</v>
          </cell>
          <cell r="O600" t="str">
            <v>296/1239</v>
          </cell>
          <cell r="P600" t="str">
            <v>0…+6</v>
          </cell>
          <cell r="Q600">
            <v>45</v>
          </cell>
        </row>
        <row r="601">
          <cell r="B601">
            <v>1001020836250</v>
          </cell>
          <cell r="C601" t="str">
            <v>МОЛОЧНЫЕ Коровино сос п/о мгс 1.5*6_М</v>
          </cell>
          <cell r="D601" t="str">
            <v>КГ</v>
          </cell>
          <cell r="E601" t="str">
            <v>Колбасные изделия</v>
          </cell>
          <cell r="F601" t="str">
            <v>Сосиски</v>
          </cell>
          <cell r="G601" t="str">
            <v>Коровино</v>
          </cell>
          <cell r="H601" t="str">
            <v>ОМПК(Г)</v>
          </cell>
          <cell r="I601" t="str">
            <v>ТУ 10.13.14-130-00425283-2017</v>
          </cell>
          <cell r="J601" t="str">
            <v>Мясной продукт. Изделие колбасное вареное категории Б.</v>
          </cell>
          <cell r="K601"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1">
            <v>8</v>
          </cell>
          <cell r="M601">
            <v>12</v>
          </cell>
          <cell r="N601">
            <v>5</v>
          </cell>
          <cell r="O601" t="str">
            <v>160/665</v>
          </cell>
          <cell r="P601" t="str">
            <v>0…+6</v>
          </cell>
          <cell r="Q601">
            <v>45</v>
          </cell>
        </row>
        <row r="602">
          <cell r="B602">
            <v>1001020837575</v>
          </cell>
          <cell r="C602" t="str">
            <v>МОЛОЧНЫЕ Кор сос п/о мгс 1.5*6_М_308к</v>
          </cell>
          <cell r="D602" t="str">
            <v>КГ</v>
          </cell>
          <cell r="E602" t="str">
            <v>Колбасные изделия</v>
          </cell>
          <cell r="F602" t="str">
            <v>Сосиски</v>
          </cell>
          <cell r="G602" t="str">
            <v>Коровино</v>
          </cell>
          <cell r="H602" t="str">
            <v>ОМПК(Г)</v>
          </cell>
          <cell r="I602" t="str">
            <v>ТУ 10.13.14-130-00425283-2017</v>
          </cell>
          <cell r="J602" t="str">
            <v>Мясной продукт. Изделие колбасное вареное категории Б.</v>
          </cell>
          <cell r="K602"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2">
            <v>8</v>
          </cell>
          <cell r="M602">
            <v>12</v>
          </cell>
          <cell r="N602">
            <v>5</v>
          </cell>
          <cell r="O602" t="str">
            <v>160/665</v>
          </cell>
          <cell r="P602" t="str">
            <v>0…+6</v>
          </cell>
          <cell r="Q602">
            <v>45</v>
          </cell>
        </row>
        <row r="603">
          <cell r="B603">
            <v>1001020836234</v>
          </cell>
          <cell r="C603" t="str">
            <v>МОЛОЧНЫЕ Коровино сос п/о мгс 1.5*6_Ц</v>
          </cell>
          <cell r="D603" t="str">
            <v>КГ</v>
          </cell>
          <cell r="E603" t="str">
            <v>Колбасные изделия</v>
          </cell>
          <cell r="F603" t="str">
            <v>Сосиски</v>
          </cell>
          <cell r="G603" t="str">
            <v>Коровино</v>
          </cell>
          <cell r="H603" t="str">
            <v>ОМПК(Г)</v>
          </cell>
          <cell r="I603" t="str">
            <v>ТУ 10.13.14-130-00425283-2017</v>
          </cell>
          <cell r="J603" t="str">
            <v>Мясной продукт. Изделие колбасное вареное категории Б.</v>
          </cell>
          <cell r="K603"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3">
            <v>8</v>
          </cell>
          <cell r="M603">
            <v>12</v>
          </cell>
          <cell r="N603">
            <v>5</v>
          </cell>
          <cell r="O603" t="str">
            <v>160/665</v>
          </cell>
          <cell r="P603" t="str">
            <v>0…+6</v>
          </cell>
          <cell r="Q603">
            <v>45</v>
          </cell>
        </row>
        <row r="604">
          <cell r="B604">
            <v>1001020837573</v>
          </cell>
          <cell r="C604" t="str">
            <v>МОЛОЧНЫЕ Кор сос п/о мгс 1.5*6_Ц_308к</v>
          </cell>
          <cell r="D604" t="str">
            <v>КГ</v>
          </cell>
          <cell r="E604" t="str">
            <v>Колбасные изделия</v>
          </cell>
          <cell r="F604" t="str">
            <v>Сосиски</v>
          </cell>
          <cell r="G604" t="str">
            <v>Коровино</v>
          </cell>
          <cell r="H604" t="str">
            <v>ОМПК(Г)</v>
          </cell>
          <cell r="I604" t="str">
            <v>ТУ 10.13.14-130-00425283-2017</v>
          </cell>
          <cell r="J604" t="str">
            <v>Мясной продукт. Изделие колбасное вареное категории Б.</v>
          </cell>
          <cell r="K604"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4">
            <v>8</v>
          </cell>
          <cell r="M604">
            <v>12</v>
          </cell>
          <cell r="N604">
            <v>5</v>
          </cell>
          <cell r="O604" t="str">
            <v>160/665</v>
          </cell>
          <cell r="P604" t="str">
            <v>0…+6</v>
          </cell>
          <cell r="Q604">
            <v>45</v>
          </cell>
        </row>
        <row r="605">
          <cell r="B605">
            <v>1001020836709</v>
          </cell>
          <cell r="C605" t="str">
            <v>МОЛОЧНЫЕ Коровино сос п/о мгс 1.5*6_ЮСЗ</v>
          </cell>
          <cell r="D605" t="str">
            <v>КГ</v>
          </cell>
          <cell r="E605" t="str">
            <v>Колбасные изделия</v>
          </cell>
          <cell r="F605" t="str">
            <v>Сосиски</v>
          </cell>
          <cell r="G605" t="str">
            <v>Коровино</v>
          </cell>
          <cell r="H605" t="str">
            <v>ОМПК(Г)</v>
          </cell>
          <cell r="I605" t="str">
            <v>ТУ 10.13.14-130-00425283-2017</v>
          </cell>
          <cell r="J605" t="str">
            <v>Мясной продукт. Изделие колбасное вареное категории Б.</v>
          </cell>
          <cell r="K605"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5">
            <v>8</v>
          </cell>
          <cell r="M605">
            <v>12</v>
          </cell>
          <cell r="N605">
            <v>5</v>
          </cell>
          <cell r="O605" t="str">
            <v>160/665</v>
          </cell>
          <cell r="P605" t="str">
            <v>0…+6</v>
          </cell>
          <cell r="Q605">
            <v>45</v>
          </cell>
        </row>
        <row r="606">
          <cell r="B606">
            <v>1001020837570</v>
          </cell>
          <cell r="C606" t="str">
            <v>МОЛОЧНЫЕ Кор сос п/о мгс 1.5*6_ЮСЗ_308к</v>
          </cell>
          <cell r="D606" t="str">
            <v>КГ</v>
          </cell>
          <cell r="E606" t="str">
            <v>Колбасные изделия</v>
          </cell>
          <cell r="F606" t="str">
            <v>Сосиски</v>
          </cell>
          <cell r="G606" t="str">
            <v>Коровино</v>
          </cell>
          <cell r="H606" t="str">
            <v>ОМПК(Г)</v>
          </cell>
          <cell r="I606" t="str">
            <v>ТУ 10.13.14-130-00425283-2017</v>
          </cell>
          <cell r="J606" t="str">
            <v>Мясной продукт. Изделие колбасное вареное категории Б.</v>
          </cell>
          <cell r="K606"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6">
            <v>8</v>
          </cell>
          <cell r="M606">
            <v>12</v>
          </cell>
          <cell r="N606">
            <v>5</v>
          </cell>
          <cell r="O606" t="str">
            <v>160/665</v>
          </cell>
          <cell r="P606" t="str">
            <v>0…+6</v>
          </cell>
          <cell r="Q606">
            <v>45</v>
          </cell>
        </row>
        <row r="607">
          <cell r="B607">
            <v>1001022246738</v>
          </cell>
          <cell r="C607" t="str">
            <v>КОПЧЕНЫЕ ПМ сос п/о мгс 1.2*6</v>
          </cell>
          <cell r="D607" t="str">
            <v>КГ</v>
          </cell>
          <cell r="E607" t="str">
            <v>Колбасные изделия</v>
          </cell>
          <cell r="F607" t="str">
            <v>Сосиски</v>
          </cell>
          <cell r="G607" t="str">
            <v>Папа может</v>
          </cell>
          <cell r="H607" t="str">
            <v>ОМПК(Г)</v>
          </cell>
          <cell r="I607" t="str">
            <v>ТУ 10.13.14-180-00425283-2025</v>
          </cell>
          <cell r="J607" t="str">
            <v>Мясной продукт. Изделие колбасное вареное категории В.</v>
          </cell>
          <cell r="K607"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607">
            <v>9</v>
          </cell>
          <cell r="M607">
            <v>13</v>
          </cell>
          <cell r="N607">
            <v>5</v>
          </cell>
          <cell r="O607" t="str">
            <v>173/719</v>
          </cell>
          <cell r="P607" t="str">
            <v>0…+6</v>
          </cell>
          <cell r="Q607">
            <v>45</v>
          </cell>
        </row>
        <row r="608">
          <cell r="B608">
            <v>1001022247576</v>
          </cell>
          <cell r="C608" t="str">
            <v>КОПЧЕНЫЕ ПМ сос п/о мгс 1.2*6_301к</v>
          </cell>
          <cell r="D608" t="str">
            <v>КГ</v>
          </cell>
          <cell r="E608" t="str">
            <v>Колбасные изделия</v>
          </cell>
          <cell r="F608" t="str">
            <v>Сосиски</v>
          </cell>
          <cell r="G608" t="str">
            <v>Папа может</v>
          </cell>
          <cell r="H608" t="str">
            <v>ОМПК(Г)</v>
          </cell>
          <cell r="I608" t="str">
            <v>ТУ 10.13.14-180-00425283-2025</v>
          </cell>
          <cell r="J608" t="str">
            <v>Мясной продукт. Изделие колбасное вареное категории В.</v>
          </cell>
          <cell r="K608"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608">
            <v>9</v>
          </cell>
          <cell r="M608">
            <v>13</v>
          </cell>
          <cell r="N608">
            <v>5</v>
          </cell>
          <cell r="O608" t="str">
            <v>173/719</v>
          </cell>
          <cell r="P608" t="str">
            <v>0…+6</v>
          </cell>
          <cell r="Q608">
            <v>45</v>
          </cell>
        </row>
        <row r="609">
          <cell r="B609">
            <v>1001022246739</v>
          </cell>
          <cell r="C609" t="str">
            <v>КЛАССИЧЕСКИЕ ПМ сос п/о мгс_Kvalita</v>
          </cell>
          <cell r="D609" t="str">
            <v>КГ</v>
          </cell>
          <cell r="E609" t="str">
            <v>Колбасные изделия</v>
          </cell>
          <cell r="F609" t="str">
            <v>Сосиски</v>
          </cell>
          <cell r="G609" t="str">
            <v>Папа может</v>
          </cell>
          <cell r="H609" t="str">
            <v>ОМПК(Г)</v>
          </cell>
          <cell r="I609" t="str">
            <v>ТУ 10.13.14-130-00425283-2017</v>
          </cell>
          <cell r="J609" t="str">
            <v>Мясной продукт. Изделие колбасное вареное категории В.</v>
          </cell>
          <cell r="K609" t="str">
            <v>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v>
          </cell>
          <cell r="L609">
            <v>10</v>
          </cell>
          <cell r="M609">
            <v>15</v>
          </cell>
          <cell r="N609">
            <v>3</v>
          </cell>
          <cell r="O609" t="str">
            <v>187/776</v>
          </cell>
          <cell r="P609" t="str">
            <v>0…+6</v>
          </cell>
          <cell r="Q609">
            <v>45</v>
          </cell>
        </row>
        <row r="610">
          <cell r="B610">
            <v>1001022247581</v>
          </cell>
          <cell r="C610" t="str">
            <v>КЛАССИЧЕСКИЕ ПМ сос п/о мгс_309к_Kvalita</v>
          </cell>
          <cell r="D610" t="str">
            <v>КГ</v>
          </cell>
          <cell r="E610" t="str">
            <v>Колбасные изделия</v>
          </cell>
          <cell r="F610" t="str">
            <v>Сосиски</v>
          </cell>
          <cell r="G610" t="str">
            <v>Папа может</v>
          </cell>
          <cell r="H610" t="str">
            <v>ОМПК(Г)</v>
          </cell>
          <cell r="I610" t="str">
            <v>ТУ 10.13.14-130-00425283-2017</v>
          </cell>
          <cell r="J610" t="str">
            <v>Мясной продукт. Изделие колбасное вареное категории В.</v>
          </cell>
          <cell r="K610" t="str">
            <v>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v>
          </cell>
          <cell r="L610">
            <v>10</v>
          </cell>
          <cell r="M610">
            <v>15</v>
          </cell>
          <cell r="N610">
            <v>3</v>
          </cell>
          <cell r="O610" t="str">
            <v>187/776</v>
          </cell>
          <cell r="P610" t="str">
            <v>0…+6</v>
          </cell>
          <cell r="Q610">
            <v>45</v>
          </cell>
        </row>
        <row r="611">
          <cell r="B611">
            <v>1001020846710</v>
          </cell>
          <cell r="C611" t="str">
            <v>СЛИВОЧНЫЕ Коровино сос п/о мгс 0.8кг</v>
          </cell>
          <cell r="D611" t="str">
            <v>ШТ</v>
          </cell>
          <cell r="E611" t="str">
            <v>Колбасные изделия</v>
          </cell>
          <cell r="F611" t="str">
            <v>Сосиски</v>
          </cell>
          <cell r="G611" t="str">
            <v>Коровино</v>
          </cell>
          <cell r="H611" t="str">
            <v>ОМПК(Г)</v>
          </cell>
          <cell r="I611" t="str">
            <v>ТУ 10.13.14-130-00425283-2017</v>
          </cell>
          <cell r="J611" t="str">
            <v>Мясной продукт. Изделие колбасное вареное категории Б.</v>
          </cell>
          <cell r="K611"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11">
            <v>8</v>
          </cell>
          <cell r="M611">
            <v>12</v>
          </cell>
          <cell r="N611">
            <v>5</v>
          </cell>
          <cell r="O611" t="str">
            <v>160/665</v>
          </cell>
          <cell r="P611" t="str">
            <v>0…+6</v>
          </cell>
          <cell r="Q611">
            <v>60</v>
          </cell>
        </row>
        <row r="612">
          <cell r="B612">
            <v>1001020847566</v>
          </cell>
          <cell r="C612" t="str">
            <v>СЛИВОЧНЫЕ Коровино сос п/о мгс 0.8кг 6шт</v>
          </cell>
          <cell r="D612" t="str">
            <v>ШТ</v>
          </cell>
          <cell r="E612" t="str">
            <v>Колбасные изделия</v>
          </cell>
          <cell r="F612" t="str">
            <v>Сосиски</v>
          </cell>
          <cell r="G612" t="str">
            <v>Коровино</v>
          </cell>
          <cell r="H612" t="str">
            <v>ОМПК(Г)</v>
          </cell>
          <cell r="I612" t="str">
            <v>ТУ 10.13.14-130-00425283-2017</v>
          </cell>
          <cell r="J612" t="str">
            <v>Мясной продукт. Изделие колбасное вареное категории Б.</v>
          </cell>
          <cell r="K612"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12">
            <v>8</v>
          </cell>
          <cell r="M612">
            <v>12</v>
          </cell>
          <cell r="N612">
            <v>5</v>
          </cell>
          <cell r="O612" t="str">
            <v>160/665</v>
          </cell>
          <cell r="P612" t="str">
            <v>0…+6</v>
          </cell>
          <cell r="Q612">
            <v>60</v>
          </cell>
        </row>
        <row r="613">
          <cell r="B613">
            <v>1001022467083</v>
          </cell>
          <cell r="C613" t="str">
            <v>СЛИВОЧНЫЕ ПМ сос п/о мгс 1.5*4_А_50с</v>
          </cell>
          <cell r="D613" t="str">
            <v>КГ</v>
          </cell>
          <cell r="E613" t="str">
            <v>Колбасные изделия</v>
          </cell>
          <cell r="F613" t="str">
            <v>Сосиски</v>
          </cell>
          <cell r="G613" t="str">
            <v>Папа может</v>
          </cell>
          <cell r="H613" t="str">
            <v>ОМПК(Г)</v>
          </cell>
          <cell r="I613" t="str">
            <v>ТУ 10.13.14-180-00425283-2025</v>
          </cell>
          <cell r="J613" t="str">
            <v>Мясосодержащий продукт. Изделие колбасное вареное категории В.</v>
          </cell>
          <cell r="K613"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3">
            <v>10</v>
          </cell>
          <cell r="M613">
            <v>12</v>
          </cell>
          <cell r="N613">
            <v>3</v>
          </cell>
          <cell r="O613" t="str">
            <v>160/665</v>
          </cell>
          <cell r="P613" t="str">
            <v>0…+6</v>
          </cell>
          <cell r="Q613">
            <v>50</v>
          </cell>
        </row>
        <row r="614">
          <cell r="B614">
            <v>1001022467084</v>
          </cell>
          <cell r="C614" t="str">
            <v>СЛИВОЧНЫЕ ПМ сос п/о мгс 1.5*4_М_50с</v>
          </cell>
          <cell r="D614" t="str">
            <v>КГ</v>
          </cell>
          <cell r="E614" t="str">
            <v>Колбасные изделия</v>
          </cell>
          <cell r="F614" t="str">
            <v>Сосиски</v>
          </cell>
          <cell r="G614" t="str">
            <v>Папа может</v>
          </cell>
          <cell r="H614" t="str">
            <v>ОМПК(Г)</v>
          </cell>
          <cell r="I614" t="str">
            <v>ТУ 10.13.14-180-00425283-2025</v>
          </cell>
          <cell r="J614" t="str">
            <v>Мясосодержащий продукт. Изделие колбасное вареное категории В.</v>
          </cell>
          <cell r="K614"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4">
            <v>10</v>
          </cell>
          <cell r="M614">
            <v>12</v>
          </cell>
          <cell r="N614">
            <v>3</v>
          </cell>
          <cell r="O614" t="str">
            <v>160/665</v>
          </cell>
          <cell r="P614" t="str">
            <v>0…+6</v>
          </cell>
          <cell r="Q614">
            <v>50</v>
          </cell>
        </row>
        <row r="615">
          <cell r="B615">
            <v>1001022467617</v>
          </cell>
          <cell r="C615" t="str">
            <v>СЛИВОЧНЫЕ ПМ сос п/о мгс 1.5*4_Маяк</v>
          </cell>
          <cell r="D615" t="str">
            <v>КГ</v>
          </cell>
          <cell r="E615" t="str">
            <v>Колбасные изделия</v>
          </cell>
          <cell r="F615" t="str">
            <v>Сосиски</v>
          </cell>
          <cell r="G615" t="str">
            <v>Папа может</v>
          </cell>
          <cell r="H615" t="str">
            <v>ОМПК(Г)</v>
          </cell>
          <cell r="I615" t="str">
            <v>ТУ 10.13.14-180-00425283-2025</v>
          </cell>
          <cell r="J615" t="str">
            <v>Мясосодержащий продукт. Изделие колбасное вареное категории В.</v>
          </cell>
          <cell r="K615"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5">
            <v>10</v>
          </cell>
          <cell r="M615">
            <v>12</v>
          </cell>
          <cell r="N615">
            <v>3</v>
          </cell>
          <cell r="O615" t="str">
            <v>160/665</v>
          </cell>
          <cell r="P615" t="str">
            <v>0…+6</v>
          </cell>
          <cell r="Q615">
            <v>50</v>
          </cell>
        </row>
        <row r="616">
          <cell r="B616">
            <v>1001022467081</v>
          </cell>
          <cell r="C616" t="str">
            <v>СЛИВОЧНЫЕ ПМ сос п/о мгс 1.5*4_О_50с</v>
          </cell>
          <cell r="D616" t="str">
            <v>КГ</v>
          </cell>
          <cell r="E616" t="str">
            <v>Колбасные изделия</v>
          </cell>
          <cell r="F616" t="str">
            <v>Сосиски</v>
          </cell>
          <cell r="G616" t="str">
            <v>Папа может</v>
          </cell>
          <cell r="H616" t="str">
            <v>ОМПК(Г)</v>
          </cell>
          <cell r="I616" t="str">
            <v>ТУ 10.13.14-180-00425283-2025</v>
          </cell>
          <cell r="J616" t="str">
            <v>Мясосодержащий продукт. Изделие колбасное вареное категории В.</v>
          </cell>
          <cell r="K616"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6">
            <v>10</v>
          </cell>
          <cell r="M616">
            <v>12</v>
          </cell>
          <cell r="N616">
            <v>3</v>
          </cell>
          <cell r="O616" t="str">
            <v>160/665</v>
          </cell>
          <cell r="P616" t="str">
            <v>0…+6</v>
          </cell>
          <cell r="Q616">
            <v>50</v>
          </cell>
        </row>
        <row r="617">
          <cell r="B617">
            <v>1001022556254</v>
          </cell>
          <cell r="C617" t="str">
            <v>ФИЛЕЙНЫЕ Папа может сос ц/о мгс 1.5*2</v>
          </cell>
          <cell r="D617" t="str">
            <v>КГ</v>
          </cell>
          <cell r="E617" t="str">
            <v>Колбасные изделия</v>
          </cell>
          <cell r="F617" t="str">
            <v>Сосиски</v>
          </cell>
          <cell r="G617" t="str">
            <v>Папа может</v>
          </cell>
          <cell r="H617" t="str">
            <v>ОМПК(Г)</v>
          </cell>
          <cell r="I617" t="str">
            <v>ТУ 10.13.14-150-00425283-2018</v>
          </cell>
          <cell r="J617" t="str">
            <v>Изделие колбасное вареное из мяса кур охлажденное.</v>
          </cell>
          <cell r="K617"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617">
            <v>12</v>
          </cell>
          <cell r="M617">
            <v>14</v>
          </cell>
          <cell r="N617">
            <v>1</v>
          </cell>
          <cell r="O617" t="str">
            <v>178/739</v>
          </cell>
          <cell r="P617" t="str">
            <v>0…+6</v>
          </cell>
          <cell r="Q617">
            <v>45</v>
          </cell>
        </row>
        <row r="618">
          <cell r="B618">
            <v>1001022557086</v>
          </cell>
          <cell r="C618" t="str">
            <v>ФИЛЕЙНЫЕ Папа может сос ц/о мгс 1.5*2_М</v>
          </cell>
          <cell r="D618" t="str">
            <v>КГ</v>
          </cell>
          <cell r="E618" t="str">
            <v>Колбасные изделия</v>
          </cell>
          <cell r="F618" t="str">
            <v>Сосиски</v>
          </cell>
          <cell r="G618" t="str">
            <v>Папа может</v>
          </cell>
          <cell r="H618" t="str">
            <v>ОМПК(Г)</v>
          </cell>
          <cell r="I618" t="str">
            <v>ТУ 10.13.14-150-00425283-2018</v>
          </cell>
          <cell r="J618" t="str">
            <v>Изделие колбасное вареное из мяса кур охлажденное.</v>
          </cell>
          <cell r="K618"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618">
            <v>12</v>
          </cell>
          <cell r="M618">
            <v>14</v>
          </cell>
          <cell r="N618">
            <v>1</v>
          </cell>
          <cell r="O618" t="str">
            <v>178/739</v>
          </cell>
          <cell r="P618" t="str">
            <v>0…+6</v>
          </cell>
          <cell r="Q618">
            <v>45</v>
          </cell>
        </row>
        <row r="619">
          <cell r="B619">
            <v>1001022467276</v>
          </cell>
          <cell r="C619" t="str">
            <v>СЛИВОЧНЫЕ ПМ сос п/о мгс 0.3кг 7шт.</v>
          </cell>
          <cell r="D619" t="str">
            <v>ШТ</v>
          </cell>
          <cell r="E619" t="str">
            <v>Колбасные изделия</v>
          </cell>
          <cell r="F619" t="str">
            <v>Сосиски</v>
          </cell>
          <cell r="G619" t="str">
            <v>Папа может</v>
          </cell>
          <cell r="H619" t="str">
            <v>ОМПК(Г)</v>
          </cell>
          <cell r="I619" t="str">
            <v>ТУ 10.13.14-180-00425283-2025</v>
          </cell>
          <cell r="J619" t="str">
            <v>Мясосодержащий продукт. Изделие колбасное вареное категории В.</v>
          </cell>
          <cell r="K619"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9">
            <v>10</v>
          </cell>
          <cell r="M619">
            <v>12</v>
          </cell>
          <cell r="N619">
            <v>3</v>
          </cell>
          <cell r="O619" t="str">
            <v>160/665</v>
          </cell>
          <cell r="P619" t="str">
            <v>0…+6</v>
          </cell>
          <cell r="Q619">
            <v>50</v>
          </cell>
        </row>
        <row r="620">
          <cell r="B620">
            <v>1001022467080</v>
          </cell>
          <cell r="C620" t="str">
            <v>СЛИВОЧНЫЕ ПМ сос п/о мгс 0.41кг 10шт_50с</v>
          </cell>
          <cell r="D620" t="str">
            <v>ШТ</v>
          </cell>
          <cell r="E620" t="str">
            <v>Колбасные изделия</v>
          </cell>
          <cell r="F620" t="str">
            <v>Сосиски</v>
          </cell>
          <cell r="G620" t="str">
            <v>Папа может</v>
          </cell>
          <cell r="H620" t="str">
            <v>ОМПК(Г)</v>
          </cell>
          <cell r="I620" t="str">
            <v>ТУ 10.13.14-180-00425283-2025</v>
          </cell>
          <cell r="J620" t="str">
            <v>Мясосодержащий продукт. Изделие колбасное вареное категории В.</v>
          </cell>
          <cell r="K620"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20">
            <v>10</v>
          </cell>
          <cell r="M620">
            <v>12</v>
          </cell>
          <cell r="N620">
            <v>3</v>
          </cell>
          <cell r="O620" t="str">
            <v>160/665</v>
          </cell>
          <cell r="P620" t="str">
            <v>0…+6</v>
          </cell>
          <cell r="Q620">
            <v>50</v>
          </cell>
        </row>
        <row r="621">
          <cell r="B621">
            <v>1001025076503</v>
          </cell>
          <cell r="C621" t="str">
            <v>ФИРМЕННЫЕ ПМ сос п/о мгс 0.45кг 16шт.</v>
          </cell>
          <cell r="D621" t="str">
            <v>ШТ</v>
          </cell>
          <cell r="E621" t="str">
            <v>Колбасные изделия</v>
          </cell>
          <cell r="F621" t="str">
            <v>Сосиски</v>
          </cell>
          <cell r="G621" t="str">
            <v>Папа может</v>
          </cell>
          <cell r="H621" t="str">
            <v>ОМПК(Г)</v>
          </cell>
          <cell r="I621" t="str">
            <v>ТУ 10.13.14-180-00425283-2025</v>
          </cell>
          <cell r="J621" t="str">
            <v>Мясной продукт. Изделие колбасное вареное категории В.</v>
          </cell>
          <cell r="K62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1">
            <v>10</v>
          </cell>
          <cell r="M621">
            <v>13</v>
          </cell>
          <cell r="N621">
            <v>5</v>
          </cell>
          <cell r="O621" t="str">
            <v>177/736</v>
          </cell>
          <cell r="P621" t="str">
            <v>0…+6</v>
          </cell>
          <cell r="Q621">
            <v>45</v>
          </cell>
        </row>
        <row r="622">
          <cell r="B622">
            <v>1001022373717</v>
          </cell>
          <cell r="C622" t="str">
            <v>СОЧНЫЕ ПМ сос п/о мгс 1*6_50с</v>
          </cell>
          <cell r="D622" t="str">
            <v>КГ</v>
          </cell>
          <cell r="E622" t="str">
            <v>Колбасные изделия</v>
          </cell>
          <cell r="F622" t="str">
            <v>Сосиски</v>
          </cell>
          <cell r="G622" t="str">
            <v>Папа может</v>
          </cell>
          <cell r="H622" t="str">
            <v>ОМПК(Г)
ОМПК(О)</v>
          </cell>
          <cell r="I622" t="str">
            <v>ТУ 10.13.14-180-00425283-2025</v>
          </cell>
          <cell r="J622" t="str">
            <v>Мясной продукт. Изделие колбасное вареное категории В.</v>
          </cell>
          <cell r="K622"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2">
            <v>10</v>
          </cell>
          <cell r="M622">
            <v>13</v>
          </cell>
          <cell r="N622">
            <v>5</v>
          </cell>
          <cell r="O622" t="str">
            <v>177/736</v>
          </cell>
          <cell r="P622" t="str">
            <v>0…+6</v>
          </cell>
          <cell r="Q622">
            <v>50</v>
          </cell>
        </row>
        <row r="623">
          <cell r="B623">
            <v>1001022375063</v>
          </cell>
          <cell r="C623" t="str">
            <v>СОЧНЫЕ ПМ сос п/о мгс 1*6_СНГ</v>
          </cell>
          <cell r="D623" t="str">
            <v>КГ</v>
          </cell>
          <cell r="E623" t="str">
            <v>Колбасные изделия</v>
          </cell>
          <cell r="F623" t="str">
            <v>Сосиски</v>
          </cell>
          <cell r="G623" t="str">
            <v>Папа может</v>
          </cell>
          <cell r="H623" t="str">
            <v>ОМПК(Г)
ОМПК(О)</v>
          </cell>
          <cell r="I623" t="str">
            <v>ТУ 10.13.14-180-00425283-2025</v>
          </cell>
          <cell r="J623" t="str">
            <v>Мясной продукт. Изделие колбасное вареное категории В.</v>
          </cell>
          <cell r="K623"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3">
            <v>10</v>
          </cell>
          <cell r="M623">
            <v>13</v>
          </cell>
          <cell r="N623">
            <v>5</v>
          </cell>
          <cell r="O623" t="str">
            <v>177/736</v>
          </cell>
          <cell r="P623" t="str">
            <v>0…+6</v>
          </cell>
          <cell r="Q623">
            <v>50</v>
          </cell>
        </row>
        <row r="624">
          <cell r="B624">
            <v>1001022377675</v>
          </cell>
          <cell r="C624" t="str">
            <v>СОЧНЫЕ ПМ сос п/о мгс 1*6_Лента</v>
          </cell>
          <cell r="D624" t="str">
            <v>КГ</v>
          </cell>
          <cell r="E624" t="str">
            <v>Колбасные изделия</v>
          </cell>
          <cell r="F624" t="str">
            <v>Сосиски</v>
          </cell>
          <cell r="G624" t="str">
            <v>Папа может</v>
          </cell>
          <cell r="H624" t="str">
            <v>ОМПК(О)</v>
          </cell>
          <cell r="I624" t="str">
            <v>ТУ 10.13.14-180-00425283-2025</v>
          </cell>
          <cell r="J624" t="str">
            <v>Мясной продукт. Изделие колбасное вареное категории В.</v>
          </cell>
          <cell r="K624"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4">
            <v>10</v>
          </cell>
          <cell r="M624">
            <v>13</v>
          </cell>
          <cell r="N624">
            <v>5</v>
          </cell>
          <cell r="O624" t="str">
            <v>177/736</v>
          </cell>
          <cell r="P624" t="str">
            <v>0…+6</v>
          </cell>
          <cell r="Q624">
            <v>50</v>
          </cell>
        </row>
        <row r="625">
          <cell r="B625">
            <v>1001022377071</v>
          </cell>
          <cell r="C625" t="str">
            <v>СОЧНЫЕ ПМ сос п/о мгс 1.5*4_50с</v>
          </cell>
          <cell r="D625" t="str">
            <v>КГ</v>
          </cell>
          <cell r="E625" t="str">
            <v>Колбасные изделия</v>
          </cell>
          <cell r="F625" t="str">
            <v>Сосиски</v>
          </cell>
          <cell r="G625" t="str">
            <v>Папа может</v>
          </cell>
          <cell r="H625" t="str">
            <v>ОМПК(Г)
ОМПК(О)</v>
          </cell>
          <cell r="I625" t="str">
            <v>ТУ 10.13.14-180-00425283-2025</v>
          </cell>
          <cell r="J625" t="str">
            <v>Мясной продукт. Изделие колбасное вареное категории В.</v>
          </cell>
          <cell r="K625"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5">
            <v>10</v>
          </cell>
          <cell r="M625">
            <v>13</v>
          </cell>
          <cell r="N625">
            <v>5</v>
          </cell>
          <cell r="O625" t="str">
            <v>177/736</v>
          </cell>
          <cell r="P625" t="str">
            <v>0…+6</v>
          </cell>
          <cell r="Q625">
            <v>50</v>
          </cell>
        </row>
        <row r="626">
          <cell r="B626">
            <v>1001022377070</v>
          </cell>
          <cell r="C626" t="str">
            <v>СОЧНЫЕ ПМ сос п/о мгс 1.5*4_А_50с</v>
          </cell>
          <cell r="D626" t="str">
            <v>КГ</v>
          </cell>
          <cell r="E626" t="str">
            <v>Колбасные изделия</v>
          </cell>
          <cell r="F626" t="str">
            <v>Сосиски</v>
          </cell>
          <cell r="G626" t="str">
            <v>Папа может</v>
          </cell>
          <cell r="H626" t="str">
            <v>ОМПК(Г)
ОМПК(О)</v>
          </cell>
          <cell r="I626" t="str">
            <v>ТУ 10.13.14-180-00425283-2025</v>
          </cell>
          <cell r="J626" t="str">
            <v>Мясной продукт. Изделие колбасное вареное категории В.</v>
          </cell>
          <cell r="K626"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6">
            <v>10</v>
          </cell>
          <cell r="M626">
            <v>13</v>
          </cell>
          <cell r="N626">
            <v>5</v>
          </cell>
          <cell r="O626" t="str">
            <v>177/736</v>
          </cell>
          <cell r="P626" t="str">
            <v>0…+6</v>
          </cell>
          <cell r="Q626">
            <v>50</v>
          </cell>
        </row>
        <row r="627">
          <cell r="B627">
            <v>1001022377068</v>
          </cell>
          <cell r="C627" t="str">
            <v>СОЧНЫЕ ПМ сос п/о мгс 1.5*4_О_50с</v>
          </cell>
          <cell r="D627" t="str">
            <v>КГ</v>
          </cell>
          <cell r="E627" t="str">
            <v>Колбасные изделия</v>
          </cell>
          <cell r="F627" t="str">
            <v>Сосиски</v>
          </cell>
          <cell r="G627" t="str">
            <v>Папа может</v>
          </cell>
          <cell r="H627" t="str">
            <v>ОМПК(Г)</v>
          </cell>
          <cell r="I627" t="str">
            <v>ТУ 10.13.14-180-00425283-2025</v>
          </cell>
          <cell r="J627" t="str">
            <v>Мясной продукт. Изделие колбасное вареное категории В.</v>
          </cell>
          <cell r="K627"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7">
            <v>10</v>
          </cell>
          <cell r="M627">
            <v>13</v>
          </cell>
          <cell r="N627">
            <v>5</v>
          </cell>
          <cell r="O627" t="str">
            <v>177/736</v>
          </cell>
          <cell r="P627" t="str">
            <v>0…+6</v>
          </cell>
          <cell r="Q627">
            <v>50</v>
          </cell>
        </row>
        <row r="628">
          <cell r="B628">
            <v>1001021007521</v>
          </cell>
          <cell r="C628" t="str">
            <v>КЛАССИКА ПМ сос п/о мгс 0.5кг 10шт.</v>
          </cell>
          <cell r="D628" t="str">
            <v>ШТ</v>
          </cell>
          <cell r="E628" t="str">
            <v>Колбасные изделия</v>
          </cell>
          <cell r="F628" t="str">
            <v>Сосиски</v>
          </cell>
          <cell r="G628" t="str">
            <v>Папа может</v>
          </cell>
          <cell r="H628" t="str">
            <v>ОМПК(Г)</v>
          </cell>
          <cell r="I628" t="str">
            <v>ТУ 10.13.14-180-00425283-2025</v>
          </cell>
          <cell r="J628" t="str">
            <v>Мясной продукт. Изделие колбасное вареное категории В.</v>
          </cell>
          <cell r="K628"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8">
            <v>10</v>
          </cell>
          <cell r="M628">
            <v>13</v>
          </cell>
          <cell r="N628">
            <v>5</v>
          </cell>
          <cell r="O628" t="str">
            <v>177/736</v>
          </cell>
          <cell r="P628" t="str">
            <v>0…+6</v>
          </cell>
          <cell r="Q628">
            <v>45</v>
          </cell>
        </row>
        <row r="629">
          <cell r="B629">
            <v>1001022377560</v>
          </cell>
          <cell r="C629" t="str">
            <v>СОЧНЫЕ ПМ сос п/о мгс 0.5кг 8шт_50с</v>
          </cell>
          <cell r="D629" t="str">
            <v>ШТ</v>
          </cell>
          <cell r="E629" t="str">
            <v>Колбасные изделия</v>
          </cell>
          <cell r="F629" t="str">
            <v>Сосиски</v>
          </cell>
          <cell r="G629" t="str">
            <v>Папа может</v>
          </cell>
          <cell r="H629" t="str">
            <v>ОМПК(Г)</v>
          </cell>
          <cell r="I629" t="str">
            <v>ТУ 10.13.14-180-00425283-2025</v>
          </cell>
          <cell r="J629" t="str">
            <v>Мясной продукт. Изделие колбасное вареное категории В.</v>
          </cell>
          <cell r="K629"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9">
            <v>10</v>
          </cell>
          <cell r="M629">
            <v>13</v>
          </cell>
          <cell r="N629">
            <v>5</v>
          </cell>
          <cell r="O629" t="str">
            <v>177/736</v>
          </cell>
          <cell r="P629" t="str">
            <v>0…+6</v>
          </cell>
          <cell r="Q629">
            <v>50</v>
          </cell>
        </row>
        <row r="630">
          <cell r="B630">
            <v>1001022377064</v>
          </cell>
          <cell r="C630" t="str">
            <v>СОЧНЫЕ ПМ сос п/о в/у 1/350 8шт_50с</v>
          </cell>
          <cell r="D630" t="str">
            <v>ШТ</v>
          </cell>
          <cell r="E630" t="str">
            <v>Колбасные изделия</v>
          </cell>
          <cell r="F630" t="str">
            <v>Сосиски</v>
          </cell>
          <cell r="G630" t="str">
            <v>Папа может</v>
          </cell>
          <cell r="H630" t="str">
            <v xml:space="preserve">ОМПК(Г)
</v>
          </cell>
          <cell r="I630" t="str">
            <v>ТУ 10.13.14-180-00425283-2025</v>
          </cell>
          <cell r="J630" t="str">
            <v>Мясной продукт. Изделие колбасное вареное категории В.</v>
          </cell>
          <cell r="K630"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0">
            <v>10</v>
          </cell>
          <cell r="M630">
            <v>13</v>
          </cell>
          <cell r="N630">
            <v>5</v>
          </cell>
          <cell r="O630" t="str">
            <v>177/736</v>
          </cell>
          <cell r="P630" t="str">
            <v>0…+6</v>
          </cell>
          <cell r="Q630">
            <v>50</v>
          </cell>
        </row>
        <row r="631">
          <cell r="B631">
            <v>1001022725819</v>
          </cell>
          <cell r="C631" t="str">
            <v>МЯСНЫЕ Папа может сос п/о в/у 0.4кг_45с</v>
          </cell>
          <cell r="D631" t="str">
            <v>ШТ</v>
          </cell>
          <cell r="E631" t="str">
            <v>Колбасные изделия</v>
          </cell>
          <cell r="F631" t="str">
            <v>Сосиски</v>
          </cell>
          <cell r="G631" t="str">
            <v>Папа может</v>
          </cell>
          <cell r="H631" t="str">
            <v>ОМПК(Г)</v>
          </cell>
          <cell r="I631" t="str">
            <v>ТУ 10.13.14-180-00425283-2025</v>
          </cell>
          <cell r="J631" t="str">
            <v>Мясной продукт. Изделие колбасное вареное категории В.</v>
          </cell>
          <cell r="K631" t="str">
            <v>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31">
            <v>10</v>
          </cell>
          <cell r="M631">
            <v>13</v>
          </cell>
          <cell r="N631">
            <v>5</v>
          </cell>
          <cell r="O631" t="str">
            <v>177/736</v>
          </cell>
          <cell r="P631" t="str">
            <v>0…+6</v>
          </cell>
          <cell r="Q631">
            <v>45</v>
          </cell>
        </row>
        <row r="632">
          <cell r="B632">
            <v>1001022726947</v>
          </cell>
          <cell r="C632" t="str">
            <v>МЯСНЫЕ Папа может сос п/о в/у 0.64кг 6шт</v>
          </cell>
          <cell r="D632" t="str">
            <v>ШТ</v>
          </cell>
          <cell r="E632" t="str">
            <v>Колбасные изделия</v>
          </cell>
          <cell r="F632" t="str">
            <v>Сосиски</v>
          </cell>
          <cell r="G632" t="str">
            <v>Папа может</v>
          </cell>
          <cell r="H632" t="str">
            <v>ОМПК(Г)</v>
          </cell>
          <cell r="I632" t="str">
            <v>ТУ 10.13.14-180-00425283-2025</v>
          </cell>
          <cell r="J632" t="str">
            <v>Мясной продукт. Изделие колбасное вареное категории В.</v>
          </cell>
          <cell r="K632" t="str">
            <v>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32">
            <v>10</v>
          </cell>
          <cell r="M632">
            <v>13</v>
          </cell>
          <cell r="N632">
            <v>5</v>
          </cell>
          <cell r="O632" t="str">
            <v>177/736</v>
          </cell>
          <cell r="P632" t="str">
            <v>0…+6</v>
          </cell>
          <cell r="Q632">
            <v>45</v>
          </cell>
        </row>
        <row r="633">
          <cell r="B633">
            <v>1001025507255</v>
          </cell>
          <cell r="C633" t="str">
            <v>МЯСНЫЕ С ГОВЯД.ПМ сос п/о мгс 0.4кг 6шт.</v>
          </cell>
          <cell r="D633" t="str">
            <v>ШТ</v>
          </cell>
          <cell r="E633" t="str">
            <v>Колбасные изделия</v>
          </cell>
          <cell r="F633" t="str">
            <v>Сосиски</v>
          </cell>
          <cell r="G633" t="str">
            <v>Папа может</v>
          </cell>
          <cell r="H633" t="str">
            <v>ОМПК(Г)</v>
          </cell>
          <cell r="I633" t="str">
            <v>ТУ 10.13.14-180-00425283-2025</v>
          </cell>
          <cell r="J633" t="str">
            <v>Мясной продукт. Изделие колбасное вареное категории В.</v>
          </cell>
          <cell r="K633"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633">
            <v>10</v>
          </cell>
          <cell r="M633">
            <v>12</v>
          </cell>
          <cell r="N633">
            <v>4</v>
          </cell>
          <cell r="O633" t="str">
            <v>164/682</v>
          </cell>
          <cell r="P633" t="str">
            <v>0…+6</v>
          </cell>
          <cell r="Q633">
            <v>50</v>
          </cell>
        </row>
        <row r="634">
          <cell r="B634">
            <v>1001025507078</v>
          </cell>
          <cell r="C634" t="str">
            <v>МЯСНЫЕ С ГОВЯД.ПМ сос п/о мгс 0.6кг_50с</v>
          </cell>
          <cell r="D634" t="str">
            <v>ШТ</v>
          </cell>
          <cell r="E634" t="str">
            <v>Колбасные изделия</v>
          </cell>
          <cell r="F634" t="str">
            <v>Сосиски</v>
          </cell>
          <cell r="G634" t="str">
            <v>Папа может</v>
          </cell>
          <cell r="H634" t="str">
            <v>ОМПК(Г)</v>
          </cell>
          <cell r="I634" t="str">
            <v>ТУ 10.13.14-130-00425283-2017</v>
          </cell>
          <cell r="J634" t="str">
            <v>Мясной продукт. Изделие колбасное вареное категории В.</v>
          </cell>
          <cell r="K634"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634">
            <v>7</v>
          </cell>
          <cell r="M634">
            <v>10</v>
          </cell>
          <cell r="N634">
            <v>3</v>
          </cell>
          <cell r="O634" t="str">
            <v>130/540</v>
          </cell>
          <cell r="P634" t="str">
            <v>0…+6</v>
          </cell>
          <cell r="Q634">
            <v>50</v>
          </cell>
        </row>
        <row r="635">
          <cell r="B635">
            <v>1001021966602</v>
          </cell>
          <cell r="C635" t="str">
            <v>БАВАРСКИЕ ПМ сос ц/о мгс 0.35кг 8шт.</v>
          </cell>
          <cell r="D635" t="str">
            <v>ШТ</v>
          </cell>
          <cell r="E635" t="str">
            <v>Колбасные изделия</v>
          </cell>
          <cell r="F635" t="str">
            <v>Сосиски</v>
          </cell>
          <cell r="G635" t="str">
            <v>Папа может</v>
          </cell>
          <cell r="H635" t="str">
            <v>ОМПК(Г)</v>
          </cell>
          <cell r="I635" t="str">
            <v>ТУ 10.13.14-150-00425283-2018</v>
          </cell>
          <cell r="J635" t="str">
            <v>Изделие колбасное вареное из мяса кур охлажденное.</v>
          </cell>
          <cell r="K635" t="str">
            <v>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v>
          </cell>
          <cell r="L635">
            <v>8</v>
          </cell>
          <cell r="M635">
            <v>18</v>
          </cell>
          <cell r="N635">
            <v>3</v>
          </cell>
          <cell r="O635" t="str">
            <v>206/853</v>
          </cell>
          <cell r="P635" t="str">
            <v>0…+6</v>
          </cell>
          <cell r="Q635">
            <v>45</v>
          </cell>
        </row>
        <row r="636">
          <cell r="B636">
            <v>1001025367108</v>
          </cell>
          <cell r="C636" t="str">
            <v>ДОМАШНИЕ СО СЛИВК.ПМ сос п/о мгс 0.41кг</v>
          </cell>
          <cell r="D636" t="str">
            <v>ШТ</v>
          </cell>
          <cell r="E636" t="str">
            <v>Колбасные изделия</v>
          </cell>
          <cell r="F636" t="str">
            <v>Сосиски</v>
          </cell>
          <cell r="G636" t="str">
            <v>Папа может</v>
          </cell>
          <cell r="H636" t="str">
            <v>ОМПК(Г)</v>
          </cell>
          <cell r="I636" t="str">
            <v>ТУ 10.13.14-180-00425283-2025</v>
          </cell>
          <cell r="J636" t="str">
            <v>Мясной продукт. Изделие колбасное вареное категории В.</v>
          </cell>
          <cell r="K636" t="str">
            <v>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6">
            <v>10</v>
          </cell>
          <cell r="M636">
            <v>13</v>
          </cell>
          <cell r="N636">
            <v>5</v>
          </cell>
          <cell r="O636" t="str">
            <v>177/736</v>
          </cell>
          <cell r="P636" t="str">
            <v>0…+6</v>
          </cell>
          <cell r="Q636">
            <v>45</v>
          </cell>
        </row>
        <row r="637">
          <cell r="B637">
            <v>1001022657073</v>
          </cell>
          <cell r="C637" t="str">
            <v>МОЛОЧ.ПРЕМИУМ ПМ сос п/о в/у 1/350_50с</v>
          </cell>
          <cell r="D637" t="str">
            <v>ШТ</v>
          </cell>
          <cell r="E637" t="str">
            <v>Колбасные изделия</v>
          </cell>
          <cell r="F637" t="str">
            <v>Сосиски</v>
          </cell>
          <cell r="G637" t="str">
            <v>Папа может</v>
          </cell>
          <cell r="H637" t="str">
            <v>ОМПК(Г)</v>
          </cell>
          <cell r="I637" t="str">
            <v>ТУ 10.13.14-180-00425283-2025</v>
          </cell>
          <cell r="J637" t="str">
            <v>Мясосодержащий продукт. Изделие колбасное вареное категории В.</v>
          </cell>
          <cell r="K637" t="str">
            <v>свинина, филе грудок куриных, мясо цыпленка-бройлера механической обвалки, стабилизатор белковый (шкурка свиная, вода питьевая), говядина, вода питьевая, молоко сухое,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637">
            <v>10</v>
          </cell>
          <cell r="M637">
            <v>12</v>
          </cell>
          <cell r="N637">
            <v>4</v>
          </cell>
          <cell r="O637" t="str">
            <v>164/682</v>
          </cell>
          <cell r="P637" t="str">
            <v>0…+6</v>
          </cell>
          <cell r="Q637">
            <v>50</v>
          </cell>
        </row>
        <row r="638">
          <cell r="B638">
            <v>1001022377066</v>
          </cell>
          <cell r="C638" t="str">
            <v>СОЧНЫЕ ПМ сос п/о мгс 0.41кг 10шт_50с</v>
          </cell>
          <cell r="D638" t="str">
            <v>ШТ</v>
          </cell>
          <cell r="E638" t="str">
            <v>Колбасные изделия</v>
          </cell>
          <cell r="F638" t="str">
            <v>Сосиски</v>
          </cell>
          <cell r="G638" t="str">
            <v>Папа может</v>
          </cell>
          <cell r="H638" t="str">
            <v xml:space="preserve">ОМПК(Г)
</v>
          </cell>
          <cell r="I638" t="str">
            <v>ТУ 10.13.14-180-00425283-2025</v>
          </cell>
          <cell r="J638" t="str">
            <v>Мясной продукт. Изделие колбасное вареное категории В.</v>
          </cell>
          <cell r="K638"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8">
            <v>10</v>
          </cell>
          <cell r="M638">
            <v>13</v>
          </cell>
          <cell r="N638">
            <v>5</v>
          </cell>
          <cell r="O638" t="str">
            <v>177/736</v>
          </cell>
          <cell r="P638" t="str">
            <v>0…+6</v>
          </cell>
          <cell r="Q638">
            <v>50</v>
          </cell>
        </row>
        <row r="639">
          <cell r="B639">
            <v>1001022377067</v>
          </cell>
          <cell r="C639" t="str">
            <v>СОЧНЫЕ ПМ сос п/о мгс 0.41кг_СНГ_50с</v>
          </cell>
          <cell r="D639" t="str">
            <v>ШТ</v>
          </cell>
          <cell r="E639" t="str">
            <v>Колбасные изделия</v>
          </cell>
          <cell r="F639" t="str">
            <v>Сосиски</v>
          </cell>
          <cell r="G639" t="str">
            <v>Папа может</v>
          </cell>
          <cell r="H639" t="str">
            <v xml:space="preserve">ОМПК(Г)
</v>
          </cell>
          <cell r="I639" t="str">
            <v>ТУ 10.13.14-130-00425283-2017</v>
          </cell>
          <cell r="J639" t="str">
            <v>Мясной продукт. Изделие колбасное вареное категории В.</v>
          </cell>
          <cell r="K639" t="str">
            <v>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v>
          </cell>
          <cell r="L639">
            <v>11</v>
          </cell>
          <cell r="M639">
            <v>13</v>
          </cell>
          <cell r="N639">
            <v>2</v>
          </cell>
          <cell r="O639" t="str">
            <v>169/702</v>
          </cell>
          <cell r="P639" t="str">
            <v>0…+6</v>
          </cell>
          <cell r="Q639">
            <v>50</v>
          </cell>
        </row>
        <row r="640">
          <cell r="B640">
            <v>1001020836724</v>
          </cell>
          <cell r="C640" t="str">
            <v>МОЛОЧНЫЕ ПМ сос п/о мгс 0.41кг 10шт.</v>
          </cell>
          <cell r="D640" t="str">
            <v>ШТ</v>
          </cell>
          <cell r="E640" t="str">
            <v>Колбасные изделия</v>
          </cell>
          <cell r="F640" t="str">
            <v>Сосиски</v>
          </cell>
          <cell r="G640" t="str">
            <v>Папа может</v>
          </cell>
          <cell r="H640" t="str">
            <v xml:space="preserve">ОМПК(Г)
</v>
          </cell>
          <cell r="I640" t="str">
            <v>ТУ 10.13.14-180-00425283-2025</v>
          </cell>
          <cell r="J640" t="str">
            <v>Мясной продукт. Изделие колбасное вареное категории В.</v>
          </cell>
          <cell r="K640"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40">
            <v>10</v>
          </cell>
          <cell r="M640">
            <v>13</v>
          </cell>
          <cell r="N640">
            <v>5</v>
          </cell>
          <cell r="O640" t="str">
            <v>177/736</v>
          </cell>
          <cell r="P640" t="str">
            <v>0…+6</v>
          </cell>
          <cell r="Q640">
            <v>45</v>
          </cell>
        </row>
        <row r="641">
          <cell r="B641">
            <v>1001020837151</v>
          </cell>
          <cell r="C641" t="str">
            <v>МОЛОЧНЫЕ ПМ сос п/о мгс 0.41кг 10шт_СНГ</v>
          </cell>
          <cell r="D641" t="str">
            <v>ШТ</v>
          </cell>
          <cell r="E641" t="str">
            <v>Колбасные изделия</v>
          </cell>
          <cell r="F641" t="str">
            <v>Сосиски</v>
          </cell>
          <cell r="G641" t="str">
            <v>Папа может</v>
          </cell>
          <cell r="H641" t="str">
            <v xml:space="preserve">ОМПК(Г)
</v>
          </cell>
          <cell r="I641" t="str">
            <v>ТУ 10.13.14-180-00425283-2025</v>
          </cell>
          <cell r="J641" t="str">
            <v>Мясной продукт. Изделие колбасное вареное категории В.</v>
          </cell>
          <cell r="K64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41">
            <v>10</v>
          </cell>
          <cell r="M641">
            <v>13</v>
          </cell>
          <cell r="N641">
            <v>5</v>
          </cell>
          <cell r="O641" t="str">
            <v>177/736</v>
          </cell>
          <cell r="P641" t="str">
            <v>0…+6</v>
          </cell>
          <cell r="Q641">
            <v>45</v>
          </cell>
        </row>
        <row r="642">
          <cell r="B642">
            <v>1001020837408</v>
          </cell>
          <cell r="C642" t="str">
            <v>МОЛОЧНЫЕ ASLAM сос п/о мгс 0.41кг 10шт.</v>
          </cell>
          <cell r="D642" t="str">
            <v>ШТ</v>
          </cell>
          <cell r="E642" t="str">
            <v>Колбасные изделия</v>
          </cell>
          <cell r="F642" t="str">
            <v>Сосиски</v>
          </cell>
          <cell r="G642" t="str">
            <v>ASLAM</v>
          </cell>
          <cell r="H642" t="str">
            <v>ООО Казанские деликатесы</v>
          </cell>
          <cell r="I642" t="str">
            <v>ТУ 10.13.14-175-00425283-2025</v>
          </cell>
          <cell r="J642" t="str">
            <v>Изделие колбасное вареное из мяса кур охлажденное.</v>
          </cell>
          <cell r="K642" t="str">
            <v>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v>
          </cell>
          <cell r="L642">
            <v>12</v>
          </cell>
          <cell r="M642">
            <v>13</v>
          </cell>
          <cell r="N642">
            <v>3</v>
          </cell>
          <cell r="O642" t="str">
            <v>177/736</v>
          </cell>
          <cell r="P642" t="str">
            <v>0…+6</v>
          </cell>
          <cell r="Q642">
            <v>45</v>
          </cell>
        </row>
        <row r="643">
          <cell r="B643">
            <v>1001020837410</v>
          </cell>
          <cell r="C643" t="str">
            <v>МОЛОЧНЫЕ ASLAM сос п/о мгс 1.025кг 6шт.</v>
          </cell>
          <cell r="D643" t="str">
            <v>ШТ</v>
          </cell>
          <cell r="E643" t="str">
            <v>Колбасные изделия</v>
          </cell>
          <cell r="F643" t="str">
            <v>Сосиски</v>
          </cell>
          <cell r="G643" t="str">
            <v>ASLAM</v>
          </cell>
          <cell r="H643" t="str">
            <v>ООО Казанские деликатесы</v>
          </cell>
          <cell r="I643" t="str">
            <v>ТУ 10.13.14-175-00425283-2025</v>
          </cell>
          <cell r="J643" t="str">
            <v>Изделие колбасное вареное из мяса кур охлажденное.</v>
          </cell>
          <cell r="K643" t="str">
            <v>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v>
          </cell>
          <cell r="L643">
            <v>12</v>
          </cell>
          <cell r="M643">
            <v>13</v>
          </cell>
          <cell r="N643">
            <v>3</v>
          </cell>
          <cell r="O643" t="str">
            <v>177/736</v>
          </cell>
          <cell r="P643" t="str">
            <v>0…+6</v>
          </cell>
          <cell r="Q643">
            <v>45</v>
          </cell>
        </row>
        <row r="644">
          <cell r="B644">
            <v>1001025167044</v>
          </cell>
          <cell r="C644" t="str">
            <v>ХОТ-ДОГ Папа может сос б/о в/у 1/320 8шт</v>
          </cell>
          <cell r="D644" t="str">
            <v>ШТ</v>
          </cell>
          <cell r="E644" t="str">
            <v>Колбасные изделия</v>
          </cell>
          <cell r="F644" t="str">
            <v>Сосиски</v>
          </cell>
          <cell r="G644" t="str">
            <v>Папа может</v>
          </cell>
          <cell r="H644" t="str">
            <v>ОМПК(О)</v>
          </cell>
          <cell r="I644" t="str">
            <v>ТУ 10.13.14-150-00425283-2026</v>
          </cell>
          <cell r="J644" t="str">
            <v>Изделие колбасное вареное из мяса кур охлажденное.</v>
          </cell>
          <cell r="K644" t="str">
            <v>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v>
          </cell>
          <cell r="L644">
            <v>7</v>
          </cell>
          <cell r="M644">
            <v>16</v>
          </cell>
          <cell r="N644">
            <v>3</v>
          </cell>
          <cell r="O644" t="str">
            <v>184/762</v>
          </cell>
          <cell r="P644" t="str">
            <v>0…+6</v>
          </cell>
          <cell r="Q644">
            <v>45</v>
          </cell>
        </row>
        <row r="645">
          <cell r="B645">
            <v>1003171433209</v>
          </cell>
          <cell r="C645" t="str">
            <v>ГУЛЯШ СВИНОЙ мгс 0.4кг 4шт.охл_Х5(СТМ)</v>
          </cell>
          <cell r="D645" t="str">
            <v>ШТ</v>
          </cell>
          <cell r="E645" t="str">
            <v>Мясо охл</v>
          </cell>
          <cell r="F645" t="str">
            <v>ОПФ Нарезные</v>
          </cell>
          <cell r="G645" t="str">
            <v>СТМ</v>
          </cell>
          <cell r="H645" t="str">
            <v>ОМПК (Г)</v>
          </cell>
          <cell r="I645" t="str">
            <v>ТУ 10.13.14-151-00425283-2018</v>
          </cell>
          <cell r="J645" t="str">
            <v>Полуфабрикат охлажденный из свинины мелкокусковой бескостный мясной категории А.</v>
          </cell>
          <cell r="K645" t="str">
            <v>свинина</v>
          </cell>
          <cell r="L645">
            <v>19</v>
          </cell>
          <cell r="M645">
            <v>8</v>
          </cell>
          <cell r="O645" t="str">
            <v>148/619</v>
          </cell>
          <cell r="P645" t="str">
            <v>0…+4</v>
          </cell>
          <cell r="Q645">
            <v>12</v>
          </cell>
        </row>
        <row r="646">
          <cell r="B646">
            <v>1003171436318</v>
          </cell>
          <cell r="C646" t="str">
            <v>ГУЛЯШ СВИНОЙ мгс 0.4кг 4шт.охл</v>
          </cell>
          <cell r="D646" t="str">
            <v>ШТ</v>
          </cell>
          <cell r="E646" t="str">
            <v>Мясо охл</v>
          </cell>
          <cell r="F646" t="str">
            <v>ОПФ Нарезные</v>
          </cell>
          <cell r="G646" t="str">
            <v>Останкино</v>
          </cell>
          <cell r="H646" t="str">
            <v>ОМПК (Г)</v>
          </cell>
          <cell r="I646" t="str">
            <v>ТУ 10.13.14-151-00425283-2025</v>
          </cell>
          <cell r="J646" t="str">
            <v>Мясной полуфабрикат мелкокусковой бескостный охлажденный из свинины категории А.</v>
          </cell>
          <cell r="K646" t="str">
            <v>свинина</v>
          </cell>
          <cell r="L646">
            <v>19</v>
          </cell>
          <cell r="M646">
            <v>8</v>
          </cell>
          <cell r="N646">
            <v>0</v>
          </cell>
          <cell r="O646" t="str">
            <v>148/619</v>
          </cell>
          <cell r="P646" t="str">
            <v>0…+4</v>
          </cell>
          <cell r="Q646">
            <v>12</v>
          </cell>
        </row>
        <row r="647">
          <cell r="B647">
            <v>1003173305387</v>
          </cell>
          <cell r="C647" t="str">
            <v>НАБОР ДЛЯ СУПА мгс 0.4кг 4шт.охл_Х5(СТМ)</v>
          </cell>
          <cell r="D647" t="str">
            <v>ШТ</v>
          </cell>
          <cell r="E647" t="str">
            <v>Мясо охл</v>
          </cell>
          <cell r="F647" t="str">
            <v>ОПФ Нарезные</v>
          </cell>
          <cell r="G647" t="str">
            <v>СТМ</v>
          </cell>
          <cell r="H647" t="str">
            <v>ОМПК (Г)</v>
          </cell>
          <cell r="I647" t="str">
            <v>ТУ 10.13.14-151-00425283-2018</v>
          </cell>
          <cell r="J647" t="str">
            <v>Полуфабрикат охлажденный из свинины мелкокусковой мясокостный категории Б.</v>
          </cell>
          <cell r="K647" t="str">
            <v>свинина на кости</v>
          </cell>
          <cell r="L647">
            <v>13</v>
          </cell>
          <cell r="M647">
            <v>33</v>
          </cell>
          <cell r="O647" t="str">
            <v>349/1442</v>
          </cell>
          <cell r="P647" t="str">
            <v>0…+4</v>
          </cell>
          <cell r="Q647">
            <v>9</v>
          </cell>
        </row>
        <row r="648">
          <cell r="B648">
            <v>1003173575589</v>
          </cell>
          <cell r="C648" t="str">
            <v xml:space="preserve">СОЧНЫЙ СТЕЙК В МАРИНАДЕ мгс 0.4кг охл. </v>
          </cell>
          <cell r="D648" t="str">
            <v>ШТ</v>
          </cell>
          <cell r="E648" t="str">
            <v>Мясо охл</v>
          </cell>
          <cell r="F648" t="str">
            <v>ОПФ Шашлыки Маринады</v>
          </cell>
          <cell r="G648" t="str">
            <v>Останкино</v>
          </cell>
          <cell r="H648" t="str">
            <v>ОМПК (Г)</v>
          </cell>
          <cell r="I648" t="str">
            <v>ТУ 10.13.14-151-00425283-2025</v>
          </cell>
          <cell r="J648" t="str">
            <v>Полуфабрикат охлажденный из свинины мелкокусковой бескостный мясной категории А.</v>
          </cell>
          <cell r="K648" t="str">
            <v>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v>
          </cell>
          <cell r="L648">
            <v>20</v>
          </cell>
          <cell r="M648">
            <v>5</v>
          </cell>
          <cell r="O648" t="str">
            <v>125/525</v>
          </cell>
          <cell r="P648" t="str">
            <v>0…+4</v>
          </cell>
          <cell r="Q648">
            <v>12</v>
          </cell>
        </row>
        <row r="649">
          <cell r="B649">
            <v>1003173075592</v>
          </cell>
          <cell r="C649" t="str">
            <v>СТЕЙК СВ.НА КОСТОЧКЕ мгс 0.4кг охл_Х5</v>
          </cell>
          <cell r="D649" t="str">
            <v>ШТ</v>
          </cell>
          <cell r="E649" t="str">
            <v>Мясо охл</v>
          </cell>
          <cell r="F649" t="str">
            <v>ОПФ Нарезные</v>
          </cell>
          <cell r="G649" t="str">
            <v>СТМ</v>
          </cell>
          <cell r="H649" t="str">
            <v>ОМПК (Г)</v>
          </cell>
          <cell r="I649" t="str">
            <v>ТУ 10.13.14-151-00425283-2018</v>
          </cell>
          <cell r="J649" t="str">
            <v>Полуфабрикат охлажденный из свинины мелкокусковой мясокостный категории Б.</v>
          </cell>
          <cell r="K649" t="str">
            <v>свинина на кости</v>
          </cell>
          <cell r="L649">
            <v>18</v>
          </cell>
          <cell r="M649">
            <v>17</v>
          </cell>
          <cell r="O649" t="str">
            <v>225/940</v>
          </cell>
          <cell r="P649" t="str">
            <v>0…+4</v>
          </cell>
          <cell r="Q649">
            <v>12</v>
          </cell>
        </row>
        <row r="650">
          <cell r="B650">
            <v>1003323077312</v>
          </cell>
          <cell r="C650" t="str">
            <v>СТЕЙК СВ.НА КОСТ.мгс 0.4кг охл_Х5/СТМ ХК</v>
          </cell>
          <cell r="D650" t="str">
            <v>ШТ</v>
          </cell>
          <cell r="E650" t="str">
            <v>Мясо охл</v>
          </cell>
          <cell r="F650" t="str">
            <v>ОПФ Нарезные</v>
          </cell>
          <cell r="G650" t="str">
            <v>СТМ</v>
          </cell>
          <cell r="H650" t="str">
            <v>ОМПК (Г)</v>
          </cell>
          <cell r="I650" t="str">
            <v>ТУ 10.13.14-151-00425283-2018</v>
          </cell>
          <cell r="J650" t="str">
            <v>Полуфабрикат охлажденный из свинины мелкокусковой мясокостный категории Б.</v>
          </cell>
          <cell r="K650" t="str">
            <v>свинина на кости</v>
          </cell>
          <cell r="L650">
            <v>18</v>
          </cell>
          <cell r="M650">
            <v>17</v>
          </cell>
          <cell r="O650" t="str">
            <v>225/940</v>
          </cell>
          <cell r="P650" t="str">
            <v>0…+4</v>
          </cell>
          <cell r="Q650">
            <v>12</v>
          </cell>
        </row>
        <row r="651">
          <cell r="B651">
            <v>1003326787534</v>
          </cell>
          <cell r="C651" t="str">
            <v>СТЕЙК СВ.НА КОСТ. мгс 0.4кг охл_Т/СТМ</v>
          </cell>
          <cell r="D651" t="str">
            <v>ШТ</v>
          </cell>
          <cell r="E651" t="str">
            <v>Мясо охл</v>
          </cell>
          <cell r="F651" t="str">
            <v>ОПФ Нарезные</v>
          </cell>
          <cell r="G651" t="str">
            <v>СТМ</v>
          </cell>
          <cell r="H651" t="str">
            <v>ОМПК (Г)</v>
          </cell>
          <cell r="I651" t="str">
            <v>ТУ 10.13.14-151-00425283-2025</v>
          </cell>
          <cell r="J651" t="str">
            <v>Мясной полуфабрикат мясокостный мелкокусковой охлажденный из свинины категории Б.</v>
          </cell>
          <cell r="K651" t="str">
            <v>свинина на кости</v>
          </cell>
          <cell r="L651">
            <v>18</v>
          </cell>
          <cell r="M651">
            <v>17</v>
          </cell>
          <cell r="N651">
            <v>0</v>
          </cell>
          <cell r="O651" t="str">
            <v>225/940</v>
          </cell>
          <cell r="P651" t="str">
            <v>0…+4</v>
          </cell>
          <cell r="Q651">
            <v>12</v>
          </cell>
        </row>
        <row r="652">
          <cell r="B652">
            <v>1003323077350</v>
          </cell>
          <cell r="C652" t="str">
            <v>СТЕЙК СВ.НА КОСТОЧКЕ мгс 0.4кг 4шт. охл.</v>
          </cell>
          <cell r="D652" t="str">
            <v>ШТ</v>
          </cell>
          <cell r="E652" t="str">
            <v>Мясо охл</v>
          </cell>
          <cell r="F652" t="str">
            <v>ОПФ Нарезные</v>
          </cell>
          <cell r="G652" t="str">
            <v>Останкино</v>
          </cell>
          <cell r="H652" t="str">
            <v>ОМПК (Г)</v>
          </cell>
          <cell r="I652" t="str">
            <v>ТУ 10.13.14-151-00425283-2018</v>
          </cell>
          <cell r="J652" t="str">
            <v>Мясной полуфабрикат мясокостный мелкокусковой охлажденный из свинины категории Б.</v>
          </cell>
          <cell r="K652" t="str">
            <v>свинина на кости</v>
          </cell>
          <cell r="L652">
            <v>16</v>
          </cell>
          <cell r="M652">
            <v>21</v>
          </cell>
          <cell r="O652" t="str">
            <v>253/1049</v>
          </cell>
          <cell r="P652" t="str">
            <v>0…+4</v>
          </cell>
          <cell r="Q652">
            <v>12</v>
          </cell>
        </row>
        <row r="653">
          <cell r="B653">
            <v>1003171736432</v>
          </cell>
          <cell r="C653" t="str">
            <v>ШЕЙКА СВИНАЯ мгс 0.4кг охл_Х5/СТМ_12с</v>
          </cell>
          <cell r="D653" t="str">
            <v>ШТ</v>
          </cell>
          <cell r="E653" t="str">
            <v>Мясо охл</v>
          </cell>
          <cell r="F653" t="str">
            <v>ОПФ Нарезные</v>
          </cell>
          <cell r="G653" t="str">
            <v>СТМ</v>
          </cell>
          <cell r="H653" t="str">
            <v>ОМПК (Г)</v>
          </cell>
          <cell r="I653" t="str">
            <v>ТУ 10.13.14-151-00425283-2018</v>
          </cell>
          <cell r="J653" t="str">
            <v>Полуфабрикат охлажденный из свинины мелкокусковой бескостный мясной категории А.</v>
          </cell>
          <cell r="K653" t="str">
            <v>свинина</v>
          </cell>
          <cell r="L653">
            <v>16</v>
          </cell>
          <cell r="M653">
            <v>18</v>
          </cell>
          <cell r="O653" t="str">
            <v>226/938</v>
          </cell>
          <cell r="P653" t="str">
            <v>0…+4</v>
          </cell>
          <cell r="Q653">
            <v>12</v>
          </cell>
        </row>
        <row r="654">
          <cell r="B654">
            <v>1003321737310</v>
          </cell>
          <cell r="C654" t="str">
            <v>ШЕЙКА СВИНАЯ мгс 0.4кг охл_Х5/СТМ ХК</v>
          </cell>
          <cell r="D654" t="str">
            <v>ШТ</v>
          </cell>
          <cell r="E654" t="str">
            <v>Мясо охл</v>
          </cell>
          <cell r="F654" t="str">
            <v>ОПФ Нарезные</v>
          </cell>
          <cell r="G654" t="str">
            <v>СТМ</v>
          </cell>
          <cell r="H654" t="str">
            <v>ОМПК (Г)</v>
          </cell>
          <cell r="I654" t="str">
            <v>ТУ 10.13.14-151-00425283-2018</v>
          </cell>
          <cell r="J654" t="str">
            <v>Полуфабрикат охлажденный из свинины мелкокусковой бескостный мясной категории А.</v>
          </cell>
          <cell r="K654" t="str">
            <v>свинина</v>
          </cell>
          <cell r="L654">
            <v>16</v>
          </cell>
          <cell r="M654">
            <v>18</v>
          </cell>
          <cell r="O654" t="str">
            <v>226/938</v>
          </cell>
          <cell r="P654" t="str">
            <v>0…+4</v>
          </cell>
          <cell r="Q654">
            <v>12</v>
          </cell>
        </row>
        <row r="655">
          <cell r="B655">
            <v>1003321737396</v>
          </cell>
          <cell r="C655" t="str">
            <v>СТЕЙК ИЗ ШЕИ СВИНОЙ мгс 0.4кг охл_Т/СТМ</v>
          </cell>
          <cell r="D655" t="str">
            <v>ШТ</v>
          </cell>
          <cell r="E655" t="str">
            <v>Мясо охл</v>
          </cell>
          <cell r="F655" t="str">
            <v>ОПФ Нарезные</v>
          </cell>
          <cell r="G655" t="str">
            <v>СТМ</v>
          </cell>
          <cell r="H655" t="str">
            <v>ОМПК (Г)</v>
          </cell>
          <cell r="I655" t="str">
            <v>ТУ 10.13.14-151-00425283-2025</v>
          </cell>
          <cell r="J655" t="str">
            <v>Мясной полуфабрикат бескостный мелкокусковой охлажденный из свинины категории А.</v>
          </cell>
          <cell r="K655" t="str">
            <v>свинина</v>
          </cell>
          <cell r="L655">
            <v>16</v>
          </cell>
          <cell r="M655">
            <v>18</v>
          </cell>
          <cell r="O655" t="str">
            <v>226/938</v>
          </cell>
          <cell r="P655" t="str">
            <v>0…+4</v>
          </cell>
          <cell r="Q655">
            <v>12</v>
          </cell>
        </row>
        <row r="656">
          <cell r="B656">
            <v>1003171735722</v>
          </cell>
          <cell r="C656" t="str">
            <v>ШЕЙКА СВИНАЯ мгс 0.4кг 4шт.охл.</v>
          </cell>
          <cell r="D656" t="str">
            <v>ШТ</v>
          </cell>
          <cell r="E656" t="str">
            <v>Мясо охл</v>
          </cell>
          <cell r="F656" t="str">
            <v>ОПФ Нарезные</v>
          </cell>
          <cell r="G656" t="str">
            <v>Останкино</v>
          </cell>
          <cell r="H656" t="str">
            <v>ОМПК (Г)</v>
          </cell>
          <cell r="I656" t="str">
            <v>ТУ 10.13.14-151-00425283-2025</v>
          </cell>
          <cell r="J656" t="str">
            <v>Мясной полуфабрикат бескостный мелкокусковой охлажденный из свинины категории А.</v>
          </cell>
          <cell r="K656" t="str">
            <v>свинина</v>
          </cell>
          <cell r="L656">
            <v>17</v>
          </cell>
          <cell r="M656">
            <v>16</v>
          </cell>
          <cell r="N656">
            <v>0</v>
          </cell>
          <cell r="O656" t="str">
            <v>212/881</v>
          </cell>
          <cell r="P656" t="str">
            <v>0…+4</v>
          </cell>
          <cell r="Q656">
            <v>12</v>
          </cell>
        </row>
        <row r="657">
          <cell r="B657">
            <v>1003171746431</v>
          </cell>
          <cell r="C657" t="str">
            <v>ШНИЦЕЛЬ СВИНОЙ мгс 0.4кг охл_Х5/СТМ_12с</v>
          </cell>
          <cell r="D657" t="str">
            <v>ШТ</v>
          </cell>
          <cell r="E657" t="str">
            <v>Мясо охл</v>
          </cell>
          <cell r="F657" t="str">
            <v>ОПФ Нарезные</v>
          </cell>
          <cell r="G657" t="str">
            <v>СТМ</v>
          </cell>
          <cell r="H657" t="str">
            <v>ОМПК (Г)</v>
          </cell>
          <cell r="I657" t="str">
            <v>ТУ 10.13.14-151-00425283-2018</v>
          </cell>
          <cell r="J657" t="str">
            <v>Полуфабрикат охлажденный из свинины мелкокусковой бескостный мясной категории А.</v>
          </cell>
          <cell r="K657" t="str">
            <v>свинина</v>
          </cell>
          <cell r="L657">
            <v>20</v>
          </cell>
          <cell r="M657">
            <v>5</v>
          </cell>
          <cell r="O657" t="str">
            <v>125/525</v>
          </cell>
          <cell r="P657" t="str">
            <v>0…+4</v>
          </cell>
          <cell r="Q657">
            <v>12</v>
          </cell>
        </row>
        <row r="658">
          <cell r="B658">
            <v>1003171746417</v>
          </cell>
          <cell r="C658" t="str">
            <v>ШНИЦЕЛЬ СВИНОЙ мгс 0.4кг охл_Х5/СТМ Верн</v>
          </cell>
          <cell r="D658" t="str">
            <v>ШТ</v>
          </cell>
          <cell r="E658" t="str">
            <v>Мясо охл</v>
          </cell>
          <cell r="F658" t="str">
            <v>ОПФ Нарезные</v>
          </cell>
          <cell r="G658" t="str">
            <v>СТМ</v>
          </cell>
          <cell r="H658" t="str">
            <v>ОМПК (Г)</v>
          </cell>
          <cell r="I658" t="str">
            <v>ТУ 10.13.14-151-00425283-2025</v>
          </cell>
          <cell r="J658" t="str">
            <v>Мясной полуфабрикат бескостный мелкокусковой охлажденный из свинины категории А.</v>
          </cell>
          <cell r="K658" t="str">
            <v>свинина</v>
          </cell>
          <cell r="L658">
            <v>20</v>
          </cell>
          <cell r="M658">
            <v>5</v>
          </cell>
          <cell r="O658" t="str">
            <v>125/525</v>
          </cell>
          <cell r="P658" t="str">
            <v>0…+4</v>
          </cell>
          <cell r="Q658">
            <v>14</v>
          </cell>
        </row>
        <row r="659">
          <cell r="B659">
            <v>1003321747311</v>
          </cell>
          <cell r="C659" t="str">
            <v>ШНИЦЕЛЬ СВИНОЙ мгс 0.4кг охл_Х5/СТМ ХК</v>
          </cell>
          <cell r="D659" t="str">
            <v>ШТ</v>
          </cell>
          <cell r="E659" t="str">
            <v>Мясо охл</v>
          </cell>
          <cell r="F659" t="str">
            <v>ОПФ Нарезные</v>
          </cell>
          <cell r="G659" t="str">
            <v>СТМ</v>
          </cell>
          <cell r="H659" t="str">
            <v>ОМПК (Г)</v>
          </cell>
          <cell r="I659" t="str">
            <v>ТУ 10.13.14-151-00425283-2018</v>
          </cell>
          <cell r="J659" t="str">
            <v>Полуфабрикат охлажденный из свинины мелкокусковой бескостный мясной категории А.</v>
          </cell>
          <cell r="K659" t="str">
            <v>свинина</v>
          </cell>
          <cell r="L659">
            <v>20</v>
          </cell>
          <cell r="M659">
            <v>5</v>
          </cell>
          <cell r="O659" t="str">
            <v>125/525</v>
          </cell>
          <cell r="P659" t="str">
            <v>0…+4</v>
          </cell>
          <cell r="Q659">
            <v>12</v>
          </cell>
        </row>
        <row r="660">
          <cell r="B660">
            <v>1003321747351</v>
          </cell>
          <cell r="C660" t="str">
            <v>ШНИЦЕЛЬ СВИНОЙ мгс 0.4кг 4шт. охл.</v>
          </cell>
          <cell r="D660" t="str">
            <v>ШТ</v>
          </cell>
          <cell r="E660" t="str">
            <v>Мясо охл</v>
          </cell>
          <cell r="F660" t="str">
            <v>ОПФ Нарезные</v>
          </cell>
          <cell r="G660" t="str">
            <v>Останкино</v>
          </cell>
          <cell r="H660" t="str">
            <v>ОМПК (Г)</v>
          </cell>
          <cell r="I660" t="str">
            <v>ТУ 10.13.14-151-00425283-2025</v>
          </cell>
          <cell r="J660" t="str">
            <v>Мясной полуфабрикат бескостный мелкокусковой охлажденный из свинины категории А.</v>
          </cell>
          <cell r="K660" t="str">
            <v>свинина</v>
          </cell>
          <cell r="L660">
            <v>20</v>
          </cell>
          <cell r="M660">
            <v>5</v>
          </cell>
          <cell r="O660" t="str">
            <v>125/525</v>
          </cell>
          <cell r="P660" t="str">
            <v>0…+4</v>
          </cell>
          <cell r="Q660">
            <v>12</v>
          </cell>
        </row>
        <row r="661">
          <cell r="B661">
            <v>1003171755435</v>
          </cell>
          <cell r="C661" t="str">
            <v>ЭСКАЛОП СВИНОЙ мгс 0.4кг 4шт.охл.</v>
          </cell>
          <cell r="D661" t="str">
            <v>ШТ</v>
          </cell>
          <cell r="E661" t="str">
            <v>Мясо охл</v>
          </cell>
          <cell r="F661" t="str">
            <v>ОПФ Нарезные</v>
          </cell>
          <cell r="G661" t="str">
            <v>Останкино</v>
          </cell>
          <cell r="H661" t="str">
            <v>ОМПК (Г)</v>
          </cell>
          <cell r="I661" t="str">
            <v>ТУ 10.13.14-151-00425283-2025</v>
          </cell>
          <cell r="J661" t="str">
            <v>Мясной полуфабрикат мелкокусковой бескостный охлажденный из свинины категории А.</v>
          </cell>
          <cell r="K661" t="str">
            <v>свинина</v>
          </cell>
          <cell r="L661">
            <v>21</v>
          </cell>
          <cell r="M661">
            <v>7</v>
          </cell>
          <cell r="O661" t="str">
            <v>147/616</v>
          </cell>
          <cell r="P661" t="str">
            <v>0…+4</v>
          </cell>
          <cell r="Q661">
            <v>12</v>
          </cell>
        </row>
        <row r="662">
          <cell r="B662">
            <v>1003321756897</v>
          </cell>
          <cell r="C662" t="str">
            <v>ЭСКАЛОП СВИНОЙ мгс 0.4кг охл_Х5/СТМ ХК</v>
          </cell>
          <cell r="D662" t="str">
            <v>ШТ</v>
          </cell>
          <cell r="E662" t="str">
            <v>Мясо охл</v>
          </cell>
          <cell r="F662" t="str">
            <v>ОПФ Нарезные</v>
          </cell>
          <cell r="G662" t="str">
            <v>СТМ</v>
          </cell>
          <cell r="H662" t="str">
            <v>ОМПК (Г)</v>
          </cell>
          <cell r="I662" t="str">
            <v>ТУ 10.13.14-151-00425283-2018</v>
          </cell>
          <cell r="J662" t="str">
            <v>Полуфабрикат охлажденный из свинины мелкокусковой бескостный мясной категории А.</v>
          </cell>
          <cell r="K662" t="str">
            <v>свинина</v>
          </cell>
          <cell r="L662">
            <v>21</v>
          </cell>
          <cell r="M662">
            <v>7</v>
          </cell>
          <cell r="O662" t="str">
            <v>147/616</v>
          </cell>
          <cell r="P662" t="str">
            <v>0…+4</v>
          </cell>
          <cell r="Q662">
            <v>12</v>
          </cell>
        </row>
        <row r="663">
          <cell r="B663">
            <v>1003355906997</v>
          </cell>
          <cell r="C663" t="str">
            <v>КОЛБАСКИ ПО-ФИНСКИ мгс 0.29кг 4шт.охл.</v>
          </cell>
          <cell r="D663" t="str">
            <v>ШТ</v>
          </cell>
          <cell r="E663" t="str">
            <v>Мясо охл</v>
          </cell>
          <cell r="F663" t="str">
            <v>ОПФ Шашлыки Маринады</v>
          </cell>
          <cell r="G663" t="str">
            <v>Останкино</v>
          </cell>
          <cell r="H663" t="str">
            <v>ОМПК (Г)</v>
          </cell>
          <cell r="I663" t="str">
            <v>ТУ 10.13.14-152-00425283-2018</v>
          </cell>
          <cell r="J663" t="str">
            <v>Полуфабрикат мясной рубленый охлажденный категории Б.</v>
          </cell>
          <cell r="K663" t="str">
            <v>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v>
          </cell>
          <cell r="L663">
            <v>13</v>
          </cell>
          <cell r="M663">
            <v>16</v>
          </cell>
          <cell r="O663" t="str">
            <v>196/813</v>
          </cell>
          <cell r="P663" t="str">
            <v>0…+4</v>
          </cell>
          <cell r="Q663">
            <v>12</v>
          </cell>
        </row>
        <row r="664">
          <cell r="B664">
            <v>1003171625567</v>
          </cell>
          <cell r="C664" t="str">
            <v>РУЛЬКА СВИНАЯ в/у охл_Х5</v>
          </cell>
          <cell r="D664" t="str">
            <v>КГ</v>
          </cell>
          <cell r="E664" t="str">
            <v>Мясо охл</v>
          </cell>
          <cell r="F664" t="str">
            <v>ОПФ Кусковые</v>
          </cell>
          <cell r="G664" t="str">
            <v>Останкино</v>
          </cell>
          <cell r="H664" t="str">
            <v>ОМПК (Г)</v>
          </cell>
          <cell r="I664" t="str">
            <v>ТУ 10.13.14-151-00425283-2018</v>
          </cell>
          <cell r="J664" t="str">
            <v>Полуфабрикат охлажденный из свинины крупнокусковой мясокостный категории Б.</v>
          </cell>
          <cell r="K664" t="str">
            <v>свинина на кости</v>
          </cell>
          <cell r="L664">
            <v>20</v>
          </cell>
          <cell r="M664">
            <v>15</v>
          </cell>
          <cell r="O664" t="str">
            <v>215/895</v>
          </cell>
          <cell r="P664" t="str">
            <v>0…+4</v>
          </cell>
          <cell r="Q664">
            <v>17</v>
          </cell>
        </row>
        <row r="665">
          <cell r="B665">
            <v>1003171504725</v>
          </cell>
          <cell r="C665" t="str">
            <v>КУПАТЫ НЮРНБЕРГСКИЕ мгс 0.4кг 6шт.охл.</v>
          </cell>
          <cell r="D665" t="str">
            <v>ШТ</v>
          </cell>
          <cell r="E665" t="str">
            <v>Мясо охл</v>
          </cell>
          <cell r="F665" t="str">
            <v>ОПФ Купаты Чевапчичи</v>
          </cell>
          <cell r="G665" t="str">
            <v>Останкино</v>
          </cell>
          <cell r="H665" t="str">
            <v>ОМПК (Г)</v>
          </cell>
          <cell r="I665" t="str">
            <v>ТУ 10.13.14-151-00425283-2025</v>
          </cell>
          <cell r="J665" t="str">
            <v>Мясной полуфабрикат рубленый формованный охлажденный категории Б.</v>
          </cell>
          <cell r="K665" t="str">
            <v>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v>
          </cell>
          <cell r="L665">
            <v>16</v>
          </cell>
          <cell r="M665">
            <v>22</v>
          </cell>
          <cell r="N665">
            <v>1</v>
          </cell>
          <cell r="O665" t="str">
            <v>266/1103</v>
          </cell>
          <cell r="P665" t="str">
            <v>0…+4</v>
          </cell>
          <cell r="Q665">
            <v>17</v>
          </cell>
        </row>
        <row r="666">
          <cell r="B666">
            <v>1003171506849</v>
          </cell>
          <cell r="C666" t="str">
            <v>КУПАТЫ НЮРНБЕРГСКИЕ мгс 0.4кг охл_ФМ/СТМ</v>
          </cell>
          <cell r="D666" t="str">
            <v>ШТ</v>
          </cell>
          <cell r="E666" t="str">
            <v>Мясо охл</v>
          </cell>
          <cell r="F666" t="str">
            <v>ОПФ Купаты Чевапчичи</v>
          </cell>
          <cell r="G666" t="str">
            <v>СТМ</v>
          </cell>
          <cell r="H666" t="str">
            <v>ОМПК (Г)</v>
          </cell>
          <cell r="I666" t="str">
            <v>ТУ 10.13.14-152-00425283-2018</v>
          </cell>
          <cell r="J666" t="str">
            <v>Полуфабрикат мясной рубленый охлажденный категории Б.</v>
          </cell>
          <cell r="K666" t="str">
            <v>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v>
          </cell>
          <cell r="L666">
            <v>15</v>
          </cell>
          <cell r="M666">
            <v>20</v>
          </cell>
          <cell r="O666" t="str">
            <v>240/995</v>
          </cell>
          <cell r="P666" t="str">
            <v>0…+4</v>
          </cell>
          <cell r="Q666">
            <v>12</v>
          </cell>
        </row>
        <row r="667">
          <cell r="B667">
            <v>1003174565855</v>
          </cell>
          <cell r="C667" t="str">
            <v>КОРЕЕЧКА ПО-ФИНСКИ мгс охл.</v>
          </cell>
          <cell r="D667" t="str">
            <v>КГ</v>
          </cell>
          <cell r="E667" t="str">
            <v>Мясо охл</v>
          </cell>
          <cell r="F667" t="str">
            <v>ОПФ Шашлыки Маринады</v>
          </cell>
          <cell r="G667" t="str">
            <v>Останкино</v>
          </cell>
          <cell r="H667" t="str">
            <v>ОМПК (Г)</v>
          </cell>
          <cell r="I667" t="str">
            <v>ТУ 10.13.14-151-00425283-2018</v>
          </cell>
          <cell r="J667" t="str">
            <v>Полуфабрикат охлажденный из свинины крупнокусковой бескостный мясной категории А.</v>
          </cell>
          <cell r="K667" t="str">
            <v>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v>
          </cell>
          <cell r="L667">
            <v>15</v>
          </cell>
          <cell r="M667">
            <v>14</v>
          </cell>
          <cell r="O667" t="str">
            <v>186/773</v>
          </cell>
          <cell r="P667" t="str">
            <v>0…+4</v>
          </cell>
          <cell r="Q667">
            <v>12</v>
          </cell>
        </row>
        <row r="668">
          <cell r="B668">
            <v>1003174565921</v>
          </cell>
          <cell r="C668" t="str">
            <v>КОРЕЕЧКА ПО-ФИНСКИ мгс охл_Л</v>
          </cell>
          <cell r="D668" t="str">
            <v>КГ</v>
          </cell>
          <cell r="E668" t="str">
            <v>Мясо охл</v>
          </cell>
          <cell r="F668" t="str">
            <v>ОПФ Шашлыки Маринады</v>
          </cell>
          <cell r="G668" t="str">
            <v>Останкино</v>
          </cell>
          <cell r="H668" t="str">
            <v>ОМПК (Г)</v>
          </cell>
          <cell r="I668" t="str">
            <v>ТУ 10.13.14-151-00425283-2018</v>
          </cell>
          <cell r="J668" t="str">
            <v>Полуфабрикат охлажденный из свинины крупнокусковой бескостный мясной категории А.</v>
          </cell>
          <cell r="K668" t="str">
            <v>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v>
          </cell>
          <cell r="L668">
            <v>15</v>
          </cell>
          <cell r="M668">
            <v>14</v>
          </cell>
          <cell r="O668" t="str">
            <v>186/773</v>
          </cell>
          <cell r="P668" t="str">
            <v>0…+4</v>
          </cell>
          <cell r="Q668">
            <v>12</v>
          </cell>
        </row>
        <row r="669">
          <cell r="B669">
            <v>1003175086171</v>
          </cell>
          <cell r="C669" t="str">
            <v>МЕДАЛЬОНЫ ИЗ СВ.ВЫРЕЗ.В МАРИНАДЕ мгс охл</v>
          </cell>
          <cell r="D669" t="str">
            <v>КГ</v>
          </cell>
          <cell r="E669" t="str">
            <v>Мясо охл</v>
          </cell>
          <cell r="F669" t="str">
            <v>ОПФ Шашлыки Маринады</v>
          </cell>
          <cell r="G669" t="str">
            <v>Останкино</v>
          </cell>
          <cell r="H669" t="str">
            <v>ОМПК (Г)</v>
          </cell>
          <cell r="I669" t="str">
            <v>ТУ 10.13.14-151-00425283-2025</v>
          </cell>
          <cell r="J669" t="str">
            <v>Мясной полуфабрикат бескостный мелкокусковой маринованный охлажденный из свинины категории А.</v>
          </cell>
          <cell r="K669" t="str">
            <v>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v>
          </cell>
          <cell r="L669">
            <v>20</v>
          </cell>
          <cell r="M669">
            <v>5</v>
          </cell>
          <cell r="N669">
            <v>1</v>
          </cell>
          <cell r="O669" t="str">
            <v>129/542</v>
          </cell>
          <cell r="P669" t="str">
            <v>0…+4</v>
          </cell>
          <cell r="Q669">
            <v>12</v>
          </cell>
        </row>
        <row r="670">
          <cell r="B670">
            <v>1003175086230</v>
          </cell>
          <cell r="C670" t="str">
            <v>МЕДАЛЬОНЫ ИЗ СВ.ВЫР.В МАРИНАДЕ мгс охл М</v>
          </cell>
          <cell r="D670" t="str">
            <v>КГ</v>
          </cell>
          <cell r="E670" t="str">
            <v>Мясо охл</v>
          </cell>
          <cell r="F670" t="str">
            <v>ОПФ Шашлыки Маринады</v>
          </cell>
          <cell r="G670" t="str">
            <v>Останкино</v>
          </cell>
          <cell r="H670" t="str">
            <v>ОМПК (Г)</v>
          </cell>
          <cell r="I670" t="str">
            <v>ТУ 10.13.14-151-00425283-2025</v>
          </cell>
          <cell r="J670" t="str">
            <v>Мясной полуфабрикат бескостный мелкокусковой маринованный охлажденный из свинины категории А.</v>
          </cell>
          <cell r="K670" t="str">
            <v>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v>
          </cell>
          <cell r="L670">
            <v>20</v>
          </cell>
          <cell r="M670">
            <v>5</v>
          </cell>
          <cell r="N670">
            <v>1</v>
          </cell>
          <cell r="O670" t="str">
            <v>129/542</v>
          </cell>
          <cell r="P670" t="str">
            <v>0…+4</v>
          </cell>
          <cell r="Q670">
            <v>12</v>
          </cell>
        </row>
        <row r="671">
          <cell r="B671">
            <v>1003175136198</v>
          </cell>
          <cell r="C671" t="str">
            <v>ОКОРОК РОЖДЕСТВЕНСКИЙ мгс охл.</v>
          </cell>
          <cell r="D671" t="str">
            <v>КГ</v>
          </cell>
          <cell r="E671" t="str">
            <v>Мясо охл</v>
          </cell>
          <cell r="F671" t="str">
            <v>ОПФ Шашлыки Маринады</v>
          </cell>
          <cell r="G671" t="str">
            <v>Останкино</v>
          </cell>
          <cell r="H671" t="str">
            <v>ОМПК (Г)</v>
          </cell>
          <cell r="I671" t="str">
            <v>ТУ 10.13.14-151-00425283-2018</v>
          </cell>
          <cell r="J671" t="str">
            <v>Полуфабрикат охлажденный из свинины крупнокусковой бескостный мясной категории Б.</v>
          </cell>
          <cell r="K671" t="str">
            <v>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v>
          </cell>
          <cell r="L671">
            <v>15</v>
          </cell>
          <cell r="M671">
            <v>14</v>
          </cell>
          <cell r="O671" t="str">
            <v>186/773</v>
          </cell>
          <cell r="P671" t="str">
            <v>0…+4</v>
          </cell>
          <cell r="Q671">
            <v>12</v>
          </cell>
        </row>
        <row r="672">
          <cell r="B672">
            <v>1003173544959</v>
          </cell>
          <cell r="C672" t="str">
            <v>СВИНИНА ПРАЗДНИЧНАЯ мгс охл.</v>
          </cell>
          <cell r="D672" t="str">
            <v>КГ</v>
          </cell>
          <cell r="E672" t="str">
            <v>Мясо охл</v>
          </cell>
          <cell r="F672" t="str">
            <v>ОПФ Шашлыки Маринады</v>
          </cell>
          <cell r="G672" t="str">
            <v>Останкино</v>
          </cell>
          <cell r="H672" t="str">
            <v>ОМПК (Г)</v>
          </cell>
          <cell r="I672" t="str">
            <v>ТУ 10.13.14-151-00425283-2018</v>
          </cell>
          <cell r="J672" t="str">
            <v>Полуфабрикат охлажденный из свинины крупнокусковой бескостный мясной категории А.</v>
          </cell>
          <cell r="K672"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2">
            <v>17</v>
          </cell>
          <cell r="M672">
            <v>11</v>
          </cell>
          <cell r="O672" t="str">
            <v>167/696</v>
          </cell>
          <cell r="P672" t="str">
            <v>0…+4</v>
          </cell>
          <cell r="Q672">
            <v>12</v>
          </cell>
        </row>
        <row r="673">
          <cell r="B673">
            <v>1003173546199</v>
          </cell>
          <cell r="C673" t="str">
            <v>СВИНИНА ПРАЗДНИЧНАЯ мгс охл_А</v>
          </cell>
          <cell r="D673" t="str">
            <v>КГ</v>
          </cell>
          <cell r="E673" t="str">
            <v>Мясо охл</v>
          </cell>
          <cell r="F673" t="str">
            <v>ОПФ Шашлыки Маринады</v>
          </cell>
          <cell r="G673" t="str">
            <v>Останкино</v>
          </cell>
          <cell r="H673" t="str">
            <v>ОМПК (Г)</v>
          </cell>
          <cell r="I673" t="str">
            <v>ТУ 10.13.14-151-00425283-2018</v>
          </cell>
          <cell r="J673" t="str">
            <v>Полуфабрикат охлажденный из свинины крупнокусковой бескостный мясной категории А.</v>
          </cell>
          <cell r="K673"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3">
            <v>17</v>
          </cell>
          <cell r="M673">
            <v>11</v>
          </cell>
          <cell r="O673" t="str">
            <v>167/696</v>
          </cell>
          <cell r="P673" t="str">
            <v>0…+4</v>
          </cell>
          <cell r="Q673">
            <v>12</v>
          </cell>
        </row>
        <row r="674">
          <cell r="B674">
            <v>1003173545857</v>
          </cell>
          <cell r="C674" t="str">
            <v>СВИНИНА ПРАЗДНИЧНАЯ мгс охл_ФМ</v>
          </cell>
          <cell r="D674" t="str">
            <v>КГ</v>
          </cell>
          <cell r="E674" t="str">
            <v>Мясо охл</v>
          </cell>
          <cell r="F674" t="str">
            <v>ОПФ Шашлыки Маринады</v>
          </cell>
          <cell r="G674" t="str">
            <v>Останкино</v>
          </cell>
          <cell r="H674" t="str">
            <v>ОМПК (Г)</v>
          </cell>
          <cell r="I674" t="str">
            <v>ТУ 10.13.14-151-00425283-2018</v>
          </cell>
          <cell r="J674" t="str">
            <v>Полуфабрикат охлажденный из свинины крупнокусковой бескостный мясной категории А.</v>
          </cell>
          <cell r="K674"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4">
            <v>17</v>
          </cell>
          <cell r="M674">
            <v>11</v>
          </cell>
          <cell r="O674" t="str">
            <v>167/696</v>
          </cell>
          <cell r="P674" t="str">
            <v>0…+4</v>
          </cell>
          <cell r="Q674">
            <v>12</v>
          </cell>
        </row>
        <row r="675">
          <cell r="B675">
            <v>1003171725665</v>
          </cell>
          <cell r="C675" t="str">
            <v>ШАШЛЫК С БАЗИЛИКОМ мгс охл.</v>
          </cell>
          <cell r="D675" t="str">
            <v>КГ</v>
          </cell>
          <cell r="E675" t="str">
            <v>Мясо охл</v>
          </cell>
          <cell r="F675" t="str">
            <v>ОПФ Шашлыки Маринады</v>
          </cell>
          <cell r="G675" t="str">
            <v>Останкино</v>
          </cell>
          <cell r="H675" t="str">
            <v>ОМПК (Г)</v>
          </cell>
          <cell r="I675" t="str">
            <v>ТУ 10.13.14-151-00425283-2018</v>
          </cell>
          <cell r="J675" t="str">
            <v>Полуфабрикат охлажденный из свинины мелкокусковой бескостный мясной категории А.</v>
          </cell>
          <cell r="K675" t="str">
            <v>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v>
          </cell>
          <cell r="L675">
            <v>16</v>
          </cell>
          <cell r="M675">
            <v>13</v>
          </cell>
          <cell r="O675" t="str">
            <v>181/753</v>
          </cell>
          <cell r="P675" t="str">
            <v>0…+4</v>
          </cell>
          <cell r="Q675">
            <v>12</v>
          </cell>
        </row>
        <row r="676">
          <cell r="B676">
            <v>1003171726514</v>
          </cell>
          <cell r="C676" t="str">
            <v>ШАШЛЫК С БАЗИЛИКОМ мгс охл_Ашан</v>
          </cell>
          <cell r="D676" t="str">
            <v>КГ</v>
          </cell>
          <cell r="E676" t="str">
            <v>Мясо охл</v>
          </cell>
          <cell r="F676" t="str">
            <v>ОПФ Шашлыки Маринады</v>
          </cell>
          <cell r="G676" t="str">
            <v>Останкино</v>
          </cell>
          <cell r="H676" t="str">
            <v>ОМПК (Г)</v>
          </cell>
          <cell r="I676" t="str">
            <v>ТУ 10.13.14-151-00425283-2018</v>
          </cell>
          <cell r="J676" t="str">
            <v>Полуфабрикат охлажденный из свинины мелкокусковой бескостный мясной категории А.</v>
          </cell>
          <cell r="K676" t="str">
            <v>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v>
          </cell>
          <cell r="L676">
            <v>16</v>
          </cell>
          <cell r="M676">
            <v>13</v>
          </cell>
          <cell r="O676" t="str">
            <v>181/753</v>
          </cell>
          <cell r="P676" t="str">
            <v>0…+4</v>
          </cell>
          <cell r="Q676">
            <v>12</v>
          </cell>
        </row>
        <row r="677">
          <cell r="B677">
            <v>1003171735534</v>
          </cell>
          <cell r="C677" t="str">
            <v>ШЕЙКА СВИНАЯ В БРУСН.МАРИНАДЕ мгс охл_М</v>
          </cell>
          <cell r="D677" t="str">
            <v>КГ</v>
          </cell>
          <cell r="E677" t="str">
            <v>Мясо охл</v>
          </cell>
          <cell r="F677" t="str">
            <v>ОПФ Шашлыки Маринады</v>
          </cell>
          <cell r="G677" t="str">
            <v>Останкино</v>
          </cell>
          <cell r="H677" t="str">
            <v>ОМПК (Г)</v>
          </cell>
          <cell r="I677" t="str">
            <v>ТУ 10.13.14-151-00425283-2018</v>
          </cell>
          <cell r="J677" t="str">
            <v>Полуфабрикат охлажденный из свинины крупнокусковой бескостный мясной категории Б.</v>
          </cell>
          <cell r="K677" t="str">
            <v>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v>
          </cell>
          <cell r="L677">
            <v>15</v>
          </cell>
          <cell r="M677">
            <v>18</v>
          </cell>
          <cell r="O677" t="str">
            <v>222/921</v>
          </cell>
          <cell r="P677" t="str">
            <v>0…+4</v>
          </cell>
          <cell r="Q677">
            <v>12</v>
          </cell>
        </row>
        <row r="678">
          <cell r="B678">
            <v>1003171524720</v>
          </cell>
          <cell r="C678" t="str">
            <v>КУПАТЫ АССОРТИ мгс охл.</v>
          </cell>
          <cell r="D678" t="str">
            <v>КГ</v>
          </cell>
          <cell r="E678" t="str">
            <v>Мясо охл</v>
          </cell>
          <cell r="F678" t="str">
            <v>ОПФ Купаты Чевапчичи</v>
          </cell>
          <cell r="G678" t="str">
            <v>Останкино</v>
          </cell>
          <cell r="H678" t="str">
            <v>ОМПК (Г)</v>
          </cell>
          <cell r="I678" t="str">
            <v>ТУ 10.13.14-151-00425283-2025</v>
          </cell>
          <cell r="J678" t="str">
            <v>Мясной полуфабрикат рубленый формованный охлажденный категории В.</v>
          </cell>
          <cell r="K678"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78" t="str">
            <v xml:space="preserve">1) 14
2) 16
3) 14  </v>
          </cell>
          <cell r="M678" t="str">
            <v>1) 25
2) 22
3) 20</v>
          </cell>
          <cell r="N678" t="str">
            <v>1) 1
2) 1
3) 1</v>
          </cell>
          <cell r="O678" t="str">
            <v>1) 285/1180
2) 266/1103
3) 240/995</v>
          </cell>
          <cell r="P678" t="str">
            <v>0…+4</v>
          </cell>
          <cell r="Q678">
            <v>17</v>
          </cell>
        </row>
        <row r="679">
          <cell r="B679">
            <v>1003171526516</v>
          </cell>
          <cell r="C679" t="str">
            <v>КУПАТЫ АССОРТИ мгс охл_Ашан</v>
          </cell>
          <cell r="D679" t="str">
            <v>КГ</v>
          </cell>
          <cell r="E679" t="str">
            <v>Мясо охл</v>
          </cell>
          <cell r="F679" t="str">
            <v>ОПФ Купаты Чевапчичи</v>
          </cell>
          <cell r="G679" t="str">
            <v>Останкино</v>
          </cell>
          <cell r="H679" t="str">
            <v>ОМПК (Г)</v>
          </cell>
          <cell r="I679" t="str">
            <v>ТУ 10.13.14-151-00425283-2025</v>
          </cell>
          <cell r="J679" t="str">
            <v>Мясной полуфабрикат рубленый формованный охлажденный категории В.</v>
          </cell>
          <cell r="K679"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79" t="str">
            <v xml:space="preserve">1) 14
2) 16
3) 14  </v>
          </cell>
          <cell r="M679" t="str">
            <v>1) 25
2) 22
3) 20</v>
          </cell>
          <cell r="N679" t="str">
            <v>1) 1
2) 1
3) 1</v>
          </cell>
          <cell r="O679" t="str">
            <v>1) 285/1180
2) 266/1103
3) 240/995</v>
          </cell>
          <cell r="P679" t="str">
            <v>0…+4</v>
          </cell>
          <cell r="Q679">
            <v>17</v>
          </cell>
        </row>
        <row r="680">
          <cell r="B680">
            <v>1003171524721</v>
          </cell>
          <cell r="C680" t="str">
            <v>КУПАТЫ АССОРТИ мгс охл_Л</v>
          </cell>
          <cell r="D680" t="str">
            <v>КГ</v>
          </cell>
          <cell r="E680" t="str">
            <v>Мясо охл</v>
          </cell>
          <cell r="F680" t="str">
            <v>ОПФ Купаты Чевапчичи</v>
          </cell>
          <cell r="G680" t="str">
            <v>Останкино</v>
          </cell>
          <cell r="H680" t="str">
            <v>ОМПК (Г)</v>
          </cell>
          <cell r="I680" t="str">
            <v>ТУ 10.13.14-151-00425283-2025</v>
          </cell>
          <cell r="J680" t="str">
            <v>Мясной полуфабрикат рубленый формованный охлажденный категории В.</v>
          </cell>
          <cell r="K680"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80" t="str">
            <v xml:space="preserve">1) 14
2) 16
3) 14  </v>
          </cell>
          <cell r="M680" t="str">
            <v>1) 25
2) 22
3) 20</v>
          </cell>
          <cell r="N680" t="str">
            <v>1) 1
2) 1
3) 1</v>
          </cell>
          <cell r="O680" t="str">
            <v>1) 285/1180
2) 266/1103
3) 240/995</v>
          </cell>
          <cell r="P680" t="str">
            <v>0…+4</v>
          </cell>
          <cell r="Q680">
            <v>17</v>
          </cell>
        </row>
        <row r="681">
          <cell r="B681">
            <v>1003171526167</v>
          </cell>
          <cell r="C681" t="str">
            <v>КУПАТЫ АССОРТИ мгс охл_Х5</v>
          </cell>
          <cell r="D681" t="str">
            <v>КГ</v>
          </cell>
          <cell r="E681" t="str">
            <v>Мясо охл</v>
          </cell>
          <cell r="F681" t="str">
            <v>ОПФ Купаты Чевапчичи</v>
          </cell>
          <cell r="G681" t="str">
            <v>Останкино</v>
          </cell>
          <cell r="H681" t="str">
            <v>ОМПК (Г)</v>
          </cell>
          <cell r="I681" t="str">
            <v>ТУ 10.13.14-151-00425283-2025</v>
          </cell>
          <cell r="J681" t="str">
            <v>Мясной полуфабрикат рубленый формованный охлажденный категории В.</v>
          </cell>
          <cell r="K681"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81" t="str">
            <v xml:space="preserve">1) 14
2) 16
3) 14  </v>
          </cell>
          <cell r="M681" t="str">
            <v>1) 25
2) 22
3) 20</v>
          </cell>
          <cell r="N681" t="str">
            <v>1) 1
2) 1
3) 1</v>
          </cell>
          <cell r="O681" t="str">
            <v>1) 285/1180
2) 266/1103
3) 240/995</v>
          </cell>
          <cell r="P681" t="str">
            <v>0…+4</v>
          </cell>
          <cell r="Q681">
            <v>17</v>
          </cell>
        </row>
        <row r="682">
          <cell r="B682">
            <v>1003171674866</v>
          </cell>
          <cell r="C682" t="str">
            <v>ФАРШ ГОВЯЖИЙ мгс 0.4кг 4шт.охл.</v>
          </cell>
          <cell r="D682" t="str">
            <v>ШТ</v>
          </cell>
          <cell r="E682" t="str">
            <v>Мясо охл</v>
          </cell>
          <cell r="F682" t="str">
            <v>ОПФ Фарши</v>
          </cell>
          <cell r="G682" t="str">
            <v>Останкино</v>
          </cell>
          <cell r="H682" t="str">
            <v>ОМПК (Г)</v>
          </cell>
          <cell r="I682" t="str">
            <v>ТУ 10.13.14-151-00425283-2025</v>
          </cell>
          <cell r="J682" t="str">
            <v>Мясной полуфабрикат рубленый охлажденный категории Б.</v>
          </cell>
          <cell r="K682" t="str">
            <v>говядина, вода питьевая, белок животный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v>
          </cell>
          <cell r="L682">
            <v>12</v>
          </cell>
          <cell r="M682">
            <v>17</v>
          </cell>
          <cell r="N682">
            <v>0</v>
          </cell>
          <cell r="O682" t="str">
            <v>201/833</v>
          </cell>
          <cell r="P682" t="str">
            <v>0…+4</v>
          </cell>
          <cell r="Q682">
            <v>14</v>
          </cell>
        </row>
        <row r="683">
          <cell r="B683">
            <v>1003171674867</v>
          </cell>
          <cell r="C683" t="str">
            <v>ФАРШ ГОВЯЖИЙ мгс 0.4кг 4шт.охл_Х5(СТМ)</v>
          </cell>
          <cell r="D683" t="str">
            <v>ШТ</v>
          </cell>
          <cell r="E683" t="str">
            <v>Мясо охл</v>
          </cell>
          <cell r="F683" t="str">
            <v>ОПФ Фарши</v>
          </cell>
          <cell r="G683" t="str">
            <v>СТМ</v>
          </cell>
          <cell r="H683" t="str">
            <v>ОМПК (Г)</v>
          </cell>
          <cell r="I683" t="str">
            <v>ТУ 10.13.14-151-00425283-2018</v>
          </cell>
          <cell r="J683" t="str">
            <v>Полуфабрикат мясной рубленый охлажденный категории Б.</v>
          </cell>
          <cell r="K683" t="str">
            <v>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v>
          </cell>
          <cell r="L683">
            <v>12</v>
          </cell>
          <cell r="M683">
            <v>17</v>
          </cell>
          <cell r="O683" t="str">
            <v>201/833</v>
          </cell>
          <cell r="P683" t="str">
            <v>0…+4</v>
          </cell>
          <cell r="Q683">
            <v>12</v>
          </cell>
        </row>
        <row r="684">
          <cell r="B684">
            <v>1003174005466</v>
          </cell>
          <cell r="C684" t="str">
            <v>ФАРШ ДЛЯ КОТЛЕТ мгс 0.4кг 4шт.охл.</v>
          </cell>
          <cell r="D684" t="str">
            <v>ШТ</v>
          </cell>
          <cell r="E684" t="str">
            <v>Мясо охл</v>
          </cell>
          <cell r="F684" t="str">
            <v>ОПФ Фарши</v>
          </cell>
          <cell r="G684" t="str">
            <v>Останкино</v>
          </cell>
          <cell r="H684" t="str">
            <v>ОМПК (Г)</v>
          </cell>
          <cell r="I684" t="str">
            <v>ТУ 10.13.14-151-00425283-2025</v>
          </cell>
          <cell r="J684" t="str">
            <v>Мясной полуфабрикат рубленый охлажденный категории Б.</v>
          </cell>
          <cell r="K684"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84">
            <v>11</v>
          </cell>
          <cell r="M684">
            <v>21</v>
          </cell>
          <cell r="N684">
            <v>0</v>
          </cell>
          <cell r="O684" t="str">
            <v>233/964</v>
          </cell>
          <cell r="P684" t="str">
            <v>0…+4</v>
          </cell>
          <cell r="Q684">
            <v>14</v>
          </cell>
        </row>
        <row r="685">
          <cell r="B685">
            <v>1003171685765</v>
          </cell>
          <cell r="C685" t="str">
            <v>ФАРШ ДОМАШНИЙ мгс 0.4кг 4шт.охл.</v>
          </cell>
          <cell r="D685" t="str">
            <v>ШТ</v>
          </cell>
          <cell r="E685" t="str">
            <v>Мясо охл</v>
          </cell>
          <cell r="F685" t="str">
            <v>ОПФ Фарши</v>
          </cell>
          <cell r="G685" t="str">
            <v>Останкино</v>
          </cell>
          <cell r="H685" t="str">
            <v>ОМПК (Г)</v>
          </cell>
          <cell r="I685" t="str">
            <v>ТУ 10.13.14-151-00425283-2025</v>
          </cell>
          <cell r="J685" t="str">
            <v>Полуфабрикат мясной рубленый охлажденный категории Б.</v>
          </cell>
          <cell r="K685"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5">
            <v>13</v>
          </cell>
          <cell r="M685">
            <v>21</v>
          </cell>
          <cell r="N685">
            <v>0</v>
          </cell>
          <cell r="O685" t="str">
            <v>241/998</v>
          </cell>
          <cell r="P685" t="str">
            <v>0…+4</v>
          </cell>
          <cell r="Q685">
            <v>14</v>
          </cell>
        </row>
        <row r="686">
          <cell r="B686">
            <v>1003171685333</v>
          </cell>
          <cell r="C686" t="str">
            <v>ФАРШ ДОМАШНИЙ мгс 0.4кг 4шт.охл_Т</v>
          </cell>
          <cell r="D686" t="str">
            <v>ШТ</v>
          </cell>
          <cell r="E686" t="str">
            <v>Мясо охл</v>
          </cell>
          <cell r="F686" t="str">
            <v>ОПФ Фарши</v>
          </cell>
          <cell r="G686" t="str">
            <v>Останкино</v>
          </cell>
          <cell r="H686" t="str">
            <v>ОМПК (Г)</v>
          </cell>
          <cell r="I686" t="str">
            <v>ТУ 10.13.14-151-00425283-2025</v>
          </cell>
          <cell r="J686" t="str">
            <v>Полуфабрикат мясной рубленый охлажденный категории Б.</v>
          </cell>
          <cell r="K686"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6">
            <v>13</v>
          </cell>
          <cell r="M686">
            <v>21</v>
          </cell>
          <cell r="N686">
            <v>0</v>
          </cell>
          <cell r="O686" t="str">
            <v>241/998</v>
          </cell>
          <cell r="P686" t="str">
            <v>0…+4</v>
          </cell>
          <cell r="Q686">
            <v>14</v>
          </cell>
        </row>
        <row r="687">
          <cell r="B687">
            <v>1003171684871</v>
          </cell>
          <cell r="C687" t="str">
            <v>ФАРШ ДОМАШНИЙ мгс 0.4кг 4шт.охл_Х5(СТМ)</v>
          </cell>
          <cell r="D687" t="str">
            <v>ШТ</v>
          </cell>
          <cell r="E687" t="str">
            <v>Мясо охл</v>
          </cell>
          <cell r="F687" t="str">
            <v>ОПФ Фарши</v>
          </cell>
          <cell r="G687" t="str">
            <v>СТМ</v>
          </cell>
          <cell r="H687" t="str">
            <v>ОМПК (Г)</v>
          </cell>
          <cell r="I687" t="str">
            <v>ТУ 10.13.14-151-00425283-2018</v>
          </cell>
          <cell r="J687" t="str">
            <v>Полуфабрикат мясной рубленый охлажденный категории Б.</v>
          </cell>
          <cell r="K687" t="str">
            <v>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v>
          </cell>
          <cell r="L687">
            <v>13</v>
          </cell>
          <cell r="M687">
            <v>25</v>
          </cell>
          <cell r="O687" t="str">
            <v>277/1146</v>
          </cell>
          <cell r="P687" t="str">
            <v>0…+4</v>
          </cell>
          <cell r="Q687">
            <v>12</v>
          </cell>
        </row>
        <row r="688">
          <cell r="B688">
            <v>1003171684874</v>
          </cell>
          <cell r="C688" t="str">
            <v>ФАРШ ДОМАШНИЙ мгс 1кг 4шт.охл.</v>
          </cell>
          <cell r="D688" t="str">
            <v>ШТ</v>
          </cell>
          <cell r="E688" t="str">
            <v>Мясо охл</v>
          </cell>
          <cell r="F688" t="str">
            <v>ОПФ Фарши</v>
          </cell>
          <cell r="G688" t="str">
            <v>Останкино</v>
          </cell>
          <cell r="H688" t="str">
            <v>ОМПК (Г)</v>
          </cell>
          <cell r="I688" t="str">
            <v>ТУ 10.13.14-151-00425283-2025</v>
          </cell>
          <cell r="J688" t="str">
            <v>Полуфабрикат мясной рубленый охлажденный категории Б.</v>
          </cell>
          <cell r="K688"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8">
            <v>13</v>
          </cell>
          <cell r="M688">
            <v>21</v>
          </cell>
          <cell r="N688">
            <v>0</v>
          </cell>
          <cell r="O688" t="str">
            <v>241/998</v>
          </cell>
          <cell r="P688" t="str">
            <v>0…+4</v>
          </cell>
          <cell r="Q688">
            <v>14</v>
          </cell>
        </row>
        <row r="689">
          <cell r="B689">
            <v>1003173995633</v>
          </cell>
          <cell r="C689" t="str">
            <v>ФАРШ КЛАССИЧЕСКИЙ мгс 0.4кг 4шт.охл.</v>
          </cell>
          <cell r="D689" t="str">
            <v>ШТ</v>
          </cell>
          <cell r="E689" t="str">
            <v>Мясо охл</v>
          </cell>
          <cell r="F689" t="str">
            <v>ОПФ Фарши</v>
          </cell>
          <cell r="G689" t="str">
            <v>Останкино</v>
          </cell>
          <cell r="H689" t="str">
            <v>ОМПК (Г)</v>
          </cell>
          <cell r="I689" t="str">
            <v>ТУ 10.13.14-151-00425283-2025</v>
          </cell>
          <cell r="J689" t="str">
            <v>Мясной полуфабрикат рубленый охлажденный категории Б.</v>
          </cell>
          <cell r="K689" t="str">
            <v>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v>
          </cell>
          <cell r="L689">
            <v>11</v>
          </cell>
          <cell r="M689">
            <v>21</v>
          </cell>
          <cell r="N689">
            <v>0</v>
          </cell>
          <cell r="O689" t="str">
            <v>233/964</v>
          </cell>
          <cell r="P689" t="str">
            <v>0…+4</v>
          </cell>
          <cell r="Q689">
            <v>14</v>
          </cell>
        </row>
        <row r="690">
          <cell r="B690">
            <v>1003173996552</v>
          </cell>
          <cell r="C690" t="str">
            <v>ФАРШ КЛАССИЧЕСКИЙ мгс 0.7кг 4шт.охл.</v>
          </cell>
          <cell r="D690" t="str">
            <v>ШТ</v>
          </cell>
          <cell r="E690" t="str">
            <v>Мясо охл</v>
          </cell>
          <cell r="F690" t="str">
            <v>ОПФ Фарши</v>
          </cell>
          <cell r="G690" t="str">
            <v>Останкино</v>
          </cell>
          <cell r="H690" t="str">
            <v>ОМПК (Г)</v>
          </cell>
          <cell r="I690" t="str">
            <v>ТУ 10.13.14-151-00425283-2025</v>
          </cell>
          <cell r="J690" t="str">
            <v>Мясной полуфабрикат рубленый охлажденный категории Б.</v>
          </cell>
          <cell r="K690" t="str">
            <v>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v>
          </cell>
          <cell r="L690">
            <v>11</v>
          </cell>
          <cell r="M690">
            <v>21</v>
          </cell>
          <cell r="N690">
            <v>0</v>
          </cell>
          <cell r="O690" t="str">
            <v>233/964</v>
          </cell>
          <cell r="P690" t="str">
            <v>0…+4</v>
          </cell>
          <cell r="Q690">
            <v>14</v>
          </cell>
        </row>
        <row r="691">
          <cell r="B691">
            <v>1003173995465</v>
          </cell>
          <cell r="C691" t="str">
            <v>ФАРШ ПО-ДОМАШНЕМУ мгс 0.4кг 4шт.охл.</v>
          </cell>
          <cell r="D691" t="str">
            <v>ШТ</v>
          </cell>
          <cell r="E691" t="str">
            <v>Мясо охл</v>
          </cell>
          <cell r="F691" t="str">
            <v>ОПФ Фарши</v>
          </cell>
          <cell r="G691" t="str">
            <v>Останкино</v>
          </cell>
          <cell r="H691" t="str">
            <v>ОМПК (Г)</v>
          </cell>
          <cell r="I691" t="str">
            <v>ТУ 10.13.14-151-00425283-2025</v>
          </cell>
          <cell r="J691" t="str">
            <v>Мясной полуфабрикат рубленый охлажденный категории Б.</v>
          </cell>
          <cell r="K691"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91">
            <v>11</v>
          </cell>
          <cell r="M691">
            <v>21</v>
          </cell>
          <cell r="N691">
            <v>0</v>
          </cell>
          <cell r="O691" t="str">
            <v>233/964</v>
          </cell>
          <cell r="P691" t="str">
            <v>0…+4</v>
          </cell>
          <cell r="Q691">
            <v>14</v>
          </cell>
        </row>
        <row r="692">
          <cell r="B692">
            <v>1003343997270</v>
          </cell>
          <cell r="C692" t="str">
            <v>ФАРШ ПО-ДОМАШНЕМУ мгс 0.4кг 4шт.охл_Т</v>
          </cell>
          <cell r="D692" t="str">
            <v>ШТ</v>
          </cell>
          <cell r="E692" t="str">
            <v>Мясо охл</v>
          </cell>
          <cell r="F692" t="str">
            <v>ОПФ Фарши</v>
          </cell>
          <cell r="G692" t="str">
            <v>Останкино</v>
          </cell>
          <cell r="H692" t="str">
            <v>ОМПК (Г)</v>
          </cell>
          <cell r="I692" t="str">
            <v>ТУ 10.13.14-151-00425283-2025</v>
          </cell>
          <cell r="J692" t="str">
            <v>Мясной полуфабрикат рубленый охлажденный категории Б.</v>
          </cell>
          <cell r="K692"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92">
            <v>11</v>
          </cell>
          <cell r="M692">
            <v>21</v>
          </cell>
          <cell r="N692">
            <v>0</v>
          </cell>
          <cell r="O692" t="str">
            <v>233/964</v>
          </cell>
          <cell r="P692" t="str">
            <v>0…+4</v>
          </cell>
          <cell r="Q692">
            <v>14</v>
          </cell>
        </row>
        <row r="693">
          <cell r="B693">
            <v>1003341706938</v>
          </cell>
          <cell r="C693" t="str">
            <v>ФАРШ ИЗ СВИНИНЫ СМОЛЕНСКИЙ мгс 0.3кг охл</v>
          </cell>
          <cell r="D693" t="str">
            <v>ШТ</v>
          </cell>
          <cell r="E693" t="str">
            <v>Мясо охл</v>
          </cell>
          <cell r="F693" t="str">
            <v>ОПФ Фарши</v>
          </cell>
          <cell r="G693" t="str">
            <v>Останкино</v>
          </cell>
          <cell r="H693" t="str">
            <v>ОМПК (Г)</v>
          </cell>
          <cell r="I693" t="str">
            <v>ТУ 10.13.14-151-00425283-2018</v>
          </cell>
          <cell r="J693" t="str">
            <v>Полуфабрикат мясной рубленый охлажденный категории В.</v>
          </cell>
          <cell r="K693"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3">
            <v>11</v>
          </cell>
          <cell r="M693">
            <v>20</v>
          </cell>
          <cell r="O693" t="str">
            <v>219/907</v>
          </cell>
          <cell r="P693" t="str">
            <v>0…+4</v>
          </cell>
          <cell r="Q693">
            <v>12</v>
          </cell>
        </row>
        <row r="694">
          <cell r="B694">
            <v>1003341707274</v>
          </cell>
          <cell r="C694" t="str">
            <v>ФАРШ ИЗ СВИНИНЫ СМОЛ.мгс 0.3 охл_Т</v>
          </cell>
          <cell r="D694" t="str">
            <v>ШТ</v>
          </cell>
          <cell r="E694" t="str">
            <v>Мясо охл</v>
          </cell>
          <cell r="F694" t="str">
            <v>ОПФ Фарши</v>
          </cell>
          <cell r="G694" t="str">
            <v>Папа может</v>
          </cell>
          <cell r="H694" t="str">
            <v>ОМПК (Г)</v>
          </cell>
          <cell r="I694" t="str">
            <v>ТУ 10.13.14-151-00425283-2025</v>
          </cell>
          <cell r="J694" t="str">
            <v>Мясной полуфабрикат рубленый охлажденный категории В.</v>
          </cell>
          <cell r="K694"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4">
            <v>11</v>
          </cell>
          <cell r="M694">
            <v>20</v>
          </cell>
          <cell r="O694" t="str">
            <v>219/907</v>
          </cell>
          <cell r="P694" t="str">
            <v>0…+4</v>
          </cell>
          <cell r="Q694">
            <v>14</v>
          </cell>
        </row>
        <row r="695">
          <cell r="B695">
            <v>1003171706433</v>
          </cell>
          <cell r="C695" t="str">
            <v>ФАРШ СВИНОЙ мгс 0.4кг 4шт.охл_Х5/СТМ_12с</v>
          </cell>
          <cell r="D695" t="str">
            <v>ШТ</v>
          </cell>
          <cell r="E695" t="str">
            <v>Мясо охл</v>
          </cell>
          <cell r="F695" t="str">
            <v>ОПФ Фарши</v>
          </cell>
          <cell r="G695" t="str">
            <v>СТМ</v>
          </cell>
          <cell r="H695" t="str">
            <v>ОМПК (Г)</v>
          </cell>
          <cell r="I695" t="str">
            <v>ТУ 10.13.14-151-00425283-2018</v>
          </cell>
          <cell r="J695" t="str">
            <v>Полуфабрикат мясной рубленый охлажденный категории Б.</v>
          </cell>
          <cell r="K695" t="str">
            <v>свинина, вода, животный белок, регуляторы кислотности: ацетаты натрия, цитраты натрия; антиокислитель аскорбиновая кислота (L-), ароматизатор</v>
          </cell>
          <cell r="L695">
            <v>13</v>
          </cell>
          <cell r="M695">
            <v>20</v>
          </cell>
          <cell r="O695" t="str">
            <v>224/927</v>
          </cell>
          <cell r="P695" t="str">
            <v>0…+4</v>
          </cell>
          <cell r="Q695">
            <v>12</v>
          </cell>
        </row>
        <row r="696">
          <cell r="B696">
            <v>1003171706261</v>
          </cell>
          <cell r="C696" t="str">
            <v>ФАРШ СВИНОЙ мгс 0.3кг охл_Х5/СТМ Гастр-м</v>
          </cell>
          <cell r="D696" t="str">
            <v>ШТ</v>
          </cell>
          <cell r="E696" t="str">
            <v>Мясо охл</v>
          </cell>
          <cell r="F696" t="str">
            <v>ОПФ Фарши</v>
          </cell>
          <cell r="G696" t="str">
            <v>СТМ</v>
          </cell>
          <cell r="H696" t="str">
            <v>ОМПК (Г)</v>
          </cell>
          <cell r="I696" t="str">
            <v>ТУ 10.13.14-151-00425283-2018</v>
          </cell>
          <cell r="J696" t="str">
            <v>Полуфабрикат мясной рубленый охлажденный категории В.</v>
          </cell>
          <cell r="K696" t="str">
            <v>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v>
          </cell>
          <cell r="L696">
            <v>12</v>
          </cell>
          <cell r="M696">
            <v>19</v>
          </cell>
          <cell r="O696" t="str">
            <v>219/907</v>
          </cell>
          <cell r="P696" t="str">
            <v>0…+4</v>
          </cell>
          <cell r="Q696">
            <v>12</v>
          </cell>
        </row>
        <row r="697">
          <cell r="B697">
            <v>1003171706735</v>
          </cell>
          <cell r="C697" t="str">
            <v>ФАРШ СВИНОЙ мгс 0.7кг 4шт.охл.</v>
          </cell>
          <cell r="D697" t="str">
            <v>ШТ</v>
          </cell>
          <cell r="E697" t="str">
            <v>Мясо охл</v>
          </cell>
          <cell r="F697" t="str">
            <v>ОПФ Фарши</v>
          </cell>
          <cell r="G697" t="str">
            <v>Останкино</v>
          </cell>
          <cell r="H697" t="str">
            <v>ОМПК (Г)</v>
          </cell>
          <cell r="I697" t="str">
            <v>ТУ 10.13.14-151-00425283-2018</v>
          </cell>
          <cell r="J697" t="str">
            <v>Полуфабрикат мясной рубленый охлажденный категории В.</v>
          </cell>
          <cell r="K697"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7">
            <v>11</v>
          </cell>
          <cell r="M697">
            <v>20</v>
          </cell>
          <cell r="O697" t="str">
            <v>224/927</v>
          </cell>
          <cell r="P697" t="str">
            <v>0…+4</v>
          </cell>
          <cell r="Q697">
            <v>12</v>
          </cell>
        </row>
        <row r="698">
          <cell r="B698">
            <v>1003341707606</v>
          </cell>
          <cell r="C698" t="str">
            <v>ФАРШ СВИНОЙ Папа может мгс 0.7кг 4шт.охл</v>
          </cell>
          <cell r="D698" t="str">
            <v>ШТ</v>
          </cell>
          <cell r="E698" t="str">
            <v>Мясо охл</v>
          </cell>
          <cell r="F698" t="str">
            <v>ОПФ Фарши</v>
          </cell>
          <cell r="G698" t="str">
            <v>Папа может</v>
          </cell>
          <cell r="H698" t="str">
            <v>ОМПК (Г)</v>
          </cell>
          <cell r="I698" t="str">
            <v>ТУ 10.13.14-151-00425283-2025</v>
          </cell>
          <cell r="J698" t="str">
            <v>Мясной полуфабрикат рубленый охлажденный категории В.</v>
          </cell>
          <cell r="K698" t="str">
            <v>свинина (в т.ч. субпродукт мясной обработанный (диафрагма)), вода питьевая, белок животный (говяжий), регуляторы кислотности (трифосфаты, цитраты натрия), антиокислители (аскорбиновая кислота, экстракты розмарина)</v>
          </cell>
          <cell r="L698">
            <v>11</v>
          </cell>
          <cell r="M698">
            <v>20</v>
          </cell>
          <cell r="N698">
            <v>0</v>
          </cell>
          <cell r="O698" t="str">
            <v>224/927</v>
          </cell>
          <cell r="P698" t="str">
            <v>0…+4</v>
          </cell>
          <cell r="Q698">
            <v>14</v>
          </cell>
        </row>
        <row r="699">
          <cell r="B699">
            <v>1003173284780</v>
          </cell>
          <cell r="C699" t="str">
            <v>ЧЕВАПЧИЧИ СЕРБСКИЕ мгс 0.3кг 4шт.охл.</v>
          </cell>
          <cell r="D699" t="str">
            <v>ШТ</v>
          </cell>
          <cell r="E699" t="str">
            <v>Мясо охл</v>
          </cell>
          <cell r="F699" t="str">
            <v>ОПФ Купаты Чевапчичи</v>
          </cell>
          <cell r="G699" t="str">
            <v>Останкино</v>
          </cell>
          <cell r="H699" t="str">
            <v>ОМПК (Г)</v>
          </cell>
          <cell r="I699" t="str">
            <v>ТУ 10.13.14-151-00425283-2025</v>
          </cell>
          <cell r="J699" t="str">
            <v>Мясной полуфабрикатрубленый формованный охлажденный категории Б.</v>
          </cell>
          <cell r="K699" t="str">
            <v>свинина, вода питьевая, говядина, белок животный (говяжий), лук белый сушеный, соль, пряности (в т.ч. сельдерей), экстракты пряностей, сахар, антиокислитель (лимонная кислота), усилитель вкуса и аромата (глутамат натрия), ароматизатор, уксус сухой, красители (кармины, бетанин)</v>
          </cell>
          <cell r="L699">
            <v>13</v>
          </cell>
          <cell r="M699">
            <v>15</v>
          </cell>
          <cell r="N699">
            <v>1</v>
          </cell>
          <cell r="O699" t="str">
            <v>191/793</v>
          </cell>
          <cell r="P699" t="str">
            <v>0…+4</v>
          </cell>
          <cell r="Q699">
            <v>12</v>
          </cell>
        </row>
        <row r="700">
          <cell r="B700">
            <v>1003337187454</v>
          </cell>
          <cell r="C700" t="str">
            <v>КУПАТЫ БАРБЕКЮ ПМ мгс 1/320 4шт. охл.</v>
          </cell>
          <cell r="D700" t="str">
            <v>ШТ</v>
          </cell>
          <cell r="E700" t="str">
            <v>Мясо охл</v>
          </cell>
          <cell r="F700" t="str">
            <v>ОПФ Купаты Чевапчичи</v>
          </cell>
          <cell r="G700" t="str">
            <v>Папа может</v>
          </cell>
          <cell r="H700" t="str">
            <v>ОМПК (Г)</v>
          </cell>
          <cell r="I700" t="str">
            <v>ТУ 10.13.14-151-00425283-2025</v>
          </cell>
          <cell r="J700" t="str">
            <v>Мясной полуфабрикат рубленый формованный охлажденный категории Б.</v>
          </cell>
          <cell r="K700" t="str">
            <v>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v>
          </cell>
          <cell r="L700">
            <v>14</v>
          </cell>
          <cell r="M700">
            <v>23</v>
          </cell>
          <cell r="N700">
            <v>1</v>
          </cell>
          <cell r="O700" t="str">
            <v>267/1106</v>
          </cell>
          <cell r="P700" t="str">
            <v>0…+4</v>
          </cell>
          <cell r="Q700">
            <v>17</v>
          </cell>
        </row>
        <row r="701">
          <cell r="B701">
            <v>1003337197455</v>
          </cell>
          <cell r="C701" t="str">
            <v>КУПАТЫ БАЛКАНСКИЕ ПМ мгс 1/320 4шт. охл.</v>
          </cell>
          <cell r="D701" t="str">
            <v>ШТ</v>
          </cell>
          <cell r="E701" t="str">
            <v>Мясо охл</v>
          </cell>
          <cell r="F701" t="str">
            <v>ОПФ Купаты Чевапчичи</v>
          </cell>
          <cell r="G701" t="str">
            <v>Папа может</v>
          </cell>
          <cell r="H701" t="str">
            <v>ОМПК (Г)</v>
          </cell>
          <cell r="I701" t="str">
            <v>ТУ 10.13.14-151-00425283-2025</v>
          </cell>
          <cell r="J701" t="str">
            <v>Мясной полуфабрикат рубленый формованный охлажденный категории Б.</v>
          </cell>
          <cell r="K701" t="str">
            <v>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v>
          </cell>
          <cell r="L701">
            <v>14</v>
          </cell>
          <cell r="M701">
            <v>24</v>
          </cell>
          <cell r="N701">
            <v>1</v>
          </cell>
          <cell r="O701" t="str">
            <v>276/1143</v>
          </cell>
          <cell r="P701" t="str">
            <v>0…+4</v>
          </cell>
          <cell r="Q701">
            <v>17</v>
          </cell>
        </row>
        <row r="702">
          <cell r="B702">
            <v>1003337167453</v>
          </cell>
          <cell r="C702" t="str">
            <v>КУПАТЫ ГРУЗИНСК.Останкино мгс 0.4кг охл.</v>
          </cell>
          <cell r="D702" t="str">
            <v>ШТ</v>
          </cell>
          <cell r="E702" t="str">
            <v>Мясо охл</v>
          </cell>
          <cell r="F702" t="str">
            <v>ОПФ Купаты Чевапчичи</v>
          </cell>
          <cell r="G702" t="str">
            <v>Останкино</v>
          </cell>
          <cell r="H702" t="str">
            <v>ОМПК (Г)</v>
          </cell>
          <cell r="I702" t="str">
            <v>ТУ 10.13.14-151-00425283-2025</v>
          </cell>
          <cell r="J702" t="str">
            <v>Мясной полуфабрикат рубленый формованный охлажденный категории Б.</v>
          </cell>
          <cell r="K702" t="str">
            <v>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v>
          </cell>
          <cell r="L702">
            <v>14</v>
          </cell>
          <cell r="M702">
            <v>24</v>
          </cell>
          <cell r="N702">
            <v>1</v>
          </cell>
          <cell r="O702" t="str">
            <v>276/1143</v>
          </cell>
          <cell r="P702" t="str">
            <v>0…+4</v>
          </cell>
          <cell r="Q702">
            <v>17</v>
          </cell>
        </row>
        <row r="703">
          <cell r="B703">
            <v>1003337157452</v>
          </cell>
          <cell r="C703" t="str">
            <v>КУПАТЫ ИТАЛ.С ТОМАТ.И ТРАВ.мгс 0.4кг охл</v>
          </cell>
          <cell r="D703" t="str">
            <v>ШТ</v>
          </cell>
          <cell r="E703" t="str">
            <v>Мясо охл</v>
          </cell>
          <cell r="F703" t="str">
            <v>ОПФ Купаты Чевапчичи</v>
          </cell>
          <cell r="G703" t="str">
            <v>Останкино</v>
          </cell>
          <cell r="H703" t="str">
            <v>ОМПК (Г)</v>
          </cell>
          <cell r="I703" t="str">
            <v>ТУ 10.13.14-151-00425283-2025</v>
          </cell>
          <cell r="J703" t="str">
            <v>Мясной полуфабрикат рубленый формованный охлажденный категории Б.</v>
          </cell>
          <cell r="K703" t="str">
            <v>свинина, вода питьевая, соль, белок животный (говяжий), загустители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v>
          </cell>
          <cell r="L703">
            <v>14</v>
          </cell>
          <cell r="M703">
            <v>23</v>
          </cell>
          <cell r="N703">
            <v>1</v>
          </cell>
          <cell r="O703" t="str">
            <v>267/1106</v>
          </cell>
          <cell r="P703" t="str">
            <v>0…+4</v>
          </cell>
          <cell r="Q703">
            <v>17</v>
          </cell>
        </row>
        <row r="704">
          <cell r="B704">
            <v>1003337207451</v>
          </cell>
          <cell r="C704" t="str">
            <v>КУПАТЫ КЛАССИЧЕСКИЕ ПМ мгс 1/320 4шт.охл</v>
          </cell>
          <cell r="D704" t="str">
            <v>ШТ</v>
          </cell>
          <cell r="E704" t="str">
            <v>Мясо охл</v>
          </cell>
          <cell r="F704" t="str">
            <v>ОПФ Купаты Чевапчичи</v>
          </cell>
          <cell r="G704" t="str">
            <v>Папа может</v>
          </cell>
          <cell r="H704" t="str">
            <v>ОМПК (Г)</v>
          </cell>
          <cell r="I704" t="str">
            <v>ТУ 10.13.14-151-00425283-2025</v>
          </cell>
          <cell r="J704" t="str">
            <v>Мясной полуфабрикат рубленый формованный охлажденный категории В.</v>
          </cell>
          <cell r="K704" t="str">
            <v>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v>
          </cell>
          <cell r="L704">
            <v>11</v>
          </cell>
          <cell r="M704">
            <v>16</v>
          </cell>
          <cell r="N704">
            <v>1</v>
          </cell>
          <cell r="O704" t="str">
            <v>192/796</v>
          </cell>
          <cell r="P704" t="str">
            <v>0…+4</v>
          </cell>
          <cell r="Q704">
            <v>17</v>
          </cell>
        </row>
        <row r="705">
          <cell r="B705">
            <v>1003174105584</v>
          </cell>
          <cell r="C705" t="str">
            <v>КУП.МЯСНЫЕ  Д/ЖАР.И ГРИЛЯ мгс 1/320 охл.</v>
          </cell>
          <cell r="D705" t="str">
            <v>ШТ</v>
          </cell>
          <cell r="E705" t="str">
            <v>Мясо охл</v>
          </cell>
          <cell r="F705" t="str">
            <v>ОПФ Купаты Чевапчичи</v>
          </cell>
          <cell r="G705" t="str">
            <v>Останкино</v>
          </cell>
          <cell r="H705" t="str">
            <v>ОМПК (Г)</v>
          </cell>
          <cell r="I705" t="str">
            <v>ТУ 10.13.14-151-00425283-2025</v>
          </cell>
          <cell r="J705" t="str">
            <v>Мясной полуфабрикат рубленый формованный охлажденный категории Б.</v>
          </cell>
          <cell r="K705" t="str">
            <v>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v>
          </cell>
          <cell r="L705">
            <v>13</v>
          </cell>
          <cell r="M705">
            <v>24</v>
          </cell>
          <cell r="N705">
            <v>1</v>
          </cell>
          <cell r="O705" t="str">
            <v>272/1126</v>
          </cell>
          <cell r="P705" t="str">
            <v>0…+4</v>
          </cell>
          <cell r="Q705">
            <v>17</v>
          </cell>
        </row>
        <row r="706">
          <cell r="B706">
            <v>1003334107265</v>
          </cell>
          <cell r="C706" t="str">
            <v>КУП.МЯСН.Д/ЖАР.И ГРИЛЯ мгс 1/400 охл/AN</v>
          </cell>
          <cell r="D706" t="str">
            <v>ШТ</v>
          </cell>
          <cell r="E706" t="str">
            <v>Мясо охл</v>
          </cell>
          <cell r="F706" t="str">
            <v>ОПФ Купаты Чевапчичи</v>
          </cell>
          <cell r="G706" t="str">
            <v>Останкино</v>
          </cell>
          <cell r="H706" t="str">
            <v>ОМПК (Г)</v>
          </cell>
          <cell r="I706" t="str">
            <v>ТУ 10.13.14-151-00425283-2025</v>
          </cell>
          <cell r="J706" t="str">
            <v>Мясной полуфабрикат рубленый формованный охлажденный категории Б.</v>
          </cell>
          <cell r="K706" t="str">
            <v>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трифосфаты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v>
          </cell>
          <cell r="L706">
            <v>13</v>
          </cell>
          <cell r="M706">
            <v>24</v>
          </cell>
          <cell r="N706">
            <v>1</v>
          </cell>
          <cell r="O706" t="str">
            <v>272/1126</v>
          </cell>
          <cell r="P706" t="str">
            <v>0…+4</v>
          </cell>
          <cell r="Q706">
            <v>17</v>
          </cell>
        </row>
        <row r="707">
          <cell r="B707">
            <v>1003337177450</v>
          </cell>
          <cell r="C707" t="str">
            <v>КУПАТЫ ЭКСТРА Останкино мгс 0.4кг охл.</v>
          </cell>
          <cell r="D707" t="str">
            <v>ШТ</v>
          </cell>
          <cell r="E707" t="str">
            <v>Мясо охл</v>
          </cell>
          <cell r="F707" t="str">
            <v>ОПФ Купаты Чевапчичи</v>
          </cell>
          <cell r="G707" t="str">
            <v>Останкино</v>
          </cell>
          <cell r="H707" t="str">
            <v>ОМПК (Г)</v>
          </cell>
          <cell r="I707" t="str">
            <v>ТУ 10.13.14-151-00425283-2025</v>
          </cell>
          <cell r="J707" t="str">
            <v>Мясной полуфабрикат рубленый формованный охлажденный категории В.</v>
          </cell>
          <cell r="K707" t="str">
            <v>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v>
          </cell>
          <cell r="L707">
            <v>11</v>
          </cell>
          <cell r="M707">
            <v>16</v>
          </cell>
          <cell r="N707">
            <v>1</v>
          </cell>
          <cell r="O707" t="str">
            <v>192/796</v>
          </cell>
          <cell r="P707" t="str">
            <v>0…+4</v>
          </cell>
          <cell r="Q707">
            <v>17</v>
          </cell>
        </row>
        <row r="708">
          <cell r="B708">
            <v>1003173556851</v>
          </cell>
          <cell r="C708" t="str">
            <v>КОЛБАСКИ ДЛЯ ГРИЛЯ мгс 0.32кг 4шт.охл.</v>
          </cell>
          <cell r="D708" t="str">
            <v>ШТ</v>
          </cell>
          <cell r="E708" t="str">
            <v>Мясо охл</v>
          </cell>
          <cell r="F708" t="str">
            <v>ОПФ Купаты Чевапчичи</v>
          </cell>
          <cell r="G708" t="str">
            <v>Останкино</v>
          </cell>
          <cell r="H708" t="str">
            <v>ОМПК (Г)</v>
          </cell>
          <cell r="I708" t="str">
            <v>ТУ 10.13.14-152-00425283-2018</v>
          </cell>
          <cell r="J708" t="str">
            <v>Полуфабрикат мясной рубленый охлажденный категории Б.</v>
          </cell>
          <cell r="K708" t="str">
            <v>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v>
          </cell>
          <cell r="L708">
            <v>15</v>
          </cell>
          <cell r="M708">
            <v>20</v>
          </cell>
          <cell r="O708" t="str">
            <v>240/995</v>
          </cell>
          <cell r="P708" t="str">
            <v>0…+4</v>
          </cell>
          <cell r="Q708">
            <v>14</v>
          </cell>
        </row>
        <row r="709">
          <cell r="B709">
            <v>1003173616884</v>
          </cell>
          <cell r="C709" t="str">
            <v>КОЛБАСКИ ДЛЯ ЖАРКИ мгс 0.4кг 4шт.охл.</v>
          </cell>
          <cell r="D709" t="str">
            <v>ШТ</v>
          </cell>
          <cell r="E709" t="str">
            <v>Мясо охл</v>
          </cell>
          <cell r="F709" t="str">
            <v>ОПФ Купаты Чевапчичи</v>
          </cell>
          <cell r="G709" t="str">
            <v>Коровино</v>
          </cell>
          <cell r="H709" t="str">
            <v>ОМПК (Г)</v>
          </cell>
          <cell r="I709" t="str">
            <v>ТУ 10.13.14-152-00425283-2018</v>
          </cell>
          <cell r="J709" t="str">
            <v>Полуфабрикат мясной рубленый охлажденный категории Б.</v>
          </cell>
          <cell r="K709" t="str">
            <v>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v>
          </cell>
          <cell r="L709">
            <v>15</v>
          </cell>
          <cell r="M709">
            <v>20</v>
          </cell>
          <cell r="O709" t="str">
            <v>240/995</v>
          </cell>
          <cell r="P709" t="str">
            <v>0…+4</v>
          </cell>
          <cell r="Q709">
            <v>12</v>
          </cell>
        </row>
        <row r="710">
          <cell r="B710">
            <v>1003172906850</v>
          </cell>
          <cell r="C710" t="str">
            <v>КУПАТЫ СОЧНЫЕ мгс 0.4кг охл_ФМ/СТМ</v>
          </cell>
          <cell r="D710" t="str">
            <v>ШТ</v>
          </cell>
          <cell r="E710" t="str">
            <v>Мясо охл</v>
          </cell>
          <cell r="F710" t="str">
            <v>ОПФ Купаты Чевапчичи</v>
          </cell>
          <cell r="G710" t="str">
            <v>СТМ</v>
          </cell>
          <cell r="H710" t="str">
            <v>ОМПК (Г)</v>
          </cell>
          <cell r="I710" t="str">
            <v>ТУ 10.13.14-152-00425283-2018</v>
          </cell>
          <cell r="J710" t="str">
            <v>Полуфабрикат мясной рубленый охлажденный категории В.</v>
          </cell>
          <cell r="K710" t="str">
            <v>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v>
          </cell>
          <cell r="L710">
            <v>10</v>
          </cell>
          <cell r="M710">
            <v>30</v>
          </cell>
          <cell r="O710" t="str">
            <v>310/1280</v>
          </cell>
          <cell r="P710" t="str">
            <v>0…+4</v>
          </cell>
          <cell r="Q710">
            <v>12</v>
          </cell>
        </row>
        <row r="711">
          <cell r="B711">
            <v>1003174025305</v>
          </cell>
          <cell r="C711" t="str">
            <v>КУПАТЫ ФИРМЕННЫЕ мгс 0.4*4 охл_Х5/СТМ</v>
          </cell>
          <cell r="D711" t="str">
            <v>ШТ</v>
          </cell>
          <cell r="E711" t="str">
            <v>Мясо охл</v>
          </cell>
          <cell r="F711" t="str">
            <v>ОПФ Купаты Чевапчичи</v>
          </cell>
          <cell r="G711" t="str">
            <v>СТМ</v>
          </cell>
          <cell r="H711" t="str">
            <v>ОМПК (Г)</v>
          </cell>
          <cell r="I711" t="str">
            <v>ТУ 10.13.14-151-00425283-2025</v>
          </cell>
          <cell r="J711" t="str">
            <v>Полуфабрикат мясной рубленый формованный охлажденный категории Б.</v>
          </cell>
          <cell r="K711" t="str">
            <v>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v>
          </cell>
          <cell r="L711">
            <v>13</v>
          </cell>
          <cell r="M711">
            <v>23</v>
          </cell>
          <cell r="N711">
            <v>1</v>
          </cell>
          <cell r="O711" t="str">
            <v>263/1089</v>
          </cell>
          <cell r="P711" t="str">
            <v>0…+4</v>
          </cell>
          <cell r="Q711">
            <v>15</v>
          </cell>
        </row>
        <row r="712">
          <cell r="B712">
            <v>1003171355439</v>
          </cell>
          <cell r="C712" t="str">
            <v>ВЫРЕЗКА СВИНАЯ кр/к в/у охл.</v>
          </cell>
          <cell r="D712" t="str">
            <v>КГ</v>
          </cell>
          <cell r="E712" t="str">
            <v>Мясо охл</v>
          </cell>
          <cell r="F712" t="str">
            <v>ОПФ Кусковые</v>
          </cell>
          <cell r="G712" t="str">
            <v>Останкино</v>
          </cell>
          <cell r="H712" t="str">
            <v>ОМПК (Г)</v>
          </cell>
          <cell r="I712" t="str">
            <v>ТУ 10.13.14-151-00425283-2025</v>
          </cell>
          <cell r="J712" t="str">
            <v>Мясной полуфабрикат крупнокусковой бескостный охлажденный из свинины категории А</v>
          </cell>
          <cell r="K712" t="str">
            <v>свинина</v>
          </cell>
          <cell r="L712">
            <v>21</v>
          </cell>
          <cell r="M712">
            <v>5</v>
          </cell>
          <cell r="N712">
            <v>0</v>
          </cell>
          <cell r="O712" t="str">
            <v>129/542</v>
          </cell>
          <cell r="P712" t="str">
            <v>0…+4</v>
          </cell>
          <cell r="Q712">
            <v>21</v>
          </cell>
        </row>
        <row r="713">
          <cell r="B713">
            <v>1003171355350</v>
          </cell>
          <cell r="C713" t="str">
            <v>ВЫРЕЗКА СВИНАЯ кр/к в/у (1*2) охл_М</v>
          </cell>
          <cell r="D713" t="str">
            <v>КГ</v>
          </cell>
          <cell r="E713" t="str">
            <v>Мясо охл</v>
          </cell>
          <cell r="F713" t="str">
            <v>ОПФ Кусковые</v>
          </cell>
          <cell r="G713" t="str">
            <v>Останкино</v>
          </cell>
          <cell r="H713" t="str">
            <v>ОМПК (Г)</v>
          </cell>
          <cell r="I713" t="str">
            <v>ТУ 10.13.14-151-00425283-2025</v>
          </cell>
          <cell r="J713" t="str">
            <v>Мясной полуфабрикат крупнокусковой бескостный охлажденный из свинины категории А</v>
          </cell>
          <cell r="K713" t="str">
            <v>свинина</v>
          </cell>
          <cell r="L713">
            <v>21</v>
          </cell>
          <cell r="M713">
            <v>5</v>
          </cell>
          <cell r="N713">
            <v>0</v>
          </cell>
          <cell r="O713" t="str">
            <v>129/542</v>
          </cell>
          <cell r="P713" t="str">
            <v>0…+4</v>
          </cell>
          <cell r="Q713">
            <v>21</v>
          </cell>
        </row>
        <row r="714">
          <cell r="B714">
            <v>1003171356416</v>
          </cell>
          <cell r="C714" t="str">
            <v>ВЫРЕЗКА СВИНАЯ кр/к в/у охл_Л</v>
          </cell>
          <cell r="D714" t="str">
            <v>КГ</v>
          </cell>
          <cell r="E714" t="str">
            <v>Мясо охл</v>
          </cell>
          <cell r="F714" t="str">
            <v>ОПФ Кусковые</v>
          </cell>
          <cell r="G714" t="str">
            <v>Останкино</v>
          </cell>
          <cell r="H714" t="str">
            <v>ОМПК (Г)</v>
          </cell>
          <cell r="I714" t="str">
            <v>ТУ 10.13.14-151-00425283-2025</v>
          </cell>
          <cell r="J714" t="str">
            <v>Мясной полуфабрикат крупнокусковой бескостный охлажденный из свинины категории А</v>
          </cell>
          <cell r="K714" t="str">
            <v>свинина</v>
          </cell>
          <cell r="L714">
            <v>21</v>
          </cell>
          <cell r="M714">
            <v>5</v>
          </cell>
          <cell r="N714">
            <v>0</v>
          </cell>
          <cell r="O714" t="str">
            <v>129/542</v>
          </cell>
          <cell r="P714" t="str">
            <v>0…+4</v>
          </cell>
          <cell r="Q714">
            <v>21</v>
          </cell>
        </row>
        <row r="715">
          <cell r="B715">
            <v>1003171355348</v>
          </cell>
          <cell r="C715" t="str">
            <v>ВЫРЕЗКА СВИНАЯ кр/к в/у (1*2) охл_Т</v>
          </cell>
          <cell r="D715" t="str">
            <v>КГ</v>
          </cell>
          <cell r="E715" t="str">
            <v>Мясо охл</v>
          </cell>
          <cell r="F715" t="str">
            <v>ОПФ Кусковые</v>
          </cell>
          <cell r="G715" t="str">
            <v>Останкино</v>
          </cell>
          <cell r="H715" t="str">
            <v>ОМПК (Г)</v>
          </cell>
          <cell r="I715" t="str">
            <v>ТУ 10.13.14-151-00425283-2025</v>
          </cell>
          <cell r="J715" t="str">
            <v>Мясной полуфабрикат крупнокусковой бескостный охлажденный из свинины категории А</v>
          </cell>
          <cell r="K715" t="str">
            <v>свинина</v>
          </cell>
          <cell r="L715">
            <v>21</v>
          </cell>
          <cell r="M715">
            <v>5</v>
          </cell>
          <cell r="N715">
            <v>0</v>
          </cell>
          <cell r="O715" t="str">
            <v>129/542</v>
          </cell>
          <cell r="P715" t="str">
            <v>0…+4</v>
          </cell>
          <cell r="Q715">
            <v>21</v>
          </cell>
        </row>
        <row r="716">
          <cell r="B716">
            <v>1003171415358</v>
          </cell>
          <cell r="C716" t="str">
            <v>ГРУДИНКА СВИНАЯ б/к кр/к в/у охл.</v>
          </cell>
          <cell r="D716" t="str">
            <v>КГ</v>
          </cell>
          <cell r="E716" t="str">
            <v>Мясо охл</v>
          </cell>
          <cell r="F716" t="str">
            <v>ОПФ Кусковые</v>
          </cell>
          <cell r="G716" t="str">
            <v>Останкино</v>
          </cell>
          <cell r="H716" t="str">
            <v>ОМПК (Г)</v>
          </cell>
          <cell r="I716" t="str">
            <v>ТУ 10.13.14-151-00425283-2025</v>
          </cell>
          <cell r="J716" t="str">
            <v>Мясной полуфабрикат крупнокусковой бескостный охлажденный из свинины категории Б</v>
          </cell>
          <cell r="K716" t="str">
            <v>свинина</v>
          </cell>
          <cell r="L716">
            <v>14</v>
          </cell>
          <cell r="M716">
            <v>35</v>
          </cell>
          <cell r="N716">
            <v>0</v>
          </cell>
          <cell r="O716" t="str">
            <v>371/1533</v>
          </cell>
          <cell r="P716" t="str">
            <v>0…+4</v>
          </cell>
          <cell r="Q716">
            <v>21</v>
          </cell>
        </row>
        <row r="717">
          <cell r="B717">
            <v>1003171415750</v>
          </cell>
          <cell r="C717" t="str">
            <v>ГРУДИНКА СВИНАЯ б/к кр/к в/у охл_Л</v>
          </cell>
          <cell r="D717" t="str">
            <v>КГ</v>
          </cell>
          <cell r="E717" t="str">
            <v>Мясо охл</v>
          </cell>
          <cell r="F717" t="str">
            <v>ОПФ Кусковые</v>
          </cell>
          <cell r="G717" t="str">
            <v>Останкино</v>
          </cell>
          <cell r="H717" t="str">
            <v>ОМПК (Г)</v>
          </cell>
          <cell r="I717" t="str">
            <v>ТУ 10.13.14-151-00425283-2025</v>
          </cell>
          <cell r="J717" t="str">
            <v>Мясной полуфабрикат крупнокусковой бескостный охлажденный из свинины категории Б</v>
          </cell>
          <cell r="K717" t="str">
            <v>свинина</v>
          </cell>
          <cell r="L717">
            <v>14</v>
          </cell>
          <cell r="M717">
            <v>35</v>
          </cell>
          <cell r="N717">
            <v>0</v>
          </cell>
          <cell r="O717" t="str">
            <v>371/1533</v>
          </cell>
          <cell r="P717" t="str">
            <v>0…+4</v>
          </cell>
          <cell r="Q717">
            <v>21</v>
          </cell>
        </row>
        <row r="718">
          <cell r="B718">
            <v>1003171415357</v>
          </cell>
          <cell r="C718" t="str">
            <v>ГРУДИНКА СВИНАЯ б/к кр/к в/у охл_Окей</v>
          </cell>
          <cell r="D718" t="str">
            <v>КГ</v>
          </cell>
          <cell r="E718" t="str">
            <v>Мясо охл</v>
          </cell>
          <cell r="F718" t="str">
            <v>ОПФ Кусковые</v>
          </cell>
          <cell r="G718" t="str">
            <v>Останкино</v>
          </cell>
          <cell r="H718" t="str">
            <v>ОМПК (Г)</v>
          </cell>
          <cell r="I718" t="str">
            <v>ТУ 10.13.14-151-00425283-2025</v>
          </cell>
          <cell r="J718" t="str">
            <v>Мясной полуфабрикат крупнокусковой бескостный охлажденный из свинины категории Б</v>
          </cell>
          <cell r="K718" t="str">
            <v>свинина</v>
          </cell>
          <cell r="L718">
            <v>14</v>
          </cell>
          <cell r="M718">
            <v>35</v>
          </cell>
          <cell r="N718">
            <v>0</v>
          </cell>
          <cell r="O718" t="str">
            <v>371/1533</v>
          </cell>
          <cell r="P718" t="str">
            <v>0…+4</v>
          </cell>
          <cell r="Q718">
            <v>21</v>
          </cell>
        </row>
        <row r="719">
          <cell r="B719">
            <v>1003171416183</v>
          </cell>
          <cell r="C719" t="str">
            <v>ГРУДИНКА СВИНАЯ б/к кр/к в/у охл_Ашан</v>
          </cell>
          <cell r="D719" t="str">
            <v>КГ</v>
          </cell>
          <cell r="E719" t="str">
            <v>Мясо охл</v>
          </cell>
          <cell r="F719" t="str">
            <v>ОПФ Кусковые</v>
          </cell>
          <cell r="G719" t="str">
            <v>Останкино</v>
          </cell>
          <cell r="H719" t="str">
            <v>ОМПК (Г)</v>
          </cell>
          <cell r="I719" t="str">
            <v>ТУ 10.13.14-151-00425283-2025</v>
          </cell>
          <cell r="J719" t="str">
            <v>Мясной полуфабрикат крупнокусковой бескостный охлажденный из свинины категории Б</v>
          </cell>
          <cell r="K719" t="str">
            <v>свинина</v>
          </cell>
          <cell r="L719">
            <v>14</v>
          </cell>
          <cell r="M719">
            <v>35</v>
          </cell>
          <cell r="N719">
            <v>0</v>
          </cell>
          <cell r="O719" t="str">
            <v>371/1533</v>
          </cell>
          <cell r="P719" t="str">
            <v>0…+4</v>
          </cell>
          <cell r="Q719">
            <v>21</v>
          </cell>
        </row>
        <row r="720">
          <cell r="B720">
            <v>1003171416553</v>
          </cell>
          <cell r="C720" t="str">
            <v>ГРУДИНКА СВИНАЯ б/к кр/к в/у охл_Х5</v>
          </cell>
          <cell r="D720" t="str">
            <v>КГ</v>
          </cell>
          <cell r="E720" t="str">
            <v>Мясо охл</v>
          </cell>
          <cell r="F720" t="str">
            <v>ОПФ Кусковые</v>
          </cell>
          <cell r="G720" t="str">
            <v>Останкино</v>
          </cell>
          <cell r="H720" t="str">
            <v>ОМПК (Г)</v>
          </cell>
          <cell r="I720" t="str">
            <v>ТУ 10.13.14-151-00425283-2025</v>
          </cell>
          <cell r="J720" t="str">
            <v>Мясной полуфабрикат крупнокусковой бескостный охлажденный из свинины категории Б</v>
          </cell>
          <cell r="K720" t="str">
            <v>свинина</v>
          </cell>
          <cell r="L720">
            <v>14</v>
          </cell>
          <cell r="M720">
            <v>35</v>
          </cell>
          <cell r="N720">
            <v>0</v>
          </cell>
          <cell r="O720" t="str">
            <v>371/1533</v>
          </cell>
          <cell r="P720" t="str">
            <v>0…+4</v>
          </cell>
          <cell r="Q720">
            <v>21</v>
          </cell>
        </row>
        <row r="721">
          <cell r="B721">
            <v>1003171455365</v>
          </cell>
          <cell r="C721" t="str">
            <v>КАРБОНАД СВИНОЙ кр/к в/у TF охл_Лента</v>
          </cell>
          <cell r="D721" t="str">
            <v>КГ</v>
          </cell>
          <cell r="E721" t="str">
            <v>Мясо охл</v>
          </cell>
          <cell r="F721" t="str">
            <v>ОПФ Кусковые</v>
          </cell>
          <cell r="G721" t="str">
            <v>Останкино</v>
          </cell>
          <cell r="H721" t="str">
            <v>ОМПК (Г)</v>
          </cell>
          <cell r="I721" t="str">
            <v>ТУ 10.13.14-151-00425283-2025</v>
          </cell>
          <cell r="J721" t="str">
            <v>Мясной полуфабрикат крупнокусковой бескостный охлажденный из свинины категории А</v>
          </cell>
          <cell r="K721" t="str">
            <v>свинина</v>
          </cell>
          <cell r="L721">
            <v>19</v>
          </cell>
          <cell r="M721">
            <v>12</v>
          </cell>
          <cell r="N721">
            <v>0</v>
          </cell>
          <cell r="O721" t="str">
            <v>184/767</v>
          </cell>
          <cell r="P721" t="str">
            <v>0…+4</v>
          </cell>
          <cell r="Q721">
            <v>21</v>
          </cell>
        </row>
        <row r="722">
          <cell r="B722">
            <v>1003171456184</v>
          </cell>
          <cell r="C722" t="str">
            <v>КАРБОНАД СВИНОЙ кр/к в/у TF охл_Т</v>
          </cell>
          <cell r="D722" t="str">
            <v>КГ</v>
          </cell>
          <cell r="E722" t="str">
            <v>Мясо охл</v>
          </cell>
          <cell r="F722" t="str">
            <v>ОПФ Кусковые</v>
          </cell>
          <cell r="G722" t="str">
            <v>Останкино</v>
          </cell>
          <cell r="H722" t="str">
            <v>ОМПК (Г)</v>
          </cell>
          <cell r="I722" t="str">
            <v>ТУ 10.13.14-151-00425283-2025</v>
          </cell>
          <cell r="J722" t="str">
            <v>Мясной полуфабрикат крупнокусковой бескостный охлажденный из свинины категории А</v>
          </cell>
          <cell r="K722" t="str">
            <v>свинина</v>
          </cell>
          <cell r="L722">
            <v>19</v>
          </cell>
          <cell r="M722">
            <v>12</v>
          </cell>
          <cell r="N722">
            <v>0</v>
          </cell>
          <cell r="O722" t="str">
            <v>184/767</v>
          </cell>
          <cell r="P722" t="str">
            <v>0…+4</v>
          </cell>
          <cell r="Q722">
            <v>21</v>
          </cell>
        </row>
        <row r="723">
          <cell r="B723">
            <v>1003171456496</v>
          </cell>
          <cell r="C723" t="str">
            <v>КАРБОНАД СВИНОЙ кр/к в/у TF охл_М</v>
          </cell>
          <cell r="D723" t="str">
            <v>КГ</v>
          </cell>
          <cell r="E723" t="str">
            <v>Мясо охл</v>
          </cell>
          <cell r="F723" t="str">
            <v>ОПФ Кусковые</v>
          </cell>
          <cell r="G723" t="str">
            <v>Останкино</v>
          </cell>
          <cell r="H723" t="str">
            <v>ОМПК (Г)</v>
          </cell>
          <cell r="I723" t="str">
            <v>ТУ 10.13.14-151-00425283-2025</v>
          </cell>
          <cell r="J723" t="str">
            <v>Мясной полуфабрикат крупнокусковой бескостный охлажденный из свинины категории А</v>
          </cell>
          <cell r="K723" t="str">
            <v>свинина</v>
          </cell>
          <cell r="L723">
            <v>19</v>
          </cell>
          <cell r="M723">
            <v>12</v>
          </cell>
          <cell r="N723">
            <v>0</v>
          </cell>
          <cell r="O723" t="str">
            <v>184/767</v>
          </cell>
          <cell r="P723" t="str">
            <v>0…+4</v>
          </cell>
          <cell r="Q723">
            <v>21</v>
          </cell>
        </row>
        <row r="724">
          <cell r="B724">
            <v>1003311457532</v>
          </cell>
          <cell r="C724" t="str">
            <v>КАРБОНАД СВИНОЙ кр/к в/у охл._В1</v>
          </cell>
          <cell r="D724" t="str">
            <v>КГ</v>
          </cell>
          <cell r="E724" t="str">
            <v>Мясо охл</v>
          </cell>
          <cell r="F724" t="str">
            <v>ОПФ Кусковые</v>
          </cell>
          <cell r="G724" t="str">
            <v>СТМ</v>
          </cell>
          <cell r="H724" t="str">
            <v>ОМПК (Г)</v>
          </cell>
          <cell r="I724" t="str">
            <v>ТУ 10.13.14-151-00425283-2025</v>
          </cell>
          <cell r="J724" t="str">
            <v>Мясной полуфабрикат крупнокусковой бескостный охлажденный из свинины категории А</v>
          </cell>
          <cell r="K724" t="str">
            <v>свинина</v>
          </cell>
          <cell r="L724">
            <v>19</v>
          </cell>
          <cell r="M724">
            <v>12</v>
          </cell>
          <cell r="N724">
            <v>0</v>
          </cell>
          <cell r="O724" t="str">
            <v>184/767</v>
          </cell>
          <cell r="P724" t="str">
            <v>0…+4</v>
          </cell>
          <cell r="Q724">
            <v>21</v>
          </cell>
        </row>
        <row r="725">
          <cell r="B725">
            <v>1003171595406</v>
          </cell>
          <cell r="C725" t="str">
            <v>РЕБРЫШКИ СВИНЫЕ мгс охл_Х5</v>
          </cell>
          <cell r="D725" t="str">
            <v>КГ</v>
          </cell>
          <cell r="E725" t="str">
            <v>Мясо охл</v>
          </cell>
          <cell r="F725" t="str">
            <v>ОПФ Нарезные</v>
          </cell>
          <cell r="G725" t="str">
            <v>Останкино</v>
          </cell>
          <cell r="H725" t="str">
            <v>ОМПК (Г)</v>
          </cell>
          <cell r="I725" t="str">
            <v>ТУ 10.13.14-151-00425283-2018</v>
          </cell>
          <cell r="J725" t="str">
            <v>Мясной полуфабрикат мясокостный мелкокусковой охлажденный из свинины категории Б.</v>
          </cell>
          <cell r="K725" t="str">
            <v>свинина на кости</v>
          </cell>
          <cell r="L725">
            <v>17</v>
          </cell>
          <cell r="M725">
            <v>19</v>
          </cell>
          <cell r="N725">
            <v>0</v>
          </cell>
          <cell r="O725" t="str">
            <v>239/992</v>
          </cell>
          <cell r="P725" t="str">
            <v>0…+4</v>
          </cell>
          <cell r="Q725">
            <v>8</v>
          </cell>
        </row>
        <row r="726">
          <cell r="B726">
            <v>1003321596895</v>
          </cell>
          <cell r="C726" t="str">
            <v>РЕБРЫШКИ СВИНЫЕ мгс охл_Х5/СТМ ХК</v>
          </cell>
          <cell r="D726" t="str">
            <v>КГ</v>
          </cell>
          <cell r="E726" t="str">
            <v>Мясо охл</v>
          </cell>
          <cell r="F726" t="str">
            <v>ОПФ Нарезные</v>
          </cell>
          <cell r="G726" t="str">
            <v>СТМ</v>
          </cell>
          <cell r="H726" t="str">
            <v>ОМПК (Г)</v>
          </cell>
          <cell r="I726" t="str">
            <v>ТУ 10.13.14-151-00425283-2018</v>
          </cell>
          <cell r="J726" t="str">
            <v>Полуфабрикат охлажденный из свинины мелкокусковой мясокостный категории Б.</v>
          </cell>
          <cell r="K726" t="str">
            <v>свинина на кости</v>
          </cell>
          <cell r="L726">
            <v>13</v>
          </cell>
          <cell r="M726">
            <v>31</v>
          </cell>
          <cell r="O726" t="str">
            <v>331/1368</v>
          </cell>
          <cell r="P726" t="str">
            <v>0…+4</v>
          </cell>
          <cell r="Q726">
            <v>8</v>
          </cell>
        </row>
        <row r="727">
          <cell r="B727">
            <v>1003171625408</v>
          </cell>
          <cell r="C727" t="str">
            <v>РУЛЬКА СВИНАЯ в/у охл.</v>
          </cell>
          <cell r="D727" t="str">
            <v>КГ</v>
          </cell>
          <cell r="E727" t="str">
            <v>Мясо охл</v>
          </cell>
          <cell r="F727" t="str">
            <v>ОПФ Кусковые</v>
          </cell>
          <cell r="G727" t="str">
            <v>Останкино</v>
          </cell>
          <cell r="H727" t="str">
            <v>ОМПК (Г)</v>
          </cell>
          <cell r="I727" t="str">
            <v>ТУ 10.13.14-151-00425283-2018</v>
          </cell>
          <cell r="J727" t="str">
            <v>Полуфабрикат охлажденный из свинины крупнокусковой мясокостный категории Б.</v>
          </cell>
          <cell r="K727" t="str">
            <v>свинина на кости</v>
          </cell>
          <cell r="L727">
            <v>20</v>
          </cell>
          <cell r="M727">
            <v>15</v>
          </cell>
          <cell r="O727" t="str">
            <v>215/895</v>
          </cell>
          <cell r="P727" t="str">
            <v>0…+4</v>
          </cell>
          <cell r="Q727">
            <v>17</v>
          </cell>
        </row>
        <row r="728">
          <cell r="B728">
            <v>1003171626419</v>
          </cell>
          <cell r="C728" t="str">
            <v>РУЛЬКА СВИНАЯ в/у охл_Ашан</v>
          </cell>
          <cell r="D728" t="str">
            <v>КГ</v>
          </cell>
          <cell r="E728" t="str">
            <v>Мясо охл</v>
          </cell>
          <cell r="F728" t="str">
            <v>ОПФ Кусковые</v>
          </cell>
          <cell r="G728" t="str">
            <v>Останкино</v>
          </cell>
          <cell r="H728" t="str">
            <v>ОМПК (Г)</v>
          </cell>
          <cell r="I728" t="str">
            <v>ТУ 10.13.14-151-00425283-2018</v>
          </cell>
          <cell r="J728" t="str">
            <v>Полуфабрикат охлажденный из свинины крупнокусковой мясокостный категории Б.</v>
          </cell>
          <cell r="K728" t="str">
            <v>свинина на кости</v>
          </cell>
          <cell r="L728">
            <v>20</v>
          </cell>
          <cell r="M728">
            <v>15</v>
          </cell>
          <cell r="O728" t="str">
            <v>215/895</v>
          </cell>
          <cell r="P728" t="str">
            <v>0…+4</v>
          </cell>
          <cell r="Q728">
            <v>17</v>
          </cell>
        </row>
        <row r="729">
          <cell r="B729">
            <v>1003171625751</v>
          </cell>
          <cell r="C729" t="str">
            <v>РУЛЬКА СВИНАЯ в/у охл_Окей</v>
          </cell>
          <cell r="D729" t="str">
            <v>КГ</v>
          </cell>
          <cell r="E729" t="str">
            <v>Мясо охл</v>
          </cell>
          <cell r="F729" t="str">
            <v>ОПФ Кусковые</v>
          </cell>
          <cell r="G729" t="str">
            <v>Останкино</v>
          </cell>
          <cell r="H729" t="str">
            <v>ОМПК (Г)</v>
          </cell>
          <cell r="I729" t="str">
            <v>ТУ 10.13.14-151-00425283-2018</v>
          </cell>
          <cell r="J729" t="str">
            <v>Полуфабрикат охлажденный из свинины крупнокусковой мясокостный категории Б.</v>
          </cell>
          <cell r="K729" t="str">
            <v>свинина на кости</v>
          </cell>
          <cell r="L729">
            <v>20</v>
          </cell>
          <cell r="M729">
            <v>15</v>
          </cell>
          <cell r="O729" t="str">
            <v>215/895</v>
          </cell>
          <cell r="P729" t="str">
            <v>0…+4</v>
          </cell>
          <cell r="Q729">
            <v>17</v>
          </cell>
        </row>
        <row r="730">
          <cell r="B730">
            <v>1003171735429</v>
          </cell>
          <cell r="C730" t="str">
            <v>ШЕЙКА СВИНАЯ(нарезка) мгс охл.</v>
          </cell>
          <cell r="D730" t="str">
            <v>КГ</v>
          </cell>
          <cell r="E730" t="str">
            <v>Мясо охл</v>
          </cell>
          <cell r="F730" t="str">
            <v>ОПФ Нарезные</v>
          </cell>
          <cell r="G730" t="str">
            <v>Останкино</v>
          </cell>
          <cell r="H730" t="str">
            <v>ОМПК (Г)</v>
          </cell>
          <cell r="I730" t="str">
            <v>ТУ 10.13.14-151-00425283-2025</v>
          </cell>
          <cell r="J730" t="str">
            <v>Мясной полуфабрикат бескостный мелкокусковой охлажденный из свинины категории А.</v>
          </cell>
          <cell r="K730" t="str">
            <v>свинина</v>
          </cell>
          <cell r="L730">
            <v>17</v>
          </cell>
          <cell r="M730">
            <v>16</v>
          </cell>
          <cell r="N730">
            <v>0</v>
          </cell>
          <cell r="O730" t="str">
            <v>212/881</v>
          </cell>
          <cell r="P730" t="str">
            <v>0…+4</v>
          </cell>
          <cell r="Q730">
            <v>12</v>
          </cell>
        </row>
        <row r="731">
          <cell r="B731">
            <v>1003171736185</v>
          </cell>
          <cell r="C731" t="str">
            <v>ШЕЙКА СВИНАЯ кр/к в/у TF охл_Т</v>
          </cell>
          <cell r="D731" t="str">
            <v>КГ</v>
          </cell>
          <cell r="E731" t="str">
            <v>Мясо охл</v>
          </cell>
          <cell r="F731" t="str">
            <v>ОПФ Кусковые</v>
          </cell>
          <cell r="G731" t="str">
            <v>Останкино</v>
          </cell>
          <cell r="H731" t="str">
            <v>ОМПК (Г)</v>
          </cell>
          <cell r="I731" t="str">
            <v>ТУ 10.13.14-151-00425283-2025</v>
          </cell>
          <cell r="J731" t="str">
            <v>Мясной полуфабрикат бескостный крупнокусковой охлажденный из свинины категории А.</v>
          </cell>
          <cell r="K731" t="str">
            <v>свинина</v>
          </cell>
          <cell r="L731">
            <v>16</v>
          </cell>
          <cell r="M731">
            <v>18</v>
          </cell>
          <cell r="N731">
            <v>0</v>
          </cell>
          <cell r="O731" t="str">
            <v>226/938</v>
          </cell>
          <cell r="P731" t="str">
            <v>0…+4</v>
          </cell>
          <cell r="Q731">
            <v>21</v>
          </cell>
        </row>
        <row r="732">
          <cell r="B732">
            <v>1003171736497</v>
          </cell>
          <cell r="C732" t="str">
            <v>ШЕЙКА СВИНАЯ кр/к в/у TF охл_М</v>
          </cell>
          <cell r="D732" t="str">
            <v>КГ</v>
          </cell>
          <cell r="E732" t="str">
            <v>Мясо охл</v>
          </cell>
          <cell r="F732" t="str">
            <v>ОПФ Кусковые</v>
          </cell>
          <cell r="G732" t="str">
            <v>Останкино</v>
          </cell>
          <cell r="H732" t="str">
            <v>ОМПК (Г)</v>
          </cell>
          <cell r="I732" t="str">
            <v>ТУ 10.13.14-151-00425283-2025</v>
          </cell>
          <cell r="J732" t="str">
            <v>Мясной полуфабрикат бескостный крупнокусковой охлажденный из свинины категории А.</v>
          </cell>
          <cell r="K732" t="str">
            <v>свинина</v>
          </cell>
          <cell r="L732">
            <v>16</v>
          </cell>
          <cell r="M732">
            <v>18</v>
          </cell>
          <cell r="N732">
            <v>0</v>
          </cell>
          <cell r="O732" t="str">
            <v>226/938</v>
          </cell>
          <cell r="P732" t="str">
            <v>0…+4</v>
          </cell>
          <cell r="Q732">
            <v>21</v>
          </cell>
        </row>
        <row r="733">
          <cell r="B733">
            <v>1003171736526</v>
          </cell>
          <cell r="C733" t="str">
            <v>ШЕЙКА СВИНАЯ кр/к в/у TF охл_Х5</v>
          </cell>
          <cell r="D733" t="str">
            <v>КГ</v>
          </cell>
          <cell r="E733" t="str">
            <v>Мясо охл</v>
          </cell>
          <cell r="F733" t="str">
            <v>ОПФ Кусковые</v>
          </cell>
          <cell r="G733" t="str">
            <v>Останкино</v>
          </cell>
          <cell r="H733" t="str">
            <v>ОМПК (Г)</v>
          </cell>
          <cell r="I733" t="str">
            <v>ТУ 10.13.14-151-00425283-2025</v>
          </cell>
          <cell r="J733" t="str">
            <v>Мясной полуфабрикат бескостный крупнокусковой охлажденный из свинины категории А.</v>
          </cell>
          <cell r="K733" t="str">
            <v>свинина</v>
          </cell>
          <cell r="L733">
            <v>16</v>
          </cell>
          <cell r="M733">
            <v>18</v>
          </cell>
          <cell r="N733">
            <v>0</v>
          </cell>
          <cell r="O733" t="str">
            <v>226/938</v>
          </cell>
          <cell r="P733" t="str">
            <v>0…+4</v>
          </cell>
          <cell r="Q733">
            <v>21</v>
          </cell>
        </row>
        <row r="734">
          <cell r="B734">
            <v>1003171735426</v>
          </cell>
          <cell r="C734" t="str">
            <v>ШЕЙКА СВИНАЯ кр/к в/у TF охл_Л</v>
          </cell>
          <cell r="D734" t="str">
            <v>КГ</v>
          </cell>
          <cell r="E734" t="str">
            <v>Мясо охл</v>
          </cell>
          <cell r="F734" t="str">
            <v>ОПФ Кусковые</v>
          </cell>
          <cell r="G734" t="str">
            <v>Останкино</v>
          </cell>
          <cell r="H734" t="str">
            <v>ОМПК (Г)</v>
          </cell>
          <cell r="I734" t="str">
            <v>ТУ 10.13.14-151-00425283-2025</v>
          </cell>
          <cell r="J734" t="str">
            <v>Мясной полуфабрикат бескостный крупнокусковой охлажденный из свинины категории А.</v>
          </cell>
          <cell r="K734" t="str">
            <v>свинина</v>
          </cell>
          <cell r="L734">
            <v>16</v>
          </cell>
          <cell r="M734">
            <v>18</v>
          </cell>
          <cell r="N734">
            <v>0</v>
          </cell>
          <cell r="O734" t="str">
            <v>226/938</v>
          </cell>
          <cell r="P734" t="str">
            <v>0…+4</v>
          </cell>
          <cell r="Q734">
            <v>21</v>
          </cell>
        </row>
        <row r="735">
          <cell r="B735">
            <v>1003311736896</v>
          </cell>
          <cell r="C735" t="str">
            <v>ШЕЙКА СВИНАЯ кр/к в/у охл_Х5/СТМ ХК</v>
          </cell>
          <cell r="D735" t="str">
            <v>КГ</v>
          </cell>
          <cell r="E735" t="str">
            <v>Мясо охл</v>
          </cell>
          <cell r="F735" t="str">
            <v>ОПФ Кусковые</v>
          </cell>
          <cell r="G735" t="str">
            <v>СТМ</v>
          </cell>
          <cell r="H735" t="str">
            <v>ОМПК (Г)</v>
          </cell>
          <cell r="I735" t="str">
            <v>ТУ 10.13.14-151-00425283-2018</v>
          </cell>
          <cell r="J735" t="str">
            <v>Полуфабрикат охлажденный из свинины крупнокусковой бескостный мясной категории А.</v>
          </cell>
          <cell r="K735" t="str">
            <v>свинина</v>
          </cell>
          <cell r="L735">
            <v>16</v>
          </cell>
          <cell r="M735">
            <v>18</v>
          </cell>
          <cell r="N735">
            <v>0</v>
          </cell>
          <cell r="O735" t="str">
            <v>226/938</v>
          </cell>
          <cell r="P735" t="str">
            <v>0…+4</v>
          </cell>
          <cell r="Q735">
            <v>15</v>
          </cell>
        </row>
        <row r="736">
          <cell r="B736">
            <v>1003311737533</v>
          </cell>
          <cell r="C736" t="str">
            <v>ШЕЙКА СВИНАЯ кр/к в/у охл._В1</v>
          </cell>
          <cell r="D736" t="str">
            <v>КГ</v>
          </cell>
          <cell r="E736" t="str">
            <v>Мясо охл</v>
          </cell>
          <cell r="F736" t="str">
            <v>ОПФ Кусковые</v>
          </cell>
          <cell r="G736" t="str">
            <v>СТМ</v>
          </cell>
          <cell r="H736" t="str">
            <v>ОМПК (Г)</v>
          </cell>
          <cell r="I736" t="str">
            <v>ТУ 10.13.14-151-00425283-2025</v>
          </cell>
          <cell r="J736" t="str">
            <v>Мясной полуфабрикат бескостный крупнокусковой охлажденный из свинины категории А.</v>
          </cell>
          <cell r="K736" t="str">
            <v>свинина</v>
          </cell>
          <cell r="L736">
            <v>16</v>
          </cell>
          <cell r="M736">
            <v>18</v>
          </cell>
          <cell r="N736">
            <v>0</v>
          </cell>
          <cell r="O736" t="str">
            <v>226/938</v>
          </cell>
          <cell r="P736" t="str">
            <v>0…+4</v>
          </cell>
          <cell r="Q736">
            <v>21</v>
          </cell>
        </row>
        <row r="737">
          <cell r="B737">
            <v>1003171395354</v>
          </cell>
          <cell r="C737" t="str">
            <v>ГОЛЯШКА СВИНАЯ в/у охл.</v>
          </cell>
          <cell r="D737" t="str">
            <v>КГ</v>
          </cell>
          <cell r="E737" t="str">
            <v>Мясо охл</v>
          </cell>
          <cell r="F737" t="str">
            <v>ОПФ Кусковые</v>
          </cell>
          <cell r="G737" t="str">
            <v>Останкино</v>
          </cell>
          <cell r="H737" t="str">
            <v>ОМПК (Г)</v>
          </cell>
          <cell r="I737" t="str">
            <v>ТУ 10.13.14-151-00425283-2025</v>
          </cell>
          <cell r="J737" t="str">
            <v>Мясной полуфабрикат крупнокусковой мясокостный охлажденный из свинины категории А</v>
          </cell>
          <cell r="K737" t="str">
            <v>свинина на кости</v>
          </cell>
          <cell r="L737">
            <v>18</v>
          </cell>
          <cell r="M737">
            <v>18</v>
          </cell>
          <cell r="N737">
            <v>0</v>
          </cell>
          <cell r="O737" t="str">
            <v>234/972</v>
          </cell>
          <cell r="P737" t="str">
            <v>0…+4</v>
          </cell>
          <cell r="Q737">
            <v>17</v>
          </cell>
        </row>
        <row r="738">
          <cell r="B738">
            <v>1003171455367</v>
          </cell>
          <cell r="C738" t="str">
            <v>КАРБОНАД СВИНОЙ кр/к в/у охл.</v>
          </cell>
          <cell r="D738" t="str">
            <v>КГ</v>
          </cell>
          <cell r="E738" t="str">
            <v>Мясо охл</v>
          </cell>
          <cell r="F738" t="str">
            <v>ОПФ Кусковые</v>
          </cell>
          <cell r="G738" t="str">
            <v>Останкино</v>
          </cell>
          <cell r="H738" t="str">
            <v>ОМПК (Г)</v>
          </cell>
          <cell r="I738" t="str">
            <v>ТУ 10.13.14-151-00425283-2025</v>
          </cell>
          <cell r="J738" t="str">
            <v>Мясной полуфабрикат крупнокусковой бескостный охлажденный из свинины категории А</v>
          </cell>
          <cell r="K738" t="str">
            <v>свинина</v>
          </cell>
          <cell r="L738">
            <v>19</v>
          </cell>
          <cell r="M738">
            <v>12</v>
          </cell>
          <cell r="N738">
            <v>0</v>
          </cell>
          <cell r="O738" t="str">
            <v>184/767</v>
          </cell>
          <cell r="P738" t="str">
            <v>0…+4</v>
          </cell>
          <cell r="Q738">
            <v>21</v>
          </cell>
        </row>
        <row r="739">
          <cell r="B739">
            <v>1003171455366</v>
          </cell>
          <cell r="C739" t="str">
            <v>КАРБОНАД СВИНОЙ кр/к в/у охл_М</v>
          </cell>
          <cell r="D739" t="str">
            <v>КГ</v>
          </cell>
          <cell r="E739" t="str">
            <v>Мясо охл</v>
          </cell>
          <cell r="F739" t="str">
            <v>ОПФ Кусковые</v>
          </cell>
          <cell r="G739" t="str">
            <v>Останкино</v>
          </cell>
          <cell r="H739" t="str">
            <v>ОМПК (Г)</v>
          </cell>
          <cell r="I739" t="str">
            <v>ТУ 10.13.14-151-00425283-2025</v>
          </cell>
          <cell r="J739" t="str">
            <v>Мясной полуфабрикат крупнокусковой бескостный охлажденный из свинины категории А</v>
          </cell>
          <cell r="K739" t="str">
            <v>свинина</v>
          </cell>
          <cell r="L739">
            <v>19</v>
          </cell>
          <cell r="M739">
            <v>12</v>
          </cell>
          <cell r="N739">
            <v>0</v>
          </cell>
          <cell r="O739" t="str">
            <v>184/767</v>
          </cell>
          <cell r="P739" t="str">
            <v>0…+4</v>
          </cell>
          <cell r="Q739">
            <v>21</v>
          </cell>
        </row>
        <row r="740">
          <cell r="B740">
            <v>1003171465371</v>
          </cell>
          <cell r="C740" t="str">
            <v>КОРЕЙКА СВИНАЯ б/к кр/к в/у охл.</v>
          </cell>
          <cell r="D740" t="str">
            <v>КГ</v>
          </cell>
          <cell r="E740" t="str">
            <v>Мясо охл</v>
          </cell>
          <cell r="F740" t="str">
            <v>ОПФ Кусковые</v>
          </cell>
          <cell r="G740" t="str">
            <v>Останкино</v>
          </cell>
          <cell r="H740" t="str">
            <v>ОМПК (Г)</v>
          </cell>
          <cell r="I740" t="str">
            <v>ТУ 10.13.14-151-00425283-2025</v>
          </cell>
          <cell r="J740" t="str">
            <v>Мясной полуфабрикат крупнокусковой бескостный охлажденный из свинины категории А</v>
          </cell>
          <cell r="K740" t="str">
            <v>свинина</v>
          </cell>
          <cell r="L740">
            <v>20</v>
          </cell>
          <cell r="M740">
            <v>12</v>
          </cell>
          <cell r="N740">
            <v>0</v>
          </cell>
          <cell r="O740" t="str">
            <v>188/784</v>
          </cell>
          <cell r="P740" t="str">
            <v>0…+4</v>
          </cell>
          <cell r="Q740">
            <v>21</v>
          </cell>
        </row>
        <row r="741">
          <cell r="B741">
            <v>1003171465370</v>
          </cell>
          <cell r="C741" t="str">
            <v>КОРЕЙКА СВИНАЯ б/к кр/к в/у охл_Л</v>
          </cell>
          <cell r="D741" t="str">
            <v>КГ</v>
          </cell>
          <cell r="E741" t="str">
            <v>Мясо охл</v>
          </cell>
          <cell r="F741" t="str">
            <v>ОПФ Кусковые</v>
          </cell>
          <cell r="G741" t="str">
            <v>Останкино</v>
          </cell>
          <cell r="H741" t="str">
            <v>ОМПК (Г)</v>
          </cell>
          <cell r="I741" t="str">
            <v>ТУ 10.13.14-151-00425283-2025</v>
          </cell>
          <cell r="J741" t="str">
            <v>Мясной полуфабрикат крупнокусковой бескостный охлажденный из свинины категории А</v>
          </cell>
          <cell r="K741" t="str">
            <v>свинина</v>
          </cell>
          <cell r="L741">
            <v>20</v>
          </cell>
          <cell r="M741">
            <v>12</v>
          </cell>
          <cell r="N741">
            <v>0</v>
          </cell>
          <cell r="O741" t="str">
            <v>188/784</v>
          </cell>
          <cell r="P741" t="str">
            <v>0…+4</v>
          </cell>
          <cell r="Q741">
            <v>21</v>
          </cell>
        </row>
        <row r="742">
          <cell r="B742">
            <v>1003311467558</v>
          </cell>
          <cell r="C742" t="str">
            <v>КОРЕЙКА СВИНАЯ кр/к в/у охл_П</v>
          </cell>
          <cell r="D742" t="str">
            <v>КГ</v>
          </cell>
          <cell r="E742" t="str">
            <v>Мясо охл</v>
          </cell>
          <cell r="F742" t="str">
            <v>ОПФ Кусковые</v>
          </cell>
          <cell r="G742" t="str">
            <v>Останкино</v>
          </cell>
          <cell r="H742" t="str">
            <v>ОМПК (Г)</v>
          </cell>
          <cell r="I742" t="str">
            <v>ТУ 10.13.14-151-00425283-2025</v>
          </cell>
          <cell r="J742" t="str">
            <v>Мясной полуфабрикат крупнокусковой бескостный охлажденный из свинины категории А</v>
          </cell>
          <cell r="K742" t="str">
            <v>свинина</v>
          </cell>
          <cell r="L742">
            <v>20</v>
          </cell>
          <cell r="M742">
            <v>12</v>
          </cell>
          <cell r="N742">
            <v>0</v>
          </cell>
          <cell r="O742" t="str">
            <v>188/784</v>
          </cell>
          <cell r="P742" t="str">
            <v>0…+4</v>
          </cell>
          <cell r="Q742">
            <v>21</v>
          </cell>
        </row>
        <row r="743">
          <cell r="B743">
            <v>1003171465373</v>
          </cell>
          <cell r="C743" t="str">
            <v>КОРЕЙКА СВИНАЯ кр/к м/к в/у охл.</v>
          </cell>
          <cell r="D743" t="str">
            <v>КГ</v>
          </cell>
          <cell r="E743" t="str">
            <v>Мясо охл</v>
          </cell>
          <cell r="F743" t="str">
            <v>ОПФ Кусковые</v>
          </cell>
          <cell r="G743" t="str">
            <v>Останкино</v>
          </cell>
          <cell r="H743" t="str">
            <v>ОМПК (Г)</v>
          </cell>
          <cell r="I743" t="str">
            <v>ТУ 10.13.14-151-00425283-2025</v>
          </cell>
          <cell r="J743" t="str">
            <v>Мясной полуфабрикат крупнокусковой мясокостный охлажденный из свинины категории А</v>
          </cell>
          <cell r="K743" t="str">
            <v>свинина на кости</v>
          </cell>
          <cell r="L743">
            <v>20</v>
          </cell>
          <cell r="M743">
            <v>17</v>
          </cell>
          <cell r="N743">
            <v>0</v>
          </cell>
          <cell r="O743" t="str">
            <v>233/969</v>
          </cell>
          <cell r="P743" t="str">
            <v>0…+4</v>
          </cell>
          <cell r="Q743">
            <v>17</v>
          </cell>
        </row>
        <row r="744">
          <cell r="B744">
            <v>1003171465374</v>
          </cell>
          <cell r="C744" t="str">
            <v>КОРЕЙКА СВИНАЯ кр/к м/к в/у охл_М</v>
          </cell>
          <cell r="D744" t="str">
            <v>КГ</v>
          </cell>
          <cell r="E744" t="str">
            <v>Мясо охл</v>
          </cell>
          <cell r="F744" t="str">
            <v>ОПФ Кусковые</v>
          </cell>
          <cell r="G744" t="str">
            <v>Останкино</v>
          </cell>
          <cell r="H744" t="str">
            <v>ОМПК (Г)</v>
          </cell>
          <cell r="I744" t="str">
            <v>ТУ 10.13.14-151-00425283-2025</v>
          </cell>
          <cell r="J744" t="str">
            <v>Мясной полуфабрикат крупнокусковой мясокостный охлажденный из свинины категории А</v>
          </cell>
          <cell r="K744" t="str">
            <v>свинина на кости</v>
          </cell>
          <cell r="L744">
            <v>20</v>
          </cell>
          <cell r="M744">
            <v>17</v>
          </cell>
          <cell r="N744">
            <v>0</v>
          </cell>
          <cell r="O744" t="str">
            <v>233/969</v>
          </cell>
          <cell r="P744" t="str">
            <v>0…+4</v>
          </cell>
          <cell r="Q744">
            <v>17</v>
          </cell>
        </row>
        <row r="745">
          <cell r="B745">
            <v>1003311467550</v>
          </cell>
          <cell r="C745" t="str">
            <v>КОРЕЙКА СВИНАЯ кр/к м/к в/у охл_П</v>
          </cell>
          <cell r="D745" t="str">
            <v>КГ</v>
          </cell>
          <cell r="E745" t="str">
            <v>Мясо охл</v>
          </cell>
          <cell r="F745" t="str">
            <v>ОПФ Кусковые</v>
          </cell>
          <cell r="G745" t="str">
            <v>Останкино</v>
          </cell>
          <cell r="H745" t="str">
            <v>ОМПК (Г)</v>
          </cell>
          <cell r="I745" t="str">
            <v>ТУ 10.13.14-151-00425283-2025</v>
          </cell>
          <cell r="J745" t="str">
            <v>Мясной полуфабрикат крупнокусковой мясокостный охлажденный из свинины категории А</v>
          </cell>
          <cell r="K745" t="str">
            <v>свинина на кости</v>
          </cell>
          <cell r="L745">
            <v>20</v>
          </cell>
          <cell r="M745">
            <v>17</v>
          </cell>
          <cell r="N745">
            <v>0</v>
          </cell>
          <cell r="O745" t="str">
            <v>233/969</v>
          </cell>
          <cell r="P745" t="str">
            <v>0…+4</v>
          </cell>
          <cell r="Q745">
            <v>17</v>
          </cell>
        </row>
        <row r="746">
          <cell r="B746">
            <v>1003171765392</v>
          </cell>
          <cell r="C746" t="str">
            <v>ОКОРОК СВИНОЙ кр/к б/к в/у охл.</v>
          </cell>
          <cell r="D746" t="str">
            <v>КГ</v>
          </cell>
          <cell r="E746" t="str">
            <v>Мясо охл</v>
          </cell>
          <cell r="F746" t="str">
            <v>ОПФ Кусковые</v>
          </cell>
          <cell r="G746" t="str">
            <v>Останкино</v>
          </cell>
          <cell r="H746" t="str">
            <v>ОМПК (Г)</v>
          </cell>
          <cell r="I746" t="str">
            <v>ТУ 10.13.14-151-00425283-2025</v>
          </cell>
          <cell r="J746" t="str">
            <v>Мясной полуфабрикат крупнокусковой бескостный охлажденный из свинины категории А</v>
          </cell>
          <cell r="K746" t="str">
            <v>свинина</v>
          </cell>
          <cell r="L746">
            <v>19</v>
          </cell>
          <cell r="M746">
            <v>9</v>
          </cell>
          <cell r="N746">
            <v>0</v>
          </cell>
          <cell r="O746" t="str">
            <v>157/656</v>
          </cell>
          <cell r="P746" t="str">
            <v>0…+4</v>
          </cell>
          <cell r="Q746">
            <v>21</v>
          </cell>
        </row>
        <row r="747">
          <cell r="B747">
            <v>1003171595402</v>
          </cell>
          <cell r="C747" t="str">
            <v>РЕБРЫШКИ БАРБЕКЮ кр/к в/у охл.</v>
          </cell>
          <cell r="D747" t="str">
            <v>КГ</v>
          </cell>
          <cell r="E747" t="str">
            <v>Мясо охл</v>
          </cell>
          <cell r="F747" t="str">
            <v>ОПФ Кусковые</v>
          </cell>
          <cell r="G747" t="str">
            <v>Останкино</v>
          </cell>
          <cell r="H747" t="str">
            <v>ОМПК (Г)</v>
          </cell>
          <cell r="I747" t="str">
            <v>ТУ 10.13.14-151-00425283-2025</v>
          </cell>
          <cell r="J747" t="str">
            <v>Мясной полуфабрикат крупнокусковой мясокостный охлажденный из свинины категории Б</v>
          </cell>
          <cell r="K747" t="str">
            <v>свинина на кости</v>
          </cell>
          <cell r="L747">
            <v>16</v>
          </cell>
          <cell r="M747">
            <v>20</v>
          </cell>
          <cell r="N747">
            <v>0</v>
          </cell>
          <cell r="O747" t="str">
            <v>244/1012</v>
          </cell>
          <cell r="P747" t="str">
            <v>0…+4</v>
          </cell>
          <cell r="Q747">
            <v>17</v>
          </cell>
        </row>
        <row r="748">
          <cell r="B748">
            <v>1003171595753</v>
          </cell>
          <cell r="C748" t="str">
            <v>РЕБРЫШКИ БАРБЕКЮ кр/к в/у охл_Х5</v>
          </cell>
          <cell r="D748" t="str">
            <v>КГ</v>
          </cell>
          <cell r="E748" t="str">
            <v>Мясо охл</v>
          </cell>
          <cell r="F748" t="str">
            <v>ОПФ Кусковые</v>
          </cell>
          <cell r="G748" t="str">
            <v>Останкино</v>
          </cell>
          <cell r="H748" t="str">
            <v>ОМПК (Г)</v>
          </cell>
          <cell r="I748" t="str">
            <v>ТУ 10.13.14-151-00425283-2025</v>
          </cell>
          <cell r="J748" t="str">
            <v>Мясной полуфабрикат крупнокусковой мясокостный охлажденный из свинины категории Б</v>
          </cell>
          <cell r="K748" t="str">
            <v>свинина на кости</v>
          </cell>
          <cell r="L748">
            <v>16</v>
          </cell>
          <cell r="M748">
            <v>20</v>
          </cell>
          <cell r="N748">
            <v>0</v>
          </cell>
          <cell r="O748" t="str">
            <v>244/1012</v>
          </cell>
          <cell r="P748" t="str">
            <v>0…+4</v>
          </cell>
          <cell r="Q748">
            <v>17</v>
          </cell>
        </row>
        <row r="749">
          <cell r="B749">
            <v>1003171596740</v>
          </cell>
          <cell r="C749" t="str">
            <v>РЕБРЫШКИ БАРБЕКЮ кр/к в/у охл_Ашан</v>
          </cell>
          <cell r="D749" t="str">
            <v>КГ</v>
          </cell>
          <cell r="E749" t="str">
            <v>Мясо охл</v>
          </cell>
          <cell r="F749" t="str">
            <v>ОПФ Кусковые</v>
          </cell>
          <cell r="G749" t="str">
            <v>Останкино</v>
          </cell>
          <cell r="H749" t="str">
            <v>ОМПК (Г)</v>
          </cell>
          <cell r="I749" t="str">
            <v>ТУ 10.13.14-151-00425283-2025</v>
          </cell>
          <cell r="J749" t="str">
            <v>Мясной полуфабрикат крупнокусковой мясокостный охлажденный из свинины категории Б</v>
          </cell>
          <cell r="K749" t="str">
            <v>свинина на кости</v>
          </cell>
          <cell r="L749">
            <v>16</v>
          </cell>
          <cell r="M749">
            <v>20</v>
          </cell>
          <cell r="N749">
            <v>0</v>
          </cell>
          <cell r="O749" t="str">
            <v>244/1012</v>
          </cell>
          <cell r="P749" t="str">
            <v>0…+4</v>
          </cell>
          <cell r="Q749">
            <v>17</v>
          </cell>
        </row>
        <row r="750">
          <cell r="B750">
            <v>1003311597559</v>
          </cell>
          <cell r="C750" t="str">
            <v>РЕБРЫШКИ БАРБЕКЮ кр/к в/у охл_Р</v>
          </cell>
          <cell r="D750" t="str">
            <v>КГ</v>
          </cell>
          <cell r="E750" t="str">
            <v>Мясо охл</v>
          </cell>
          <cell r="F750" t="str">
            <v>ОПФ Кусковые</v>
          </cell>
          <cell r="G750" t="str">
            <v>Останкино</v>
          </cell>
          <cell r="H750" t="str">
            <v>ОМПК (Г)</v>
          </cell>
          <cell r="I750" t="str">
            <v>ТУ 10.13.14-151-00425283-2025</v>
          </cell>
          <cell r="J750" t="str">
            <v>Мясной полуфабрикат крупнокусковой мясокостный охлажденный из свинины категории Б</v>
          </cell>
          <cell r="K750" t="str">
            <v>свинина на кости</v>
          </cell>
          <cell r="L750">
            <v>16</v>
          </cell>
          <cell r="M750">
            <v>20</v>
          </cell>
          <cell r="N750">
            <v>0</v>
          </cell>
          <cell r="O750" t="str">
            <v>244/1012</v>
          </cell>
          <cell r="P750" t="str">
            <v>0…+4</v>
          </cell>
          <cell r="Q750">
            <v>17</v>
          </cell>
        </row>
        <row r="751">
          <cell r="B751">
            <v>1003171595407</v>
          </cell>
          <cell r="C751" t="str">
            <v>РЕБРЫШКИ СВИНЫЕ мл/к в/у охл.</v>
          </cell>
          <cell r="D751" t="str">
            <v>КГ</v>
          </cell>
          <cell r="E751" t="str">
            <v>Мясо охл</v>
          </cell>
          <cell r="F751" t="str">
            <v>ОПФ Кусковые</v>
          </cell>
          <cell r="G751" t="str">
            <v>Останкино</v>
          </cell>
          <cell r="H751" t="str">
            <v>ОМПК (Г)</v>
          </cell>
          <cell r="I751" t="str">
            <v>ТУ 10.13.14-151-00425283-2025</v>
          </cell>
          <cell r="J751" t="str">
            <v>Мясной полуфабрикат мелкокусковой мясокостный охлажденный из свинины категории Б</v>
          </cell>
          <cell r="K751" t="str">
            <v>свинина на кости</v>
          </cell>
          <cell r="L751">
            <v>13</v>
          </cell>
          <cell r="M751">
            <v>31</v>
          </cell>
          <cell r="N751">
            <v>0</v>
          </cell>
          <cell r="O751" t="str">
            <v>331/1368</v>
          </cell>
          <cell r="P751" t="str">
            <v>0…+4</v>
          </cell>
          <cell r="Q751">
            <v>17</v>
          </cell>
        </row>
        <row r="752">
          <cell r="B752">
            <v>1003171595404</v>
          </cell>
          <cell r="C752" t="str">
            <v>РЕБРЫШКИ СВИНЫЕ кр/к в/у охл_Лента</v>
          </cell>
          <cell r="D752" t="str">
            <v>КГ</v>
          </cell>
          <cell r="E752" t="str">
            <v>Мясо охл</v>
          </cell>
          <cell r="F752" t="str">
            <v>ОПФ Кусковые</v>
          </cell>
          <cell r="G752" t="str">
            <v>Останкино</v>
          </cell>
          <cell r="H752" t="str">
            <v>ОМПК (Г)</v>
          </cell>
          <cell r="I752" t="str">
            <v>ТУ 10.13.14-151-00425283-2025</v>
          </cell>
          <cell r="J752" t="str">
            <v>Мясной полуфабрикат крупнокусковой мясокостный охлажденный из свинины категории Б</v>
          </cell>
          <cell r="K752" t="str">
            <v>свинина на кости</v>
          </cell>
          <cell r="L752">
            <v>13</v>
          </cell>
          <cell r="M752">
            <v>31</v>
          </cell>
          <cell r="N752">
            <v>0</v>
          </cell>
          <cell r="O752" t="str">
            <v>331/1368</v>
          </cell>
          <cell r="P752" t="str">
            <v>0…+4</v>
          </cell>
          <cell r="Q752">
            <v>17</v>
          </cell>
        </row>
        <row r="753">
          <cell r="B753">
            <v>1003171595405</v>
          </cell>
          <cell r="C753" t="str">
            <v>РЕБРЫШКИ СВИНЫЕ кр/к в/у охл_М</v>
          </cell>
          <cell r="D753" t="str">
            <v>КГ</v>
          </cell>
          <cell r="E753" t="str">
            <v>Мясо охл</v>
          </cell>
          <cell r="F753" t="str">
            <v>ОПФ Кусковые</v>
          </cell>
          <cell r="G753" t="str">
            <v>Останкино</v>
          </cell>
          <cell r="H753" t="str">
            <v>ОМПК (Г)</v>
          </cell>
          <cell r="I753" t="str">
            <v>ТУ 10.13.14-151-00425283-2025</v>
          </cell>
          <cell r="J753" t="str">
            <v>Мясной полуфабрикат крупнокусковой мясокостный охлажденный из свинины категории Б</v>
          </cell>
          <cell r="K753" t="str">
            <v>свинина на кости</v>
          </cell>
          <cell r="L753">
            <v>13</v>
          </cell>
          <cell r="M753">
            <v>31</v>
          </cell>
          <cell r="N753">
            <v>0</v>
          </cell>
          <cell r="O753" t="str">
            <v>331/1368</v>
          </cell>
          <cell r="P753" t="str">
            <v>0…+4</v>
          </cell>
          <cell r="Q753">
            <v>17</v>
          </cell>
        </row>
        <row r="754">
          <cell r="B754">
            <v>1003171735425</v>
          </cell>
          <cell r="C754" t="str">
            <v>ШЕЙКА СВИНАЯ кр/к в/у охл.</v>
          </cell>
          <cell r="D754" t="str">
            <v>КГ</v>
          </cell>
          <cell r="E754" t="str">
            <v>Мясо охл</v>
          </cell>
          <cell r="F754" t="str">
            <v>ОПФ Кусковые</v>
          </cell>
          <cell r="G754" t="str">
            <v>Останкино</v>
          </cell>
          <cell r="H754" t="str">
            <v>ОМПК (Г)</v>
          </cell>
          <cell r="I754" t="str">
            <v>ТУ 10.13.14-151-00425283-2025</v>
          </cell>
          <cell r="J754" t="str">
            <v>Мясной полуфабрикат бескостный крупнокусковой охлажденный из свинины категории А.</v>
          </cell>
          <cell r="K754" t="str">
            <v>свинина</v>
          </cell>
          <cell r="L754">
            <v>16</v>
          </cell>
          <cell r="M754">
            <v>18</v>
          </cell>
          <cell r="N754">
            <v>0</v>
          </cell>
          <cell r="O754" t="str">
            <v>226/938</v>
          </cell>
          <cell r="P754" t="str">
            <v>0…+4</v>
          </cell>
          <cell r="Q754">
            <v>21</v>
          </cell>
        </row>
        <row r="755">
          <cell r="B755">
            <v>1003171735423</v>
          </cell>
          <cell r="C755" t="str">
            <v>ШЕЙКА СВИНАЯ кр/к в/у охл_Л</v>
          </cell>
          <cell r="D755" t="str">
            <v>КГ</v>
          </cell>
          <cell r="E755" t="str">
            <v>Мясо охл</v>
          </cell>
          <cell r="F755" t="str">
            <v>ОПФ Кусковые</v>
          </cell>
          <cell r="G755" t="str">
            <v>Останкино</v>
          </cell>
          <cell r="H755" t="str">
            <v>ОМПК (Г)</v>
          </cell>
          <cell r="I755" t="str">
            <v>ТУ 10.13.14-151-00425283-2025</v>
          </cell>
          <cell r="J755" t="str">
            <v>Мясной полуфабрикат бескостный крупнокусковой охлажденный из свинины категории А.</v>
          </cell>
          <cell r="K755" t="str">
            <v>свинина</v>
          </cell>
          <cell r="L755">
            <v>16</v>
          </cell>
          <cell r="M755">
            <v>18</v>
          </cell>
          <cell r="N755">
            <v>0</v>
          </cell>
          <cell r="O755" t="str">
            <v>226/938</v>
          </cell>
          <cell r="P755" t="str">
            <v>0…+4</v>
          </cell>
          <cell r="Q755">
            <v>21</v>
          </cell>
        </row>
        <row r="756">
          <cell r="B756">
            <v>1003311737041</v>
          </cell>
          <cell r="C756" t="str">
            <v>ШЕЙКА СВИНАЯ кр/к в/у охл_Л</v>
          </cell>
          <cell r="D756" t="str">
            <v>КГ</v>
          </cell>
          <cell r="E756" t="str">
            <v>Мясо охл</v>
          </cell>
          <cell r="F756" t="str">
            <v>ОПФ Кусковые</v>
          </cell>
          <cell r="G756" t="str">
            <v>Останкино</v>
          </cell>
          <cell r="H756" t="str">
            <v>ОМПК (Г)</v>
          </cell>
          <cell r="I756" t="str">
            <v>ТУ 10.13.14-151-00425283-2025</v>
          </cell>
          <cell r="J756" t="str">
            <v>Мясной полуфабрикат бескостный крупнокусковой охлажденный из свинины категории А.</v>
          </cell>
          <cell r="K756" t="str">
            <v>свинина</v>
          </cell>
          <cell r="L756">
            <v>16</v>
          </cell>
          <cell r="M756">
            <v>18</v>
          </cell>
          <cell r="N756">
            <v>0</v>
          </cell>
          <cell r="O756" t="str">
            <v>226/938</v>
          </cell>
          <cell r="P756" t="str">
            <v>0…+4</v>
          </cell>
          <cell r="Q756">
            <v>21</v>
          </cell>
        </row>
        <row r="757">
          <cell r="B757">
            <v>1003171735424</v>
          </cell>
          <cell r="C757" t="str">
            <v>ШЕЙКА СВИНАЯ кр/к в/у охл_М</v>
          </cell>
          <cell r="D757" t="str">
            <v>КГ</v>
          </cell>
          <cell r="E757" t="str">
            <v>Мясо охл</v>
          </cell>
          <cell r="F757" t="str">
            <v>ОПФ Кусковые</v>
          </cell>
          <cell r="G757" t="str">
            <v>Останкино</v>
          </cell>
          <cell r="H757" t="str">
            <v>ОМПК (Г)</v>
          </cell>
          <cell r="I757" t="str">
            <v>ТУ 10.13.14-151-00425283-2025</v>
          </cell>
          <cell r="J757" t="str">
            <v>Мясной полуфабрикат бескостный крупнокусковой охлажденный из свинины категории А.</v>
          </cell>
          <cell r="K757" t="str">
            <v>свинина</v>
          </cell>
          <cell r="L757">
            <v>16</v>
          </cell>
          <cell r="M757">
            <v>18</v>
          </cell>
          <cell r="N757">
            <v>0</v>
          </cell>
          <cell r="O757" t="str">
            <v>226/938</v>
          </cell>
          <cell r="P757" t="str">
            <v>0…+4</v>
          </cell>
          <cell r="Q757">
            <v>21</v>
          </cell>
        </row>
        <row r="758">
          <cell r="B758">
            <v>1003311737551</v>
          </cell>
          <cell r="C758" t="str">
            <v>ШЕЙКА СВИНАЯ кр/к в/у охл_П</v>
          </cell>
          <cell r="D758" t="str">
            <v>КГ</v>
          </cell>
          <cell r="E758" t="str">
            <v>Мясо охл</v>
          </cell>
          <cell r="F758" t="str">
            <v>ОПФ Кусковые</v>
          </cell>
          <cell r="G758" t="str">
            <v>Останкино</v>
          </cell>
          <cell r="H758" t="str">
            <v>ОМПК (Г)</v>
          </cell>
          <cell r="I758" t="str">
            <v>ТУ 10.13.14-151-00425283-2025</v>
          </cell>
          <cell r="J758" t="str">
            <v>Мясной полуфабрикат бескостный крупнокусковой охлажденный из свинины категории А.</v>
          </cell>
          <cell r="K758" t="str">
            <v>свинина</v>
          </cell>
          <cell r="L758">
            <v>16</v>
          </cell>
          <cell r="M758">
            <v>18</v>
          </cell>
          <cell r="N758">
            <v>0</v>
          </cell>
          <cell r="O758" t="str">
            <v>226/938</v>
          </cell>
          <cell r="P758" t="str">
            <v>0…+4</v>
          </cell>
          <cell r="Q758">
            <v>21</v>
          </cell>
        </row>
        <row r="759">
          <cell r="B759">
            <v>1003162215418</v>
          </cell>
          <cell r="C759" t="str">
            <v>ШАШЛЫК ИЗ СВИНИНЫ охл.</v>
          </cell>
          <cell r="D759" t="str">
            <v>КГ</v>
          </cell>
          <cell r="E759" t="str">
            <v>Мясо охл</v>
          </cell>
          <cell r="F759" t="str">
            <v>ОПФ Шашлыки Маринады</v>
          </cell>
          <cell r="G759" t="str">
            <v>Останкино</v>
          </cell>
          <cell r="H759" t="str">
            <v>ОМПК(О)</v>
          </cell>
          <cell r="I759" t="str">
            <v>ТУ 10.13.14-151-00425283-2025</v>
          </cell>
          <cell r="J759" t="str">
            <v>Полуфабрикат мясной бескостный мелкокусковой охлажденный маринованный категории Б.</v>
          </cell>
          <cell r="K759"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59">
            <v>12</v>
          </cell>
          <cell r="M759">
            <v>10</v>
          </cell>
          <cell r="N759">
            <v>1</v>
          </cell>
          <cell r="O759" t="str">
            <v>165/685</v>
          </cell>
          <cell r="P759" t="str">
            <v>+2…+6</v>
          </cell>
          <cell r="Q759">
            <v>12</v>
          </cell>
        </row>
        <row r="760">
          <cell r="B760">
            <v>1003352217273</v>
          </cell>
          <cell r="C760" t="str">
            <v>ШАШЛЫК ИЗ СВИНИНЫ охл_Гагарин</v>
          </cell>
          <cell r="D760" t="str">
            <v>КГ</v>
          </cell>
          <cell r="E760" t="str">
            <v>Мясо охл</v>
          </cell>
          <cell r="F760" t="str">
            <v>ОПФ Шашлыки Маринады</v>
          </cell>
          <cell r="G760" t="str">
            <v>Останкино</v>
          </cell>
          <cell r="H760" t="str">
            <v>ОМПК (Г)</v>
          </cell>
          <cell r="I760" t="str">
            <v>ТУ 10.13.14-151-00425283-2025</v>
          </cell>
          <cell r="J760" t="str">
            <v>Полуфабрикат мясной бескостный мелкокусковой охлажденный маринованный категории Б.</v>
          </cell>
          <cell r="K760"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0">
            <v>12</v>
          </cell>
          <cell r="M760">
            <v>10</v>
          </cell>
          <cell r="N760">
            <v>1</v>
          </cell>
          <cell r="O760" t="str">
            <v>142/591</v>
          </cell>
          <cell r="P760" t="str">
            <v>+2…+6</v>
          </cell>
          <cell r="Q760">
            <v>12</v>
          </cell>
        </row>
        <row r="761">
          <cell r="B761">
            <v>1003162216515</v>
          </cell>
          <cell r="C761" t="str">
            <v>ШАШЛЫК ИЗ СВИНИНЫ охл_Ашан</v>
          </cell>
          <cell r="D761" t="str">
            <v>КГ</v>
          </cell>
          <cell r="E761" t="str">
            <v>Мясо охл</v>
          </cell>
          <cell r="F761" t="str">
            <v>ОПФ Шашлыки Маринады</v>
          </cell>
          <cell r="G761" t="str">
            <v>Останкино</v>
          </cell>
          <cell r="H761" t="str">
            <v>ОМПК(О)</v>
          </cell>
          <cell r="I761" t="str">
            <v>ТУ 10.13.14-151-00425283-2025</v>
          </cell>
          <cell r="J761" t="str">
            <v>Полуфабрикат мясной бескостный мелкокусковой охлажденный маринованный категории Б.</v>
          </cell>
          <cell r="K761"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1">
            <v>12</v>
          </cell>
          <cell r="M761">
            <v>10</v>
          </cell>
          <cell r="N761">
            <v>1</v>
          </cell>
          <cell r="O761" t="str">
            <v>142/591</v>
          </cell>
          <cell r="P761" t="str">
            <v>+2…+6</v>
          </cell>
          <cell r="Q761">
            <v>12</v>
          </cell>
        </row>
        <row r="762">
          <cell r="B762">
            <v>1003162215467</v>
          </cell>
          <cell r="C762" t="str">
            <v>ШАШЛЫК ИЗ СВИНИНЫ охл_Метро</v>
          </cell>
          <cell r="D762" t="str">
            <v>КГ</v>
          </cell>
          <cell r="E762" t="str">
            <v>Мясо охл</v>
          </cell>
          <cell r="F762" t="str">
            <v>ОПФ Шашлыки Маринады</v>
          </cell>
          <cell r="G762" t="str">
            <v>Останкино</v>
          </cell>
          <cell r="H762" t="str">
            <v>ОМПК (Г)</v>
          </cell>
          <cell r="I762" t="str">
            <v>ТУ 10.13.14-151-00425283-2025</v>
          </cell>
          <cell r="J762" t="str">
            <v>Полуфабрикат мясной бескостный мелкокусковой охлажденный маринованный категории Б.</v>
          </cell>
          <cell r="K762"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2">
            <v>12</v>
          </cell>
          <cell r="M762">
            <v>10</v>
          </cell>
          <cell r="N762">
            <v>1</v>
          </cell>
          <cell r="O762" t="str">
            <v>142/591</v>
          </cell>
          <cell r="P762" t="str">
            <v>+2…+6</v>
          </cell>
          <cell r="Q762">
            <v>12</v>
          </cell>
        </row>
        <row r="763">
          <cell r="B763">
            <v>1003162215468</v>
          </cell>
          <cell r="C763" t="str">
            <v>ШАШЛЫК ИЗ СВИНИНЫ охл_Лента</v>
          </cell>
          <cell r="D763" t="str">
            <v>КГ</v>
          </cell>
          <cell r="E763" t="str">
            <v>Мясо охл</v>
          </cell>
          <cell r="F763" t="str">
            <v>ОПФ Шашлыки Маринады</v>
          </cell>
          <cell r="G763" t="str">
            <v>Останкино</v>
          </cell>
          <cell r="H763" t="str">
            <v>ОМПК(О)</v>
          </cell>
          <cell r="I763" t="str">
            <v>ТУ 10.13.14-151-00425283-2025</v>
          </cell>
          <cell r="J763" t="str">
            <v>Полуфабрикат мясной бескостный мелкокусковой охлажденный маринованный категории Б.</v>
          </cell>
          <cell r="K763"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3">
            <v>12</v>
          </cell>
          <cell r="M763">
            <v>10</v>
          </cell>
          <cell r="N763">
            <v>1</v>
          </cell>
          <cell r="O763" t="str">
            <v>142/591</v>
          </cell>
          <cell r="P763" t="str">
            <v>+2…+6</v>
          </cell>
          <cell r="Q763">
            <v>12</v>
          </cell>
        </row>
        <row r="764">
          <cell r="B764">
            <v>1003162215469</v>
          </cell>
          <cell r="C764" t="str">
            <v>ШАШЛЫК ИЗ СВИНИНЫ охл_Глобус</v>
          </cell>
          <cell r="D764" t="str">
            <v>КГ</v>
          </cell>
          <cell r="E764" t="str">
            <v>Мясо охл</v>
          </cell>
          <cell r="F764" t="str">
            <v>ОПФ Шашлыки Маринады</v>
          </cell>
          <cell r="G764" t="str">
            <v>Останкино</v>
          </cell>
          <cell r="H764" t="str">
            <v>ОМПК(О)</v>
          </cell>
          <cell r="I764" t="str">
            <v>ТУ 10.13.14-151-00425283-2025</v>
          </cell>
          <cell r="J764" t="str">
            <v>Полуфабрикат мясной бескостный мелкокусковой охлажденный маринованный категории Б.</v>
          </cell>
          <cell r="K764"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4">
            <v>12</v>
          </cell>
          <cell r="M764">
            <v>10</v>
          </cell>
          <cell r="N764">
            <v>1</v>
          </cell>
          <cell r="O764" t="str">
            <v>142/591</v>
          </cell>
          <cell r="P764" t="str">
            <v>+2…+6</v>
          </cell>
          <cell r="Q764">
            <v>12</v>
          </cell>
        </row>
        <row r="765">
          <cell r="B765">
            <v>1003171356409</v>
          </cell>
          <cell r="C765" t="str">
            <v>ВЫРЕЗКА СВИНАЯ кр/к в/у (1*2) охл.</v>
          </cell>
          <cell r="D765" t="str">
            <v>КГ</v>
          </cell>
          <cell r="E765" t="str">
            <v>Мясо охл</v>
          </cell>
          <cell r="F765" t="str">
            <v>ОПФ Кусковые</v>
          </cell>
          <cell r="G765" t="str">
            <v>Останкино</v>
          </cell>
          <cell r="H765" t="str">
            <v>ОМПК (Г)</v>
          </cell>
          <cell r="I765" t="str">
            <v>ТУ 10.13.14-151-00425283-2025</v>
          </cell>
          <cell r="J765" t="str">
            <v>Мясной полуфабрикат крупнокусковой бескостный охлажденный из свинины категории А</v>
          </cell>
          <cell r="K765" t="str">
            <v>свинина</v>
          </cell>
          <cell r="L765">
            <v>21</v>
          </cell>
          <cell r="M765">
            <v>5</v>
          </cell>
          <cell r="N765">
            <v>0</v>
          </cell>
          <cell r="O765" t="str">
            <v>129/542</v>
          </cell>
          <cell r="P765" t="str">
            <v>0…+4</v>
          </cell>
          <cell r="Q765">
            <v>21</v>
          </cell>
        </row>
        <row r="766">
          <cell r="B766">
            <v>1003311357531</v>
          </cell>
          <cell r="C766" t="str">
            <v>ВЫРЕЗКА СВИНАЯ кр/к в/у (1*2) охл._В1</v>
          </cell>
          <cell r="D766" t="str">
            <v>КГ</v>
          </cell>
          <cell r="E766" t="str">
            <v>Мясо охл</v>
          </cell>
          <cell r="F766" t="str">
            <v>ОПФ Кусковые</v>
          </cell>
          <cell r="G766" t="str">
            <v>Останкино</v>
          </cell>
          <cell r="H766" t="str">
            <v>ОМПК (Г)</v>
          </cell>
          <cell r="I766" t="str">
            <v>ТУ 10.13.14-151-00425283-2025</v>
          </cell>
          <cell r="J766" t="str">
            <v>Мясной полуфабрикат крупнокусковой бескостный охлажденный из свинины категории А</v>
          </cell>
          <cell r="K766" t="str">
            <v>свинина</v>
          </cell>
          <cell r="L766">
            <v>21</v>
          </cell>
          <cell r="M766">
            <v>5</v>
          </cell>
          <cell r="N766">
            <v>0</v>
          </cell>
          <cell r="O766" t="str">
            <v>129/542</v>
          </cell>
          <cell r="P766" t="str">
            <v>0…+4</v>
          </cell>
          <cell r="Q766">
            <v>21</v>
          </cell>
        </row>
        <row r="767">
          <cell r="B767">
            <v>1003311357552</v>
          </cell>
          <cell r="C767" t="str">
            <v>ВЫРЕЗКА СВИНАЯ кр/к в/у(1*2) охл_П</v>
          </cell>
          <cell r="D767" t="str">
            <v>КГ</v>
          </cell>
          <cell r="E767" t="str">
            <v>Мясо охл</v>
          </cell>
          <cell r="F767" t="str">
            <v>ОПФ Кусковые</v>
          </cell>
          <cell r="G767" t="str">
            <v>Останкино</v>
          </cell>
          <cell r="H767" t="str">
            <v>ОМПК (Г)</v>
          </cell>
          <cell r="I767" t="str">
            <v>ТУ 10.13.14-151-00425283-2025</v>
          </cell>
          <cell r="J767" t="str">
            <v>Мясной полуфабрикат крупнокусковой бескостный охлажденный из свинины категории А</v>
          </cell>
          <cell r="K767" t="str">
            <v>свинина</v>
          </cell>
          <cell r="L767">
            <v>21</v>
          </cell>
          <cell r="M767">
            <v>5</v>
          </cell>
          <cell r="N767">
            <v>0</v>
          </cell>
          <cell r="O767" t="str">
            <v>129/542</v>
          </cell>
          <cell r="P767" t="str">
            <v>0…+4</v>
          </cell>
          <cell r="Q767">
            <v>21</v>
          </cell>
        </row>
        <row r="768">
          <cell r="B768">
            <v>1003311356893</v>
          </cell>
          <cell r="C768" t="str">
            <v>ВЫРЕЗКА СВ.кр/к в/у (1*2) охл_Х5/СТМ ХК</v>
          </cell>
          <cell r="D768" t="str">
            <v>КГ</v>
          </cell>
          <cell r="E768" t="str">
            <v>Мясо охл</v>
          </cell>
          <cell r="F768" t="str">
            <v>ОПФ Кусковые</v>
          </cell>
          <cell r="G768" t="str">
            <v>СТМ</v>
          </cell>
          <cell r="H768" t="str">
            <v>ОМПК (Г)</v>
          </cell>
          <cell r="I768" t="str">
            <v>ТУ 10.13.14-151-00425283-2018</v>
          </cell>
          <cell r="J768" t="str">
            <v>Полуфабрикат охлажденный из свинины мелкокусковой бескостный мясной категории А.</v>
          </cell>
          <cell r="K768" t="str">
            <v>свинина</v>
          </cell>
          <cell r="L768">
            <v>21</v>
          </cell>
          <cell r="M768">
            <v>5</v>
          </cell>
          <cell r="O768" t="str">
            <v>129/542</v>
          </cell>
          <cell r="P768" t="str">
            <v>0…+4</v>
          </cell>
          <cell r="Q768">
            <v>21</v>
          </cell>
        </row>
        <row r="769">
          <cell r="B769">
            <v>1003311356894</v>
          </cell>
          <cell r="C769" t="str">
            <v>ВЫРЕЗКА СВИНАЯ кр/к в/у (1*2) охл_Л</v>
          </cell>
          <cell r="D769" t="str">
            <v>КГ</v>
          </cell>
          <cell r="E769" t="str">
            <v>Мясо охл</v>
          </cell>
          <cell r="F769" t="str">
            <v>ОПФ Кусковые</v>
          </cell>
          <cell r="G769" t="str">
            <v>Останкино</v>
          </cell>
          <cell r="H769" t="str">
            <v>ОМПК (Г)</v>
          </cell>
          <cell r="I769" t="str">
            <v>ТУ 10.13.14-151-00425283-2025</v>
          </cell>
          <cell r="J769" t="str">
            <v>Мясной полуфабрикат крупнокусковой бескостный охлажденный из свинины категории А</v>
          </cell>
          <cell r="K769" t="str">
            <v>свинина</v>
          </cell>
          <cell r="L769">
            <v>21</v>
          </cell>
          <cell r="M769">
            <v>5</v>
          </cell>
          <cell r="N769">
            <v>0</v>
          </cell>
          <cell r="O769" t="str">
            <v>129/542</v>
          </cell>
          <cell r="P769" t="str">
            <v>0…+4</v>
          </cell>
          <cell r="Q769">
            <v>21</v>
          </cell>
        </row>
        <row r="770">
          <cell r="B770">
            <v>1002131146209</v>
          </cell>
          <cell r="C770" t="str">
            <v>БЛИНЧ.С КУРИНЫМ МЯСОМ пл.1/350 зам.</v>
          </cell>
          <cell r="D770" t="str">
            <v>ШТ</v>
          </cell>
          <cell r="E770" t="str">
            <v>Полуфабрикаты зам</v>
          </cell>
          <cell r="F770" t="str">
            <v>Блины</v>
          </cell>
          <cell r="G770" t="str">
            <v>Останкино</v>
          </cell>
          <cell r="H770" t="str">
            <v>ОМПК(О)</v>
          </cell>
          <cell r="I770" t="str">
            <v xml:space="preserve">ТУ 10.72.19-162-00425283-2023 </v>
          </cell>
          <cell r="J770" t="str">
            <v>Хлебобулочное изделие. Полуфабрикат высокой степени готовности. Блинчики быстрозамороженные.</v>
          </cell>
          <cell r="K770" t="str">
            <v>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v>
          </cell>
          <cell r="L770">
            <v>9</v>
          </cell>
          <cell r="M770">
            <v>5</v>
          </cell>
          <cell r="N770">
            <v>30</v>
          </cell>
          <cell r="O770" t="str">
            <v>201/848</v>
          </cell>
          <cell r="P770" t="str">
            <v>-18</v>
          </cell>
          <cell r="Q770">
            <v>120</v>
          </cell>
        </row>
        <row r="771">
          <cell r="B771">
            <v>1002131156168</v>
          </cell>
          <cell r="C771" t="str">
            <v>БЛИНЧ.С МЯСОМ пл.1/350 зам.</v>
          </cell>
          <cell r="D771" t="str">
            <v>ШТ</v>
          </cell>
          <cell r="E771" t="str">
            <v>Полуфабрикаты зам</v>
          </cell>
          <cell r="F771" t="str">
            <v>Блины</v>
          </cell>
          <cell r="G771" t="str">
            <v>Останкино</v>
          </cell>
          <cell r="H771" t="str">
            <v>ОМПК(О)</v>
          </cell>
          <cell r="I771" t="str">
            <v xml:space="preserve">ТУ 10.72.19-162-00425283-2023 </v>
          </cell>
          <cell r="J771" t="str">
            <v>Хлебобулочное изделие. Полуфабрикат высокой степени готовности. Блинчики быстрозамороженные.</v>
          </cell>
          <cell r="K771" t="str">
            <v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v>
          </cell>
          <cell r="L771">
            <v>8</v>
          </cell>
          <cell r="M771">
            <v>11</v>
          </cell>
          <cell r="N771">
            <v>33</v>
          </cell>
          <cell r="O771" t="str">
            <v>263/1104</v>
          </cell>
          <cell r="P771" t="str">
            <v>-18</v>
          </cell>
          <cell r="Q771">
            <v>120</v>
          </cell>
        </row>
        <row r="772">
          <cell r="B772">
            <v>1002131157359</v>
          </cell>
          <cell r="C772" t="str">
            <v>БЛИНЧ.КРУГЛЫЕ С МЯСОМ ПМ 1/180 зам.</v>
          </cell>
          <cell r="D772" t="str">
            <v>ШТ</v>
          </cell>
          <cell r="E772" t="str">
            <v>Полуфабрикаты зам</v>
          </cell>
          <cell r="F772" t="str">
            <v>Блины</v>
          </cell>
          <cell r="G772" t="str">
            <v>Папа может</v>
          </cell>
          <cell r="H772" t="str">
            <v>ОМПК(О)</v>
          </cell>
          <cell r="I772" t="str">
            <v xml:space="preserve">ТУ 10.72.19-162-00425283-2023 </v>
          </cell>
          <cell r="J772" t="str">
            <v>Хлебобулочное изделие. Полуфабрикат высокой степени готовности. Блинчики круглые быстрозамороженные.</v>
          </cell>
          <cell r="K772"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2">
            <v>8</v>
          </cell>
          <cell r="M772">
            <v>10</v>
          </cell>
          <cell r="N772">
            <v>21</v>
          </cell>
          <cell r="O772" t="str">
            <v>206/863</v>
          </cell>
          <cell r="P772" t="str">
            <v>-18</v>
          </cell>
          <cell r="Q772">
            <v>120</v>
          </cell>
        </row>
        <row r="773">
          <cell r="B773">
            <v>1002131157445</v>
          </cell>
          <cell r="C773" t="str">
            <v>БЛИНЧ.КРУГЛЫЕ С МЯСОМ ПМ 1/180 зам. 12шт</v>
          </cell>
          <cell r="D773" t="str">
            <v>ШТ</v>
          </cell>
          <cell r="E773" t="str">
            <v>Полуфабрикаты зам</v>
          </cell>
          <cell r="F773" t="str">
            <v>Блины</v>
          </cell>
          <cell r="G773" t="str">
            <v>Папа может</v>
          </cell>
          <cell r="H773" t="str">
            <v>ОМПК(О)</v>
          </cell>
          <cell r="I773" t="str">
            <v xml:space="preserve">ТУ 10.72.19-162-00425283-2023 </v>
          </cell>
          <cell r="J773" t="str">
            <v>Хлебобулочное изделие. Полуфабрикат высокой степени готовности. Блинчики круглые быстрозамороженные.</v>
          </cell>
          <cell r="K773"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3">
            <v>8</v>
          </cell>
          <cell r="M773">
            <v>10</v>
          </cell>
          <cell r="N773">
            <v>21</v>
          </cell>
          <cell r="O773" t="str">
            <v>206/863</v>
          </cell>
          <cell r="P773" t="str">
            <v>-18</v>
          </cell>
          <cell r="Q773">
            <v>120</v>
          </cell>
        </row>
        <row r="774">
          <cell r="B774">
            <v>1002131157530</v>
          </cell>
          <cell r="C774" t="str">
            <v>БЛИНЧ.КРУГЛЫЕ С МЯСОМ ПМ 1/300 зам.</v>
          </cell>
          <cell r="D774" t="str">
            <v>ШТ</v>
          </cell>
          <cell r="E774" t="str">
            <v>Полуфабрикаты зам</v>
          </cell>
          <cell r="F774" t="str">
            <v>Блины</v>
          </cell>
          <cell r="G774" t="str">
            <v>Папа может</v>
          </cell>
          <cell r="H774" t="str">
            <v>ОМПК(О)</v>
          </cell>
          <cell r="I774" t="str">
            <v xml:space="preserve">ТУ 10.72.19-162-00425283-2023 </v>
          </cell>
          <cell r="J774" t="str">
            <v>Хлебобулочное изделие. Полуфабрикат высокой степени готовности. Блинчики круглые быстрозамороженные.</v>
          </cell>
          <cell r="K774"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4">
            <v>8</v>
          </cell>
          <cell r="M774">
            <v>10</v>
          </cell>
          <cell r="N774">
            <v>21</v>
          </cell>
          <cell r="O774" t="str">
            <v>206/863</v>
          </cell>
          <cell r="P774" t="str">
            <v>-18</v>
          </cell>
          <cell r="Q774">
            <v>120</v>
          </cell>
        </row>
        <row r="775">
          <cell r="B775">
            <v>1002131166149</v>
          </cell>
          <cell r="C775" t="str">
            <v>БЛИНЧ.КРУГЛЫЕ С ПЕЧЕНЬЮ ПМ 1/300 зам.</v>
          </cell>
          <cell r="D775" t="str">
            <v>ШТ</v>
          </cell>
          <cell r="E775" t="str">
            <v>Полуфабрикаты зам</v>
          </cell>
          <cell r="F775" t="str">
            <v>Блины</v>
          </cell>
          <cell r="G775" t="str">
            <v>Папа может</v>
          </cell>
          <cell r="H775" t="str">
            <v>ОМПК(О)</v>
          </cell>
          <cell r="I775" t="str">
            <v xml:space="preserve">ТУ 10.72.19-162-00425283-2023 </v>
          </cell>
          <cell r="J775" t="str">
            <v>Хлебобулочное изделие. Полуфабрикат высокой степени готовности. Блинчики круглые быстрозамороженные.</v>
          </cell>
          <cell r="K775"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v>
          </cell>
          <cell r="L775">
            <v>12</v>
          </cell>
          <cell r="M775">
            <v>9</v>
          </cell>
          <cell r="N775">
            <v>33</v>
          </cell>
          <cell r="O775" t="str">
            <v>261/1028</v>
          </cell>
          <cell r="P775" t="str">
            <v>-18</v>
          </cell>
          <cell r="Q775">
            <v>120</v>
          </cell>
        </row>
        <row r="776">
          <cell r="B776">
            <v>1002131187358</v>
          </cell>
          <cell r="C776" t="str">
            <v>БЛИНЧ.КРУГЛЫЕ С ТВОРОГОМ ПМ 1/180 зам.</v>
          </cell>
          <cell r="D776" t="str">
            <v>ШТ</v>
          </cell>
          <cell r="E776" t="str">
            <v>Полуфабрикаты зам</v>
          </cell>
          <cell r="F776" t="str">
            <v>Блины</v>
          </cell>
          <cell r="G776" t="str">
            <v>Папа может</v>
          </cell>
          <cell r="H776" t="str">
            <v>ОМПК(О)</v>
          </cell>
          <cell r="I776" t="str">
            <v xml:space="preserve">ТУ 10.72.19-162-00425283-2023 </v>
          </cell>
          <cell r="J776" t="str">
            <v>Хлебобулочное изделие. Полуфабрикат высокой степени готовности. Блинчики круглые быстрозамороженные.</v>
          </cell>
          <cell r="K776" t="str">
            <v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v>
          </cell>
          <cell r="L776">
            <v>5</v>
          </cell>
          <cell r="M776">
            <v>7</v>
          </cell>
          <cell r="N776">
            <v>24</v>
          </cell>
          <cell r="O776" t="str">
            <v>179/752</v>
          </cell>
          <cell r="P776" t="str">
            <v>-18</v>
          </cell>
          <cell r="Q776">
            <v>120</v>
          </cell>
        </row>
        <row r="777">
          <cell r="B777">
            <v>1002131187446</v>
          </cell>
          <cell r="C777" t="str">
            <v>БЛИНЧ.КРУГ. С ТВОРОГОМ ПМ 1/180 зам 12шт</v>
          </cell>
          <cell r="D777" t="str">
            <v>ШТ</v>
          </cell>
          <cell r="E777" t="str">
            <v>Полуфабрикаты зам</v>
          </cell>
          <cell r="F777" t="str">
            <v>Блины</v>
          </cell>
          <cell r="G777" t="str">
            <v>Папа может</v>
          </cell>
          <cell r="H777" t="str">
            <v>ОМПК(О)</v>
          </cell>
          <cell r="I777" t="str">
            <v xml:space="preserve">ТУ 10.72.19-162-00425283-2023 </v>
          </cell>
          <cell r="J777" t="str">
            <v>Хлебобулочное изделие. Полуфабрикат высокой степени готовности. Блинчики круглые быстрозамороженные.</v>
          </cell>
          <cell r="K777" t="str">
            <v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v>
          </cell>
          <cell r="L777">
            <v>5</v>
          </cell>
          <cell r="M777">
            <v>7</v>
          </cell>
          <cell r="N777">
            <v>24</v>
          </cell>
          <cell r="O777" t="str">
            <v>179/752</v>
          </cell>
          <cell r="P777" t="str">
            <v>-18</v>
          </cell>
          <cell r="Q777">
            <v>120</v>
          </cell>
        </row>
        <row r="778">
          <cell r="B778">
            <v>1002131186202</v>
          </cell>
          <cell r="C778" t="str">
            <v>БЛИНЧ.КРУГЛЫЕ С ТВОРОГОМ ПМ 1/300 зам.</v>
          </cell>
          <cell r="D778" t="str">
            <v>ШТ</v>
          </cell>
          <cell r="E778" t="str">
            <v>Полуфабрикаты зам</v>
          </cell>
          <cell r="F778" t="str">
            <v>Блины</v>
          </cell>
          <cell r="G778" t="str">
            <v>Папа может</v>
          </cell>
          <cell r="H778" t="str">
            <v>ОМПК(О)</v>
          </cell>
          <cell r="I778" t="str">
            <v xml:space="preserve">ТУ 10.72.19-162-00425283-2023 </v>
          </cell>
          <cell r="J778" t="str">
            <v>Хлебобулочное изделие. Полуфабрикат высокой степени готовности. Блинчики круглые быстрозамороженные.</v>
          </cell>
          <cell r="K778"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v>
          </cell>
          <cell r="L778">
            <v>10</v>
          </cell>
          <cell r="M778">
            <v>6</v>
          </cell>
          <cell r="N778">
            <v>35</v>
          </cell>
          <cell r="O778" t="str">
            <v>234/987</v>
          </cell>
          <cell r="P778" t="str">
            <v>-18</v>
          </cell>
          <cell r="Q778">
            <v>120</v>
          </cell>
        </row>
        <row r="779">
          <cell r="B779">
            <v>1002133377357</v>
          </cell>
          <cell r="C779" t="str">
            <v>БЛИНЧ.КРУГЛЫЕ С ВЕТЧ.И СЫР.ПМ 1/180 зам.</v>
          </cell>
          <cell r="D779" t="str">
            <v>ШТ</v>
          </cell>
          <cell r="E779" t="str">
            <v>Полуфабрикаты зам</v>
          </cell>
          <cell r="F779" t="str">
            <v>Блины</v>
          </cell>
          <cell r="G779" t="str">
            <v>Папа может</v>
          </cell>
          <cell r="H779" t="str">
            <v>ОМПК(О)</v>
          </cell>
          <cell r="I779" t="str">
            <v xml:space="preserve">ТУ 10.72.19-162-00425283-2023 </v>
          </cell>
          <cell r="J779" t="str">
            <v>Хлебобулочное изделие. Полуфабрикат высокой степени готовности. Блинчики круглые быстрозамороженные.</v>
          </cell>
          <cell r="K779" t="str">
            <v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v>
          </cell>
          <cell r="L779">
            <v>5</v>
          </cell>
          <cell r="M779">
            <v>8</v>
          </cell>
          <cell r="N779">
            <v>31</v>
          </cell>
          <cell r="O779" t="str">
            <v>216/908</v>
          </cell>
          <cell r="P779" t="str">
            <v>-18</v>
          </cell>
          <cell r="Q779">
            <v>120</v>
          </cell>
        </row>
        <row r="780">
          <cell r="B780">
            <v>1002133377447</v>
          </cell>
          <cell r="C780" t="str">
            <v>БЛИНЧ.КРУГ. С ВЕТЧ.И СЫР.ПМ 1/180 зам.12</v>
          </cell>
          <cell r="D780" t="str">
            <v>ШТ</v>
          </cell>
          <cell r="E780" t="str">
            <v>Полуфабрикаты зам</v>
          </cell>
          <cell r="F780" t="str">
            <v>Блины</v>
          </cell>
          <cell r="G780" t="str">
            <v>Папа может</v>
          </cell>
          <cell r="H780" t="str">
            <v>ОМПК(О)</v>
          </cell>
          <cell r="I780" t="str">
            <v xml:space="preserve">ТУ 10.72.19-162-00425283-2023 </v>
          </cell>
          <cell r="J780" t="str">
            <v>Хлебобулочное изделие. Полуфабрикат высокой степени готовности. Блинчики круглые быстрозамороженные.</v>
          </cell>
          <cell r="K780" t="str">
            <v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v>
          </cell>
          <cell r="L780">
            <v>5</v>
          </cell>
          <cell r="M780">
            <v>8</v>
          </cell>
          <cell r="N780">
            <v>31</v>
          </cell>
          <cell r="O780" t="str">
            <v>216/908</v>
          </cell>
          <cell r="P780" t="str">
            <v>-18</v>
          </cell>
          <cell r="Q780">
            <v>120</v>
          </cell>
        </row>
        <row r="781">
          <cell r="B781">
            <v>1002133376148</v>
          </cell>
          <cell r="C781" t="str">
            <v>БЛИНЧ.КРУГЛЫЕ С ВЕТЧ.И СЫР.ПМ 1/300 зам.</v>
          </cell>
          <cell r="D781" t="str">
            <v>ШТ</v>
          </cell>
          <cell r="E781" t="str">
            <v>Полуфабрикаты зам</v>
          </cell>
          <cell r="F781" t="str">
            <v>Блины</v>
          </cell>
          <cell r="G781" t="str">
            <v>Папа может</v>
          </cell>
          <cell r="H781" t="str">
            <v>ОМПК(О)</v>
          </cell>
          <cell r="I781" t="str">
            <v xml:space="preserve">ТУ 10.72.19-162-00425283-2023 </v>
          </cell>
          <cell r="J781" t="str">
            <v>Хлебобулочное изделие. Полуфабрикат высокой степени готовности. Блинчики круглые быстрозамороженные.</v>
          </cell>
          <cell r="K781"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v>
          </cell>
          <cell r="L781">
            <v>8</v>
          </cell>
          <cell r="M781">
            <v>6</v>
          </cell>
          <cell r="N781">
            <v>31</v>
          </cell>
          <cell r="O781" t="str">
            <v>210/885</v>
          </cell>
          <cell r="P781" t="str">
            <v>-18</v>
          </cell>
          <cell r="Q781">
            <v>120</v>
          </cell>
        </row>
        <row r="782">
          <cell r="B782">
            <v>1002134275579</v>
          </cell>
          <cell r="C782" t="str">
            <v>БЛИНЧ.КРУГЛЫЕ С САД.ЯБЛОК.1/420 зам_ПОСТ</v>
          </cell>
          <cell r="D782" t="str">
            <v>ШТ</v>
          </cell>
          <cell r="E782" t="str">
            <v>Полуфабрикаты зам</v>
          </cell>
          <cell r="F782" t="str">
            <v>Блины</v>
          </cell>
          <cell r="G782" t="str">
            <v>Останкино</v>
          </cell>
          <cell r="H782" t="str">
            <v>ОМПК(О)</v>
          </cell>
          <cell r="I782" t="str">
            <v xml:space="preserve">ТУ 10.72.19-162-00425283-2023 </v>
          </cell>
          <cell r="J782" t="str">
            <v>Хлебобулочное изделие. Полуфабрикат высокой степени готовности: блинчики круглые быстрозамороженные.</v>
          </cell>
          <cell r="K782" t="str">
            <v>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v>
          </cell>
          <cell r="L782">
            <v>3</v>
          </cell>
          <cell r="M782">
            <v>8</v>
          </cell>
          <cell r="N782">
            <v>33</v>
          </cell>
          <cell r="O782" t="str">
            <v>216/908</v>
          </cell>
          <cell r="P782" t="str">
            <v>-18</v>
          </cell>
          <cell r="Q782">
            <v>120</v>
          </cell>
        </row>
        <row r="783">
          <cell r="B783">
            <v>1002134615897</v>
          </cell>
          <cell r="C783" t="str">
            <v>БЛИНЧ.КРУГЛЫЕ С ГРУШЕЙ пл.1/420 зам.</v>
          </cell>
          <cell r="D783" t="str">
            <v>ШТ</v>
          </cell>
          <cell r="E783" t="str">
            <v>Полуфабрикаты зам</v>
          </cell>
          <cell r="F783" t="str">
            <v>Блины</v>
          </cell>
          <cell r="G783" t="str">
            <v>Останкино</v>
          </cell>
          <cell r="H783" t="str">
            <v>ОМПК(О)</v>
          </cell>
          <cell r="I783" t="str">
            <v xml:space="preserve">ТУ 10.72.19-162-00425283-2023 </v>
          </cell>
          <cell r="J783" t="str">
            <v>Хлебобулочное изделие. Полуфабрикат высокой степени готовности: блинчики круглые быстрозамороженные.</v>
          </cell>
          <cell r="K783" t="str">
            <v>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v>
          </cell>
          <cell r="L783">
            <v>3</v>
          </cell>
          <cell r="M783">
            <v>8</v>
          </cell>
          <cell r="N783">
            <v>34</v>
          </cell>
          <cell r="O783" t="str">
            <v>220/925</v>
          </cell>
          <cell r="P783" t="str">
            <v>-18</v>
          </cell>
          <cell r="Q783">
            <v>120</v>
          </cell>
        </row>
        <row r="784">
          <cell r="B784">
            <v>1002134617109</v>
          </cell>
          <cell r="C784" t="str">
            <v>БЛИНЧ.КРУГЛЫЕ С ГРУШЕЙ 1/300 12шт.зам.</v>
          </cell>
          <cell r="D784" t="str">
            <v>ШТ</v>
          </cell>
          <cell r="E784" t="str">
            <v>Полуфабрикаты зам</v>
          </cell>
          <cell r="F784" t="str">
            <v>Блины</v>
          </cell>
          <cell r="G784" t="str">
            <v>Папа может</v>
          </cell>
          <cell r="H784" t="str">
            <v>ОМПК(О)</v>
          </cell>
          <cell r="I784" t="str">
            <v xml:space="preserve">ТУ 10.72.19-162-00425283-2023 </v>
          </cell>
          <cell r="J784" t="str">
            <v>Хлебобулочное изделие. Полуфабрикат высокой степени готовности: блинчики круглые быстрозамороженные.</v>
          </cell>
          <cell r="K784" t="str">
            <v>Тесто для блинов: мука пшеничная в/с, вода питьевая, масло подсолнечное рафинированное дезодорированное, сахар, порошок яичный, сыворотка молочная сухая, соль, разрыхлитель (гидрокарбонат натрия), антиокислитель (лимонная кислота). Начинка: груша, сахар, вода питьевая, загуститель (модифицированный крахмал), ароматизатор натуральный.</v>
          </cell>
          <cell r="L784">
            <v>3</v>
          </cell>
          <cell r="M784">
            <v>8</v>
          </cell>
          <cell r="N784">
            <v>33</v>
          </cell>
          <cell r="O784" t="str">
            <v>216/908</v>
          </cell>
          <cell r="P784" t="str">
            <v>-18</v>
          </cell>
          <cell r="Q784">
            <v>120</v>
          </cell>
        </row>
        <row r="785">
          <cell r="B785">
            <v>1002134276819</v>
          </cell>
          <cell r="C785" t="str">
            <v>БЛИНЧ.КРУГЛЫЕ С САД.ЯБЛОК.пл.1/300 зам.</v>
          </cell>
          <cell r="D785" t="str">
            <v>ШТ</v>
          </cell>
          <cell r="E785" t="str">
            <v>Полуфабрикаты зам</v>
          </cell>
          <cell r="F785" t="str">
            <v>Блины</v>
          </cell>
          <cell r="G785" t="str">
            <v>Останкино</v>
          </cell>
          <cell r="H785" t="str">
            <v>ОМПК(О)</v>
          </cell>
          <cell r="I785" t="str">
            <v xml:space="preserve">ТУ 10.72.19-162-00425283-2023 </v>
          </cell>
          <cell r="J785" t="str">
            <v>Хлебобулочное изделие. Полуфабрикат высокой степени готовности. Блинчики круглые быстрозамороженные.</v>
          </cell>
          <cell r="K785" t="str">
            <v>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v>
          </cell>
          <cell r="L785">
            <v>3</v>
          </cell>
          <cell r="M785">
            <v>8</v>
          </cell>
          <cell r="N785">
            <v>33</v>
          </cell>
          <cell r="O785" t="str">
            <v>216/908</v>
          </cell>
          <cell r="P785" t="str">
            <v>-18</v>
          </cell>
          <cell r="Q785">
            <v>120</v>
          </cell>
        </row>
        <row r="786">
          <cell r="B786">
            <v>1002131154731</v>
          </cell>
          <cell r="C786" t="str">
            <v>БЛИНЧ.С МЯСОМ 5кг зам._120с</v>
          </cell>
          <cell r="D786" t="str">
            <v>ШТ</v>
          </cell>
          <cell r="E786" t="str">
            <v>Полуфабрикаты зам</v>
          </cell>
          <cell r="F786" t="str">
            <v>Блины</v>
          </cell>
          <cell r="G786" t="str">
            <v>Останкино</v>
          </cell>
          <cell r="H786" t="str">
            <v>ОМПК(О)</v>
          </cell>
          <cell r="I786" t="str">
            <v xml:space="preserve">ТУ 10.72.19-162-00425283-2023 </v>
          </cell>
          <cell r="J786" t="str">
            <v>Хлебобулочное изделие. Полуфабрикат высокой степени готовности: блинчики быстрозамороженные.</v>
          </cell>
          <cell r="K786" t="str">
            <v>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v>
          </cell>
          <cell r="L786">
            <v>8</v>
          </cell>
          <cell r="M786">
            <v>11</v>
          </cell>
          <cell r="N786">
            <v>33</v>
          </cell>
          <cell r="O786" t="str">
            <v>263/1104</v>
          </cell>
          <cell r="P786" t="str">
            <v>-18</v>
          </cell>
          <cell r="Q786">
            <v>120</v>
          </cell>
        </row>
        <row r="787">
          <cell r="B787">
            <v>1002131155754</v>
          </cell>
          <cell r="C787" t="str">
            <v>БЛИНЧ.КРУГЛЫЕ С МЯСОМ 4.5кг зам_ФМ</v>
          </cell>
          <cell r="D787" t="str">
            <v>КГ</v>
          </cell>
          <cell r="E787" t="str">
            <v>Полуфабрикаты зам</v>
          </cell>
          <cell r="F787" t="str">
            <v>Блины</v>
          </cell>
          <cell r="G787" t="str">
            <v>Останкино</v>
          </cell>
          <cell r="H787" t="str">
            <v>ОМПК(О)</v>
          </cell>
          <cell r="I787" t="str">
            <v xml:space="preserve">ТУ 10.72.19-162-00425283-2023 </v>
          </cell>
          <cell r="J787" t="str">
            <v>Хлебобулочное изделие. Полуфабрикат высокой степени готовности: блинчики круглые быстрозамороженные.</v>
          </cell>
          <cell r="K787"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v>
          </cell>
          <cell r="L787">
            <v>8</v>
          </cell>
          <cell r="M787">
            <v>11</v>
          </cell>
          <cell r="N787">
            <v>33</v>
          </cell>
          <cell r="O787" t="str">
            <v>270/1130</v>
          </cell>
          <cell r="P787" t="str">
            <v>-18</v>
          </cell>
          <cell r="Q787">
            <v>120</v>
          </cell>
        </row>
        <row r="788">
          <cell r="B788">
            <v>1002131185755</v>
          </cell>
          <cell r="C788" t="str">
            <v>БЛИНЧ.КРУГЛЫЕ С ТВОРОГОМ 4.5кг зам_ФМ</v>
          </cell>
          <cell r="D788" t="str">
            <v>КГ</v>
          </cell>
          <cell r="E788" t="str">
            <v>Полуфабрикаты зам</v>
          </cell>
          <cell r="F788" t="str">
            <v>Блины</v>
          </cell>
          <cell r="G788" t="str">
            <v>Останкино</v>
          </cell>
          <cell r="H788" t="str">
            <v>ОМПК(О)</v>
          </cell>
          <cell r="I788" t="str">
            <v xml:space="preserve">ТУ 10.72.19-162-00425283-2023 </v>
          </cell>
          <cell r="J788" t="str">
            <v>Хлебобулочное изделие. Полуфабрикат высокой степени готовности. Блинчики круглые быстрозамороженные.</v>
          </cell>
          <cell r="K788"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v>
          </cell>
          <cell r="L788">
            <v>6</v>
          </cell>
          <cell r="M788">
            <v>10</v>
          </cell>
          <cell r="N788">
            <v>30</v>
          </cell>
          <cell r="O788" t="str">
            <v>234/982</v>
          </cell>
          <cell r="P788" t="str">
            <v>-18</v>
          </cell>
          <cell r="Q788">
            <v>120</v>
          </cell>
        </row>
        <row r="789">
          <cell r="B789">
            <v>1002171554809</v>
          </cell>
          <cell r="C789" t="str">
            <v>НОГИ СВИНЫЕ упак.зам.</v>
          </cell>
          <cell r="D789" t="str">
            <v>КГ</v>
          </cell>
          <cell r="E789" t="str">
            <v>Полуфабрикаты зам</v>
          </cell>
          <cell r="F789" t="str">
            <v>ЗПФ Кусковые</v>
          </cell>
          <cell r="G789" t="str">
            <v>Останкино</v>
          </cell>
          <cell r="H789" t="str">
            <v>ОМПК (Г)</v>
          </cell>
          <cell r="I789" t="str">
            <v>ГОСТ 32244-2013</v>
          </cell>
          <cell r="J789" t="str">
            <v>Субпродукт свиной замороженный шерстный.</v>
          </cell>
          <cell r="K789" t="str">
            <v>ноги свиные</v>
          </cell>
          <cell r="L789">
            <v>25</v>
          </cell>
          <cell r="M789">
            <v>7</v>
          </cell>
          <cell r="O789" t="str">
            <v>163/684</v>
          </cell>
          <cell r="P789" t="str">
            <v>-18</v>
          </cell>
          <cell r="Q789">
            <v>365</v>
          </cell>
        </row>
        <row r="790">
          <cell r="B790">
            <v>1002172146099</v>
          </cell>
          <cell r="C790" t="str">
            <v>ПЕЧЕНЬ СВИНАЯ упак.зам.</v>
          </cell>
          <cell r="D790" t="str">
            <v>КГ</v>
          </cell>
          <cell r="E790" t="str">
            <v>Полуфабрикаты зам</v>
          </cell>
          <cell r="F790" t="str">
            <v>ЗПФ Кусковые</v>
          </cell>
          <cell r="G790" t="str">
            <v>Останкино</v>
          </cell>
          <cell r="H790" t="str">
            <v>ОМПК (Г)</v>
          </cell>
          <cell r="I790" t="str">
            <v>ГОСТ 32244-2013</v>
          </cell>
          <cell r="J790" t="str">
            <v>Субпродукт свиной замороженный мякотный.</v>
          </cell>
          <cell r="K790" t="str">
            <v xml:space="preserve"> печень свиная</v>
          </cell>
          <cell r="L790">
            <v>18</v>
          </cell>
          <cell r="M790">
            <v>4</v>
          </cell>
          <cell r="O790" t="str">
            <v>108/454</v>
          </cell>
          <cell r="P790" t="str">
            <v>-18</v>
          </cell>
          <cell r="Q790">
            <v>365</v>
          </cell>
        </row>
        <row r="791">
          <cell r="B791">
            <v>1002172146162</v>
          </cell>
          <cell r="C791" t="str">
            <v>ПЕЧЕНЬ СВИНАЯ упак.зам_Ашан</v>
          </cell>
          <cell r="D791" t="str">
            <v>КГ</v>
          </cell>
          <cell r="E791" t="str">
            <v>Полуфабрикаты зам</v>
          </cell>
          <cell r="F791" t="str">
            <v>ЗПФ Кусковые</v>
          </cell>
          <cell r="G791" t="str">
            <v>Останкино</v>
          </cell>
          <cell r="H791" t="str">
            <v>ОМПК (Г)</v>
          </cell>
          <cell r="I791" t="str">
            <v>ГОСТ 32244-2013</v>
          </cell>
          <cell r="J791" t="str">
            <v>Субпродукт свиной замороженный мякотный.</v>
          </cell>
          <cell r="K791" t="str">
            <v xml:space="preserve"> печень свиная</v>
          </cell>
          <cell r="L791">
            <v>18</v>
          </cell>
          <cell r="M791">
            <v>4</v>
          </cell>
          <cell r="O791" t="str">
            <v>108/454</v>
          </cell>
          <cell r="P791" t="str">
            <v>-18</v>
          </cell>
          <cell r="Q791">
            <v>365</v>
          </cell>
        </row>
        <row r="792">
          <cell r="B792">
            <v>1002174986100</v>
          </cell>
          <cell r="C792" t="str">
            <v>СЕРДЦЕ СВИНОЕ упак.зам.</v>
          </cell>
          <cell r="D792" t="str">
            <v>КГ</v>
          </cell>
          <cell r="E792" t="str">
            <v>Полуфабрикаты зам</v>
          </cell>
          <cell r="F792" t="str">
            <v>ЗПФ Кусковые</v>
          </cell>
          <cell r="G792" t="str">
            <v>Останкино</v>
          </cell>
          <cell r="H792" t="str">
            <v>ОМПК (Г)</v>
          </cell>
          <cell r="I792" t="str">
            <v>ГОСТ 32244-2013</v>
          </cell>
          <cell r="J792" t="str">
            <v>Субпродукт свиной замороженный мякотный.</v>
          </cell>
          <cell r="K792" t="str">
            <v>сердце свиное</v>
          </cell>
          <cell r="L792">
            <v>16</v>
          </cell>
          <cell r="M792">
            <v>4</v>
          </cell>
          <cell r="O792" t="str">
            <v>100/420</v>
          </cell>
          <cell r="P792" t="str">
            <v>-18</v>
          </cell>
          <cell r="Q792">
            <v>365</v>
          </cell>
        </row>
        <row r="793">
          <cell r="B793">
            <v>1002174996101</v>
          </cell>
          <cell r="C793" t="str">
            <v>ХВОСТЫ СВИНЫЕ упак.зам.</v>
          </cell>
          <cell r="D793" t="str">
            <v>КГ</v>
          </cell>
          <cell r="E793" t="str">
            <v>Полуфабрикаты зам</v>
          </cell>
          <cell r="F793" t="str">
            <v>ЗПФ Кусковые</v>
          </cell>
          <cell r="G793" t="str">
            <v>Останкино</v>
          </cell>
          <cell r="H793" t="str">
            <v>ОМПК (Г)</v>
          </cell>
          <cell r="I793" t="str">
            <v>ГОСТ 32244-2013</v>
          </cell>
          <cell r="J793" t="str">
            <v>Субпродукт свиной замороженный шерстный.</v>
          </cell>
          <cell r="K793" t="str">
            <v>хвосты свиные</v>
          </cell>
          <cell r="L793">
            <v>16</v>
          </cell>
          <cell r="M793">
            <v>40</v>
          </cell>
          <cell r="O793" t="str">
            <v>424/1752</v>
          </cell>
          <cell r="P793" t="str">
            <v>-18</v>
          </cell>
          <cell r="Q793">
            <v>365</v>
          </cell>
        </row>
        <row r="794">
          <cell r="B794">
            <v>1002365006581</v>
          </cell>
          <cell r="C794" t="str">
            <v>ЯЗЫК СВИНОЙ упак.зам.</v>
          </cell>
          <cell r="D794" t="str">
            <v>КГ</v>
          </cell>
          <cell r="E794" t="str">
            <v>Полуфабрикаты зам</v>
          </cell>
          <cell r="F794" t="str">
            <v>ЗПФ Кусковые</v>
          </cell>
          <cell r="G794" t="str">
            <v>Останкино</v>
          </cell>
          <cell r="H794" t="str">
            <v>ОМПК (Г)</v>
          </cell>
          <cell r="I794" t="str">
            <v>ГОСТ 32244-2013</v>
          </cell>
          <cell r="J794" t="str">
            <v>Субпродукт свиной замороженный мякотный.</v>
          </cell>
          <cell r="K794" t="str">
            <v>язык свиной</v>
          </cell>
          <cell r="L794">
            <v>16</v>
          </cell>
          <cell r="M794">
            <v>16</v>
          </cell>
          <cell r="O794" t="str">
            <v>208/864</v>
          </cell>
          <cell r="P794" t="str">
            <v>-18</v>
          </cell>
          <cell r="Q794">
            <v>365</v>
          </cell>
        </row>
        <row r="795">
          <cell r="B795">
            <v>1002365006598</v>
          </cell>
          <cell r="C795" t="str">
            <v>ЯЗЫК СВИНОЙ упак.зам_Ашан</v>
          </cell>
          <cell r="D795" t="str">
            <v>КГ</v>
          </cell>
          <cell r="E795" t="str">
            <v>Полуфабрикаты зам</v>
          </cell>
          <cell r="F795" t="str">
            <v>ЗПФ Кусковые</v>
          </cell>
          <cell r="G795" t="str">
            <v>Останкино</v>
          </cell>
          <cell r="H795" t="str">
            <v>ОМПК (Г)</v>
          </cell>
          <cell r="I795" t="str">
            <v>ГОСТ 32244-2013</v>
          </cell>
          <cell r="J795" t="str">
            <v>Субпродукт свиной замороженный мякотный.</v>
          </cell>
          <cell r="K795" t="str">
            <v>язык свиной</v>
          </cell>
          <cell r="L795">
            <v>16</v>
          </cell>
          <cell r="M795">
            <v>16</v>
          </cell>
          <cell r="O795" t="str">
            <v>208/864</v>
          </cell>
          <cell r="P795" t="str">
            <v>-18</v>
          </cell>
          <cell r="Q795">
            <v>365</v>
          </cell>
        </row>
        <row r="796">
          <cell r="B796">
            <v>1002365007561</v>
          </cell>
          <cell r="C796" t="str">
            <v>ЯЗЫК СВИНОЙ зам. в/у_Лента</v>
          </cell>
          <cell r="D796" t="str">
            <v>КГ</v>
          </cell>
          <cell r="E796" t="str">
            <v>Полуфабрикаты зам</v>
          </cell>
          <cell r="F796" t="str">
            <v>ЗПФ Кусковые</v>
          </cell>
          <cell r="G796" t="str">
            <v>Останкино</v>
          </cell>
          <cell r="H796" t="str">
            <v>ОМПК (Г)</v>
          </cell>
          <cell r="I796" t="str">
            <v>ГОСТ 32244-2013</v>
          </cell>
          <cell r="J796" t="str">
            <v>Субпродукт свиной замороженный мякотный.</v>
          </cell>
          <cell r="K796" t="str">
            <v>язык свиной</v>
          </cell>
          <cell r="L796">
            <v>16</v>
          </cell>
          <cell r="M796">
            <v>16</v>
          </cell>
          <cell r="N796">
            <v>0</v>
          </cell>
          <cell r="O796" t="str">
            <v>208/864</v>
          </cell>
          <cell r="P796" t="str">
            <v>-18</v>
          </cell>
          <cell r="Q796">
            <v>180</v>
          </cell>
        </row>
        <row r="797">
          <cell r="B797">
            <v>1002365007043</v>
          </cell>
          <cell r="C797" t="str">
            <v>ЯЗЫК СВИНОЙ (в блоках) зам.</v>
          </cell>
          <cell r="D797" t="str">
            <v>КГ</v>
          </cell>
          <cell r="E797" t="str">
            <v>Полуфабрикаты зам</v>
          </cell>
          <cell r="F797" t="str">
            <v>ЗПФ Кусковые</v>
          </cell>
          <cell r="G797" t="str">
            <v>Останкино</v>
          </cell>
          <cell r="H797" t="str">
            <v>ОМПК (Г)</v>
          </cell>
          <cell r="I797" t="str">
            <v>ГОСТ 32244-2013</v>
          </cell>
          <cell r="J797" t="str">
            <v>Субпродукт свиной замороженный мякотный.</v>
          </cell>
          <cell r="K797" t="str">
            <v>язык свиной</v>
          </cell>
          <cell r="L797">
            <v>16</v>
          </cell>
          <cell r="M797">
            <v>16</v>
          </cell>
          <cell r="O797" t="str">
            <v>208/864</v>
          </cell>
          <cell r="P797" t="str">
            <v>-18</v>
          </cell>
          <cell r="Q797">
            <v>365</v>
          </cell>
        </row>
        <row r="798">
          <cell r="B798">
            <v>1002162166019</v>
          </cell>
          <cell r="C798" t="str">
            <v>РЕБРЫШКИ ОБЫКНОВЕННЫЕ 1кг 12шт.зам_120с</v>
          </cell>
          <cell r="D798" t="str">
            <v>ШТ</v>
          </cell>
          <cell r="E798" t="str">
            <v>Полуфабрикаты зам</v>
          </cell>
          <cell r="F798" t="str">
            <v>ЗПФ Кусковые</v>
          </cell>
          <cell r="G798" t="str">
            <v>Останкино</v>
          </cell>
          <cell r="H798" t="str">
            <v>ОМПК(О)</v>
          </cell>
          <cell r="I798" t="str">
            <v>ТУ 10.13.14-151-00425283-2025</v>
          </cell>
          <cell r="J798" t="str">
            <v>Мясной полуфабрикат из свинины мясокостный крупнокусковой замороженный категории Б</v>
          </cell>
          <cell r="K798" t="str">
            <v>свинина на кости</v>
          </cell>
          <cell r="L798">
            <v>16</v>
          </cell>
          <cell r="M798">
            <v>21</v>
          </cell>
          <cell r="N798">
            <v>0</v>
          </cell>
          <cell r="O798" t="str">
            <v>253/1049</v>
          </cell>
          <cell r="P798" t="str">
            <v>-18</v>
          </cell>
          <cell r="Q798">
            <v>120</v>
          </cell>
        </row>
        <row r="799">
          <cell r="B799">
            <v>1002162156004</v>
          </cell>
          <cell r="C799" t="str">
            <v>РАГУ СВИНОЕ 1кг 8шт.зам_120с</v>
          </cell>
          <cell r="D799" t="str">
            <v>ШТ</v>
          </cell>
          <cell r="E799" t="str">
            <v>Полуфабрикаты зам</v>
          </cell>
          <cell r="F799" t="str">
            <v>ЗПФ Кусковые</v>
          </cell>
          <cell r="G799" t="str">
            <v>Останкино</v>
          </cell>
          <cell r="H799" t="str">
            <v>ОМПК(О)</v>
          </cell>
          <cell r="I799" t="str">
            <v>ТУ 10.13.14-151-00425283-2025</v>
          </cell>
          <cell r="J799" t="str">
            <v>Мясной полуфабрикат из свинины мясокостный мелкокусковой замороженный категории В.</v>
          </cell>
          <cell r="K799" t="str">
            <v>свинина на кости</v>
          </cell>
          <cell r="L799">
            <v>15</v>
          </cell>
          <cell r="M799">
            <v>21</v>
          </cell>
          <cell r="N799">
            <v>0</v>
          </cell>
          <cell r="O799" t="str">
            <v>249/1032</v>
          </cell>
          <cell r="P799" t="str">
            <v>-18</v>
          </cell>
          <cell r="Q799">
            <v>120</v>
          </cell>
        </row>
        <row r="800">
          <cell r="B800">
            <v>1002171586745</v>
          </cell>
          <cell r="C800" t="str">
            <v>РАГУ СВИНОЕ (в пластах) зам.</v>
          </cell>
          <cell r="D800" t="str">
            <v>КГ</v>
          </cell>
          <cell r="E800" t="str">
            <v>Полуфабрикаты зам</v>
          </cell>
          <cell r="F800" t="str">
            <v>ЗПФ Кусковые</v>
          </cell>
          <cell r="G800" t="str">
            <v>Останкино</v>
          </cell>
          <cell r="H800" t="str">
            <v>ОМПК(О)</v>
          </cell>
          <cell r="I800" t="str">
            <v>ТУ 10.13.14-151-00425283-2018</v>
          </cell>
          <cell r="J800" t="str">
            <v>Полуфабрикат из свинины замороженный мясокостный мелкокусковой категории В.</v>
          </cell>
          <cell r="K800" t="str">
            <v>свинина на кости</v>
          </cell>
          <cell r="L800">
            <v>15</v>
          </cell>
          <cell r="M800">
            <v>21</v>
          </cell>
          <cell r="O800" t="str">
            <v>249/1032</v>
          </cell>
          <cell r="P800" t="str">
            <v>-18</v>
          </cell>
          <cell r="Q800">
            <v>90</v>
          </cell>
        </row>
        <row r="801">
          <cell r="B801">
            <v>1002162216872</v>
          </cell>
          <cell r="C801" t="str">
            <v>ШАШЛЫК ИЗ СВИНИНЫ зам.</v>
          </cell>
          <cell r="D801" t="str">
            <v>КГ</v>
          </cell>
          <cell r="E801" t="str">
            <v>Полуфабрикаты зам</v>
          </cell>
          <cell r="F801" t="str">
            <v>ОПФ Шашлыки Маринады</v>
          </cell>
          <cell r="G801" t="str">
            <v>Останкино</v>
          </cell>
          <cell r="H801" t="str">
            <v>ОМПК(О)</v>
          </cell>
          <cell r="I801" t="str">
            <v>ТУ 10.13.14-151-00425283-2025</v>
          </cell>
          <cell r="J801" t="str">
            <v>Полуфабрикат мясной бескостный мелкокусковой охлажденный маринованный категории Б.</v>
          </cell>
          <cell r="K801"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801">
            <v>12</v>
          </cell>
          <cell r="M801">
            <v>10</v>
          </cell>
          <cell r="N801">
            <v>1</v>
          </cell>
          <cell r="O801" t="str">
            <v>142/591</v>
          </cell>
          <cell r="P801" t="str">
            <v>-18</v>
          </cell>
          <cell r="Q801">
            <v>90</v>
          </cell>
        </row>
        <row r="802">
          <cell r="B802">
            <v>1002162094933</v>
          </cell>
          <cell r="C802" t="str">
            <v>НОГИ СВИНЫЕ ПЕРЕДНИЕ зам.</v>
          </cell>
          <cell r="D802" t="str">
            <v>ШТ</v>
          </cell>
          <cell r="E802" t="str">
            <v>Полуфабрикаты зам</v>
          </cell>
          <cell r="F802" t="str">
            <v>ЗПФ Кусковые</v>
          </cell>
          <cell r="G802" t="str">
            <v>Останкино</v>
          </cell>
          <cell r="H802" t="str">
            <v>ОМПК (О)
ОМПК (Г)</v>
          </cell>
          <cell r="I802" t="str">
            <v>ГОСТ 32244-2013</v>
          </cell>
          <cell r="J802" t="str">
            <v>Субпродукт свиной замороженный шерстный.</v>
          </cell>
          <cell r="K802" t="str">
            <v>ноги свиные передние</v>
          </cell>
          <cell r="L802">
            <v>25</v>
          </cell>
          <cell r="M802">
            <v>7</v>
          </cell>
          <cell r="O802" t="str">
            <v>163/682</v>
          </cell>
          <cell r="P802" t="str">
            <v>-18</v>
          </cell>
          <cell r="Q802">
            <v>365</v>
          </cell>
        </row>
        <row r="803">
          <cell r="B803">
            <v>1002162094934</v>
          </cell>
          <cell r="C803" t="str">
            <v>НОГИ СВИНЫЕ ЗАДНИЕ зам.</v>
          </cell>
          <cell r="D803" t="str">
            <v>ШТ</v>
          </cell>
          <cell r="E803" t="str">
            <v>Полуфабрикаты зам</v>
          </cell>
          <cell r="F803" t="str">
            <v>ЗПФ Кусковые</v>
          </cell>
          <cell r="G803" t="str">
            <v>Останкино</v>
          </cell>
          <cell r="H803" t="str">
            <v>ОМПК (О)
ОМПК (Г)</v>
          </cell>
          <cell r="I803" t="str">
            <v>ГОСТ 32244-2013</v>
          </cell>
          <cell r="J803" t="str">
            <v>Субпродукт свиной замороженный шерстный.</v>
          </cell>
          <cell r="K803" t="str">
            <v>ноги свиные задние</v>
          </cell>
          <cell r="L803">
            <v>25</v>
          </cell>
          <cell r="M803">
            <v>7</v>
          </cell>
          <cell r="O803" t="str">
            <v>163/682</v>
          </cell>
          <cell r="P803" t="str">
            <v>-18</v>
          </cell>
          <cell r="Q803">
            <v>365</v>
          </cell>
        </row>
        <row r="804">
          <cell r="B804">
            <v>1002163474935</v>
          </cell>
          <cell r="C804" t="str">
            <v>УШИ СВИНЫЕ зам.</v>
          </cell>
          <cell r="D804" t="str">
            <v>ШТ</v>
          </cell>
          <cell r="E804" t="str">
            <v>Полуфабрикаты зам</v>
          </cell>
          <cell r="F804" t="str">
            <v>ЗПФ Кусковые</v>
          </cell>
          <cell r="G804" t="str">
            <v>Останкино</v>
          </cell>
          <cell r="H804" t="str">
            <v>ОМПК (О)
ОМПК (Г)</v>
          </cell>
          <cell r="I804" t="str">
            <v>ГОСТ 32244-2013</v>
          </cell>
          <cell r="J804" t="str">
            <v>Субпродукт свиной замороженный шерстный.</v>
          </cell>
          <cell r="K804" t="str">
            <v>уши свиные</v>
          </cell>
          <cell r="L804">
            <v>20</v>
          </cell>
          <cell r="M804">
            <v>23</v>
          </cell>
          <cell r="O804" t="str">
            <v>116/486</v>
          </cell>
          <cell r="P804" t="str">
            <v>-18</v>
          </cell>
          <cell r="Q804">
            <v>365</v>
          </cell>
        </row>
        <row r="805">
          <cell r="B805">
            <v>1002116517224</v>
          </cell>
          <cell r="C805" t="str">
            <v>МЯСНЫЕ ПРЕМИУМ пельм кор.0.4кг зам.</v>
          </cell>
          <cell r="D805" t="str">
            <v>ШТ</v>
          </cell>
          <cell r="E805" t="str">
            <v>Полуфабрикаты зам</v>
          </cell>
          <cell r="F805" t="str">
            <v>Пельмени Вареники</v>
          </cell>
          <cell r="G805" t="str">
            <v>Останкино</v>
          </cell>
          <cell r="H805" t="str">
            <v>ОМПК(О)</v>
          </cell>
          <cell r="I805" t="str">
            <v>ТУ 10.13.14-147-00425283-2018</v>
          </cell>
          <cell r="J805" t="str">
            <v>Полуфабрикат в тесте с мясной начинкой замороженный категории Б.</v>
          </cell>
          <cell r="K805" t="str">
            <v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v>
          </cell>
          <cell r="L805">
            <v>9</v>
          </cell>
          <cell r="M805">
            <v>9</v>
          </cell>
          <cell r="N805">
            <v>28</v>
          </cell>
          <cell r="O805" t="str">
            <v>229/962</v>
          </cell>
          <cell r="P805" t="str">
            <v>-18</v>
          </cell>
          <cell r="Q805">
            <v>180</v>
          </cell>
        </row>
        <row r="806">
          <cell r="B806">
            <v>1002112606580</v>
          </cell>
          <cell r="C806" t="str">
            <v>ОСТАНКИНСКИЕ пельм пл. 0.9кг зам_NEW</v>
          </cell>
          <cell r="D806" t="str">
            <v>ШТ</v>
          </cell>
          <cell r="E806" t="str">
            <v>Полуфабрикаты зам</v>
          </cell>
          <cell r="F806" t="str">
            <v>Пельмени Вареники</v>
          </cell>
          <cell r="G806" t="str">
            <v>Останкино</v>
          </cell>
          <cell r="H806" t="str">
            <v>ОМПК(О)</v>
          </cell>
          <cell r="I806" t="str">
            <v>ТУ 10.13.14-147-00425283-2018</v>
          </cell>
          <cell r="J806" t="str">
            <v>Полуфабрикат в тесте с мясной начинкой замороженный категории В.</v>
          </cell>
          <cell r="K806" t="str">
            <v>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v>
          </cell>
          <cell r="L806">
            <v>10</v>
          </cell>
          <cell r="M806">
            <v>8</v>
          </cell>
          <cell r="N806">
            <v>31</v>
          </cell>
          <cell r="O806" t="str">
            <v>236/993</v>
          </cell>
          <cell r="P806" t="str">
            <v>-18</v>
          </cell>
          <cell r="Q806">
            <v>180</v>
          </cell>
        </row>
        <row r="807">
          <cell r="B807">
            <v>1002112607085</v>
          </cell>
          <cell r="C807" t="str">
            <v>ОСТАНКИНСКИЕ пельм пл. 0.7кг 10шт.зам.</v>
          </cell>
          <cell r="D807" t="str">
            <v>ШТ</v>
          </cell>
          <cell r="E807" t="str">
            <v>Полуфабрикаты зам</v>
          </cell>
          <cell r="F807" t="str">
            <v>Пельмени Вареники</v>
          </cell>
          <cell r="G807" t="str">
            <v>Останкино</v>
          </cell>
          <cell r="H807" t="str">
            <v>ОМПК(О)</v>
          </cell>
          <cell r="I807" t="str">
            <v>ТУ 10.13.14-147-00425283-2018</v>
          </cell>
          <cell r="J807" t="str">
            <v>Мясной полуфабрикат в тесте категории В замороженный.</v>
          </cell>
          <cell r="K807"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7">
            <v>9</v>
          </cell>
          <cell r="M807">
            <v>8</v>
          </cell>
          <cell r="N807">
            <v>30</v>
          </cell>
          <cell r="O807" t="str">
            <v>228/959</v>
          </cell>
          <cell r="P807" t="str">
            <v>-18</v>
          </cell>
          <cell r="Q807">
            <v>180</v>
          </cell>
        </row>
        <row r="808">
          <cell r="B808">
            <v>1002112606824</v>
          </cell>
          <cell r="C808" t="str">
            <v>ОСТАНКИНСКИЕ пельм кор.0.5кг зам_NEW</v>
          </cell>
          <cell r="D808" t="str">
            <v>ШТ</v>
          </cell>
          <cell r="E808" t="str">
            <v>Полуфабрикаты зам</v>
          </cell>
          <cell r="F808" t="str">
            <v>Пельмени Вареники</v>
          </cell>
          <cell r="G808" t="str">
            <v>Останкино</v>
          </cell>
          <cell r="H808" t="str">
            <v>ОМПК(О)</v>
          </cell>
          <cell r="I808" t="str">
            <v>ТУ 10.13.14-147-00425283-2018</v>
          </cell>
          <cell r="J808" t="str">
            <v>Полуфабрикат в тесте с мясной начинкой замороженный категории В.</v>
          </cell>
          <cell r="K808"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8">
            <v>9</v>
          </cell>
          <cell r="M808">
            <v>8</v>
          </cell>
          <cell r="N808">
            <v>30</v>
          </cell>
          <cell r="O808" t="str">
            <v>228/959</v>
          </cell>
          <cell r="P808" t="str">
            <v>-18</v>
          </cell>
          <cell r="Q808">
            <v>180</v>
          </cell>
        </row>
        <row r="809">
          <cell r="B809">
            <v>1002112606613</v>
          </cell>
          <cell r="C809" t="str">
            <v>ОСТАНКИНСКИЕ пельм кор.0.4кг зам.</v>
          </cell>
          <cell r="D809" t="str">
            <v>ШТ</v>
          </cell>
          <cell r="E809" t="str">
            <v>Полуфабрикаты зам</v>
          </cell>
          <cell r="F809" t="str">
            <v>Пельмени Вареники</v>
          </cell>
          <cell r="G809" t="str">
            <v>Останкино</v>
          </cell>
          <cell r="H809" t="str">
            <v>ОМПК(О)</v>
          </cell>
          <cell r="I809" t="str">
            <v>ТУ 10.13.14-147-00425283-2018</v>
          </cell>
          <cell r="J809" t="str">
            <v>Полуфабрикат в тесте с мясной начинкой замороженный категории В.</v>
          </cell>
          <cell r="K809"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9">
            <v>9</v>
          </cell>
          <cell r="M809">
            <v>8</v>
          </cell>
          <cell r="N809">
            <v>30</v>
          </cell>
          <cell r="O809" t="str">
            <v>228/959</v>
          </cell>
          <cell r="P809" t="str">
            <v>-18</v>
          </cell>
          <cell r="Q809">
            <v>180</v>
          </cell>
        </row>
        <row r="810">
          <cell r="B810">
            <v>1002115747462</v>
          </cell>
          <cell r="C810" t="str">
            <v>ФИРМЕННЫЕ пельм пл. 0.4кг зам.</v>
          </cell>
          <cell r="D810" t="str">
            <v>ШТ</v>
          </cell>
          <cell r="E810" t="str">
            <v>Полуфабрикаты зам</v>
          </cell>
          <cell r="F810" t="str">
            <v>Пельмени Вареники</v>
          </cell>
          <cell r="G810" t="str">
            <v>Папа может</v>
          </cell>
          <cell r="H810" t="str">
            <v>ОМПК(О)</v>
          </cell>
          <cell r="I810" t="str">
            <v>ТУ 10.13.14-147-00425283-2018</v>
          </cell>
          <cell r="J810" t="str">
            <v>Полуфабрикат в тесте с мясной начинкой замороженный категории Б.</v>
          </cell>
          <cell r="K810" t="str">
            <v xml:space="preserve">Тесто: мука пшеничная в/с, вода питьевая, масло растительное рафинированное дезодорированное, соль, разрыхлитель (карбонат натрия). Начинка: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1-замещеннный), ароматизаторы. </v>
          </cell>
          <cell r="L810">
            <v>9</v>
          </cell>
          <cell r="M810">
            <v>9</v>
          </cell>
          <cell r="N810">
            <v>28</v>
          </cell>
          <cell r="O810" t="str">
            <v>229/962</v>
          </cell>
          <cell r="P810" t="str">
            <v>-18</v>
          </cell>
          <cell r="Q810">
            <v>180</v>
          </cell>
        </row>
        <row r="811">
          <cell r="B811">
            <v>1002116917365</v>
          </cell>
          <cell r="C811" t="str">
            <v>СОЧНАЯ ПОРЦИЯ ПМ пельм.пл.0.25кг зам.</v>
          </cell>
          <cell r="D811" t="str">
            <v>ШТ</v>
          </cell>
          <cell r="E811" t="str">
            <v>Полуфабрикаты зам</v>
          </cell>
          <cell r="F811" t="str">
            <v>Пельмени Вареники</v>
          </cell>
          <cell r="G811" t="str">
            <v>Папа может</v>
          </cell>
          <cell r="H811" t="str">
            <v>ОМПК(О)</v>
          </cell>
          <cell r="I811" t="str">
            <v>ТУ 10.13.14-147-00425283-2018</v>
          </cell>
          <cell r="J811" t="str">
            <v>Мясной полуфабрикат в тесте категории В замороженный.</v>
          </cell>
          <cell r="K811"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v>
          </cell>
          <cell r="L811">
            <v>9</v>
          </cell>
          <cell r="M811">
            <v>8</v>
          </cell>
          <cell r="N811">
            <v>30</v>
          </cell>
          <cell r="O811" t="str">
            <v>228/959</v>
          </cell>
          <cell r="P811" t="str">
            <v>-18</v>
          </cell>
          <cell r="Q811">
            <v>180</v>
          </cell>
        </row>
        <row r="812">
          <cell r="B812">
            <v>1002112857212</v>
          </cell>
          <cell r="C812" t="str">
            <v>СОЧНЫЕ Папа Может пельм пл.0.42кг зам.</v>
          </cell>
          <cell r="D812" t="str">
            <v>ШТ</v>
          </cell>
          <cell r="E812" t="str">
            <v>Полуфабрикаты зам</v>
          </cell>
          <cell r="F812" t="str">
            <v>Пельмени Вареники</v>
          </cell>
          <cell r="G812" t="str">
            <v>Папа может</v>
          </cell>
          <cell r="H812" t="str">
            <v>ОМПК(О)</v>
          </cell>
          <cell r="I812" t="str">
            <v>ТУ 10.13.14-170-00425283-2024</v>
          </cell>
          <cell r="J812" t="str">
            <v>Полуфабрикат из мяса кур рубленый в тестовой оболочке замороженный.</v>
          </cell>
          <cell r="K812" t="str">
            <v>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v>
          </cell>
          <cell r="L812">
            <v>16</v>
          </cell>
          <cell r="M812">
            <v>7</v>
          </cell>
          <cell r="N812">
            <v>32</v>
          </cell>
          <cell r="O812" t="str">
            <v>255/1075</v>
          </cell>
          <cell r="P812" t="str">
            <v>-18</v>
          </cell>
          <cell r="Q812">
            <v>180</v>
          </cell>
        </row>
        <row r="813">
          <cell r="B813">
            <v>1002112857214</v>
          </cell>
          <cell r="C813" t="str">
            <v>СОЧНЫЕ Папа Может пельм пл.0.7кг зам.</v>
          </cell>
          <cell r="D813" t="str">
            <v>ШТ</v>
          </cell>
          <cell r="E813" t="str">
            <v>Полуфабрикаты зам</v>
          </cell>
          <cell r="F813" t="str">
            <v>Пельмени Вареники</v>
          </cell>
          <cell r="G813" t="str">
            <v>Папа может</v>
          </cell>
          <cell r="H813" t="str">
            <v>ОМПК(О)</v>
          </cell>
          <cell r="I813" t="str">
            <v>ТУ 10.13.14-170-00425283-2024</v>
          </cell>
          <cell r="J813" t="str">
            <v>Полуфабрикат из мяса кур рубленый в тестовой оболочке замороженный.</v>
          </cell>
          <cell r="K813" t="str">
            <v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v>
          </cell>
          <cell r="L813">
            <v>9</v>
          </cell>
          <cell r="M813">
            <v>7</v>
          </cell>
          <cell r="N813">
            <v>29</v>
          </cell>
          <cell r="O813" t="str">
            <v>215/905</v>
          </cell>
          <cell r="P813" t="str">
            <v>-18</v>
          </cell>
          <cell r="Q813">
            <v>180</v>
          </cell>
        </row>
        <row r="814">
          <cell r="B814">
            <v>1002112857375</v>
          </cell>
          <cell r="C814" t="str">
            <v>СОЧНЫЕ Папа Может пельм 4кг зам.</v>
          </cell>
          <cell r="D814" t="str">
            <v>КГ</v>
          </cell>
          <cell r="E814" t="str">
            <v>Полуфабрикаты зам</v>
          </cell>
          <cell r="F814" t="str">
            <v>Пельмени Вареники</v>
          </cell>
          <cell r="G814" t="str">
            <v>Папа может</v>
          </cell>
          <cell r="H814" t="str">
            <v>ОМПК(О)</v>
          </cell>
          <cell r="I814" t="str">
            <v>ТУ 10.13.14-170-00425283-2024</v>
          </cell>
          <cell r="J814" t="str">
            <v>Полуфабрикат из мяса кур рубленый в тестовой оболочке замороженный.</v>
          </cell>
          <cell r="K814" t="str">
            <v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v>
          </cell>
          <cell r="L814">
            <v>9</v>
          </cell>
          <cell r="M814">
            <v>7</v>
          </cell>
          <cell r="N814">
            <v>29</v>
          </cell>
          <cell r="O814" t="str">
            <v>215/905</v>
          </cell>
          <cell r="P814" t="str">
            <v>-18</v>
          </cell>
          <cell r="Q814">
            <v>180</v>
          </cell>
        </row>
        <row r="815">
          <cell r="B815">
            <v>1002116437217</v>
          </cell>
          <cell r="C815" t="str">
            <v>СОЧНЫЕ СО СЛ.МАСЛ.ПМ пельм пл.0.42кг зам</v>
          </cell>
          <cell r="D815" t="str">
            <v>ШТ</v>
          </cell>
          <cell r="E815" t="str">
            <v>Полуфабрикаты зам</v>
          </cell>
          <cell r="F815" t="str">
            <v>Пельмени Вареники</v>
          </cell>
          <cell r="G815" t="str">
            <v>Папа может</v>
          </cell>
          <cell r="H815" t="str">
            <v>ОМПК(О)</v>
          </cell>
          <cell r="I815" t="str">
            <v>ТУ 10.13.14-170-00425283-2024</v>
          </cell>
          <cell r="J815" t="str">
            <v>Полуфабрикат из мяса кур рубленый в тестовой оболочке замороженный.</v>
          </cell>
          <cell r="K815" t="str">
            <v>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v>
          </cell>
          <cell r="L815">
            <v>10</v>
          </cell>
          <cell r="M815">
            <v>5</v>
          </cell>
          <cell r="N815">
            <v>30</v>
          </cell>
          <cell r="O815" t="str">
            <v>205/867</v>
          </cell>
          <cell r="P815" t="str">
            <v>-18</v>
          </cell>
          <cell r="Q815">
            <v>180</v>
          </cell>
        </row>
        <row r="816">
          <cell r="B816">
            <v>1002116437216</v>
          </cell>
          <cell r="C816" t="str">
            <v>СОЧНЫЕ СО СЛ.МАСЛ.ПМ пельм пл.0.7кг зам.</v>
          </cell>
          <cell r="D816" t="str">
            <v>ШТ</v>
          </cell>
          <cell r="E816" t="str">
            <v>Полуфабрикаты зам</v>
          </cell>
          <cell r="F816" t="str">
            <v>Пельмени Вареники</v>
          </cell>
          <cell r="G816" t="str">
            <v>Папа может</v>
          </cell>
          <cell r="H816" t="str">
            <v>ОМПК(О)</v>
          </cell>
          <cell r="I816" t="str">
            <v>ТУ 10.13.14-170-00425283-2024</v>
          </cell>
          <cell r="J816" t="str">
            <v>Полуфабрикат из мяса кур рубленый в тестовой оболочке замороженный.</v>
          </cell>
          <cell r="K816" t="str">
            <v>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v>
          </cell>
          <cell r="L816">
            <v>10</v>
          </cell>
          <cell r="M816">
            <v>5</v>
          </cell>
          <cell r="N816">
            <v>30</v>
          </cell>
          <cell r="O816" t="str">
            <v>205/867</v>
          </cell>
          <cell r="P816" t="str">
            <v>-18</v>
          </cell>
          <cell r="Q816">
            <v>180</v>
          </cell>
        </row>
        <row r="817">
          <cell r="B817">
            <v>1002115806906</v>
          </cell>
          <cell r="C817" t="str">
            <v>СЫТНЫЕ ПМ пельм пл.0.7кг 10шт.зам.</v>
          </cell>
          <cell r="D817" t="str">
            <v>ШТ</v>
          </cell>
          <cell r="E817" t="str">
            <v>Полуфабрикаты зам</v>
          </cell>
          <cell r="F817" t="str">
            <v>Пельмени Вареники</v>
          </cell>
          <cell r="G817" t="str">
            <v>Папа может</v>
          </cell>
          <cell r="H817" t="str">
            <v>ОМПК(О)</v>
          </cell>
          <cell r="I817" t="str">
            <v>ТУ 10.13.14-170-00425283-2024</v>
          </cell>
          <cell r="J817" t="str">
            <v>Полуфабрикат из мяса кур рубленый в тестовой оболочке замороженный.</v>
          </cell>
          <cell r="K817" t="str">
            <v>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v>
          </cell>
          <cell r="L817">
            <v>16</v>
          </cell>
          <cell r="M817">
            <v>7</v>
          </cell>
          <cell r="N817">
            <v>32</v>
          </cell>
          <cell r="O817" t="str">
            <v>255/1075</v>
          </cell>
          <cell r="P817" t="str">
            <v>-18</v>
          </cell>
          <cell r="Q817">
            <v>180</v>
          </cell>
        </row>
        <row r="818">
          <cell r="B818">
            <v>1002151787049</v>
          </cell>
          <cell r="C818" t="str">
            <v>С КАРТОФ.И ГРИБ.вареники пл.0.42кг зам.</v>
          </cell>
          <cell r="D818" t="str">
            <v>ШТ</v>
          </cell>
          <cell r="E818" t="str">
            <v>Полуфабрикаты зам</v>
          </cell>
          <cell r="F818" t="str">
            <v>Пельмени Вареники</v>
          </cell>
          <cell r="G818" t="str">
            <v>Папа может</v>
          </cell>
          <cell r="H818" t="str">
            <v>ОМПК(О)</v>
          </cell>
          <cell r="I818" t="str">
            <v>ТУ 9166-106-00425283-03</v>
          </cell>
          <cell r="J818" t="str">
            <v>Полуфабрикат замороженый в тесте.</v>
          </cell>
          <cell r="K818" t="str">
            <v>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v>
          </cell>
          <cell r="L818">
            <v>5</v>
          </cell>
          <cell r="M818">
            <v>2</v>
          </cell>
          <cell r="N818">
            <v>27</v>
          </cell>
          <cell r="O818" t="str">
            <v>226/958</v>
          </cell>
          <cell r="P818" t="str">
            <v>-18</v>
          </cell>
          <cell r="Q818">
            <v>120</v>
          </cell>
        </row>
        <row r="819">
          <cell r="B819">
            <v>1002361457051</v>
          </cell>
          <cell r="C819" t="str">
            <v>КАРБОНАД СВИНОЙ кр/к в/у зам.</v>
          </cell>
          <cell r="D819" t="str">
            <v>КГ</v>
          </cell>
          <cell r="E819" t="str">
            <v>Полуфабрикаты зам</v>
          </cell>
          <cell r="F819" t="str">
            <v>ЗПФ Кусковые</v>
          </cell>
          <cell r="G819" t="str">
            <v>Останкино</v>
          </cell>
          <cell r="H819" t="str">
            <v>ОМПК (Г)</v>
          </cell>
          <cell r="I819" t="str">
            <v>ТУ 10.13.14-151-00425283-2025</v>
          </cell>
          <cell r="J819" t="str">
            <v>Мясной полуфабрикат бескостный крупнокусковой замороженный из свинины категории А.</v>
          </cell>
          <cell r="K819" t="str">
            <v>свинина</v>
          </cell>
          <cell r="L819">
            <v>19</v>
          </cell>
          <cell r="M819">
            <v>12</v>
          </cell>
          <cell r="O819" t="str">
            <v>184/767</v>
          </cell>
          <cell r="P819" t="str">
            <v>-18</v>
          </cell>
          <cell r="Q819">
            <v>365</v>
          </cell>
        </row>
        <row r="820">
          <cell r="B820">
            <v>1002182025351</v>
          </cell>
          <cell r="C820" t="str">
            <v>ВЫРЕЗКА СВИНАЯ кр/к зам.</v>
          </cell>
          <cell r="D820" t="str">
            <v>КГ</v>
          </cell>
          <cell r="E820" t="str">
            <v>Полуфабрикаты зам</v>
          </cell>
          <cell r="F820" t="str">
            <v>ЗПФ Кусковые</v>
          </cell>
          <cell r="G820" t="str">
            <v>Останкино</v>
          </cell>
          <cell r="H820" t="str">
            <v>ОМПК(О)</v>
          </cell>
          <cell r="I820" t="str">
            <v>ТУ 10.13.14-151-00425283-2025</v>
          </cell>
          <cell r="J820" t="str">
            <v>Мясной полуфабрикат бескостный крупнокусковой замороженный из свинины категории А.</v>
          </cell>
          <cell r="K820" t="str">
            <v>свинина</v>
          </cell>
          <cell r="L820">
            <v>21</v>
          </cell>
          <cell r="M820">
            <v>5</v>
          </cell>
          <cell r="N820">
            <v>0</v>
          </cell>
          <cell r="O820" t="str">
            <v>129/542</v>
          </cell>
          <cell r="P820" t="str">
            <v>-18</v>
          </cell>
          <cell r="Q820">
            <v>365</v>
          </cell>
        </row>
        <row r="821">
          <cell r="B821">
            <v>1002182135431</v>
          </cell>
          <cell r="C821" t="str">
            <v>ШЕЙНАЯ ЧАСТЬ СВИНАЯ кр/к зам.</v>
          </cell>
          <cell r="D821" t="str">
            <v>КГ</v>
          </cell>
          <cell r="E821" t="str">
            <v>Полуфабрикаты зам</v>
          </cell>
          <cell r="F821" t="str">
            <v>ЗПФ Кусковые</v>
          </cell>
          <cell r="G821" t="str">
            <v>Останкино</v>
          </cell>
          <cell r="H821" t="str">
            <v>ОМПК(О)</v>
          </cell>
          <cell r="I821" t="str">
            <v>ТУ 10.13.14-151-00425283-2025</v>
          </cell>
          <cell r="J821" t="str">
            <v>Мясной полуфабрикат бескостный крупнокусковой замороженный из свинины категории А.</v>
          </cell>
          <cell r="K821" t="str">
            <v>свинина</v>
          </cell>
          <cell r="L821">
            <v>14</v>
          </cell>
          <cell r="M821">
            <v>35</v>
          </cell>
          <cell r="O821" t="str">
            <v>380/1590</v>
          </cell>
          <cell r="P821" t="str">
            <v>-18</v>
          </cell>
          <cell r="Q821">
            <v>365</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W499"/>
  <sheetViews>
    <sheetView tabSelected="1" zoomScale="85" workbookViewId="0">
      <pane xSplit="2" ySplit="5" topLeftCell="C6" activePane="bottomRight" state="frozen"/>
      <selection pane="topRight"/>
      <selection pane="bottomLeft"/>
      <selection pane="bottomRight" activeCell="R124" sqref="R124"/>
    </sheetView>
  </sheetViews>
  <sheetFormatPr defaultRowHeight="15" x14ac:dyDescent="0.25"/>
  <cols>
    <col min="1" max="1" width="60" customWidth="1"/>
    <col min="2" max="2" width="3" customWidth="1"/>
    <col min="3" max="4" width="6" customWidth="1"/>
    <col min="5" max="6" width="7" customWidth="1"/>
    <col min="7" max="7" width="13.42578125" style="36" bestFit="1" customWidth="1"/>
    <col min="8" max="8" width="5" style="5" customWidth="1"/>
    <col min="9" max="9" width="6.85546875" customWidth="1"/>
    <col min="10" max="10" width="9.7109375" customWidth="1"/>
    <col min="11" max="11" width="1" customWidth="1"/>
    <col min="12" max="13" width="7" customWidth="1"/>
    <col min="14" max="15" width="0.140625" customWidth="1"/>
    <col min="16" max="19" width="7" customWidth="1"/>
    <col min="20" max="21" width="5" customWidth="1"/>
    <col min="22" max="31" width="6" customWidth="1"/>
    <col min="32" max="32" width="47.140625" customWidth="1"/>
    <col min="33" max="33" width="7" customWidth="1"/>
    <col min="34" max="49" width="3" customWidth="1"/>
  </cols>
  <sheetData>
    <row r="1" spans="1:49" x14ac:dyDescent="0.25">
      <c r="A1" s="13"/>
      <c r="B1" s="13"/>
      <c r="C1" s="13"/>
      <c r="D1" s="13"/>
      <c r="E1" s="13"/>
      <c r="F1" s="13"/>
      <c r="G1" s="13"/>
      <c r="H1" s="6"/>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row>
    <row r="2" spans="1:49" x14ac:dyDescent="0.25">
      <c r="A2" s="13"/>
      <c r="B2" s="13"/>
      <c r="C2" s="13"/>
      <c r="D2" s="13"/>
      <c r="E2" s="13"/>
      <c r="F2" s="13"/>
      <c r="G2" s="13"/>
      <c r="H2" s="6"/>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row>
    <row r="3" spans="1:49" x14ac:dyDescent="0.25">
      <c r="A3" s="1" t="s">
        <v>0</v>
      </c>
      <c r="B3" s="1" t="s">
        <v>1</v>
      </c>
      <c r="C3" s="1" t="s">
        <v>2</v>
      </c>
      <c r="D3" s="1" t="s">
        <v>3</v>
      </c>
      <c r="E3" s="1" t="s">
        <v>4</v>
      </c>
      <c r="F3" s="1" t="s">
        <v>5</v>
      </c>
      <c r="G3" s="1" t="s">
        <v>193</v>
      </c>
      <c r="H3" s="7" t="s">
        <v>6</v>
      </c>
      <c r="I3" s="1" t="s">
        <v>7</v>
      </c>
      <c r="J3" s="1" t="s">
        <v>8</v>
      </c>
      <c r="K3" s="1" t="s">
        <v>9</v>
      </c>
      <c r="L3" s="1" t="s">
        <v>10</v>
      </c>
      <c r="M3" s="1" t="s">
        <v>11</v>
      </c>
      <c r="N3" s="1" t="s">
        <v>12</v>
      </c>
      <c r="O3" s="1" t="s">
        <v>13</v>
      </c>
      <c r="P3" s="1" t="s">
        <v>14</v>
      </c>
      <c r="Q3" s="1" t="s">
        <v>14</v>
      </c>
      <c r="R3" s="1" t="s">
        <v>15</v>
      </c>
      <c r="S3" s="2" t="s">
        <v>16</v>
      </c>
      <c r="T3" s="1" t="s">
        <v>17</v>
      </c>
      <c r="U3" s="1" t="s">
        <v>18</v>
      </c>
      <c r="V3" s="1" t="s">
        <v>19</v>
      </c>
      <c r="W3" s="1" t="s">
        <v>19</v>
      </c>
      <c r="X3" s="1" t="s">
        <v>19</v>
      </c>
      <c r="Y3" s="1" t="s">
        <v>19</v>
      </c>
      <c r="Z3" s="1" t="s">
        <v>19</v>
      </c>
      <c r="AA3" s="1" t="s">
        <v>19</v>
      </c>
      <c r="AB3" s="1" t="s">
        <v>19</v>
      </c>
      <c r="AC3" s="1" t="s">
        <v>19</v>
      </c>
      <c r="AD3" s="1" t="s">
        <v>19</v>
      </c>
      <c r="AE3" s="1" t="s">
        <v>19</v>
      </c>
      <c r="AF3" s="1" t="s">
        <v>20</v>
      </c>
      <c r="AG3" s="1" t="s">
        <v>21</v>
      </c>
      <c r="AH3" s="13"/>
      <c r="AI3" s="13"/>
      <c r="AJ3" s="13"/>
      <c r="AK3" s="13"/>
      <c r="AL3" s="13"/>
      <c r="AM3" s="13"/>
      <c r="AN3" s="13"/>
      <c r="AO3" s="13"/>
      <c r="AP3" s="13"/>
      <c r="AQ3" s="13"/>
      <c r="AR3" s="13"/>
      <c r="AS3" s="13"/>
      <c r="AT3" s="13"/>
      <c r="AU3" s="13"/>
      <c r="AV3" s="13"/>
      <c r="AW3" s="13"/>
    </row>
    <row r="4" spans="1:49" x14ac:dyDescent="0.25">
      <c r="A4" s="13"/>
      <c r="B4" s="13"/>
      <c r="C4" s="13"/>
      <c r="D4" s="13"/>
      <c r="E4" s="13"/>
      <c r="F4" s="13"/>
      <c r="G4" s="13"/>
      <c r="H4" s="6"/>
      <c r="I4" s="13"/>
      <c r="J4" s="13"/>
      <c r="K4" s="13"/>
      <c r="L4" s="13"/>
      <c r="M4" s="13"/>
      <c r="N4" s="13"/>
      <c r="O4" s="13"/>
      <c r="P4" s="13" t="s">
        <v>22</v>
      </c>
      <c r="Q4" s="13" t="s">
        <v>23</v>
      </c>
      <c r="R4" s="13" t="s">
        <v>24</v>
      </c>
      <c r="S4" s="13"/>
      <c r="T4" s="13"/>
      <c r="U4" s="13"/>
      <c r="V4" s="13" t="s">
        <v>25</v>
      </c>
      <c r="W4" s="13" t="s">
        <v>26</v>
      </c>
      <c r="X4" s="13" t="s">
        <v>27</v>
      </c>
      <c r="Y4" s="13" t="s">
        <v>28</v>
      </c>
      <c r="Z4" s="13" t="s">
        <v>29</v>
      </c>
      <c r="AA4" s="13" t="s">
        <v>30</v>
      </c>
      <c r="AB4" s="13" t="s">
        <v>31</v>
      </c>
      <c r="AC4" s="13" t="s">
        <v>32</v>
      </c>
      <c r="AD4" s="13" t="s">
        <v>33</v>
      </c>
      <c r="AE4" s="13" t="s">
        <v>34</v>
      </c>
      <c r="AF4" s="13" t="s">
        <v>192</v>
      </c>
      <c r="AG4" s="13"/>
      <c r="AH4" s="13"/>
      <c r="AI4" s="13"/>
      <c r="AJ4" s="13"/>
      <c r="AK4" s="13"/>
      <c r="AL4" s="13"/>
      <c r="AM4" s="13"/>
      <c r="AN4" s="13"/>
      <c r="AO4" s="13"/>
      <c r="AP4" s="13"/>
      <c r="AQ4" s="13"/>
      <c r="AR4" s="13"/>
      <c r="AS4" s="13"/>
      <c r="AT4" s="13"/>
      <c r="AU4" s="13"/>
      <c r="AV4" s="13"/>
      <c r="AW4" s="13"/>
    </row>
    <row r="5" spans="1:49" x14ac:dyDescent="0.25">
      <c r="A5" s="13"/>
      <c r="B5" s="13"/>
      <c r="C5" s="13"/>
      <c r="D5" s="13"/>
      <c r="E5" s="3">
        <f>SUM(E6:E499)</f>
        <v>9697.0520000000015</v>
      </c>
      <c r="F5" s="3">
        <f>SUM(F6:F499)</f>
        <v>3749.9109999999996</v>
      </c>
      <c r="G5" s="3"/>
      <c r="H5" s="6"/>
      <c r="I5" s="13"/>
      <c r="J5" s="13"/>
      <c r="K5" s="13"/>
      <c r="L5" s="3">
        <f t="shared" ref="L5:S5" si="0">SUM(L6:L499)</f>
        <v>25150.565999999999</v>
      </c>
      <c r="M5" s="3">
        <f t="shared" si="0"/>
        <v>-15453.513999999999</v>
      </c>
      <c r="N5" s="3">
        <f t="shared" si="0"/>
        <v>0</v>
      </c>
      <c r="O5" s="3">
        <f t="shared" si="0"/>
        <v>0</v>
      </c>
      <c r="P5" s="3">
        <f t="shared" si="0"/>
        <v>18892</v>
      </c>
      <c r="Q5" s="3">
        <f t="shared" si="0"/>
        <v>20052</v>
      </c>
      <c r="R5" s="3">
        <f t="shared" si="0"/>
        <v>1939.4104000000002</v>
      </c>
      <c r="S5" s="3">
        <f t="shared" si="0"/>
        <v>9829.9297999999999</v>
      </c>
      <c r="T5" s="13"/>
      <c r="U5" s="13"/>
      <c r="V5" s="3">
        <f t="shared" ref="V5:AE5" si="1">SUM(V6:V499)</f>
        <v>3945.1628000000014</v>
      </c>
      <c r="W5" s="3">
        <f t="shared" si="1"/>
        <v>3703.6237999999994</v>
      </c>
      <c r="X5" s="3">
        <f t="shared" si="1"/>
        <v>2207.5886</v>
      </c>
      <c r="Y5" s="3">
        <f t="shared" si="1"/>
        <v>2571.0086000000006</v>
      </c>
      <c r="Z5" s="3">
        <f t="shared" si="1"/>
        <v>3209.5596000000005</v>
      </c>
      <c r="AA5" s="3">
        <f t="shared" si="1"/>
        <v>2940.3353999999999</v>
      </c>
      <c r="AB5" s="3">
        <f t="shared" si="1"/>
        <v>2144.2981999999997</v>
      </c>
      <c r="AC5" s="3">
        <f t="shared" si="1"/>
        <v>2239.9688000000006</v>
      </c>
      <c r="AD5" s="3">
        <f t="shared" si="1"/>
        <v>2158.7930000000001</v>
      </c>
      <c r="AE5" s="3">
        <f t="shared" si="1"/>
        <v>2298.7524000000003</v>
      </c>
      <c r="AF5" s="13" t="s">
        <v>192</v>
      </c>
      <c r="AG5" s="3">
        <f>SUM(AG6:AG499)</f>
        <v>5181.8278000000009</v>
      </c>
      <c r="AH5" s="13"/>
      <c r="AI5" s="13"/>
      <c r="AJ5" s="13"/>
      <c r="AK5" s="13"/>
      <c r="AL5" s="13"/>
      <c r="AM5" s="13"/>
      <c r="AN5" s="13"/>
      <c r="AO5" s="13"/>
      <c r="AP5" s="13"/>
      <c r="AQ5" s="13"/>
      <c r="AR5" s="13"/>
      <c r="AS5" s="13"/>
      <c r="AT5" s="13"/>
      <c r="AU5" s="13"/>
      <c r="AV5" s="13"/>
      <c r="AW5" s="13"/>
    </row>
    <row r="6" spans="1:49" x14ac:dyDescent="0.25">
      <c r="A6" s="33" t="s">
        <v>35</v>
      </c>
      <c r="B6" s="30" t="s">
        <v>36</v>
      </c>
      <c r="C6" s="30">
        <v>28.201000000000001</v>
      </c>
      <c r="D6" s="30"/>
      <c r="E6" s="30">
        <v>1.696</v>
      </c>
      <c r="F6" s="30">
        <v>26.504999999999999</v>
      </c>
      <c r="G6" s="13">
        <f>F6*H6</f>
        <v>26.504999999999999</v>
      </c>
      <c r="H6" s="31">
        <v>1</v>
      </c>
      <c r="I6" s="30">
        <v>120</v>
      </c>
      <c r="J6" s="30" t="s">
        <v>41</v>
      </c>
      <c r="K6" s="30"/>
      <c r="L6" s="30">
        <v>1.5</v>
      </c>
      <c r="M6" s="30">
        <f t="shared" ref="M6:M37" si="2">E6-L6</f>
        <v>0.19599999999999995</v>
      </c>
      <c r="N6" s="30"/>
      <c r="O6" s="30"/>
      <c r="P6" s="30">
        <v>0</v>
      </c>
      <c r="Q6" s="30">
        <v>0</v>
      </c>
      <c r="R6" s="30">
        <f t="shared" ref="R6:R37" si="3">E6/5</f>
        <v>0.3392</v>
      </c>
      <c r="S6" s="32"/>
      <c r="T6" s="30">
        <f t="shared" ref="T6:T37" si="4">(F6+P6+Q6+S6)/R6</f>
        <v>78.13974056603773</v>
      </c>
      <c r="U6" s="30">
        <f t="shared" ref="U6:U37" si="5">(F6+P6+Q6)/R6</f>
        <v>78.13974056603773</v>
      </c>
      <c r="V6" s="30">
        <v>3.1198000000000001</v>
      </c>
      <c r="W6" s="30">
        <v>0</v>
      </c>
      <c r="X6" s="30">
        <v>0</v>
      </c>
      <c r="Y6" s="30">
        <v>0</v>
      </c>
      <c r="Z6" s="30">
        <v>0</v>
      </c>
      <c r="AA6" s="30">
        <v>0</v>
      </c>
      <c r="AB6" s="30">
        <v>0</v>
      </c>
      <c r="AC6" s="30">
        <v>0</v>
      </c>
      <c r="AD6" s="30">
        <v>0</v>
      </c>
      <c r="AE6" s="30">
        <v>0</v>
      </c>
      <c r="AF6" s="12" t="s">
        <v>188</v>
      </c>
      <c r="AG6" s="30">
        <f t="shared" ref="AG6:AG23" si="6">H6*S6</f>
        <v>0</v>
      </c>
      <c r="AH6" s="13"/>
      <c r="AI6" s="13"/>
      <c r="AJ6" s="13"/>
      <c r="AK6" s="13"/>
      <c r="AL6" s="13"/>
      <c r="AM6" s="13"/>
      <c r="AN6" s="13"/>
      <c r="AO6" s="13"/>
      <c r="AP6" s="13"/>
      <c r="AQ6" s="13"/>
      <c r="AR6" s="13"/>
      <c r="AS6" s="13"/>
      <c r="AT6" s="13"/>
      <c r="AU6" s="13"/>
      <c r="AV6" s="13"/>
      <c r="AW6" s="13"/>
    </row>
    <row r="7" spans="1:49" hidden="1" x14ac:dyDescent="0.25">
      <c r="A7" s="13" t="s">
        <v>39</v>
      </c>
      <c r="B7" s="13" t="s">
        <v>40</v>
      </c>
      <c r="C7" s="13">
        <v>160</v>
      </c>
      <c r="D7" s="13">
        <v>1</v>
      </c>
      <c r="E7" s="13">
        <v>133</v>
      </c>
      <c r="F7" s="13">
        <v>25</v>
      </c>
      <c r="G7" s="13"/>
      <c r="H7" s="6">
        <v>0.4</v>
      </c>
      <c r="I7" s="13">
        <v>60</v>
      </c>
      <c r="J7" s="13" t="s">
        <v>41</v>
      </c>
      <c r="K7" s="13"/>
      <c r="L7" s="13">
        <v>383</v>
      </c>
      <c r="M7" s="13">
        <f t="shared" si="2"/>
        <v>-250</v>
      </c>
      <c r="N7" s="13"/>
      <c r="O7" s="13"/>
      <c r="P7" s="13">
        <v>556</v>
      </c>
      <c r="Q7" s="13">
        <v>247</v>
      </c>
      <c r="R7" s="13">
        <f t="shared" si="3"/>
        <v>26.6</v>
      </c>
      <c r="S7" s="4">
        <v>50</v>
      </c>
      <c r="T7" s="13">
        <f t="shared" si="4"/>
        <v>33.007518796992478</v>
      </c>
      <c r="U7" s="13">
        <f t="shared" si="5"/>
        <v>31.127819548872179</v>
      </c>
      <c r="V7" s="13">
        <v>68.8</v>
      </c>
      <c r="W7" s="13">
        <v>75.599999999999994</v>
      </c>
      <c r="X7" s="13">
        <v>35.4</v>
      </c>
      <c r="Y7" s="13">
        <v>54.2</v>
      </c>
      <c r="Z7" s="13">
        <v>62.6</v>
      </c>
      <c r="AA7" s="13">
        <v>55.6</v>
      </c>
      <c r="AB7" s="13">
        <v>41.2</v>
      </c>
      <c r="AC7" s="13">
        <v>33.6</v>
      </c>
      <c r="AD7" s="13">
        <v>46.6</v>
      </c>
      <c r="AE7" s="13">
        <v>37.799999999999997</v>
      </c>
      <c r="AF7" s="13"/>
      <c r="AG7" s="13">
        <f t="shared" si="6"/>
        <v>20</v>
      </c>
      <c r="AH7" s="13"/>
      <c r="AI7" s="13"/>
      <c r="AJ7" s="13"/>
      <c r="AK7" s="13"/>
      <c r="AL7" s="13"/>
      <c r="AM7" s="13"/>
      <c r="AN7" s="13"/>
      <c r="AO7" s="13"/>
      <c r="AP7" s="13"/>
      <c r="AQ7" s="13"/>
      <c r="AR7" s="13"/>
      <c r="AS7" s="13"/>
      <c r="AT7" s="13"/>
      <c r="AU7" s="13"/>
      <c r="AV7" s="13"/>
      <c r="AW7" s="13"/>
    </row>
    <row r="8" spans="1:49" hidden="1" x14ac:dyDescent="0.25">
      <c r="A8" s="13" t="s">
        <v>42</v>
      </c>
      <c r="B8" s="13" t="s">
        <v>36</v>
      </c>
      <c r="C8" s="13">
        <v>20.172000000000001</v>
      </c>
      <c r="D8" s="13">
        <v>2.996</v>
      </c>
      <c r="E8" s="13">
        <v>17.111000000000001</v>
      </c>
      <c r="F8" s="13">
        <v>3.0609999999999999</v>
      </c>
      <c r="G8" s="13"/>
      <c r="H8" s="6">
        <v>1</v>
      </c>
      <c r="I8" s="13">
        <v>120</v>
      </c>
      <c r="J8" s="13" t="s">
        <v>41</v>
      </c>
      <c r="K8" s="13"/>
      <c r="L8" s="13">
        <v>44.085999999999999</v>
      </c>
      <c r="M8" s="13">
        <f t="shared" si="2"/>
        <v>-26.974999999999998</v>
      </c>
      <c r="N8" s="13"/>
      <c r="O8" s="13"/>
      <c r="P8" s="13">
        <v>10</v>
      </c>
      <c r="Q8" s="13">
        <v>32</v>
      </c>
      <c r="R8" s="13">
        <f t="shared" si="3"/>
        <v>3.4222000000000001</v>
      </c>
      <c r="S8" s="4">
        <f t="shared" ref="S8:S15" si="7">16*R8-Q8-P8-F8</f>
        <v>9.6942000000000021</v>
      </c>
      <c r="T8" s="13">
        <f t="shared" si="4"/>
        <v>16</v>
      </c>
      <c r="U8" s="13">
        <f t="shared" si="5"/>
        <v>13.167260826369002</v>
      </c>
      <c r="V8" s="13">
        <v>5.2168000000000001</v>
      </c>
      <c r="W8" s="13">
        <v>4.2012</v>
      </c>
      <c r="X8" s="13">
        <v>3.2757999999999998</v>
      </c>
      <c r="Y8" s="13">
        <v>0.29959999999999998</v>
      </c>
      <c r="Z8" s="13">
        <v>0.99220000000000008</v>
      </c>
      <c r="AA8" s="13">
        <v>4.3465999999999996</v>
      </c>
      <c r="AB8" s="13">
        <v>1.4268000000000001</v>
      </c>
      <c r="AC8" s="13">
        <v>4.1590000000000007</v>
      </c>
      <c r="AD8" s="13">
        <v>4.5156000000000001</v>
      </c>
      <c r="AE8" s="13">
        <v>3.8104</v>
      </c>
      <c r="AF8" s="13" t="s">
        <v>43</v>
      </c>
      <c r="AG8" s="13">
        <f t="shared" si="6"/>
        <v>9.6942000000000021</v>
      </c>
      <c r="AH8" s="13"/>
      <c r="AI8" s="13"/>
      <c r="AJ8" s="13"/>
      <c r="AK8" s="13"/>
      <c r="AL8" s="13"/>
      <c r="AM8" s="13"/>
      <c r="AN8" s="13"/>
      <c r="AO8" s="13"/>
      <c r="AP8" s="13"/>
      <c r="AQ8" s="13"/>
      <c r="AR8" s="13"/>
      <c r="AS8" s="13"/>
      <c r="AT8" s="13"/>
      <c r="AU8" s="13"/>
      <c r="AV8" s="13"/>
      <c r="AW8" s="13"/>
    </row>
    <row r="9" spans="1:49" hidden="1" x14ac:dyDescent="0.25">
      <c r="A9" s="13" t="s">
        <v>44</v>
      </c>
      <c r="B9" s="13" t="s">
        <v>40</v>
      </c>
      <c r="C9" s="13">
        <v>110</v>
      </c>
      <c r="D9" s="13">
        <v>1</v>
      </c>
      <c r="E9" s="13">
        <v>116</v>
      </c>
      <c r="F9" s="13">
        <v>-6</v>
      </c>
      <c r="G9" s="13"/>
      <c r="H9" s="6">
        <v>0.25</v>
      </c>
      <c r="I9" s="13">
        <v>120</v>
      </c>
      <c r="J9" s="13" t="s">
        <v>41</v>
      </c>
      <c r="K9" s="13"/>
      <c r="L9" s="13">
        <v>496</v>
      </c>
      <c r="M9" s="13">
        <f t="shared" si="2"/>
        <v>-380</v>
      </c>
      <c r="N9" s="13"/>
      <c r="O9" s="13"/>
      <c r="P9" s="13">
        <v>384</v>
      </c>
      <c r="Q9" s="13">
        <v>582</v>
      </c>
      <c r="R9" s="13">
        <f t="shared" si="3"/>
        <v>23.2</v>
      </c>
      <c r="S9" s="4">
        <v>50</v>
      </c>
      <c r="T9" s="13">
        <f t="shared" si="4"/>
        <v>43.53448275862069</v>
      </c>
      <c r="U9" s="13">
        <f t="shared" si="5"/>
        <v>41.379310344827587</v>
      </c>
      <c r="V9" s="13">
        <v>97.8</v>
      </c>
      <c r="W9" s="13">
        <v>70</v>
      </c>
      <c r="X9" s="13">
        <v>29.8</v>
      </c>
      <c r="Y9" s="13">
        <v>37.4</v>
      </c>
      <c r="Z9" s="13">
        <v>61.4</v>
      </c>
      <c r="AA9" s="13">
        <v>31.4</v>
      </c>
      <c r="AB9" s="13">
        <v>25</v>
      </c>
      <c r="AC9" s="13">
        <v>35.799999999999997</v>
      </c>
      <c r="AD9" s="13">
        <v>25.4</v>
      </c>
      <c r="AE9" s="13">
        <v>25</v>
      </c>
      <c r="AF9" s="13" t="s">
        <v>43</v>
      </c>
      <c r="AG9" s="13">
        <f t="shared" si="6"/>
        <v>12.5</v>
      </c>
      <c r="AH9" s="13"/>
      <c r="AI9" s="13"/>
      <c r="AJ9" s="13"/>
      <c r="AK9" s="13"/>
      <c r="AL9" s="13"/>
      <c r="AM9" s="13"/>
      <c r="AN9" s="13"/>
      <c r="AO9" s="13"/>
      <c r="AP9" s="13"/>
      <c r="AQ9" s="13"/>
      <c r="AR9" s="13"/>
      <c r="AS9" s="13"/>
      <c r="AT9" s="13"/>
      <c r="AU9" s="13"/>
      <c r="AV9" s="13"/>
      <c r="AW9" s="13"/>
    </row>
    <row r="10" spans="1:49" hidden="1" x14ac:dyDescent="0.25">
      <c r="A10" s="13" t="s">
        <v>45</v>
      </c>
      <c r="B10" s="13" t="s">
        <v>36</v>
      </c>
      <c r="C10" s="13">
        <v>545.79300000000001</v>
      </c>
      <c r="D10" s="13">
        <v>13.599</v>
      </c>
      <c r="E10" s="13">
        <v>288.76100000000002</v>
      </c>
      <c r="F10" s="13">
        <v>251.50200000000001</v>
      </c>
      <c r="G10" s="13"/>
      <c r="H10" s="6">
        <v>1</v>
      </c>
      <c r="I10" s="13">
        <v>60</v>
      </c>
      <c r="J10" s="13" t="s">
        <v>41</v>
      </c>
      <c r="K10" s="13"/>
      <c r="L10" s="13">
        <v>358.22500000000002</v>
      </c>
      <c r="M10" s="13">
        <f t="shared" si="2"/>
        <v>-69.463999999999999</v>
      </c>
      <c r="N10" s="13"/>
      <c r="O10" s="13"/>
      <c r="P10" s="13">
        <v>230</v>
      </c>
      <c r="Q10" s="13">
        <v>0</v>
      </c>
      <c r="R10" s="13">
        <f t="shared" si="3"/>
        <v>57.752200000000002</v>
      </c>
      <c r="S10" s="4">
        <f t="shared" si="7"/>
        <v>442.53320000000002</v>
      </c>
      <c r="T10" s="13">
        <f t="shared" si="4"/>
        <v>16</v>
      </c>
      <c r="U10" s="13">
        <f t="shared" si="5"/>
        <v>8.337379355245341</v>
      </c>
      <c r="V10" s="13">
        <v>47.667999999999999</v>
      </c>
      <c r="W10" s="13">
        <v>71.5244</v>
      </c>
      <c r="X10" s="13">
        <v>59.996400000000008</v>
      </c>
      <c r="Y10" s="13">
        <v>49.260599999999997</v>
      </c>
      <c r="Z10" s="13">
        <v>56.257199999999997</v>
      </c>
      <c r="AA10" s="13">
        <v>69.917000000000002</v>
      </c>
      <c r="AB10" s="13">
        <v>42.271000000000001</v>
      </c>
      <c r="AC10" s="13">
        <v>39.854199999999999</v>
      </c>
      <c r="AD10" s="13">
        <v>46.833399999999997</v>
      </c>
      <c r="AE10" s="13">
        <v>41.058800000000012</v>
      </c>
      <c r="AF10" s="13"/>
      <c r="AG10" s="13">
        <f t="shared" si="6"/>
        <v>442.53320000000002</v>
      </c>
      <c r="AH10" s="13"/>
      <c r="AI10" s="13"/>
      <c r="AJ10" s="13"/>
      <c r="AK10" s="13"/>
      <c r="AL10" s="13"/>
      <c r="AM10" s="13"/>
      <c r="AN10" s="13"/>
      <c r="AO10" s="13"/>
      <c r="AP10" s="13"/>
      <c r="AQ10" s="13"/>
      <c r="AR10" s="13"/>
      <c r="AS10" s="13"/>
      <c r="AT10" s="13"/>
      <c r="AU10" s="13"/>
      <c r="AV10" s="13"/>
      <c r="AW10" s="13"/>
    </row>
    <row r="11" spans="1:49" x14ac:dyDescent="0.25">
      <c r="A11" s="13" t="s">
        <v>46</v>
      </c>
      <c r="B11" s="13" t="s">
        <v>36</v>
      </c>
      <c r="C11" s="13">
        <v>121.441</v>
      </c>
      <c r="D11" s="13"/>
      <c r="E11" s="13">
        <v>21.088000000000001</v>
      </c>
      <c r="F11" s="13">
        <v>100.35299999999999</v>
      </c>
      <c r="G11" s="13">
        <f>F11*H11</f>
        <v>100.35299999999999</v>
      </c>
      <c r="H11" s="6">
        <v>1</v>
      </c>
      <c r="I11" s="13">
        <v>120</v>
      </c>
      <c r="J11" s="13" t="s">
        <v>41</v>
      </c>
      <c r="K11" s="13"/>
      <c r="L11" s="13">
        <v>49.7</v>
      </c>
      <c r="M11" s="13">
        <f t="shared" si="2"/>
        <v>-28.612000000000002</v>
      </c>
      <c r="N11" s="13"/>
      <c r="O11" s="13"/>
      <c r="P11" s="13">
        <v>0</v>
      </c>
      <c r="Q11" s="13">
        <v>26</v>
      </c>
      <c r="R11" s="13">
        <f t="shared" si="3"/>
        <v>4.2176</v>
      </c>
      <c r="S11" s="4"/>
      <c r="T11" s="13">
        <f t="shared" si="4"/>
        <v>29.958507207890744</v>
      </c>
      <c r="U11" s="13">
        <f t="shared" si="5"/>
        <v>29.958507207890744</v>
      </c>
      <c r="V11" s="13">
        <v>10.532</v>
      </c>
      <c r="W11" s="13">
        <v>6.9102000000000006</v>
      </c>
      <c r="X11" s="13">
        <v>4.5746000000000002</v>
      </c>
      <c r="Y11" s="13">
        <v>8.6004000000000005</v>
      </c>
      <c r="Z11" s="13">
        <v>5.0928000000000004</v>
      </c>
      <c r="AA11" s="13">
        <v>2.7075999999999998</v>
      </c>
      <c r="AB11" s="13">
        <v>4.4042000000000003</v>
      </c>
      <c r="AC11" s="13">
        <v>2.8081999999999998</v>
      </c>
      <c r="AD11" s="13">
        <v>3.0775999999999999</v>
      </c>
      <c r="AE11" s="13">
        <v>3.7627999999999999</v>
      </c>
      <c r="AF11" s="15" t="s">
        <v>166</v>
      </c>
      <c r="AG11" s="13">
        <f t="shared" si="6"/>
        <v>0</v>
      </c>
      <c r="AH11" s="13"/>
      <c r="AI11" s="13"/>
      <c r="AJ11" s="13"/>
      <c r="AK11" s="13"/>
      <c r="AL11" s="13"/>
      <c r="AM11" s="13"/>
      <c r="AN11" s="13"/>
      <c r="AO11" s="13"/>
      <c r="AP11" s="13"/>
      <c r="AQ11" s="13"/>
      <c r="AR11" s="13"/>
      <c r="AS11" s="13"/>
      <c r="AT11" s="13"/>
      <c r="AU11" s="13"/>
      <c r="AV11" s="13"/>
      <c r="AW11" s="13"/>
    </row>
    <row r="12" spans="1:49" hidden="1" x14ac:dyDescent="0.25">
      <c r="A12" s="13" t="s">
        <v>47</v>
      </c>
      <c r="B12" s="13" t="s">
        <v>36</v>
      </c>
      <c r="C12" s="13">
        <v>71.962000000000003</v>
      </c>
      <c r="D12" s="13">
        <v>10.816000000000001</v>
      </c>
      <c r="E12" s="13">
        <v>43.210999999999999</v>
      </c>
      <c r="F12" s="13">
        <v>27.39</v>
      </c>
      <c r="G12" s="13"/>
      <c r="H12" s="6">
        <v>1</v>
      </c>
      <c r="I12" s="13">
        <v>60</v>
      </c>
      <c r="J12" s="13" t="s">
        <v>41</v>
      </c>
      <c r="K12" s="13"/>
      <c r="L12" s="13">
        <v>54</v>
      </c>
      <c r="M12" s="13">
        <f t="shared" si="2"/>
        <v>-10.789000000000001</v>
      </c>
      <c r="N12" s="13"/>
      <c r="O12" s="13"/>
      <c r="P12" s="13">
        <v>0</v>
      </c>
      <c r="Q12" s="13">
        <v>4</v>
      </c>
      <c r="R12" s="13">
        <f t="shared" si="3"/>
        <v>8.642199999999999</v>
      </c>
      <c r="S12" s="4">
        <f>12*R12-Q12-P12-F12</f>
        <v>72.316399999999987</v>
      </c>
      <c r="T12" s="13">
        <f t="shared" si="4"/>
        <v>12</v>
      </c>
      <c r="U12" s="13">
        <f t="shared" si="5"/>
        <v>3.6321769919696378</v>
      </c>
      <c r="V12" s="13">
        <v>5.4014000000000006</v>
      </c>
      <c r="W12" s="13">
        <v>2.4533999999999998</v>
      </c>
      <c r="X12" s="13">
        <v>4.0156000000000001</v>
      </c>
      <c r="Y12" s="13">
        <v>8.7403999999999993</v>
      </c>
      <c r="Z12" s="13">
        <v>3.5335999999999999</v>
      </c>
      <c r="AA12" s="13">
        <v>3.8138000000000001</v>
      </c>
      <c r="AB12" s="13">
        <v>0.81980000000000008</v>
      </c>
      <c r="AC12" s="13">
        <v>1.0762</v>
      </c>
      <c r="AD12" s="13">
        <v>3.2698</v>
      </c>
      <c r="AE12" s="13">
        <v>7.4385999999999992</v>
      </c>
      <c r="AF12" s="13"/>
      <c r="AG12" s="13">
        <f t="shared" si="6"/>
        <v>72.316399999999987</v>
      </c>
      <c r="AH12" s="13"/>
      <c r="AI12" s="13"/>
      <c r="AJ12" s="13"/>
      <c r="AK12" s="13"/>
      <c r="AL12" s="13"/>
      <c r="AM12" s="13"/>
      <c r="AN12" s="13"/>
      <c r="AO12" s="13"/>
      <c r="AP12" s="13"/>
      <c r="AQ12" s="13"/>
      <c r="AR12" s="13"/>
      <c r="AS12" s="13"/>
      <c r="AT12" s="13"/>
      <c r="AU12" s="13"/>
      <c r="AV12" s="13"/>
      <c r="AW12" s="13"/>
    </row>
    <row r="13" spans="1:49" hidden="1" x14ac:dyDescent="0.25">
      <c r="A13" s="13" t="s">
        <v>48</v>
      </c>
      <c r="B13" s="13" t="s">
        <v>36</v>
      </c>
      <c r="C13" s="13">
        <v>407.05700000000002</v>
      </c>
      <c r="D13" s="13">
        <v>9.5960000000000001</v>
      </c>
      <c r="E13" s="13">
        <v>300.024</v>
      </c>
      <c r="F13" s="13">
        <v>101.26</v>
      </c>
      <c r="G13" s="13"/>
      <c r="H13" s="6">
        <v>1</v>
      </c>
      <c r="I13" s="13">
        <v>60</v>
      </c>
      <c r="J13" s="13" t="s">
        <v>41</v>
      </c>
      <c r="K13" s="13"/>
      <c r="L13" s="13">
        <v>337.71800000000002</v>
      </c>
      <c r="M13" s="13">
        <f t="shared" si="2"/>
        <v>-37.694000000000017</v>
      </c>
      <c r="N13" s="13"/>
      <c r="O13" s="13"/>
      <c r="P13" s="13">
        <v>197</v>
      </c>
      <c r="Q13" s="13">
        <v>231</v>
      </c>
      <c r="R13" s="13">
        <f t="shared" si="3"/>
        <v>60.004800000000003</v>
      </c>
      <c r="S13" s="4">
        <f t="shared" si="7"/>
        <v>430.81680000000006</v>
      </c>
      <c r="T13" s="13">
        <f t="shared" si="4"/>
        <v>16</v>
      </c>
      <c r="U13" s="13">
        <f t="shared" si="5"/>
        <v>8.8202943764498833</v>
      </c>
      <c r="V13" s="13">
        <v>59.633799999999987</v>
      </c>
      <c r="W13" s="13">
        <v>64.598800000000011</v>
      </c>
      <c r="X13" s="13">
        <v>47.507800000000003</v>
      </c>
      <c r="Y13" s="13">
        <v>63.072600000000001</v>
      </c>
      <c r="Z13" s="13">
        <v>49.145600000000002</v>
      </c>
      <c r="AA13" s="13">
        <v>63.110400000000013</v>
      </c>
      <c r="AB13" s="13">
        <v>35.663600000000002</v>
      </c>
      <c r="AC13" s="13">
        <v>33.933800000000012</v>
      </c>
      <c r="AD13" s="13">
        <v>49.622399999999999</v>
      </c>
      <c r="AE13" s="13">
        <v>48.169400000000003</v>
      </c>
      <c r="AF13" s="13"/>
      <c r="AG13" s="13">
        <f t="shared" si="6"/>
        <v>430.81680000000006</v>
      </c>
      <c r="AH13" s="13"/>
      <c r="AI13" s="13"/>
      <c r="AJ13" s="13"/>
      <c r="AK13" s="13"/>
      <c r="AL13" s="13"/>
      <c r="AM13" s="13"/>
      <c r="AN13" s="13"/>
      <c r="AO13" s="13"/>
      <c r="AP13" s="13"/>
      <c r="AQ13" s="13"/>
      <c r="AR13" s="13"/>
      <c r="AS13" s="13"/>
      <c r="AT13" s="13"/>
      <c r="AU13" s="13"/>
      <c r="AV13" s="13"/>
      <c r="AW13" s="13"/>
    </row>
    <row r="14" spans="1:49" hidden="1" x14ac:dyDescent="0.25">
      <c r="A14" s="13" t="s">
        <v>49</v>
      </c>
      <c r="B14" s="13" t="s">
        <v>40</v>
      </c>
      <c r="C14" s="13">
        <v>191</v>
      </c>
      <c r="D14" s="13">
        <v>8</v>
      </c>
      <c r="E14" s="13">
        <v>153</v>
      </c>
      <c r="F14" s="13">
        <v>38</v>
      </c>
      <c r="G14" s="13"/>
      <c r="H14" s="6">
        <v>0.25</v>
      </c>
      <c r="I14" s="13">
        <v>120</v>
      </c>
      <c r="J14" s="13" t="s">
        <v>41</v>
      </c>
      <c r="K14" s="13"/>
      <c r="L14" s="13">
        <v>304</v>
      </c>
      <c r="M14" s="13">
        <f t="shared" si="2"/>
        <v>-151</v>
      </c>
      <c r="N14" s="13"/>
      <c r="O14" s="13"/>
      <c r="P14" s="13">
        <v>326</v>
      </c>
      <c r="Q14" s="13">
        <v>398</v>
      </c>
      <c r="R14" s="13">
        <f t="shared" si="3"/>
        <v>30.6</v>
      </c>
      <c r="S14" s="4"/>
      <c r="T14" s="13">
        <f t="shared" si="4"/>
        <v>24.901960784313726</v>
      </c>
      <c r="U14" s="13">
        <f t="shared" si="5"/>
        <v>24.901960784313726</v>
      </c>
      <c r="V14" s="13">
        <v>70.400000000000006</v>
      </c>
      <c r="W14" s="13">
        <v>62</v>
      </c>
      <c r="X14" s="13">
        <v>37</v>
      </c>
      <c r="Y14" s="13">
        <v>33</v>
      </c>
      <c r="Z14" s="13">
        <v>47.4</v>
      </c>
      <c r="AA14" s="13">
        <v>53.6</v>
      </c>
      <c r="AB14" s="13">
        <v>24.2</v>
      </c>
      <c r="AC14" s="13">
        <v>21.4</v>
      </c>
      <c r="AD14" s="13">
        <v>43.8</v>
      </c>
      <c r="AE14" s="13">
        <v>21.4</v>
      </c>
      <c r="AF14" s="13" t="s">
        <v>43</v>
      </c>
      <c r="AG14" s="13">
        <f t="shared" si="6"/>
        <v>0</v>
      </c>
      <c r="AH14" s="13"/>
      <c r="AI14" s="13"/>
      <c r="AJ14" s="13"/>
      <c r="AK14" s="13"/>
      <c r="AL14" s="13"/>
      <c r="AM14" s="13"/>
      <c r="AN14" s="13"/>
      <c r="AO14" s="13"/>
      <c r="AP14" s="13"/>
      <c r="AQ14" s="13"/>
      <c r="AR14" s="13"/>
      <c r="AS14" s="13"/>
      <c r="AT14" s="13"/>
      <c r="AU14" s="13"/>
      <c r="AV14" s="13"/>
      <c r="AW14" s="13"/>
    </row>
    <row r="15" spans="1:49" hidden="1" x14ac:dyDescent="0.25">
      <c r="A15" s="13" t="s">
        <v>50</v>
      </c>
      <c r="B15" s="13" t="s">
        <v>36</v>
      </c>
      <c r="C15" s="13">
        <v>198.03800000000001</v>
      </c>
      <c r="D15" s="13">
        <v>1.35</v>
      </c>
      <c r="E15" s="13">
        <v>70.305999999999997</v>
      </c>
      <c r="F15" s="13">
        <v>125.03400000000001</v>
      </c>
      <c r="G15" s="13"/>
      <c r="H15" s="6">
        <v>1</v>
      </c>
      <c r="I15" s="13">
        <v>60</v>
      </c>
      <c r="J15" s="13" t="s">
        <v>41</v>
      </c>
      <c r="K15" s="13"/>
      <c r="L15" s="13">
        <v>148.80000000000001</v>
      </c>
      <c r="M15" s="13">
        <f t="shared" si="2"/>
        <v>-78.494000000000014</v>
      </c>
      <c r="N15" s="13"/>
      <c r="O15" s="13"/>
      <c r="P15" s="13">
        <v>0</v>
      </c>
      <c r="Q15" s="13">
        <v>75</v>
      </c>
      <c r="R15" s="13">
        <f t="shared" si="3"/>
        <v>14.061199999999999</v>
      </c>
      <c r="S15" s="4">
        <f t="shared" si="7"/>
        <v>24.945199999999986</v>
      </c>
      <c r="T15" s="13">
        <f t="shared" si="4"/>
        <v>16</v>
      </c>
      <c r="U15" s="13">
        <f t="shared" si="5"/>
        <v>14.225955110516884</v>
      </c>
      <c r="V15" s="13">
        <v>19.492999999999999</v>
      </c>
      <c r="W15" s="13">
        <v>0.47199999999999998</v>
      </c>
      <c r="X15" s="13">
        <v>8.4016000000000002</v>
      </c>
      <c r="Y15" s="13">
        <v>26.634799999999998</v>
      </c>
      <c r="Z15" s="13">
        <v>14.544</v>
      </c>
      <c r="AA15" s="13">
        <v>9.7308000000000003</v>
      </c>
      <c r="AB15" s="13">
        <v>0.81180000000000008</v>
      </c>
      <c r="AC15" s="13">
        <v>3.512</v>
      </c>
      <c r="AD15" s="13">
        <v>11.567</v>
      </c>
      <c r="AE15" s="13">
        <v>18.520600000000002</v>
      </c>
      <c r="AF15" s="13"/>
      <c r="AG15" s="13">
        <f t="shared" si="6"/>
        <v>24.945199999999986</v>
      </c>
      <c r="AH15" s="13"/>
      <c r="AI15" s="13"/>
      <c r="AJ15" s="13"/>
      <c r="AK15" s="13"/>
      <c r="AL15" s="13"/>
      <c r="AM15" s="13"/>
      <c r="AN15" s="13"/>
      <c r="AO15" s="13"/>
      <c r="AP15" s="13"/>
      <c r="AQ15" s="13"/>
      <c r="AR15" s="13"/>
      <c r="AS15" s="13"/>
      <c r="AT15" s="13"/>
      <c r="AU15" s="13"/>
      <c r="AV15" s="13"/>
      <c r="AW15" s="13"/>
    </row>
    <row r="16" spans="1:49" hidden="1" x14ac:dyDescent="0.25">
      <c r="A16" s="13" t="s">
        <v>51</v>
      </c>
      <c r="B16" s="13" t="s">
        <v>40</v>
      </c>
      <c r="C16" s="13">
        <v>114</v>
      </c>
      <c r="D16" s="13">
        <v>2</v>
      </c>
      <c r="E16" s="13">
        <v>98</v>
      </c>
      <c r="F16" s="13">
        <v>19</v>
      </c>
      <c r="G16" s="13"/>
      <c r="H16" s="6">
        <v>0.25</v>
      </c>
      <c r="I16" s="13">
        <v>120</v>
      </c>
      <c r="J16" s="13" t="s">
        <v>41</v>
      </c>
      <c r="K16" s="13"/>
      <c r="L16" s="13">
        <v>494</v>
      </c>
      <c r="M16" s="13">
        <f t="shared" si="2"/>
        <v>-396</v>
      </c>
      <c r="N16" s="13"/>
      <c r="O16" s="13"/>
      <c r="P16" s="13">
        <v>380</v>
      </c>
      <c r="Q16" s="13">
        <v>698</v>
      </c>
      <c r="R16" s="13">
        <f t="shared" si="3"/>
        <v>19.600000000000001</v>
      </c>
      <c r="S16" s="4"/>
      <c r="T16" s="13">
        <f t="shared" si="4"/>
        <v>55.969387755102034</v>
      </c>
      <c r="U16" s="13">
        <f t="shared" si="5"/>
        <v>55.969387755102034</v>
      </c>
      <c r="V16" s="13">
        <v>119.2</v>
      </c>
      <c r="W16" s="13">
        <v>76</v>
      </c>
      <c r="X16" s="13">
        <v>40.200000000000003</v>
      </c>
      <c r="Y16" s="13">
        <v>40.4</v>
      </c>
      <c r="Z16" s="13">
        <v>55.8</v>
      </c>
      <c r="AA16" s="13">
        <v>48.2</v>
      </c>
      <c r="AB16" s="13">
        <v>24.2</v>
      </c>
      <c r="AC16" s="13">
        <v>25.2</v>
      </c>
      <c r="AD16" s="13">
        <v>30.4</v>
      </c>
      <c r="AE16" s="13">
        <v>24.4</v>
      </c>
      <c r="AF16" s="13" t="s">
        <v>43</v>
      </c>
      <c r="AG16" s="13">
        <f t="shared" si="6"/>
        <v>0</v>
      </c>
      <c r="AH16" s="13"/>
      <c r="AI16" s="13"/>
      <c r="AJ16" s="13"/>
      <c r="AK16" s="13"/>
      <c r="AL16" s="13"/>
      <c r="AM16" s="13"/>
      <c r="AN16" s="13"/>
      <c r="AO16" s="13"/>
      <c r="AP16" s="13"/>
      <c r="AQ16" s="13"/>
      <c r="AR16" s="13"/>
      <c r="AS16" s="13"/>
      <c r="AT16" s="13"/>
      <c r="AU16" s="13"/>
      <c r="AV16" s="13"/>
      <c r="AW16" s="13"/>
    </row>
    <row r="17" spans="1:49" hidden="1" x14ac:dyDescent="0.25">
      <c r="A17" s="13" t="s">
        <v>52</v>
      </c>
      <c r="B17" s="13" t="s">
        <v>40</v>
      </c>
      <c r="C17" s="13">
        <v>36</v>
      </c>
      <c r="D17" s="13"/>
      <c r="E17" s="13">
        <v>37</v>
      </c>
      <c r="F17" s="13">
        <v>-3</v>
      </c>
      <c r="G17" s="13"/>
      <c r="H17" s="6">
        <v>0.4</v>
      </c>
      <c r="I17" s="13">
        <v>60</v>
      </c>
      <c r="J17" s="13" t="s">
        <v>41</v>
      </c>
      <c r="K17" s="13"/>
      <c r="L17" s="13">
        <v>304</v>
      </c>
      <c r="M17" s="13">
        <f t="shared" si="2"/>
        <v>-267</v>
      </c>
      <c r="N17" s="13"/>
      <c r="O17" s="13"/>
      <c r="P17" s="13">
        <v>318</v>
      </c>
      <c r="Q17" s="13">
        <v>259</v>
      </c>
      <c r="R17" s="13">
        <f t="shared" si="3"/>
        <v>7.4</v>
      </c>
      <c r="S17" s="4">
        <v>100</v>
      </c>
      <c r="T17" s="13">
        <f t="shared" si="4"/>
        <v>91.081081081081081</v>
      </c>
      <c r="U17" s="13">
        <f t="shared" si="5"/>
        <v>77.567567567567565</v>
      </c>
      <c r="V17" s="13">
        <v>43.8</v>
      </c>
      <c r="W17" s="13">
        <v>40</v>
      </c>
      <c r="X17" s="13">
        <v>24.6</v>
      </c>
      <c r="Y17" s="13">
        <v>22.8</v>
      </c>
      <c r="Z17" s="13">
        <v>36.799999999999997</v>
      </c>
      <c r="AA17" s="13">
        <v>37</v>
      </c>
      <c r="AB17" s="13">
        <v>34.799999999999997</v>
      </c>
      <c r="AC17" s="13">
        <v>26.6</v>
      </c>
      <c r="AD17" s="13">
        <v>22.8</v>
      </c>
      <c r="AE17" s="13">
        <v>21.8</v>
      </c>
      <c r="AF17" s="13"/>
      <c r="AG17" s="13">
        <f t="shared" si="6"/>
        <v>40</v>
      </c>
      <c r="AH17" s="13"/>
      <c r="AI17" s="13"/>
      <c r="AJ17" s="13"/>
      <c r="AK17" s="13"/>
      <c r="AL17" s="13"/>
      <c r="AM17" s="13"/>
      <c r="AN17" s="13"/>
      <c r="AO17" s="13"/>
      <c r="AP17" s="13"/>
      <c r="AQ17" s="13"/>
      <c r="AR17" s="13"/>
      <c r="AS17" s="13"/>
      <c r="AT17" s="13"/>
      <c r="AU17" s="13"/>
      <c r="AV17" s="13"/>
      <c r="AW17" s="13"/>
    </row>
    <row r="18" spans="1:49" hidden="1" x14ac:dyDescent="0.25">
      <c r="A18" s="13" t="s">
        <v>53</v>
      </c>
      <c r="B18" s="13" t="s">
        <v>36</v>
      </c>
      <c r="C18" s="13">
        <v>70.058000000000007</v>
      </c>
      <c r="D18" s="13">
        <v>4.2489999999999997</v>
      </c>
      <c r="E18" s="13">
        <v>60.176000000000002</v>
      </c>
      <c r="F18" s="13">
        <v>8.1630000000000003</v>
      </c>
      <c r="G18" s="13"/>
      <c r="H18" s="6">
        <v>1</v>
      </c>
      <c r="I18" s="13">
        <v>45</v>
      </c>
      <c r="J18" s="13" t="s">
        <v>41</v>
      </c>
      <c r="K18" s="13"/>
      <c r="L18" s="13">
        <v>183.352</v>
      </c>
      <c r="M18" s="13">
        <f t="shared" si="2"/>
        <v>-123.176</v>
      </c>
      <c r="N18" s="13"/>
      <c r="O18" s="13"/>
      <c r="P18" s="13">
        <v>248</v>
      </c>
      <c r="Q18" s="13">
        <v>251</v>
      </c>
      <c r="R18" s="13">
        <f t="shared" si="3"/>
        <v>12.0352</v>
      </c>
      <c r="S18" s="4">
        <v>50</v>
      </c>
      <c r="T18" s="13">
        <f t="shared" si="4"/>
        <v>46.294452938048394</v>
      </c>
      <c r="U18" s="13">
        <f t="shared" si="5"/>
        <v>42.139972746609949</v>
      </c>
      <c r="V18" s="13">
        <v>43.809600000000003</v>
      </c>
      <c r="W18" s="13">
        <v>38.122</v>
      </c>
      <c r="X18" s="13">
        <v>31.1738</v>
      </c>
      <c r="Y18" s="13">
        <v>36.706800000000001</v>
      </c>
      <c r="Z18" s="13">
        <v>45.036999999999999</v>
      </c>
      <c r="AA18" s="13">
        <v>38.583599999999997</v>
      </c>
      <c r="AB18" s="13">
        <v>38.170400000000001</v>
      </c>
      <c r="AC18" s="13">
        <v>32.511000000000003</v>
      </c>
      <c r="AD18" s="13">
        <v>43.4754</v>
      </c>
      <c r="AE18" s="13">
        <v>43.322000000000003</v>
      </c>
      <c r="AF18" s="13"/>
      <c r="AG18" s="13">
        <f t="shared" si="6"/>
        <v>50</v>
      </c>
      <c r="AH18" s="13"/>
      <c r="AI18" s="13"/>
      <c r="AJ18" s="13"/>
      <c r="AK18" s="13"/>
      <c r="AL18" s="13"/>
      <c r="AM18" s="13"/>
      <c r="AN18" s="13"/>
      <c r="AO18" s="13"/>
      <c r="AP18" s="13"/>
      <c r="AQ18" s="13"/>
      <c r="AR18" s="13"/>
      <c r="AS18" s="13"/>
      <c r="AT18" s="13"/>
      <c r="AU18" s="13"/>
      <c r="AV18" s="13"/>
      <c r="AW18" s="13"/>
    </row>
    <row r="19" spans="1:49" hidden="1" x14ac:dyDescent="0.25">
      <c r="A19" s="13" t="s">
        <v>54</v>
      </c>
      <c r="B19" s="13" t="s">
        <v>36</v>
      </c>
      <c r="C19" s="13">
        <v>38.15</v>
      </c>
      <c r="D19" s="13">
        <v>2.9580000000000002</v>
      </c>
      <c r="E19" s="13">
        <v>20.553000000000001</v>
      </c>
      <c r="F19" s="13">
        <v>17.097999999999999</v>
      </c>
      <c r="G19" s="13"/>
      <c r="H19" s="6">
        <v>1</v>
      </c>
      <c r="I19" s="13">
        <v>120</v>
      </c>
      <c r="J19" s="13" t="s">
        <v>41</v>
      </c>
      <c r="K19" s="13"/>
      <c r="L19" s="13">
        <v>39</v>
      </c>
      <c r="M19" s="13">
        <f t="shared" si="2"/>
        <v>-18.446999999999999</v>
      </c>
      <c r="N19" s="13"/>
      <c r="O19" s="13"/>
      <c r="P19" s="13">
        <v>0</v>
      </c>
      <c r="Q19" s="13">
        <v>62</v>
      </c>
      <c r="R19" s="13">
        <f t="shared" si="3"/>
        <v>4.1105999999999998</v>
      </c>
      <c r="S19" s="4">
        <v>10</v>
      </c>
      <c r="T19" s="13">
        <f t="shared" si="4"/>
        <v>21.675181238748603</v>
      </c>
      <c r="U19" s="13">
        <f t="shared" si="5"/>
        <v>19.242446358195885</v>
      </c>
      <c r="V19" s="13">
        <v>11.1694</v>
      </c>
      <c r="W19" s="13">
        <v>5.2294</v>
      </c>
      <c r="X19" s="13">
        <v>2.7151999999999998</v>
      </c>
      <c r="Y19" s="13">
        <v>5.2648000000000001</v>
      </c>
      <c r="Z19" s="13">
        <v>4.2115999999999998</v>
      </c>
      <c r="AA19" s="13">
        <v>3.5571999999999999</v>
      </c>
      <c r="AB19" s="13">
        <v>3.2544</v>
      </c>
      <c r="AC19" s="13">
        <v>1.6692</v>
      </c>
      <c r="AD19" s="13">
        <v>3.0581999999999998</v>
      </c>
      <c r="AE19" s="13">
        <v>1.0933999999999999</v>
      </c>
      <c r="AF19" s="13" t="s">
        <v>43</v>
      </c>
      <c r="AG19" s="13">
        <f t="shared" si="6"/>
        <v>10</v>
      </c>
      <c r="AH19" s="13"/>
      <c r="AI19" s="13"/>
      <c r="AJ19" s="13"/>
      <c r="AK19" s="13"/>
      <c r="AL19" s="13"/>
      <c r="AM19" s="13"/>
      <c r="AN19" s="13"/>
      <c r="AO19" s="13"/>
      <c r="AP19" s="13"/>
      <c r="AQ19" s="13"/>
      <c r="AR19" s="13"/>
      <c r="AS19" s="13"/>
      <c r="AT19" s="13"/>
      <c r="AU19" s="13"/>
      <c r="AV19" s="13"/>
      <c r="AW19" s="13"/>
    </row>
    <row r="20" spans="1:49" x14ac:dyDescent="0.25">
      <c r="A20" s="13" t="s">
        <v>55</v>
      </c>
      <c r="B20" s="13" t="s">
        <v>40</v>
      </c>
      <c r="C20" s="13">
        <v>32</v>
      </c>
      <c r="D20" s="13"/>
      <c r="E20" s="13"/>
      <c r="F20" s="13">
        <v>32</v>
      </c>
      <c r="G20" s="13">
        <f>F20*H20</f>
        <v>12.8</v>
      </c>
      <c r="H20" s="6">
        <v>0.4</v>
      </c>
      <c r="I20" s="13">
        <v>45</v>
      </c>
      <c r="J20" s="13" t="s">
        <v>41</v>
      </c>
      <c r="K20" s="13"/>
      <c r="L20" s="13">
        <v>256</v>
      </c>
      <c r="M20" s="13">
        <f t="shared" si="2"/>
        <v>-256</v>
      </c>
      <c r="N20" s="13"/>
      <c r="O20" s="13"/>
      <c r="P20" s="13">
        <v>0</v>
      </c>
      <c r="Q20" s="13">
        <v>0</v>
      </c>
      <c r="R20" s="13">
        <f t="shared" si="3"/>
        <v>0</v>
      </c>
      <c r="S20" s="4"/>
      <c r="T20" s="13" t="e">
        <f t="shared" si="4"/>
        <v>#DIV/0!</v>
      </c>
      <c r="U20" s="13" t="e">
        <f t="shared" si="5"/>
        <v>#DIV/0!</v>
      </c>
      <c r="V20" s="13">
        <v>0</v>
      </c>
      <c r="W20" s="13">
        <v>-1.2</v>
      </c>
      <c r="X20" s="13">
        <v>-0.2</v>
      </c>
      <c r="Y20" s="13">
        <v>-3.8</v>
      </c>
      <c r="Z20" s="13">
        <v>-0.2</v>
      </c>
      <c r="AA20" s="13">
        <v>5</v>
      </c>
      <c r="AB20" s="13">
        <v>9.6</v>
      </c>
      <c r="AC20" s="13">
        <v>3.8</v>
      </c>
      <c r="AD20" s="13">
        <v>22.2</v>
      </c>
      <c r="AE20" s="13">
        <v>17.399999999999999</v>
      </c>
      <c r="AF20" s="11" t="s">
        <v>167</v>
      </c>
      <c r="AG20" s="13">
        <f t="shared" si="6"/>
        <v>0</v>
      </c>
      <c r="AH20" s="13"/>
      <c r="AI20" s="13"/>
      <c r="AJ20" s="13"/>
      <c r="AK20" s="13"/>
      <c r="AL20" s="13"/>
      <c r="AM20" s="13"/>
      <c r="AN20" s="13"/>
      <c r="AO20" s="13"/>
      <c r="AP20" s="13"/>
      <c r="AQ20" s="13"/>
      <c r="AR20" s="13"/>
      <c r="AS20" s="13"/>
      <c r="AT20" s="13"/>
      <c r="AU20" s="13"/>
      <c r="AV20" s="13"/>
      <c r="AW20" s="13"/>
    </row>
    <row r="21" spans="1:49" hidden="1" x14ac:dyDescent="0.25">
      <c r="A21" s="13" t="s">
        <v>56</v>
      </c>
      <c r="B21" s="13" t="s">
        <v>36</v>
      </c>
      <c r="C21" s="13">
        <v>116.47199999999999</v>
      </c>
      <c r="D21" s="13">
        <v>13.55</v>
      </c>
      <c r="E21" s="13">
        <v>121.63200000000001</v>
      </c>
      <c r="F21" s="13">
        <v>-7.1150000000000002</v>
      </c>
      <c r="G21" s="13"/>
      <c r="H21" s="6">
        <v>1</v>
      </c>
      <c r="I21" s="13">
        <v>60</v>
      </c>
      <c r="J21" s="13" t="s">
        <v>41</v>
      </c>
      <c r="K21" s="13"/>
      <c r="L21" s="13">
        <v>181.804</v>
      </c>
      <c r="M21" s="13">
        <f t="shared" si="2"/>
        <v>-60.171999999999997</v>
      </c>
      <c r="N21" s="13"/>
      <c r="O21" s="13"/>
      <c r="P21" s="13">
        <v>177</v>
      </c>
      <c r="Q21" s="13">
        <v>239</v>
      </c>
      <c r="R21" s="13">
        <f t="shared" si="3"/>
        <v>24.3264</v>
      </c>
      <c r="S21" s="4">
        <v>50</v>
      </c>
      <c r="T21" s="13">
        <f t="shared" si="4"/>
        <v>18.863662523020256</v>
      </c>
      <c r="U21" s="13">
        <f t="shared" si="5"/>
        <v>16.808282359905288</v>
      </c>
      <c r="V21" s="13">
        <v>38.0486</v>
      </c>
      <c r="W21" s="13">
        <v>34.205199999999998</v>
      </c>
      <c r="X21" s="13">
        <v>22.615200000000002</v>
      </c>
      <c r="Y21" s="13">
        <v>32.779600000000002</v>
      </c>
      <c r="Z21" s="13">
        <v>30.880400000000002</v>
      </c>
      <c r="AA21" s="13">
        <v>43.971800000000002</v>
      </c>
      <c r="AB21" s="13">
        <v>24.540600000000001</v>
      </c>
      <c r="AC21" s="13">
        <v>24.433</v>
      </c>
      <c r="AD21" s="13">
        <v>26.175999999999998</v>
      </c>
      <c r="AE21" s="13">
        <v>27.4224</v>
      </c>
      <c r="AF21" s="13"/>
      <c r="AG21" s="13">
        <f t="shared" si="6"/>
        <v>50</v>
      </c>
      <c r="AH21" s="13"/>
      <c r="AI21" s="13"/>
      <c r="AJ21" s="13"/>
      <c r="AK21" s="13"/>
      <c r="AL21" s="13"/>
      <c r="AM21" s="13"/>
      <c r="AN21" s="13"/>
      <c r="AO21" s="13"/>
      <c r="AP21" s="13"/>
      <c r="AQ21" s="13"/>
      <c r="AR21" s="13"/>
      <c r="AS21" s="13"/>
      <c r="AT21" s="13"/>
      <c r="AU21" s="13"/>
      <c r="AV21" s="13"/>
      <c r="AW21" s="13"/>
    </row>
    <row r="22" spans="1:49" hidden="1" x14ac:dyDescent="0.25">
      <c r="A22" s="13" t="s">
        <v>57</v>
      </c>
      <c r="B22" s="13" t="s">
        <v>40</v>
      </c>
      <c r="C22" s="13">
        <v>376</v>
      </c>
      <c r="D22" s="13">
        <v>6</v>
      </c>
      <c r="E22" s="13">
        <v>358</v>
      </c>
      <c r="F22" s="13">
        <v>20</v>
      </c>
      <c r="G22" s="13"/>
      <c r="H22" s="6">
        <v>0.22</v>
      </c>
      <c r="I22" s="13">
        <v>120</v>
      </c>
      <c r="J22" s="13" t="s">
        <v>41</v>
      </c>
      <c r="K22" s="13"/>
      <c r="L22" s="13">
        <v>714</v>
      </c>
      <c r="M22" s="13">
        <f t="shared" si="2"/>
        <v>-356</v>
      </c>
      <c r="N22" s="13"/>
      <c r="O22" s="13"/>
      <c r="P22" s="13">
        <v>439</v>
      </c>
      <c r="Q22" s="13">
        <v>788</v>
      </c>
      <c r="R22" s="13">
        <f t="shared" si="3"/>
        <v>71.599999999999994</v>
      </c>
      <c r="S22" s="4">
        <v>200</v>
      </c>
      <c r="T22" s="13">
        <f t="shared" si="4"/>
        <v>20.209497206703912</v>
      </c>
      <c r="U22" s="13">
        <f t="shared" si="5"/>
        <v>17.416201117318437</v>
      </c>
      <c r="V22" s="13">
        <v>133.6</v>
      </c>
      <c r="W22" s="13">
        <v>105.8</v>
      </c>
      <c r="X22" s="13">
        <v>63.4</v>
      </c>
      <c r="Y22" s="13">
        <v>72.2</v>
      </c>
      <c r="Z22" s="13">
        <v>83.4</v>
      </c>
      <c r="AA22" s="13">
        <v>44.2</v>
      </c>
      <c r="AB22" s="13">
        <v>39.6</v>
      </c>
      <c r="AC22" s="13">
        <v>29.2</v>
      </c>
      <c r="AD22" s="13">
        <v>39</v>
      </c>
      <c r="AE22" s="13">
        <v>36.200000000000003</v>
      </c>
      <c r="AF22" s="13" t="s">
        <v>43</v>
      </c>
      <c r="AG22" s="13">
        <f t="shared" si="6"/>
        <v>44</v>
      </c>
      <c r="AH22" s="13"/>
      <c r="AI22" s="13"/>
      <c r="AJ22" s="13"/>
      <c r="AK22" s="13"/>
      <c r="AL22" s="13"/>
      <c r="AM22" s="13"/>
      <c r="AN22" s="13"/>
      <c r="AO22" s="13"/>
      <c r="AP22" s="13"/>
      <c r="AQ22" s="13"/>
      <c r="AR22" s="13"/>
      <c r="AS22" s="13"/>
      <c r="AT22" s="13"/>
      <c r="AU22" s="13"/>
      <c r="AV22" s="13"/>
      <c r="AW22" s="13"/>
    </row>
    <row r="23" spans="1:49" hidden="1" x14ac:dyDescent="0.25">
      <c r="A23" s="13" t="s">
        <v>58</v>
      </c>
      <c r="B23" s="13" t="s">
        <v>36</v>
      </c>
      <c r="C23" s="13">
        <v>1.1160000000000001</v>
      </c>
      <c r="D23" s="13"/>
      <c r="E23" s="13"/>
      <c r="F23" s="13">
        <v>1.1160000000000001</v>
      </c>
      <c r="G23" s="13"/>
      <c r="H23" s="6">
        <v>1</v>
      </c>
      <c r="I23" s="13">
        <v>40</v>
      </c>
      <c r="J23" s="13" t="s">
        <v>41</v>
      </c>
      <c r="K23" s="13"/>
      <c r="L23" s="13">
        <v>24</v>
      </c>
      <c r="M23" s="13">
        <f t="shared" si="2"/>
        <v>-24</v>
      </c>
      <c r="N23" s="13"/>
      <c r="O23" s="13"/>
      <c r="P23" s="13">
        <v>20</v>
      </c>
      <c r="Q23" s="13">
        <v>10</v>
      </c>
      <c r="R23" s="13">
        <f t="shared" si="3"/>
        <v>0</v>
      </c>
      <c r="S23" s="4">
        <v>10</v>
      </c>
      <c r="T23" s="13" t="e">
        <f t="shared" si="4"/>
        <v>#DIV/0!</v>
      </c>
      <c r="U23" s="13" t="e">
        <f t="shared" si="5"/>
        <v>#DIV/0!</v>
      </c>
      <c r="V23" s="13">
        <v>-0.17599999999999999</v>
      </c>
      <c r="W23" s="13">
        <v>-0.27</v>
      </c>
      <c r="X23" s="13">
        <v>1.016</v>
      </c>
      <c r="Y23" s="13">
        <v>0.62519999999999998</v>
      </c>
      <c r="Z23" s="13">
        <v>3.5935999999999999</v>
      </c>
      <c r="AA23" s="13">
        <v>9.9719999999999995</v>
      </c>
      <c r="AB23" s="13">
        <v>8.8043999999999993</v>
      </c>
      <c r="AC23" s="13">
        <v>4.5223999999999993</v>
      </c>
      <c r="AD23" s="13">
        <v>2.25</v>
      </c>
      <c r="AE23" s="13">
        <v>2.5367999999999999</v>
      </c>
      <c r="AF23" s="13" t="s">
        <v>59</v>
      </c>
      <c r="AG23" s="13">
        <f t="shared" si="6"/>
        <v>10</v>
      </c>
      <c r="AH23" s="13"/>
      <c r="AI23" s="13"/>
      <c r="AJ23" s="13"/>
      <c r="AK23" s="13"/>
      <c r="AL23" s="13"/>
      <c r="AM23" s="13"/>
      <c r="AN23" s="13"/>
      <c r="AO23" s="13"/>
      <c r="AP23" s="13"/>
      <c r="AQ23" s="13"/>
      <c r="AR23" s="13"/>
      <c r="AS23" s="13"/>
      <c r="AT23" s="13"/>
      <c r="AU23" s="13"/>
      <c r="AV23" s="13"/>
      <c r="AW23" s="13"/>
    </row>
    <row r="24" spans="1:49" x14ac:dyDescent="0.25">
      <c r="A24" s="8" t="s">
        <v>60</v>
      </c>
      <c r="B24" s="8" t="s">
        <v>36</v>
      </c>
      <c r="C24" s="8">
        <v>39.21</v>
      </c>
      <c r="D24" s="8"/>
      <c r="E24" s="8"/>
      <c r="F24" s="8">
        <v>39.21</v>
      </c>
      <c r="G24" s="13">
        <f>F24*H24</f>
        <v>39.21</v>
      </c>
      <c r="H24" s="9">
        <v>1</v>
      </c>
      <c r="I24" s="8"/>
      <c r="J24" s="8" t="s">
        <v>37</v>
      </c>
      <c r="K24" s="8"/>
      <c r="L24" s="8"/>
      <c r="M24" s="8">
        <f t="shared" si="2"/>
        <v>0</v>
      </c>
      <c r="N24" s="8"/>
      <c r="O24" s="8"/>
      <c r="P24" s="8">
        <v>0</v>
      </c>
      <c r="Q24" s="8">
        <v>0</v>
      </c>
      <c r="R24" s="8">
        <f t="shared" si="3"/>
        <v>0</v>
      </c>
      <c r="S24" s="10"/>
      <c r="T24" s="8" t="e">
        <f t="shared" si="4"/>
        <v>#DIV/0!</v>
      </c>
      <c r="U24" s="8" t="e">
        <f t="shared" si="5"/>
        <v>#DIV/0!</v>
      </c>
      <c r="V24" s="8">
        <v>2.4140000000000001</v>
      </c>
      <c r="W24" s="8">
        <v>3.625</v>
      </c>
      <c r="X24" s="8">
        <v>0</v>
      </c>
      <c r="Y24" s="8">
        <v>5.444</v>
      </c>
      <c r="Z24" s="8">
        <v>0</v>
      </c>
      <c r="AA24" s="8">
        <v>0</v>
      </c>
      <c r="AB24" s="8">
        <v>0</v>
      </c>
      <c r="AC24" s="8">
        <v>0</v>
      </c>
      <c r="AD24" s="8">
        <v>0</v>
      </c>
      <c r="AE24" s="8">
        <v>0</v>
      </c>
      <c r="AF24" s="12" t="s">
        <v>38</v>
      </c>
      <c r="AG24" s="8"/>
      <c r="AH24" s="13"/>
      <c r="AI24" s="13"/>
      <c r="AJ24" s="13"/>
      <c r="AK24" s="13"/>
      <c r="AL24" s="13"/>
      <c r="AM24" s="13"/>
      <c r="AN24" s="13"/>
      <c r="AO24" s="13"/>
      <c r="AP24" s="13"/>
      <c r="AQ24" s="13"/>
      <c r="AR24" s="13"/>
      <c r="AS24" s="13"/>
      <c r="AT24" s="13"/>
      <c r="AU24" s="13"/>
      <c r="AV24" s="13"/>
      <c r="AW24" s="13"/>
    </row>
    <row r="25" spans="1:49" hidden="1" x14ac:dyDescent="0.25">
      <c r="A25" s="13" t="s">
        <v>61</v>
      </c>
      <c r="B25" s="13" t="s">
        <v>36</v>
      </c>
      <c r="C25" s="13">
        <v>4.0119999999999996</v>
      </c>
      <c r="D25" s="13">
        <v>1.3360000000000001</v>
      </c>
      <c r="E25" s="13">
        <v>1.2130000000000001</v>
      </c>
      <c r="F25" s="13">
        <v>6.7000000000000004E-2</v>
      </c>
      <c r="G25" s="13"/>
      <c r="H25" s="6">
        <v>1</v>
      </c>
      <c r="I25" s="13">
        <v>60</v>
      </c>
      <c r="J25" s="13" t="s">
        <v>41</v>
      </c>
      <c r="K25" s="13"/>
      <c r="L25" s="13">
        <v>105.4</v>
      </c>
      <c r="M25" s="13">
        <f t="shared" si="2"/>
        <v>-104.18700000000001</v>
      </c>
      <c r="N25" s="13"/>
      <c r="O25" s="13"/>
      <c r="P25" s="13">
        <v>127</v>
      </c>
      <c r="Q25" s="13">
        <v>11</v>
      </c>
      <c r="R25" s="13">
        <f t="shared" si="3"/>
        <v>0.24260000000000001</v>
      </c>
      <c r="S25" s="4">
        <v>60</v>
      </c>
      <c r="T25" s="13">
        <f t="shared" si="4"/>
        <v>816.43446001648806</v>
      </c>
      <c r="U25" s="13">
        <f t="shared" si="5"/>
        <v>569.11376751854903</v>
      </c>
      <c r="V25" s="13">
        <v>10.1114</v>
      </c>
      <c r="W25" s="13">
        <v>16.404199999999999</v>
      </c>
      <c r="X25" s="13">
        <v>2.4239999999999999</v>
      </c>
      <c r="Y25" s="13">
        <v>13.7454</v>
      </c>
      <c r="Z25" s="13">
        <v>15.651999999999999</v>
      </c>
      <c r="AA25" s="13">
        <v>11.1342</v>
      </c>
      <c r="AB25" s="13">
        <v>14.042400000000001</v>
      </c>
      <c r="AC25" s="13">
        <v>14.0364</v>
      </c>
      <c r="AD25" s="13">
        <v>10.058</v>
      </c>
      <c r="AE25" s="13">
        <v>11.2278</v>
      </c>
      <c r="AF25" s="13"/>
      <c r="AG25" s="13">
        <f>H25*S25</f>
        <v>60</v>
      </c>
      <c r="AH25" s="13"/>
      <c r="AI25" s="13"/>
      <c r="AJ25" s="13"/>
      <c r="AK25" s="13"/>
      <c r="AL25" s="13"/>
      <c r="AM25" s="13"/>
      <c r="AN25" s="13"/>
      <c r="AO25" s="13"/>
      <c r="AP25" s="13"/>
      <c r="AQ25" s="13"/>
      <c r="AR25" s="13"/>
      <c r="AS25" s="13"/>
      <c r="AT25" s="13"/>
      <c r="AU25" s="13"/>
      <c r="AV25" s="13"/>
      <c r="AW25" s="13"/>
    </row>
    <row r="26" spans="1:49" hidden="1" x14ac:dyDescent="0.25">
      <c r="A26" s="13" t="s">
        <v>62</v>
      </c>
      <c r="B26" s="13" t="s">
        <v>40</v>
      </c>
      <c r="C26" s="13">
        <v>221</v>
      </c>
      <c r="D26" s="13">
        <v>12</v>
      </c>
      <c r="E26" s="13">
        <v>177</v>
      </c>
      <c r="F26" s="13">
        <v>55</v>
      </c>
      <c r="G26" s="13"/>
      <c r="H26" s="6">
        <v>0.09</v>
      </c>
      <c r="I26" s="13">
        <v>60</v>
      </c>
      <c r="J26" s="13" t="s">
        <v>41</v>
      </c>
      <c r="K26" s="13"/>
      <c r="L26" s="13">
        <v>270</v>
      </c>
      <c r="M26" s="13">
        <f t="shared" si="2"/>
        <v>-93</v>
      </c>
      <c r="N26" s="13"/>
      <c r="O26" s="13"/>
      <c r="P26" s="13">
        <v>85</v>
      </c>
      <c r="Q26" s="13">
        <v>280</v>
      </c>
      <c r="R26" s="13">
        <f t="shared" si="3"/>
        <v>35.4</v>
      </c>
      <c r="S26" s="4">
        <f t="shared" ref="S26" si="8">16*R26-Q26-P26-F26</f>
        <v>146.39999999999998</v>
      </c>
      <c r="T26" s="13">
        <f t="shared" si="4"/>
        <v>16</v>
      </c>
      <c r="U26" s="13">
        <f t="shared" si="5"/>
        <v>11.864406779661017</v>
      </c>
      <c r="V26" s="13">
        <v>48.8</v>
      </c>
      <c r="W26" s="13">
        <v>39.6</v>
      </c>
      <c r="X26" s="13">
        <v>38.799999999999997</v>
      </c>
      <c r="Y26" s="13">
        <v>13.2</v>
      </c>
      <c r="Z26" s="13">
        <v>47.8</v>
      </c>
      <c r="AA26" s="13">
        <v>38.799999999999997</v>
      </c>
      <c r="AB26" s="13">
        <v>20</v>
      </c>
      <c r="AC26" s="13">
        <v>34.4</v>
      </c>
      <c r="AD26" s="13">
        <v>30.6</v>
      </c>
      <c r="AE26" s="13">
        <v>34.4</v>
      </c>
      <c r="AF26" s="13"/>
      <c r="AG26" s="13">
        <f>H26*S26</f>
        <v>13.175999999999997</v>
      </c>
      <c r="AH26" s="13"/>
      <c r="AI26" s="13"/>
      <c r="AJ26" s="13"/>
      <c r="AK26" s="13"/>
      <c r="AL26" s="13"/>
      <c r="AM26" s="13"/>
      <c r="AN26" s="13"/>
      <c r="AO26" s="13"/>
      <c r="AP26" s="13"/>
      <c r="AQ26" s="13"/>
      <c r="AR26" s="13"/>
      <c r="AS26" s="13"/>
      <c r="AT26" s="13"/>
      <c r="AU26" s="13"/>
      <c r="AV26" s="13"/>
      <c r="AW26" s="13"/>
    </row>
    <row r="27" spans="1:49" x14ac:dyDescent="0.25">
      <c r="A27" s="8" t="s">
        <v>63</v>
      </c>
      <c r="B27" s="8" t="s">
        <v>40</v>
      </c>
      <c r="C27" s="8">
        <v>70</v>
      </c>
      <c r="D27" s="8"/>
      <c r="E27" s="8"/>
      <c r="F27" s="8">
        <v>70</v>
      </c>
      <c r="G27" s="13">
        <f>F27*H27</f>
        <v>6.3</v>
      </c>
      <c r="H27" s="9">
        <v>0.09</v>
      </c>
      <c r="I27" s="8"/>
      <c r="J27" s="8" t="s">
        <v>37</v>
      </c>
      <c r="K27" s="8"/>
      <c r="L27" s="8"/>
      <c r="M27" s="8">
        <f t="shared" si="2"/>
        <v>0</v>
      </c>
      <c r="N27" s="8"/>
      <c r="O27" s="8"/>
      <c r="P27" s="8">
        <v>0</v>
      </c>
      <c r="Q27" s="8">
        <v>0</v>
      </c>
      <c r="R27" s="8">
        <f t="shared" si="3"/>
        <v>0</v>
      </c>
      <c r="S27" s="10"/>
      <c r="T27" s="8" t="e">
        <f t="shared" si="4"/>
        <v>#DIV/0!</v>
      </c>
      <c r="U27" s="8" t="e">
        <f t="shared" si="5"/>
        <v>#DIV/0!</v>
      </c>
      <c r="V27" s="8">
        <v>0</v>
      </c>
      <c r="W27" s="8">
        <v>6</v>
      </c>
      <c r="X27" s="8">
        <v>0</v>
      </c>
      <c r="Y27" s="8">
        <v>4.2</v>
      </c>
      <c r="Z27" s="8">
        <v>0</v>
      </c>
      <c r="AA27" s="8">
        <v>0</v>
      </c>
      <c r="AB27" s="8">
        <v>0</v>
      </c>
      <c r="AC27" s="8">
        <v>0</v>
      </c>
      <c r="AD27" s="8">
        <v>0</v>
      </c>
      <c r="AE27" s="8">
        <v>0</v>
      </c>
      <c r="AF27" s="12" t="s">
        <v>38</v>
      </c>
      <c r="AG27" s="8"/>
      <c r="AH27" s="13"/>
      <c r="AI27" s="13"/>
      <c r="AJ27" s="13"/>
      <c r="AK27" s="13"/>
      <c r="AL27" s="13"/>
      <c r="AM27" s="13"/>
      <c r="AN27" s="13"/>
      <c r="AO27" s="13"/>
      <c r="AP27" s="13"/>
      <c r="AQ27" s="13"/>
      <c r="AR27" s="13"/>
      <c r="AS27" s="13"/>
      <c r="AT27" s="13"/>
      <c r="AU27" s="13"/>
      <c r="AV27" s="13"/>
      <c r="AW27" s="13"/>
    </row>
    <row r="28" spans="1:49" hidden="1" x14ac:dyDescent="0.25">
      <c r="A28" s="13" t="s">
        <v>64</v>
      </c>
      <c r="B28" s="13" t="s">
        <v>40</v>
      </c>
      <c r="C28" s="13">
        <v>12</v>
      </c>
      <c r="D28" s="13">
        <v>3</v>
      </c>
      <c r="E28" s="13">
        <v>4</v>
      </c>
      <c r="F28" s="13">
        <v>3</v>
      </c>
      <c r="G28" s="13"/>
      <c r="H28" s="6">
        <v>0.09</v>
      </c>
      <c r="I28" s="13">
        <v>45</v>
      </c>
      <c r="J28" s="13" t="s">
        <v>41</v>
      </c>
      <c r="K28" s="13"/>
      <c r="L28" s="13">
        <v>78</v>
      </c>
      <c r="M28" s="13">
        <f t="shared" si="2"/>
        <v>-74</v>
      </c>
      <c r="N28" s="13"/>
      <c r="O28" s="13"/>
      <c r="P28" s="13">
        <v>118</v>
      </c>
      <c r="Q28" s="13">
        <v>0</v>
      </c>
      <c r="R28" s="13">
        <f t="shared" si="3"/>
        <v>0.8</v>
      </c>
      <c r="S28" s="4">
        <v>60</v>
      </c>
      <c r="T28" s="13">
        <f t="shared" si="4"/>
        <v>226.25</v>
      </c>
      <c r="U28" s="13">
        <f t="shared" si="5"/>
        <v>151.25</v>
      </c>
      <c r="V28" s="13">
        <v>1.8</v>
      </c>
      <c r="W28" s="13">
        <v>14.2</v>
      </c>
      <c r="X28" s="13">
        <v>7.2</v>
      </c>
      <c r="Y28" s="13">
        <v>6.2</v>
      </c>
      <c r="Z28" s="13">
        <v>11</v>
      </c>
      <c r="AA28" s="13">
        <v>14.8</v>
      </c>
      <c r="AB28" s="13">
        <v>8.1999999999999993</v>
      </c>
      <c r="AC28" s="13">
        <v>11</v>
      </c>
      <c r="AD28" s="13">
        <v>22</v>
      </c>
      <c r="AE28" s="13">
        <v>18.8</v>
      </c>
      <c r="AF28" s="13"/>
      <c r="AG28" s="13">
        <f>H28*S28</f>
        <v>5.3999999999999995</v>
      </c>
      <c r="AH28" s="13"/>
      <c r="AI28" s="13"/>
      <c r="AJ28" s="13"/>
      <c r="AK28" s="13"/>
      <c r="AL28" s="13"/>
      <c r="AM28" s="13"/>
      <c r="AN28" s="13"/>
      <c r="AO28" s="13"/>
      <c r="AP28" s="13"/>
      <c r="AQ28" s="13"/>
      <c r="AR28" s="13"/>
      <c r="AS28" s="13"/>
      <c r="AT28" s="13"/>
      <c r="AU28" s="13"/>
      <c r="AV28" s="13"/>
      <c r="AW28" s="13"/>
    </row>
    <row r="29" spans="1:49" x14ac:dyDescent="0.25">
      <c r="A29" s="13" t="s">
        <v>65</v>
      </c>
      <c r="B29" s="13" t="s">
        <v>40</v>
      </c>
      <c r="C29" s="13">
        <v>80</v>
      </c>
      <c r="D29" s="13"/>
      <c r="E29" s="13"/>
      <c r="F29" s="13">
        <v>80</v>
      </c>
      <c r="G29" s="13">
        <f>F29*H29</f>
        <v>12</v>
      </c>
      <c r="H29" s="6">
        <v>0.15</v>
      </c>
      <c r="I29" s="13">
        <v>45</v>
      </c>
      <c r="J29" s="13" t="s">
        <v>41</v>
      </c>
      <c r="K29" s="13"/>
      <c r="L29" s="13">
        <v>101</v>
      </c>
      <c r="M29" s="13">
        <f t="shared" si="2"/>
        <v>-101</v>
      </c>
      <c r="N29" s="13"/>
      <c r="O29" s="13"/>
      <c r="P29" s="13">
        <v>32</v>
      </c>
      <c r="Q29" s="13">
        <v>0</v>
      </c>
      <c r="R29" s="13">
        <f t="shared" si="3"/>
        <v>0</v>
      </c>
      <c r="S29" s="4"/>
      <c r="T29" s="13" t="e">
        <f t="shared" si="4"/>
        <v>#DIV/0!</v>
      </c>
      <c r="U29" s="13" t="e">
        <f t="shared" si="5"/>
        <v>#DIV/0!</v>
      </c>
      <c r="V29" s="13">
        <v>0</v>
      </c>
      <c r="W29" s="13">
        <v>8</v>
      </c>
      <c r="X29" s="13">
        <v>2</v>
      </c>
      <c r="Y29" s="13">
        <v>1.8</v>
      </c>
      <c r="Z29" s="13">
        <v>2.2000000000000002</v>
      </c>
      <c r="AA29" s="13">
        <v>6</v>
      </c>
      <c r="AB29" s="13">
        <v>8.8000000000000007</v>
      </c>
      <c r="AC29" s="13">
        <v>7</v>
      </c>
      <c r="AD29" s="13">
        <v>9.8000000000000007</v>
      </c>
      <c r="AE29" s="13">
        <v>17.399999999999999</v>
      </c>
      <c r="AF29" s="12" t="s">
        <v>66</v>
      </c>
      <c r="AG29" s="13">
        <f>H29*S29</f>
        <v>0</v>
      </c>
      <c r="AH29" s="13"/>
      <c r="AI29" s="13"/>
      <c r="AJ29" s="13"/>
      <c r="AK29" s="13"/>
      <c r="AL29" s="13"/>
      <c r="AM29" s="13"/>
      <c r="AN29" s="13"/>
      <c r="AO29" s="13"/>
      <c r="AP29" s="13"/>
      <c r="AQ29" s="13"/>
      <c r="AR29" s="13"/>
      <c r="AS29" s="13"/>
      <c r="AT29" s="13"/>
      <c r="AU29" s="13"/>
      <c r="AV29" s="13"/>
      <c r="AW29" s="13"/>
    </row>
    <row r="30" spans="1:49" hidden="1" x14ac:dyDescent="0.25">
      <c r="A30" s="13" t="s">
        <v>67</v>
      </c>
      <c r="B30" s="13" t="s">
        <v>36</v>
      </c>
      <c r="C30" s="13">
        <v>193.65199999999999</v>
      </c>
      <c r="D30" s="13">
        <v>3.2160000000000002</v>
      </c>
      <c r="E30" s="13">
        <v>278.80200000000002</v>
      </c>
      <c r="F30" s="13">
        <v>-107.374</v>
      </c>
      <c r="G30" s="13"/>
      <c r="H30" s="6">
        <v>1</v>
      </c>
      <c r="I30" s="13">
        <v>45</v>
      </c>
      <c r="J30" s="13" t="s">
        <v>41</v>
      </c>
      <c r="K30" s="13"/>
      <c r="L30" s="13">
        <v>685.81600000000003</v>
      </c>
      <c r="M30" s="13">
        <f t="shared" si="2"/>
        <v>-407.01400000000001</v>
      </c>
      <c r="N30" s="13"/>
      <c r="O30" s="13"/>
      <c r="P30" s="13">
        <v>836</v>
      </c>
      <c r="Q30" s="13">
        <v>307</v>
      </c>
      <c r="R30" s="13">
        <f t="shared" si="3"/>
        <v>55.760400000000004</v>
      </c>
      <c r="S30" s="4">
        <v>300</v>
      </c>
      <c r="T30" s="13">
        <f t="shared" si="4"/>
        <v>23.952948687599083</v>
      </c>
      <c r="U30" s="13">
        <f t="shared" si="5"/>
        <v>18.57278642190515</v>
      </c>
      <c r="V30" s="13">
        <v>95.490800000000007</v>
      </c>
      <c r="W30" s="13">
        <v>113.20059999999999</v>
      </c>
      <c r="X30" s="13">
        <v>18.4908</v>
      </c>
      <c r="Y30" s="13">
        <v>75.172600000000003</v>
      </c>
      <c r="Z30" s="13">
        <v>78.514399999999995</v>
      </c>
      <c r="AA30" s="13">
        <v>67.384799999999998</v>
      </c>
      <c r="AB30" s="13">
        <v>59.207000000000008</v>
      </c>
      <c r="AC30" s="13">
        <v>31.207000000000001</v>
      </c>
      <c r="AD30" s="13">
        <v>62.066000000000003</v>
      </c>
      <c r="AE30" s="13">
        <v>56.630200000000002</v>
      </c>
      <c r="AF30" s="13"/>
      <c r="AG30" s="13">
        <f>H30*S30</f>
        <v>300</v>
      </c>
      <c r="AH30" s="13"/>
      <c r="AI30" s="13"/>
      <c r="AJ30" s="13"/>
      <c r="AK30" s="13"/>
      <c r="AL30" s="13"/>
      <c r="AM30" s="13"/>
      <c r="AN30" s="13"/>
      <c r="AO30" s="13"/>
      <c r="AP30" s="13"/>
      <c r="AQ30" s="13"/>
      <c r="AR30" s="13"/>
      <c r="AS30" s="13"/>
      <c r="AT30" s="13"/>
      <c r="AU30" s="13"/>
      <c r="AV30" s="13"/>
      <c r="AW30" s="13"/>
    </row>
    <row r="31" spans="1:49" hidden="1" x14ac:dyDescent="0.25">
      <c r="A31" s="13" t="s">
        <v>68</v>
      </c>
      <c r="B31" s="13" t="s">
        <v>40</v>
      </c>
      <c r="C31" s="13">
        <v>17</v>
      </c>
      <c r="D31" s="13"/>
      <c r="E31" s="13">
        <v>17</v>
      </c>
      <c r="F31" s="13"/>
      <c r="G31" s="13"/>
      <c r="H31" s="6">
        <v>0.4</v>
      </c>
      <c r="I31" s="13">
        <v>60</v>
      </c>
      <c r="J31" s="13" t="s">
        <v>41</v>
      </c>
      <c r="K31" s="13"/>
      <c r="L31" s="13">
        <v>116</v>
      </c>
      <c r="M31" s="13">
        <f t="shared" si="2"/>
        <v>-99</v>
      </c>
      <c r="N31" s="13"/>
      <c r="O31" s="13"/>
      <c r="P31" s="13">
        <v>202</v>
      </c>
      <c r="Q31" s="13">
        <v>117</v>
      </c>
      <c r="R31" s="13">
        <f t="shared" si="3"/>
        <v>3.4</v>
      </c>
      <c r="S31" s="4"/>
      <c r="T31" s="13">
        <f t="shared" si="4"/>
        <v>93.82352941176471</v>
      </c>
      <c r="U31" s="13">
        <f t="shared" si="5"/>
        <v>93.82352941176471</v>
      </c>
      <c r="V31" s="13">
        <v>24</v>
      </c>
      <c r="W31" s="13">
        <v>24</v>
      </c>
      <c r="X31" s="13">
        <v>7.4</v>
      </c>
      <c r="Y31" s="13">
        <v>16</v>
      </c>
      <c r="Z31" s="13">
        <v>24.8</v>
      </c>
      <c r="AA31" s="13">
        <v>16.600000000000001</v>
      </c>
      <c r="AB31" s="13">
        <v>16.600000000000001</v>
      </c>
      <c r="AC31" s="13">
        <v>14.2</v>
      </c>
      <c r="AD31" s="13">
        <v>22.4</v>
      </c>
      <c r="AE31" s="13">
        <v>17.8</v>
      </c>
      <c r="AF31" s="13"/>
      <c r="AG31" s="13">
        <f>H31*S31</f>
        <v>0</v>
      </c>
      <c r="AH31" s="13"/>
      <c r="AI31" s="13"/>
      <c r="AJ31" s="13"/>
      <c r="AK31" s="13"/>
      <c r="AL31" s="13"/>
      <c r="AM31" s="13"/>
      <c r="AN31" s="13"/>
      <c r="AO31" s="13"/>
      <c r="AP31" s="13"/>
      <c r="AQ31" s="13"/>
      <c r="AR31" s="13"/>
      <c r="AS31" s="13"/>
      <c r="AT31" s="13"/>
      <c r="AU31" s="13"/>
      <c r="AV31" s="13"/>
      <c r="AW31" s="13"/>
    </row>
    <row r="32" spans="1:49" hidden="1" x14ac:dyDescent="0.25">
      <c r="A32" s="13" t="s">
        <v>69</v>
      </c>
      <c r="B32" s="13" t="s">
        <v>40</v>
      </c>
      <c r="C32" s="13">
        <v>418</v>
      </c>
      <c r="D32" s="13">
        <v>17</v>
      </c>
      <c r="E32" s="13">
        <v>393</v>
      </c>
      <c r="F32" s="13">
        <v>25</v>
      </c>
      <c r="G32" s="13"/>
      <c r="H32" s="6">
        <v>0.4</v>
      </c>
      <c r="I32" s="13">
        <v>60</v>
      </c>
      <c r="J32" s="13" t="s">
        <v>41</v>
      </c>
      <c r="K32" s="13"/>
      <c r="L32" s="13">
        <v>659</v>
      </c>
      <c r="M32" s="13">
        <f t="shared" si="2"/>
        <v>-266</v>
      </c>
      <c r="N32" s="13"/>
      <c r="O32" s="13"/>
      <c r="P32" s="13">
        <v>646</v>
      </c>
      <c r="Q32" s="13">
        <v>717</v>
      </c>
      <c r="R32" s="13">
        <f t="shared" si="3"/>
        <v>78.599999999999994</v>
      </c>
      <c r="S32" s="4">
        <v>200</v>
      </c>
      <c r="T32" s="13">
        <f t="shared" si="4"/>
        <v>20.203562340966922</v>
      </c>
      <c r="U32" s="13">
        <f t="shared" si="5"/>
        <v>17.659033078880409</v>
      </c>
      <c r="V32" s="13">
        <v>127.2</v>
      </c>
      <c r="W32" s="13">
        <v>120</v>
      </c>
      <c r="X32" s="13">
        <v>82.4</v>
      </c>
      <c r="Y32" s="13">
        <v>83.8</v>
      </c>
      <c r="Z32" s="13">
        <v>120.6</v>
      </c>
      <c r="AA32" s="13">
        <v>106.6</v>
      </c>
      <c r="AB32" s="13">
        <v>74.8</v>
      </c>
      <c r="AC32" s="13">
        <v>84</v>
      </c>
      <c r="AD32" s="13">
        <v>80</v>
      </c>
      <c r="AE32" s="13">
        <v>95.8</v>
      </c>
      <c r="AF32" s="13"/>
      <c r="AG32" s="13">
        <f>H32*S32</f>
        <v>80</v>
      </c>
      <c r="AH32" s="13"/>
      <c r="AI32" s="13"/>
      <c r="AJ32" s="13"/>
      <c r="AK32" s="13"/>
      <c r="AL32" s="13"/>
      <c r="AM32" s="13"/>
      <c r="AN32" s="13"/>
      <c r="AO32" s="13"/>
      <c r="AP32" s="13"/>
      <c r="AQ32" s="13"/>
      <c r="AR32" s="13"/>
      <c r="AS32" s="13"/>
      <c r="AT32" s="13"/>
      <c r="AU32" s="13"/>
      <c r="AV32" s="13"/>
      <c r="AW32" s="13"/>
    </row>
    <row r="33" spans="1:49" hidden="1" x14ac:dyDescent="0.25">
      <c r="A33" s="8" t="s">
        <v>70</v>
      </c>
      <c r="B33" s="8" t="s">
        <v>40</v>
      </c>
      <c r="C33" s="8">
        <v>-1</v>
      </c>
      <c r="D33" s="8"/>
      <c r="E33" s="8"/>
      <c r="F33" s="14">
        <v>-1</v>
      </c>
      <c r="G33" s="14"/>
      <c r="H33" s="9">
        <v>0</v>
      </c>
      <c r="I33" s="8"/>
      <c r="J33" s="8" t="s">
        <v>37</v>
      </c>
      <c r="K33" s="8" t="s">
        <v>71</v>
      </c>
      <c r="L33" s="8"/>
      <c r="M33" s="8">
        <f t="shared" si="2"/>
        <v>0</v>
      </c>
      <c r="N33" s="8"/>
      <c r="O33" s="8"/>
      <c r="P33" s="8">
        <v>0</v>
      </c>
      <c r="Q33" s="8">
        <v>0</v>
      </c>
      <c r="R33" s="8">
        <f t="shared" si="3"/>
        <v>0</v>
      </c>
      <c r="S33" s="10"/>
      <c r="T33" s="8" t="e">
        <f t="shared" si="4"/>
        <v>#DIV/0!</v>
      </c>
      <c r="U33" s="8" t="e">
        <f t="shared" si="5"/>
        <v>#DIV/0!</v>
      </c>
      <c r="V33" s="8">
        <v>0</v>
      </c>
      <c r="W33" s="8">
        <v>0</v>
      </c>
      <c r="X33" s="8">
        <v>0</v>
      </c>
      <c r="Y33" s="8">
        <v>0</v>
      </c>
      <c r="Z33" s="8">
        <v>0</v>
      </c>
      <c r="AA33" s="8">
        <v>0</v>
      </c>
      <c r="AB33" s="8">
        <v>0</v>
      </c>
      <c r="AC33" s="8">
        <v>0</v>
      </c>
      <c r="AD33" s="8">
        <v>0</v>
      </c>
      <c r="AE33" s="8">
        <v>0</v>
      </c>
      <c r="AF33" s="8"/>
      <c r="AG33" s="8"/>
      <c r="AH33" s="13"/>
      <c r="AI33" s="13"/>
      <c r="AJ33" s="13"/>
      <c r="AK33" s="13"/>
      <c r="AL33" s="13"/>
      <c r="AM33" s="13"/>
      <c r="AN33" s="13"/>
      <c r="AO33" s="13"/>
      <c r="AP33" s="13"/>
      <c r="AQ33" s="13"/>
      <c r="AR33" s="13"/>
      <c r="AS33" s="13"/>
      <c r="AT33" s="13"/>
      <c r="AU33" s="13"/>
      <c r="AV33" s="13"/>
      <c r="AW33" s="13"/>
    </row>
    <row r="34" spans="1:49" hidden="1" x14ac:dyDescent="0.25">
      <c r="A34" s="13" t="s">
        <v>72</v>
      </c>
      <c r="B34" s="13" t="s">
        <v>40</v>
      </c>
      <c r="C34" s="13">
        <v>319</v>
      </c>
      <c r="D34" s="13">
        <v>7</v>
      </c>
      <c r="E34" s="13">
        <v>310</v>
      </c>
      <c r="F34" s="13">
        <v>9</v>
      </c>
      <c r="G34" s="13"/>
      <c r="H34" s="6">
        <v>0.4</v>
      </c>
      <c r="I34" s="13">
        <v>60</v>
      </c>
      <c r="J34" s="13" t="s">
        <v>41</v>
      </c>
      <c r="K34" s="13"/>
      <c r="L34" s="13">
        <v>662</v>
      </c>
      <c r="M34" s="13">
        <f t="shared" si="2"/>
        <v>-352</v>
      </c>
      <c r="N34" s="13"/>
      <c r="O34" s="13"/>
      <c r="P34" s="13">
        <v>643</v>
      </c>
      <c r="Q34" s="13">
        <v>505</v>
      </c>
      <c r="R34" s="13">
        <f t="shared" si="3"/>
        <v>62</v>
      </c>
      <c r="S34" s="4">
        <v>150</v>
      </c>
      <c r="T34" s="13">
        <f t="shared" si="4"/>
        <v>21.080645161290324</v>
      </c>
      <c r="U34" s="13">
        <f t="shared" si="5"/>
        <v>18.661290322580644</v>
      </c>
      <c r="V34" s="13">
        <v>104.8</v>
      </c>
      <c r="W34" s="13">
        <v>105.6</v>
      </c>
      <c r="X34" s="13">
        <v>60</v>
      </c>
      <c r="Y34" s="13">
        <v>94.2</v>
      </c>
      <c r="Z34" s="13">
        <v>83.8</v>
      </c>
      <c r="AA34" s="13">
        <v>105</v>
      </c>
      <c r="AB34" s="13">
        <v>61.8</v>
      </c>
      <c r="AC34" s="13">
        <v>65.400000000000006</v>
      </c>
      <c r="AD34" s="13">
        <v>87.2</v>
      </c>
      <c r="AE34" s="13">
        <v>56.2</v>
      </c>
      <c r="AF34" s="13"/>
      <c r="AG34" s="13">
        <f>H34*S34</f>
        <v>60</v>
      </c>
      <c r="AH34" s="13"/>
      <c r="AI34" s="13"/>
      <c r="AJ34" s="13"/>
      <c r="AK34" s="13"/>
      <c r="AL34" s="13"/>
      <c r="AM34" s="13"/>
      <c r="AN34" s="13"/>
      <c r="AO34" s="13"/>
      <c r="AP34" s="13"/>
      <c r="AQ34" s="13"/>
      <c r="AR34" s="13"/>
      <c r="AS34" s="13"/>
      <c r="AT34" s="13"/>
      <c r="AU34" s="13"/>
      <c r="AV34" s="13"/>
      <c r="AW34" s="13"/>
    </row>
    <row r="35" spans="1:49" hidden="1" x14ac:dyDescent="0.25">
      <c r="A35" s="29" t="s">
        <v>73</v>
      </c>
      <c r="B35" s="8" t="s">
        <v>40</v>
      </c>
      <c r="C35" s="8">
        <v>177</v>
      </c>
      <c r="D35" s="8">
        <v>1</v>
      </c>
      <c r="E35" s="8">
        <v>29</v>
      </c>
      <c r="F35" s="8">
        <v>148</v>
      </c>
      <c r="G35" s="8"/>
      <c r="H35" s="9">
        <v>0</v>
      </c>
      <c r="I35" s="8">
        <v>45</v>
      </c>
      <c r="J35" s="8" t="s">
        <v>172</v>
      </c>
      <c r="K35" s="8"/>
      <c r="L35" s="8">
        <v>34</v>
      </c>
      <c r="M35" s="8">
        <f t="shared" si="2"/>
        <v>-5</v>
      </c>
      <c r="N35" s="8"/>
      <c r="O35" s="8"/>
      <c r="P35" s="8">
        <v>0</v>
      </c>
      <c r="Q35" s="8">
        <v>0</v>
      </c>
      <c r="R35" s="8">
        <f t="shared" si="3"/>
        <v>5.8</v>
      </c>
      <c r="S35" s="10"/>
      <c r="T35" s="8">
        <f t="shared" si="4"/>
        <v>25.517241379310345</v>
      </c>
      <c r="U35" s="8">
        <f t="shared" si="5"/>
        <v>25.517241379310345</v>
      </c>
      <c r="V35" s="8">
        <v>3.8</v>
      </c>
      <c r="W35" s="8">
        <v>0</v>
      </c>
      <c r="X35" s="8">
        <v>0.4</v>
      </c>
      <c r="Y35" s="8">
        <v>0</v>
      </c>
      <c r="Z35" s="8">
        <v>0</v>
      </c>
      <c r="AA35" s="8">
        <v>0</v>
      </c>
      <c r="AB35" s="8">
        <v>0</v>
      </c>
      <c r="AC35" s="8">
        <v>0</v>
      </c>
      <c r="AD35" s="8">
        <v>0</v>
      </c>
      <c r="AE35" s="8">
        <v>0</v>
      </c>
      <c r="AF35" s="12" t="s">
        <v>74</v>
      </c>
      <c r="AG35" s="8"/>
      <c r="AH35" s="13"/>
      <c r="AI35" s="13"/>
      <c r="AJ35" s="13"/>
      <c r="AK35" s="13"/>
      <c r="AL35" s="13"/>
      <c r="AM35" s="13"/>
      <c r="AN35" s="13"/>
      <c r="AO35" s="13"/>
      <c r="AP35" s="13"/>
      <c r="AQ35" s="13"/>
      <c r="AR35" s="13"/>
      <c r="AS35" s="13"/>
      <c r="AT35" s="13"/>
      <c r="AU35" s="13"/>
      <c r="AV35" s="13"/>
      <c r="AW35" s="13"/>
    </row>
    <row r="36" spans="1:49" hidden="1" x14ac:dyDescent="0.25">
      <c r="A36" s="8" t="s">
        <v>75</v>
      </c>
      <c r="B36" s="8" t="s">
        <v>40</v>
      </c>
      <c r="C36" s="8">
        <v>2</v>
      </c>
      <c r="D36" s="8"/>
      <c r="E36" s="8"/>
      <c r="F36" s="14">
        <v>2</v>
      </c>
      <c r="G36" s="14"/>
      <c r="H36" s="9">
        <v>0</v>
      </c>
      <c r="I36" s="8">
        <v>60</v>
      </c>
      <c r="J36" s="8" t="s">
        <v>37</v>
      </c>
      <c r="K36" s="8" t="s">
        <v>76</v>
      </c>
      <c r="L36" s="8"/>
      <c r="M36" s="8">
        <f t="shared" si="2"/>
        <v>0</v>
      </c>
      <c r="N36" s="8"/>
      <c r="O36" s="8"/>
      <c r="P36" s="8">
        <v>0</v>
      </c>
      <c r="Q36" s="8">
        <v>0</v>
      </c>
      <c r="R36" s="8">
        <f t="shared" si="3"/>
        <v>0</v>
      </c>
      <c r="S36" s="10"/>
      <c r="T36" s="8" t="e">
        <f t="shared" si="4"/>
        <v>#DIV/0!</v>
      </c>
      <c r="U36" s="8" t="e">
        <f t="shared" si="5"/>
        <v>#DIV/0!</v>
      </c>
      <c r="V36" s="8">
        <v>0</v>
      </c>
      <c r="W36" s="8">
        <v>0</v>
      </c>
      <c r="X36" s="8">
        <v>0</v>
      </c>
      <c r="Y36" s="8">
        <v>0</v>
      </c>
      <c r="Z36" s="8">
        <v>0.2</v>
      </c>
      <c r="AA36" s="8">
        <v>-0.4</v>
      </c>
      <c r="AB36" s="8">
        <v>20.6</v>
      </c>
      <c r="AC36" s="8">
        <v>34</v>
      </c>
      <c r="AD36" s="8">
        <v>49</v>
      </c>
      <c r="AE36" s="8">
        <v>32</v>
      </c>
      <c r="AF36" s="8" t="s">
        <v>77</v>
      </c>
      <c r="AG36" s="8"/>
      <c r="AH36" s="13"/>
      <c r="AI36" s="13"/>
      <c r="AJ36" s="13"/>
      <c r="AK36" s="13"/>
      <c r="AL36" s="13"/>
      <c r="AM36" s="13"/>
      <c r="AN36" s="13"/>
      <c r="AO36" s="13"/>
      <c r="AP36" s="13"/>
      <c r="AQ36" s="13"/>
      <c r="AR36" s="13"/>
      <c r="AS36" s="13"/>
      <c r="AT36" s="13"/>
      <c r="AU36" s="13"/>
      <c r="AV36" s="13"/>
      <c r="AW36" s="13"/>
    </row>
    <row r="37" spans="1:49" hidden="1" x14ac:dyDescent="0.25">
      <c r="A37" s="8" t="s">
        <v>78</v>
      </c>
      <c r="B37" s="8" t="s">
        <v>40</v>
      </c>
      <c r="C37" s="8">
        <v>-15</v>
      </c>
      <c r="D37" s="8"/>
      <c r="E37" s="8"/>
      <c r="F37" s="14">
        <v>-15</v>
      </c>
      <c r="G37" s="14"/>
      <c r="H37" s="9">
        <v>0</v>
      </c>
      <c r="I37" s="8">
        <v>60</v>
      </c>
      <c r="J37" s="8" t="s">
        <v>37</v>
      </c>
      <c r="K37" s="8" t="s">
        <v>79</v>
      </c>
      <c r="L37" s="8"/>
      <c r="M37" s="8">
        <f t="shared" si="2"/>
        <v>0</v>
      </c>
      <c r="N37" s="8"/>
      <c r="O37" s="8"/>
      <c r="P37" s="8">
        <v>0</v>
      </c>
      <c r="Q37" s="8">
        <v>0</v>
      </c>
      <c r="R37" s="8">
        <f t="shared" si="3"/>
        <v>0</v>
      </c>
      <c r="S37" s="10"/>
      <c r="T37" s="8" t="e">
        <f t="shared" si="4"/>
        <v>#DIV/0!</v>
      </c>
      <c r="U37" s="8" t="e">
        <f t="shared" si="5"/>
        <v>#DIV/0!</v>
      </c>
      <c r="V37" s="8">
        <v>0</v>
      </c>
      <c r="W37" s="8">
        <v>3</v>
      </c>
      <c r="X37" s="8">
        <v>0.2</v>
      </c>
      <c r="Y37" s="8">
        <v>-0.2</v>
      </c>
      <c r="Z37" s="8">
        <v>17</v>
      </c>
      <c r="AA37" s="8">
        <v>24.6</v>
      </c>
      <c r="AB37" s="8">
        <v>36.6</v>
      </c>
      <c r="AC37" s="8">
        <v>34.4</v>
      </c>
      <c r="AD37" s="8">
        <v>33.799999999999997</v>
      </c>
      <c r="AE37" s="8">
        <v>37.799999999999997</v>
      </c>
      <c r="AF37" s="8" t="s">
        <v>80</v>
      </c>
      <c r="AG37" s="8"/>
      <c r="AH37" s="13"/>
      <c r="AI37" s="13"/>
      <c r="AJ37" s="13"/>
      <c r="AK37" s="13"/>
      <c r="AL37" s="13"/>
      <c r="AM37" s="13"/>
      <c r="AN37" s="13"/>
      <c r="AO37" s="13"/>
      <c r="AP37" s="13"/>
      <c r="AQ37" s="13"/>
      <c r="AR37" s="13"/>
      <c r="AS37" s="13"/>
      <c r="AT37" s="13"/>
      <c r="AU37" s="13"/>
      <c r="AV37" s="13"/>
      <c r="AW37" s="13"/>
    </row>
    <row r="38" spans="1:49" hidden="1" x14ac:dyDescent="0.25">
      <c r="A38" s="8" t="s">
        <v>81</v>
      </c>
      <c r="B38" s="8" t="s">
        <v>36</v>
      </c>
      <c r="C38" s="8">
        <v>13.468999999999999</v>
      </c>
      <c r="D38" s="8"/>
      <c r="E38" s="8">
        <v>13.468999999999999</v>
      </c>
      <c r="F38" s="8"/>
      <c r="G38" s="8"/>
      <c r="H38" s="9">
        <v>0</v>
      </c>
      <c r="I38" s="8">
        <v>45</v>
      </c>
      <c r="J38" s="8" t="s">
        <v>37</v>
      </c>
      <c r="K38" s="8"/>
      <c r="L38" s="8">
        <v>164.5</v>
      </c>
      <c r="M38" s="8">
        <f t="shared" ref="M38:M69" si="9">E38-L38</f>
        <v>-151.03100000000001</v>
      </c>
      <c r="N38" s="8"/>
      <c r="O38" s="8"/>
      <c r="P38" s="8">
        <v>0</v>
      </c>
      <c r="Q38" s="8">
        <v>0</v>
      </c>
      <c r="R38" s="8">
        <f t="shared" ref="R38:R69" si="10">E38/5</f>
        <v>2.6938</v>
      </c>
      <c r="S38" s="10"/>
      <c r="T38" s="8">
        <f t="shared" ref="T38:T69" si="11">(F38+P38+Q38+S38)/R38</f>
        <v>0</v>
      </c>
      <c r="U38" s="8">
        <f t="shared" ref="U38:U69" si="12">(F38+P38+Q38)/R38</f>
        <v>0</v>
      </c>
      <c r="V38" s="8">
        <v>9.0944000000000003</v>
      </c>
      <c r="W38" s="8">
        <v>3.9171999999999998</v>
      </c>
      <c r="X38" s="8">
        <v>0</v>
      </c>
      <c r="Y38" s="8">
        <v>11.114000000000001</v>
      </c>
      <c r="Z38" s="8">
        <v>13.551</v>
      </c>
      <c r="AA38" s="8">
        <v>8.1720000000000006</v>
      </c>
      <c r="AB38" s="8">
        <v>2.6469999999999998</v>
      </c>
      <c r="AC38" s="8">
        <v>0</v>
      </c>
      <c r="AD38" s="8">
        <v>1.4330000000000001</v>
      </c>
      <c r="AE38" s="8">
        <v>7.9530000000000003</v>
      </c>
      <c r="AF38" s="8"/>
      <c r="AG38" s="8"/>
      <c r="AH38" s="13"/>
      <c r="AI38" s="13"/>
      <c r="AJ38" s="13"/>
      <c r="AK38" s="13"/>
      <c r="AL38" s="13"/>
      <c r="AM38" s="13"/>
      <c r="AN38" s="13"/>
      <c r="AO38" s="13"/>
      <c r="AP38" s="13"/>
      <c r="AQ38" s="13"/>
      <c r="AR38" s="13"/>
      <c r="AS38" s="13"/>
      <c r="AT38" s="13"/>
      <c r="AU38" s="13"/>
      <c r="AV38" s="13"/>
      <c r="AW38" s="13"/>
    </row>
    <row r="39" spans="1:49" hidden="1" x14ac:dyDescent="0.25">
      <c r="A39" s="13" t="s">
        <v>82</v>
      </c>
      <c r="B39" s="13" t="s">
        <v>40</v>
      </c>
      <c r="C39" s="13">
        <v>103</v>
      </c>
      <c r="D39" s="13">
        <v>11</v>
      </c>
      <c r="E39" s="13">
        <v>82</v>
      </c>
      <c r="F39" s="13">
        <v>11</v>
      </c>
      <c r="G39" s="13"/>
      <c r="H39" s="6">
        <v>0.3</v>
      </c>
      <c r="I39" s="13">
        <v>45</v>
      </c>
      <c r="J39" s="13" t="s">
        <v>41</v>
      </c>
      <c r="K39" s="13"/>
      <c r="L39" s="13">
        <v>220</v>
      </c>
      <c r="M39" s="13">
        <f t="shared" si="9"/>
        <v>-138</v>
      </c>
      <c r="N39" s="13"/>
      <c r="O39" s="13"/>
      <c r="P39" s="13">
        <v>63</v>
      </c>
      <c r="Q39" s="13">
        <v>144</v>
      </c>
      <c r="R39" s="13">
        <f t="shared" si="10"/>
        <v>16.399999999999999</v>
      </c>
      <c r="S39" s="4">
        <f t="shared" ref="S39:S49" si="13">16*R39-Q39-P39-F39</f>
        <v>44.399999999999977</v>
      </c>
      <c r="T39" s="13">
        <f t="shared" si="11"/>
        <v>16</v>
      </c>
      <c r="U39" s="13">
        <f t="shared" si="12"/>
        <v>13.29268292682927</v>
      </c>
      <c r="V39" s="13">
        <v>26</v>
      </c>
      <c r="W39" s="13">
        <v>22.4</v>
      </c>
      <c r="X39" s="13">
        <v>25.8</v>
      </c>
      <c r="Y39" s="13">
        <v>11.4</v>
      </c>
      <c r="Z39" s="13">
        <v>21.2</v>
      </c>
      <c r="AA39" s="13">
        <v>45.2</v>
      </c>
      <c r="AB39" s="13">
        <v>22.6</v>
      </c>
      <c r="AC39" s="13">
        <v>12.4</v>
      </c>
      <c r="AD39" s="13">
        <v>1.4</v>
      </c>
      <c r="AE39" s="13">
        <v>37.6</v>
      </c>
      <c r="AF39" s="13"/>
      <c r="AG39" s="13">
        <f t="shared" ref="AG39:AG49" si="14">H39*S39</f>
        <v>13.319999999999993</v>
      </c>
      <c r="AH39" s="13"/>
      <c r="AI39" s="13"/>
      <c r="AJ39" s="13"/>
      <c r="AK39" s="13"/>
      <c r="AL39" s="13"/>
      <c r="AM39" s="13"/>
      <c r="AN39" s="13"/>
      <c r="AO39" s="13"/>
      <c r="AP39" s="13"/>
      <c r="AQ39" s="13"/>
      <c r="AR39" s="13"/>
      <c r="AS39" s="13"/>
      <c r="AT39" s="13"/>
      <c r="AU39" s="13"/>
      <c r="AV39" s="13"/>
      <c r="AW39" s="13"/>
    </row>
    <row r="40" spans="1:49" hidden="1" x14ac:dyDescent="0.25">
      <c r="A40" s="13" t="s">
        <v>83</v>
      </c>
      <c r="B40" s="13" t="s">
        <v>36</v>
      </c>
      <c r="C40" s="13">
        <v>671.73699999999997</v>
      </c>
      <c r="D40" s="13">
        <v>7.758</v>
      </c>
      <c r="E40" s="13">
        <v>231.53100000000001</v>
      </c>
      <c r="F40" s="13">
        <v>439.31599999999997</v>
      </c>
      <c r="G40" s="13"/>
      <c r="H40" s="6">
        <v>1</v>
      </c>
      <c r="I40" s="13">
        <v>60</v>
      </c>
      <c r="J40" s="13" t="s">
        <v>41</v>
      </c>
      <c r="K40" s="13"/>
      <c r="L40" s="13">
        <v>267</v>
      </c>
      <c r="M40" s="13">
        <f t="shared" si="9"/>
        <v>-35.468999999999994</v>
      </c>
      <c r="N40" s="13"/>
      <c r="O40" s="13"/>
      <c r="P40" s="13">
        <v>0</v>
      </c>
      <c r="Q40" s="13">
        <v>0</v>
      </c>
      <c r="R40" s="13">
        <f t="shared" si="10"/>
        <v>46.306200000000004</v>
      </c>
      <c r="S40" s="4">
        <f t="shared" si="13"/>
        <v>301.58320000000009</v>
      </c>
      <c r="T40" s="13">
        <f t="shared" si="11"/>
        <v>16</v>
      </c>
      <c r="U40" s="13">
        <f t="shared" si="12"/>
        <v>9.4871960990104984</v>
      </c>
      <c r="V40" s="13">
        <v>46.882800000000003</v>
      </c>
      <c r="W40" s="13">
        <v>45.837400000000002</v>
      </c>
      <c r="X40" s="13">
        <v>32.807000000000002</v>
      </c>
      <c r="Y40" s="13">
        <v>36.681600000000003</v>
      </c>
      <c r="Z40" s="13">
        <v>46.652000000000001</v>
      </c>
      <c r="AA40" s="13">
        <v>53.252200000000002</v>
      </c>
      <c r="AB40" s="13">
        <v>15.216799999999999</v>
      </c>
      <c r="AC40" s="13">
        <v>15.7242</v>
      </c>
      <c r="AD40" s="13">
        <v>31.8386</v>
      </c>
      <c r="AE40" s="13">
        <v>20.409600000000001</v>
      </c>
      <c r="AF40" s="13"/>
      <c r="AG40" s="13">
        <f t="shared" si="14"/>
        <v>301.58320000000009</v>
      </c>
      <c r="AH40" s="13"/>
      <c r="AI40" s="13"/>
      <c r="AJ40" s="13"/>
      <c r="AK40" s="13"/>
      <c r="AL40" s="13"/>
      <c r="AM40" s="13"/>
      <c r="AN40" s="13"/>
      <c r="AO40" s="13"/>
      <c r="AP40" s="13"/>
      <c r="AQ40" s="13"/>
      <c r="AR40" s="13"/>
      <c r="AS40" s="13"/>
      <c r="AT40" s="13"/>
      <c r="AU40" s="13"/>
      <c r="AV40" s="13"/>
      <c r="AW40" s="13"/>
    </row>
    <row r="41" spans="1:49" hidden="1" x14ac:dyDescent="0.25">
      <c r="A41" s="13" t="s">
        <v>84</v>
      </c>
      <c r="B41" s="13" t="s">
        <v>36</v>
      </c>
      <c r="C41" s="13">
        <v>89.322999999999993</v>
      </c>
      <c r="D41" s="13">
        <v>4.1429999999999998</v>
      </c>
      <c r="E41" s="13">
        <v>87.512</v>
      </c>
      <c r="F41" s="13">
        <v>1.8109999999999999</v>
      </c>
      <c r="G41" s="13"/>
      <c r="H41" s="6">
        <v>1</v>
      </c>
      <c r="I41" s="13">
        <v>45</v>
      </c>
      <c r="J41" s="13" t="s">
        <v>41</v>
      </c>
      <c r="K41" s="13"/>
      <c r="L41" s="13">
        <v>101.158</v>
      </c>
      <c r="M41" s="13">
        <f t="shared" si="9"/>
        <v>-13.646000000000001</v>
      </c>
      <c r="N41" s="13"/>
      <c r="O41" s="13"/>
      <c r="P41" s="13">
        <v>108</v>
      </c>
      <c r="Q41" s="13">
        <v>0</v>
      </c>
      <c r="R41" s="13">
        <f t="shared" si="10"/>
        <v>17.502400000000002</v>
      </c>
      <c r="S41" s="4">
        <f>14*R41-Q41-P41-F41</f>
        <v>135.22260000000003</v>
      </c>
      <c r="T41" s="13">
        <f t="shared" si="11"/>
        <v>14</v>
      </c>
      <c r="U41" s="13">
        <f t="shared" si="12"/>
        <v>6.2740538440442455</v>
      </c>
      <c r="V41" s="13">
        <v>10.848800000000001</v>
      </c>
      <c r="W41" s="13">
        <v>17.9328</v>
      </c>
      <c r="X41" s="13">
        <v>15.6494</v>
      </c>
      <c r="Y41" s="13">
        <v>12.670999999999999</v>
      </c>
      <c r="Z41" s="13">
        <v>16.613800000000001</v>
      </c>
      <c r="AA41" s="13">
        <v>17.702400000000001</v>
      </c>
      <c r="AB41" s="13">
        <v>10.339600000000001</v>
      </c>
      <c r="AC41" s="13">
        <v>13.245200000000001</v>
      </c>
      <c r="AD41" s="13">
        <v>13.090400000000001</v>
      </c>
      <c r="AE41" s="13">
        <v>11.298400000000001</v>
      </c>
      <c r="AF41" s="13"/>
      <c r="AG41" s="13">
        <f t="shared" si="14"/>
        <v>135.22260000000003</v>
      </c>
      <c r="AH41" s="13"/>
      <c r="AI41" s="13"/>
      <c r="AJ41" s="13"/>
      <c r="AK41" s="13"/>
      <c r="AL41" s="13"/>
      <c r="AM41" s="13"/>
      <c r="AN41" s="13"/>
      <c r="AO41" s="13"/>
      <c r="AP41" s="13"/>
      <c r="AQ41" s="13"/>
      <c r="AR41" s="13"/>
      <c r="AS41" s="13"/>
      <c r="AT41" s="13"/>
      <c r="AU41" s="13"/>
      <c r="AV41" s="13"/>
      <c r="AW41" s="13"/>
    </row>
    <row r="42" spans="1:49" hidden="1" x14ac:dyDescent="0.25">
      <c r="A42" s="13" t="s">
        <v>85</v>
      </c>
      <c r="B42" s="13" t="s">
        <v>36</v>
      </c>
      <c r="C42" s="13">
        <v>25.908999999999999</v>
      </c>
      <c r="D42" s="13">
        <v>4.7069999999999999</v>
      </c>
      <c r="E42" s="13">
        <v>14.058999999999999</v>
      </c>
      <c r="F42" s="13">
        <v>8.1460000000000008</v>
      </c>
      <c r="G42" s="13"/>
      <c r="H42" s="6">
        <v>1</v>
      </c>
      <c r="I42" s="13">
        <v>45</v>
      </c>
      <c r="J42" s="13" t="s">
        <v>41</v>
      </c>
      <c r="K42" s="13"/>
      <c r="L42" s="13">
        <v>130.19999999999999</v>
      </c>
      <c r="M42" s="13">
        <f t="shared" si="9"/>
        <v>-116.14099999999999</v>
      </c>
      <c r="N42" s="13"/>
      <c r="O42" s="13"/>
      <c r="P42" s="13">
        <v>108</v>
      </c>
      <c r="Q42" s="13">
        <v>158</v>
      </c>
      <c r="R42" s="13">
        <f t="shared" si="10"/>
        <v>2.8117999999999999</v>
      </c>
      <c r="S42" s="4">
        <v>40</v>
      </c>
      <c r="T42" s="13">
        <f t="shared" si="11"/>
        <v>111.72416245821184</v>
      </c>
      <c r="U42" s="13">
        <f t="shared" si="12"/>
        <v>97.498399601678656</v>
      </c>
      <c r="V42" s="13">
        <v>24.3322</v>
      </c>
      <c r="W42" s="13">
        <v>18.131399999999999</v>
      </c>
      <c r="X42" s="13">
        <v>12.0776</v>
      </c>
      <c r="Y42" s="13">
        <v>13.896599999999999</v>
      </c>
      <c r="Z42" s="13">
        <v>19.759399999999999</v>
      </c>
      <c r="AA42" s="13">
        <v>14.8596</v>
      </c>
      <c r="AB42" s="13">
        <v>11.2278</v>
      </c>
      <c r="AC42" s="13">
        <v>8.8872</v>
      </c>
      <c r="AD42" s="13">
        <v>4.9942000000000002</v>
      </c>
      <c r="AE42" s="13">
        <v>14.587400000000001</v>
      </c>
      <c r="AF42" s="13"/>
      <c r="AG42" s="13">
        <f t="shared" si="14"/>
        <v>40</v>
      </c>
      <c r="AH42" s="13"/>
      <c r="AI42" s="13"/>
      <c r="AJ42" s="13"/>
      <c r="AK42" s="13"/>
      <c r="AL42" s="13"/>
      <c r="AM42" s="13"/>
      <c r="AN42" s="13"/>
      <c r="AO42" s="13"/>
      <c r="AP42" s="13"/>
      <c r="AQ42" s="13"/>
      <c r="AR42" s="13"/>
      <c r="AS42" s="13"/>
      <c r="AT42" s="13"/>
      <c r="AU42" s="13"/>
      <c r="AV42" s="13"/>
      <c r="AW42" s="13"/>
    </row>
    <row r="43" spans="1:49" hidden="1" x14ac:dyDescent="0.25">
      <c r="A43" s="13" t="s">
        <v>86</v>
      </c>
      <c r="B43" s="13" t="s">
        <v>36</v>
      </c>
      <c r="C43" s="13">
        <v>38.338000000000001</v>
      </c>
      <c r="D43" s="13">
        <v>1.044</v>
      </c>
      <c r="E43" s="13">
        <v>30.838999999999999</v>
      </c>
      <c r="F43" s="13">
        <v>3.0230000000000001</v>
      </c>
      <c r="G43" s="13"/>
      <c r="H43" s="6">
        <v>1</v>
      </c>
      <c r="I43" s="13">
        <v>45</v>
      </c>
      <c r="J43" s="13" t="s">
        <v>41</v>
      </c>
      <c r="K43" s="13"/>
      <c r="L43" s="13">
        <v>85</v>
      </c>
      <c r="M43" s="13">
        <f t="shared" si="9"/>
        <v>-54.161000000000001</v>
      </c>
      <c r="N43" s="13"/>
      <c r="O43" s="13"/>
      <c r="P43" s="13">
        <v>119</v>
      </c>
      <c r="Q43" s="13">
        <v>0</v>
      </c>
      <c r="R43" s="13">
        <f t="shared" si="10"/>
        <v>6.1677999999999997</v>
      </c>
      <c r="S43" s="4">
        <v>40</v>
      </c>
      <c r="T43" s="13">
        <f t="shared" si="11"/>
        <v>26.269172152145011</v>
      </c>
      <c r="U43" s="13">
        <f t="shared" si="12"/>
        <v>19.783877557638057</v>
      </c>
      <c r="V43" s="13">
        <v>9.9160000000000004</v>
      </c>
      <c r="W43" s="13">
        <v>15.056800000000001</v>
      </c>
      <c r="X43" s="13">
        <v>10.8932</v>
      </c>
      <c r="Y43" s="13">
        <v>5.9122000000000003</v>
      </c>
      <c r="Z43" s="13">
        <v>11.0404</v>
      </c>
      <c r="AA43" s="13">
        <v>17.397600000000001</v>
      </c>
      <c r="AB43" s="13">
        <v>6.0191999999999997</v>
      </c>
      <c r="AC43" s="13">
        <v>11.008599999999999</v>
      </c>
      <c r="AD43" s="13">
        <v>8.0839999999999996</v>
      </c>
      <c r="AE43" s="13">
        <v>12.8954</v>
      </c>
      <c r="AF43" s="13"/>
      <c r="AG43" s="13">
        <f t="shared" si="14"/>
        <v>40</v>
      </c>
      <c r="AH43" s="13"/>
      <c r="AI43" s="13"/>
      <c r="AJ43" s="13"/>
      <c r="AK43" s="13"/>
      <c r="AL43" s="13"/>
      <c r="AM43" s="13"/>
      <c r="AN43" s="13"/>
      <c r="AO43" s="13"/>
      <c r="AP43" s="13"/>
      <c r="AQ43" s="13"/>
      <c r="AR43" s="13"/>
      <c r="AS43" s="13"/>
      <c r="AT43" s="13"/>
      <c r="AU43" s="13"/>
      <c r="AV43" s="13"/>
      <c r="AW43" s="13"/>
    </row>
    <row r="44" spans="1:49" hidden="1" x14ac:dyDescent="0.25">
      <c r="A44" s="13" t="s">
        <v>87</v>
      </c>
      <c r="B44" s="13" t="s">
        <v>40</v>
      </c>
      <c r="C44" s="13">
        <v>5</v>
      </c>
      <c r="D44" s="13">
        <v>11</v>
      </c>
      <c r="E44" s="13">
        <v>8</v>
      </c>
      <c r="F44" s="13">
        <v>5</v>
      </c>
      <c r="G44" s="13"/>
      <c r="H44" s="6">
        <v>0.3</v>
      </c>
      <c r="I44" s="13">
        <v>45</v>
      </c>
      <c r="J44" s="13" t="s">
        <v>41</v>
      </c>
      <c r="K44" s="13"/>
      <c r="L44" s="13">
        <v>477</v>
      </c>
      <c r="M44" s="13">
        <f t="shared" si="9"/>
        <v>-469</v>
      </c>
      <c r="N44" s="13"/>
      <c r="O44" s="13"/>
      <c r="P44" s="13">
        <v>683</v>
      </c>
      <c r="Q44" s="13">
        <v>43</v>
      </c>
      <c r="R44" s="13">
        <f t="shared" si="10"/>
        <v>1.6</v>
      </c>
      <c r="S44" s="4">
        <v>200</v>
      </c>
      <c r="T44" s="13">
        <f t="shared" si="11"/>
        <v>581.875</v>
      </c>
      <c r="U44" s="13">
        <f t="shared" si="12"/>
        <v>456.875</v>
      </c>
      <c r="V44" s="13">
        <v>52.2</v>
      </c>
      <c r="W44" s="13">
        <v>85.8</v>
      </c>
      <c r="X44" s="13">
        <v>35.799999999999997</v>
      </c>
      <c r="Y44" s="13">
        <v>58.4</v>
      </c>
      <c r="Z44" s="13">
        <v>64.8</v>
      </c>
      <c r="AA44" s="13">
        <v>52.8</v>
      </c>
      <c r="AB44" s="13">
        <v>58.8</v>
      </c>
      <c r="AC44" s="13">
        <v>86.4</v>
      </c>
      <c r="AD44" s="13">
        <v>56.2</v>
      </c>
      <c r="AE44" s="13">
        <v>68.400000000000006</v>
      </c>
      <c r="AF44" s="13"/>
      <c r="AG44" s="13">
        <f t="shared" si="14"/>
        <v>60</v>
      </c>
      <c r="AH44" s="13"/>
      <c r="AI44" s="13"/>
      <c r="AJ44" s="13"/>
      <c r="AK44" s="13"/>
      <c r="AL44" s="13"/>
      <c r="AM44" s="13"/>
      <c r="AN44" s="13"/>
      <c r="AO44" s="13"/>
      <c r="AP44" s="13"/>
      <c r="AQ44" s="13"/>
      <c r="AR44" s="13"/>
      <c r="AS44" s="13"/>
      <c r="AT44" s="13"/>
      <c r="AU44" s="13"/>
      <c r="AV44" s="13"/>
      <c r="AW44" s="13"/>
    </row>
    <row r="45" spans="1:49" hidden="1" x14ac:dyDescent="0.25">
      <c r="A45" s="13" t="s">
        <v>88</v>
      </c>
      <c r="B45" s="13" t="s">
        <v>36</v>
      </c>
      <c r="C45" s="13"/>
      <c r="D45" s="13"/>
      <c r="E45" s="13"/>
      <c r="F45" s="13"/>
      <c r="G45" s="13"/>
      <c r="H45" s="6">
        <v>1</v>
      </c>
      <c r="I45" s="13"/>
      <c r="J45" s="13" t="s">
        <v>41</v>
      </c>
      <c r="K45" s="13"/>
      <c r="L45" s="13">
        <v>23</v>
      </c>
      <c r="M45" s="13">
        <f t="shared" si="9"/>
        <v>-23</v>
      </c>
      <c r="N45" s="13"/>
      <c r="O45" s="13"/>
      <c r="P45" s="13">
        <v>50</v>
      </c>
      <c r="Q45" s="13">
        <v>0</v>
      </c>
      <c r="R45" s="13">
        <f t="shared" si="10"/>
        <v>0</v>
      </c>
      <c r="S45" s="4"/>
      <c r="T45" s="13" t="e">
        <f t="shared" si="11"/>
        <v>#DIV/0!</v>
      </c>
      <c r="U45" s="13" t="e">
        <f t="shared" si="12"/>
        <v>#DIV/0!</v>
      </c>
      <c r="V45" s="13">
        <v>0</v>
      </c>
      <c r="W45" s="13">
        <v>0</v>
      </c>
      <c r="X45" s="13">
        <v>0</v>
      </c>
      <c r="Y45" s="13">
        <v>0</v>
      </c>
      <c r="Z45" s="13">
        <v>0</v>
      </c>
      <c r="AA45" s="13">
        <v>0</v>
      </c>
      <c r="AB45" s="13">
        <v>0</v>
      </c>
      <c r="AC45" s="13">
        <v>0</v>
      </c>
      <c r="AD45" s="13">
        <v>0</v>
      </c>
      <c r="AE45" s="13">
        <v>0</v>
      </c>
      <c r="AF45" s="13" t="s">
        <v>89</v>
      </c>
      <c r="AG45" s="13">
        <f t="shared" si="14"/>
        <v>0</v>
      </c>
      <c r="AH45" s="13"/>
      <c r="AI45" s="13"/>
      <c r="AJ45" s="13"/>
      <c r="AK45" s="13"/>
      <c r="AL45" s="13"/>
      <c r="AM45" s="13"/>
      <c r="AN45" s="13"/>
      <c r="AO45" s="13"/>
      <c r="AP45" s="13"/>
      <c r="AQ45" s="13"/>
      <c r="AR45" s="13"/>
      <c r="AS45" s="13"/>
      <c r="AT45" s="13"/>
      <c r="AU45" s="13"/>
      <c r="AV45" s="13"/>
      <c r="AW45" s="13"/>
    </row>
    <row r="46" spans="1:49" hidden="1" x14ac:dyDescent="0.25">
      <c r="A46" s="13" t="s">
        <v>90</v>
      </c>
      <c r="B46" s="13" t="s">
        <v>36</v>
      </c>
      <c r="C46" s="13">
        <v>129.113</v>
      </c>
      <c r="D46" s="13">
        <v>1.5409999999999999</v>
      </c>
      <c r="E46" s="13">
        <v>40.585000000000001</v>
      </c>
      <c r="F46" s="13">
        <v>86.986999999999995</v>
      </c>
      <c r="G46" s="13"/>
      <c r="H46" s="6">
        <v>1</v>
      </c>
      <c r="I46" s="13">
        <v>45</v>
      </c>
      <c r="J46" s="13" t="s">
        <v>41</v>
      </c>
      <c r="K46" s="13"/>
      <c r="L46" s="13">
        <v>127</v>
      </c>
      <c r="M46" s="13">
        <f t="shared" si="9"/>
        <v>-86.414999999999992</v>
      </c>
      <c r="N46" s="13"/>
      <c r="O46" s="13"/>
      <c r="P46" s="13">
        <v>0</v>
      </c>
      <c r="Q46" s="13">
        <v>107</v>
      </c>
      <c r="R46" s="13">
        <f t="shared" si="10"/>
        <v>8.1170000000000009</v>
      </c>
      <c r="S46" s="4"/>
      <c r="T46" s="13">
        <f t="shared" si="11"/>
        <v>23.898854256498701</v>
      </c>
      <c r="U46" s="13">
        <f t="shared" si="12"/>
        <v>23.898854256498701</v>
      </c>
      <c r="V46" s="13">
        <v>16.876200000000001</v>
      </c>
      <c r="W46" s="13">
        <v>10.6318</v>
      </c>
      <c r="X46" s="13">
        <v>4.3406000000000002</v>
      </c>
      <c r="Y46" s="13">
        <v>15.939</v>
      </c>
      <c r="Z46" s="13">
        <v>6.1928000000000001</v>
      </c>
      <c r="AA46" s="13">
        <v>6.7195999999999998</v>
      </c>
      <c r="AB46" s="13">
        <v>2.1467999999999998</v>
      </c>
      <c r="AC46" s="13">
        <v>2.1526000000000001</v>
      </c>
      <c r="AD46" s="13">
        <v>2.4722</v>
      </c>
      <c r="AE46" s="13">
        <v>1.8528</v>
      </c>
      <c r="AF46" s="13"/>
      <c r="AG46" s="13">
        <f t="shared" si="14"/>
        <v>0</v>
      </c>
      <c r="AH46" s="13"/>
      <c r="AI46" s="13"/>
      <c r="AJ46" s="13"/>
      <c r="AK46" s="13"/>
      <c r="AL46" s="13"/>
      <c r="AM46" s="13"/>
      <c r="AN46" s="13"/>
      <c r="AO46" s="13"/>
      <c r="AP46" s="13"/>
      <c r="AQ46" s="13"/>
      <c r="AR46" s="13"/>
      <c r="AS46" s="13"/>
      <c r="AT46" s="13"/>
      <c r="AU46" s="13"/>
      <c r="AV46" s="13"/>
      <c r="AW46" s="13"/>
    </row>
    <row r="47" spans="1:49" hidden="1" x14ac:dyDescent="0.25">
      <c r="A47" s="13" t="s">
        <v>91</v>
      </c>
      <c r="B47" s="13" t="s">
        <v>40</v>
      </c>
      <c r="C47" s="13">
        <v>370</v>
      </c>
      <c r="D47" s="13">
        <v>5</v>
      </c>
      <c r="E47" s="13">
        <v>413</v>
      </c>
      <c r="F47" s="13">
        <v>-46</v>
      </c>
      <c r="G47" s="13"/>
      <c r="H47" s="6">
        <v>0.35</v>
      </c>
      <c r="I47" s="13">
        <v>45</v>
      </c>
      <c r="J47" s="13" t="s">
        <v>41</v>
      </c>
      <c r="K47" s="13"/>
      <c r="L47" s="13">
        <v>896</v>
      </c>
      <c r="M47" s="13">
        <f t="shared" si="9"/>
        <v>-483</v>
      </c>
      <c r="N47" s="13"/>
      <c r="O47" s="13"/>
      <c r="P47" s="13">
        <v>1031</v>
      </c>
      <c r="Q47" s="13">
        <v>819</v>
      </c>
      <c r="R47" s="13">
        <f t="shared" si="10"/>
        <v>82.6</v>
      </c>
      <c r="S47" s="4">
        <v>300</v>
      </c>
      <c r="T47" s="13">
        <f t="shared" si="11"/>
        <v>25.472154963680389</v>
      </c>
      <c r="U47" s="13">
        <f t="shared" si="12"/>
        <v>21.840193704600487</v>
      </c>
      <c r="V47" s="13">
        <v>158.6</v>
      </c>
      <c r="W47" s="13">
        <v>169.2</v>
      </c>
      <c r="X47" s="13">
        <v>109.4</v>
      </c>
      <c r="Y47" s="13">
        <v>94.4</v>
      </c>
      <c r="Z47" s="13">
        <v>139</v>
      </c>
      <c r="AA47" s="13">
        <v>135.4</v>
      </c>
      <c r="AB47" s="13">
        <v>91.2</v>
      </c>
      <c r="AC47" s="13">
        <v>124.2</v>
      </c>
      <c r="AD47" s="13">
        <v>106.4</v>
      </c>
      <c r="AE47" s="13">
        <v>105.4</v>
      </c>
      <c r="AF47" s="13"/>
      <c r="AG47" s="13">
        <f t="shared" si="14"/>
        <v>105</v>
      </c>
      <c r="AH47" s="13"/>
      <c r="AI47" s="13"/>
      <c r="AJ47" s="13"/>
      <c r="AK47" s="13"/>
      <c r="AL47" s="13"/>
      <c r="AM47" s="13"/>
      <c r="AN47" s="13"/>
      <c r="AO47" s="13"/>
      <c r="AP47" s="13"/>
      <c r="AQ47" s="13"/>
      <c r="AR47" s="13"/>
      <c r="AS47" s="13"/>
      <c r="AT47" s="13"/>
      <c r="AU47" s="13"/>
      <c r="AV47" s="13"/>
      <c r="AW47" s="13"/>
    </row>
    <row r="48" spans="1:49" hidden="1" x14ac:dyDescent="0.25">
      <c r="A48" s="13" t="s">
        <v>92</v>
      </c>
      <c r="B48" s="13" t="s">
        <v>40</v>
      </c>
      <c r="C48" s="13">
        <v>11</v>
      </c>
      <c r="D48" s="13">
        <v>3</v>
      </c>
      <c r="E48" s="13">
        <v>-13</v>
      </c>
      <c r="F48" s="13">
        <v>11</v>
      </c>
      <c r="G48" s="13"/>
      <c r="H48" s="6">
        <v>0.41</v>
      </c>
      <c r="I48" s="13">
        <v>45</v>
      </c>
      <c r="J48" s="13" t="s">
        <v>41</v>
      </c>
      <c r="K48" s="13"/>
      <c r="L48" s="13">
        <v>336</v>
      </c>
      <c r="M48" s="13">
        <f t="shared" si="9"/>
        <v>-349</v>
      </c>
      <c r="N48" s="13"/>
      <c r="O48" s="13"/>
      <c r="P48" s="13">
        <v>322</v>
      </c>
      <c r="Q48" s="13">
        <v>150</v>
      </c>
      <c r="R48" s="13">
        <f t="shared" si="10"/>
        <v>-2.6</v>
      </c>
      <c r="S48" s="4"/>
      <c r="T48" s="13">
        <f t="shared" si="11"/>
        <v>-185.76923076923077</v>
      </c>
      <c r="U48" s="13">
        <f t="shared" si="12"/>
        <v>-185.76923076923077</v>
      </c>
      <c r="V48" s="13">
        <v>-2.8</v>
      </c>
      <c r="W48" s="13">
        <v>46.8</v>
      </c>
      <c r="X48" s="13">
        <v>39</v>
      </c>
      <c r="Y48" s="13">
        <v>41</v>
      </c>
      <c r="Z48" s="13">
        <v>31</v>
      </c>
      <c r="AA48" s="13">
        <v>61.6</v>
      </c>
      <c r="AB48" s="13">
        <v>47</v>
      </c>
      <c r="AC48" s="13">
        <v>55.4</v>
      </c>
      <c r="AD48" s="13">
        <v>47.6</v>
      </c>
      <c r="AE48" s="13">
        <v>73.2</v>
      </c>
      <c r="AF48" s="11" t="s">
        <v>168</v>
      </c>
      <c r="AG48" s="13">
        <f t="shared" si="14"/>
        <v>0</v>
      </c>
      <c r="AH48" s="13"/>
      <c r="AI48" s="13"/>
      <c r="AJ48" s="13"/>
      <c r="AK48" s="13"/>
      <c r="AL48" s="13"/>
      <c r="AM48" s="13"/>
      <c r="AN48" s="13"/>
      <c r="AO48" s="13"/>
      <c r="AP48" s="13"/>
      <c r="AQ48" s="13"/>
      <c r="AR48" s="13"/>
      <c r="AS48" s="13"/>
      <c r="AT48" s="13"/>
      <c r="AU48" s="13"/>
      <c r="AV48" s="13"/>
      <c r="AW48" s="13"/>
    </row>
    <row r="49" spans="1:49" hidden="1" x14ac:dyDescent="0.25">
      <c r="A49" s="13" t="s">
        <v>93</v>
      </c>
      <c r="B49" s="13" t="s">
        <v>40</v>
      </c>
      <c r="C49" s="13">
        <v>293</v>
      </c>
      <c r="D49" s="13">
        <v>13</v>
      </c>
      <c r="E49" s="13">
        <v>262</v>
      </c>
      <c r="F49" s="13">
        <v>34</v>
      </c>
      <c r="G49" s="13"/>
      <c r="H49" s="6">
        <v>0.41</v>
      </c>
      <c r="I49" s="13">
        <v>45</v>
      </c>
      <c r="J49" s="13" t="s">
        <v>41</v>
      </c>
      <c r="K49" s="13"/>
      <c r="L49" s="13">
        <v>447</v>
      </c>
      <c r="M49" s="13">
        <f t="shared" si="9"/>
        <v>-185</v>
      </c>
      <c r="N49" s="13"/>
      <c r="O49" s="13"/>
      <c r="P49" s="13">
        <v>364</v>
      </c>
      <c r="Q49" s="13">
        <v>0</v>
      </c>
      <c r="R49" s="13">
        <f t="shared" si="10"/>
        <v>52.4</v>
      </c>
      <c r="S49" s="4">
        <f t="shared" si="13"/>
        <v>440.4</v>
      </c>
      <c r="T49" s="13">
        <f t="shared" si="11"/>
        <v>16</v>
      </c>
      <c r="U49" s="13">
        <f t="shared" si="12"/>
        <v>7.5954198473282446</v>
      </c>
      <c r="V49" s="13">
        <v>16.600000000000001</v>
      </c>
      <c r="W49" s="13">
        <v>57.6</v>
      </c>
      <c r="X49" s="13">
        <v>35.6</v>
      </c>
      <c r="Y49" s="13">
        <v>12.4</v>
      </c>
      <c r="Z49" s="13">
        <v>28</v>
      </c>
      <c r="AA49" s="13">
        <v>35</v>
      </c>
      <c r="AB49" s="13">
        <v>20.2</v>
      </c>
      <c r="AC49" s="13">
        <v>21.2</v>
      </c>
      <c r="AD49" s="13">
        <v>21.2</v>
      </c>
      <c r="AE49" s="13">
        <v>22.8</v>
      </c>
      <c r="AF49" s="13"/>
      <c r="AG49" s="13">
        <f t="shared" si="14"/>
        <v>180.56399999999999</v>
      </c>
      <c r="AH49" s="13"/>
      <c r="AI49" s="13"/>
      <c r="AJ49" s="13"/>
      <c r="AK49" s="13"/>
      <c r="AL49" s="13"/>
      <c r="AM49" s="13"/>
      <c r="AN49" s="13"/>
      <c r="AO49" s="13"/>
      <c r="AP49" s="13"/>
      <c r="AQ49" s="13"/>
      <c r="AR49" s="13"/>
      <c r="AS49" s="13"/>
      <c r="AT49" s="13"/>
      <c r="AU49" s="13"/>
      <c r="AV49" s="13"/>
      <c r="AW49" s="13"/>
    </row>
    <row r="50" spans="1:49" x14ac:dyDescent="0.25">
      <c r="A50" s="8" t="s">
        <v>94</v>
      </c>
      <c r="B50" s="8" t="s">
        <v>36</v>
      </c>
      <c r="C50" s="8">
        <v>16.449000000000002</v>
      </c>
      <c r="D50" s="8"/>
      <c r="E50" s="8"/>
      <c r="F50" s="8">
        <v>16.449000000000002</v>
      </c>
      <c r="G50" s="13">
        <f>F50*H50</f>
        <v>16.449000000000002</v>
      </c>
      <c r="H50" s="9">
        <v>1</v>
      </c>
      <c r="I50" s="8">
        <v>30</v>
      </c>
      <c r="J50" s="8" t="s">
        <v>37</v>
      </c>
      <c r="K50" s="8"/>
      <c r="L50" s="8"/>
      <c r="M50" s="8">
        <f t="shared" si="9"/>
        <v>0</v>
      </c>
      <c r="N50" s="8"/>
      <c r="O50" s="8"/>
      <c r="P50" s="8">
        <v>0</v>
      </c>
      <c r="Q50" s="8">
        <v>0</v>
      </c>
      <c r="R50" s="8">
        <f t="shared" si="10"/>
        <v>0</v>
      </c>
      <c r="S50" s="10"/>
      <c r="T50" s="8" t="e">
        <f t="shared" si="11"/>
        <v>#DIV/0!</v>
      </c>
      <c r="U50" s="8" t="e">
        <f t="shared" si="12"/>
        <v>#DIV/0!</v>
      </c>
      <c r="V50" s="8">
        <v>0</v>
      </c>
      <c r="W50" s="8">
        <v>0</v>
      </c>
      <c r="X50" s="8">
        <v>0</v>
      </c>
      <c r="Y50" s="8">
        <v>0</v>
      </c>
      <c r="Z50" s="8">
        <v>0</v>
      </c>
      <c r="AA50" s="8">
        <v>0</v>
      </c>
      <c r="AB50" s="8">
        <v>0</v>
      </c>
      <c r="AC50" s="8">
        <v>0</v>
      </c>
      <c r="AD50" s="8">
        <v>0</v>
      </c>
      <c r="AE50" s="8">
        <v>0</v>
      </c>
      <c r="AF50" s="12" t="s">
        <v>66</v>
      </c>
      <c r="AG50" s="8"/>
      <c r="AH50" s="13"/>
      <c r="AI50" s="13"/>
      <c r="AJ50" s="13"/>
      <c r="AK50" s="13"/>
      <c r="AL50" s="13"/>
      <c r="AM50" s="13"/>
      <c r="AN50" s="13"/>
      <c r="AO50" s="13"/>
      <c r="AP50" s="13"/>
      <c r="AQ50" s="13"/>
      <c r="AR50" s="13"/>
      <c r="AS50" s="13"/>
      <c r="AT50" s="13"/>
      <c r="AU50" s="13"/>
      <c r="AV50" s="13"/>
      <c r="AW50" s="13"/>
    </row>
    <row r="51" spans="1:49" hidden="1" x14ac:dyDescent="0.25">
      <c r="A51" s="13" t="s">
        <v>95</v>
      </c>
      <c r="B51" s="13" t="s">
        <v>40</v>
      </c>
      <c r="C51" s="13">
        <v>2</v>
      </c>
      <c r="D51" s="13"/>
      <c r="E51" s="13">
        <v>1</v>
      </c>
      <c r="F51" s="13">
        <v>1</v>
      </c>
      <c r="G51" s="13"/>
      <c r="H51" s="6">
        <v>0.36</v>
      </c>
      <c r="I51" s="13">
        <v>45</v>
      </c>
      <c r="J51" s="13" t="s">
        <v>41</v>
      </c>
      <c r="K51" s="13"/>
      <c r="L51" s="13">
        <v>112</v>
      </c>
      <c r="M51" s="13">
        <f t="shared" si="9"/>
        <v>-111</v>
      </c>
      <c r="N51" s="13"/>
      <c r="O51" s="13"/>
      <c r="P51" s="13">
        <v>30</v>
      </c>
      <c r="Q51" s="13">
        <v>43</v>
      </c>
      <c r="R51" s="13">
        <f t="shared" si="10"/>
        <v>0.2</v>
      </c>
      <c r="S51" s="4">
        <v>30</v>
      </c>
      <c r="T51" s="13">
        <f t="shared" si="11"/>
        <v>520</v>
      </c>
      <c r="U51" s="13">
        <f t="shared" si="12"/>
        <v>370</v>
      </c>
      <c r="V51" s="13">
        <v>6.8</v>
      </c>
      <c r="W51" s="13">
        <v>0</v>
      </c>
      <c r="X51" s="13">
        <v>0</v>
      </c>
      <c r="Y51" s="13">
        <v>-0.4</v>
      </c>
      <c r="Z51" s="13">
        <v>0</v>
      </c>
      <c r="AA51" s="13">
        <v>-0.8</v>
      </c>
      <c r="AB51" s="13">
        <v>-1.4</v>
      </c>
      <c r="AC51" s="13">
        <v>-0.6</v>
      </c>
      <c r="AD51" s="13">
        <v>-1</v>
      </c>
      <c r="AE51" s="13">
        <v>-0.6</v>
      </c>
      <c r="AF51" s="13" t="s">
        <v>96</v>
      </c>
      <c r="AG51" s="13">
        <f t="shared" ref="AG51:AG56" si="15">H51*S51</f>
        <v>10.799999999999999</v>
      </c>
      <c r="AH51" s="13"/>
      <c r="AI51" s="13"/>
      <c r="AJ51" s="13"/>
      <c r="AK51" s="13"/>
      <c r="AL51" s="13"/>
      <c r="AM51" s="13"/>
      <c r="AN51" s="13"/>
      <c r="AO51" s="13"/>
      <c r="AP51" s="13"/>
      <c r="AQ51" s="13"/>
      <c r="AR51" s="13"/>
      <c r="AS51" s="13"/>
      <c r="AT51" s="13"/>
      <c r="AU51" s="13"/>
      <c r="AV51" s="13"/>
      <c r="AW51" s="13"/>
    </row>
    <row r="52" spans="1:49" hidden="1" x14ac:dyDescent="0.25">
      <c r="A52" s="13" t="s">
        <v>97</v>
      </c>
      <c r="B52" s="13" t="s">
        <v>40</v>
      </c>
      <c r="C52" s="13">
        <v>86</v>
      </c>
      <c r="D52" s="13"/>
      <c r="E52" s="13">
        <v>88</v>
      </c>
      <c r="F52" s="13">
        <v>-2</v>
      </c>
      <c r="G52" s="13"/>
      <c r="H52" s="6">
        <v>0.33</v>
      </c>
      <c r="I52" s="13">
        <v>45</v>
      </c>
      <c r="J52" s="13" t="s">
        <v>41</v>
      </c>
      <c r="K52" s="13"/>
      <c r="L52" s="13">
        <v>144</v>
      </c>
      <c r="M52" s="13">
        <f t="shared" si="9"/>
        <v>-56</v>
      </c>
      <c r="N52" s="13"/>
      <c r="O52" s="13"/>
      <c r="P52" s="13">
        <v>168</v>
      </c>
      <c r="Q52" s="13">
        <v>0</v>
      </c>
      <c r="R52" s="13">
        <f t="shared" si="10"/>
        <v>17.600000000000001</v>
      </c>
      <c r="S52" s="4">
        <f t="shared" ref="S52" si="16">16*R52-Q52-P52-F52</f>
        <v>115.60000000000002</v>
      </c>
      <c r="T52" s="13">
        <f t="shared" si="11"/>
        <v>16</v>
      </c>
      <c r="U52" s="13">
        <f t="shared" si="12"/>
        <v>9.4318181818181817</v>
      </c>
      <c r="V52" s="13">
        <v>5.2</v>
      </c>
      <c r="W52" s="13">
        <v>20.2</v>
      </c>
      <c r="X52" s="13">
        <v>12.8</v>
      </c>
      <c r="Y52" s="13">
        <v>2.2000000000000002</v>
      </c>
      <c r="Z52" s="13">
        <v>11.4</v>
      </c>
      <c r="AA52" s="13">
        <v>17</v>
      </c>
      <c r="AB52" s="13">
        <v>0</v>
      </c>
      <c r="AC52" s="13">
        <v>15.8</v>
      </c>
      <c r="AD52" s="13">
        <v>7.8</v>
      </c>
      <c r="AE52" s="13">
        <v>4.2</v>
      </c>
      <c r="AF52" s="13" t="s">
        <v>98</v>
      </c>
      <c r="AG52" s="13">
        <f t="shared" si="15"/>
        <v>38.14800000000001</v>
      </c>
      <c r="AH52" s="13"/>
      <c r="AI52" s="13"/>
      <c r="AJ52" s="13"/>
      <c r="AK52" s="13"/>
      <c r="AL52" s="13"/>
      <c r="AM52" s="13"/>
      <c r="AN52" s="13"/>
      <c r="AO52" s="13"/>
      <c r="AP52" s="13"/>
      <c r="AQ52" s="13"/>
      <c r="AR52" s="13"/>
      <c r="AS52" s="13"/>
      <c r="AT52" s="13"/>
      <c r="AU52" s="13"/>
      <c r="AV52" s="13"/>
      <c r="AW52" s="13"/>
    </row>
    <row r="53" spans="1:49" hidden="1" x14ac:dyDescent="0.25">
      <c r="A53" s="13" t="s">
        <v>99</v>
      </c>
      <c r="B53" s="13" t="s">
        <v>40</v>
      </c>
      <c r="C53" s="13">
        <v>54</v>
      </c>
      <c r="D53" s="13"/>
      <c r="E53" s="13">
        <v>45</v>
      </c>
      <c r="F53" s="13">
        <v>8</v>
      </c>
      <c r="G53" s="13"/>
      <c r="H53" s="6">
        <v>0.4</v>
      </c>
      <c r="I53" s="13">
        <v>60</v>
      </c>
      <c r="J53" s="13" t="s">
        <v>41</v>
      </c>
      <c r="K53" s="13"/>
      <c r="L53" s="13">
        <v>256</v>
      </c>
      <c r="M53" s="13">
        <f t="shared" si="9"/>
        <v>-211</v>
      </c>
      <c r="N53" s="13"/>
      <c r="O53" s="13"/>
      <c r="P53" s="13">
        <v>295</v>
      </c>
      <c r="Q53" s="13">
        <v>183</v>
      </c>
      <c r="R53" s="13">
        <f t="shared" si="10"/>
        <v>9</v>
      </c>
      <c r="S53" s="4">
        <v>50</v>
      </c>
      <c r="T53" s="13">
        <f t="shared" si="11"/>
        <v>59.555555555555557</v>
      </c>
      <c r="U53" s="13">
        <f t="shared" si="12"/>
        <v>54</v>
      </c>
      <c r="V53" s="13">
        <v>38</v>
      </c>
      <c r="W53" s="13">
        <v>38.4</v>
      </c>
      <c r="X53" s="13">
        <v>27</v>
      </c>
      <c r="Y53" s="13">
        <v>20.8</v>
      </c>
      <c r="Z53" s="13">
        <v>30.2</v>
      </c>
      <c r="AA53" s="13">
        <v>34.6</v>
      </c>
      <c r="AB53" s="13">
        <v>33.799999999999997</v>
      </c>
      <c r="AC53" s="13">
        <v>24.2</v>
      </c>
      <c r="AD53" s="13">
        <v>14.6</v>
      </c>
      <c r="AE53" s="13">
        <v>28</v>
      </c>
      <c r="AF53" s="13"/>
      <c r="AG53" s="13">
        <f t="shared" si="15"/>
        <v>20</v>
      </c>
      <c r="AH53" s="13"/>
      <c r="AI53" s="13"/>
      <c r="AJ53" s="13"/>
      <c r="AK53" s="13"/>
      <c r="AL53" s="13"/>
      <c r="AM53" s="13"/>
      <c r="AN53" s="13"/>
      <c r="AO53" s="13"/>
      <c r="AP53" s="13"/>
      <c r="AQ53" s="13"/>
      <c r="AR53" s="13"/>
      <c r="AS53" s="13"/>
      <c r="AT53" s="13"/>
      <c r="AU53" s="13"/>
      <c r="AV53" s="13"/>
      <c r="AW53" s="13"/>
    </row>
    <row r="54" spans="1:49" hidden="1" x14ac:dyDescent="0.25">
      <c r="A54" s="13" t="s">
        <v>100</v>
      </c>
      <c r="B54" s="13" t="s">
        <v>40</v>
      </c>
      <c r="C54" s="13">
        <v>1</v>
      </c>
      <c r="D54" s="13"/>
      <c r="E54" s="13">
        <v>-2</v>
      </c>
      <c r="F54" s="13">
        <v>1</v>
      </c>
      <c r="G54" s="13"/>
      <c r="H54" s="6">
        <v>0.33</v>
      </c>
      <c r="I54" s="13">
        <v>45</v>
      </c>
      <c r="J54" s="13" t="s">
        <v>41</v>
      </c>
      <c r="K54" s="13"/>
      <c r="L54" s="13">
        <v>6</v>
      </c>
      <c r="M54" s="13">
        <f t="shared" si="9"/>
        <v>-8</v>
      </c>
      <c r="N54" s="13"/>
      <c r="O54" s="13"/>
      <c r="P54" s="13">
        <v>20</v>
      </c>
      <c r="Q54" s="13">
        <v>16</v>
      </c>
      <c r="R54" s="13">
        <f t="shared" si="10"/>
        <v>-0.4</v>
      </c>
      <c r="S54" s="4"/>
      <c r="T54" s="13">
        <f t="shared" si="11"/>
        <v>-92.5</v>
      </c>
      <c r="U54" s="13">
        <f t="shared" si="12"/>
        <v>-92.5</v>
      </c>
      <c r="V54" s="13">
        <v>0</v>
      </c>
      <c r="W54" s="13">
        <v>-0.6</v>
      </c>
      <c r="X54" s="13">
        <v>0</v>
      </c>
      <c r="Y54" s="13">
        <v>0.8</v>
      </c>
      <c r="Z54" s="13">
        <v>1.4</v>
      </c>
      <c r="AA54" s="13">
        <v>3.2</v>
      </c>
      <c r="AB54" s="13">
        <v>2.6</v>
      </c>
      <c r="AC54" s="13">
        <v>0.8</v>
      </c>
      <c r="AD54" s="13">
        <v>2.6</v>
      </c>
      <c r="AE54" s="13">
        <v>2</v>
      </c>
      <c r="AF54" s="13" t="s">
        <v>101</v>
      </c>
      <c r="AG54" s="13">
        <f t="shared" si="15"/>
        <v>0</v>
      </c>
      <c r="AH54" s="13"/>
      <c r="AI54" s="13"/>
      <c r="AJ54" s="13"/>
      <c r="AK54" s="13"/>
      <c r="AL54" s="13"/>
      <c r="AM54" s="13"/>
      <c r="AN54" s="13"/>
      <c r="AO54" s="13"/>
      <c r="AP54" s="13"/>
      <c r="AQ54" s="13"/>
      <c r="AR54" s="13"/>
      <c r="AS54" s="13"/>
      <c r="AT54" s="13"/>
      <c r="AU54" s="13"/>
      <c r="AV54" s="13"/>
      <c r="AW54" s="13"/>
    </row>
    <row r="55" spans="1:49" hidden="1" x14ac:dyDescent="0.25">
      <c r="A55" s="13" t="s">
        <v>102</v>
      </c>
      <c r="B55" s="13" t="s">
        <v>36</v>
      </c>
      <c r="C55" s="13">
        <v>165.26</v>
      </c>
      <c r="D55" s="13">
        <v>8.3279999999999994</v>
      </c>
      <c r="E55" s="13">
        <v>150.227</v>
      </c>
      <c r="F55" s="13">
        <v>8.7390000000000008</v>
      </c>
      <c r="G55" s="13"/>
      <c r="H55" s="6">
        <v>1</v>
      </c>
      <c r="I55" s="13">
        <v>45</v>
      </c>
      <c r="J55" s="13" t="s">
        <v>41</v>
      </c>
      <c r="K55" s="13"/>
      <c r="L55" s="13">
        <v>286.55900000000003</v>
      </c>
      <c r="M55" s="13">
        <f t="shared" si="9"/>
        <v>-136.33200000000002</v>
      </c>
      <c r="N55" s="13"/>
      <c r="O55" s="13"/>
      <c r="P55" s="13">
        <v>305</v>
      </c>
      <c r="Q55" s="13">
        <v>385</v>
      </c>
      <c r="R55" s="13">
        <f t="shared" si="10"/>
        <v>30.045400000000001</v>
      </c>
      <c r="S55" s="4">
        <v>250</v>
      </c>
      <c r="T55" s="13">
        <f t="shared" si="11"/>
        <v>31.576847038148934</v>
      </c>
      <c r="U55" s="13">
        <f t="shared" si="12"/>
        <v>23.256105759949943</v>
      </c>
      <c r="V55" s="13">
        <v>65.753799999999998</v>
      </c>
      <c r="W55" s="13">
        <v>61.433399999999992</v>
      </c>
      <c r="X55" s="13">
        <v>54.076999999999998</v>
      </c>
      <c r="Y55" s="13">
        <v>13.7126</v>
      </c>
      <c r="Z55" s="13">
        <v>63.340599999999988</v>
      </c>
      <c r="AA55" s="13">
        <v>57.431199999999997</v>
      </c>
      <c r="AB55" s="13">
        <v>38.247</v>
      </c>
      <c r="AC55" s="13">
        <v>48.421199999999999</v>
      </c>
      <c r="AD55" s="13">
        <v>35.937800000000003</v>
      </c>
      <c r="AE55" s="13">
        <v>37.403599999999997</v>
      </c>
      <c r="AF55" s="13"/>
      <c r="AG55" s="13">
        <f t="shared" si="15"/>
        <v>250</v>
      </c>
      <c r="AH55" s="13"/>
      <c r="AI55" s="13"/>
      <c r="AJ55" s="13"/>
      <c r="AK55" s="13"/>
      <c r="AL55" s="13"/>
      <c r="AM55" s="13"/>
      <c r="AN55" s="13"/>
      <c r="AO55" s="13"/>
      <c r="AP55" s="13"/>
      <c r="AQ55" s="13"/>
      <c r="AR55" s="13"/>
      <c r="AS55" s="13"/>
      <c r="AT55" s="13"/>
      <c r="AU55" s="13"/>
      <c r="AV55" s="13"/>
      <c r="AW55" s="13"/>
    </row>
    <row r="56" spans="1:49" hidden="1" x14ac:dyDescent="0.25">
      <c r="A56" s="13" t="s">
        <v>103</v>
      </c>
      <c r="B56" s="13" t="s">
        <v>40</v>
      </c>
      <c r="C56" s="13">
        <v>114</v>
      </c>
      <c r="D56" s="13"/>
      <c r="E56" s="13">
        <v>-1</v>
      </c>
      <c r="F56" s="13">
        <v>114</v>
      </c>
      <c r="G56" s="13"/>
      <c r="H56" s="6">
        <v>0.4</v>
      </c>
      <c r="I56" s="13">
        <v>45</v>
      </c>
      <c r="J56" s="13" t="s">
        <v>41</v>
      </c>
      <c r="K56" s="13"/>
      <c r="L56" s="13">
        <v>70</v>
      </c>
      <c r="M56" s="13">
        <f t="shared" si="9"/>
        <v>-71</v>
      </c>
      <c r="N56" s="13"/>
      <c r="O56" s="13"/>
      <c r="P56" s="13">
        <v>0</v>
      </c>
      <c r="Q56" s="13">
        <v>0</v>
      </c>
      <c r="R56" s="13">
        <f t="shared" si="10"/>
        <v>-0.2</v>
      </c>
      <c r="S56" s="4"/>
      <c r="T56" s="13">
        <f t="shared" si="11"/>
        <v>-570</v>
      </c>
      <c r="U56" s="13">
        <f t="shared" si="12"/>
        <v>-570</v>
      </c>
      <c r="V56" s="13">
        <v>-2.6</v>
      </c>
      <c r="W56" s="13">
        <v>0</v>
      </c>
      <c r="X56" s="13">
        <v>-0.4</v>
      </c>
      <c r="Y56" s="13">
        <v>-0.2</v>
      </c>
      <c r="Z56" s="13">
        <v>-2.4</v>
      </c>
      <c r="AA56" s="13">
        <v>-3.4</v>
      </c>
      <c r="AB56" s="13">
        <v>1</v>
      </c>
      <c r="AC56" s="13">
        <v>-1.6</v>
      </c>
      <c r="AD56" s="13">
        <v>10.4</v>
      </c>
      <c r="AE56" s="13">
        <v>15.8</v>
      </c>
      <c r="AF56" s="12" t="s">
        <v>66</v>
      </c>
      <c r="AG56" s="13">
        <f t="shared" si="15"/>
        <v>0</v>
      </c>
      <c r="AH56" s="13"/>
      <c r="AI56" s="13"/>
      <c r="AJ56" s="13"/>
      <c r="AK56" s="13"/>
      <c r="AL56" s="13"/>
      <c r="AM56" s="13"/>
      <c r="AN56" s="13"/>
      <c r="AO56" s="13"/>
      <c r="AP56" s="13"/>
      <c r="AQ56" s="13"/>
      <c r="AR56" s="13"/>
      <c r="AS56" s="13"/>
      <c r="AT56" s="13"/>
      <c r="AU56" s="13"/>
      <c r="AV56" s="13"/>
      <c r="AW56" s="13"/>
    </row>
    <row r="57" spans="1:49" hidden="1" x14ac:dyDescent="0.25">
      <c r="A57" s="8" t="s">
        <v>104</v>
      </c>
      <c r="B57" s="8" t="s">
        <v>36</v>
      </c>
      <c r="C57" s="8"/>
      <c r="D57" s="8"/>
      <c r="E57" s="8"/>
      <c r="F57" s="8"/>
      <c r="G57" s="8"/>
      <c r="H57" s="9">
        <v>0</v>
      </c>
      <c r="I57" s="8"/>
      <c r="J57" s="8" t="s">
        <v>41</v>
      </c>
      <c r="K57" s="8"/>
      <c r="L57" s="8">
        <v>12</v>
      </c>
      <c r="M57" s="8">
        <f t="shared" si="9"/>
        <v>-12</v>
      </c>
      <c r="N57" s="8"/>
      <c r="O57" s="8"/>
      <c r="P57" s="8">
        <v>0</v>
      </c>
      <c r="Q57" s="8">
        <v>0</v>
      </c>
      <c r="R57" s="8">
        <f t="shared" si="10"/>
        <v>0</v>
      </c>
      <c r="S57" s="10"/>
      <c r="T57" s="8" t="e">
        <f t="shared" si="11"/>
        <v>#DIV/0!</v>
      </c>
      <c r="U57" s="8" t="e">
        <f t="shared" si="12"/>
        <v>#DIV/0!</v>
      </c>
      <c r="V57" s="8">
        <v>0</v>
      </c>
      <c r="W57" s="8">
        <v>0</v>
      </c>
      <c r="X57" s="8">
        <v>0</v>
      </c>
      <c r="Y57" s="8">
        <v>0</v>
      </c>
      <c r="Z57" s="8">
        <v>0</v>
      </c>
      <c r="AA57" s="8">
        <v>0</v>
      </c>
      <c r="AB57" s="8">
        <v>0</v>
      </c>
      <c r="AC57" s="8">
        <v>0</v>
      </c>
      <c r="AD57" s="8">
        <v>0</v>
      </c>
      <c r="AE57" s="8">
        <v>0</v>
      </c>
      <c r="AF57" s="8" t="s">
        <v>105</v>
      </c>
      <c r="AG57" s="8"/>
      <c r="AH57" s="13"/>
      <c r="AI57" s="13"/>
      <c r="AJ57" s="13"/>
      <c r="AK57" s="13"/>
      <c r="AL57" s="13"/>
      <c r="AM57" s="13"/>
      <c r="AN57" s="13"/>
      <c r="AO57" s="13"/>
      <c r="AP57" s="13"/>
      <c r="AQ57" s="13"/>
      <c r="AR57" s="13"/>
      <c r="AS57" s="13"/>
      <c r="AT57" s="13"/>
      <c r="AU57" s="13"/>
      <c r="AV57" s="13"/>
      <c r="AW57" s="13"/>
    </row>
    <row r="58" spans="1:49" hidden="1" x14ac:dyDescent="0.25">
      <c r="A58" s="13" t="s">
        <v>106</v>
      </c>
      <c r="B58" s="13" t="s">
        <v>36</v>
      </c>
      <c r="C58" s="13">
        <v>43.298000000000002</v>
      </c>
      <c r="D58" s="13">
        <v>0.13300000000000001</v>
      </c>
      <c r="E58" s="13">
        <v>39.158000000000001</v>
      </c>
      <c r="F58" s="13">
        <v>4.1399999999999997</v>
      </c>
      <c r="G58" s="13"/>
      <c r="H58" s="6">
        <v>1</v>
      </c>
      <c r="I58" s="13">
        <v>60</v>
      </c>
      <c r="J58" s="13" t="s">
        <v>41</v>
      </c>
      <c r="K58" s="13"/>
      <c r="L58" s="13">
        <v>109.5</v>
      </c>
      <c r="M58" s="13">
        <f t="shared" si="9"/>
        <v>-70.341999999999999</v>
      </c>
      <c r="N58" s="13"/>
      <c r="O58" s="13"/>
      <c r="P58" s="13">
        <v>73</v>
      </c>
      <c r="Q58" s="13">
        <v>23</v>
      </c>
      <c r="R58" s="13">
        <f t="shared" si="10"/>
        <v>7.8315999999999999</v>
      </c>
      <c r="S58" s="4">
        <f t="shared" ref="S58:S59" si="17">16*R58-Q58-P58-F58</f>
        <v>25.165599999999998</v>
      </c>
      <c r="T58" s="13">
        <f t="shared" si="11"/>
        <v>16</v>
      </c>
      <c r="U58" s="13">
        <f t="shared" si="12"/>
        <v>12.786659175647378</v>
      </c>
      <c r="V58" s="13">
        <v>9.9421999999999997</v>
      </c>
      <c r="W58" s="13">
        <v>12.0648</v>
      </c>
      <c r="X58" s="13">
        <v>5.1560000000000006</v>
      </c>
      <c r="Y58" s="13">
        <v>7.8439999999999994</v>
      </c>
      <c r="Z58" s="13">
        <v>4.2359999999999998</v>
      </c>
      <c r="AA58" s="13">
        <v>5.14</v>
      </c>
      <c r="AB58" s="13">
        <v>2.649</v>
      </c>
      <c r="AC58" s="13">
        <v>1.7909999999999999</v>
      </c>
      <c r="AD58" s="13">
        <v>1.9</v>
      </c>
      <c r="AE58" s="13">
        <v>1.615</v>
      </c>
      <c r="AF58" s="13"/>
      <c r="AG58" s="13">
        <f>H58*S58</f>
        <v>25.165599999999998</v>
      </c>
      <c r="AH58" s="13"/>
      <c r="AI58" s="13"/>
      <c r="AJ58" s="13"/>
      <c r="AK58" s="13"/>
      <c r="AL58" s="13"/>
      <c r="AM58" s="13"/>
      <c r="AN58" s="13"/>
      <c r="AO58" s="13"/>
      <c r="AP58" s="13"/>
      <c r="AQ58" s="13"/>
      <c r="AR58" s="13"/>
      <c r="AS58" s="13"/>
      <c r="AT58" s="13"/>
      <c r="AU58" s="13"/>
      <c r="AV58" s="13"/>
      <c r="AW58" s="13"/>
    </row>
    <row r="59" spans="1:49" hidden="1" x14ac:dyDescent="0.25">
      <c r="A59" s="8" t="s">
        <v>107</v>
      </c>
      <c r="B59" s="8" t="s">
        <v>40</v>
      </c>
      <c r="C59" s="8">
        <v>62</v>
      </c>
      <c r="D59" s="8">
        <v>1</v>
      </c>
      <c r="E59" s="8">
        <v>29</v>
      </c>
      <c r="F59" s="8">
        <v>28</v>
      </c>
      <c r="G59" s="8"/>
      <c r="H59" s="9">
        <v>0</v>
      </c>
      <c r="I59" s="8">
        <v>45</v>
      </c>
      <c r="J59" s="8" t="s">
        <v>172</v>
      </c>
      <c r="K59" s="8"/>
      <c r="L59" s="8">
        <v>38</v>
      </c>
      <c r="M59" s="8">
        <f t="shared" si="9"/>
        <v>-9</v>
      </c>
      <c r="N59" s="8"/>
      <c r="O59" s="8"/>
      <c r="P59" s="8">
        <v>0</v>
      </c>
      <c r="Q59" s="8">
        <v>53</v>
      </c>
      <c r="R59" s="8">
        <f t="shared" si="10"/>
        <v>5.8</v>
      </c>
      <c r="S59" s="10">
        <f t="shared" si="17"/>
        <v>11.799999999999997</v>
      </c>
      <c r="T59" s="8">
        <f t="shared" si="11"/>
        <v>16</v>
      </c>
      <c r="U59" s="8">
        <f t="shared" si="12"/>
        <v>13.965517241379311</v>
      </c>
      <c r="V59" s="8">
        <v>9.6</v>
      </c>
      <c r="W59" s="8">
        <v>6</v>
      </c>
      <c r="X59" s="8">
        <v>7.6</v>
      </c>
      <c r="Y59" s="8">
        <v>8.1999999999999993</v>
      </c>
      <c r="Z59" s="8">
        <v>12.8</v>
      </c>
      <c r="AA59" s="8">
        <v>10.8</v>
      </c>
      <c r="AB59" s="8">
        <v>13.8</v>
      </c>
      <c r="AC59" s="8">
        <v>13</v>
      </c>
      <c r="AD59" s="8">
        <v>7.6</v>
      </c>
      <c r="AE59" s="8">
        <v>4.2</v>
      </c>
      <c r="AF59" s="8"/>
      <c r="AG59" s="8"/>
      <c r="AH59" s="13"/>
      <c r="AI59" s="13"/>
      <c r="AJ59" s="13"/>
      <c r="AK59" s="13"/>
      <c r="AL59" s="13"/>
      <c r="AM59" s="13"/>
      <c r="AN59" s="13"/>
      <c r="AO59" s="13"/>
      <c r="AP59" s="13"/>
      <c r="AQ59" s="13"/>
      <c r="AR59" s="13"/>
      <c r="AS59" s="13"/>
      <c r="AT59" s="13"/>
      <c r="AU59" s="13"/>
      <c r="AV59" s="13"/>
      <c r="AW59" s="13"/>
    </row>
    <row r="60" spans="1:49" x14ac:dyDescent="0.25">
      <c r="A60" s="8" t="s">
        <v>108</v>
      </c>
      <c r="B60" s="8" t="s">
        <v>40</v>
      </c>
      <c r="C60" s="8">
        <v>120</v>
      </c>
      <c r="D60" s="8"/>
      <c r="E60" s="8"/>
      <c r="F60" s="8">
        <v>120</v>
      </c>
      <c r="G60" s="13">
        <f>F60*H60</f>
        <v>30</v>
      </c>
      <c r="H60" s="9">
        <v>0.25</v>
      </c>
      <c r="I60" s="8"/>
      <c r="J60" s="8" t="s">
        <v>37</v>
      </c>
      <c r="K60" s="8"/>
      <c r="L60" s="8"/>
      <c r="M60" s="8">
        <f t="shared" si="9"/>
        <v>0</v>
      </c>
      <c r="N60" s="8"/>
      <c r="O60" s="8"/>
      <c r="P60" s="8">
        <v>0</v>
      </c>
      <c r="Q60" s="8">
        <v>0</v>
      </c>
      <c r="R60" s="8">
        <f t="shared" si="10"/>
        <v>0</v>
      </c>
      <c r="S60" s="10"/>
      <c r="T60" s="8" t="e">
        <f t="shared" si="11"/>
        <v>#DIV/0!</v>
      </c>
      <c r="U60" s="8" t="e">
        <f t="shared" si="12"/>
        <v>#DIV/0!</v>
      </c>
      <c r="V60" s="8">
        <v>3.2</v>
      </c>
      <c r="W60" s="8">
        <v>4.8</v>
      </c>
      <c r="X60" s="8">
        <v>0</v>
      </c>
      <c r="Y60" s="8">
        <v>8</v>
      </c>
      <c r="Z60" s="8">
        <v>0</v>
      </c>
      <c r="AA60" s="8">
        <v>0</v>
      </c>
      <c r="AB60" s="8">
        <v>0</v>
      </c>
      <c r="AC60" s="8">
        <v>0</v>
      </c>
      <c r="AD60" s="8">
        <v>0</v>
      </c>
      <c r="AE60" s="8">
        <v>0</v>
      </c>
      <c r="AF60" s="12" t="s">
        <v>38</v>
      </c>
      <c r="AG60" s="8"/>
      <c r="AH60" s="13"/>
      <c r="AI60" s="13"/>
      <c r="AJ60" s="13"/>
      <c r="AK60" s="13"/>
      <c r="AL60" s="13"/>
      <c r="AM60" s="13"/>
      <c r="AN60" s="13"/>
      <c r="AO60" s="13"/>
      <c r="AP60" s="13"/>
      <c r="AQ60" s="13"/>
      <c r="AR60" s="13"/>
      <c r="AS60" s="13"/>
      <c r="AT60" s="13"/>
      <c r="AU60" s="13"/>
      <c r="AV60" s="13"/>
      <c r="AW60" s="13"/>
    </row>
    <row r="61" spans="1:49" hidden="1" x14ac:dyDescent="0.25">
      <c r="A61" s="13" t="s">
        <v>109</v>
      </c>
      <c r="B61" s="13" t="s">
        <v>40</v>
      </c>
      <c r="C61" s="13">
        <v>210</v>
      </c>
      <c r="D61" s="13">
        <v>2</v>
      </c>
      <c r="E61" s="13">
        <v>119</v>
      </c>
      <c r="F61" s="13">
        <v>90</v>
      </c>
      <c r="G61" s="13"/>
      <c r="H61" s="6">
        <v>0.25</v>
      </c>
      <c r="I61" s="13">
        <v>120</v>
      </c>
      <c r="J61" s="13" t="s">
        <v>41</v>
      </c>
      <c r="K61" s="13"/>
      <c r="L61" s="13">
        <v>292</v>
      </c>
      <c r="M61" s="13">
        <f t="shared" si="9"/>
        <v>-173</v>
      </c>
      <c r="N61" s="13"/>
      <c r="O61" s="13"/>
      <c r="P61" s="13">
        <v>87</v>
      </c>
      <c r="Q61" s="13">
        <v>239</v>
      </c>
      <c r="R61" s="13">
        <f t="shared" si="10"/>
        <v>23.8</v>
      </c>
      <c r="S61" s="4">
        <v>50</v>
      </c>
      <c r="T61" s="13">
        <f t="shared" si="11"/>
        <v>19.579831932773107</v>
      </c>
      <c r="U61" s="13">
        <f t="shared" si="12"/>
        <v>17.478991596638654</v>
      </c>
      <c r="V61" s="13">
        <v>41.2</v>
      </c>
      <c r="W61" s="13">
        <v>35.799999999999997</v>
      </c>
      <c r="X61" s="13">
        <v>24</v>
      </c>
      <c r="Y61" s="13">
        <v>14.4</v>
      </c>
      <c r="Z61" s="13">
        <v>17.2</v>
      </c>
      <c r="AA61" s="13">
        <v>29.8</v>
      </c>
      <c r="AB61" s="13">
        <v>8.4</v>
      </c>
      <c r="AC61" s="13">
        <v>9.4</v>
      </c>
      <c r="AD61" s="13">
        <v>12.8</v>
      </c>
      <c r="AE61" s="13">
        <v>4.2</v>
      </c>
      <c r="AF61" s="13" t="s">
        <v>43</v>
      </c>
      <c r="AG61" s="13">
        <f t="shared" ref="AG61:AG72" si="18">H61*S61</f>
        <v>12.5</v>
      </c>
      <c r="AH61" s="13"/>
      <c r="AI61" s="13"/>
      <c r="AJ61" s="13"/>
      <c r="AK61" s="13"/>
      <c r="AL61" s="13"/>
      <c r="AM61" s="13"/>
      <c r="AN61" s="13"/>
      <c r="AO61" s="13"/>
      <c r="AP61" s="13"/>
      <c r="AQ61" s="13"/>
      <c r="AR61" s="13"/>
      <c r="AS61" s="13"/>
      <c r="AT61" s="13"/>
      <c r="AU61" s="13"/>
      <c r="AV61" s="13"/>
      <c r="AW61" s="13"/>
    </row>
    <row r="62" spans="1:49" hidden="1" x14ac:dyDescent="0.25">
      <c r="A62" s="13" t="s">
        <v>110</v>
      </c>
      <c r="B62" s="13" t="s">
        <v>36</v>
      </c>
      <c r="C62" s="13">
        <v>1.056</v>
      </c>
      <c r="D62" s="13"/>
      <c r="E62" s="13">
        <v>-1.054</v>
      </c>
      <c r="F62" s="13">
        <v>6.0000000000000001E-3</v>
      </c>
      <c r="G62" s="13"/>
      <c r="H62" s="6">
        <v>1</v>
      </c>
      <c r="I62" s="13">
        <v>45</v>
      </c>
      <c r="J62" s="13" t="s">
        <v>41</v>
      </c>
      <c r="K62" s="13"/>
      <c r="L62" s="13">
        <v>29</v>
      </c>
      <c r="M62" s="13">
        <f t="shared" si="9"/>
        <v>-30.053999999999998</v>
      </c>
      <c r="N62" s="13"/>
      <c r="O62" s="13"/>
      <c r="P62" s="13">
        <v>44</v>
      </c>
      <c r="Q62" s="13">
        <v>5</v>
      </c>
      <c r="R62" s="13">
        <f t="shared" si="10"/>
        <v>-0.21080000000000002</v>
      </c>
      <c r="S62" s="4">
        <v>20</v>
      </c>
      <c r="T62" s="13">
        <f t="shared" si="11"/>
        <v>-327.35294117647055</v>
      </c>
      <c r="U62" s="13">
        <f t="shared" si="12"/>
        <v>-232.4762808349146</v>
      </c>
      <c r="V62" s="13">
        <v>3.5804</v>
      </c>
      <c r="W62" s="13">
        <v>5.7594000000000003</v>
      </c>
      <c r="X62" s="13">
        <v>-2E-3</v>
      </c>
      <c r="Y62" s="13">
        <v>3.0392000000000001</v>
      </c>
      <c r="Z62" s="13">
        <v>5.0497999999999994</v>
      </c>
      <c r="AA62" s="13">
        <v>3.3026</v>
      </c>
      <c r="AB62" s="13">
        <v>2.3260000000000001</v>
      </c>
      <c r="AC62" s="13">
        <v>2.6434000000000002</v>
      </c>
      <c r="AD62" s="13">
        <v>2.0691999999999999</v>
      </c>
      <c r="AE62" s="13">
        <v>0.59420000000000006</v>
      </c>
      <c r="AF62" s="13"/>
      <c r="AG62" s="13">
        <f t="shared" si="18"/>
        <v>20</v>
      </c>
      <c r="AH62" s="13"/>
      <c r="AI62" s="13"/>
      <c r="AJ62" s="13"/>
      <c r="AK62" s="13"/>
      <c r="AL62" s="13"/>
      <c r="AM62" s="13"/>
      <c r="AN62" s="13"/>
      <c r="AO62" s="13"/>
      <c r="AP62" s="13"/>
      <c r="AQ62" s="13"/>
      <c r="AR62" s="13"/>
      <c r="AS62" s="13"/>
      <c r="AT62" s="13"/>
      <c r="AU62" s="13"/>
      <c r="AV62" s="13"/>
      <c r="AW62" s="13"/>
    </row>
    <row r="63" spans="1:49" hidden="1" x14ac:dyDescent="0.25">
      <c r="A63" s="13" t="s">
        <v>111</v>
      </c>
      <c r="B63" s="13" t="s">
        <v>40</v>
      </c>
      <c r="C63" s="13">
        <v>-1</v>
      </c>
      <c r="D63" s="13"/>
      <c r="E63" s="13">
        <v>1</v>
      </c>
      <c r="F63" s="13">
        <v>-2</v>
      </c>
      <c r="G63" s="13"/>
      <c r="H63" s="6">
        <v>0.27</v>
      </c>
      <c r="I63" s="13"/>
      <c r="J63" s="13" t="s">
        <v>41</v>
      </c>
      <c r="K63" s="13"/>
      <c r="L63" s="13">
        <v>110</v>
      </c>
      <c r="M63" s="13">
        <f t="shared" si="9"/>
        <v>-109</v>
      </c>
      <c r="N63" s="13"/>
      <c r="O63" s="13"/>
      <c r="P63" s="13">
        <v>205</v>
      </c>
      <c r="Q63" s="13">
        <v>16</v>
      </c>
      <c r="R63" s="13">
        <f t="shared" si="10"/>
        <v>0.2</v>
      </c>
      <c r="S63" s="4">
        <v>32</v>
      </c>
      <c r="T63" s="13">
        <f t="shared" si="11"/>
        <v>1255</v>
      </c>
      <c r="U63" s="13">
        <f t="shared" si="12"/>
        <v>1095</v>
      </c>
      <c r="V63" s="13">
        <v>14.8</v>
      </c>
      <c r="W63" s="13">
        <v>24.8</v>
      </c>
      <c r="X63" s="13">
        <v>10.4</v>
      </c>
      <c r="Y63" s="13">
        <v>0</v>
      </c>
      <c r="Z63" s="13">
        <v>0</v>
      </c>
      <c r="AA63" s="13">
        <v>0</v>
      </c>
      <c r="AB63" s="13">
        <v>0</v>
      </c>
      <c r="AC63" s="13">
        <v>0</v>
      </c>
      <c r="AD63" s="13">
        <v>0</v>
      </c>
      <c r="AE63" s="13">
        <v>0</v>
      </c>
      <c r="AF63" s="13" t="s">
        <v>112</v>
      </c>
      <c r="AG63" s="13">
        <f t="shared" si="18"/>
        <v>8.64</v>
      </c>
      <c r="AH63" s="13"/>
      <c r="AI63" s="13"/>
      <c r="AJ63" s="13"/>
      <c r="AK63" s="13"/>
      <c r="AL63" s="13"/>
      <c r="AM63" s="13"/>
      <c r="AN63" s="13"/>
      <c r="AO63" s="13"/>
      <c r="AP63" s="13"/>
      <c r="AQ63" s="13"/>
      <c r="AR63" s="13"/>
      <c r="AS63" s="13"/>
      <c r="AT63" s="13"/>
      <c r="AU63" s="13"/>
      <c r="AV63" s="13"/>
      <c r="AW63" s="13"/>
    </row>
    <row r="64" spans="1:49" hidden="1" x14ac:dyDescent="0.25">
      <c r="A64" s="13" t="s">
        <v>113</v>
      </c>
      <c r="B64" s="13" t="s">
        <v>40</v>
      </c>
      <c r="C64" s="13">
        <v>101</v>
      </c>
      <c r="D64" s="13">
        <v>2</v>
      </c>
      <c r="E64" s="13">
        <v>96</v>
      </c>
      <c r="F64" s="13">
        <v>6</v>
      </c>
      <c r="G64" s="13"/>
      <c r="H64" s="6">
        <v>0.3</v>
      </c>
      <c r="I64" s="13">
        <v>60</v>
      </c>
      <c r="J64" s="13" t="s">
        <v>41</v>
      </c>
      <c r="K64" s="13"/>
      <c r="L64" s="13">
        <v>164</v>
      </c>
      <c r="M64" s="13">
        <f t="shared" si="9"/>
        <v>-68</v>
      </c>
      <c r="N64" s="13"/>
      <c r="O64" s="13"/>
      <c r="P64" s="13">
        <v>285</v>
      </c>
      <c r="Q64" s="13">
        <v>0</v>
      </c>
      <c r="R64" s="13">
        <f t="shared" si="10"/>
        <v>19.2</v>
      </c>
      <c r="S64" s="4">
        <f t="shared" ref="S64:S72" si="19">16*R64-Q64-P64-F64</f>
        <v>16.199999999999989</v>
      </c>
      <c r="T64" s="13">
        <f t="shared" si="11"/>
        <v>16</v>
      </c>
      <c r="U64" s="13">
        <f t="shared" si="12"/>
        <v>15.15625</v>
      </c>
      <c r="V64" s="13">
        <v>9.4</v>
      </c>
      <c r="W64" s="13">
        <v>37.799999999999997</v>
      </c>
      <c r="X64" s="13">
        <v>29.6</v>
      </c>
      <c r="Y64" s="13">
        <v>15.4</v>
      </c>
      <c r="Z64" s="13">
        <v>26.8</v>
      </c>
      <c r="AA64" s="13">
        <v>44</v>
      </c>
      <c r="AB64" s="13">
        <v>30</v>
      </c>
      <c r="AC64" s="13">
        <v>34</v>
      </c>
      <c r="AD64" s="13">
        <v>25.4</v>
      </c>
      <c r="AE64" s="13">
        <v>37.799999999999997</v>
      </c>
      <c r="AF64" s="13"/>
      <c r="AG64" s="13">
        <f t="shared" si="18"/>
        <v>4.8599999999999968</v>
      </c>
      <c r="AH64" s="13"/>
      <c r="AI64" s="13"/>
      <c r="AJ64" s="13"/>
      <c r="AK64" s="13"/>
      <c r="AL64" s="13"/>
      <c r="AM64" s="13"/>
      <c r="AN64" s="13"/>
      <c r="AO64" s="13"/>
      <c r="AP64" s="13"/>
      <c r="AQ64" s="13"/>
      <c r="AR64" s="13"/>
      <c r="AS64" s="13"/>
      <c r="AT64" s="13"/>
      <c r="AU64" s="13"/>
      <c r="AV64" s="13"/>
      <c r="AW64" s="13"/>
    </row>
    <row r="65" spans="1:49" hidden="1" x14ac:dyDescent="0.25">
      <c r="A65" s="13" t="s">
        <v>114</v>
      </c>
      <c r="B65" s="13" t="s">
        <v>40</v>
      </c>
      <c r="C65" s="13">
        <v>253</v>
      </c>
      <c r="D65" s="13">
        <v>8</v>
      </c>
      <c r="E65" s="13">
        <v>243</v>
      </c>
      <c r="F65" s="13">
        <v>14</v>
      </c>
      <c r="G65" s="13"/>
      <c r="H65" s="6">
        <v>0.41</v>
      </c>
      <c r="I65" s="13">
        <v>50</v>
      </c>
      <c r="J65" s="13" t="s">
        <v>41</v>
      </c>
      <c r="K65" s="13"/>
      <c r="L65" s="13">
        <v>1574</v>
      </c>
      <c r="M65" s="13">
        <f t="shared" si="9"/>
        <v>-1331</v>
      </c>
      <c r="N65" s="13"/>
      <c r="O65" s="13"/>
      <c r="P65" s="13">
        <v>117</v>
      </c>
      <c r="Q65" s="13">
        <v>1901</v>
      </c>
      <c r="R65" s="13">
        <f t="shared" si="10"/>
        <v>48.6</v>
      </c>
      <c r="S65" s="4">
        <v>1000</v>
      </c>
      <c r="T65" s="13">
        <f t="shared" si="11"/>
        <v>62.386831275720162</v>
      </c>
      <c r="U65" s="13">
        <f t="shared" si="12"/>
        <v>41.810699588477362</v>
      </c>
      <c r="V65" s="13">
        <v>324.60000000000002</v>
      </c>
      <c r="W65" s="13">
        <v>150</v>
      </c>
      <c r="X65" s="13">
        <v>81.2</v>
      </c>
      <c r="Y65" s="13">
        <v>212.8</v>
      </c>
      <c r="Z65" s="13">
        <v>266.8</v>
      </c>
      <c r="AA65" s="13">
        <v>172.2</v>
      </c>
      <c r="AB65" s="13">
        <v>150</v>
      </c>
      <c r="AC65" s="13">
        <v>221.2</v>
      </c>
      <c r="AD65" s="13">
        <v>150.80000000000001</v>
      </c>
      <c r="AE65" s="13">
        <v>190.8</v>
      </c>
      <c r="AF65" s="13"/>
      <c r="AG65" s="13">
        <f t="shared" si="18"/>
        <v>410</v>
      </c>
      <c r="AH65" s="13"/>
      <c r="AI65" s="13"/>
      <c r="AJ65" s="13"/>
      <c r="AK65" s="13"/>
      <c r="AL65" s="13"/>
      <c r="AM65" s="13"/>
      <c r="AN65" s="13"/>
      <c r="AO65" s="13"/>
      <c r="AP65" s="13"/>
      <c r="AQ65" s="13"/>
      <c r="AR65" s="13"/>
      <c r="AS65" s="13"/>
      <c r="AT65" s="13"/>
      <c r="AU65" s="13"/>
      <c r="AV65" s="13"/>
      <c r="AW65" s="13"/>
    </row>
    <row r="66" spans="1:49" hidden="1" x14ac:dyDescent="0.25">
      <c r="A66" s="13" t="s">
        <v>115</v>
      </c>
      <c r="B66" s="13" t="s">
        <v>36</v>
      </c>
      <c r="C66" s="13">
        <v>226.125</v>
      </c>
      <c r="D66" s="13">
        <v>16.943999999999999</v>
      </c>
      <c r="E66" s="13">
        <v>215.011</v>
      </c>
      <c r="F66" s="13">
        <v>11.114000000000001</v>
      </c>
      <c r="G66" s="13"/>
      <c r="H66" s="6">
        <v>1</v>
      </c>
      <c r="I66" s="13">
        <v>50</v>
      </c>
      <c r="J66" s="13" t="s">
        <v>41</v>
      </c>
      <c r="K66" s="13"/>
      <c r="L66" s="13">
        <v>365.76799999999997</v>
      </c>
      <c r="M66" s="13">
        <f t="shared" si="9"/>
        <v>-150.75699999999998</v>
      </c>
      <c r="N66" s="13"/>
      <c r="O66" s="13"/>
      <c r="P66" s="13">
        <v>342</v>
      </c>
      <c r="Q66" s="13">
        <v>162</v>
      </c>
      <c r="R66" s="13">
        <f t="shared" si="10"/>
        <v>43.002200000000002</v>
      </c>
      <c r="S66" s="4">
        <f t="shared" si="19"/>
        <v>172.92120000000003</v>
      </c>
      <c r="T66" s="13">
        <f t="shared" si="11"/>
        <v>16</v>
      </c>
      <c r="U66" s="13">
        <f t="shared" si="12"/>
        <v>11.978782480896326</v>
      </c>
      <c r="V66" s="13">
        <v>52.134</v>
      </c>
      <c r="W66" s="13">
        <v>58.188000000000002</v>
      </c>
      <c r="X66" s="13">
        <v>30.930399999999999</v>
      </c>
      <c r="Y66" s="13">
        <v>29.0246</v>
      </c>
      <c r="Z66" s="13">
        <v>23.655999999999999</v>
      </c>
      <c r="AA66" s="13">
        <v>36.418599999999998</v>
      </c>
      <c r="AB66" s="13">
        <v>13.896000000000001</v>
      </c>
      <c r="AC66" s="13">
        <v>12.993399999999999</v>
      </c>
      <c r="AD66" s="13">
        <v>16.393599999999999</v>
      </c>
      <c r="AE66" s="13">
        <v>23.993600000000001</v>
      </c>
      <c r="AF66" s="13"/>
      <c r="AG66" s="13">
        <f t="shared" si="18"/>
        <v>172.92120000000003</v>
      </c>
      <c r="AH66" s="13"/>
      <c r="AI66" s="13"/>
      <c r="AJ66" s="13"/>
      <c r="AK66" s="13"/>
      <c r="AL66" s="13"/>
      <c r="AM66" s="13"/>
      <c r="AN66" s="13"/>
      <c r="AO66" s="13"/>
      <c r="AP66" s="13"/>
      <c r="AQ66" s="13"/>
      <c r="AR66" s="13"/>
      <c r="AS66" s="13"/>
      <c r="AT66" s="13"/>
      <c r="AU66" s="13"/>
      <c r="AV66" s="13"/>
      <c r="AW66" s="13"/>
    </row>
    <row r="67" spans="1:49" hidden="1" x14ac:dyDescent="0.25">
      <c r="A67" s="13" t="s">
        <v>116</v>
      </c>
      <c r="B67" s="13" t="s">
        <v>40</v>
      </c>
      <c r="C67" s="13">
        <v>103</v>
      </c>
      <c r="D67" s="13">
        <v>2</v>
      </c>
      <c r="E67" s="13">
        <v>88</v>
      </c>
      <c r="F67" s="13">
        <v>15</v>
      </c>
      <c r="G67" s="13"/>
      <c r="H67" s="6">
        <v>0.35</v>
      </c>
      <c r="I67" s="13">
        <v>50</v>
      </c>
      <c r="J67" s="13" t="s">
        <v>41</v>
      </c>
      <c r="K67" s="13"/>
      <c r="L67" s="13">
        <v>340</v>
      </c>
      <c r="M67" s="13">
        <f t="shared" si="9"/>
        <v>-252</v>
      </c>
      <c r="N67" s="13"/>
      <c r="O67" s="13"/>
      <c r="P67" s="13">
        <v>499</v>
      </c>
      <c r="Q67" s="13">
        <v>0</v>
      </c>
      <c r="R67" s="13">
        <f t="shared" si="10"/>
        <v>17.600000000000001</v>
      </c>
      <c r="S67" s="4">
        <v>250</v>
      </c>
      <c r="T67" s="13">
        <f t="shared" si="11"/>
        <v>43.409090909090907</v>
      </c>
      <c r="U67" s="13">
        <f t="shared" si="12"/>
        <v>29.204545454545453</v>
      </c>
      <c r="V67" s="13">
        <v>29</v>
      </c>
      <c r="W67" s="13">
        <v>62</v>
      </c>
      <c r="X67" s="13">
        <v>32.4</v>
      </c>
      <c r="Y67" s="13">
        <v>31</v>
      </c>
      <c r="Z67" s="13">
        <v>41</v>
      </c>
      <c r="AA67" s="13">
        <v>31.2</v>
      </c>
      <c r="AB67" s="13">
        <v>33.799999999999997</v>
      </c>
      <c r="AC67" s="13">
        <v>31.2</v>
      </c>
      <c r="AD67" s="13">
        <v>27.8</v>
      </c>
      <c r="AE67" s="13">
        <v>32</v>
      </c>
      <c r="AF67" s="13"/>
      <c r="AG67" s="13">
        <f t="shared" si="18"/>
        <v>87.5</v>
      </c>
      <c r="AH67" s="13"/>
      <c r="AI67" s="13"/>
      <c r="AJ67" s="13"/>
      <c r="AK67" s="13"/>
      <c r="AL67" s="13"/>
      <c r="AM67" s="13"/>
      <c r="AN67" s="13"/>
      <c r="AO67" s="13"/>
      <c r="AP67" s="13"/>
      <c r="AQ67" s="13"/>
      <c r="AR67" s="13"/>
      <c r="AS67" s="13"/>
      <c r="AT67" s="13"/>
      <c r="AU67" s="13"/>
      <c r="AV67" s="13"/>
      <c r="AW67" s="13"/>
    </row>
    <row r="68" spans="1:49" hidden="1" x14ac:dyDescent="0.25">
      <c r="A68" s="13" t="s">
        <v>117</v>
      </c>
      <c r="B68" s="13" t="s">
        <v>36</v>
      </c>
      <c r="C68" s="13">
        <v>7.0000000000000001E-3</v>
      </c>
      <c r="D68" s="13"/>
      <c r="E68" s="13"/>
      <c r="F68" s="13">
        <v>7.0000000000000001E-3</v>
      </c>
      <c r="G68" s="13"/>
      <c r="H68" s="6">
        <v>1</v>
      </c>
      <c r="I68" s="13">
        <v>50</v>
      </c>
      <c r="J68" s="13" t="s">
        <v>41</v>
      </c>
      <c r="K68" s="13"/>
      <c r="L68" s="13">
        <v>34.5</v>
      </c>
      <c r="M68" s="13">
        <f t="shared" si="9"/>
        <v>-34.5</v>
      </c>
      <c r="N68" s="13"/>
      <c r="O68" s="13"/>
      <c r="P68" s="13">
        <v>56</v>
      </c>
      <c r="Q68" s="13">
        <v>0</v>
      </c>
      <c r="R68" s="13">
        <f t="shared" si="10"/>
        <v>0</v>
      </c>
      <c r="S68" s="4">
        <v>10</v>
      </c>
      <c r="T68" s="13" t="e">
        <f t="shared" si="11"/>
        <v>#DIV/0!</v>
      </c>
      <c r="U68" s="13" t="e">
        <f t="shared" si="12"/>
        <v>#DIV/0!</v>
      </c>
      <c r="V68" s="13">
        <v>1.2567999999999999</v>
      </c>
      <c r="W68" s="13">
        <v>7.3841999999999999</v>
      </c>
      <c r="X68" s="13">
        <v>0.93720000000000003</v>
      </c>
      <c r="Y68" s="13">
        <v>2.504</v>
      </c>
      <c r="Z68" s="13">
        <v>3.7235999999999998</v>
      </c>
      <c r="AA68" s="13">
        <v>1.5624</v>
      </c>
      <c r="AB68" s="13">
        <v>2.1745999999999999</v>
      </c>
      <c r="AC68" s="13">
        <v>2.2000000000000002</v>
      </c>
      <c r="AD68" s="13">
        <v>3.1534</v>
      </c>
      <c r="AE68" s="13">
        <v>0.312</v>
      </c>
      <c r="AF68" s="13"/>
      <c r="AG68" s="13">
        <f t="shared" si="18"/>
        <v>10</v>
      </c>
      <c r="AH68" s="13"/>
      <c r="AI68" s="13"/>
      <c r="AJ68" s="13"/>
      <c r="AK68" s="13"/>
      <c r="AL68" s="13"/>
      <c r="AM68" s="13"/>
      <c r="AN68" s="13"/>
      <c r="AO68" s="13"/>
      <c r="AP68" s="13"/>
      <c r="AQ68" s="13"/>
      <c r="AR68" s="13"/>
      <c r="AS68" s="13"/>
      <c r="AT68" s="13"/>
      <c r="AU68" s="13"/>
      <c r="AV68" s="13"/>
      <c r="AW68" s="13"/>
    </row>
    <row r="69" spans="1:49" hidden="1" x14ac:dyDescent="0.25">
      <c r="A69" s="13" t="s">
        <v>118</v>
      </c>
      <c r="B69" s="13" t="s">
        <v>40</v>
      </c>
      <c r="C69" s="13">
        <v>375</v>
      </c>
      <c r="D69" s="13">
        <v>2</v>
      </c>
      <c r="E69" s="13">
        <v>325</v>
      </c>
      <c r="F69" s="13">
        <v>50</v>
      </c>
      <c r="G69" s="13"/>
      <c r="H69" s="6">
        <v>0.41</v>
      </c>
      <c r="I69" s="13">
        <v>50</v>
      </c>
      <c r="J69" s="13" t="s">
        <v>41</v>
      </c>
      <c r="K69" s="13"/>
      <c r="L69" s="13">
        <v>877</v>
      </c>
      <c r="M69" s="13">
        <f t="shared" si="9"/>
        <v>-552</v>
      </c>
      <c r="N69" s="13"/>
      <c r="O69" s="13"/>
      <c r="P69" s="13">
        <v>937</v>
      </c>
      <c r="Q69" s="13">
        <v>1293</v>
      </c>
      <c r="R69" s="13">
        <f t="shared" si="10"/>
        <v>65</v>
      </c>
      <c r="S69" s="4">
        <v>300</v>
      </c>
      <c r="T69" s="13">
        <f t="shared" si="11"/>
        <v>39.692307692307693</v>
      </c>
      <c r="U69" s="13">
        <f t="shared" si="12"/>
        <v>35.07692307692308</v>
      </c>
      <c r="V69" s="13">
        <v>200.4</v>
      </c>
      <c r="W69" s="13">
        <v>174.2</v>
      </c>
      <c r="X69" s="13">
        <v>38.200000000000003</v>
      </c>
      <c r="Y69" s="13">
        <v>129.4</v>
      </c>
      <c r="Z69" s="13">
        <v>156.6</v>
      </c>
      <c r="AA69" s="13">
        <v>120.8</v>
      </c>
      <c r="AB69" s="13">
        <v>91.6</v>
      </c>
      <c r="AC69" s="13">
        <v>120.2</v>
      </c>
      <c r="AD69" s="13">
        <v>94.6</v>
      </c>
      <c r="AE69" s="13">
        <v>99</v>
      </c>
      <c r="AF69" s="13"/>
      <c r="AG69" s="13">
        <f t="shared" si="18"/>
        <v>122.99999999999999</v>
      </c>
      <c r="AH69" s="13"/>
      <c r="AI69" s="13"/>
      <c r="AJ69" s="13"/>
      <c r="AK69" s="13"/>
      <c r="AL69" s="13"/>
      <c r="AM69" s="13"/>
      <c r="AN69" s="13"/>
      <c r="AO69" s="13"/>
      <c r="AP69" s="13"/>
      <c r="AQ69" s="13"/>
      <c r="AR69" s="13"/>
      <c r="AS69" s="13"/>
      <c r="AT69" s="13"/>
      <c r="AU69" s="13"/>
      <c r="AV69" s="13"/>
      <c r="AW69" s="13"/>
    </row>
    <row r="70" spans="1:49" hidden="1" x14ac:dyDescent="0.25">
      <c r="A70" s="13" t="s">
        <v>119</v>
      </c>
      <c r="B70" s="13" t="s">
        <v>36</v>
      </c>
      <c r="C70" s="13">
        <v>137.93700000000001</v>
      </c>
      <c r="D70" s="13">
        <v>6.181</v>
      </c>
      <c r="E70" s="13">
        <v>133.22900000000001</v>
      </c>
      <c r="F70" s="13">
        <v>3.173</v>
      </c>
      <c r="G70" s="13"/>
      <c r="H70" s="6">
        <v>1</v>
      </c>
      <c r="I70" s="13">
        <v>50</v>
      </c>
      <c r="J70" s="13" t="s">
        <v>41</v>
      </c>
      <c r="K70" s="13"/>
      <c r="L70" s="13">
        <v>153.33000000000001</v>
      </c>
      <c r="M70" s="13">
        <f t="shared" ref="M70:M101" si="20">E70-L70</f>
        <v>-20.100999999999999</v>
      </c>
      <c r="N70" s="13"/>
      <c r="O70" s="13"/>
      <c r="P70" s="13">
        <v>0</v>
      </c>
      <c r="Q70" s="13">
        <v>106</v>
      </c>
      <c r="R70" s="13">
        <f t="shared" ref="R70:R101" si="21">E70/5</f>
        <v>26.645800000000001</v>
      </c>
      <c r="S70" s="4">
        <f>12*R70-Q70-P70-F70</f>
        <v>210.57659999999998</v>
      </c>
      <c r="T70" s="13">
        <f t="shared" ref="T70:T101" si="22">(F70+P70+Q70+S70)/R70</f>
        <v>11.999999999999998</v>
      </c>
      <c r="U70" s="13">
        <f t="shared" ref="U70:U101" si="23">(F70+P70+Q70)/R70</f>
        <v>4.0971935539559707</v>
      </c>
      <c r="V70" s="13">
        <v>17.4558</v>
      </c>
      <c r="W70" s="13">
        <v>13.043799999999999</v>
      </c>
      <c r="X70" s="13">
        <v>19.4636</v>
      </c>
      <c r="Y70" s="13">
        <v>6.3722000000000003</v>
      </c>
      <c r="Z70" s="13">
        <v>12.7166</v>
      </c>
      <c r="AA70" s="13">
        <v>14.8438</v>
      </c>
      <c r="AB70" s="13">
        <v>8.7585999999999995</v>
      </c>
      <c r="AC70" s="13">
        <v>10.333</v>
      </c>
      <c r="AD70" s="13">
        <v>10.343</v>
      </c>
      <c r="AE70" s="13">
        <v>12.386799999999999</v>
      </c>
      <c r="AF70" s="13"/>
      <c r="AG70" s="13">
        <f t="shared" si="18"/>
        <v>210.57659999999998</v>
      </c>
      <c r="AH70" s="13"/>
      <c r="AI70" s="13"/>
      <c r="AJ70" s="13"/>
      <c r="AK70" s="13"/>
      <c r="AL70" s="13"/>
      <c r="AM70" s="13"/>
      <c r="AN70" s="13"/>
      <c r="AO70" s="13"/>
      <c r="AP70" s="13"/>
      <c r="AQ70" s="13"/>
      <c r="AR70" s="13"/>
      <c r="AS70" s="13"/>
      <c r="AT70" s="13"/>
      <c r="AU70" s="13"/>
      <c r="AV70" s="13"/>
      <c r="AW70" s="13"/>
    </row>
    <row r="71" spans="1:49" hidden="1" x14ac:dyDescent="0.25">
      <c r="A71" s="13" t="s">
        <v>120</v>
      </c>
      <c r="B71" s="13" t="s">
        <v>40</v>
      </c>
      <c r="C71" s="13">
        <v>212</v>
      </c>
      <c r="D71" s="13">
        <v>15</v>
      </c>
      <c r="E71" s="13">
        <v>167</v>
      </c>
      <c r="F71" s="13">
        <v>47</v>
      </c>
      <c r="G71" s="13"/>
      <c r="H71" s="6">
        <v>0.3</v>
      </c>
      <c r="I71" s="13">
        <v>50</v>
      </c>
      <c r="J71" s="13" t="s">
        <v>41</v>
      </c>
      <c r="K71" s="13"/>
      <c r="L71" s="13">
        <v>339</v>
      </c>
      <c r="M71" s="13">
        <f t="shared" si="20"/>
        <v>-172</v>
      </c>
      <c r="N71" s="13"/>
      <c r="O71" s="13"/>
      <c r="P71" s="13">
        <v>7</v>
      </c>
      <c r="Q71" s="13">
        <v>327</v>
      </c>
      <c r="R71" s="13">
        <f t="shared" si="21"/>
        <v>33.4</v>
      </c>
      <c r="S71" s="4">
        <f t="shared" si="19"/>
        <v>153.39999999999998</v>
      </c>
      <c r="T71" s="13">
        <f t="shared" si="22"/>
        <v>16</v>
      </c>
      <c r="U71" s="13">
        <f t="shared" si="23"/>
        <v>11.407185628742516</v>
      </c>
      <c r="V71" s="13">
        <v>54.8</v>
      </c>
      <c r="W71" s="13">
        <v>36.4</v>
      </c>
      <c r="X71" s="13">
        <v>29.6</v>
      </c>
      <c r="Y71" s="13">
        <v>32.799999999999997</v>
      </c>
      <c r="Z71" s="13">
        <v>41</v>
      </c>
      <c r="AA71" s="13">
        <v>43.6</v>
      </c>
      <c r="AB71" s="13">
        <v>22.2</v>
      </c>
      <c r="AC71" s="13">
        <v>27.2</v>
      </c>
      <c r="AD71" s="13">
        <v>25</v>
      </c>
      <c r="AE71" s="13">
        <v>18.8</v>
      </c>
      <c r="AF71" s="13"/>
      <c r="AG71" s="13">
        <f t="shared" si="18"/>
        <v>46.019999999999989</v>
      </c>
      <c r="AH71" s="13"/>
      <c r="AI71" s="13"/>
      <c r="AJ71" s="13"/>
      <c r="AK71" s="13"/>
      <c r="AL71" s="13"/>
      <c r="AM71" s="13"/>
      <c r="AN71" s="13"/>
      <c r="AO71" s="13"/>
      <c r="AP71" s="13"/>
      <c r="AQ71" s="13"/>
      <c r="AR71" s="13"/>
      <c r="AS71" s="13"/>
      <c r="AT71" s="13"/>
      <c r="AU71" s="13"/>
      <c r="AV71" s="13"/>
      <c r="AW71" s="13"/>
    </row>
    <row r="72" spans="1:49" hidden="1" x14ac:dyDescent="0.25">
      <c r="A72" s="13" t="s">
        <v>121</v>
      </c>
      <c r="B72" s="13" t="s">
        <v>40</v>
      </c>
      <c r="C72" s="13">
        <v>261</v>
      </c>
      <c r="D72" s="13">
        <v>1</v>
      </c>
      <c r="E72" s="13">
        <v>168</v>
      </c>
      <c r="F72" s="13">
        <v>89</v>
      </c>
      <c r="G72" s="13"/>
      <c r="H72" s="6">
        <v>0.18</v>
      </c>
      <c r="I72" s="13">
        <v>50</v>
      </c>
      <c r="J72" s="13" t="s">
        <v>41</v>
      </c>
      <c r="K72" s="13"/>
      <c r="L72" s="13">
        <v>353</v>
      </c>
      <c r="M72" s="13">
        <f t="shared" si="20"/>
        <v>-185</v>
      </c>
      <c r="N72" s="13"/>
      <c r="O72" s="13"/>
      <c r="P72" s="13">
        <v>129</v>
      </c>
      <c r="Q72" s="13">
        <v>299</v>
      </c>
      <c r="R72" s="13">
        <f t="shared" si="21"/>
        <v>33.6</v>
      </c>
      <c r="S72" s="4">
        <f t="shared" si="19"/>
        <v>20.600000000000023</v>
      </c>
      <c r="T72" s="13">
        <f t="shared" si="22"/>
        <v>16</v>
      </c>
      <c r="U72" s="13">
        <f t="shared" si="23"/>
        <v>15.386904761904761</v>
      </c>
      <c r="V72" s="13">
        <v>53</v>
      </c>
      <c r="W72" s="13">
        <v>47.2</v>
      </c>
      <c r="X72" s="13">
        <v>9.6</v>
      </c>
      <c r="Y72" s="13">
        <v>35.6</v>
      </c>
      <c r="Z72" s="13">
        <v>42</v>
      </c>
      <c r="AA72" s="13">
        <v>28.4</v>
      </c>
      <c r="AB72" s="13">
        <v>15.8</v>
      </c>
      <c r="AC72" s="13">
        <v>6.4</v>
      </c>
      <c r="AD72" s="13">
        <v>20.399999999999999</v>
      </c>
      <c r="AE72" s="13">
        <v>13.6</v>
      </c>
      <c r="AF72" s="13"/>
      <c r="AG72" s="13">
        <f t="shared" si="18"/>
        <v>3.7080000000000037</v>
      </c>
      <c r="AH72" s="13"/>
      <c r="AI72" s="13"/>
      <c r="AJ72" s="13"/>
      <c r="AK72" s="13"/>
      <c r="AL72" s="13"/>
      <c r="AM72" s="13"/>
      <c r="AN72" s="13"/>
      <c r="AO72" s="13"/>
      <c r="AP72" s="13"/>
      <c r="AQ72" s="13"/>
      <c r="AR72" s="13"/>
      <c r="AS72" s="13"/>
      <c r="AT72" s="13"/>
      <c r="AU72" s="13"/>
      <c r="AV72" s="13"/>
      <c r="AW72" s="13"/>
    </row>
    <row r="73" spans="1:49" hidden="1" x14ac:dyDescent="0.25">
      <c r="A73" s="8" t="s">
        <v>122</v>
      </c>
      <c r="B73" s="8" t="s">
        <v>36</v>
      </c>
      <c r="C73" s="8"/>
      <c r="D73" s="8"/>
      <c r="E73" s="8"/>
      <c r="F73" s="8"/>
      <c r="G73" s="8"/>
      <c r="H73" s="9">
        <v>0</v>
      </c>
      <c r="I73" s="8"/>
      <c r="J73" s="8" t="s">
        <v>41</v>
      </c>
      <c r="K73" s="8"/>
      <c r="L73" s="8">
        <v>6</v>
      </c>
      <c r="M73" s="8">
        <f t="shared" si="20"/>
        <v>-6</v>
      </c>
      <c r="N73" s="8"/>
      <c r="O73" s="8"/>
      <c r="P73" s="8">
        <v>0</v>
      </c>
      <c r="Q73" s="8">
        <v>0</v>
      </c>
      <c r="R73" s="8">
        <f t="shared" si="21"/>
        <v>0</v>
      </c>
      <c r="S73" s="10"/>
      <c r="T73" s="8" t="e">
        <f t="shared" si="22"/>
        <v>#DIV/0!</v>
      </c>
      <c r="U73" s="8" t="e">
        <f t="shared" si="23"/>
        <v>#DIV/0!</v>
      </c>
      <c r="V73" s="8">
        <v>0</v>
      </c>
      <c r="W73" s="8">
        <v>0</v>
      </c>
      <c r="X73" s="8">
        <v>0</v>
      </c>
      <c r="Y73" s="8">
        <v>0</v>
      </c>
      <c r="Z73" s="8">
        <v>0</v>
      </c>
      <c r="AA73" s="8">
        <v>0</v>
      </c>
      <c r="AB73" s="8">
        <v>0</v>
      </c>
      <c r="AC73" s="8">
        <v>0</v>
      </c>
      <c r="AD73" s="8">
        <v>0</v>
      </c>
      <c r="AE73" s="8">
        <v>0</v>
      </c>
      <c r="AF73" s="8" t="s">
        <v>105</v>
      </c>
      <c r="AG73" s="8"/>
      <c r="AH73" s="13"/>
      <c r="AI73" s="13"/>
      <c r="AJ73" s="13"/>
      <c r="AK73" s="13"/>
      <c r="AL73" s="13"/>
      <c r="AM73" s="13"/>
      <c r="AN73" s="13"/>
      <c r="AO73" s="13"/>
      <c r="AP73" s="13"/>
      <c r="AQ73" s="13"/>
      <c r="AR73" s="13"/>
      <c r="AS73" s="13"/>
      <c r="AT73" s="13"/>
      <c r="AU73" s="13"/>
      <c r="AV73" s="13"/>
      <c r="AW73" s="13"/>
    </row>
    <row r="74" spans="1:49" hidden="1" x14ac:dyDescent="0.25">
      <c r="A74" s="13" t="s">
        <v>71</v>
      </c>
      <c r="B74" s="13" t="s">
        <v>40</v>
      </c>
      <c r="C74" s="13">
        <v>220</v>
      </c>
      <c r="D74" s="13">
        <v>1</v>
      </c>
      <c r="E74" s="13">
        <v>157</v>
      </c>
      <c r="F74" s="14">
        <f>59+F33</f>
        <v>58</v>
      </c>
      <c r="G74" s="14"/>
      <c r="H74" s="6">
        <v>0.35</v>
      </c>
      <c r="I74" s="13">
        <v>50</v>
      </c>
      <c r="J74" s="13" t="s">
        <v>41</v>
      </c>
      <c r="K74" s="13"/>
      <c r="L74" s="13">
        <v>943</v>
      </c>
      <c r="M74" s="13">
        <f t="shared" si="20"/>
        <v>-786</v>
      </c>
      <c r="N74" s="13"/>
      <c r="O74" s="13"/>
      <c r="P74" s="13">
        <v>956</v>
      </c>
      <c r="Q74" s="13">
        <v>1058</v>
      </c>
      <c r="R74" s="13">
        <f t="shared" si="21"/>
        <v>31.4</v>
      </c>
      <c r="S74" s="4">
        <v>200</v>
      </c>
      <c r="T74" s="13">
        <f t="shared" si="22"/>
        <v>72.356687898089177</v>
      </c>
      <c r="U74" s="13">
        <f t="shared" si="23"/>
        <v>65.98726114649682</v>
      </c>
      <c r="V74" s="13">
        <v>171.8</v>
      </c>
      <c r="W74" s="13">
        <v>167.8</v>
      </c>
      <c r="X74" s="13">
        <v>88.4</v>
      </c>
      <c r="Y74" s="13">
        <v>88.6</v>
      </c>
      <c r="Z74" s="13">
        <v>163.19999999999999</v>
      </c>
      <c r="AA74" s="13">
        <v>117.6</v>
      </c>
      <c r="AB74" s="13">
        <v>85.6</v>
      </c>
      <c r="AC74" s="13">
        <v>104.4</v>
      </c>
      <c r="AD74" s="13">
        <v>62.8</v>
      </c>
      <c r="AE74" s="13">
        <v>93.2</v>
      </c>
      <c r="AF74" s="13"/>
      <c r="AG74" s="13">
        <f>H74*S74</f>
        <v>70</v>
      </c>
      <c r="AH74" s="13"/>
      <c r="AI74" s="13"/>
      <c r="AJ74" s="13"/>
      <c r="AK74" s="13"/>
      <c r="AL74" s="13"/>
      <c r="AM74" s="13"/>
      <c r="AN74" s="13"/>
      <c r="AO74" s="13"/>
      <c r="AP74" s="13"/>
      <c r="AQ74" s="13"/>
      <c r="AR74" s="13"/>
      <c r="AS74" s="13"/>
      <c r="AT74" s="13"/>
      <c r="AU74" s="13"/>
      <c r="AV74" s="13"/>
      <c r="AW74" s="13"/>
    </row>
    <row r="75" spans="1:49" hidden="1" x14ac:dyDescent="0.25">
      <c r="A75" s="8" t="s">
        <v>123</v>
      </c>
      <c r="B75" s="8" t="s">
        <v>40</v>
      </c>
      <c r="C75" s="8"/>
      <c r="D75" s="8"/>
      <c r="E75" s="8"/>
      <c r="F75" s="8"/>
      <c r="G75" s="8"/>
      <c r="H75" s="9">
        <v>0</v>
      </c>
      <c r="I75" s="8"/>
      <c r="J75" s="8" t="s">
        <v>41</v>
      </c>
      <c r="K75" s="8"/>
      <c r="L75" s="8"/>
      <c r="M75" s="8">
        <f t="shared" si="20"/>
        <v>0</v>
      </c>
      <c r="N75" s="8"/>
      <c r="O75" s="8"/>
      <c r="P75" s="8">
        <v>0</v>
      </c>
      <c r="Q75" s="8">
        <v>0</v>
      </c>
      <c r="R75" s="8">
        <f t="shared" si="21"/>
        <v>0</v>
      </c>
      <c r="S75" s="10"/>
      <c r="T75" s="8" t="e">
        <f t="shared" si="22"/>
        <v>#DIV/0!</v>
      </c>
      <c r="U75" s="8" t="e">
        <f t="shared" si="23"/>
        <v>#DIV/0!</v>
      </c>
      <c r="V75" s="8">
        <v>0</v>
      </c>
      <c r="W75" s="8">
        <v>0</v>
      </c>
      <c r="X75" s="8">
        <v>0</v>
      </c>
      <c r="Y75" s="8">
        <v>0</v>
      </c>
      <c r="Z75" s="8">
        <v>0</v>
      </c>
      <c r="AA75" s="8">
        <v>0</v>
      </c>
      <c r="AB75" s="8">
        <v>0</v>
      </c>
      <c r="AC75" s="8">
        <v>0</v>
      </c>
      <c r="AD75" s="8">
        <v>0</v>
      </c>
      <c r="AE75" s="8">
        <v>0</v>
      </c>
      <c r="AF75" s="8" t="s">
        <v>105</v>
      </c>
      <c r="AG75" s="8"/>
      <c r="AH75" s="13"/>
      <c r="AI75" s="13"/>
      <c r="AJ75" s="13"/>
      <c r="AK75" s="13"/>
      <c r="AL75" s="13"/>
      <c r="AM75" s="13"/>
      <c r="AN75" s="13"/>
      <c r="AO75" s="13"/>
      <c r="AP75" s="13"/>
      <c r="AQ75" s="13"/>
      <c r="AR75" s="13"/>
      <c r="AS75" s="13"/>
      <c r="AT75" s="13"/>
      <c r="AU75" s="13"/>
      <c r="AV75" s="13"/>
      <c r="AW75" s="13"/>
    </row>
    <row r="76" spans="1:49" hidden="1" x14ac:dyDescent="0.25">
      <c r="A76" s="13" t="s">
        <v>124</v>
      </c>
      <c r="B76" s="13" t="s">
        <v>36</v>
      </c>
      <c r="C76" s="13">
        <v>287.48500000000001</v>
      </c>
      <c r="D76" s="13">
        <v>6.1390000000000002</v>
      </c>
      <c r="E76" s="13">
        <v>132.245</v>
      </c>
      <c r="F76" s="13">
        <v>146.99799999999999</v>
      </c>
      <c r="G76" s="13"/>
      <c r="H76" s="6">
        <v>1</v>
      </c>
      <c r="I76" s="13">
        <v>50</v>
      </c>
      <c r="J76" s="13" t="s">
        <v>41</v>
      </c>
      <c r="K76" s="13"/>
      <c r="L76" s="13">
        <v>236.19499999999999</v>
      </c>
      <c r="M76" s="13">
        <f t="shared" si="20"/>
        <v>-103.94999999999999</v>
      </c>
      <c r="N76" s="13"/>
      <c r="O76" s="13"/>
      <c r="P76" s="13">
        <v>49</v>
      </c>
      <c r="Q76" s="13">
        <v>202</v>
      </c>
      <c r="R76" s="13">
        <f t="shared" si="21"/>
        <v>26.449000000000002</v>
      </c>
      <c r="S76" s="4">
        <f t="shared" ref="S76" si="24">16*R76-Q76-P76-F76</f>
        <v>25.186000000000035</v>
      </c>
      <c r="T76" s="13">
        <f t="shared" si="22"/>
        <v>16</v>
      </c>
      <c r="U76" s="13">
        <f t="shared" si="23"/>
        <v>15.04775227796892</v>
      </c>
      <c r="V76" s="13">
        <v>38.481000000000002</v>
      </c>
      <c r="W76" s="13">
        <v>36.499000000000002</v>
      </c>
      <c r="X76" s="13">
        <v>22.372399999999999</v>
      </c>
      <c r="Y76" s="13">
        <v>38.507599999999996</v>
      </c>
      <c r="Z76" s="13">
        <v>29.706199999999999</v>
      </c>
      <c r="AA76" s="13">
        <v>31.820399999999999</v>
      </c>
      <c r="AB76" s="13">
        <v>24.954999999999998</v>
      </c>
      <c r="AC76" s="13">
        <v>19.36</v>
      </c>
      <c r="AD76" s="13">
        <v>20.761800000000001</v>
      </c>
      <c r="AE76" s="13">
        <v>27.382000000000001</v>
      </c>
      <c r="AF76" s="13"/>
      <c r="AG76" s="13">
        <f>H76*S76</f>
        <v>25.186000000000035</v>
      </c>
      <c r="AH76" s="13"/>
      <c r="AI76" s="13"/>
      <c r="AJ76" s="13"/>
      <c r="AK76" s="13"/>
      <c r="AL76" s="13"/>
      <c r="AM76" s="13"/>
      <c r="AN76" s="13"/>
      <c r="AO76" s="13"/>
      <c r="AP76" s="13"/>
      <c r="AQ76" s="13"/>
      <c r="AR76" s="13"/>
      <c r="AS76" s="13"/>
      <c r="AT76" s="13"/>
      <c r="AU76" s="13"/>
      <c r="AV76" s="13"/>
      <c r="AW76" s="13"/>
    </row>
    <row r="77" spans="1:49" hidden="1" x14ac:dyDescent="0.25">
      <c r="A77" s="13" t="s">
        <v>125</v>
      </c>
      <c r="B77" s="13" t="s">
        <v>36</v>
      </c>
      <c r="C77" s="13">
        <v>248.56299999999999</v>
      </c>
      <c r="D77" s="13">
        <v>9.1110000000000007</v>
      </c>
      <c r="E77" s="13">
        <v>137.84100000000001</v>
      </c>
      <c r="F77" s="13">
        <v>105.048</v>
      </c>
      <c r="G77" s="13"/>
      <c r="H77" s="6">
        <v>1</v>
      </c>
      <c r="I77" s="13">
        <v>50</v>
      </c>
      <c r="J77" s="13" t="s">
        <v>41</v>
      </c>
      <c r="K77" s="13"/>
      <c r="L77" s="13">
        <v>323.2</v>
      </c>
      <c r="M77" s="13">
        <f t="shared" si="20"/>
        <v>-185.35899999999998</v>
      </c>
      <c r="N77" s="13"/>
      <c r="O77" s="13"/>
      <c r="P77" s="13">
        <v>249</v>
      </c>
      <c r="Q77" s="13">
        <v>410</v>
      </c>
      <c r="R77" s="13">
        <f t="shared" si="21"/>
        <v>27.568200000000001</v>
      </c>
      <c r="S77" s="4">
        <v>100</v>
      </c>
      <c r="T77" s="13">
        <f t="shared" si="22"/>
        <v>31.342198620149301</v>
      </c>
      <c r="U77" s="13">
        <f t="shared" si="23"/>
        <v>27.71483085584115</v>
      </c>
      <c r="V77" s="13">
        <v>69.794600000000003</v>
      </c>
      <c r="W77" s="13">
        <v>60.612000000000002</v>
      </c>
      <c r="X77" s="13">
        <v>40.339399999999998</v>
      </c>
      <c r="Y77" s="13">
        <v>47.528399999999998</v>
      </c>
      <c r="Z77" s="13">
        <v>59.781599999999997</v>
      </c>
      <c r="AA77" s="13">
        <v>56.038800000000002</v>
      </c>
      <c r="AB77" s="13">
        <v>36.125599999999999</v>
      </c>
      <c r="AC77" s="13">
        <v>28.154199999999999</v>
      </c>
      <c r="AD77" s="13">
        <v>33.9756</v>
      </c>
      <c r="AE77" s="13">
        <v>30.172999999999998</v>
      </c>
      <c r="AF77" s="13"/>
      <c r="AG77" s="13">
        <f>H77*S77</f>
        <v>100</v>
      </c>
      <c r="AH77" s="13"/>
      <c r="AI77" s="13"/>
      <c r="AJ77" s="13"/>
      <c r="AK77" s="13"/>
      <c r="AL77" s="13"/>
      <c r="AM77" s="13"/>
      <c r="AN77" s="13"/>
      <c r="AO77" s="13"/>
      <c r="AP77" s="13"/>
      <c r="AQ77" s="13"/>
      <c r="AR77" s="13"/>
      <c r="AS77" s="13"/>
      <c r="AT77" s="13"/>
      <c r="AU77" s="13"/>
      <c r="AV77" s="13"/>
      <c r="AW77" s="13"/>
    </row>
    <row r="78" spans="1:49" hidden="1" x14ac:dyDescent="0.25">
      <c r="A78" s="13" t="s">
        <v>126</v>
      </c>
      <c r="B78" s="13" t="s">
        <v>40</v>
      </c>
      <c r="C78" s="13">
        <v>435</v>
      </c>
      <c r="D78" s="13">
        <v>5</v>
      </c>
      <c r="E78" s="13">
        <v>416</v>
      </c>
      <c r="F78" s="13">
        <v>11</v>
      </c>
      <c r="G78" s="13"/>
      <c r="H78" s="6">
        <v>0.35</v>
      </c>
      <c r="I78" s="13">
        <v>50</v>
      </c>
      <c r="J78" s="13" t="s">
        <v>41</v>
      </c>
      <c r="K78" s="13"/>
      <c r="L78" s="13">
        <v>858</v>
      </c>
      <c r="M78" s="13">
        <f t="shared" si="20"/>
        <v>-442</v>
      </c>
      <c r="N78" s="13"/>
      <c r="O78" s="13"/>
      <c r="P78" s="13">
        <v>797</v>
      </c>
      <c r="Q78" s="13">
        <v>1121</v>
      </c>
      <c r="R78" s="13">
        <f t="shared" si="21"/>
        <v>83.2</v>
      </c>
      <c r="S78" s="4">
        <v>200</v>
      </c>
      <c r="T78" s="13">
        <f t="shared" si="22"/>
        <v>25.588942307692307</v>
      </c>
      <c r="U78" s="13">
        <f t="shared" si="23"/>
        <v>23.185096153846153</v>
      </c>
      <c r="V78" s="13">
        <v>181</v>
      </c>
      <c r="W78" s="13">
        <v>164.4</v>
      </c>
      <c r="X78" s="13">
        <v>112.2</v>
      </c>
      <c r="Y78" s="13">
        <v>124.6</v>
      </c>
      <c r="Z78" s="13">
        <v>139</v>
      </c>
      <c r="AA78" s="13">
        <v>128</v>
      </c>
      <c r="AB78" s="13">
        <v>104.2</v>
      </c>
      <c r="AC78" s="13">
        <v>95.2</v>
      </c>
      <c r="AD78" s="13">
        <v>90</v>
      </c>
      <c r="AE78" s="13">
        <v>103.2</v>
      </c>
      <c r="AF78" s="13"/>
      <c r="AG78" s="13">
        <f>H78*S78</f>
        <v>70</v>
      </c>
      <c r="AH78" s="13"/>
      <c r="AI78" s="13"/>
      <c r="AJ78" s="13"/>
      <c r="AK78" s="13"/>
      <c r="AL78" s="13"/>
      <c r="AM78" s="13"/>
      <c r="AN78" s="13"/>
      <c r="AO78" s="13"/>
      <c r="AP78" s="13"/>
      <c r="AQ78" s="13"/>
      <c r="AR78" s="13"/>
      <c r="AS78" s="13"/>
      <c r="AT78" s="13"/>
      <c r="AU78" s="13"/>
      <c r="AV78" s="13"/>
      <c r="AW78" s="13"/>
    </row>
    <row r="79" spans="1:49" hidden="1" x14ac:dyDescent="0.25">
      <c r="A79" s="8" t="s">
        <v>127</v>
      </c>
      <c r="B79" s="8" t="s">
        <v>40</v>
      </c>
      <c r="C79" s="8">
        <v>110</v>
      </c>
      <c r="D79" s="8"/>
      <c r="E79" s="8">
        <v>26</v>
      </c>
      <c r="F79" s="8">
        <v>84</v>
      </c>
      <c r="G79" s="8"/>
      <c r="H79" s="9">
        <v>0</v>
      </c>
      <c r="I79" s="8"/>
      <c r="J79" s="8" t="s">
        <v>37</v>
      </c>
      <c r="K79" s="8"/>
      <c r="L79" s="8">
        <v>42</v>
      </c>
      <c r="M79" s="8">
        <f t="shared" si="20"/>
        <v>-16</v>
      </c>
      <c r="N79" s="8"/>
      <c r="O79" s="8"/>
      <c r="P79" s="8">
        <v>0</v>
      </c>
      <c r="Q79" s="8">
        <v>0</v>
      </c>
      <c r="R79" s="8">
        <f t="shared" si="21"/>
        <v>5.2</v>
      </c>
      <c r="S79" s="10"/>
      <c r="T79" s="8">
        <f t="shared" si="22"/>
        <v>16.153846153846153</v>
      </c>
      <c r="U79" s="8">
        <f t="shared" si="23"/>
        <v>16.153846153846153</v>
      </c>
      <c r="V79" s="8">
        <v>3.6</v>
      </c>
      <c r="W79" s="8">
        <v>3.2</v>
      </c>
      <c r="X79" s="8">
        <v>4.8</v>
      </c>
      <c r="Y79" s="8">
        <v>6.4</v>
      </c>
      <c r="Z79" s="8">
        <v>0</v>
      </c>
      <c r="AA79" s="8">
        <v>0</v>
      </c>
      <c r="AB79" s="8">
        <v>0</v>
      </c>
      <c r="AC79" s="8">
        <v>0</v>
      </c>
      <c r="AD79" s="8">
        <v>0</v>
      </c>
      <c r="AE79" s="8">
        <v>0</v>
      </c>
      <c r="AF79" s="12" t="s">
        <v>38</v>
      </c>
      <c r="AG79" s="8"/>
      <c r="AH79" s="13"/>
      <c r="AI79" s="13"/>
      <c r="AJ79" s="13"/>
      <c r="AK79" s="13"/>
      <c r="AL79" s="13"/>
      <c r="AM79" s="13"/>
      <c r="AN79" s="13"/>
      <c r="AO79" s="13"/>
      <c r="AP79" s="13"/>
      <c r="AQ79" s="13"/>
      <c r="AR79" s="13"/>
      <c r="AS79" s="13"/>
      <c r="AT79" s="13"/>
      <c r="AU79" s="13"/>
      <c r="AV79" s="13"/>
      <c r="AW79" s="13"/>
    </row>
    <row r="80" spans="1:49" hidden="1" x14ac:dyDescent="0.25">
      <c r="A80" s="13" t="s">
        <v>128</v>
      </c>
      <c r="B80" s="13" t="s">
        <v>40</v>
      </c>
      <c r="C80" s="13">
        <v>18</v>
      </c>
      <c r="D80" s="13"/>
      <c r="E80" s="13">
        <v>20</v>
      </c>
      <c r="F80" s="13">
        <v>1</v>
      </c>
      <c r="G80" s="13"/>
      <c r="H80" s="6">
        <v>0.3</v>
      </c>
      <c r="I80" s="13">
        <v>50</v>
      </c>
      <c r="J80" s="13" t="s">
        <v>41</v>
      </c>
      <c r="K80" s="13"/>
      <c r="L80" s="13">
        <v>268</v>
      </c>
      <c r="M80" s="13">
        <f t="shared" si="20"/>
        <v>-248</v>
      </c>
      <c r="N80" s="13"/>
      <c r="O80" s="13"/>
      <c r="P80" s="13">
        <v>152</v>
      </c>
      <c r="Q80" s="13">
        <v>222</v>
      </c>
      <c r="R80" s="13">
        <f t="shared" si="21"/>
        <v>4</v>
      </c>
      <c r="S80" s="4">
        <v>50</v>
      </c>
      <c r="T80" s="13">
        <f t="shared" si="22"/>
        <v>106.25</v>
      </c>
      <c r="U80" s="13">
        <f t="shared" si="23"/>
        <v>93.75</v>
      </c>
      <c r="V80" s="13">
        <v>39.200000000000003</v>
      </c>
      <c r="W80" s="13">
        <v>26.6</v>
      </c>
      <c r="X80" s="13">
        <v>20.6</v>
      </c>
      <c r="Y80" s="13">
        <v>23</v>
      </c>
      <c r="Z80" s="13">
        <v>20</v>
      </c>
      <c r="AA80" s="13">
        <v>27</v>
      </c>
      <c r="AB80" s="13">
        <v>28.2</v>
      </c>
      <c r="AC80" s="13">
        <v>19.2</v>
      </c>
      <c r="AD80" s="13">
        <v>21.6</v>
      </c>
      <c r="AE80" s="13">
        <v>18.399999999999999</v>
      </c>
      <c r="AF80" s="13"/>
      <c r="AG80" s="13">
        <f>H80*S80</f>
        <v>15</v>
      </c>
      <c r="AH80" s="13"/>
      <c r="AI80" s="13"/>
      <c r="AJ80" s="13"/>
      <c r="AK80" s="13"/>
      <c r="AL80" s="13"/>
      <c r="AM80" s="13"/>
      <c r="AN80" s="13"/>
      <c r="AO80" s="13"/>
      <c r="AP80" s="13"/>
      <c r="AQ80" s="13"/>
      <c r="AR80" s="13"/>
      <c r="AS80" s="13"/>
      <c r="AT80" s="13"/>
      <c r="AU80" s="13"/>
      <c r="AV80" s="13"/>
      <c r="AW80" s="13"/>
    </row>
    <row r="81" spans="1:49" hidden="1" x14ac:dyDescent="0.25">
      <c r="A81" s="13" t="s">
        <v>129</v>
      </c>
      <c r="B81" s="13" t="s">
        <v>40</v>
      </c>
      <c r="C81" s="13">
        <v>43</v>
      </c>
      <c r="D81" s="13"/>
      <c r="E81" s="13">
        <v>40</v>
      </c>
      <c r="F81" s="13">
        <v>2</v>
      </c>
      <c r="G81" s="13"/>
      <c r="H81" s="6">
        <v>0.3</v>
      </c>
      <c r="I81" s="13">
        <v>60</v>
      </c>
      <c r="J81" s="13" t="s">
        <v>41</v>
      </c>
      <c r="K81" s="13"/>
      <c r="L81" s="13">
        <v>61</v>
      </c>
      <c r="M81" s="13">
        <f t="shared" si="20"/>
        <v>-21</v>
      </c>
      <c r="N81" s="13"/>
      <c r="O81" s="13"/>
      <c r="P81" s="13">
        <v>60</v>
      </c>
      <c r="Q81" s="13">
        <v>16</v>
      </c>
      <c r="R81" s="13">
        <f t="shared" si="21"/>
        <v>8</v>
      </c>
      <c r="S81" s="4">
        <f t="shared" ref="S81" si="25">16*R81-Q81-P81-F81</f>
        <v>50</v>
      </c>
      <c r="T81" s="13">
        <f t="shared" si="22"/>
        <v>16</v>
      </c>
      <c r="U81" s="13">
        <f t="shared" si="23"/>
        <v>9.75</v>
      </c>
      <c r="V81" s="13">
        <v>5.2</v>
      </c>
      <c r="W81" s="13">
        <v>9.6</v>
      </c>
      <c r="X81" s="13">
        <v>8.4</v>
      </c>
      <c r="Y81" s="13">
        <v>4.5999999999999996</v>
      </c>
      <c r="Z81" s="13">
        <v>4</v>
      </c>
      <c r="AA81" s="13">
        <v>7.8</v>
      </c>
      <c r="AB81" s="13">
        <v>5.8</v>
      </c>
      <c r="AC81" s="13">
        <v>9</v>
      </c>
      <c r="AD81" s="13">
        <v>6.4</v>
      </c>
      <c r="AE81" s="13">
        <v>3.4</v>
      </c>
      <c r="AF81" s="13"/>
      <c r="AG81" s="13">
        <f>H81*S81</f>
        <v>15</v>
      </c>
      <c r="AH81" s="13"/>
      <c r="AI81" s="13"/>
      <c r="AJ81" s="13"/>
      <c r="AK81" s="13"/>
      <c r="AL81" s="13"/>
      <c r="AM81" s="13"/>
      <c r="AN81" s="13"/>
      <c r="AO81" s="13"/>
      <c r="AP81" s="13"/>
      <c r="AQ81" s="13"/>
      <c r="AR81" s="13"/>
      <c r="AS81" s="13"/>
      <c r="AT81" s="13"/>
      <c r="AU81" s="13"/>
      <c r="AV81" s="13"/>
      <c r="AW81" s="13"/>
    </row>
    <row r="82" spans="1:49" hidden="1" x14ac:dyDescent="0.25">
      <c r="A82" s="13" t="s">
        <v>130</v>
      </c>
      <c r="B82" s="13" t="s">
        <v>40</v>
      </c>
      <c r="C82" s="13">
        <v>116</v>
      </c>
      <c r="D82" s="13">
        <v>1</v>
      </c>
      <c r="E82" s="13">
        <v>110</v>
      </c>
      <c r="F82" s="13">
        <v>4</v>
      </c>
      <c r="G82" s="13"/>
      <c r="H82" s="6">
        <v>0.28000000000000003</v>
      </c>
      <c r="I82" s="13">
        <v>50</v>
      </c>
      <c r="J82" s="13" t="s">
        <v>41</v>
      </c>
      <c r="K82" s="13"/>
      <c r="L82" s="13">
        <v>543</v>
      </c>
      <c r="M82" s="13">
        <f t="shared" si="20"/>
        <v>-433</v>
      </c>
      <c r="N82" s="13"/>
      <c r="O82" s="13"/>
      <c r="P82" s="13">
        <v>619</v>
      </c>
      <c r="Q82" s="13">
        <v>703</v>
      </c>
      <c r="R82" s="13">
        <f t="shared" si="21"/>
        <v>22</v>
      </c>
      <c r="S82" s="4"/>
      <c r="T82" s="13">
        <f t="shared" si="22"/>
        <v>60.272727272727273</v>
      </c>
      <c r="U82" s="13">
        <f t="shared" si="23"/>
        <v>60.272727272727273</v>
      </c>
      <c r="V82" s="13">
        <v>110.6</v>
      </c>
      <c r="W82" s="13">
        <v>99.4</v>
      </c>
      <c r="X82" s="13">
        <v>52.6</v>
      </c>
      <c r="Y82" s="13">
        <v>55.4</v>
      </c>
      <c r="Z82" s="13">
        <v>88.4</v>
      </c>
      <c r="AA82" s="13">
        <v>94.2</v>
      </c>
      <c r="AB82" s="13">
        <v>52.8</v>
      </c>
      <c r="AC82" s="13">
        <v>65.599999999999994</v>
      </c>
      <c r="AD82" s="13">
        <v>54.8</v>
      </c>
      <c r="AE82" s="13">
        <v>60.4</v>
      </c>
      <c r="AF82" s="13"/>
      <c r="AG82" s="13">
        <f>H82*S82</f>
        <v>0</v>
      </c>
      <c r="AH82" s="13"/>
      <c r="AI82" s="13"/>
      <c r="AJ82" s="13"/>
      <c r="AK82" s="13"/>
      <c r="AL82" s="13"/>
      <c r="AM82" s="13"/>
      <c r="AN82" s="13"/>
      <c r="AO82" s="13"/>
      <c r="AP82" s="13"/>
      <c r="AQ82" s="13"/>
      <c r="AR82" s="13"/>
      <c r="AS82" s="13"/>
      <c r="AT82" s="13"/>
      <c r="AU82" s="13"/>
      <c r="AV82" s="13"/>
      <c r="AW82" s="13"/>
    </row>
    <row r="83" spans="1:49" hidden="1" x14ac:dyDescent="0.25">
      <c r="A83" s="13" t="s">
        <v>131</v>
      </c>
      <c r="B83" s="13" t="s">
        <v>40</v>
      </c>
      <c r="C83" s="13">
        <v>207</v>
      </c>
      <c r="D83" s="13">
        <v>18</v>
      </c>
      <c r="E83" s="13">
        <v>217</v>
      </c>
      <c r="F83" s="13">
        <v>7</v>
      </c>
      <c r="G83" s="13"/>
      <c r="H83" s="6">
        <v>0.28000000000000003</v>
      </c>
      <c r="I83" s="13">
        <v>45</v>
      </c>
      <c r="J83" s="13" t="s">
        <v>41</v>
      </c>
      <c r="K83" s="13"/>
      <c r="L83" s="13">
        <v>551</v>
      </c>
      <c r="M83" s="13">
        <f t="shared" si="20"/>
        <v>-334</v>
      </c>
      <c r="N83" s="13"/>
      <c r="O83" s="13"/>
      <c r="P83" s="13">
        <v>465</v>
      </c>
      <c r="Q83" s="13">
        <v>780</v>
      </c>
      <c r="R83" s="13">
        <f t="shared" si="21"/>
        <v>43.4</v>
      </c>
      <c r="S83" s="4">
        <v>200</v>
      </c>
      <c r="T83" s="13">
        <f t="shared" si="22"/>
        <v>33.456221198156683</v>
      </c>
      <c r="U83" s="13">
        <f t="shared" si="23"/>
        <v>28.847926267281107</v>
      </c>
      <c r="V83" s="13">
        <v>132</v>
      </c>
      <c r="W83" s="13">
        <v>102</v>
      </c>
      <c r="X83" s="13">
        <v>67.599999999999994</v>
      </c>
      <c r="Y83" s="13">
        <v>86.6</v>
      </c>
      <c r="Z83" s="13">
        <v>90.2</v>
      </c>
      <c r="AA83" s="13">
        <v>81.8</v>
      </c>
      <c r="AB83" s="13">
        <v>59.8</v>
      </c>
      <c r="AC83" s="13">
        <v>55.2</v>
      </c>
      <c r="AD83" s="13">
        <v>44.4</v>
      </c>
      <c r="AE83" s="13">
        <v>60.6</v>
      </c>
      <c r="AF83" s="13"/>
      <c r="AG83" s="13">
        <f>H83*S83</f>
        <v>56.000000000000007</v>
      </c>
      <c r="AH83" s="13"/>
      <c r="AI83" s="13"/>
      <c r="AJ83" s="13"/>
      <c r="AK83" s="13"/>
      <c r="AL83" s="13"/>
      <c r="AM83" s="13"/>
      <c r="AN83" s="13"/>
      <c r="AO83" s="13"/>
      <c r="AP83" s="13"/>
      <c r="AQ83" s="13"/>
      <c r="AR83" s="13"/>
      <c r="AS83" s="13"/>
      <c r="AT83" s="13"/>
      <c r="AU83" s="13"/>
      <c r="AV83" s="13"/>
      <c r="AW83" s="13"/>
    </row>
    <row r="84" spans="1:49" x14ac:dyDescent="0.25">
      <c r="A84" s="8" t="s">
        <v>132</v>
      </c>
      <c r="B84" s="8" t="s">
        <v>40</v>
      </c>
      <c r="C84" s="8">
        <v>140</v>
      </c>
      <c r="D84" s="8"/>
      <c r="E84" s="8"/>
      <c r="F84" s="8">
        <v>140</v>
      </c>
      <c r="G84" s="13">
        <f>F84*H84</f>
        <v>43.4</v>
      </c>
      <c r="H84" s="9">
        <v>0.31</v>
      </c>
      <c r="I84" s="8"/>
      <c r="J84" s="8" t="s">
        <v>37</v>
      </c>
      <c r="K84" s="8"/>
      <c r="L84" s="8"/>
      <c r="M84" s="8">
        <f t="shared" si="20"/>
        <v>0</v>
      </c>
      <c r="N84" s="8"/>
      <c r="O84" s="8"/>
      <c r="P84" s="8">
        <v>0</v>
      </c>
      <c r="Q84" s="8">
        <v>0</v>
      </c>
      <c r="R84" s="8">
        <f t="shared" si="21"/>
        <v>0</v>
      </c>
      <c r="S84" s="10"/>
      <c r="T84" s="8" t="e">
        <f t="shared" si="22"/>
        <v>#DIV/0!</v>
      </c>
      <c r="U84" s="8" t="e">
        <f t="shared" si="23"/>
        <v>#DIV/0!</v>
      </c>
      <c r="V84" s="8">
        <v>0.4</v>
      </c>
      <c r="W84" s="8">
        <v>6.4</v>
      </c>
      <c r="X84" s="8">
        <v>0</v>
      </c>
      <c r="Y84" s="8">
        <v>1.6</v>
      </c>
      <c r="Z84" s="8">
        <v>3.2</v>
      </c>
      <c r="AA84" s="8">
        <v>0</v>
      </c>
      <c r="AB84" s="8">
        <v>0</v>
      </c>
      <c r="AC84" s="8">
        <v>0</v>
      </c>
      <c r="AD84" s="8">
        <v>0</v>
      </c>
      <c r="AE84" s="8">
        <v>0</v>
      </c>
      <c r="AF84" s="12" t="s">
        <v>38</v>
      </c>
      <c r="AG84" s="8"/>
      <c r="AH84" s="13"/>
      <c r="AI84" s="13"/>
      <c r="AJ84" s="13"/>
      <c r="AK84" s="13"/>
      <c r="AL84" s="13"/>
      <c r="AM84" s="13"/>
      <c r="AN84" s="13"/>
      <c r="AO84" s="13"/>
      <c r="AP84" s="13"/>
      <c r="AQ84" s="13"/>
      <c r="AR84" s="13"/>
      <c r="AS84" s="13"/>
      <c r="AT84" s="13"/>
      <c r="AU84" s="13"/>
      <c r="AV84" s="13"/>
      <c r="AW84" s="13"/>
    </row>
    <row r="85" spans="1:49" hidden="1" x14ac:dyDescent="0.25">
      <c r="A85" s="13" t="s">
        <v>133</v>
      </c>
      <c r="B85" s="13" t="s">
        <v>40</v>
      </c>
      <c r="C85" s="13">
        <v>217</v>
      </c>
      <c r="D85" s="13">
        <v>3</v>
      </c>
      <c r="E85" s="13">
        <v>186</v>
      </c>
      <c r="F85" s="13">
        <v>27</v>
      </c>
      <c r="G85" s="13"/>
      <c r="H85" s="6">
        <v>0.28000000000000003</v>
      </c>
      <c r="I85" s="13">
        <v>45</v>
      </c>
      <c r="J85" s="13" t="s">
        <v>41</v>
      </c>
      <c r="K85" s="13"/>
      <c r="L85" s="13">
        <v>486</v>
      </c>
      <c r="M85" s="13">
        <f t="shared" si="20"/>
        <v>-300</v>
      </c>
      <c r="N85" s="13"/>
      <c r="O85" s="13"/>
      <c r="P85" s="13">
        <v>281</v>
      </c>
      <c r="Q85" s="13">
        <v>637</v>
      </c>
      <c r="R85" s="13">
        <f t="shared" si="21"/>
        <v>37.200000000000003</v>
      </c>
      <c r="S85" s="4">
        <v>100</v>
      </c>
      <c r="T85" s="13">
        <f t="shared" si="22"/>
        <v>28.091397849462364</v>
      </c>
      <c r="U85" s="13">
        <f t="shared" si="23"/>
        <v>25.403225806451612</v>
      </c>
      <c r="V85" s="13">
        <v>103.2</v>
      </c>
      <c r="W85" s="13">
        <v>77.2</v>
      </c>
      <c r="X85" s="13">
        <v>52.2</v>
      </c>
      <c r="Y85" s="13">
        <v>71.8</v>
      </c>
      <c r="Z85" s="13">
        <v>70.8</v>
      </c>
      <c r="AA85" s="13">
        <v>74.2</v>
      </c>
      <c r="AB85" s="13">
        <v>48.8</v>
      </c>
      <c r="AC85" s="13">
        <v>44.4</v>
      </c>
      <c r="AD85" s="13">
        <v>43.2</v>
      </c>
      <c r="AE85" s="13">
        <v>40</v>
      </c>
      <c r="AF85" s="13"/>
      <c r="AG85" s="13">
        <f>H85*S85</f>
        <v>28.000000000000004</v>
      </c>
      <c r="AH85" s="13"/>
      <c r="AI85" s="13"/>
      <c r="AJ85" s="13"/>
      <c r="AK85" s="13"/>
      <c r="AL85" s="13"/>
      <c r="AM85" s="13"/>
      <c r="AN85" s="13"/>
      <c r="AO85" s="13"/>
      <c r="AP85" s="13"/>
      <c r="AQ85" s="13"/>
      <c r="AR85" s="13"/>
      <c r="AS85" s="13"/>
      <c r="AT85" s="13"/>
      <c r="AU85" s="13"/>
      <c r="AV85" s="13"/>
      <c r="AW85" s="13"/>
    </row>
    <row r="86" spans="1:49" hidden="1" x14ac:dyDescent="0.25">
      <c r="A86" s="13" t="s">
        <v>134</v>
      </c>
      <c r="B86" s="13" t="s">
        <v>40</v>
      </c>
      <c r="C86" s="13">
        <v>749</v>
      </c>
      <c r="D86" s="13">
        <v>16</v>
      </c>
      <c r="E86" s="13">
        <v>722</v>
      </c>
      <c r="F86" s="13">
        <v>26</v>
      </c>
      <c r="G86" s="13"/>
      <c r="H86" s="6">
        <v>0.4</v>
      </c>
      <c r="I86" s="13">
        <v>50</v>
      </c>
      <c r="J86" s="13" t="s">
        <v>41</v>
      </c>
      <c r="K86" s="13"/>
      <c r="L86" s="13">
        <v>1028</v>
      </c>
      <c r="M86" s="13">
        <f t="shared" si="20"/>
        <v>-306</v>
      </c>
      <c r="N86" s="13"/>
      <c r="O86" s="13"/>
      <c r="P86" s="13">
        <v>962</v>
      </c>
      <c r="Q86" s="13">
        <v>352</v>
      </c>
      <c r="R86" s="13">
        <f t="shared" si="21"/>
        <v>144.4</v>
      </c>
      <c r="S86" s="4">
        <f t="shared" ref="S86" si="26">16*R86-Q86-P86-F86</f>
        <v>970.40000000000009</v>
      </c>
      <c r="T86" s="13">
        <f t="shared" si="22"/>
        <v>16</v>
      </c>
      <c r="U86" s="13">
        <f t="shared" si="23"/>
        <v>9.2797783933517994</v>
      </c>
      <c r="V86" s="13">
        <v>147.80000000000001</v>
      </c>
      <c r="W86" s="13">
        <v>187.2</v>
      </c>
      <c r="X86" s="13">
        <v>136.4</v>
      </c>
      <c r="Y86" s="13">
        <v>73</v>
      </c>
      <c r="Z86" s="13">
        <v>123.8</v>
      </c>
      <c r="AA86" s="13">
        <v>112.6</v>
      </c>
      <c r="AB86" s="13">
        <v>89.6</v>
      </c>
      <c r="AC86" s="13">
        <v>96</v>
      </c>
      <c r="AD86" s="13">
        <v>94.4</v>
      </c>
      <c r="AE86" s="13">
        <v>101.8</v>
      </c>
      <c r="AF86" s="13"/>
      <c r="AG86" s="13">
        <f>H86*S86</f>
        <v>388.16000000000008</v>
      </c>
      <c r="AH86" s="13"/>
      <c r="AI86" s="13"/>
      <c r="AJ86" s="13"/>
      <c r="AK86" s="13"/>
      <c r="AL86" s="13"/>
      <c r="AM86" s="13"/>
      <c r="AN86" s="13"/>
      <c r="AO86" s="13"/>
      <c r="AP86" s="13"/>
      <c r="AQ86" s="13"/>
      <c r="AR86" s="13"/>
      <c r="AS86" s="13"/>
      <c r="AT86" s="13"/>
      <c r="AU86" s="13"/>
      <c r="AV86" s="13"/>
      <c r="AW86" s="13"/>
    </row>
    <row r="87" spans="1:49" hidden="1" x14ac:dyDescent="0.25">
      <c r="A87" s="8" t="s">
        <v>135</v>
      </c>
      <c r="B87" s="8" t="s">
        <v>40</v>
      </c>
      <c r="C87" s="8">
        <v>-1</v>
      </c>
      <c r="D87" s="8"/>
      <c r="E87" s="8"/>
      <c r="F87" s="14">
        <v>-1</v>
      </c>
      <c r="G87" s="14"/>
      <c r="H87" s="9">
        <v>0</v>
      </c>
      <c r="I87" s="8"/>
      <c r="J87" s="8" t="s">
        <v>37</v>
      </c>
      <c r="K87" s="8" t="s">
        <v>136</v>
      </c>
      <c r="L87" s="8">
        <v>17</v>
      </c>
      <c r="M87" s="8">
        <f t="shared" si="20"/>
        <v>-17</v>
      </c>
      <c r="N87" s="8"/>
      <c r="O87" s="8"/>
      <c r="P87" s="8"/>
      <c r="Q87" s="8">
        <v>0</v>
      </c>
      <c r="R87" s="8">
        <f t="shared" si="21"/>
        <v>0</v>
      </c>
      <c r="S87" s="10"/>
      <c r="T87" s="8" t="e">
        <f t="shared" si="22"/>
        <v>#DIV/0!</v>
      </c>
      <c r="U87" s="8" t="e">
        <f t="shared" si="23"/>
        <v>#DIV/0!</v>
      </c>
      <c r="V87" s="8">
        <v>0.2</v>
      </c>
      <c r="W87" s="8">
        <v>0</v>
      </c>
      <c r="X87" s="8">
        <v>0</v>
      </c>
      <c r="Y87" s="8">
        <v>0</v>
      </c>
      <c r="Z87" s="8">
        <v>0</v>
      </c>
      <c r="AA87" s="8">
        <v>0</v>
      </c>
      <c r="AB87" s="8">
        <v>0</v>
      </c>
      <c r="AC87" s="8">
        <v>0</v>
      </c>
      <c r="AD87" s="8">
        <v>0</v>
      </c>
      <c r="AE87" s="8">
        <v>0</v>
      </c>
      <c r="AF87" s="8"/>
      <c r="AG87" s="8"/>
      <c r="AH87" s="13"/>
      <c r="AI87" s="13"/>
      <c r="AJ87" s="13"/>
      <c r="AK87" s="13"/>
      <c r="AL87" s="13"/>
      <c r="AM87" s="13"/>
      <c r="AN87" s="13"/>
      <c r="AO87" s="13"/>
      <c r="AP87" s="13"/>
      <c r="AQ87" s="13"/>
      <c r="AR87" s="13"/>
      <c r="AS87" s="13"/>
      <c r="AT87" s="13"/>
      <c r="AU87" s="13"/>
      <c r="AV87" s="13"/>
      <c r="AW87" s="13"/>
    </row>
    <row r="88" spans="1:49" hidden="1" x14ac:dyDescent="0.25">
      <c r="A88" s="13" t="s">
        <v>137</v>
      </c>
      <c r="B88" s="13" t="s">
        <v>36</v>
      </c>
      <c r="C88" s="13">
        <v>122.913</v>
      </c>
      <c r="D88" s="13">
        <v>1.5529999999999999</v>
      </c>
      <c r="E88" s="13">
        <v>19.196999999999999</v>
      </c>
      <c r="F88" s="13">
        <v>103.636</v>
      </c>
      <c r="G88" s="13"/>
      <c r="H88" s="6">
        <v>1</v>
      </c>
      <c r="I88" s="13">
        <v>30</v>
      </c>
      <c r="J88" s="13" t="s">
        <v>41</v>
      </c>
      <c r="K88" s="13"/>
      <c r="L88" s="13">
        <v>20.65</v>
      </c>
      <c r="M88" s="13">
        <f t="shared" si="20"/>
        <v>-1.4529999999999994</v>
      </c>
      <c r="N88" s="13"/>
      <c r="O88" s="13"/>
      <c r="P88" s="13">
        <v>0</v>
      </c>
      <c r="Q88" s="13">
        <v>0</v>
      </c>
      <c r="R88" s="13">
        <f t="shared" si="21"/>
        <v>3.8393999999999999</v>
      </c>
      <c r="S88" s="4"/>
      <c r="T88" s="13">
        <f t="shared" si="22"/>
        <v>26.992759285304995</v>
      </c>
      <c r="U88" s="13">
        <f t="shared" si="23"/>
        <v>26.992759285304995</v>
      </c>
      <c r="V88" s="13">
        <v>4.0342000000000002</v>
      </c>
      <c r="W88" s="13">
        <v>9.1999999999999998E-2</v>
      </c>
      <c r="X88" s="13">
        <v>3.0341999999999998</v>
      </c>
      <c r="Y88" s="13">
        <v>4.6256000000000004</v>
      </c>
      <c r="Z88" s="13">
        <v>0.94879999999999998</v>
      </c>
      <c r="AA88" s="13">
        <v>0.78600000000000003</v>
      </c>
      <c r="AB88" s="13">
        <v>0</v>
      </c>
      <c r="AC88" s="13">
        <v>0</v>
      </c>
      <c r="AD88" s="13">
        <v>0</v>
      </c>
      <c r="AE88" s="13">
        <v>0</v>
      </c>
      <c r="AF88" s="11" t="s">
        <v>169</v>
      </c>
      <c r="AG88" s="13">
        <f>H88*S88</f>
        <v>0</v>
      </c>
      <c r="AH88" s="13"/>
      <c r="AI88" s="13"/>
      <c r="AJ88" s="13"/>
      <c r="AK88" s="13"/>
      <c r="AL88" s="13"/>
      <c r="AM88" s="13"/>
      <c r="AN88" s="13"/>
      <c r="AO88" s="13"/>
      <c r="AP88" s="13"/>
      <c r="AQ88" s="13"/>
      <c r="AR88" s="13"/>
      <c r="AS88" s="13"/>
      <c r="AT88" s="13"/>
      <c r="AU88" s="13"/>
      <c r="AV88" s="13"/>
      <c r="AW88" s="13"/>
    </row>
    <row r="89" spans="1:49" hidden="1" x14ac:dyDescent="0.25">
      <c r="A89" s="8" t="s">
        <v>138</v>
      </c>
      <c r="B89" s="8" t="s">
        <v>40</v>
      </c>
      <c r="C89" s="8">
        <v>25</v>
      </c>
      <c r="D89" s="8"/>
      <c r="E89" s="8">
        <v>22</v>
      </c>
      <c r="F89" s="8">
        <v>3</v>
      </c>
      <c r="G89" s="8"/>
      <c r="H89" s="9">
        <v>0</v>
      </c>
      <c r="I89" s="8">
        <v>50</v>
      </c>
      <c r="J89" s="8" t="s">
        <v>172</v>
      </c>
      <c r="K89" s="8"/>
      <c r="L89" s="8">
        <v>55</v>
      </c>
      <c r="M89" s="8">
        <f t="shared" si="20"/>
        <v>-33</v>
      </c>
      <c r="N89" s="8"/>
      <c r="O89" s="8"/>
      <c r="P89" s="8">
        <v>6</v>
      </c>
      <c r="Q89" s="8">
        <v>25</v>
      </c>
      <c r="R89" s="8">
        <f t="shared" si="21"/>
        <v>4.4000000000000004</v>
      </c>
      <c r="S89" s="10"/>
      <c r="T89" s="8">
        <f t="shared" si="22"/>
        <v>7.7272727272727266</v>
      </c>
      <c r="U89" s="8">
        <f t="shared" si="23"/>
        <v>7.7272727272727266</v>
      </c>
      <c r="V89" s="8">
        <v>4</v>
      </c>
      <c r="W89" s="8">
        <v>4.4000000000000004</v>
      </c>
      <c r="X89" s="8">
        <v>5.4</v>
      </c>
      <c r="Y89" s="8">
        <v>2.8</v>
      </c>
      <c r="Z89" s="8">
        <v>5.2</v>
      </c>
      <c r="AA89" s="8">
        <v>5.6</v>
      </c>
      <c r="AB89" s="8">
        <v>4.4000000000000004</v>
      </c>
      <c r="AC89" s="8">
        <v>3.6</v>
      </c>
      <c r="AD89" s="8">
        <v>6.4</v>
      </c>
      <c r="AE89" s="8">
        <v>5.2</v>
      </c>
      <c r="AF89" s="8"/>
      <c r="AG89" s="8"/>
      <c r="AH89" s="13"/>
      <c r="AI89" s="13"/>
      <c r="AJ89" s="13"/>
      <c r="AK89" s="13"/>
      <c r="AL89" s="13"/>
      <c r="AM89" s="13"/>
      <c r="AN89" s="13"/>
      <c r="AO89" s="13"/>
      <c r="AP89" s="13"/>
      <c r="AQ89" s="13"/>
      <c r="AR89" s="13"/>
      <c r="AS89" s="13"/>
      <c r="AT89" s="13"/>
      <c r="AU89" s="13"/>
      <c r="AV89" s="13"/>
      <c r="AW89" s="13"/>
    </row>
    <row r="90" spans="1:49" x14ac:dyDescent="0.25">
      <c r="A90" s="8" t="s">
        <v>139</v>
      </c>
      <c r="B90" s="8" t="s">
        <v>40</v>
      </c>
      <c r="C90" s="8">
        <v>280</v>
      </c>
      <c r="D90" s="8"/>
      <c r="E90" s="8"/>
      <c r="F90" s="8">
        <v>280</v>
      </c>
      <c r="G90" s="13">
        <f>F90*H90</f>
        <v>112</v>
      </c>
      <c r="H90" s="9">
        <v>0.4</v>
      </c>
      <c r="I90" s="8"/>
      <c r="J90" s="8" t="s">
        <v>37</v>
      </c>
      <c r="K90" s="8"/>
      <c r="L90" s="8"/>
      <c r="M90" s="8">
        <f t="shared" si="20"/>
        <v>0</v>
      </c>
      <c r="N90" s="8"/>
      <c r="O90" s="8"/>
      <c r="P90" s="8">
        <v>0</v>
      </c>
      <c r="Q90" s="8">
        <v>0</v>
      </c>
      <c r="R90" s="8">
        <f t="shared" si="21"/>
        <v>0</v>
      </c>
      <c r="S90" s="10"/>
      <c r="T90" s="8" t="e">
        <f t="shared" si="22"/>
        <v>#DIV/0!</v>
      </c>
      <c r="U90" s="8" t="e">
        <f t="shared" si="23"/>
        <v>#DIV/0!</v>
      </c>
      <c r="V90" s="8">
        <v>0</v>
      </c>
      <c r="W90" s="8">
        <v>0</v>
      </c>
      <c r="X90" s="8">
        <v>0</v>
      </c>
      <c r="Y90" s="8">
        <v>0</v>
      </c>
      <c r="Z90" s="8">
        <v>0</v>
      </c>
      <c r="AA90" s="8">
        <v>0</v>
      </c>
      <c r="AB90" s="8">
        <v>0</v>
      </c>
      <c r="AC90" s="8">
        <v>0</v>
      </c>
      <c r="AD90" s="8">
        <v>0</v>
      </c>
      <c r="AE90" s="8">
        <v>0</v>
      </c>
      <c r="AF90" s="12" t="s">
        <v>38</v>
      </c>
      <c r="AG90" s="8"/>
      <c r="AH90" s="13"/>
      <c r="AI90" s="13"/>
      <c r="AJ90" s="13"/>
      <c r="AK90" s="13"/>
      <c r="AL90" s="13"/>
      <c r="AM90" s="13"/>
      <c r="AN90" s="13"/>
      <c r="AO90" s="13"/>
      <c r="AP90" s="13"/>
      <c r="AQ90" s="13"/>
      <c r="AR90" s="13"/>
      <c r="AS90" s="13"/>
      <c r="AT90" s="13"/>
      <c r="AU90" s="13"/>
      <c r="AV90" s="13"/>
      <c r="AW90" s="13"/>
    </row>
    <row r="91" spans="1:49" hidden="1" x14ac:dyDescent="0.25">
      <c r="A91" s="13" t="s">
        <v>140</v>
      </c>
      <c r="B91" s="13" t="s">
        <v>40</v>
      </c>
      <c r="C91" s="13">
        <v>299</v>
      </c>
      <c r="D91" s="13">
        <v>4</v>
      </c>
      <c r="E91" s="13">
        <v>250</v>
      </c>
      <c r="F91" s="13">
        <v>49</v>
      </c>
      <c r="G91" s="13"/>
      <c r="H91" s="6">
        <v>0.12</v>
      </c>
      <c r="I91" s="13">
        <v>60</v>
      </c>
      <c r="J91" s="13" t="s">
        <v>41</v>
      </c>
      <c r="K91" s="13"/>
      <c r="L91" s="13">
        <v>484</v>
      </c>
      <c r="M91" s="13">
        <f t="shared" si="20"/>
        <v>-234</v>
      </c>
      <c r="N91" s="13"/>
      <c r="O91" s="13"/>
      <c r="P91" s="13">
        <v>398</v>
      </c>
      <c r="Q91" s="13">
        <v>465</v>
      </c>
      <c r="R91" s="13">
        <f t="shared" si="21"/>
        <v>50</v>
      </c>
      <c r="S91" s="4"/>
      <c r="T91" s="13">
        <f t="shared" si="22"/>
        <v>18.239999999999998</v>
      </c>
      <c r="U91" s="13">
        <f t="shared" si="23"/>
        <v>18.239999999999998</v>
      </c>
      <c r="V91" s="13">
        <v>83</v>
      </c>
      <c r="W91" s="13">
        <v>79</v>
      </c>
      <c r="X91" s="13">
        <v>54.8</v>
      </c>
      <c r="Y91" s="13">
        <v>35.6</v>
      </c>
      <c r="Z91" s="13">
        <v>57.8</v>
      </c>
      <c r="AA91" s="13">
        <v>44.4</v>
      </c>
      <c r="AB91" s="13">
        <v>26.4</v>
      </c>
      <c r="AC91" s="13">
        <v>32.6</v>
      </c>
      <c r="AD91" s="13">
        <v>18.399999999999999</v>
      </c>
      <c r="AE91" s="13">
        <v>33.799999999999997</v>
      </c>
      <c r="AF91" s="13"/>
      <c r="AG91" s="13">
        <f>H91*S91</f>
        <v>0</v>
      </c>
      <c r="AH91" s="13"/>
      <c r="AI91" s="13"/>
      <c r="AJ91" s="13"/>
      <c r="AK91" s="13"/>
      <c r="AL91" s="13"/>
      <c r="AM91" s="13"/>
      <c r="AN91" s="13"/>
      <c r="AO91" s="13"/>
      <c r="AP91" s="13"/>
      <c r="AQ91" s="13"/>
      <c r="AR91" s="13"/>
      <c r="AS91" s="13"/>
      <c r="AT91" s="13"/>
      <c r="AU91" s="13"/>
      <c r="AV91" s="13"/>
      <c r="AW91" s="13"/>
    </row>
    <row r="92" spans="1:49" hidden="1" x14ac:dyDescent="0.25">
      <c r="A92" s="33" t="s">
        <v>141</v>
      </c>
      <c r="B92" s="30" t="s">
        <v>40</v>
      </c>
      <c r="C92" s="30">
        <v>35</v>
      </c>
      <c r="D92" s="30">
        <v>1</v>
      </c>
      <c r="E92" s="30">
        <v>17</v>
      </c>
      <c r="F92" s="30">
        <v>18</v>
      </c>
      <c r="G92" s="30"/>
      <c r="H92" s="31">
        <v>0.15</v>
      </c>
      <c r="I92" s="30">
        <v>90</v>
      </c>
      <c r="J92" s="30" t="s">
        <v>41</v>
      </c>
      <c r="K92" s="30"/>
      <c r="L92" s="30">
        <v>120</v>
      </c>
      <c r="M92" s="30">
        <f t="shared" si="20"/>
        <v>-103</v>
      </c>
      <c r="N92" s="30"/>
      <c r="O92" s="30"/>
      <c r="P92" s="30">
        <v>0</v>
      </c>
      <c r="Q92" s="30">
        <v>0</v>
      </c>
      <c r="R92" s="30">
        <f t="shared" si="21"/>
        <v>3.4</v>
      </c>
      <c r="S92" s="32">
        <f t="shared" ref="S92:S100" si="27">16*R92-Q92-P92-F92</f>
        <v>36.4</v>
      </c>
      <c r="T92" s="30">
        <f t="shared" si="22"/>
        <v>16</v>
      </c>
      <c r="U92" s="30">
        <f t="shared" si="23"/>
        <v>5.2941176470588234</v>
      </c>
      <c r="V92" s="30">
        <v>9</v>
      </c>
      <c r="W92" s="30">
        <v>7.2</v>
      </c>
      <c r="X92" s="30">
        <v>5.4</v>
      </c>
      <c r="Y92" s="30">
        <v>9</v>
      </c>
      <c r="Z92" s="30">
        <v>0</v>
      </c>
      <c r="AA92" s="30">
        <v>0</v>
      </c>
      <c r="AB92" s="30">
        <v>0</v>
      </c>
      <c r="AC92" s="30">
        <v>0</v>
      </c>
      <c r="AD92" s="30">
        <v>0</v>
      </c>
      <c r="AE92" s="30">
        <v>0</v>
      </c>
      <c r="AF92" s="33" t="s">
        <v>112</v>
      </c>
      <c r="AG92" s="30">
        <f t="shared" ref="AG92:AG100" si="28">H92*S92</f>
        <v>5.46</v>
      </c>
      <c r="AH92" s="13"/>
      <c r="AI92" s="13"/>
      <c r="AJ92" s="13"/>
      <c r="AK92" s="13"/>
      <c r="AL92" s="13"/>
      <c r="AM92" s="13"/>
      <c r="AN92" s="13"/>
      <c r="AO92" s="13"/>
      <c r="AP92" s="13"/>
      <c r="AQ92" s="13"/>
      <c r="AR92" s="13"/>
      <c r="AS92" s="13"/>
      <c r="AT92" s="13"/>
      <c r="AU92" s="13"/>
      <c r="AV92" s="13"/>
      <c r="AW92" s="13"/>
    </row>
    <row r="93" spans="1:49" hidden="1" x14ac:dyDescent="0.25">
      <c r="A93" s="13" t="s">
        <v>136</v>
      </c>
      <c r="B93" s="13" t="s">
        <v>40</v>
      </c>
      <c r="C93" s="13">
        <v>158</v>
      </c>
      <c r="D93" s="13">
        <v>6</v>
      </c>
      <c r="E93" s="13">
        <v>152</v>
      </c>
      <c r="F93" s="14">
        <f>6+F87</f>
        <v>5</v>
      </c>
      <c r="G93" s="14"/>
      <c r="H93" s="6">
        <v>0.33</v>
      </c>
      <c r="I93" s="13">
        <v>30</v>
      </c>
      <c r="J93" s="13" t="s">
        <v>41</v>
      </c>
      <c r="K93" s="13"/>
      <c r="L93" s="13">
        <v>235</v>
      </c>
      <c r="M93" s="13">
        <f t="shared" si="20"/>
        <v>-83</v>
      </c>
      <c r="N93" s="13"/>
      <c r="O93" s="13"/>
      <c r="P93" s="13">
        <v>248</v>
      </c>
      <c r="Q93" s="13">
        <v>194</v>
      </c>
      <c r="R93" s="13">
        <f t="shared" si="21"/>
        <v>30.4</v>
      </c>
      <c r="S93" s="4">
        <f t="shared" si="27"/>
        <v>39.399999999999977</v>
      </c>
      <c r="T93" s="13">
        <f t="shared" si="22"/>
        <v>16</v>
      </c>
      <c r="U93" s="13">
        <f t="shared" si="23"/>
        <v>14.703947368421053</v>
      </c>
      <c r="V93" s="13">
        <v>43</v>
      </c>
      <c r="W93" s="13">
        <v>45.2</v>
      </c>
      <c r="X93" s="13">
        <v>1.8</v>
      </c>
      <c r="Y93" s="13">
        <v>37.799999999999997</v>
      </c>
      <c r="Z93" s="13">
        <v>56</v>
      </c>
      <c r="AA93" s="13">
        <v>32.200000000000003</v>
      </c>
      <c r="AB93" s="13">
        <v>40</v>
      </c>
      <c r="AC93" s="13">
        <v>37.4</v>
      </c>
      <c r="AD93" s="13">
        <v>23</v>
      </c>
      <c r="AE93" s="13">
        <v>38</v>
      </c>
      <c r="AF93" s="13"/>
      <c r="AG93" s="13">
        <f t="shared" si="28"/>
        <v>13.001999999999994</v>
      </c>
      <c r="AH93" s="13"/>
      <c r="AI93" s="13"/>
      <c r="AJ93" s="13"/>
      <c r="AK93" s="13"/>
      <c r="AL93" s="13"/>
      <c r="AM93" s="13"/>
      <c r="AN93" s="13"/>
      <c r="AO93" s="13"/>
      <c r="AP93" s="13"/>
      <c r="AQ93" s="13"/>
      <c r="AR93" s="13"/>
      <c r="AS93" s="13"/>
      <c r="AT93" s="13"/>
      <c r="AU93" s="13"/>
      <c r="AV93" s="13"/>
      <c r="AW93" s="13"/>
    </row>
    <row r="94" spans="1:49" hidden="1" x14ac:dyDescent="0.25">
      <c r="A94" s="13" t="s">
        <v>142</v>
      </c>
      <c r="B94" s="13" t="s">
        <v>40</v>
      </c>
      <c r="C94" s="13">
        <v>52</v>
      </c>
      <c r="D94" s="13">
        <v>2</v>
      </c>
      <c r="E94" s="13">
        <v>50</v>
      </c>
      <c r="F94" s="13">
        <v>4</v>
      </c>
      <c r="G94" s="13"/>
      <c r="H94" s="6">
        <v>0.15</v>
      </c>
      <c r="I94" s="13">
        <v>60</v>
      </c>
      <c r="J94" s="13" t="s">
        <v>41</v>
      </c>
      <c r="K94" s="13"/>
      <c r="L94" s="13">
        <v>246</v>
      </c>
      <c r="M94" s="13">
        <f t="shared" si="20"/>
        <v>-196</v>
      </c>
      <c r="N94" s="13"/>
      <c r="O94" s="13"/>
      <c r="P94" s="13">
        <v>0</v>
      </c>
      <c r="Q94" s="13">
        <v>49</v>
      </c>
      <c r="R94" s="13">
        <f t="shared" si="21"/>
        <v>10</v>
      </c>
      <c r="S94" s="4">
        <f>13*R94-Q94-P94-F94</f>
        <v>77</v>
      </c>
      <c r="T94" s="13">
        <f t="shared" si="22"/>
        <v>13</v>
      </c>
      <c r="U94" s="13">
        <f t="shared" si="23"/>
        <v>5.3</v>
      </c>
      <c r="V94" s="13">
        <v>7.8</v>
      </c>
      <c r="W94" s="13">
        <v>5.8</v>
      </c>
      <c r="X94" s="13">
        <v>0</v>
      </c>
      <c r="Y94" s="13">
        <v>0</v>
      </c>
      <c r="Z94" s="13">
        <v>0</v>
      </c>
      <c r="AA94" s="13">
        <v>0</v>
      </c>
      <c r="AB94" s="13">
        <v>0</v>
      </c>
      <c r="AC94" s="13">
        <v>0</v>
      </c>
      <c r="AD94" s="13">
        <v>0</v>
      </c>
      <c r="AE94" s="13">
        <v>0</v>
      </c>
      <c r="AF94" s="13" t="s">
        <v>143</v>
      </c>
      <c r="AG94" s="13">
        <f t="shared" si="28"/>
        <v>11.549999999999999</v>
      </c>
      <c r="AH94" s="13"/>
      <c r="AI94" s="13"/>
      <c r="AJ94" s="13"/>
      <c r="AK94" s="13"/>
      <c r="AL94" s="13"/>
      <c r="AM94" s="13"/>
      <c r="AN94" s="13"/>
      <c r="AO94" s="13"/>
      <c r="AP94" s="13"/>
      <c r="AQ94" s="13"/>
      <c r="AR94" s="13"/>
      <c r="AS94" s="13"/>
      <c r="AT94" s="13"/>
      <c r="AU94" s="13"/>
      <c r="AV94" s="13"/>
      <c r="AW94" s="13"/>
    </row>
    <row r="95" spans="1:49" hidden="1" x14ac:dyDescent="0.25">
      <c r="A95" s="13" t="s">
        <v>144</v>
      </c>
      <c r="B95" s="13" t="s">
        <v>40</v>
      </c>
      <c r="C95" s="13">
        <v>56</v>
      </c>
      <c r="D95" s="13">
        <v>3</v>
      </c>
      <c r="E95" s="13">
        <v>55</v>
      </c>
      <c r="F95" s="13">
        <v>2</v>
      </c>
      <c r="G95" s="13"/>
      <c r="H95" s="6">
        <v>0.26</v>
      </c>
      <c r="I95" s="13">
        <v>45</v>
      </c>
      <c r="J95" s="13" t="s">
        <v>41</v>
      </c>
      <c r="K95" s="13"/>
      <c r="L95" s="13">
        <v>139</v>
      </c>
      <c r="M95" s="13">
        <f t="shared" si="20"/>
        <v>-84</v>
      </c>
      <c r="N95" s="13"/>
      <c r="O95" s="13"/>
      <c r="P95" s="13">
        <v>0</v>
      </c>
      <c r="Q95" s="13">
        <v>39</v>
      </c>
      <c r="R95" s="13">
        <f t="shared" si="21"/>
        <v>11</v>
      </c>
      <c r="S95" s="4">
        <f>12*R95-Q95-P95-F95</f>
        <v>91</v>
      </c>
      <c r="T95" s="13">
        <f t="shared" si="22"/>
        <v>12</v>
      </c>
      <c r="U95" s="13">
        <f t="shared" si="23"/>
        <v>3.7272727272727271</v>
      </c>
      <c r="V95" s="13">
        <v>6.8</v>
      </c>
      <c r="W95" s="13">
        <v>2.8</v>
      </c>
      <c r="X95" s="13">
        <v>0</v>
      </c>
      <c r="Y95" s="13">
        <v>0</v>
      </c>
      <c r="Z95" s="13">
        <v>0</v>
      </c>
      <c r="AA95" s="13">
        <v>0</v>
      </c>
      <c r="AB95" s="13">
        <v>0</v>
      </c>
      <c r="AC95" s="13">
        <v>0</v>
      </c>
      <c r="AD95" s="13">
        <v>0</v>
      </c>
      <c r="AE95" s="13">
        <v>0</v>
      </c>
      <c r="AF95" s="13" t="s">
        <v>145</v>
      </c>
      <c r="AG95" s="13">
        <f t="shared" si="28"/>
        <v>23.66</v>
      </c>
      <c r="AH95" s="13"/>
      <c r="AI95" s="13"/>
      <c r="AJ95" s="13"/>
      <c r="AK95" s="13"/>
      <c r="AL95" s="13"/>
      <c r="AM95" s="13"/>
      <c r="AN95" s="13"/>
      <c r="AO95" s="13"/>
      <c r="AP95" s="13"/>
      <c r="AQ95" s="13"/>
      <c r="AR95" s="13"/>
      <c r="AS95" s="13"/>
      <c r="AT95" s="13"/>
      <c r="AU95" s="13"/>
      <c r="AV95" s="13"/>
      <c r="AW95" s="13"/>
    </row>
    <row r="96" spans="1:49" hidden="1" x14ac:dyDescent="0.25">
      <c r="A96" s="13" t="s">
        <v>146</v>
      </c>
      <c r="B96" s="13" t="s">
        <v>40</v>
      </c>
      <c r="C96" s="13">
        <v>45</v>
      </c>
      <c r="D96" s="13">
        <v>2</v>
      </c>
      <c r="E96" s="13">
        <v>45</v>
      </c>
      <c r="F96" s="13">
        <v>1</v>
      </c>
      <c r="G96" s="13"/>
      <c r="H96" s="6">
        <v>0.31</v>
      </c>
      <c r="I96" s="13">
        <v>45</v>
      </c>
      <c r="J96" s="13" t="s">
        <v>41</v>
      </c>
      <c r="K96" s="13"/>
      <c r="L96" s="13">
        <v>226</v>
      </c>
      <c r="M96" s="13">
        <f t="shared" si="20"/>
        <v>-181</v>
      </c>
      <c r="N96" s="13"/>
      <c r="O96" s="13"/>
      <c r="P96" s="13">
        <v>0</v>
      </c>
      <c r="Q96" s="13">
        <v>49</v>
      </c>
      <c r="R96" s="13">
        <f t="shared" si="21"/>
        <v>9</v>
      </c>
      <c r="S96" s="4">
        <f>14*R96-Q96-P96-F96</f>
        <v>76</v>
      </c>
      <c r="T96" s="13">
        <f t="shared" si="22"/>
        <v>14</v>
      </c>
      <c r="U96" s="13">
        <f t="shared" si="23"/>
        <v>5.5555555555555554</v>
      </c>
      <c r="V96" s="13">
        <v>7.8</v>
      </c>
      <c r="W96" s="13">
        <v>4</v>
      </c>
      <c r="X96" s="13">
        <v>0</v>
      </c>
      <c r="Y96" s="13">
        <v>0</v>
      </c>
      <c r="Z96" s="13">
        <v>0</v>
      </c>
      <c r="AA96" s="13">
        <v>0</v>
      </c>
      <c r="AB96" s="13">
        <v>0</v>
      </c>
      <c r="AC96" s="13">
        <v>0</v>
      </c>
      <c r="AD96" s="13">
        <v>0</v>
      </c>
      <c r="AE96" s="13">
        <v>0</v>
      </c>
      <c r="AF96" s="13" t="s">
        <v>145</v>
      </c>
      <c r="AG96" s="13">
        <f t="shared" si="28"/>
        <v>23.56</v>
      </c>
      <c r="AH96" s="13"/>
      <c r="AI96" s="13"/>
      <c r="AJ96" s="13"/>
      <c r="AK96" s="13"/>
      <c r="AL96" s="13"/>
      <c r="AM96" s="13"/>
      <c r="AN96" s="13"/>
      <c r="AO96" s="13"/>
      <c r="AP96" s="13"/>
      <c r="AQ96" s="13"/>
      <c r="AR96" s="13"/>
      <c r="AS96" s="13"/>
      <c r="AT96" s="13"/>
      <c r="AU96" s="13"/>
      <c r="AV96" s="13"/>
      <c r="AW96" s="13"/>
    </row>
    <row r="97" spans="1:49" hidden="1" x14ac:dyDescent="0.25">
      <c r="A97" s="13" t="s">
        <v>147</v>
      </c>
      <c r="B97" s="13" t="s">
        <v>40</v>
      </c>
      <c r="C97" s="13">
        <v>177</v>
      </c>
      <c r="D97" s="13">
        <v>3</v>
      </c>
      <c r="E97" s="13">
        <v>122</v>
      </c>
      <c r="F97" s="13">
        <v>55</v>
      </c>
      <c r="G97" s="13"/>
      <c r="H97" s="6">
        <v>0.4</v>
      </c>
      <c r="I97" s="13">
        <v>60</v>
      </c>
      <c r="J97" s="13" t="s">
        <v>41</v>
      </c>
      <c r="K97" s="13"/>
      <c r="L97" s="13">
        <v>311</v>
      </c>
      <c r="M97" s="13">
        <f t="shared" si="20"/>
        <v>-189</v>
      </c>
      <c r="N97" s="13"/>
      <c r="O97" s="13"/>
      <c r="P97" s="13">
        <v>252</v>
      </c>
      <c r="Q97" s="13">
        <v>416</v>
      </c>
      <c r="R97" s="13">
        <f t="shared" si="21"/>
        <v>24.4</v>
      </c>
      <c r="S97" s="4"/>
      <c r="T97" s="13">
        <f t="shared" si="22"/>
        <v>29.631147540983608</v>
      </c>
      <c r="U97" s="13">
        <f t="shared" si="23"/>
        <v>29.631147540983608</v>
      </c>
      <c r="V97" s="13">
        <v>65</v>
      </c>
      <c r="W97" s="13">
        <v>53.4</v>
      </c>
      <c r="X97" s="13">
        <v>32</v>
      </c>
      <c r="Y97" s="13">
        <v>33</v>
      </c>
      <c r="Z97" s="13">
        <v>43</v>
      </c>
      <c r="AA97" s="13">
        <v>36.6</v>
      </c>
      <c r="AB97" s="13">
        <v>18.600000000000001</v>
      </c>
      <c r="AC97" s="13">
        <v>15.8</v>
      </c>
      <c r="AD97" s="13">
        <v>22.2</v>
      </c>
      <c r="AE97" s="13">
        <v>20.399999999999999</v>
      </c>
      <c r="AF97" s="13"/>
      <c r="AG97" s="13">
        <f t="shared" si="28"/>
        <v>0</v>
      </c>
      <c r="AH97" s="13"/>
      <c r="AI97" s="13"/>
      <c r="AJ97" s="13"/>
      <c r="AK97" s="13"/>
      <c r="AL97" s="13"/>
      <c r="AM97" s="13"/>
      <c r="AN97" s="13"/>
      <c r="AO97" s="13"/>
      <c r="AP97" s="13"/>
      <c r="AQ97" s="13"/>
      <c r="AR97" s="13"/>
      <c r="AS97" s="13"/>
      <c r="AT97" s="13"/>
      <c r="AU97" s="13"/>
      <c r="AV97" s="13"/>
      <c r="AW97" s="13"/>
    </row>
    <row r="98" spans="1:49" hidden="1" x14ac:dyDescent="0.25">
      <c r="A98" s="13" t="s">
        <v>148</v>
      </c>
      <c r="B98" s="13" t="s">
        <v>40</v>
      </c>
      <c r="C98" s="13"/>
      <c r="D98" s="13"/>
      <c r="E98" s="13"/>
      <c r="F98" s="13"/>
      <c r="G98" s="13"/>
      <c r="H98" s="6">
        <v>0.35</v>
      </c>
      <c r="I98" s="13">
        <v>60</v>
      </c>
      <c r="J98" s="13" t="s">
        <v>41</v>
      </c>
      <c r="K98" s="13"/>
      <c r="L98" s="13">
        <v>98</v>
      </c>
      <c r="M98" s="13">
        <f t="shared" si="20"/>
        <v>-98</v>
      </c>
      <c r="N98" s="13"/>
      <c r="O98" s="13"/>
      <c r="P98" s="13">
        <v>40</v>
      </c>
      <c r="Q98" s="13">
        <v>0</v>
      </c>
      <c r="R98" s="13">
        <f t="shared" si="21"/>
        <v>0</v>
      </c>
      <c r="S98" s="4"/>
      <c r="T98" s="13" t="e">
        <f t="shared" si="22"/>
        <v>#DIV/0!</v>
      </c>
      <c r="U98" s="13" t="e">
        <f t="shared" si="23"/>
        <v>#DIV/0!</v>
      </c>
      <c r="V98" s="13">
        <v>0</v>
      </c>
      <c r="W98" s="13">
        <v>4.5999999999999996</v>
      </c>
      <c r="X98" s="13">
        <v>3.6</v>
      </c>
      <c r="Y98" s="13">
        <v>1</v>
      </c>
      <c r="Z98" s="13">
        <v>0.6</v>
      </c>
      <c r="AA98" s="13">
        <v>0.4</v>
      </c>
      <c r="AB98" s="13">
        <v>0.6</v>
      </c>
      <c r="AC98" s="13">
        <v>2.6</v>
      </c>
      <c r="AD98" s="13">
        <v>1.8</v>
      </c>
      <c r="AE98" s="13">
        <v>0.4</v>
      </c>
      <c r="AF98" s="13" t="s">
        <v>149</v>
      </c>
      <c r="AG98" s="13">
        <f t="shared" si="28"/>
        <v>0</v>
      </c>
      <c r="AH98" s="13"/>
      <c r="AI98" s="13"/>
      <c r="AJ98" s="13"/>
      <c r="AK98" s="13"/>
      <c r="AL98" s="13"/>
      <c r="AM98" s="13"/>
      <c r="AN98" s="13"/>
      <c r="AO98" s="13"/>
      <c r="AP98" s="13"/>
      <c r="AQ98" s="13"/>
      <c r="AR98" s="13"/>
      <c r="AS98" s="13"/>
      <c r="AT98" s="13"/>
      <c r="AU98" s="13"/>
      <c r="AV98" s="13"/>
      <c r="AW98" s="13"/>
    </row>
    <row r="99" spans="1:49" hidden="1" x14ac:dyDescent="0.25">
      <c r="A99" s="13" t="s">
        <v>150</v>
      </c>
      <c r="B99" s="13" t="s">
        <v>36</v>
      </c>
      <c r="C99" s="13">
        <v>78.790999999999997</v>
      </c>
      <c r="D99" s="13">
        <v>2.5329999999999999</v>
      </c>
      <c r="E99" s="13">
        <v>58.665999999999997</v>
      </c>
      <c r="F99" s="13">
        <v>20.125</v>
      </c>
      <c r="G99" s="13"/>
      <c r="H99" s="6">
        <v>1</v>
      </c>
      <c r="I99" s="13">
        <v>45</v>
      </c>
      <c r="J99" s="13" t="s">
        <v>41</v>
      </c>
      <c r="K99" s="13"/>
      <c r="L99" s="13">
        <v>53.564999999999998</v>
      </c>
      <c r="M99" s="13">
        <f t="shared" si="20"/>
        <v>5.1009999999999991</v>
      </c>
      <c r="N99" s="13"/>
      <c r="O99" s="13"/>
      <c r="P99" s="13">
        <v>0</v>
      </c>
      <c r="Q99" s="13">
        <v>0</v>
      </c>
      <c r="R99" s="13">
        <f t="shared" si="21"/>
        <v>11.7332</v>
      </c>
      <c r="S99" s="4">
        <f>10*R99-Q99-P99-F99</f>
        <v>97.206999999999994</v>
      </c>
      <c r="T99" s="13">
        <f t="shared" si="22"/>
        <v>10</v>
      </c>
      <c r="U99" s="13">
        <f t="shared" si="23"/>
        <v>1.7152183547540314</v>
      </c>
      <c r="V99" s="13">
        <v>0.34699999999999998</v>
      </c>
      <c r="W99" s="13">
        <v>0.50080000000000002</v>
      </c>
      <c r="X99" s="13">
        <v>0</v>
      </c>
      <c r="Y99" s="13">
        <v>0</v>
      </c>
      <c r="Z99" s="13">
        <v>0</v>
      </c>
      <c r="AA99" s="13">
        <v>0</v>
      </c>
      <c r="AB99" s="13">
        <v>0</v>
      </c>
      <c r="AC99" s="13">
        <v>0</v>
      </c>
      <c r="AD99" s="13">
        <v>0</v>
      </c>
      <c r="AE99" s="13">
        <v>0</v>
      </c>
      <c r="AF99" s="13" t="s">
        <v>151</v>
      </c>
      <c r="AG99" s="13">
        <f t="shared" si="28"/>
        <v>97.206999999999994</v>
      </c>
      <c r="AH99" s="13"/>
      <c r="AI99" s="13"/>
      <c r="AJ99" s="13"/>
      <c r="AK99" s="13"/>
      <c r="AL99" s="13"/>
      <c r="AM99" s="13"/>
      <c r="AN99" s="13"/>
      <c r="AO99" s="13"/>
      <c r="AP99" s="13"/>
      <c r="AQ99" s="13"/>
      <c r="AR99" s="13"/>
      <c r="AS99" s="13"/>
      <c r="AT99" s="13"/>
      <c r="AU99" s="13"/>
      <c r="AV99" s="13"/>
      <c r="AW99" s="13"/>
    </row>
    <row r="100" spans="1:49" hidden="1" x14ac:dyDescent="0.25">
      <c r="A100" s="13" t="s">
        <v>152</v>
      </c>
      <c r="B100" s="13" t="s">
        <v>36</v>
      </c>
      <c r="C100" s="13">
        <v>32.887</v>
      </c>
      <c r="D100" s="13"/>
      <c r="E100" s="13">
        <v>32.963999999999999</v>
      </c>
      <c r="F100" s="13">
        <v>-7.6999999999999999E-2</v>
      </c>
      <c r="G100" s="13"/>
      <c r="H100" s="6">
        <v>1</v>
      </c>
      <c r="I100" s="13">
        <v>45</v>
      </c>
      <c r="J100" s="13" t="s">
        <v>41</v>
      </c>
      <c r="K100" s="13"/>
      <c r="L100" s="13">
        <v>58.04</v>
      </c>
      <c r="M100" s="13">
        <f t="shared" si="20"/>
        <v>-25.076000000000001</v>
      </c>
      <c r="N100" s="13"/>
      <c r="O100" s="13"/>
      <c r="P100" s="13">
        <v>0</v>
      </c>
      <c r="Q100" s="13">
        <v>81</v>
      </c>
      <c r="R100" s="13">
        <f t="shared" si="21"/>
        <v>6.5927999999999995</v>
      </c>
      <c r="S100" s="4">
        <f t="shared" si="27"/>
        <v>24.561799999999995</v>
      </c>
      <c r="T100" s="13">
        <f t="shared" si="22"/>
        <v>16</v>
      </c>
      <c r="U100" s="13">
        <f t="shared" si="23"/>
        <v>12.274450916150954</v>
      </c>
      <c r="V100" s="13">
        <v>12.7</v>
      </c>
      <c r="W100" s="13">
        <v>5.0625999999999998</v>
      </c>
      <c r="X100" s="13">
        <v>0.50580000000000003</v>
      </c>
      <c r="Y100" s="13">
        <v>9.2891999999999992</v>
      </c>
      <c r="Z100" s="13">
        <v>4.9366000000000003</v>
      </c>
      <c r="AA100" s="13">
        <v>0.85839999999999994</v>
      </c>
      <c r="AB100" s="13">
        <v>15.9528</v>
      </c>
      <c r="AC100" s="13">
        <v>3.9323999999999999</v>
      </c>
      <c r="AD100" s="13">
        <v>2.3767999999999998</v>
      </c>
      <c r="AE100" s="13">
        <v>0.50239999999999996</v>
      </c>
      <c r="AF100" s="13"/>
      <c r="AG100" s="13">
        <f t="shared" si="28"/>
        <v>24.561799999999995</v>
      </c>
      <c r="AH100" s="13"/>
      <c r="AI100" s="13"/>
      <c r="AJ100" s="13"/>
      <c r="AK100" s="13"/>
      <c r="AL100" s="13"/>
      <c r="AM100" s="13"/>
      <c r="AN100" s="13"/>
      <c r="AO100" s="13"/>
      <c r="AP100" s="13"/>
      <c r="AQ100" s="13"/>
      <c r="AR100" s="13"/>
      <c r="AS100" s="13"/>
      <c r="AT100" s="13"/>
      <c r="AU100" s="13"/>
      <c r="AV100" s="13"/>
      <c r="AW100" s="13"/>
    </row>
    <row r="101" spans="1:49" x14ac:dyDescent="0.25">
      <c r="A101" s="8" t="s">
        <v>153</v>
      </c>
      <c r="B101" s="8" t="s">
        <v>40</v>
      </c>
      <c r="C101" s="8">
        <v>160</v>
      </c>
      <c r="D101" s="8"/>
      <c r="E101" s="8"/>
      <c r="F101" s="8">
        <v>160</v>
      </c>
      <c r="G101" s="13">
        <f t="shared" ref="G101:G103" si="29">F101*H101</f>
        <v>42.24</v>
      </c>
      <c r="H101" s="9">
        <v>0.26400000000000001</v>
      </c>
      <c r="I101" s="8"/>
      <c r="J101" s="8" t="s">
        <v>37</v>
      </c>
      <c r="K101" s="8"/>
      <c r="L101" s="8">
        <v>6</v>
      </c>
      <c r="M101" s="8">
        <f t="shared" si="20"/>
        <v>-6</v>
      </c>
      <c r="N101" s="8"/>
      <c r="O101" s="8"/>
      <c r="P101" s="8">
        <v>0</v>
      </c>
      <c r="Q101" s="8">
        <v>0</v>
      </c>
      <c r="R101" s="8">
        <f t="shared" si="21"/>
        <v>0</v>
      </c>
      <c r="S101" s="10"/>
      <c r="T101" s="8" t="e">
        <f t="shared" si="22"/>
        <v>#DIV/0!</v>
      </c>
      <c r="U101" s="8" t="e">
        <f t="shared" si="23"/>
        <v>#DIV/0!</v>
      </c>
      <c r="V101" s="8">
        <v>4.4000000000000004</v>
      </c>
      <c r="W101" s="8">
        <v>2.2000000000000002</v>
      </c>
      <c r="X101" s="8">
        <v>1</v>
      </c>
      <c r="Y101" s="8">
        <v>0</v>
      </c>
      <c r="Z101" s="8">
        <v>0</v>
      </c>
      <c r="AA101" s="8">
        <v>0</v>
      </c>
      <c r="AB101" s="8">
        <v>0</v>
      </c>
      <c r="AC101" s="8">
        <v>0</v>
      </c>
      <c r="AD101" s="8">
        <v>0</v>
      </c>
      <c r="AE101" s="8">
        <v>0</v>
      </c>
      <c r="AF101" s="12" t="s">
        <v>154</v>
      </c>
      <c r="AG101" s="8"/>
      <c r="AH101" s="13"/>
      <c r="AI101" s="13"/>
      <c r="AJ101" s="13"/>
      <c r="AK101" s="13"/>
      <c r="AL101" s="13"/>
      <c r="AM101" s="13"/>
      <c r="AN101" s="13"/>
      <c r="AO101" s="13"/>
      <c r="AP101" s="13"/>
      <c r="AQ101" s="13"/>
      <c r="AR101" s="13"/>
      <c r="AS101" s="13"/>
      <c r="AT101" s="13"/>
      <c r="AU101" s="13"/>
      <c r="AV101" s="13"/>
      <c r="AW101" s="13"/>
    </row>
    <row r="102" spans="1:49" x14ac:dyDescent="0.25">
      <c r="A102" s="13" t="s">
        <v>155</v>
      </c>
      <c r="B102" s="13" t="s">
        <v>40</v>
      </c>
      <c r="C102" s="13">
        <v>28</v>
      </c>
      <c r="D102" s="13"/>
      <c r="E102" s="13"/>
      <c r="F102" s="13">
        <v>28</v>
      </c>
      <c r="G102" s="13">
        <f t="shared" si="29"/>
        <v>9.24</v>
      </c>
      <c r="H102" s="6">
        <v>0.33</v>
      </c>
      <c r="I102" s="13">
        <v>45</v>
      </c>
      <c r="J102" s="13" t="s">
        <v>41</v>
      </c>
      <c r="K102" s="13"/>
      <c r="L102" s="13">
        <v>362</v>
      </c>
      <c r="M102" s="13">
        <f t="shared" ref="M102:M110" si="30">E102-L102</f>
        <v>-362</v>
      </c>
      <c r="N102" s="13"/>
      <c r="O102" s="13"/>
      <c r="P102" s="13">
        <v>156</v>
      </c>
      <c r="Q102" s="13">
        <v>0</v>
      </c>
      <c r="R102" s="13">
        <f t="shared" ref="R102:R110" si="31">E102/5</f>
        <v>0</v>
      </c>
      <c r="S102" s="4"/>
      <c r="T102" s="13" t="e">
        <f t="shared" ref="T102:T110" si="32">(F102+P102+Q102+S102)/R102</f>
        <v>#DIV/0!</v>
      </c>
      <c r="U102" s="13" t="e">
        <f t="shared" ref="U102:U110" si="33">(F102+P102+Q102)/R102</f>
        <v>#DIV/0!</v>
      </c>
      <c r="V102" s="13">
        <v>-2.2000000000000002</v>
      </c>
      <c r="W102" s="13">
        <v>23</v>
      </c>
      <c r="X102" s="13">
        <v>25.8</v>
      </c>
      <c r="Y102" s="13">
        <v>35.200000000000003</v>
      </c>
      <c r="Z102" s="13">
        <v>18.8</v>
      </c>
      <c r="AA102" s="13">
        <v>4.8</v>
      </c>
      <c r="AB102" s="13">
        <v>21.6</v>
      </c>
      <c r="AC102" s="13">
        <v>23.6</v>
      </c>
      <c r="AD102" s="13">
        <v>18</v>
      </c>
      <c r="AE102" s="13">
        <v>0.2</v>
      </c>
      <c r="AF102" s="11" t="s">
        <v>170</v>
      </c>
      <c r="AG102" s="13">
        <f t="shared" ref="AG102:AG118" si="34">H102*S102</f>
        <v>0</v>
      </c>
      <c r="AH102" s="13"/>
      <c r="AI102" s="13"/>
      <c r="AJ102" s="13"/>
      <c r="AK102" s="13"/>
      <c r="AL102" s="13"/>
      <c r="AM102" s="13"/>
      <c r="AN102" s="13"/>
      <c r="AO102" s="13"/>
      <c r="AP102" s="13"/>
      <c r="AQ102" s="13"/>
      <c r="AR102" s="13"/>
      <c r="AS102" s="13"/>
      <c r="AT102" s="13"/>
      <c r="AU102" s="13"/>
      <c r="AV102" s="13"/>
      <c r="AW102" s="13"/>
    </row>
    <row r="103" spans="1:49" x14ac:dyDescent="0.25">
      <c r="A103" s="29" t="s">
        <v>156</v>
      </c>
      <c r="B103" s="8" t="s">
        <v>40</v>
      </c>
      <c r="C103" s="8">
        <v>46</v>
      </c>
      <c r="D103" s="8"/>
      <c r="E103" s="8"/>
      <c r="F103" s="8">
        <v>46</v>
      </c>
      <c r="G103" s="13">
        <f t="shared" si="29"/>
        <v>4.6000000000000005</v>
      </c>
      <c r="H103" s="9">
        <v>0.1</v>
      </c>
      <c r="I103" s="8">
        <v>45</v>
      </c>
      <c r="J103" s="8" t="s">
        <v>172</v>
      </c>
      <c r="K103" s="8"/>
      <c r="L103" s="8">
        <v>11</v>
      </c>
      <c r="M103" s="8">
        <f t="shared" si="30"/>
        <v>-11</v>
      </c>
      <c r="N103" s="8"/>
      <c r="O103" s="8"/>
      <c r="P103" s="8">
        <v>0</v>
      </c>
      <c r="Q103" s="8">
        <v>0</v>
      </c>
      <c r="R103" s="8">
        <f t="shared" si="31"/>
        <v>0</v>
      </c>
      <c r="S103" s="10"/>
      <c r="T103" s="8" t="e">
        <f t="shared" si="32"/>
        <v>#DIV/0!</v>
      </c>
      <c r="U103" s="8" t="e">
        <f t="shared" si="33"/>
        <v>#DIV/0!</v>
      </c>
      <c r="V103" s="8">
        <v>2.4</v>
      </c>
      <c r="W103" s="8">
        <v>0.8</v>
      </c>
      <c r="X103" s="8">
        <v>0.6</v>
      </c>
      <c r="Y103" s="8">
        <v>0.4</v>
      </c>
      <c r="Z103" s="8">
        <v>4.2</v>
      </c>
      <c r="AA103" s="8">
        <v>3.4</v>
      </c>
      <c r="AB103" s="8">
        <v>0</v>
      </c>
      <c r="AC103" s="8">
        <v>0</v>
      </c>
      <c r="AD103" s="8">
        <v>0</v>
      </c>
      <c r="AE103" s="8">
        <v>0</v>
      </c>
      <c r="AF103" s="11" t="s">
        <v>171</v>
      </c>
      <c r="AG103" s="8"/>
      <c r="AH103" s="13"/>
      <c r="AI103" s="13"/>
      <c r="AJ103" s="13"/>
      <c r="AK103" s="13"/>
      <c r="AL103" s="13"/>
      <c r="AM103" s="13"/>
      <c r="AN103" s="13"/>
      <c r="AO103" s="13"/>
      <c r="AP103" s="13"/>
      <c r="AQ103" s="13"/>
      <c r="AR103" s="13"/>
      <c r="AS103" s="13"/>
      <c r="AT103" s="13"/>
      <c r="AU103" s="13"/>
      <c r="AV103" s="13"/>
      <c r="AW103" s="13"/>
    </row>
    <row r="104" spans="1:49" hidden="1" x14ac:dyDescent="0.25">
      <c r="A104" s="29" t="s">
        <v>157</v>
      </c>
      <c r="B104" s="8" t="s">
        <v>40</v>
      </c>
      <c r="C104" s="8">
        <v>21</v>
      </c>
      <c r="D104" s="8"/>
      <c r="E104" s="8">
        <v>17</v>
      </c>
      <c r="F104" s="8">
        <v>-1</v>
      </c>
      <c r="G104" s="8"/>
      <c r="H104" s="9">
        <v>0</v>
      </c>
      <c r="I104" s="8">
        <v>60</v>
      </c>
      <c r="J104" s="8" t="s">
        <v>172</v>
      </c>
      <c r="K104" s="8"/>
      <c r="L104" s="8">
        <v>135</v>
      </c>
      <c r="M104" s="8">
        <f t="shared" si="30"/>
        <v>-118</v>
      </c>
      <c r="N104" s="8"/>
      <c r="O104" s="8"/>
      <c r="P104" s="8">
        <v>0</v>
      </c>
      <c r="Q104" s="8">
        <v>59</v>
      </c>
      <c r="R104" s="8">
        <f t="shared" si="31"/>
        <v>3.4</v>
      </c>
      <c r="S104" s="10"/>
      <c r="T104" s="8">
        <f t="shared" si="32"/>
        <v>17.058823529411764</v>
      </c>
      <c r="U104" s="8">
        <f t="shared" si="33"/>
        <v>17.058823529411764</v>
      </c>
      <c r="V104" s="8">
        <v>10</v>
      </c>
      <c r="W104" s="8">
        <v>1</v>
      </c>
      <c r="X104" s="8">
        <v>0</v>
      </c>
      <c r="Y104" s="8">
        <v>0.4</v>
      </c>
      <c r="Z104" s="8">
        <v>5.8</v>
      </c>
      <c r="AA104" s="8">
        <v>0.6</v>
      </c>
      <c r="AB104" s="8">
        <v>0</v>
      </c>
      <c r="AC104" s="8">
        <v>0</v>
      </c>
      <c r="AD104" s="8">
        <v>0</v>
      </c>
      <c r="AE104" s="8">
        <v>0</v>
      </c>
      <c r="AF104" s="8" t="s">
        <v>158</v>
      </c>
      <c r="AG104" s="8"/>
      <c r="AH104" s="13"/>
      <c r="AI104" s="13"/>
      <c r="AJ104" s="13"/>
      <c r="AK104" s="13"/>
      <c r="AL104" s="13"/>
      <c r="AM104" s="13"/>
      <c r="AN104" s="13"/>
      <c r="AO104" s="13"/>
      <c r="AP104" s="13"/>
      <c r="AQ104" s="13"/>
      <c r="AR104" s="13"/>
      <c r="AS104" s="13"/>
      <c r="AT104" s="13"/>
      <c r="AU104" s="13"/>
      <c r="AV104" s="13"/>
      <c r="AW104" s="13"/>
    </row>
    <row r="105" spans="1:49" hidden="1" x14ac:dyDescent="0.25">
      <c r="A105" s="13" t="s">
        <v>79</v>
      </c>
      <c r="B105" s="13" t="s">
        <v>40</v>
      </c>
      <c r="C105" s="13">
        <v>199</v>
      </c>
      <c r="D105" s="13">
        <v>15</v>
      </c>
      <c r="E105" s="13">
        <v>129</v>
      </c>
      <c r="F105" s="14">
        <f>83+F37</f>
        <v>68</v>
      </c>
      <c r="G105" s="14"/>
      <c r="H105" s="6">
        <v>0.1</v>
      </c>
      <c r="I105" s="13">
        <v>60</v>
      </c>
      <c r="J105" s="13" t="s">
        <v>41</v>
      </c>
      <c r="K105" s="13"/>
      <c r="L105" s="13">
        <v>261</v>
      </c>
      <c r="M105" s="13">
        <f t="shared" si="30"/>
        <v>-132</v>
      </c>
      <c r="N105" s="13"/>
      <c r="O105" s="13"/>
      <c r="P105" s="13">
        <v>0</v>
      </c>
      <c r="Q105" s="13">
        <v>260</v>
      </c>
      <c r="R105" s="13">
        <f t="shared" si="31"/>
        <v>25.8</v>
      </c>
      <c r="S105" s="4">
        <f t="shared" ref="S105:S106" si="35">16*R105-Q105-P105-F105</f>
        <v>84.800000000000011</v>
      </c>
      <c r="T105" s="13">
        <f t="shared" si="32"/>
        <v>16</v>
      </c>
      <c r="U105" s="13">
        <f t="shared" si="33"/>
        <v>12.713178294573643</v>
      </c>
      <c r="V105" s="13">
        <v>40.4</v>
      </c>
      <c r="W105" s="13">
        <v>27</v>
      </c>
      <c r="X105" s="13">
        <v>16.2</v>
      </c>
      <c r="Y105" s="13">
        <v>1.4</v>
      </c>
      <c r="Z105" s="13">
        <v>17</v>
      </c>
      <c r="AA105" s="13">
        <v>24.6</v>
      </c>
      <c r="AB105" s="13">
        <v>0</v>
      </c>
      <c r="AC105" s="13">
        <v>0</v>
      </c>
      <c r="AD105" s="13">
        <v>0</v>
      </c>
      <c r="AE105" s="13">
        <v>0</v>
      </c>
      <c r="AF105" s="13" t="s">
        <v>159</v>
      </c>
      <c r="AG105" s="13">
        <f t="shared" si="34"/>
        <v>8.4800000000000022</v>
      </c>
      <c r="AH105" s="13"/>
      <c r="AI105" s="13"/>
      <c r="AJ105" s="13"/>
      <c r="AK105" s="13"/>
      <c r="AL105" s="13"/>
      <c r="AM105" s="13"/>
      <c r="AN105" s="13"/>
      <c r="AO105" s="13"/>
      <c r="AP105" s="13"/>
      <c r="AQ105" s="13"/>
      <c r="AR105" s="13"/>
      <c r="AS105" s="13"/>
      <c r="AT105" s="13"/>
      <c r="AU105" s="13"/>
      <c r="AV105" s="13"/>
      <c r="AW105" s="13"/>
    </row>
    <row r="106" spans="1:49" hidden="1" x14ac:dyDescent="0.25">
      <c r="A106" s="13" t="s">
        <v>76</v>
      </c>
      <c r="B106" s="13" t="s">
        <v>40</v>
      </c>
      <c r="C106" s="13">
        <v>145</v>
      </c>
      <c r="D106" s="13">
        <v>5</v>
      </c>
      <c r="E106" s="13">
        <v>146</v>
      </c>
      <c r="F106" s="14">
        <f>3+F36</f>
        <v>5</v>
      </c>
      <c r="G106" s="14"/>
      <c r="H106" s="6">
        <v>0.1</v>
      </c>
      <c r="I106" s="13">
        <v>60</v>
      </c>
      <c r="J106" s="13" t="s">
        <v>41</v>
      </c>
      <c r="K106" s="13"/>
      <c r="L106" s="13">
        <v>282</v>
      </c>
      <c r="M106" s="13">
        <f t="shared" si="30"/>
        <v>-136</v>
      </c>
      <c r="N106" s="13"/>
      <c r="O106" s="13"/>
      <c r="P106" s="13">
        <v>0</v>
      </c>
      <c r="Q106" s="13">
        <v>312</v>
      </c>
      <c r="R106" s="13">
        <f t="shared" si="31"/>
        <v>29.2</v>
      </c>
      <c r="S106" s="4">
        <f t="shared" si="35"/>
        <v>150.19999999999999</v>
      </c>
      <c r="T106" s="13">
        <f t="shared" si="32"/>
        <v>16</v>
      </c>
      <c r="U106" s="13">
        <f t="shared" si="33"/>
        <v>10.856164383561644</v>
      </c>
      <c r="V106" s="13">
        <v>51</v>
      </c>
      <c r="W106" s="13">
        <v>2.2000000000000002</v>
      </c>
      <c r="X106" s="13">
        <v>20.399999999999999</v>
      </c>
      <c r="Y106" s="13">
        <v>38.799999999999997</v>
      </c>
      <c r="Z106" s="13">
        <v>20</v>
      </c>
      <c r="AA106" s="13">
        <v>-0.4</v>
      </c>
      <c r="AB106" s="13">
        <v>0</v>
      </c>
      <c r="AC106" s="13">
        <v>0</v>
      </c>
      <c r="AD106" s="13">
        <v>0</v>
      </c>
      <c r="AE106" s="13">
        <v>0</v>
      </c>
      <c r="AF106" s="13" t="s">
        <v>160</v>
      </c>
      <c r="AG106" s="13">
        <f t="shared" si="34"/>
        <v>15.02</v>
      </c>
      <c r="AH106" s="13"/>
      <c r="AI106" s="13"/>
      <c r="AJ106" s="13"/>
      <c r="AK106" s="13"/>
      <c r="AL106" s="13"/>
      <c r="AM106" s="13"/>
      <c r="AN106" s="13"/>
      <c r="AO106" s="13"/>
      <c r="AP106" s="13"/>
      <c r="AQ106" s="13"/>
      <c r="AR106" s="13"/>
      <c r="AS106" s="13"/>
      <c r="AT106" s="13"/>
      <c r="AU106" s="13"/>
      <c r="AV106" s="13"/>
      <c r="AW106" s="13"/>
    </row>
    <row r="107" spans="1:49" hidden="1" x14ac:dyDescent="0.25">
      <c r="A107" s="13" t="s">
        <v>161</v>
      </c>
      <c r="B107" s="13" t="s">
        <v>40</v>
      </c>
      <c r="C107" s="13">
        <v>51</v>
      </c>
      <c r="D107" s="13">
        <v>1</v>
      </c>
      <c r="E107" s="13">
        <v>65</v>
      </c>
      <c r="F107" s="13">
        <v>-13</v>
      </c>
      <c r="G107" s="13"/>
      <c r="H107" s="6">
        <v>0.4</v>
      </c>
      <c r="I107" s="13">
        <v>60</v>
      </c>
      <c r="J107" s="13" t="s">
        <v>41</v>
      </c>
      <c r="K107" s="13"/>
      <c r="L107" s="13">
        <v>418</v>
      </c>
      <c r="M107" s="13">
        <f t="shared" si="30"/>
        <v>-353</v>
      </c>
      <c r="N107" s="13"/>
      <c r="O107" s="13"/>
      <c r="P107" s="13">
        <v>781</v>
      </c>
      <c r="Q107" s="13">
        <v>291</v>
      </c>
      <c r="R107" s="13">
        <f t="shared" si="31"/>
        <v>13</v>
      </c>
      <c r="S107" s="4"/>
      <c r="T107" s="13">
        <f t="shared" si="32"/>
        <v>81.461538461538467</v>
      </c>
      <c r="U107" s="13">
        <f t="shared" si="33"/>
        <v>81.461538461538467</v>
      </c>
      <c r="V107" s="13">
        <v>80.2</v>
      </c>
      <c r="W107" s="13">
        <v>93.8</v>
      </c>
      <c r="X107" s="13">
        <v>30.4</v>
      </c>
      <c r="Y107" s="13">
        <v>47.8</v>
      </c>
      <c r="Z107" s="13">
        <v>65.8</v>
      </c>
      <c r="AA107" s="13">
        <v>42</v>
      </c>
      <c r="AB107" s="13">
        <v>44.4</v>
      </c>
      <c r="AC107" s="13">
        <v>0</v>
      </c>
      <c r="AD107" s="13">
        <v>0</v>
      </c>
      <c r="AE107" s="13">
        <v>0</v>
      </c>
      <c r="AF107" s="13" t="s">
        <v>162</v>
      </c>
      <c r="AG107" s="13">
        <f t="shared" si="34"/>
        <v>0</v>
      </c>
      <c r="AH107" s="13"/>
      <c r="AI107" s="13"/>
      <c r="AJ107" s="13"/>
      <c r="AK107" s="13"/>
      <c r="AL107" s="13"/>
      <c r="AM107" s="13"/>
      <c r="AN107" s="13"/>
      <c r="AO107" s="13"/>
      <c r="AP107" s="13"/>
      <c r="AQ107" s="13"/>
      <c r="AR107" s="13"/>
      <c r="AS107" s="13"/>
      <c r="AT107" s="13"/>
      <c r="AU107" s="13"/>
      <c r="AV107" s="13"/>
      <c r="AW107" s="13"/>
    </row>
    <row r="108" spans="1:49" hidden="1" x14ac:dyDescent="0.25">
      <c r="A108" s="13" t="s">
        <v>163</v>
      </c>
      <c r="B108" s="13" t="s">
        <v>40</v>
      </c>
      <c r="C108" s="13">
        <v>135</v>
      </c>
      <c r="D108" s="13">
        <v>3</v>
      </c>
      <c r="E108" s="13">
        <v>115</v>
      </c>
      <c r="F108" s="13">
        <v>20</v>
      </c>
      <c r="G108" s="13"/>
      <c r="H108" s="6">
        <v>0.1</v>
      </c>
      <c r="I108" s="13"/>
      <c r="J108" s="13" t="s">
        <v>41</v>
      </c>
      <c r="K108" s="13"/>
      <c r="L108" s="13">
        <v>123</v>
      </c>
      <c r="M108" s="13">
        <f t="shared" si="30"/>
        <v>-8</v>
      </c>
      <c r="N108" s="13"/>
      <c r="O108" s="13"/>
      <c r="P108" s="13">
        <v>0</v>
      </c>
      <c r="Q108" s="13">
        <v>0</v>
      </c>
      <c r="R108" s="13">
        <f t="shared" si="31"/>
        <v>23</v>
      </c>
      <c r="S108" s="4">
        <f>9*R108-Q108-P108-F108</f>
        <v>187</v>
      </c>
      <c r="T108" s="13">
        <f t="shared" si="32"/>
        <v>9</v>
      </c>
      <c r="U108" s="13">
        <f t="shared" si="33"/>
        <v>0.86956521739130432</v>
      </c>
      <c r="V108" s="13">
        <v>4.8</v>
      </c>
      <c r="W108" s="13">
        <v>1.6</v>
      </c>
      <c r="X108" s="13">
        <v>16</v>
      </c>
      <c r="Y108" s="13">
        <v>1.8</v>
      </c>
      <c r="Z108" s="13">
        <v>0</v>
      </c>
      <c r="AA108" s="13">
        <v>0</v>
      </c>
      <c r="AB108" s="13">
        <v>0</v>
      </c>
      <c r="AC108" s="13">
        <v>0</v>
      </c>
      <c r="AD108" s="13">
        <v>0</v>
      </c>
      <c r="AE108" s="13">
        <v>0</v>
      </c>
      <c r="AF108" s="13" t="s">
        <v>112</v>
      </c>
      <c r="AG108" s="13">
        <f t="shared" si="34"/>
        <v>18.7</v>
      </c>
      <c r="AH108" s="13"/>
      <c r="AI108" s="13"/>
      <c r="AJ108" s="13"/>
      <c r="AK108" s="13"/>
      <c r="AL108" s="13"/>
      <c r="AM108" s="13"/>
      <c r="AN108" s="13"/>
      <c r="AO108" s="13"/>
      <c r="AP108" s="13"/>
      <c r="AQ108" s="13"/>
      <c r="AR108" s="13"/>
      <c r="AS108" s="13"/>
      <c r="AT108" s="13"/>
      <c r="AU108" s="13"/>
      <c r="AV108" s="13"/>
      <c r="AW108" s="13"/>
    </row>
    <row r="109" spans="1:49" hidden="1" x14ac:dyDescent="0.25">
      <c r="A109" s="13" t="s">
        <v>164</v>
      </c>
      <c r="B109" s="13" t="s">
        <v>40</v>
      </c>
      <c r="C109" s="13">
        <v>134</v>
      </c>
      <c r="D109" s="13">
        <v>2</v>
      </c>
      <c r="E109" s="13">
        <v>114</v>
      </c>
      <c r="F109" s="13">
        <v>21</v>
      </c>
      <c r="G109" s="13"/>
      <c r="H109" s="6">
        <v>0.1</v>
      </c>
      <c r="I109" s="13"/>
      <c r="J109" s="13" t="s">
        <v>41</v>
      </c>
      <c r="K109" s="13"/>
      <c r="L109" s="13">
        <v>120</v>
      </c>
      <c r="M109" s="13">
        <f t="shared" si="30"/>
        <v>-6</v>
      </c>
      <c r="N109" s="13"/>
      <c r="O109" s="13"/>
      <c r="P109" s="13">
        <v>0</v>
      </c>
      <c r="Q109" s="13">
        <v>0</v>
      </c>
      <c r="R109" s="13">
        <f t="shared" si="31"/>
        <v>22.8</v>
      </c>
      <c r="S109" s="4">
        <f>9*R109-Q109-P109-F109</f>
        <v>184.20000000000002</v>
      </c>
      <c r="T109" s="13">
        <f t="shared" si="32"/>
        <v>9</v>
      </c>
      <c r="U109" s="13">
        <f t="shared" si="33"/>
        <v>0.92105263157894735</v>
      </c>
      <c r="V109" s="13">
        <v>5.4</v>
      </c>
      <c r="W109" s="13">
        <v>1.6</v>
      </c>
      <c r="X109" s="13">
        <v>16</v>
      </c>
      <c r="Y109" s="13">
        <v>1.6</v>
      </c>
      <c r="Z109" s="13">
        <v>0</v>
      </c>
      <c r="AA109" s="13">
        <v>0</v>
      </c>
      <c r="AB109" s="13">
        <v>0</v>
      </c>
      <c r="AC109" s="13">
        <v>0</v>
      </c>
      <c r="AD109" s="13">
        <v>0</v>
      </c>
      <c r="AE109" s="13">
        <v>0</v>
      </c>
      <c r="AF109" s="13" t="s">
        <v>112</v>
      </c>
      <c r="AG109" s="13">
        <f t="shared" si="34"/>
        <v>18.420000000000002</v>
      </c>
      <c r="AH109" s="13"/>
      <c r="AI109" s="13"/>
      <c r="AJ109" s="13"/>
      <c r="AK109" s="13"/>
      <c r="AL109" s="13"/>
      <c r="AM109" s="13"/>
      <c r="AN109" s="13"/>
      <c r="AO109" s="13"/>
      <c r="AP109" s="13"/>
      <c r="AQ109" s="13"/>
      <c r="AR109" s="13"/>
      <c r="AS109" s="13"/>
      <c r="AT109" s="13"/>
      <c r="AU109" s="13"/>
      <c r="AV109" s="13"/>
      <c r="AW109" s="13"/>
    </row>
    <row r="110" spans="1:49" hidden="1" x14ac:dyDescent="0.25">
      <c r="A110" s="8" t="s">
        <v>165</v>
      </c>
      <c r="B110" s="8" t="s">
        <v>36</v>
      </c>
      <c r="C110" s="8"/>
      <c r="D110" s="8"/>
      <c r="E110" s="8"/>
      <c r="F110" s="8"/>
      <c r="G110" s="8"/>
      <c r="H110" s="9">
        <v>0</v>
      </c>
      <c r="I110" s="8"/>
      <c r="J110" s="8" t="s">
        <v>41</v>
      </c>
      <c r="K110" s="8"/>
      <c r="L110" s="8"/>
      <c r="M110" s="8">
        <f t="shared" si="30"/>
        <v>0</v>
      </c>
      <c r="N110" s="8"/>
      <c r="O110" s="8"/>
      <c r="P110" s="8">
        <v>0</v>
      </c>
      <c r="Q110" s="8">
        <v>0</v>
      </c>
      <c r="R110" s="8">
        <f t="shared" si="31"/>
        <v>0</v>
      </c>
      <c r="S110" s="10"/>
      <c r="T110" s="8" t="e">
        <f t="shared" si="32"/>
        <v>#DIV/0!</v>
      </c>
      <c r="U110" s="8" t="e">
        <f t="shared" si="33"/>
        <v>#DIV/0!</v>
      </c>
      <c r="V110" s="8">
        <v>0</v>
      </c>
      <c r="W110" s="8">
        <v>0</v>
      </c>
      <c r="X110" s="8">
        <v>0</v>
      </c>
      <c r="Y110" s="8">
        <v>0</v>
      </c>
      <c r="Z110" s="8">
        <v>0</v>
      </c>
      <c r="AA110" s="8">
        <v>0</v>
      </c>
      <c r="AB110" s="8">
        <v>0</v>
      </c>
      <c r="AC110" s="8">
        <v>0</v>
      </c>
      <c r="AD110" s="8">
        <v>0</v>
      </c>
      <c r="AE110" s="8">
        <v>0</v>
      </c>
      <c r="AF110" s="8" t="s">
        <v>105</v>
      </c>
      <c r="AG110" s="8"/>
      <c r="AH110" s="13"/>
      <c r="AI110" s="13"/>
      <c r="AJ110" s="13"/>
      <c r="AK110" s="13"/>
      <c r="AL110" s="13"/>
      <c r="AM110" s="13"/>
      <c r="AN110" s="13"/>
      <c r="AO110" s="13"/>
      <c r="AP110" s="13"/>
      <c r="AQ110" s="13"/>
      <c r="AR110" s="13"/>
      <c r="AS110" s="13"/>
      <c r="AT110" s="13"/>
      <c r="AU110" s="13"/>
      <c r="AV110" s="13"/>
      <c r="AW110" s="13"/>
    </row>
    <row r="111" spans="1:49" hidden="1" x14ac:dyDescent="0.25">
      <c r="A111" s="30" t="s">
        <v>189</v>
      </c>
      <c r="B111" s="30" t="s">
        <v>36</v>
      </c>
      <c r="C111" s="30"/>
      <c r="D111" s="30"/>
      <c r="E111" s="30"/>
      <c r="F111" s="30"/>
      <c r="G111" s="30"/>
      <c r="H111" s="31">
        <v>1</v>
      </c>
      <c r="I111" s="30">
        <v>30</v>
      </c>
      <c r="J111" s="30" t="s">
        <v>41</v>
      </c>
      <c r="K111" s="30"/>
      <c r="L111" s="30"/>
      <c r="M111" s="30"/>
      <c r="N111" s="30"/>
      <c r="O111" s="30"/>
      <c r="P111" s="30"/>
      <c r="Q111" s="30"/>
      <c r="R111" s="30">
        <f t="shared" ref="R111:R118" si="36">E111/5</f>
        <v>0</v>
      </c>
      <c r="S111" s="32">
        <v>10</v>
      </c>
      <c r="T111" s="30" t="e">
        <f t="shared" ref="T111:T118" si="37">(F111+P111+Q111+S111)/R111</f>
        <v>#DIV/0!</v>
      </c>
      <c r="U111" s="30" t="e">
        <f t="shared" ref="U111:U118" si="38">(F111+P111+Q111)/R111</f>
        <v>#DIV/0!</v>
      </c>
      <c r="V111" s="30">
        <v>0</v>
      </c>
      <c r="W111" s="30">
        <v>0</v>
      </c>
      <c r="X111" s="30">
        <v>0</v>
      </c>
      <c r="Y111" s="30">
        <v>0</v>
      </c>
      <c r="Z111" s="30">
        <v>0</v>
      </c>
      <c r="AA111" s="30">
        <v>0</v>
      </c>
      <c r="AB111" s="30">
        <v>0</v>
      </c>
      <c r="AC111" s="30">
        <v>0</v>
      </c>
      <c r="AD111" s="30">
        <v>0</v>
      </c>
      <c r="AE111" s="30">
        <v>0</v>
      </c>
      <c r="AF111" s="33" t="s">
        <v>112</v>
      </c>
      <c r="AG111" s="30">
        <f t="shared" si="34"/>
        <v>10</v>
      </c>
      <c r="AH111" s="13"/>
      <c r="AI111" s="13"/>
      <c r="AJ111" s="13"/>
      <c r="AK111" s="13"/>
      <c r="AL111" s="13"/>
      <c r="AM111" s="13"/>
      <c r="AN111" s="13"/>
      <c r="AO111" s="13"/>
      <c r="AP111" s="13"/>
      <c r="AQ111" s="13"/>
      <c r="AR111" s="13"/>
      <c r="AS111" s="13"/>
      <c r="AT111" s="13"/>
      <c r="AU111" s="13"/>
      <c r="AV111" s="13"/>
      <c r="AW111" s="13"/>
    </row>
    <row r="112" spans="1:49" hidden="1" x14ac:dyDescent="0.25">
      <c r="A112" s="30" t="s">
        <v>190</v>
      </c>
      <c r="B112" s="30" t="s">
        <v>36</v>
      </c>
      <c r="C112" s="30"/>
      <c r="D112" s="30"/>
      <c r="E112" s="30"/>
      <c r="F112" s="30"/>
      <c r="G112" s="30"/>
      <c r="H112" s="31">
        <v>1</v>
      </c>
      <c r="I112" s="30">
        <v>30</v>
      </c>
      <c r="J112" s="30" t="s">
        <v>41</v>
      </c>
      <c r="K112" s="30"/>
      <c r="L112" s="30"/>
      <c r="M112" s="30"/>
      <c r="N112" s="30"/>
      <c r="O112" s="30"/>
      <c r="P112" s="30"/>
      <c r="Q112" s="30"/>
      <c r="R112" s="30">
        <f t="shared" si="36"/>
        <v>0</v>
      </c>
      <c r="S112" s="32">
        <v>10</v>
      </c>
      <c r="T112" s="30" t="e">
        <f t="shared" si="37"/>
        <v>#DIV/0!</v>
      </c>
      <c r="U112" s="30" t="e">
        <f t="shared" si="38"/>
        <v>#DIV/0!</v>
      </c>
      <c r="V112" s="30">
        <v>0</v>
      </c>
      <c r="W112" s="30">
        <v>0</v>
      </c>
      <c r="X112" s="30">
        <v>0</v>
      </c>
      <c r="Y112" s="30">
        <v>0</v>
      </c>
      <c r="Z112" s="30">
        <v>0</v>
      </c>
      <c r="AA112" s="30">
        <v>0</v>
      </c>
      <c r="AB112" s="30">
        <v>0</v>
      </c>
      <c r="AC112" s="30">
        <v>0</v>
      </c>
      <c r="AD112" s="30">
        <v>0</v>
      </c>
      <c r="AE112" s="30">
        <v>0</v>
      </c>
      <c r="AF112" s="33" t="s">
        <v>112</v>
      </c>
      <c r="AG112" s="30">
        <f t="shared" si="34"/>
        <v>10</v>
      </c>
      <c r="AH112" s="13"/>
      <c r="AI112" s="13"/>
      <c r="AJ112" s="13"/>
      <c r="AK112" s="13"/>
      <c r="AL112" s="13"/>
      <c r="AM112" s="13"/>
      <c r="AN112" s="13"/>
      <c r="AO112" s="13"/>
      <c r="AP112" s="13"/>
      <c r="AQ112" s="13"/>
      <c r="AR112" s="13"/>
      <c r="AS112" s="13"/>
      <c r="AT112" s="13"/>
      <c r="AU112" s="13"/>
      <c r="AV112" s="13"/>
      <c r="AW112" s="13"/>
    </row>
    <row r="113" spans="1:49" hidden="1" x14ac:dyDescent="0.25">
      <c r="A113" s="30" t="s">
        <v>191</v>
      </c>
      <c r="B113" s="30" t="s">
        <v>36</v>
      </c>
      <c r="C113" s="30"/>
      <c r="D113" s="30"/>
      <c r="E113" s="30"/>
      <c r="F113" s="30"/>
      <c r="G113" s="30"/>
      <c r="H113" s="31">
        <v>1</v>
      </c>
      <c r="I113" s="30">
        <v>45</v>
      </c>
      <c r="J113" s="30" t="s">
        <v>41</v>
      </c>
      <c r="K113" s="30"/>
      <c r="L113" s="30"/>
      <c r="M113" s="30"/>
      <c r="N113" s="30"/>
      <c r="O113" s="30"/>
      <c r="P113" s="30"/>
      <c r="Q113" s="30"/>
      <c r="R113" s="30">
        <f t="shared" si="36"/>
        <v>0</v>
      </c>
      <c r="S113" s="32">
        <v>10</v>
      </c>
      <c r="T113" s="30" t="e">
        <f t="shared" si="37"/>
        <v>#DIV/0!</v>
      </c>
      <c r="U113" s="30" t="e">
        <f t="shared" si="38"/>
        <v>#DIV/0!</v>
      </c>
      <c r="V113" s="30">
        <v>0</v>
      </c>
      <c r="W113" s="30">
        <v>0</v>
      </c>
      <c r="X113" s="30">
        <v>0</v>
      </c>
      <c r="Y113" s="30">
        <v>0</v>
      </c>
      <c r="Z113" s="30">
        <v>0</v>
      </c>
      <c r="AA113" s="30">
        <v>0</v>
      </c>
      <c r="AB113" s="30">
        <v>0</v>
      </c>
      <c r="AC113" s="30">
        <v>0</v>
      </c>
      <c r="AD113" s="30">
        <v>0</v>
      </c>
      <c r="AE113" s="30">
        <v>0</v>
      </c>
      <c r="AF113" s="33" t="s">
        <v>112</v>
      </c>
      <c r="AG113" s="30">
        <f t="shared" si="34"/>
        <v>10</v>
      </c>
      <c r="AH113" s="13"/>
      <c r="AI113" s="13"/>
      <c r="AJ113" s="13"/>
      <c r="AK113" s="13"/>
      <c r="AL113" s="13"/>
      <c r="AM113" s="13"/>
      <c r="AN113" s="13"/>
      <c r="AO113" s="13"/>
      <c r="AP113" s="13"/>
      <c r="AQ113" s="13"/>
      <c r="AR113" s="13"/>
      <c r="AS113" s="13"/>
      <c r="AT113" s="13"/>
      <c r="AU113" s="13"/>
      <c r="AV113" s="13"/>
      <c r="AW113" s="13"/>
    </row>
    <row r="114" spans="1:49" hidden="1" x14ac:dyDescent="0.25">
      <c r="A114" s="30" t="s">
        <v>183</v>
      </c>
      <c r="B114" s="30" t="s">
        <v>40</v>
      </c>
      <c r="C114" s="30"/>
      <c r="D114" s="30"/>
      <c r="E114" s="30"/>
      <c r="F114" s="30"/>
      <c r="G114" s="30"/>
      <c r="H114" s="31">
        <v>0.22</v>
      </c>
      <c r="I114" s="30">
        <f>VLOOKUP(A114,новинки!D:F,3,0)</f>
        <v>120</v>
      </c>
      <c r="J114" s="30" t="s">
        <v>41</v>
      </c>
      <c r="K114" s="30"/>
      <c r="L114" s="30"/>
      <c r="M114" s="30"/>
      <c r="N114" s="30"/>
      <c r="O114" s="30"/>
      <c r="P114" s="30"/>
      <c r="Q114" s="30"/>
      <c r="R114" s="30">
        <f t="shared" si="36"/>
        <v>0</v>
      </c>
      <c r="S114" s="32">
        <v>40</v>
      </c>
      <c r="T114" s="30" t="e">
        <f t="shared" si="37"/>
        <v>#DIV/0!</v>
      </c>
      <c r="U114" s="30" t="e">
        <f t="shared" si="38"/>
        <v>#DIV/0!</v>
      </c>
      <c r="V114" s="30">
        <v>0</v>
      </c>
      <c r="W114" s="30">
        <v>0</v>
      </c>
      <c r="X114" s="30">
        <v>0</v>
      </c>
      <c r="Y114" s="30">
        <v>0</v>
      </c>
      <c r="Z114" s="30">
        <v>0</v>
      </c>
      <c r="AA114" s="30">
        <v>0</v>
      </c>
      <c r="AB114" s="30">
        <v>0</v>
      </c>
      <c r="AC114" s="30">
        <v>0</v>
      </c>
      <c r="AD114" s="30">
        <v>0</v>
      </c>
      <c r="AE114" s="30">
        <v>0</v>
      </c>
      <c r="AF114" s="33" t="s">
        <v>112</v>
      </c>
      <c r="AG114" s="30">
        <f t="shared" si="34"/>
        <v>8.8000000000000007</v>
      </c>
      <c r="AH114" s="13"/>
      <c r="AI114" s="13"/>
      <c r="AJ114" s="13"/>
      <c r="AK114" s="13"/>
      <c r="AL114" s="13"/>
      <c r="AM114" s="13"/>
      <c r="AN114" s="13"/>
      <c r="AO114" s="13"/>
      <c r="AP114" s="13"/>
      <c r="AQ114" s="13"/>
      <c r="AR114" s="13"/>
      <c r="AS114" s="13"/>
      <c r="AT114" s="13"/>
      <c r="AU114" s="13"/>
      <c r="AV114" s="13"/>
      <c r="AW114" s="13"/>
    </row>
    <row r="115" spans="1:49" hidden="1" x14ac:dyDescent="0.25">
      <c r="A115" s="30" t="s">
        <v>184</v>
      </c>
      <c r="B115" s="30" t="s">
        <v>40</v>
      </c>
      <c r="C115" s="30"/>
      <c r="D115" s="30"/>
      <c r="E115" s="30"/>
      <c r="F115" s="30"/>
      <c r="G115" s="30"/>
      <c r="H115" s="31">
        <v>0.3</v>
      </c>
      <c r="I115" s="30">
        <v>45</v>
      </c>
      <c r="J115" s="30" t="s">
        <v>41</v>
      </c>
      <c r="K115" s="30"/>
      <c r="L115" s="30"/>
      <c r="M115" s="30"/>
      <c r="N115" s="30"/>
      <c r="O115" s="30"/>
      <c r="P115" s="30"/>
      <c r="Q115" s="30"/>
      <c r="R115" s="30">
        <f t="shared" si="36"/>
        <v>0</v>
      </c>
      <c r="S115" s="32">
        <v>40</v>
      </c>
      <c r="T115" s="30" t="e">
        <f t="shared" si="37"/>
        <v>#DIV/0!</v>
      </c>
      <c r="U115" s="30" t="e">
        <f t="shared" si="38"/>
        <v>#DIV/0!</v>
      </c>
      <c r="V115" s="30">
        <v>0</v>
      </c>
      <c r="W115" s="30">
        <v>0</v>
      </c>
      <c r="X115" s="30">
        <v>0</v>
      </c>
      <c r="Y115" s="30">
        <v>0</v>
      </c>
      <c r="Z115" s="30">
        <v>0</v>
      </c>
      <c r="AA115" s="30">
        <v>0</v>
      </c>
      <c r="AB115" s="30">
        <v>0</v>
      </c>
      <c r="AC115" s="30">
        <v>0</v>
      </c>
      <c r="AD115" s="30">
        <v>0</v>
      </c>
      <c r="AE115" s="30">
        <v>0</v>
      </c>
      <c r="AF115" s="33" t="s">
        <v>112</v>
      </c>
      <c r="AG115" s="30">
        <f t="shared" si="34"/>
        <v>12</v>
      </c>
      <c r="AH115" s="13"/>
      <c r="AI115" s="13"/>
      <c r="AJ115" s="13"/>
      <c r="AK115" s="13"/>
      <c r="AL115" s="13"/>
      <c r="AM115" s="13"/>
      <c r="AN115" s="13"/>
      <c r="AO115" s="13"/>
      <c r="AP115" s="13"/>
      <c r="AQ115" s="13"/>
      <c r="AR115" s="13"/>
      <c r="AS115" s="13"/>
      <c r="AT115" s="13"/>
      <c r="AU115" s="13"/>
      <c r="AV115" s="13"/>
      <c r="AW115" s="13"/>
    </row>
    <row r="116" spans="1:49" hidden="1" x14ac:dyDescent="0.25">
      <c r="A116" s="30" t="s">
        <v>185</v>
      </c>
      <c r="B116" s="30" t="s">
        <v>40</v>
      </c>
      <c r="C116" s="30"/>
      <c r="D116" s="30"/>
      <c r="E116" s="30"/>
      <c r="F116" s="30"/>
      <c r="G116" s="30"/>
      <c r="H116" s="31">
        <v>0.15</v>
      </c>
      <c r="I116" s="30">
        <f>VLOOKUP(A116,новинки!D:F,3,0)</f>
        <v>90</v>
      </c>
      <c r="J116" s="30" t="s">
        <v>41</v>
      </c>
      <c r="K116" s="30"/>
      <c r="L116" s="30"/>
      <c r="M116" s="30"/>
      <c r="N116" s="30"/>
      <c r="O116" s="30"/>
      <c r="P116" s="30"/>
      <c r="Q116" s="30"/>
      <c r="R116" s="30">
        <f t="shared" si="36"/>
        <v>0</v>
      </c>
      <c r="S116" s="32">
        <v>40</v>
      </c>
      <c r="T116" s="30" t="e">
        <f t="shared" si="37"/>
        <v>#DIV/0!</v>
      </c>
      <c r="U116" s="30" t="e">
        <f t="shared" si="38"/>
        <v>#DIV/0!</v>
      </c>
      <c r="V116" s="30">
        <v>0</v>
      </c>
      <c r="W116" s="30">
        <v>0</v>
      </c>
      <c r="X116" s="30">
        <v>0</v>
      </c>
      <c r="Y116" s="30">
        <v>0</v>
      </c>
      <c r="Z116" s="30">
        <v>0</v>
      </c>
      <c r="AA116" s="30">
        <v>0</v>
      </c>
      <c r="AB116" s="30">
        <v>0</v>
      </c>
      <c r="AC116" s="30">
        <v>0</v>
      </c>
      <c r="AD116" s="30">
        <v>0</v>
      </c>
      <c r="AE116" s="30">
        <v>0</v>
      </c>
      <c r="AF116" s="33" t="s">
        <v>112</v>
      </c>
      <c r="AG116" s="30">
        <f t="shared" si="34"/>
        <v>6</v>
      </c>
      <c r="AH116" s="13"/>
      <c r="AI116" s="13"/>
      <c r="AJ116" s="13"/>
      <c r="AK116" s="13"/>
      <c r="AL116" s="13"/>
      <c r="AM116" s="13"/>
      <c r="AN116" s="13"/>
      <c r="AO116" s="13"/>
      <c r="AP116" s="13"/>
      <c r="AQ116" s="13"/>
      <c r="AR116" s="13"/>
      <c r="AS116" s="13"/>
      <c r="AT116" s="13"/>
      <c r="AU116" s="13"/>
      <c r="AV116" s="13"/>
      <c r="AW116" s="13"/>
    </row>
    <row r="117" spans="1:49" hidden="1" x14ac:dyDescent="0.25">
      <c r="A117" s="30" t="s">
        <v>186</v>
      </c>
      <c r="B117" s="30" t="s">
        <v>40</v>
      </c>
      <c r="C117" s="30"/>
      <c r="D117" s="30"/>
      <c r="E117" s="30"/>
      <c r="F117" s="30"/>
      <c r="G117" s="30"/>
      <c r="H117" s="31">
        <v>0.33800000000000002</v>
      </c>
      <c r="I117" s="30" t="str">
        <f>VLOOKUP(A117,новинки!D:F,3,0)</f>
        <v>3 года</v>
      </c>
      <c r="J117" s="30" t="s">
        <v>41</v>
      </c>
      <c r="K117" s="30"/>
      <c r="L117" s="30"/>
      <c r="M117" s="30"/>
      <c r="N117" s="30"/>
      <c r="O117" s="30"/>
      <c r="P117" s="30"/>
      <c r="Q117" s="30"/>
      <c r="R117" s="30">
        <f t="shared" si="36"/>
        <v>0</v>
      </c>
      <c r="S117" s="32">
        <v>50</v>
      </c>
      <c r="T117" s="30" t="e">
        <f t="shared" si="37"/>
        <v>#DIV/0!</v>
      </c>
      <c r="U117" s="30" t="e">
        <f t="shared" si="38"/>
        <v>#DIV/0!</v>
      </c>
      <c r="V117" s="30">
        <v>0</v>
      </c>
      <c r="W117" s="30">
        <v>0</v>
      </c>
      <c r="X117" s="30">
        <v>0</v>
      </c>
      <c r="Y117" s="30">
        <v>0</v>
      </c>
      <c r="Z117" s="30">
        <v>0</v>
      </c>
      <c r="AA117" s="30">
        <v>0</v>
      </c>
      <c r="AB117" s="30">
        <v>0</v>
      </c>
      <c r="AC117" s="30">
        <v>0</v>
      </c>
      <c r="AD117" s="30">
        <v>0</v>
      </c>
      <c r="AE117" s="30">
        <v>0</v>
      </c>
      <c r="AF117" s="33" t="s">
        <v>112</v>
      </c>
      <c r="AG117" s="30">
        <f t="shared" si="34"/>
        <v>16.900000000000002</v>
      </c>
      <c r="AH117" s="13"/>
      <c r="AI117" s="13"/>
      <c r="AJ117" s="13"/>
      <c r="AK117" s="13"/>
      <c r="AL117" s="13"/>
      <c r="AM117" s="13"/>
      <c r="AN117" s="13"/>
      <c r="AO117" s="13"/>
      <c r="AP117" s="13"/>
      <c r="AQ117" s="13"/>
      <c r="AR117" s="13"/>
      <c r="AS117" s="13"/>
      <c r="AT117" s="13"/>
      <c r="AU117" s="13"/>
      <c r="AV117" s="13"/>
      <c r="AW117" s="13"/>
    </row>
    <row r="118" spans="1:49" hidden="1" x14ac:dyDescent="0.25">
      <c r="A118" s="30" t="s">
        <v>187</v>
      </c>
      <c r="B118" s="30" t="s">
        <v>40</v>
      </c>
      <c r="C118" s="30"/>
      <c r="D118" s="30"/>
      <c r="E118" s="30"/>
      <c r="F118" s="30"/>
      <c r="G118" s="30"/>
      <c r="H118" s="31">
        <v>0.32500000000000001</v>
      </c>
      <c r="I118" s="30" t="str">
        <f>VLOOKUP(A118,новинки!D:F,3,0)</f>
        <v>3 года</v>
      </c>
      <c r="J118" s="30" t="s">
        <v>41</v>
      </c>
      <c r="K118" s="30"/>
      <c r="L118" s="30"/>
      <c r="M118" s="30"/>
      <c r="N118" s="30"/>
      <c r="O118" s="30"/>
      <c r="P118" s="30"/>
      <c r="Q118" s="30"/>
      <c r="R118" s="30">
        <f t="shared" si="36"/>
        <v>0</v>
      </c>
      <c r="S118" s="32">
        <v>50</v>
      </c>
      <c r="T118" s="30" t="e">
        <f t="shared" si="37"/>
        <v>#DIV/0!</v>
      </c>
      <c r="U118" s="30" t="e">
        <f t="shared" si="38"/>
        <v>#DIV/0!</v>
      </c>
      <c r="V118" s="30">
        <v>0</v>
      </c>
      <c r="W118" s="30">
        <v>0</v>
      </c>
      <c r="X118" s="30">
        <v>0</v>
      </c>
      <c r="Y118" s="30">
        <v>0</v>
      </c>
      <c r="Z118" s="30">
        <v>0</v>
      </c>
      <c r="AA118" s="30">
        <v>0</v>
      </c>
      <c r="AB118" s="30">
        <v>0</v>
      </c>
      <c r="AC118" s="30">
        <v>0</v>
      </c>
      <c r="AD118" s="30">
        <v>0</v>
      </c>
      <c r="AE118" s="30">
        <v>0</v>
      </c>
      <c r="AF118" s="33" t="s">
        <v>112</v>
      </c>
      <c r="AG118" s="30">
        <f t="shared" si="34"/>
        <v>16.25</v>
      </c>
      <c r="AH118" s="13"/>
      <c r="AI118" s="13"/>
      <c r="AJ118" s="13"/>
      <c r="AK118" s="13"/>
      <c r="AL118" s="13"/>
      <c r="AM118" s="13"/>
      <c r="AN118" s="13"/>
      <c r="AO118" s="13"/>
      <c r="AP118" s="13"/>
      <c r="AQ118" s="13"/>
      <c r="AR118" s="13"/>
      <c r="AS118" s="13"/>
      <c r="AT118" s="13"/>
      <c r="AU118" s="13"/>
      <c r="AV118" s="13"/>
      <c r="AW118" s="13"/>
    </row>
    <row r="119" spans="1:49" hidden="1" x14ac:dyDescent="0.25">
      <c r="A119" s="13"/>
      <c r="B119" s="13"/>
      <c r="C119" s="13"/>
      <c r="D119" s="13"/>
      <c r="E119" s="13"/>
      <c r="F119" s="13"/>
      <c r="G119" s="13"/>
      <c r="H119" s="6"/>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row>
    <row r="120" spans="1:49" x14ac:dyDescent="0.25">
      <c r="A120" s="13"/>
      <c r="B120" s="13"/>
      <c r="C120" s="13"/>
      <c r="D120" s="13"/>
      <c r="E120" s="13"/>
      <c r="F120" s="13"/>
      <c r="G120" s="13"/>
      <c r="H120" s="6"/>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row>
    <row r="121" spans="1:49" x14ac:dyDescent="0.25">
      <c r="A121" s="13"/>
      <c r="B121" s="13"/>
      <c r="C121" s="13"/>
      <c r="D121" s="13"/>
      <c r="E121" s="13"/>
      <c r="F121" s="13"/>
      <c r="G121" s="13"/>
      <c r="H121" s="6"/>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row>
    <row r="122" spans="1:49" x14ac:dyDescent="0.25">
      <c r="A122" s="13"/>
      <c r="B122" s="13"/>
      <c r="C122" s="13"/>
      <c r="D122" s="13"/>
      <c r="E122" s="13"/>
      <c r="F122" s="13"/>
      <c r="G122" s="13"/>
      <c r="H122" s="6"/>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row>
    <row r="123" spans="1:49" x14ac:dyDescent="0.25">
      <c r="A123" s="13"/>
      <c r="B123" s="13"/>
      <c r="C123" s="13"/>
      <c r="D123" s="13"/>
      <c r="E123" s="13"/>
      <c r="F123" s="13"/>
      <c r="G123" s="13"/>
      <c r="H123" s="6"/>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row>
    <row r="124" spans="1:49" x14ac:dyDescent="0.25">
      <c r="A124" s="13"/>
      <c r="B124" s="13"/>
      <c r="C124" s="13"/>
      <c r="D124" s="13"/>
      <c r="E124" s="13"/>
      <c r="F124" s="13"/>
      <c r="G124" s="13"/>
      <c r="H124" s="6"/>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row>
    <row r="125" spans="1:49" x14ac:dyDescent="0.25">
      <c r="A125" s="13"/>
      <c r="B125" s="13"/>
      <c r="C125" s="13"/>
      <c r="D125" s="13"/>
      <c r="E125" s="13"/>
      <c r="F125" s="13"/>
      <c r="G125" s="13"/>
      <c r="H125" s="6"/>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row>
    <row r="126" spans="1:49" x14ac:dyDescent="0.25">
      <c r="A126" s="13"/>
      <c r="B126" s="13"/>
      <c r="C126" s="13"/>
      <c r="D126" s="13"/>
      <c r="E126" s="13"/>
      <c r="F126" s="13"/>
      <c r="G126" s="13"/>
      <c r="H126" s="6"/>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row>
    <row r="127" spans="1:49" x14ac:dyDescent="0.25">
      <c r="A127" s="13"/>
      <c r="B127" s="13"/>
      <c r="C127" s="13"/>
      <c r="D127" s="13"/>
      <c r="E127" s="13"/>
      <c r="F127" s="13"/>
      <c r="G127" s="13"/>
      <c r="H127" s="6"/>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row>
    <row r="128" spans="1:49" x14ac:dyDescent="0.25">
      <c r="A128" s="13"/>
      <c r="B128" s="13"/>
      <c r="C128" s="13"/>
      <c r="D128" s="13"/>
      <c r="E128" s="13"/>
      <c r="F128" s="13"/>
      <c r="G128" s="13"/>
      <c r="H128" s="6"/>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row>
    <row r="129" spans="1:49" x14ac:dyDescent="0.25">
      <c r="A129" s="13"/>
      <c r="B129" s="13"/>
      <c r="C129" s="13"/>
      <c r="D129" s="13"/>
      <c r="E129" s="13"/>
      <c r="F129" s="13"/>
      <c r="G129" s="13"/>
      <c r="H129" s="6"/>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row>
    <row r="130" spans="1:49" x14ac:dyDescent="0.25">
      <c r="A130" s="13"/>
      <c r="B130" s="13"/>
      <c r="C130" s="13"/>
      <c r="D130" s="13"/>
      <c r="E130" s="13"/>
      <c r="F130" s="13"/>
      <c r="G130" s="13"/>
      <c r="H130" s="6"/>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row>
    <row r="131" spans="1:49" x14ac:dyDescent="0.25">
      <c r="A131" s="13"/>
      <c r="B131" s="13"/>
      <c r="C131" s="13"/>
      <c r="D131" s="13"/>
      <c r="E131" s="13"/>
      <c r="F131" s="13"/>
      <c r="G131" s="13"/>
      <c r="H131" s="6"/>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row>
    <row r="132" spans="1:49" x14ac:dyDescent="0.25">
      <c r="A132" s="13"/>
      <c r="B132" s="13"/>
      <c r="C132" s="13"/>
      <c r="D132" s="13"/>
      <c r="E132" s="13"/>
      <c r="F132" s="13"/>
      <c r="G132" s="13"/>
      <c r="H132" s="6"/>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row>
    <row r="133" spans="1:49" x14ac:dyDescent="0.25">
      <c r="A133" s="13"/>
      <c r="B133" s="13"/>
      <c r="C133" s="13"/>
      <c r="D133" s="13"/>
      <c r="E133" s="13"/>
      <c r="F133" s="13"/>
      <c r="G133" s="13"/>
      <c r="H133" s="6"/>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row>
    <row r="134" spans="1:49" x14ac:dyDescent="0.25">
      <c r="A134" s="13"/>
      <c r="B134" s="13"/>
      <c r="C134" s="13"/>
      <c r="D134" s="13"/>
      <c r="E134" s="13"/>
      <c r="F134" s="13"/>
      <c r="G134" s="13"/>
      <c r="H134" s="6"/>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row>
    <row r="135" spans="1:49" x14ac:dyDescent="0.25">
      <c r="A135" s="13"/>
      <c r="B135" s="13"/>
      <c r="C135" s="13"/>
      <c r="D135" s="13"/>
      <c r="E135" s="13"/>
      <c r="F135" s="13"/>
      <c r="G135" s="13"/>
      <c r="H135" s="6"/>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row>
    <row r="136" spans="1:49" x14ac:dyDescent="0.25">
      <c r="A136" s="13"/>
      <c r="B136" s="13"/>
      <c r="C136" s="13"/>
      <c r="D136" s="13"/>
      <c r="E136" s="13"/>
      <c r="F136" s="13"/>
      <c r="G136" s="13"/>
      <c r="H136" s="6"/>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row>
    <row r="137" spans="1:49" x14ac:dyDescent="0.25">
      <c r="A137" s="13"/>
      <c r="B137" s="13"/>
      <c r="C137" s="13"/>
      <c r="D137" s="13"/>
      <c r="E137" s="13"/>
      <c r="F137" s="13"/>
      <c r="G137" s="13"/>
      <c r="H137" s="6"/>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row>
    <row r="138" spans="1:49" x14ac:dyDescent="0.25">
      <c r="A138" s="13"/>
      <c r="B138" s="13"/>
      <c r="C138" s="13"/>
      <c r="D138" s="13"/>
      <c r="E138" s="13"/>
      <c r="F138" s="13"/>
      <c r="G138" s="13"/>
      <c r="H138" s="6"/>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row>
    <row r="139" spans="1:49" x14ac:dyDescent="0.25">
      <c r="A139" s="13"/>
      <c r="B139" s="13"/>
      <c r="C139" s="13"/>
      <c r="D139" s="13"/>
      <c r="E139" s="13"/>
      <c r="F139" s="13"/>
      <c r="G139" s="13"/>
      <c r="H139" s="6"/>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row>
    <row r="140" spans="1:49" x14ac:dyDescent="0.25">
      <c r="A140" s="13"/>
      <c r="B140" s="13"/>
      <c r="C140" s="13"/>
      <c r="D140" s="13"/>
      <c r="E140" s="13"/>
      <c r="F140" s="13"/>
      <c r="G140" s="13"/>
      <c r="H140" s="6"/>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row>
    <row r="141" spans="1:49" x14ac:dyDescent="0.25">
      <c r="A141" s="13"/>
      <c r="B141" s="13"/>
      <c r="C141" s="13"/>
      <c r="D141" s="13"/>
      <c r="E141" s="13"/>
      <c r="F141" s="13"/>
      <c r="G141" s="13"/>
      <c r="H141" s="6"/>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row>
    <row r="142" spans="1:49" x14ac:dyDescent="0.25">
      <c r="A142" s="13"/>
      <c r="B142" s="13"/>
      <c r="C142" s="13"/>
      <c r="D142" s="13"/>
      <c r="E142" s="13"/>
      <c r="F142" s="13"/>
      <c r="G142" s="13"/>
      <c r="H142" s="6"/>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row>
    <row r="143" spans="1:49" x14ac:dyDescent="0.25">
      <c r="A143" s="13"/>
      <c r="B143" s="13"/>
      <c r="C143" s="13"/>
      <c r="D143" s="13"/>
      <c r="E143" s="13"/>
      <c r="F143" s="13"/>
      <c r="G143" s="13"/>
      <c r="H143" s="6"/>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row>
    <row r="144" spans="1:49" x14ac:dyDescent="0.25">
      <c r="A144" s="13"/>
      <c r="B144" s="13"/>
      <c r="C144" s="13"/>
      <c r="D144" s="13"/>
      <c r="E144" s="13"/>
      <c r="F144" s="13"/>
      <c r="G144" s="13"/>
      <c r="H144" s="6"/>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row>
    <row r="145" spans="1:49" x14ac:dyDescent="0.25">
      <c r="A145" s="13"/>
      <c r="B145" s="13"/>
      <c r="C145" s="13"/>
      <c r="D145" s="13"/>
      <c r="E145" s="13"/>
      <c r="F145" s="13"/>
      <c r="G145" s="13"/>
      <c r="H145" s="6"/>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row>
    <row r="146" spans="1:49" x14ac:dyDescent="0.25">
      <c r="A146" s="13"/>
      <c r="B146" s="13"/>
      <c r="C146" s="13"/>
      <c r="D146" s="13"/>
      <c r="E146" s="13"/>
      <c r="F146" s="13"/>
      <c r="G146" s="13"/>
      <c r="H146" s="6"/>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row>
    <row r="147" spans="1:49" x14ac:dyDescent="0.25">
      <c r="A147" s="13"/>
      <c r="B147" s="13"/>
      <c r="C147" s="13"/>
      <c r="D147" s="13"/>
      <c r="E147" s="13"/>
      <c r="F147" s="13"/>
      <c r="G147" s="13"/>
      <c r="H147" s="6"/>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row>
    <row r="148" spans="1:49" x14ac:dyDescent="0.25">
      <c r="A148" s="13"/>
      <c r="B148" s="13"/>
      <c r="C148" s="13"/>
      <c r="D148" s="13"/>
      <c r="E148" s="13"/>
      <c r="F148" s="13"/>
      <c r="G148" s="13"/>
      <c r="H148" s="6"/>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row>
    <row r="149" spans="1:49" x14ac:dyDescent="0.25">
      <c r="A149" s="13"/>
      <c r="B149" s="13"/>
      <c r="C149" s="13"/>
      <c r="D149" s="13"/>
      <c r="E149" s="13"/>
      <c r="F149" s="13"/>
      <c r="G149" s="13"/>
      <c r="H149" s="6"/>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row>
    <row r="150" spans="1:49" x14ac:dyDescent="0.25">
      <c r="A150" s="13"/>
      <c r="B150" s="13"/>
      <c r="C150" s="13"/>
      <c r="D150" s="13"/>
      <c r="E150" s="13"/>
      <c r="F150" s="13"/>
      <c r="G150" s="13"/>
      <c r="H150" s="6"/>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row>
    <row r="151" spans="1:49" x14ac:dyDescent="0.25">
      <c r="A151" s="13"/>
      <c r="B151" s="13"/>
      <c r="C151" s="13"/>
      <c r="D151" s="13"/>
      <c r="E151" s="13"/>
      <c r="F151" s="13"/>
      <c r="G151" s="13"/>
      <c r="H151" s="6"/>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row>
    <row r="152" spans="1:49" x14ac:dyDescent="0.25">
      <c r="A152" s="13"/>
      <c r="B152" s="13"/>
      <c r="C152" s="13"/>
      <c r="D152" s="13"/>
      <c r="E152" s="13"/>
      <c r="F152" s="13"/>
      <c r="G152" s="13"/>
      <c r="H152" s="6"/>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row>
    <row r="153" spans="1:49" x14ac:dyDescent="0.25">
      <c r="A153" s="13"/>
      <c r="B153" s="13"/>
      <c r="C153" s="13"/>
      <c r="D153" s="13"/>
      <c r="E153" s="13"/>
      <c r="F153" s="13"/>
      <c r="G153" s="13"/>
      <c r="H153" s="6"/>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row>
    <row r="154" spans="1:49" x14ac:dyDescent="0.25">
      <c r="A154" s="13"/>
      <c r="B154" s="13"/>
      <c r="C154" s="13"/>
      <c r="D154" s="13"/>
      <c r="E154" s="13"/>
      <c r="F154" s="13"/>
      <c r="G154" s="13"/>
      <c r="H154" s="6"/>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row>
    <row r="155" spans="1:49" x14ac:dyDescent="0.25">
      <c r="A155" s="13"/>
      <c r="B155" s="13"/>
      <c r="C155" s="13"/>
      <c r="D155" s="13"/>
      <c r="E155" s="13"/>
      <c r="F155" s="13"/>
      <c r="G155" s="13"/>
      <c r="H155" s="6"/>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row>
    <row r="156" spans="1:49" x14ac:dyDescent="0.25">
      <c r="A156" s="13"/>
      <c r="B156" s="13"/>
      <c r="C156" s="13"/>
      <c r="D156" s="13"/>
      <c r="E156" s="13"/>
      <c r="F156" s="13"/>
      <c r="G156" s="13"/>
      <c r="H156" s="6"/>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row>
    <row r="157" spans="1:49" x14ac:dyDescent="0.25">
      <c r="A157" s="13"/>
      <c r="B157" s="13"/>
      <c r="C157" s="13"/>
      <c r="D157" s="13"/>
      <c r="E157" s="13"/>
      <c r="F157" s="13"/>
      <c r="G157" s="13"/>
      <c r="H157" s="6"/>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row>
    <row r="158" spans="1:49" x14ac:dyDescent="0.25">
      <c r="A158" s="13"/>
      <c r="B158" s="13"/>
      <c r="C158" s="13"/>
      <c r="D158" s="13"/>
      <c r="E158" s="13"/>
      <c r="F158" s="13"/>
      <c r="G158" s="13"/>
      <c r="H158" s="6"/>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row>
    <row r="159" spans="1:49" x14ac:dyDescent="0.25">
      <c r="A159" s="13"/>
      <c r="B159" s="13"/>
      <c r="C159" s="13"/>
      <c r="D159" s="13"/>
      <c r="E159" s="13"/>
      <c r="F159" s="13"/>
      <c r="G159" s="13"/>
      <c r="H159" s="6"/>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row>
    <row r="160" spans="1:49" x14ac:dyDescent="0.25">
      <c r="A160" s="13"/>
      <c r="B160" s="13"/>
      <c r="C160" s="13"/>
      <c r="D160" s="13"/>
      <c r="E160" s="13"/>
      <c r="F160" s="13"/>
      <c r="G160" s="13"/>
      <c r="H160" s="6"/>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row>
    <row r="161" spans="1:49" x14ac:dyDescent="0.25">
      <c r="A161" s="13"/>
      <c r="B161" s="13"/>
      <c r="C161" s="13"/>
      <c r="D161" s="13"/>
      <c r="E161" s="13"/>
      <c r="F161" s="13"/>
      <c r="G161" s="13"/>
      <c r="H161" s="6"/>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row>
    <row r="162" spans="1:49" x14ac:dyDescent="0.25">
      <c r="A162" s="13"/>
      <c r="B162" s="13"/>
      <c r="C162" s="13"/>
      <c r="D162" s="13"/>
      <c r="E162" s="13"/>
      <c r="F162" s="13"/>
      <c r="G162" s="13"/>
      <c r="H162" s="6"/>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row>
    <row r="163" spans="1:49" x14ac:dyDescent="0.25">
      <c r="A163" s="13"/>
      <c r="B163" s="13"/>
      <c r="C163" s="13"/>
      <c r="D163" s="13"/>
      <c r="E163" s="13"/>
      <c r="F163" s="13"/>
      <c r="G163" s="13"/>
      <c r="H163" s="6"/>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row>
    <row r="164" spans="1:49" x14ac:dyDescent="0.25">
      <c r="A164" s="13"/>
      <c r="B164" s="13"/>
      <c r="C164" s="13"/>
      <c r="D164" s="13"/>
      <c r="E164" s="13"/>
      <c r="F164" s="13"/>
      <c r="G164" s="13"/>
      <c r="H164" s="6"/>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row>
    <row r="165" spans="1:49" x14ac:dyDescent="0.25">
      <c r="A165" s="13"/>
      <c r="B165" s="13"/>
      <c r="C165" s="13"/>
      <c r="D165" s="13"/>
      <c r="E165" s="13"/>
      <c r="F165" s="13"/>
      <c r="G165" s="13"/>
      <c r="H165" s="6"/>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row>
    <row r="166" spans="1:49" x14ac:dyDescent="0.25">
      <c r="A166" s="13"/>
      <c r="B166" s="13"/>
      <c r="C166" s="13"/>
      <c r="D166" s="13"/>
      <c r="E166" s="13"/>
      <c r="F166" s="13"/>
      <c r="G166" s="13"/>
      <c r="H166" s="6"/>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row>
    <row r="167" spans="1:49" x14ac:dyDescent="0.25">
      <c r="A167" s="13"/>
      <c r="B167" s="13"/>
      <c r="C167" s="13"/>
      <c r="D167" s="13"/>
      <c r="E167" s="13"/>
      <c r="F167" s="13"/>
      <c r="G167" s="13"/>
      <c r="H167" s="6"/>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row>
    <row r="168" spans="1:49" x14ac:dyDescent="0.25">
      <c r="A168" s="13"/>
      <c r="B168" s="13"/>
      <c r="C168" s="13"/>
      <c r="D168" s="13"/>
      <c r="E168" s="13"/>
      <c r="F168" s="13"/>
      <c r="G168" s="13"/>
      <c r="H168" s="6"/>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row>
    <row r="169" spans="1:49" x14ac:dyDescent="0.25">
      <c r="A169" s="13"/>
      <c r="B169" s="13"/>
      <c r="C169" s="13"/>
      <c r="D169" s="13"/>
      <c r="E169" s="13"/>
      <c r="F169" s="13"/>
      <c r="G169" s="13"/>
      <c r="H169" s="6"/>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row>
    <row r="170" spans="1:49" x14ac:dyDescent="0.25">
      <c r="A170" s="13"/>
      <c r="B170" s="13"/>
      <c r="C170" s="13"/>
      <c r="D170" s="13"/>
      <c r="E170" s="13"/>
      <c r="F170" s="13"/>
      <c r="G170" s="13"/>
      <c r="H170" s="6"/>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row>
    <row r="171" spans="1:49" x14ac:dyDescent="0.25">
      <c r="A171" s="13"/>
      <c r="B171" s="13"/>
      <c r="C171" s="13"/>
      <c r="D171" s="13"/>
      <c r="E171" s="13"/>
      <c r="F171" s="13"/>
      <c r="G171" s="13"/>
      <c r="H171" s="6"/>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row>
    <row r="172" spans="1:49" x14ac:dyDescent="0.25">
      <c r="A172" s="13"/>
      <c r="B172" s="13"/>
      <c r="C172" s="13"/>
      <c r="D172" s="13"/>
      <c r="E172" s="13"/>
      <c r="F172" s="13"/>
      <c r="G172" s="13"/>
      <c r="H172" s="6"/>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row>
    <row r="173" spans="1:49" x14ac:dyDescent="0.25">
      <c r="A173" s="13"/>
      <c r="B173" s="13"/>
      <c r="C173" s="13"/>
      <c r="D173" s="13"/>
      <c r="E173" s="13"/>
      <c r="F173" s="13"/>
      <c r="G173" s="13"/>
      <c r="H173" s="6"/>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row>
    <row r="174" spans="1:49" x14ac:dyDescent="0.25">
      <c r="A174" s="13"/>
      <c r="B174" s="13"/>
      <c r="C174" s="13"/>
      <c r="D174" s="13"/>
      <c r="E174" s="13"/>
      <c r="F174" s="13"/>
      <c r="G174" s="13"/>
      <c r="H174" s="6"/>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row>
    <row r="175" spans="1:49" x14ac:dyDescent="0.25">
      <c r="A175" s="13"/>
      <c r="B175" s="13"/>
      <c r="C175" s="13"/>
      <c r="D175" s="13"/>
      <c r="E175" s="13"/>
      <c r="F175" s="13"/>
      <c r="G175" s="13"/>
      <c r="H175" s="6"/>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row>
    <row r="176" spans="1:49" x14ac:dyDescent="0.25">
      <c r="A176" s="13"/>
      <c r="B176" s="13"/>
      <c r="C176" s="13"/>
      <c r="D176" s="13"/>
      <c r="E176" s="13"/>
      <c r="F176" s="13"/>
      <c r="G176" s="13"/>
      <c r="H176" s="6"/>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row>
    <row r="177" spans="1:49" x14ac:dyDescent="0.25">
      <c r="A177" s="13"/>
      <c r="B177" s="13"/>
      <c r="C177" s="13"/>
      <c r="D177" s="13"/>
      <c r="E177" s="13"/>
      <c r="F177" s="13"/>
      <c r="G177" s="13"/>
      <c r="H177" s="6"/>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row>
    <row r="178" spans="1:49" x14ac:dyDescent="0.25">
      <c r="A178" s="13"/>
      <c r="B178" s="13"/>
      <c r="C178" s="13"/>
      <c r="D178" s="13"/>
      <c r="E178" s="13"/>
      <c r="F178" s="13"/>
      <c r="G178" s="13"/>
      <c r="H178" s="6"/>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row>
    <row r="179" spans="1:49" x14ac:dyDescent="0.25">
      <c r="A179" s="13"/>
      <c r="B179" s="13"/>
      <c r="C179" s="13"/>
      <c r="D179" s="13"/>
      <c r="E179" s="13"/>
      <c r="F179" s="13"/>
      <c r="G179" s="13"/>
      <c r="H179" s="6"/>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row>
    <row r="180" spans="1:49" x14ac:dyDescent="0.25">
      <c r="A180" s="13"/>
      <c r="B180" s="13"/>
      <c r="C180" s="13"/>
      <c r="D180" s="13"/>
      <c r="E180" s="13"/>
      <c r="F180" s="13"/>
      <c r="G180" s="13"/>
      <c r="H180" s="6"/>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row>
    <row r="181" spans="1:49" x14ac:dyDescent="0.25">
      <c r="A181" s="13"/>
      <c r="B181" s="13"/>
      <c r="C181" s="13"/>
      <c r="D181" s="13"/>
      <c r="E181" s="13"/>
      <c r="F181" s="13"/>
      <c r="G181" s="13"/>
      <c r="H181" s="6"/>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row>
    <row r="182" spans="1:49" x14ac:dyDescent="0.25">
      <c r="A182" s="13"/>
      <c r="B182" s="13"/>
      <c r="C182" s="13"/>
      <c r="D182" s="13"/>
      <c r="E182" s="13"/>
      <c r="F182" s="13"/>
      <c r="G182" s="13"/>
      <c r="H182" s="6"/>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row>
    <row r="183" spans="1:49" x14ac:dyDescent="0.25">
      <c r="A183" s="13"/>
      <c r="B183" s="13"/>
      <c r="C183" s="13"/>
      <c r="D183" s="13"/>
      <c r="E183" s="13"/>
      <c r="F183" s="13"/>
      <c r="G183" s="13"/>
      <c r="H183" s="6"/>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row>
    <row r="184" spans="1:49" x14ac:dyDescent="0.25">
      <c r="A184" s="13"/>
      <c r="B184" s="13"/>
      <c r="C184" s="13"/>
      <c r="D184" s="13"/>
      <c r="E184" s="13"/>
      <c r="F184" s="13"/>
      <c r="G184" s="13"/>
      <c r="H184" s="6"/>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row>
    <row r="185" spans="1:49" x14ac:dyDescent="0.25">
      <c r="A185" s="13"/>
      <c r="B185" s="13"/>
      <c r="C185" s="13"/>
      <c r="D185" s="13"/>
      <c r="E185" s="13"/>
      <c r="F185" s="13"/>
      <c r="G185" s="13"/>
      <c r="H185" s="6"/>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row>
    <row r="186" spans="1:49" x14ac:dyDescent="0.25">
      <c r="A186" s="13"/>
      <c r="B186" s="13"/>
      <c r="C186" s="13"/>
      <c r="D186" s="13"/>
      <c r="E186" s="13"/>
      <c r="F186" s="13"/>
      <c r="G186" s="13"/>
      <c r="H186" s="6"/>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row>
    <row r="187" spans="1:49" x14ac:dyDescent="0.25">
      <c r="A187" s="13"/>
      <c r="B187" s="13"/>
      <c r="C187" s="13"/>
      <c r="D187" s="13"/>
      <c r="E187" s="13"/>
      <c r="F187" s="13"/>
      <c r="G187" s="13"/>
      <c r="H187" s="6"/>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row>
    <row r="188" spans="1:49" x14ac:dyDescent="0.25">
      <c r="A188" s="13"/>
      <c r="B188" s="13"/>
      <c r="C188" s="13"/>
      <c r="D188" s="13"/>
      <c r="E188" s="13"/>
      <c r="F188" s="13"/>
      <c r="G188" s="13"/>
      <c r="H188" s="6"/>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row>
    <row r="189" spans="1:49" x14ac:dyDescent="0.25">
      <c r="A189" s="13"/>
      <c r="B189" s="13"/>
      <c r="C189" s="13"/>
      <c r="D189" s="13"/>
      <c r="E189" s="13"/>
      <c r="F189" s="13"/>
      <c r="G189" s="13"/>
      <c r="H189" s="6"/>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row>
    <row r="190" spans="1:49" x14ac:dyDescent="0.25">
      <c r="A190" s="13"/>
      <c r="B190" s="13"/>
      <c r="C190" s="13"/>
      <c r="D190" s="13"/>
      <c r="E190" s="13"/>
      <c r="F190" s="13"/>
      <c r="G190" s="13"/>
      <c r="H190" s="6"/>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row>
    <row r="191" spans="1:49" x14ac:dyDescent="0.25">
      <c r="A191" s="13"/>
      <c r="B191" s="13"/>
      <c r="C191" s="13"/>
      <c r="D191" s="13"/>
      <c r="E191" s="13"/>
      <c r="F191" s="13"/>
      <c r="G191" s="13"/>
      <c r="H191" s="6"/>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row>
    <row r="192" spans="1:49" x14ac:dyDescent="0.25">
      <c r="A192" s="13"/>
      <c r="B192" s="13"/>
      <c r="C192" s="13"/>
      <c r="D192" s="13"/>
      <c r="E192" s="13"/>
      <c r="F192" s="13"/>
      <c r="G192" s="13"/>
      <c r="H192" s="6"/>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row>
    <row r="193" spans="1:49" x14ac:dyDescent="0.25">
      <c r="A193" s="13"/>
      <c r="B193" s="13"/>
      <c r="C193" s="13"/>
      <c r="D193" s="13"/>
      <c r="E193" s="13"/>
      <c r="F193" s="13"/>
      <c r="G193" s="13"/>
      <c r="H193" s="6"/>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row>
    <row r="194" spans="1:49" x14ac:dyDescent="0.25">
      <c r="A194" s="13"/>
      <c r="B194" s="13"/>
      <c r="C194" s="13"/>
      <c r="D194" s="13"/>
      <c r="E194" s="13"/>
      <c r="F194" s="13"/>
      <c r="G194" s="13"/>
      <c r="H194" s="6"/>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row>
    <row r="195" spans="1:49" x14ac:dyDescent="0.25">
      <c r="A195" s="13"/>
      <c r="B195" s="13"/>
      <c r="C195" s="13"/>
      <c r="D195" s="13"/>
      <c r="E195" s="13"/>
      <c r="F195" s="13"/>
      <c r="G195" s="13"/>
      <c r="H195" s="6"/>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row>
    <row r="196" spans="1:49" x14ac:dyDescent="0.25">
      <c r="A196" s="13"/>
      <c r="B196" s="13"/>
      <c r="C196" s="13"/>
      <c r="D196" s="13"/>
      <c r="E196" s="13"/>
      <c r="F196" s="13"/>
      <c r="G196" s="13"/>
      <c r="H196" s="6"/>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row>
    <row r="197" spans="1:49" x14ac:dyDescent="0.25">
      <c r="A197" s="13"/>
      <c r="B197" s="13"/>
      <c r="C197" s="13"/>
      <c r="D197" s="13"/>
      <c r="E197" s="13"/>
      <c r="F197" s="13"/>
      <c r="G197" s="13"/>
      <c r="H197" s="6"/>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row>
    <row r="198" spans="1:49" x14ac:dyDescent="0.25">
      <c r="A198" s="13"/>
      <c r="B198" s="13"/>
      <c r="C198" s="13"/>
      <c r="D198" s="13"/>
      <c r="E198" s="13"/>
      <c r="F198" s="13"/>
      <c r="G198" s="13"/>
      <c r="H198" s="6"/>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row>
    <row r="199" spans="1:49" x14ac:dyDescent="0.25">
      <c r="A199" s="13"/>
      <c r="B199" s="13"/>
      <c r="C199" s="13"/>
      <c r="D199" s="13"/>
      <c r="E199" s="13"/>
      <c r="F199" s="13"/>
      <c r="G199" s="13"/>
      <c r="H199" s="6"/>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row>
    <row r="200" spans="1:49" x14ac:dyDescent="0.25">
      <c r="A200" s="13"/>
      <c r="B200" s="13"/>
      <c r="C200" s="13"/>
      <c r="D200" s="13"/>
      <c r="E200" s="13"/>
      <c r="F200" s="13"/>
      <c r="G200" s="13"/>
      <c r="H200" s="6"/>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row>
    <row r="201" spans="1:49" x14ac:dyDescent="0.25">
      <c r="A201" s="13"/>
      <c r="B201" s="13"/>
      <c r="C201" s="13"/>
      <c r="D201" s="13"/>
      <c r="E201" s="13"/>
      <c r="F201" s="13"/>
      <c r="G201" s="13"/>
      <c r="H201" s="6"/>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row>
    <row r="202" spans="1:49" x14ac:dyDescent="0.25">
      <c r="A202" s="13"/>
      <c r="B202" s="13"/>
      <c r="C202" s="13"/>
      <c r="D202" s="13"/>
      <c r="E202" s="13"/>
      <c r="F202" s="13"/>
      <c r="G202" s="13"/>
      <c r="H202" s="6"/>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row>
    <row r="203" spans="1:49" x14ac:dyDescent="0.25">
      <c r="A203" s="13"/>
      <c r="B203" s="13"/>
      <c r="C203" s="13"/>
      <c r="D203" s="13"/>
      <c r="E203" s="13"/>
      <c r="F203" s="13"/>
      <c r="G203" s="13"/>
      <c r="H203" s="6"/>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row>
    <row r="204" spans="1:49" x14ac:dyDescent="0.25">
      <c r="A204" s="13"/>
      <c r="B204" s="13"/>
      <c r="C204" s="13"/>
      <c r="D204" s="13"/>
      <c r="E204" s="13"/>
      <c r="F204" s="13"/>
      <c r="G204" s="13"/>
      <c r="H204" s="6"/>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row>
    <row r="205" spans="1:49" x14ac:dyDescent="0.25">
      <c r="A205" s="13"/>
      <c r="B205" s="13"/>
      <c r="C205" s="13"/>
      <c r="D205" s="13"/>
      <c r="E205" s="13"/>
      <c r="F205" s="13"/>
      <c r="G205" s="13"/>
      <c r="H205" s="6"/>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row>
    <row r="206" spans="1:49" x14ac:dyDescent="0.25">
      <c r="A206" s="13"/>
      <c r="B206" s="13"/>
      <c r="C206" s="13"/>
      <c r="D206" s="13"/>
      <c r="E206" s="13"/>
      <c r="F206" s="13"/>
      <c r="G206" s="13"/>
      <c r="H206" s="6"/>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row>
    <row r="207" spans="1:49" x14ac:dyDescent="0.25">
      <c r="A207" s="13"/>
      <c r="B207" s="13"/>
      <c r="C207" s="13"/>
      <c r="D207" s="13"/>
      <c r="E207" s="13"/>
      <c r="F207" s="13"/>
      <c r="G207" s="13"/>
      <c r="H207" s="6"/>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row>
    <row r="208" spans="1:49" x14ac:dyDescent="0.25">
      <c r="A208" s="13"/>
      <c r="B208" s="13"/>
      <c r="C208" s="13"/>
      <c r="D208" s="13"/>
      <c r="E208" s="13"/>
      <c r="F208" s="13"/>
      <c r="G208" s="13"/>
      <c r="H208" s="6"/>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row>
    <row r="209" spans="1:49" x14ac:dyDescent="0.25">
      <c r="A209" s="13"/>
      <c r="B209" s="13"/>
      <c r="C209" s="13"/>
      <c r="D209" s="13"/>
      <c r="E209" s="13"/>
      <c r="F209" s="13"/>
      <c r="G209" s="13"/>
      <c r="H209" s="6"/>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row>
    <row r="210" spans="1:49" x14ac:dyDescent="0.25">
      <c r="A210" s="13"/>
      <c r="B210" s="13"/>
      <c r="C210" s="13"/>
      <c r="D210" s="13"/>
      <c r="E210" s="13"/>
      <c r="F210" s="13"/>
      <c r="G210" s="13"/>
      <c r="H210" s="6"/>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row>
    <row r="211" spans="1:49" x14ac:dyDescent="0.25">
      <c r="A211" s="13"/>
      <c r="B211" s="13"/>
      <c r="C211" s="13"/>
      <c r="D211" s="13"/>
      <c r="E211" s="13"/>
      <c r="F211" s="13"/>
      <c r="G211" s="13"/>
      <c r="H211" s="6"/>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row>
    <row r="212" spans="1:49" x14ac:dyDescent="0.25">
      <c r="A212" s="13"/>
      <c r="B212" s="13"/>
      <c r="C212" s="13"/>
      <c r="D212" s="13"/>
      <c r="E212" s="13"/>
      <c r="F212" s="13"/>
      <c r="G212" s="13"/>
      <c r="H212" s="6"/>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row>
    <row r="213" spans="1:49" x14ac:dyDescent="0.25">
      <c r="A213" s="13"/>
      <c r="B213" s="13"/>
      <c r="C213" s="13"/>
      <c r="D213" s="13"/>
      <c r="E213" s="13"/>
      <c r="F213" s="13"/>
      <c r="G213" s="13"/>
      <c r="H213" s="6"/>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row>
    <row r="214" spans="1:49" x14ac:dyDescent="0.25">
      <c r="A214" s="13"/>
      <c r="B214" s="13"/>
      <c r="C214" s="13"/>
      <c r="D214" s="13"/>
      <c r="E214" s="13"/>
      <c r="F214" s="13"/>
      <c r="G214" s="13"/>
      <c r="H214" s="6"/>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row>
    <row r="215" spans="1:49" x14ac:dyDescent="0.25">
      <c r="A215" s="13"/>
      <c r="B215" s="13"/>
      <c r="C215" s="13"/>
      <c r="D215" s="13"/>
      <c r="E215" s="13"/>
      <c r="F215" s="13"/>
      <c r="G215" s="13"/>
      <c r="H215" s="6"/>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row>
    <row r="216" spans="1:49" x14ac:dyDescent="0.25">
      <c r="A216" s="13"/>
      <c r="B216" s="13"/>
      <c r="C216" s="13"/>
      <c r="D216" s="13"/>
      <c r="E216" s="13"/>
      <c r="F216" s="13"/>
      <c r="G216" s="13"/>
      <c r="H216" s="6"/>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row>
    <row r="217" spans="1:49" x14ac:dyDescent="0.25">
      <c r="A217" s="13"/>
      <c r="B217" s="13"/>
      <c r="C217" s="13"/>
      <c r="D217" s="13"/>
      <c r="E217" s="13"/>
      <c r="F217" s="13"/>
      <c r="G217" s="13"/>
      <c r="H217" s="6"/>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row>
    <row r="218" spans="1:49" x14ac:dyDescent="0.25">
      <c r="A218" s="13"/>
      <c r="B218" s="13"/>
      <c r="C218" s="13"/>
      <c r="D218" s="13"/>
      <c r="E218" s="13"/>
      <c r="F218" s="13"/>
      <c r="G218" s="13"/>
      <c r="H218" s="6"/>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row>
    <row r="219" spans="1:49" x14ac:dyDescent="0.25">
      <c r="A219" s="13"/>
      <c r="B219" s="13"/>
      <c r="C219" s="13"/>
      <c r="D219" s="13"/>
      <c r="E219" s="13"/>
      <c r="F219" s="13"/>
      <c r="G219" s="13"/>
      <c r="H219" s="6"/>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row>
    <row r="220" spans="1:49" x14ac:dyDescent="0.25">
      <c r="A220" s="13"/>
      <c r="B220" s="13"/>
      <c r="C220" s="13"/>
      <c r="D220" s="13"/>
      <c r="E220" s="13"/>
      <c r="F220" s="13"/>
      <c r="G220" s="13"/>
      <c r="H220" s="6"/>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row>
    <row r="221" spans="1:49" x14ac:dyDescent="0.25">
      <c r="A221" s="13"/>
      <c r="B221" s="13"/>
      <c r="C221" s="13"/>
      <c r="D221" s="13"/>
      <c r="E221" s="13"/>
      <c r="F221" s="13"/>
      <c r="G221" s="13"/>
      <c r="H221" s="6"/>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row>
    <row r="222" spans="1:49" x14ac:dyDescent="0.25">
      <c r="A222" s="13"/>
      <c r="B222" s="13"/>
      <c r="C222" s="13"/>
      <c r="D222" s="13"/>
      <c r="E222" s="13"/>
      <c r="F222" s="13"/>
      <c r="G222" s="13"/>
      <c r="H222" s="6"/>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row>
    <row r="223" spans="1:49" x14ac:dyDescent="0.25">
      <c r="A223" s="13"/>
      <c r="B223" s="13"/>
      <c r="C223" s="13"/>
      <c r="D223" s="13"/>
      <c r="E223" s="13"/>
      <c r="F223" s="13"/>
      <c r="G223" s="13"/>
      <c r="H223" s="6"/>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row>
    <row r="224" spans="1:49" x14ac:dyDescent="0.25">
      <c r="A224" s="13"/>
      <c r="B224" s="13"/>
      <c r="C224" s="13"/>
      <c r="D224" s="13"/>
      <c r="E224" s="13"/>
      <c r="F224" s="13"/>
      <c r="G224" s="13"/>
      <c r="H224" s="6"/>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row>
    <row r="225" spans="1:49" x14ac:dyDescent="0.25">
      <c r="A225" s="13"/>
      <c r="B225" s="13"/>
      <c r="C225" s="13"/>
      <c r="D225" s="13"/>
      <c r="E225" s="13"/>
      <c r="F225" s="13"/>
      <c r="G225" s="13"/>
      <c r="H225" s="6"/>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row>
    <row r="226" spans="1:49" x14ac:dyDescent="0.25">
      <c r="A226" s="13"/>
      <c r="B226" s="13"/>
      <c r="C226" s="13"/>
      <c r="D226" s="13"/>
      <c r="E226" s="13"/>
      <c r="F226" s="13"/>
      <c r="G226" s="13"/>
      <c r="H226" s="6"/>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row>
    <row r="227" spans="1:49" x14ac:dyDescent="0.25">
      <c r="A227" s="13"/>
      <c r="B227" s="13"/>
      <c r="C227" s="13"/>
      <c r="D227" s="13"/>
      <c r="E227" s="13"/>
      <c r="F227" s="13"/>
      <c r="G227" s="13"/>
      <c r="H227" s="6"/>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row>
    <row r="228" spans="1:49" x14ac:dyDescent="0.25">
      <c r="A228" s="13"/>
      <c r="B228" s="13"/>
      <c r="C228" s="13"/>
      <c r="D228" s="13"/>
      <c r="E228" s="13"/>
      <c r="F228" s="13"/>
      <c r="G228" s="13"/>
      <c r="H228" s="6"/>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row>
    <row r="229" spans="1:49" x14ac:dyDescent="0.25">
      <c r="A229" s="13"/>
      <c r="B229" s="13"/>
      <c r="C229" s="13"/>
      <c r="D229" s="13"/>
      <c r="E229" s="13"/>
      <c r="F229" s="13"/>
      <c r="G229" s="13"/>
      <c r="H229" s="6"/>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row>
    <row r="230" spans="1:49" x14ac:dyDescent="0.25">
      <c r="A230" s="13"/>
      <c r="B230" s="13"/>
      <c r="C230" s="13"/>
      <c r="D230" s="13"/>
      <c r="E230" s="13"/>
      <c r="F230" s="13"/>
      <c r="G230" s="13"/>
      <c r="H230" s="6"/>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row>
    <row r="231" spans="1:49" x14ac:dyDescent="0.25">
      <c r="A231" s="13"/>
      <c r="B231" s="13"/>
      <c r="C231" s="13"/>
      <c r="D231" s="13"/>
      <c r="E231" s="13"/>
      <c r="F231" s="13"/>
      <c r="G231" s="13"/>
      <c r="H231" s="6"/>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row>
    <row r="232" spans="1:49" x14ac:dyDescent="0.25">
      <c r="A232" s="13"/>
      <c r="B232" s="13"/>
      <c r="C232" s="13"/>
      <c r="D232" s="13"/>
      <c r="E232" s="13"/>
      <c r="F232" s="13"/>
      <c r="G232" s="13"/>
      <c r="H232" s="6"/>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row>
    <row r="233" spans="1:49" x14ac:dyDescent="0.25">
      <c r="A233" s="13"/>
      <c r="B233" s="13"/>
      <c r="C233" s="13"/>
      <c r="D233" s="13"/>
      <c r="E233" s="13"/>
      <c r="F233" s="13"/>
      <c r="G233" s="13"/>
      <c r="H233" s="6"/>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row>
    <row r="234" spans="1:49" x14ac:dyDescent="0.25">
      <c r="A234" s="13"/>
      <c r="B234" s="13"/>
      <c r="C234" s="13"/>
      <c r="D234" s="13"/>
      <c r="E234" s="13"/>
      <c r="F234" s="13"/>
      <c r="G234" s="13"/>
      <c r="H234" s="6"/>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row>
    <row r="235" spans="1:49" x14ac:dyDescent="0.25">
      <c r="A235" s="13"/>
      <c r="B235" s="13"/>
      <c r="C235" s="13"/>
      <c r="D235" s="13"/>
      <c r="E235" s="13"/>
      <c r="F235" s="13"/>
      <c r="G235" s="13"/>
      <c r="H235" s="6"/>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row>
    <row r="236" spans="1:49" x14ac:dyDescent="0.25">
      <c r="A236" s="13"/>
      <c r="B236" s="13"/>
      <c r="C236" s="13"/>
      <c r="D236" s="13"/>
      <c r="E236" s="13"/>
      <c r="F236" s="13"/>
      <c r="G236" s="13"/>
      <c r="H236" s="6"/>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row>
    <row r="237" spans="1:49" x14ac:dyDescent="0.25">
      <c r="A237" s="13"/>
      <c r="B237" s="13"/>
      <c r="C237" s="13"/>
      <c r="D237" s="13"/>
      <c r="E237" s="13"/>
      <c r="F237" s="13"/>
      <c r="G237" s="13"/>
      <c r="H237" s="6"/>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row>
    <row r="238" spans="1:49" x14ac:dyDescent="0.25">
      <c r="A238" s="13"/>
      <c r="B238" s="13"/>
      <c r="C238" s="13"/>
      <c r="D238" s="13"/>
      <c r="E238" s="13"/>
      <c r="F238" s="13"/>
      <c r="G238" s="13"/>
      <c r="H238" s="6"/>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row>
    <row r="239" spans="1:49" x14ac:dyDescent="0.25">
      <c r="A239" s="13"/>
      <c r="B239" s="13"/>
      <c r="C239" s="13"/>
      <c r="D239" s="13"/>
      <c r="E239" s="13"/>
      <c r="F239" s="13"/>
      <c r="G239" s="13"/>
      <c r="H239" s="6"/>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row>
    <row r="240" spans="1:49" x14ac:dyDescent="0.25">
      <c r="A240" s="13"/>
      <c r="B240" s="13"/>
      <c r="C240" s="13"/>
      <c r="D240" s="13"/>
      <c r="E240" s="13"/>
      <c r="F240" s="13"/>
      <c r="G240" s="13"/>
      <c r="H240" s="6"/>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row>
    <row r="241" spans="1:49" x14ac:dyDescent="0.25">
      <c r="A241" s="13"/>
      <c r="B241" s="13"/>
      <c r="C241" s="13"/>
      <c r="D241" s="13"/>
      <c r="E241" s="13"/>
      <c r="F241" s="13"/>
      <c r="G241" s="13"/>
      <c r="H241" s="6"/>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row>
    <row r="242" spans="1:49" x14ac:dyDescent="0.25">
      <c r="A242" s="13"/>
      <c r="B242" s="13"/>
      <c r="C242" s="13"/>
      <c r="D242" s="13"/>
      <c r="E242" s="13"/>
      <c r="F242" s="13"/>
      <c r="G242" s="13"/>
      <c r="H242" s="6"/>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row>
    <row r="243" spans="1:49" x14ac:dyDescent="0.25">
      <c r="A243" s="13"/>
      <c r="B243" s="13"/>
      <c r="C243" s="13"/>
      <c r="D243" s="13"/>
      <c r="E243" s="13"/>
      <c r="F243" s="13"/>
      <c r="G243" s="13"/>
      <c r="H243" s="6"/>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row>
    <row r="244" spans="1:49" x14ac:dyDescent="0.25">
      <c r="A244" s="13"/>
      <c r="B244" s="13"/>
      <c r="C244" s="13"/>
      <c r="D244" s="13"/>
      <c r="E244" s="13"/>
      <c r="F244" s="13"/>
      <c r="G244" s="13"/>
      <c r="H244" s="6"/>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row>
    <row r="245" spans="1:49" x14ac:dyDescent="0.25">
      <c r="A245" s="13"/>
      <c r="B245" s="13"/>
      <c r="C245" s="13"/>
      <c r="D245" s="13"/>
      <c r="E245" s="13"/>
      <c r="F245" s="13"/>
      <c r="G245" s="13"/>
      <c r="H245" s="6"/>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row>
    <row r="246" spans="1:49" x14ac:dyDescent="0.25">
      <c r="A246" s="13"/>
      <c r="B246" s="13"/>
      <c r="C246" s="13"/>
      <c r="D246" s="13"/>
      <c r="E246" s="13"/>
      <c r="F246" s="13"/>
      <c r="G246" s="13"/>
      <c r="H246" s="6"/>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row>
    <row r="247" spans="1:49" x14ac:dyDescent="0.25">
      <c r="A247" s="13"/>
      <c r="B247" s="13"/>
      <c r="C247" s="13"/>
      <c r="D247" s="13"/>
      <c r="E247" s="13"/>
      <c r="F247" s="13"/>
      <c r="G247" s="13"/>
      <c r="H247" s="6"/>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row>
    <row r="248" spans="1:49" x14ac:dyDescent="0.25">
      <c r="A248" s="13"/>
      <c r="B248" s="13"/>
      <c r="C248" s="13"/>
      <c r="D248" s="13"/>
      <c r="E248" s="13"/>
      <c r="F248" s="13"/>
      <c r="G248" s="13"/>
      <c r="H248" s="6"/>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row>
    <row r="249" spans="1:49" x14ac:dyDescent="0.25">
      <c r="A249" s="13"/>
      <c r="B249" s="13"/>
      <c r="C249" s="13"/>
      <c r="D249" s="13"/>
      <c r="E249" s="13"/>
      <c r="F249" s="13"/>
      <c r="G249" s="13"/>
      <c r="H249" s="6"/>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row>
    <row r="250" spans="1:49" x14ac:dyDescent="0.25">
      <c r="A250" s="13"/>
      <c r="B250" s="13"/>
      <c r="C250" s="13"/>
      <c r="D250" s="13"/>
      <c r="E250" s="13"/>
      <c r="F250" s="13"/>
      <c r="G250" s="13"/>
      <c r="H250" s="6"/>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row>
    <row r="251" spans="1:49" x14ac:dyDescent="0.25">
      <c r="A251" s="13"/>
      <c r="B251" s="13"/>
      <c r="C251" s="13"/>
      <c r="D251" s="13"/>
      <c r="E251" s="13"/>
      <c r="F251" s="13"/>
      <c r="G251" s="13"/>
      <c r="H251" s="6"/>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row>
    <row r="252" spans="1:49" x14ac:dyDescent="0.25">
      <c r="A252" s="13"/>
      <c r="B252" s="13"/>
      <c r="C252" s="13"/>
      <c r="D252" s="13"/>
      <c r="E252" s="13"/>
      <c r="F252" s="13"/>
      <c r="G252" s="13"/>
      <c r="H252" s="6"/>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row>
    <row r="253" spans="1:49" x14ac:dyDescent="0.25">
      <c r="A253" s="13"/>
      <c r="B253" s="13"/>
      <c r="C253" s="13"/>
      <c r="D253" s="13"/>
      <c r="E253" s="13"/>
      <c r="F253" s="13"/>
      <c r="G253" s="13"/>
      <c r="H253" s="6"/>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row>
    <row r="254" spans="1:49" x14ac:dyDescent="0.25">
      <c r="A254" s="13"/>
      <c r="B254" s="13"/>
      <c r="C254" s="13"/>
      <c r="D254" s="13"/>
      <c r="E254" s="13"/>
      <c r="F254" s="13"/>
      <c r="G254" s="13"/>
      <c r="H254" s="6"/>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row>
    <row r="255" spans="1:49" x14ac:dyDescent="0.25">
      <c r="A255" s="13"/>
      <c r="B255" s="13"/>
      <c r="C255" s="13"/>
      <c r="D255" s="13"/>
      <c r="E255" s="13"/>
      <c r="F255" s="13"/>
      <c r="G255" s="13"/>
      <c r="H255" s="6"/>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row>
    <row r="256" spans="1:49" x14ac:dyDescent="0.25">
      <c r="A256" s="13"/>
      <c r="B256" s="13"/>
      <c r="C256" s="13"/>
      <c r="D256" s="13"/>
      <c r="E256" s="13"/>
      <c r="F256" s="13"/>
      <c r="G256" s="13"/>
      <c r="H256" s="6"/>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row>
    <row r="257" spans="1:49" x14ac:dyDescent="0.25">
      <c r="A257" s="13"/>
      <c r="B257" s="13"/>
      <c r="C257" s="13"/>
      <c r="D257" s="13"/>
      <c r="E257" s="13"/>
      <c r="F257" s="13"/>
      <c r="G257" s="13"/>
      <c r="H257" s="6"/>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row>
    <row r="258" spans="1:49" x14ac:dyDescent="0.25">
      <c r="A258" s="13"/>
      <c r="B258" s="13"/>
      <c r="C258" s="13"/>
      <c r="D258" s="13"/>
      <c r="E258" s="13"/>
      <c r="F258" s="13"/>
      <c r="G258" s="13"/>
      <c r="H258" s="6"/>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row>
    <row r="259" spans="1:49" x14ac:dyDescent="0.25">
      <c r="A259" s="13"/>
      <c r="B259" s="13"/>
      <c r="C259" s="13"/>
      <c r="D259" s="13"/>
      <c r="E259" s="13"/>
      <c r="F259" s="13"/>
      <c r="G259" s="13"/>
      <c r="H259" s="6"/>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row>
    <row r="260" spans="1:49" x14ac:dyDescent="0.25">
      <c r="A260" s="13"/>
      <c r="B260" s="13"/>
      <c r="C260" s="13"/>
      <c r="D260" s="13"/>
      <c r="E260" s="13"/>
      <c r="F260" s="13"/>
      <c r="G260" s="13"/>
      <c r="H260" s="6"/>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row>
    <row r="261" spans="1:49" x14ac:dyDescent="0.25">
      <c r="A261" s="13"/>
      <c r="B261" s="13"/>
      <c r="C261" s="13"/>
      <c r="D261" s="13"/>
      <c r="E261" s="13"/>
      <c r="F261" s="13"/>
      <c r="G261" s="13"/>
      <c r="H261" s="6"/>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row>
    <row r="262" spans="1:49" x14ac:dyDescent="0.25">
      <c r="A262" s="13"/>
      <c r="B262" s="13"/>
      <c r="C262" s="13"/>
      <c r="D262" s="13"/>
      <c r="E262" s="13"/>
      <c r="F262" s="13"/>
      <c r="G262" s="13"/>
      <c r="H262" s="6"/>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row>
    <row r="263" spans="1:49" x14ac:dyDescent="0.25">
      <c r="A263" s="13"/>
      <c r="B263" s="13"/>
      <c r="C263" s="13"/>
      <c r="D263" s="13"/>
      <c r="E263" s="13"/>
      <c r="F263" s="13"/>
      <c r="G263" s="13"/>
      <c r="H263" s="6"/>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row>
    <row r="264" spans="1:49" x14ac:dyDescent="0.25">
      <c r="A264" s="13"/>
      <c r="B264" s="13"/>
      <c r="C264" s="13"/>
      <c r="D264" s="13"/>
      <c r="E264" s="13"/>
      <c r="F264" s="13"/>
      <c r="G264" s="13"/>
      <c r="H264" s="6"/>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row>
    <row r="265" spans="1:49" x14ac:dyDescent="0.25">
      <c r="A265" s="13"/>
      <c r="B265" s="13"/>
      <c r="C265" s="13"/>
      <c r="D265" s="13"/>
      <c r="E265" s="13"/>
      <c r="F265" s="13"/>
      <c r="G265" s="13"/>
      <c r="H265" s="6"/>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row>
    <row r="266" spans="1:49" x14ac:dyDescent="0.25">
      <c r="A266" s="13"/>
      <c r="B266" s="13"/>
      <c r="C266" s="13"/>
      <c r="D266" s="13"/>
      <c r="E266" s="13"/>
      <c r="F266" s="13"/>
      <c r="G266" s="13"/>
      <c r="H266" s="6"/>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row>
    <row r="267" spans="1:49" x14ac:dyDescent="0.25">
      <c r="A267" s="13"/>
      <c r="B267" s="13"/>
      <c r="C267" s="13"/>
      <c r="D267" s="13"/>
      <c r="E267" s="13"/>
      <c r="F267" s="13"/>
      <c r="G267" s="13"/>
      <c r="H267" s="6"/>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row>
    <row r="268" spans="1:49" x14ac:dyDescent="0.25">
      <c r="A268" s="13"/>
      <c r="B268" s="13"/>
      <c r="C268" s="13"/>
      <c r="D268" s="13"/>
      <c r="E268" s="13"/>
      <c r="F268" s="13"/>
      <c r="G268" s="13"/>
      <c r="H268" s="6"/>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row>
    <row r="269" spans="1:49" x14ac:dyDescent="0.25">
      <c r="A269" s="13"/>
      <c r="B269" s="13"/>
      <c r="C269" s="13"/>
      <c r="D269" s="13"/>
      <c r="E269" s="13"/>
      <c r="F269" s="13"/>
      <c r="G269" s="13"/>
      <c r="H269" s="6"/>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row>
    <row r="270" spans="1:49" x14ac:dyDescent="0.25">
      <c r="A270" s="13"/>
      <c r="B270" s="13"/>
      <c r="C270" s="13"/>
      <c r="D270" s="13"/>
      <c r="E270" s="13"/>
      <c r="F270" s="13"/>
      <c r="G270" s="13"/>
      <c r="H270" s="6"/>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row>
    <row r="271" spans="1:49" x14ac:dyDescent="0.25">
      <c r="A271" s="13"/>
      <c r="B271" s="13"/>
      <c r="C271" s="13"/>
      <c r="D271" s="13"/>
      <c r="E271" s="13"/>
      <c r="F271" s="13"/>
      <c r="G271" s="13"/>
      <c r="H271" s="6"/>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row>
    <row r="272" spans="1:49" x14ac:dyDescent="0.25">
      <c r="A272" s="13"/>
      <c r="B272" s="13"/>
      <c r="C272" s="13"/>
      <c r="D272" s="13"/>
      <c r="E272" s="13"/>
      <c r="F272" s="13"/>
      <c r="G272" s="13"/>
      <c r="H272" s="6"/>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row>
    <row r="273" spans="1:49" x14ac:dyDescent="0.25">
      <c r="A273" s="13"/>
      <c r="B273" s="13"/>
      <c r="C273" s="13"/>
      <c r="D273" s="13"/>
      <c r="E273" s="13"/>
      <c r="F273" s="13"/>
      <c r="G273" s="13"/>
      <c r="H273" s="6"/>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row>
    <row r="274" spans="1:49" x14ac:dyDescent="0.25">
      <c r="A274" s="13"/>
      <c r="B274" s="13"/>
      <c r="C274" s="13"/>
      <c r="D274" s="13"/>
      <c r="E274" s="13"/>
      <c r="F274" s="13"/>
      <c r="G274" s="13"/>
      <c r="H274" s="6"/>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row>
    <row r="275" spans="1:49" x14ac:dyDescent="0.25">
      <c r="A275" s="13"/>
      <c r="B275" s="13"/>
      <c r="C275" s="13"/>
      <c r="D275" s="13"/>
      <c r="E275" s="13"/>
      <c r="F275" s="13"/>
      <c r="G275" s="13"/>
      <c r="H275" s="6"/>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row>
    <row r="276" spans="1:49" x14ac:dyDescent="0.25">
      <c r="A276" s="13"/>
      <c r="B276" s="13"/>
      <c r="C276" s="13"/>
      <c r="D276" s="13"/>
      <c r="E276" s="13"/>
      <c r="F276" s="13"/>
      <c r="G276" s="13"/>
      <c r="H276" s="6"/>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row>
    <row r="277" spans="1:49" x14ac:dyDescent="0.25">
      <c r="A277" s="13"/>
      <c r="B277" s="13"/>
      <c r="C277" s="13"/>
      <c r="D277" s="13"/>
      <c r="E277" s="13"/>
      <c r="F277" s="13"/>
      <c r="G277" s="13"/>
      <c r="H277" s="6"/>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row>
    <row r="278" spans="1:49" x14ac:dyDescent="0.25">
      <c r="A278" s="13"/>
      <c r="B278" s="13"/>
      <c r="C278" s="13"/>
      <c r="D278" s="13"/>
      <c r="E278" s="13"/>
      <c r="F278" s="13"/>
      <c r="G278" s="13"/>
      <c r="H278" s="6"/>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row>
    <row r="279" spans="1:49" x14ac:dyDescent="0.25">
      <c r="A279" s="13"/>
      <c r="B279" s="13"/>
      <c r="C279" s="13"/>
      <c r="D279" s="13"/>
      <c r="E279" s="13"/>
      <c r="F279" s="13"/>
      <c r="G279" s="13"/>
      <c r="H279" s="6"/>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row>
    <row r="280" spans="1:49" x14ac:dyDescent="0.25">
      <c r="A280" s="13"/>
      <c r="B280" s="13"/>
      <c r="C280" s="13"/>
      <c r="D280" s="13"/>
      <c r="E280" s="13"/>
      <c r="F280" s="13"/>
      <c r="G280" s="13"/>
      <c r="H280" s="6"/>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row>
    <row r="281" spans="1:49" x14ac:dyDescent="0.25">
      <c r="A281" s="13"/>
      <c r="B281" s="13"/>
      <c r="C281" s="13"/>
      <c r="D281" s="13"/>
      <c r="E281" s="13"/>
      <c r="F281" s="13"/>
      <c r="G281" s="13"/>
      <c r="H281" s="6"/>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row>
    <row r="282" spans="1:49" x14ac:dyDescent="0.25">
      <c r="A282" s="13"/>
      <c r="B282" s="13"/>
      <c r="C282" s="13"/>
      <c r="D282" s="13"/>
      <c r="E282" s="13"/>
      <c r="F282" s="13"/>
      <c r="G282" s="13"/>
      <c r="H282" s="6"/>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row>
    <row r="283" spans="1:49" x14ac:dyDescent="0.25">
      <c r="A283" s="13"/>
      <c r="B283" s="13"/>
      <c r="C283" s="13"/>
      <c r="D283" s="13"/>
      <c r="E283" s="13"/>
      <c r="F283" s="13"/>
      <c r="G283" s="13"/>
      <c r="H283" s="6"/>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row>
    <row r="284" spans="1:49" x14ac:dyDescent="0.25">
      <c r="A284" s="13"/>
      <c r="B284" s="13"/>
      <c r="C284" s="13"/>
      <c r="D284" s="13"/>
      <c r="E284" s="13"/>
      <c r="F284" s="13"/>
      <c r="G284" s="13"/>
      <c r="H284" s="6"/>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row>
    <row r="285" spans="1:49" x14ac:dyDescent="0.25">
      <c r="A285" s="13"/>
      <c r="B285" s="13"/>
      <c r="C285" s="13"/>
      <c r="D285" s="13"/>
      <c r="E285" s="13"/>
      <c r="F285" s="13"/>
      <c r="G285" s="13"/>
      <c r="H285" s="6"/>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row>
    <row r="286" spans="1:49" x14ac:dyDescent="0.25">
      <c r="A286" s="13"/>
      <c r="B286" s="13"/>
      <c r="C286" s="13"/>
      <c r="D286" s="13"/>
      <c r="E286" s="13"/>
      <c r="F286" s="13"/>
      <c r="G286" s="13"/>
      <c r="H286" s="6"/>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row>
    <row r="287" spans="1:49" x14ac:dyDescent="0.25">
      <c r="A287" s="13"/>
      <c r="B287" s="13"/>
      <c r="C287" s="13"/>
      <c r="D287" s="13"/>
      <c r="E287" s="13"/>
      <c r="F287" s="13"/>
      <c r="G287" s="13"/>
      <c r="H287" s="6"/>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row>
    <row r="288" spans="1:49" x14ac:dyDescent="0.25">
      <c r="A288" s="13"/>
      <c r="B288" s="13"/>
      <c r="C288" s="13"/>
      <c r="D288" s="13"/>
      <c r="E288" s="13"/>
      <c r="F288" s="13"/>
      <c r="G288" s="13"/>
      <c r="H288" s="6"/>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row>
    <row r="289" spans="1:49" x14ac:dyDescent="0.25">
      <c r="A289" s="13"/>
      <c r="B289" s="13"/>
      <c r="C289" s="13"/>
      <c r="D289" s="13"/>
      <c r="E289" s="13"/>
      <c r="F289" s="13"/>
      <c r="G289" s="13"/>
      <c r="H289" s="6"/>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row>
    <row r="290" spans="1:49" x14ac:dyDescent="0.25">
      <c r="A290" s="13"/>
      <c r="B290" s="13"/>
      <c r="C290" s="13"/>
      <c r="D290" s="13"/>
      <c r="E290" s="13"/>
      <c r="F290" s="13"/>
      <c r="G290" s="13"/>
      <c r="H290" s="6"/>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row>
    <row r="291" spans="1:49" x14ac:dyDescent="0.25">
      <c r="A291" s="13"/>
      <c r="B291" s="13"/>
      <c r="C291" s="13"/>
      <c r="D291" s="13"/>
      <c r="E291" s="13"/>
      <c r="F291" s="13"/>
      <c r="G291" s="13"/>
      <c r="H291" s="6"/>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row>
    <row r="292" spans="1:49" x14ac:dyDescent="0.25">
      <c r="A292" s="13"/>
      <c r="B292" s="13"/>
      <c r="C292" s="13"/>
      <c r="D292" s="13"/>
      <c r="E292" s="13"/>
      <c r="F292" s="13"/>
      <c r="G292" s="13"/>
      <c r="H292" s="6"/>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row>
    <row r="293" spans="1:49" x14ac:dyDescent="0.25">
      <c r="A293" s="13"/>
      <c r="B293" s="13"/>
      <c r="C293" s="13"/>
      <c r="D293" s="13"/>
      <c r="E293" s="13"/>
      <c r="F293" s="13"/>
      <c r="G293" s="13"/>
      <c r="H293" s="6"/>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row>
    <row r="294" spans="1:49" x14ac:dyDescent="0.25">
      <c r="A294" s="13"/>
      <c r="B294" s="13"/>
      <c r="C294" s="13"/>
      <c r="D294" s="13"/>
      <c r="E294" s="13"/>
      <c r="F294" s="13"/>
      <c r="G294" s="13"/>
      <c r="H294" s="6"/>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row>
    <row r="295" spans="1:49" x14ac:dyDescent="0.25">
      <c r="A295" s="13"/>
      <c r="B295" s="13"/>
      <c r="C295" s="13"/>
      <c r="D295" s="13"/>
      <c r="E295" s="13"/>
      <c r="F295" s="13"/>
      <c r="G295" s="13"/>
      <c r="H295" s="6"/>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row>
    <row r="296" spans="1:49" x14ac:dyDescent="0.25">
      <c r="A296" s="13"/>
      <c r="B296" s="13"/>
      <c r="C296" s="13"/>
      <c r="D296" s="13"/>
      <c r="E296" s="13"/>
      <c r="F296" s="13"/>
      <c r="G296" s="13"/>
      <c r="H296" s="6"/>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row>
    <row r="297" spans="1:49" x14ac:dyDescent="0.25">
      <c r="A297" s="13"/>
      <c r="B297" s="13"/>
      <c r="C297" s="13"/>
      <c r="D297" s="13"/>
      <c r="E297" s="13"/>
      <c r="F297" s="13"/>
      <c r="G297" s="13"/>
      <c r="H297" s="6"/>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row>
    <row r="298" spans="1:49" x14ac:dyDescent="0.25">
      <c r="A298" s="13"/>
      <c r="B298" s="13"/>
      <c r="C298" s="13"/>
      <c r="D298" s="13"/>
      <c r="E298" s="13"/>
      <c r="F298" s="13"/>
      <c r="G298" s="13"/>
      <c r="H298" s="6"/>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row>
    <row r="299" spans="1:49" x14ac:dyDescent="0.25">
      <c r="A299" s="13"/>
      <c r="B299" s="13"/>
      <c r="C299" s="13"/>
      <c r="D299" s="13"/>
      <c r="E299" s="13"/>
      <c r="F299" s="13"/>
      <c r="G299" s="13"/>
      <c r="H299" s="6"/>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row>
    <row r="300" spans="1:49" x14ac:dyDescent="0.25">
      <c r="A300" s="13"/>
      <c r="B300" s="13"/>
      <c r="C300" s="13"/>
      <c r="D300" s="13"/>
      <c r="E300" s="13"/>
      <c r="F300" s="13"/>
      <c r="G300" s="13"/>
      <c r="H300" s="6"/>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row>
    <row r="301" spans="1:49" x14ac:dyDescent="0.25">
      <c r="A301" s="13"/>
      <c r="B301" s="13"/>
      <c r="C301" s="13"/>
      <c r="D301" s="13"/>
      <c r="E301" s="13"/>
      <c r="F301" s="13"/>
      <c r="G301" s="13"/>
      <c r="H301" s="6"/>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row>
    <row r="302" spans="1:49" x14ac:dyDescent="0.25">
      <c r="A302" s="13"/>
      <c r="B302" s="13"/>
      <c r="C302" s="13"/>
      <c r="D302" s="13"/>
      <c r="E302" s="13"/>
      <c r="F302" s="13"/>
      <c r="G302" s="13"/>
      <c r="H302" s="6"/>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row>
    <row r="303" spans="1:49" x14ac:dyDescent="0.25">
      <c r="A303" s="13"/>
      <c r="B303" s="13"/>
      <c r="C303" s="13"/>
      <c r="D303" s="13"/>
      <c r="E303" s="13"/>
      <c r="F303" s="13"/>
      <c r="G303" s="13"/>
      <c r="H303" s="6"/>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row>
    <row r="304" spans="1:49" x14ac:dyDescent="0.25">
      <c r="A304" s="13"/>
      <c r="B304" s="13"/>
      <c r="C304" s="13"/>
      <c r="D304" s="13"/>
      <c r="E304" s="13"/>
      <c r="F304" s="13"/>
      <c r="G304" s="13"/>
      <c r="H304" s="6"/>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row>
    <row r="305" spans="1:49" x14ac:dyDescent="0.25">
      <c r="A305" s="13"/>
      <c r="B305" s="13"/>
      <c r="C305" s="13"/>
      <c r="D305" s="13"/>
      <c r="E305" s="13"/>
      <c r="F305" s="13"/>
      <c r="G305" s="13"/>
      <c r="H305" s="6"/>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row>
    <row r="306" spans="1:49" x14ac:dyDescent="0.25">
      <c r="A306" s="13"/>
      <c r="B306" s="13"/>
      <c r="C306" s="13"/>
      <c r="D306" s="13"/>
      <c r="E306" s="13"/>
      <c r="F306" s="13"/>
      <c r="G306" s="13"/>
      <c r="H306" s="6"/>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row>
    <row r="307" spans="1:49" x14ac:dyDescent="0.25">
      <c r="A307" s="13"/>
      <c r="B307" s="13"/>
      <c r="C307" s="13"/>
      <c r="D307" s="13"/>
      <c r="E307" s="13"/>
      <c r="F307" s="13"/>
      <c r="G307" s="13"/>
      <c r="H307" s="6"/>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row>
    <row r="308" spans="1:49" x14ac:dyDescent="0.25">
      <c r="A308" s="13"/>
      <c r="B308" s="13"/>
      <c r="C308" s="13"/>
      <c r="D308" s="13"/>
      <c r="E308" s="13"/>
      <c r="F308" s="13"/>
      <c r="G308" s="13"/>
      <c r="H308" s="6"/>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row>
    <row r="309" spans="1:49" x14ac:dyDescent="0.25">
      <c r="A309" s="13"/>
      <c r="B309" s="13"/>
      <c r="C309" s="13"/>
      <c r="D309" s="13"/>
      <c r="E309" s="13"/>
      <c r="F309" s="13"/>
      <c r="G309" s="13"/>
      <c r="H309" s="6"/>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row>
    <row r="310" spans="1:49" x14ac:dyDescent="0.25">
      <c r="A310" s="13"/>
      <c r="B310" s="13"/>
      <c r="C310" s="13"/>
      <c r="D310" s="13"/>
      <c r="E310" s="13"/>
      <c r="F310" s="13"/>
      <c r="G310" s="13"/>
      <c r="H310" s="6"/>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row>
    <row r="311" spans="1:49" x14ac:dyDescent="0.25">
      <c r="A311" s="13"/>
      <c r="B311" s="13"/>
      <c r="C311" s="13"/>
      <c r="D311" s="13"/>
      <c r="E311" s="13"/>
      <c r="F311" s="13"/>
      <c r="G311" s="13"/>
      <c r="H311" s="6"/>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row>
    <row r="312" spans="1:49" x14ac:dyDescent="0.25">
      <c r="A312" s="13"/>
      <c r="B312" s="13"/>
      <c r="C312" s="13"/>
      <c r="D312" s="13"/>
      <c r="E312" s="13"/>
      <c r="F312" s="13"/>
      <c r="G312" s="13"/>
      <c r="H312" s="6"/>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row>
    <row r="313" spans="1:49" x14ac:dyDescent="0.25">
      <c r="A313" s="13"/>
      <c r="B313" s="13"/>
      <c r="C313" s="13"/>
      <c r="D313" s="13"/>
      <c r="E313" s="13"/>
      <c r="F313" s="13"/>
      <c r="G313" s="13"/>
      <c r="H313" s="6"/>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row>
    <row r="314" spans="1:49" x14ac:dyDescent="0.25">
      <c r="A314" s="13"/>
      <c r="B314" s="13"/>
      <c r="C314" s="13"/>
      <c r="D314" s="13"/>
      <c r="E314" s="13"/>
      <c r="F314" s="13"/>
      <c r="G314" s="13"/>
      <c r="H314" s="6"/>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row>
    <row r="315" spans="1:49" x14ac:dyDescent="0.25">
      <c r="A315" s="13"/>
      <c r="B315" s="13"/>
      <c r="C315" s="13"/>
      <c r="D315" s="13"/>
      <c r="E315" s="13"/>
      <c r="F315" s="13"/>
      <c r="G315" s="13"/>
      <c r="H315" s="6"/>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row>
    <row r="316" spans="1:49" x14ac:dyDescent="0.25">
      <c r="A316" s="13"/>
      <c r="B316" s="13"/>
      <c r="C316" s="13"/>
      <c r="D316" s="13"/>
      <c r="E316" s="13"/>
      <c r="F316" s="13"/>
      <c r="G316" s="13"/>
      <c r="H316" s="6"/>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row>
    <row r="317" spans="1:49" x14ac:dyDescent="0.25">
      <c r="A317" s="13"/>
      <c r="B317" s="13"/>
      <c r="C317" s="13"/>
      <c r="D317" s="13"/>
      <c r="E317" s="13"/>
      <c r="F317" s="13"/>
      <c r="G317" s="13"/>
      <c r="H317" s="6"/>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row>
    <row r="318" spans="1:49" x14ac:dyDescent="0.25">
      <c r="A318" s="13"/>
      <c r="B318" s="13"/>
      <c r="C318" s="13"/>
      <c r="D318" s="13"/>
      <c r="E318" s="13"/>
      <c r="F318" s="13"/>
      <c r="G318" s="13"/>
      <c r="H318" s="6"/>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row>
    <row r="319" spans="1:49" x14ac:dyDescent="0.25">
      <c r="A319" s="13"/>
      <c r="B319" s="13"/>
      <c r="C319" s="13"/>
      <c r="D319" s="13"/>
      <c r="E319" s="13"/>
      <c r="F319" s="13"/>
      <c r="G319" s="13"/>
      <c r="H319" s="6"/>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row>
    <row r="320" spans="1:49" x14ac:dyDescent="0.25">
      <c r="A320" s="13"/>
      <c r="B320" s="13"/>
      <c r="C320" s="13"/>
      <c r="D320" s="13"/>
      <c r="E320" s="13"/>
      <c r="F320" s="13"/>
      <c r="G320" s="13"/>
      <c r="H320" s="6"/>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row>
    <row r="321" spans="1:49" x14ac:dyDescent="0.25">
      <c r="A321" s="13"/>
      <c r="B321" s="13"/>
      <c r="C321" s="13"/>
      <c r="D321" s="13"/>
      <c r="E321" s="13"/>
      <c r="F321" s="13"/>
      <c r="G321" s="13"/>
      <c r="H321" s="6"/>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row>
    <row r="322" spans="1:49" x14ac:dyDescent="0.25">
      <c r="A322" s="13"/>
      <c r="B322" s="13"/>
      <c r="C322" s="13"/>
      <c r="D322" s="13"/>
      <c r="E322" s="13"/>
      <c r="F322" s="13"/>
      <c r="G322" s="13"/>
      <c r="H322" s="6"/>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row>
    <row r="323" spans="1:49" x14ac:dyDescent="0.25">
      <c r="A323" s="13"/>
      <c r="B323" s="13"/>
      <c r="C323" s="13"/>
      <c r="D323" s="13"/>
      <c r="E323" s="13"/>
      <c r="F323" s="13"/>
      <c r="G323" s="13"/>
      <c r="H323" s="6"/>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row>
    <row r="324" spans="1:49" x14ac:dyDescent="0.25">
      <c r="A324" s="13"/>
      <c r="B324" s="13"/>
      <c r="C324" s="13"/>
      <c r="D324" s="13"/>
      <c r="E324" s="13"/>
      <c r="F324" s="13"/>
      <c r="G324" s="13"/>
      <c r="H324" s="6"/>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row>
    <row r="325" spans="1:49" x14ac:dyDescent="0.25">
      <c r="A325" s="13"/>
      <c r="B325" s="13"/>
      <c r="C325" s="13"/>
      <c r="D325" s="13"/>
      <c r="E325" s="13"/>
      <c r="F325" s="13"/>
      <c r="G325" s="13"/>
      <c r="H325" s="6"/>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row>
    <row r="326" spans="1:49" x14ac:dyDescent="0.25">
      <c r="A326" s="13"/>
      <c r="B326" s="13"/>
      <c r="C326" s="13"/>
      <c r="D326" s="13"/>
      <c r="E326" s="13"/>
      <c r="F326" s="13"/>
      <c r="G326" s="13"/>
      <c r="H326" s="6"/>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row>
    <row r="327" spans="1:49" x14ac:dyDescent="0.25">
      <c r="A327" s="13"/>
      <c r="B327" s="13"/>
      <c r="C327" s="13"/>
      <c r="D327" s="13"/>
      <c r="E327" s="13"/>
      <c r="F327" s="13"/>
      <c r="G327" s="13"/>
      <c r="H327" s="6"/>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row>
    <row r="328" spans="1:49" x14ac:dyDescent="0.25">
      <c r="A328" s="13"/>
      <c r="B328" s="13"/>
      <c r="C328" s="13"/>
      <c r="D328" s="13"/>
      <c r="E328" s="13"/>
      <c r="F328" s="13"/>
      <c r="G328" s="13"/>
      <c r="H328" s="6"/>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row>
    <row r="329" spans="1:49" x14ac:dyDescent="0.25">
      <c r="A329" s="13"/>
      <c r="B329" s="13"/>
      <c r="C329" s="13"/>
      <c r="D329" s="13"/>
      <c r="E329" s="13"/>
      <c r="F329" s="13"/>
      <c r="G329" s="13"/>
      <c r="H329" s="6"/>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row>
    <row r="330" spans="1:49" x14ac:dyDescent="0.25">
      <c r="A330" s="13"/>
      <c r="B330" s="13"/>
      <c r="C330" s="13"/>
      <c r="D330" s="13"/>
      <c r="E330" s="13"/>
      <c r="F330" s="13"/>
      <c r="G330" s="13"/>
      <c r="H330" s="6"/>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row>
    <row r="331" spans="1:49" x14ac:dyDescent="0.25">
      <c r="A331" s="13"/>
      <c r="B331" s="13"/>
      <c r="C331" s="13"/>
      <c r="D331" s="13"/>
      <c r="E331" s="13"/>
      <c r="F331" s="13"/>
      <c r="G331" s="13"/>
      <c r="H331" s="6"/>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row>
    <row r="332" spans="1:49" x14ac:dyDescent="0.25">
      <c r="A332" s="13"/>
      <c r="B332" s="13"/>
      <c r="C332" s="13"/>
      <c r="D332" s="13"/>
      <c r="E332" s="13"/>
      <c r="F332" s="13"/>
      <c r="G332" s="13"/>
      <c r="H332" s="6"/>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row>
    <row r="333" spans="1:49" x14ac:dyDescent="0.25">
      <c r="A333" s="13"/>
      <c r="B333" s="13"/>
      <c r="C333" s="13"/>
      <c r="D333" s="13"/>
      <c r="E333" s="13"/>
      <c r="F333" s="13"/>
      <c r="G333" s="13"/>
      <c r="H333" s="6"/>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row>
    <row r="334" spans="1:49" x14ac:dyDescent="0.25">
      <c r="A334" s="13"/>
      <c r="B334" s="13"/>
      <c r="C334" s="13"/>
      <c r="D334" s="13"/>
      <c r="E334" s="13"/>
      <c r="F334" s="13"/>
      <c r="G334" s="13"/>
      <c r="H334" s="6"/>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row>
    <row r="335" spans="1:49" x14ac:dyDescent="0.25">
      <c r="A335" s="13"/>
      <c r="B335" s="13"/>
      <c r="C335" s="13"/>
      <c r="D335" s="13"/>
      <c r="E335" s="13"/>
      <c r="F335" s="13"/>
      <c r="G335" s="13"/>
      <c r="H335" s="6"/>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row>
    <row r="336" spans="1:49" x14ac:dyDescent="0.25">
      <c r="A336" s="13"/>
      <c r="B336" s="13"/>
      <c r="C336" s="13"/>
      <c r="D336" s="13"/>
      <c r="E336" s="13"/>
      <c r="F336" s="13"/>
      <c r="G336" s="13"/>
      <c r="H336" s="6"/>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row>
    <row r="337" spans="1:49" x14ac:dyDescent="0.25">
      <c r="A337" s="13"/>
      <c r="B337" s="13"/>
      <c r="C337" s="13"/>
      <c r="D337" s="13"/>
      <c r="E337" s="13"/>
      <c r="F337" s="13"/>
      <c r="G337" s="13"/>
      <c r="H337" s="6"/>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row>
    <row r="338" spans="1:49" x14ac:dyDescent="0.25">
      <c r="A338" s="13"/>
      <c r="B338" s="13"/>
      <c r="C338" s="13"/>
      <c r="D338" s="13"/>
      <c r="E338" s="13"/>
      <c r="F338" s="13"/>
      <c r="G338" s="13"/>
      <c r="H338" s="6"/>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row>
    <row r="339" spans="1:49" x14ac:dyDescent="0.25">
      <c r="A339" s="13"/>
      <c r="B339" s="13"/>
      <c r="C339" s="13"/>
      <c r="D339" s="13"/>
      <c r="E339" s="13"/>
      <c r="F339" s="13"/>
      <c r="G339" s="13"/>
      <c r="H339" s="6"/>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row>
    <row r="340" spans="1:49" x14ac:dyDescent="0.25">
      <c r="A340" s="13"/>
      <c r="B340" s="13"/>
      <c r="C340" s="13"/>
      <c r="D340" s="13"/>
      <c r="E340" s="13"/>
      <c r="F340" s="13"/>
      <c r="G340" s="13"/>
      <c r="H340" s="6"/>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row>
    <row r="341" spans="1:49" x14ac:dyDescent="0.25">
      <c r="A341" s="13"/>
      <c r="B341" s="13"/>
      <c r="C341" s="13"/>
      <c r="D341" s="13"/>
      <c r="E341" s="13"/>
      <c r="F341" s="13"/>
      <c r="G341" s="13"/>
      <c r="H341" s="6"/>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row>
    <row r="342" spans="1:49" x14ac:dyDescent="0.25">
      <c r="A342" s="13"/>
      <c r="B342" s="13"/>
      <c r="C342" s="13"/>
      <c r="D342" s="13"/>
      <c r="E342" s="13"/>
      <c r="F342" s="13"/>
      <c r="G342" s="13"/>
      <c r="H342" s="6"/>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row>
    <row r="343" spans="1:49" x14ac:dyDescent="0.25">
      <c r="A343" s="13"/>
      <c r="B343" s="13"/>
      <c r="C343" s="13"/>
      <c r="D343" s="13"/>
      <c r="E343" s="13"/>
      <c r="F343" s="13"/>
      <c r="G343" s="13"/>
      <c r="H343" s="6"/>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row>
    <row r="344" spans="1:49" x14ac:dyDescent="0.25">
      <c r="A344" s="13"/>
      <c r="B344" s="13"/>
      <c r="C344" s="13"/>
      <c r="D344" s="13"/>
      <c r="E344" s="13"/>
      <c r="F344" s="13"/>
      <c r="G344" s="13"/>
      <c r="H344" s="6"/>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row>
    <row r="345" spans="1:49" x14ac:dyDescent="0.25">
      <c r="A345" s="13"/>
      <c r="B345" s="13"/>
      <c r="C345" s="13"/>
      <c r="D345" s="13"/>
      <c r="E345" s="13"/>
      <c r="F345" s="13"/>
      <c r="G345" s="13"/>
      <c r="H345" s="6"/>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row>
    <row r="346" spans="1:49" x14ac:dyDescent="0.25">
      <c r="A346" s="13"/>
      <c r="B346" s="13"/>
      <c r="C346" s="13"/>
      <c r="D346" s="13"/>
      <c r="E346" s="13"/>
      <c r="F346" s="13"/>
      <c r="G346" s="13"/>
      <c r="H346" s="6"/>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row>
    <row r="347" spans="1:49" x14ac:dyDescent="0.25">
      <c r="A347" s="13"/>
      <c r="B347" s="13"/>
      <c r="C347" s="13"/>
      <c r="D347" s="13"/>
      <c r="E347" s="13"/>
      <c r="F347" s="13"/>
      <c r="G347" s="13"/>
      <c r="H347" s="6"/>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row>
    <row r="348" spans="1:49" x14ac:dyDescent="0.25">
      <c r="A348" s="13"/>
      <c r="B348" s="13"/>
      <c r="C348" s="13"/>
      <c r="D348" s="13"/>
      <c r="E348" s="13"/>
      <c r="F348" s="13"/>
      <c r="G348" s="13"/>
      <c r="H348" s="6"/>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row>
    <row r="349" spans="1:49" x14ac:dyDescent="0.25">
      <c r="A349" s="13"/>
      <c r="B349" s="13"/>
      <c r="C349" s="13"/>
      <c r="D349" s="13"/>
      <c r="E349" s="13"/>
      <c r="F349" s="13"/>
      <c r="G349" s="13"/>
      <c r="H349" s="6"/>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row>
    <row r="350" spans="1:49" x14ac:dyDescent="0.25">
      <c r="A350" s="13"/>
      <c r="B350" s="13"/>
      <c r="C350" s="13"/>
      <c r="D350" s="13"/>
      <c r="E350" s="13"/>
      <c r="F350" s="13"/>
      <c r="G350" s="13"/>
      <c r="H350" s="6"/>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row>
    <row r="351" spans="1:49" x14ac:dyDescent="0.25">
      <c r="A351" s="13"/>
      <c r="B351" s="13"/>
      <c r="C351" s="13"/>
      <c r="D351" s="13"/>
      <c r="E351" s="13"/>
      <c r="F351" s="13"/>
      <c r="G351" s="13"/>
      <c r="H351" s="6"/>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row>
    <row r="352" spans="1:49" x14ac:dyDescent="0.25">
      <c r="A352" s="13"/>
      <c r="B352" s="13"/>
      <c r="C352" s="13"/>
      <c r="D352" s="13"/>
      <c r="E352" s="13"/>
      <c r="F352" s="13"/>
      <c r="G352" s="13"/>
      <c r="H352" s="6"/>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row>
    <row r="353" spans="1:49" x14ac:dyDescent="0.25">
      <c r="A353" s="13"/>
      <c r="B353" s="13"/>
      <c r="C353" s="13"/>
      <c r="D353" s="13"/>
      <c r="E353" s="13"/>
      <c r="F353" s="13"/>
      <c r="G353" s="13"/>
      <c r="H353" s="6"/>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row>
    <row r="354" spans="1:49" x14ac:dyDescent="0.25">
      <c r="A354" s="13"/>
      <c r="B354" s="13"/>
      <c r="C354" s="13"/>
      <c r="D354" s="13"/>
      <c r="E354" s="13"/>
      <c r="F354" s="13"/>
      <c r="G354" s="13"/>
      <c r="H354" s="6"/>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row>
    <row r="355" spans="1:49" x14ac:dyDescent="0.25">
      <c r="A355" s="13"/>
      <c r="B355" s="13"/>
      <c r="C355" s="13"/>
      <c r="D355" s="13"/>
      <c r="E355" s="13"/>
      <c r="F355" s="13"/>
      <c r="G355" s="13"/>
      <c r="H355" s="6"/>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row>
    <row r="356" spans="1:49" x14ac:dyDescent="0.25">
      <c r="A356" s="13"/>
      <c r="B356" s="13"/>
      <c r="C356" s="13"/>
      <c r="D356" s="13"/>
      <c r="E356" s="13"/>
      <c r="F356" s="13"/>
      <c r="G356" s="13"/>
      <c r="H356" s="6"/>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row>
    <row r="357" spans="1:49" x14ac:dyDescent="0.25">
      <c r="A357" s="13"/>
      <c r="B357" s="13"/>
      <c r="C357" s="13"/>
      <c r="D357" s="13"/>
      <c r="E357" s="13"/>
      <c r="F357" s="13"/>
      <c r="G357" s="13"/>
      <c r="H357" s="6"/>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row>
    <row r="358" spans="1:49" x14ac:dyDescent="0.25">
      <c r="A358" s="13"/>
      <c r="B358" s="13"/>
      <c r="C358" s="13"/>
      <c r="D358" s="13"/>
      <c r="E358" s="13"/>
      <c r="F358" s="13"/>
      <c r="G358" s="13"/>
      <c r="H358" s="6"/>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row>
    <row r="359" spans="1:49" x14ac:dyDescent="0.25">
      <c r="A359" s="13"/>
      <c r="B359" s="13"/>
      <c r="C359" s="13"/>
      <c r="D359" s="13"/>
      <c r="E359" s="13"/>
      <c r="F359" s="13"/>
      <c r="G359" s="13"/>
      <c r="H359" s="6"/>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row>
    <row r="360" spans="1:49" x14ac:dyDescent="0.25">
      <c r="A360" s="13"/>
      <c r="B360" s="13"/>
      <c r="C360" s="13"/>
      <c r="D360" s="13"/>
      <c r="E360" s="13"/>
      <c r="F360" s="13"/>
      <c r="G360" s="13"/>
      <c r="H360" s="6"/>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row>
    <row r="361" spans="1:49" x14ac:dyDescent="0.25">
      <c r="A361" s="13"/>
      <c r="B361" s="13"/>
      <c r="C361" s="13"/>
      <c r="D361" s="13"/>
      <c r="E361" s="13"/>
      <c r="F361" s="13"/>
      <c r="G361" s="13"/>
      <c r="H361" s="6"/>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row>
    <row r="362" spans="1:49" x14ac:dyDescent="0.25">
      <c r="A362" s="13"/>
      <c r="B362" s="13"/>
      <c r="C362" s="13"/>
      <c r="D362" s="13"/>
      <c r="E362" s="13"/>
      <c r="F362" s="13"/>
      <c r="G362" s="13"/>
      <c r="H362" s="6"/>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row>
    <row r="363" spans="1:49" x14ac:dyDescent="0.25">
      <c r="A363" s="13"/>
      <c r="B363" s="13"/>
      <c r="C363" s="13"/>
      <c r="D363" s="13"/>
      <c r="E363" s="13"/>
      <c r="F363" s="13"/>
      <c r="G363" s="13"/>
      <c r="H363" s="6"/>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row>
    <row r="364" spans="1:49" x14ac:dyDescent="0.25">
      <c r="A364" s="13"/>
      <c r="B364" s="13"/>
      <c r="C364" s="13"/>
      <c r="D364" s="13"/>
      <c r="E364" s="13"/>
      <c r="F364" s="13"/>
      <c r="G364" s="13"/>
      <c r="H364" s="6"/>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row>
    <row r="365" spans="1:49" x14ac:dyDescent="0.25">
      <c r="A365" s="13"/>
      <c r="B365" s="13"/>
      <c r="C365" s="13"/>
      <c r="D365" s="13"/>
      <c r="E365" s="13"/>
      <c r="F365" s="13"/>
      <c r="G365" s="13"/>
      <c r="H365" s="6"/>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row>
    <row r="366" spans="1:49" x14ac:dyDescent="0.25">
      <c r="A366" s="13"/>
      <c r="B366" s="13"/>
      <c r="C366" s="13"/>
      <c r="D366" s="13"/>
      <c r="E366" s="13"/>
      <c r="F366" s="13"/>
      <c r="G366" s="13"/>
      <c r="H366" s="6"/>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row>
    <row r="367" spans="1:49" x14ac:dyDescent="0.25">
      <c r="A367" s="13"/>
      <c r="B367" s="13"/>
      <c r="C367" s="13"/>
      <c r="D367" s="13"/>
      <c r="E367" s="13"/>
      <c r="F367" s="13"/>
      <c r="G367" s="13"/>
      <c r="H367" s="6"/>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row>
    <row r="368" spans="1:49" x14ac:dyDescent="0.25">
      <c r="A368" s="13"/>
      <c r="B368" s="13"/>
      <c r="C368" s="13"/>
      <c r="D368" s="13"/>
      <c r="E368" s="13"/>
      <c r="F368" s="13"/>
      <c r="G368" s="13"/>
      <c r="H368" s="6"/>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row>
    <row r="369" spans="1:49" x14ac:dyDescent="0.25">
      <c r="A369" s="13"/>
      <c r="B369" s="13"/>
      <c r="C369" s="13"/>
      <c r="D369" s="13"/>
      <c r="E369" s="13"/>
      <c r="F369" s="13"/>
      <c r="G369" s="13"/>
      <c r="H369" s="6"/>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row>
    <row r="370" spans="1:49" x14ac:dyDescent="0.25">
      <c r="A370" s="13"/>
      <c r="B370" s="13"/>
      <c r="C370" s="13"/>
      <c r="D370" s="13"/>
      <c r="E370" s="13"/>
      <c r="F370" s="13"/>
      <c r="G370" s="13"/>
      <c r="H370" s="6"/>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row>
    <row r="371" spans="1:49" x14ac:dyDescent="0.25">
      <c r="A371" s="13"/>
      <c r="B371" s="13"/>
      <c r="C371" s="13"/>
      <c r="D371" s="13"/>
      <c r="E371" s="13"/>
      <c r="F371" s="13"/>
      <c r="G371" s="13"/>
      <c r="H371" s="6"/>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row>
    <row r="372" spans="1:49" x14ac:dyDescent="0.25">
      <c r="A372" s="13"/>
      <c r="B372" s="13"/>
      <c r="C372" s="13"/>
      <c r="D372" s="13"/>
      <c r="E372" s="13"/>
      <c r="F372" s="13"/>
      <c r="G372" s="13"/>
      <c r="H372" s="6"/>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row>
    <row r="373" spans="1:49" x14ac:dyDescent="0.25">
      <c r="A373" s="13"/>
      <c r="B373" s="13"/>
      <c r="C373" s="13"/>
      <c r="D373" s="13"/>
      <c r="E373" s="13"/>
      <c r="F373" s="13"/>
      <c r="G373" s="13"/>
      <c r="H373" s="6"/>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row>
    <row r="374" spans="1:49" x14ac:dyDescent="0.25">
      <c r="A374" s="13"/>
      <c r="B374" s="13"/>
      <c r="C374" s="13"/>
      <c r="D374" s="13"/>
      <c r="E374" s="13"/>
      <c r="F374" s="13"/>
      <c r="G374" s="13"/>
      <c r="H374" s="6"/>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row>
    <row r="375" spans="1:49" x14ac:dyDescent="0.25">
      <c r="A375" s="13"/>
      <c r="B375" s="13"/>
      <c r="C375" s="13"/>
      <c r="D375" s="13"/>
      <c r="E375" s="13"/>
      <c r="F375" s="13"/>
      <c r="G375" s="13"/>
      <c r="H375" s="6"/>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row>
    <row r="376" spans="1:49" x14ac:dyDescent="0.25">
      <c r="A376" s="13"/>
      <c r="B376" s="13"/>
      <c r="C376" s="13"/>
      <c r="D376" s="13"/>
      <c r="E376" s="13"/>
      <c r="F376" s="13"/>
      <c r="G376" s="13"/>
      <c r="H376" s="6"/>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row>
    <row r="377" spans="1:49" x14ac:dyDescent="0.25">
      <c r="A377" s="13"/>
      <c r="B377" s="13"/>
      <c r="C377" s="13"/>
      <c r="D377" s="13"/>
      <c r="E377" s="13"/>
      <c r="F377" s="13"/>
      <c r="G377" s="13"/>
      <c r="H377" s="6"/>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row>
    <row r="378" spans="1:49" x14ac:dyDescent="0.25">
      <c r="A378" s="13"/>
      <c r="B378" s="13"/>
      <c r="C378" s="13"/>
      <c r="D378" s="13"/>
      <c r="E378" s="13"/>
      <c r="F378" s="13"/>
      <c r="G378" s="13"/>
      <c r="H378" s="6"/>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row>
    <row r="379" spans="1:49" x14ac:dyDescent="0.25">
      <c r="A379" s="13"/>
      <c r="B379" s="13"/>
      <c r="C379" s="13"/>
      <c r="D379" s="13"/>
      <c r="E379" s="13"/>
      <c r="F379" s="13"/>
      <c r="G379" s="13"/>
      <c r="H379" s="6"/>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row>
    <row r="380" spans="1:49" x14ac:dyDescent="0.25">
      <c r="A380" s="13"/>
      <c r="B380" s="13"/>
      <c r="C380" s="13"/>
      <c r="D380" s="13"/>
      <c r="E380" s="13"/>
      <c r="F380" s="13"/>
      <c r="G380" s="13"/>
      <c r="H380" s="6"/>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row>
    <row r="381" spans="1:49" x14ac:dyDescent="0.25">
      <c r="A381" s="13"/>
      <c r="B381" s="13"/>
      <c r="C381" s="13"/>
      <c r="D381" s="13"/>
      <c r="E381" s="13"/>
      <c r="F381" s="13"/>
      <c r="G381" s="13"/>
      <c r="H381" s="6"/>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row>
    <row r="382" spans="1:49" x14ac:dyDescent="0.25">
      <c r="A382" s="13"/>
      <c r="B382" s="13"/>
      <c r="C382" s="13"/>
      <c r="D382" s="13"/>
      <c r="E382" s="13"/>
      <c r="F382" s="13"/>
      <c r="G382" s="13"/>
      <c r="H382" s="6"/>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row>
    <row r="383" spans="1:49" x14ac:dyDescent="0.25">
      <c r="A383" s="13"/>
      <c r="B383" s="13"/>
      <c r="C383" s="13"/>
      <c r="D383" s="13"/>
      <c r="E383" s="13"/>
      <c r="F383" s="13"/>
      <c r="G383" s="13"/>
      <c r="H383" s="6"/>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row>
    <row r="384" spans="1:49" x14ac:dyDescent="0.25">
      <c r="A384" s="13"/>
      <c r="B384" s="13"/>
      <c r="C384" s="13"/>
      <c r="D384" s="13"/>
      <c r="E384" s="13"/>
      <c r="F384" s="13"/>
      <c r="G384" s="13"/>
      <c r="H384" s="6"/>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row>
    <row r="385" spans="1:49" x14ac:dyDescent="0.25">
      <c r="A385" s="13"/>
      <c r="B385" s="13"/>
      <c r="C385" s="13"/>
      <c r="D385" s="13"/>
      <c r="E385" s="13"/>
      <c r="F385" s="13"/>
      <c r="G385" s="13"/>
      <c r="H385" s="6"/>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row>
    <row r="386" spans="1:49" x14ac:dyDescent="0.25">
      <c r="A386" s="13"/>
      <c r="B386" s="13"/>
      <c r="C386" s="13"/>
      <c r="D386" s="13"/>
      <c r="E386" s="13"/>
      <c r="F386" s="13"/>
      <c r="G386" s="13"/>
      <c r="H386" s="6"/>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row>
    <row r="387" spans="1:49" x14ac:dyDescent="0.25">
      <c r="A387" s="13"/>
      <c r="B387" s="13"/>
      <c r="C387" s="13"/>
      <c r="D387" s="13"/>
      <c r="E387" s="13"/>
      <c r="F387" s="13"/>
      <c r="G387" s="13"/>
      <c r="H387" s="6"/>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row>
    <row r="388" spans="1:49" x14ac:dyDescent="0.25">
      <c r="A388" s="13"/>
      <c r="B388" s="13"/>
      <c r="C388" s="13"/>
      <c r="D388" s="13"/>
      <c r="E388" s="13"/>
      <c r="F388" s="13"/>
      <c r="G388" s="13"/>
      <c r="H388" s="6"/>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row>
    <row r="389" spans="1:49" x14ac:dyDescent="0.25">
      <c r="A389" s="13"/>
      <c r="B389" s="13"/>
      <c r="C389" s="13"/>
      <c r="D389" s="13"/>
      <c r="E389" s="13"/>
      <c r="F389" s="13"/>
      <c r="G389" s="13"/>
      <c r="H389" s="6"/>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row>
    <row r="390" spans="1:49" x14ac:dyDescent="0.25">
      <c r="A390" s="13"/>
      <c r="B390" s="13"/>
      <c r="C390" s="13"/>
      <c r="D390" s="13"/>
      <c r="E390" s="13"/>
      <c r="F390" s="13"/>
      <c r="G390" s="13"/>
      <c r="H390" s="6"/>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row>
    <row r="391" spans="1:49" x14ac:dyDescent="0.25">
      <c r="A391" s="13"/>
      <c r="B391" s="13"/>
      <c r="C391" s="13"/>
      <c r="D391" s="13"/>
      <c r="E391" s="13"/>
      <c r="F391" s="13"/>
      <c r="G391" s="13"/>
      <c r="H391" s="6"/>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row>
    <row r="392" spans="1:49" x14ac:dyDescent="0.25">
      <c r="A392" s="13"/>
      <c r="B392" s="13"/>
      <c r="C392" s="13"/>
      <c r="D392" s="13"/>
      <c r="E392" s="13"/>
      <c r="F392" s="13"/>
      <c r="G392" s="13"/>
      <c r="H392" s="6"/>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row>
    <row r="393" spans="1:49" x14ac:dyDescent="0.25">
      <c r="A393" s="13"/>
      <c r="B393" s="13"/>
      <c r="C393" s="13"/>
      <c r="D393" s="13"/>
      <c r="E393" s="13"/>
      <c r="F393" s="13"/>
      <c r="G393" s="13"/>
      <c r="H393" s="6"/>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row>
    <row r="394" spans="1:49" x14ac:dyDescent="0.25">
      <c r="A394" s="13"/>
      <c r="B394" s="13"/>
      <c r="C394" s="13"/>
      <c r="D394" s="13"/>
      <c r="E394" s="13"/>
      <c r="F394" s="13"/>
      <c r="G394" s="13"/>
      <c r="H394" s="6"/>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row>
    <row r="395" spans="1:49" x14ac:dyDescent="0.25">
      <c r="A395" s="13"/>
      <c r="B395" s="13"/>
      <c r="C395" s="13"/>
      <c r="D395" s="13"/>
      <c r="E395" s="13"/>
      <c r="F395" s="13"/>
      <c r="G395" s="13"/>
      <c r="H395" s="6"/>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row>
    <row r="396" spans="1:49" x14ac:dyDescent="0.25">
      <c r="A396" s="13"/>
      <c r="B396" s="13"/>
      <c r="C396" s="13"/>
      <c r="D396" s="13"/>
      <c r="E396" s="13"/>
      <c r="F396" s="13"/>
      <c r="G396" s="13"/>
      <c r="H396" s="6"/>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row>
    <row r="397" spans="1:49" x14ac:dyDescent="0.25">
      <c r="A397" s="13"/>
      <c r="B397" s="13"/>
      <c r="C397" s="13"/>
      <c r="D397" s="13"/>
      <c r="E397" s="13"/>
      <c r="F397" s="13"/>
      <c r="G397" s="13"/>
      <c r="H397" s="6"/>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row>
    <row r="398" spans="1:49" x14ac:dyDescent="0.25">
      <c r="A398" s="13"/>
      <c r="B398" s="13"/>
      <c r="C398" s="13"/>
      <c r="D398" s="13"/>
      <c r="E398" s="13"/>
      <c r="F398" s="13"/>
      <c r="G398" s="13"/>
      <c r="H398" s="6"/>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row>
    <row r="399" spans="1:49" x14ac:dyDescent="0.25">
      <c r="A399" s="13"/>
      <c r="B399" s="13"/>
      <c r="C399" s="13"/>
      <c r="D399" s="13"/>
      <c r="E399" s="13"/>
      <c r="F399" s="13"/>
      <c r="G399" s="13"/>
      <c r="H399" s="6"/>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row>
    <row r="400" spans="1:49" x14ac:dyDescent="0.25">
      <c r="A400" s="13"/>
      <c r="B400" s="13"/>
      <c r="C400" s="13"/>
      <c r="D400" s="13"/>
      <c r="E400" s="13"/>
      <c r="F400" s="13"/>
      <c r="G400" s="13"/>
      <c r="H400" s="6"/>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row>
    <row r="401" spans="1:49" x14ac:dyDescent="0.25">
      <c r="A401" s="13"/>
      <c r="B401" s="13"/>
      <c r="C401" s="13"/>
      <c r="D401" s="13"/>
      <c r="E401" s="13"/>
      <c r="F401" s="13"/>
      <c r="G401" s="13"/>
      <c r="H401" s="6"/>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row>
    <row r="402" spans="1:49" x14ac:dyDescent="0.25">
      <c r="A402" s="13"/>
      <c r="B402" s="13"/>
      <c r="C402" s="13"/>
      <c r="D402" s="13"/>
      <c r="E402" s="13"/>
      <c r="F402" s="13"/>
      <c r="G402" s="13"/>
      <c r="H402" s="6"/>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row>
    <row r="403" spans="1:49" x14ac:dyDescent="0.25">
      <c r="A403" s="13"/>
      <c r="B403" s="13"/>
      <c r="C403" s="13"/>
      <c r="D403" s="13"/>
      <c r="E403" s="13"/>
      <c r="F403" s="13"/>
      <c r="G403" s="13"/>
      <c r="H403" s="6"/>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row>
    <row r="404" spans="1:49" x14ac:dyDescent="0.25">
      <c r="A404" s="13"/>
      <c r="B404" s="13"/>
      <c r="C404" s="13"/>
      <c r="D404" s="13"/>
      <c r="E404" s="13"/>
      <c r="F404" s="13"/>
      <c r="G404" s="13"/>
      <c r="H404" s="6"/>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row>
    <row r="405" spans="1:49" x14ac:dyDescent="0.25">
      <c r="A405" s="13"/>
      <c r="B405" s="13"/>
      <c r="C405" s="13"/>
      <c r="D405" s="13"/>
      <c r="E405" s="13"/>
      <c r="F405" s="13"/>
      <c r="G405" s="13"/>
      <c r="H405" s="6"/>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row>
    <row r="406" spans="1:49" x14ac:dyDescent="0.25">
      <c r="A406" s="13"/>
      <c r="B406" s="13"/>
      <c r="C406" s="13"/>
      <c r="D406" s="13"/>
      <c r="E406" s="13"/>
      <c r="F406" s="13"/>
      <c r="G406" s="13"/>
      <c r="H406" s="6"/>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row>
    <row r="407" spans="1:49" x14ac:dyDescent="0.25">
      <c r="A407" s="13"/>
      <c r="B407" s="13"/>
      <c r="C407" s="13"/>
      <c r="D407" s="13"/>
      <c r="E407" s="13"/>
      <c r="F407" s="13"/>
      <c r="G407" s="13"/>
      <c r="H407" s="6"/>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row>
    <row r="408" spans="1:49" x14ac:dyDescent="0.25">
      <c r="A408" s="13"/>
      <c r="B408" s="13"/>
      <c r="C408" s="13"/>
      <c r="D408" s="13"/>
      <c r="E408" s="13"/>
      <c r="F408" s="13"/>
      <c r="G408" s="13"/>
      <c r="H408" s="6"/>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row>
    <row r="409" spans="1:49" x14ac:dyDescent="0.25">
      <c r="A409" s="13"/>
      <c r="B409" s="13"/>
      <c r="C409" s="13"/>
      <c r="D409" s="13"/>
      <c r="E409" s="13"/>
      <c r="F409" s="13"/>
      <c r="G409" s="13"/>
      <c r="H409" s="6"/>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row>
    <row r="410" spans="1:49" x14ac:dyDescent="0.25">
      <c r="A410" s="13"/>
      <c r="B410" s="13"/>
      <c r="C410" s="13"/>
      <c r="D410" s="13"/>
      <c r="E410" s="13"/>
      <c r="F410" s="13"/>
      <c r="G410" s="13"/>
      <c r="H410" s="6"/>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row>
    <row r="411" spans="1:49" x14ac:dyDescent="0.25">
      <c r="A411" s="13"/>
      <c r="B411" s="13"/>
      <c r="C411" s="13"/>
      <c r="D411" s="13"/>
      <c r="E411" s="13"/>
      <c r="F411" s="13"/>
      <c r="G411" s="13"/>
      <c r="H411" s="6"/>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row>
    <row r="412" spans="1:49" x14ac:dyDescent="0.25">
      <c r="A412" s="13"/>
      <c r="B412" s="13"/>
      <c r="C412" s="13"/>
      <c r="D412" s="13"/>
      <c r="E412" s="13"/>
      <c r="F412" s="13"/>
      <c r="G412" s="13"/>
      <c r="H412" s="6"/>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row>
    <row r="413" spans="1:49" x14ac:dyDescent="0.25">
      <c r="A413" s="13"/>
      <c r="B413" s="13"/>
      <c r="C413" s="13"/>
      <c r="D413" s="13"/>
      <c r="E413" s="13"/>
      <c r="F413" s="13"/>
      <c r="G413" s="13"/>
      <c r="H413" s="6"/>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row>
    <row r="414" spans="1:49" x14ac:dyDescent="0.25">
      <c r="A414" s="13"/>
      <c r="B414" s="13"/>
      <c r="C414" s="13"/>
      <c r="D414" s="13"/>
      <c r="E414" s="13"/>
      <c r="F414" s="13"/>
      <c r="G414" s="13"/>
      <c r="H414" s="6"/>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row>
    <row r="415" spans="1:49" x14ac:dyDescent="0.25">
      <c r="A415" s="13"/>
      <c r="B415" s="13"/>
      <c r="C415" s="13"/>
      <c r="D415" s="13"/>
      <c r="E415" s="13"/>
      <c r="F415" s="13"/>
      <c r="G415" s="13"/>
      <c r="H415" s="6"/>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row>
    <row r="416" spans="1:49" x14ac:dyDescent="0.25">
      <c r="A416" s="13"/>
      <c r="B416" s="13"/>
      <c r="C416" s="13"/>
      <c r="D416" s="13"/>
      <c r="E416" s="13"/>
      <c r="F416" s="13"/>
      <c r="G416" s="13"/>
      <c r="H416" s="6"/>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row>
    <row r="417" spans="1:49" x14ac:dyDescent="0.25">
      <c r="A417" s="13"/>
      <c r="B417" s="13"/>
      <c r="C417" s="13"/>
      <c r="D417" s="13"/>
      <c r="E417" s="13"/>
      <c r="F417" s="13"/>
      <c r="G417" s="13"/>
      <c r="H417" s="6"/>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row>
    <row r="418" spans="1:49" x14ac:dyDescent="0.25">
      <c r="A418" s="13"/>
      <c r="B418" s="13"/>
      <c r="C418" s="13"/>
      <c r="D418" s="13"/>
      <c r="E418" s="13"/>
      <c r="F418" s="13"/>
      <c r="G418" s="13"/>
      <c r="H418" s="6"/>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row>
    <row r="419" spans="1:49" x14ac:dyDescent="0.25">
      <c r="A419" s="13"/>
      <c r="B419" s="13"/>
      <c r="C419" s="13"/>
      <c r="D419" s="13"/>
      <c r="E419" s="13"/>
      <c r="F419" s="13"/>
      <c r="G419" s="13"/>
      <c r="H419" s="6"/>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row>
    <row r="420" spans="1:49" x14ac:dyDescent="0.25">
      <c r="A420" s="13"/>
      <c r="B420" s="13"/>
      <c r="C420" s="13"/>
      <c r="D420" s="13"/>
      <c r="E420" s="13"/>
      <c r="F420" s="13"/>
      <c r="G420" s="13"/>
      <c r="H420" s="6"/>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row>
    <row r="421" spans="1:49" x14ac:dyDescent="0.25">
      <c r="A421" s="13"/>
      <c r="B421" s="13"/>
      <c r="C421" s="13"/>
      <c r="D421" s="13"/>
      <c r="E421" s="13"/>
      <c r="F421" s="13"/>
      <c r="G421" s="13"/>
      <c r="H421" s="6"/>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row>
    <row r="422" spans="1:49" x14ac:dyDescent="0.25">
      <c r="A422" s="13"/>
      <c r="B422" s="13"/>
      <c r="C422" s="13"/>
      <c r="D422" s="13"/>
      <c r="E422" s="13"/>
      <c r="F422" s="13"/>
      <c r="G422" s="13"/>
      <c r="H422" s="6"/>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row>
    <row r="423" spans="1:49" x14ac:dyDescent="0.25">
      <c r="A423" s="13"/>
      <c r="B423" s="13"/>
      <c r="C423" s="13"/>
      <c r="D423" s="13"/>
      <c r="E423" s="13"/>
      <c r="F423" s="13"/>
      <c r="G423" s="13"/>
      <c r="H423" s="6"/>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row>
    <row r="424" spans="1:49" x14ac:dyDescent="0.25">
      <c r="A424" s="13"/>
      <c r="B424" s="13"/>
      <c r="C424" s="13"/>
      <c r="D424" s="13"/>
      <c r="E424" s="13"/>
      <c r="F424" s="13"/>
      <c r="G424" s="13"/>
      <c r="H424" s="6"/>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row>
    <row r="425" spans="1:49" x14ac:dyDescent="0.25">
      <c r="A425" s="13"/>
      <c r="B425" s="13"/>
      <c r="C425" s="13"/>
      <c r="D425" s="13"/>
      <c r="E425" s="13"/>
      <c r="F425" s="13"/>
      <c r="G425" s="13"/>
      <c r="H425" s="6"/>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row>
    <row r="426" spans="1:49" x14ac:dyDescent="0.25">
      <c r="A426" s="13"/>
      <c r="B426" s="13"/>
      <c r="C426" s="13"/>
      <c r="D426" s="13"/>
      <c r="E426" s="13"/>
      <c r="F426" s="13"/>
      <c r="G426" s="13"/>
      <c r="H426" s="6"/>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row>
    <row r="427" spans="1:49" x14ac:dyDescent="0.25">
      <c r="A427" s="13"/>
      <c r="B427" s="13"/>
      <c r="C427" s="13"/>
      <c r="D427" s="13"/>
      <c r="E427" s="13"/>
      <c r="F427" s="13"/>
      <c r="G427" s="13"/>
      <c r="H427" s="6"/>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row>
    <row r="428" spans="1:49" x14ac:dyDescent="0.25">
      <c r="A428" s="13"/>
      <c r="B428" s="13"/>
      <c r="C428" s="13"/>
      <c r="D428" s="13"/>
      <c r="E428" s="13"/>
      <c r="F428" s="13"/>
      <c r="G428" s="13"/>
      <c r="H428" s="6"/>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row>
    <row r="429" spans="1:49" x14ac:dyDescent="0.25">
      <c r="A429" s="13"/>
      <c r="B429" s="13"/>
      <c r="C429" s="13"/>
      <c r="D429" s="13"/>
      <c r="E429" s="13"/>
      <c r="F429" s="13"/>
      <c r="G429" s="13"/>
      <c r="H429" s="6"/>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row>
    <row r="430" spans="1:49" x14ac:dyDescent="0.25">
      <c r="A430" s="13"/>
      <c r="B430" s="13"/>
      <c r="C430" s="13"/>
      <c r="D430" s="13"/>
      <c r="E430" s="13"/>
      <c r="F430" s="13"/>
      <c r="G430" s="13"/>
      <c r="H430" s="6"/>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row>
    <row r="431" spans="1:49" x14ac:dyDescent="0.25">
      <c r="A431" s="13"/>
      <c r="B431" s="13"/>
      <c r="C431" s="13"/>
      <c r="D431" s="13"/>
      <c r="E431" s="13"/>
      <c r="F431" s="13"/>
      <c r="G431" s="13"/>
      <c r="H431" s="6"/>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row>
    <row r="432" spans="1:49" x14ac:dyDescent="0.25">
      <c r="A432" s="13"/>
      <c r="B432" s="13"/>
      <c r="C432" s="13"/>
      <c r="D432" s="13"/>
      <c r="E432" s="13"/>
      <c r="F432" s="13"/>
      <c r="G432" s="13"/>
      <c r="H432" s="6"/>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row>
    <row r="433" spans="1:49" x14ac:dyDescent="0.25">
      <c r="A433" s="13"/>
      <c r="B433" s="13"/>
      <c r="C433" s="13"/>
      <c r="D433" s="13"/>
      <c r="E433" s="13"/>
      <c r="F433" s="13"/>
      <c r="G433" s="13"/>
      <c r="H433" s="6"/>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row>
    <row r="434" spans="1:49" x14ac:dyDescent="0.25">
      <c r="A434" s="13"/>
      <c r="B434" s="13"/>
      <c r="C434" s="13"/>
      <c r="D434" s="13"/>
      <c r="E434" s="13"/>
      <c r="F434" s="13"/>
      <c r="G434" s="13"/>
      <c r="H434" s="6"/>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row>
    <row r="435" spans="1:49" x14ac:dyDescent="0.25">
      <c r="A435" s="13"/>
      <c r="B435" s="13"/>
      <c r="C435" s="13"/>
      <c r="D435" s="13"/>
      <c r="E435" s="13"/>
      <c r="F435" s="13"/>
      <c r="G435" s="13"/>
      <c r="H435" s="6"/>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row>
    <row r="436" spans="1:49" x14ac:dyDescent="0.25">
      <c r="A436" s="13"/>
      <c r="B436" s="13"/>
      <c r="C436" s="13"/>
      <c r="D436" s="13"/>
      <c r="E436" s="13"/>
      <c r="F436" s="13"/>
      <c r="G436" s="13"/>
      <c r="H436" s="6"/>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row>
    <row r="437" spans="1:49" x14ac:dyDescent="0.25">
      <c r="A437" s="13"/>
      <c r="B437" s="13"/>
      <c r="C437" s="13"/>
      <c r="D437" s="13"/>
      <c r="E437" s="13"/>
      <c r="F437" s="13"/>
      <c r="G437" s="13"/>
      <c r="H437" s="6"/>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row>
    <row r="438" spans="1:49" x14ac:dyDescent="0.25">
      <c r="A438" s="13"/>
      <c r="B438" s="13"/>
      <c r="C438" s="13"/>
      <c r="D438" s="13"/>
      <c r="E438" s="13"/>
      <c r="F438" s="13"/>
      <c r="G438" s="13"/>
      <c r="H438" s="6"/>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row>
    <row r="439" spans="1:49" x14ac:dyDescent="0.25">
      <c r="A439" s="13"/>
      <c r="B439" s="13"/>
      <c r="C439" s="13"/>
      <c r="D439" s="13"/>
      <c r="E439" s="13"/>
      <c r="F439" s="13"/>
      <c r="G439" s="13"/>
      <c r="H439" s="6"/>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row>
    <row r="440" spans="1:49" x14ac:dyDescent="0.25">
      <c r="A440" s="13"/>
      <c r="B440" s="13"/>
      <c r="C440" s="13"/>
      <c r="D440" s="13"/>
      <c r="E440" s="13"/>
      <c r="F440" s="13"/>
      <c r="G440" s="13"/>
      <c r="H440" s="6"/>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row>
    <row r="441" spans="1:49" x14ac:dyDescent="0.25">
      <c r="A441" s="13"/>
      <c r="B441" s="13"/>
      <c r="C441" s="13"/>
      <c r="D441" s="13"/>
      <c r="E441" s="13"/>
      <c r="F441" s="13"/>
      <c r="G441" s="13"/>
      <c r="H441" s="6"/>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row>
    <row r="442" spans="1:49" x14ac:dyDescent="0.25">
      <c r="A442" s="13"/>
      <c r="B442" s="13"/>
      <c r="C442" s="13"/>
      <c r="D442" s="13"/>
      <c r="E442" s="13"/>
      <c r="F442" s="13"/>
      <c r="G442" s="13"/>
      <c r="H442" s="6"/>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row>
    <row r="443" spans="1:49" x14ac:dyDescent="0.25">
      <c r="A443" s="13"/>
      <c r="B443" s="13"/>
      <c r="C443" s="13"/>
      <c r="D443" s="13"/>
      <c r="E443" s="13"/>
      <c r="F443" s="13"/>
      <c r="G443" s="13"/>
      <c r="H443" s="6"/>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row>
    <row r="444" spans="1:49" x14ac:dyDescent="0.25">
      <c r="A444" s="13"/>
      <c r="B444" s="13"/>
      <c r="C444" s="13"/>
      <c r="D444" s="13"/>
      <c r="E444" s="13"/>
      <c r="F444" s="13"/>
      <c r="G444" s="13"/>
      <c r="H444" s="6"/>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row>
    <row r="445" spans="1:49" x14ac:dyDescent="0.25">
      <c r="A445" s="13"/>
      <c r="B445" s="13"/>
      <c r="C445" s="13"/>
      <c r="D445" s="13"/>
      <c r="E445" s="13"/>
      <c r="F445" s="13"/>
      <c r="G445" s="13"/>
      <c r="H445" s="6"/>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row>
    <row r="446" spans="1:49" x14ac:dyDescent="0.25">
      <c r="A446" s="13"/>
      <c r="B446" s="13"/>
      <c r="C446" s="13"/>
      <c r="D446" s="13"/>
      <c r="E446" s="13"/>
      <c r="F446" s="13"/>
      <c r="G446" s="13"/>
      <c r="H446" s="6"/>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row>
    <row r="447" spans="1:49" x14ac:dyDescent="0.25">
      <c r="A447" s="13"/>
      <c r="B447" s="13"/>
      <c r="C447" s="13"/>
      <c r="D447" s="13"/>
      <c r="E447" s="13"/>
      <c r="F447" s="13"/>
      <c r="G447" s="13"/>
      <c r="H447" s="6"/>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row>
    <row r="448" spans="1:49" x14ac:dyDescent="0.25">
      <c r="A448" s="13"/>
      <c r="B448" s="13"/>
      <c r="C448" s="13"/>
      <c r="D448" s="13"/>
      <c r="E448" s="13"/>
      <c r="F448" s="13"/>
      <c r="G448" s="13"/>
      <c r="H448" s="6"/>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row>
    <row r="449" spans="1:49" x14ac:dyDescent="0.25">
      <c r="A449" s="13"/>
      <c r="B449" s="13"/>
      <c r="C449" s="13"/>
      <c r="D449" s="13"/>
      <c r="E449" s="13"/>
      <c r="F449" s="13"/>
      <c r="G449" s="13"/>
      <c r="H449" s="6"/>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row>
    <row r="450" spans="1:49" x14ac:dyDescent="0.25">
      <c r="A450" s="13"/>
      <c r="B450" s="13"/>
      <c r="C450" s="13"/>
      <c r="D450" s="13"/>
      <c r="E450" s="13"/>
      <c r="F450" s="13"/>
      <c r="G450" s="13"/>
      <c r="H450" s="6"/>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row>
    <row r="451" spans="1:49" x14ac:dyDescent="0.25">
      <c r="A451" s="13"/>
      <c r="B451" s="13"/>
      <c r="C451" s="13"/>
      <c r="D451" s="13"/>
      <c r="E451" s="13"/>
      <c r="F451" s="13"/>
      <c r="G451" s="13"/>
      <c r="H451" s="6"/>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row>
    <row r="452" spans="1:49" x14ac:dyDescent="0.25">
      <c r="A452" s="13"/>
      <c r="B452" s="13"/>
      <c r="C452" s="13"/>
      <c r="D452" s="13"/>
      <c r="E452" s="13"/>
      <c r="F452" s="13"/>
      <c r="G452" s="13"/>
      <c r="H452" s="6"/>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row>
    <row r="453" spans="1:49" x14ac:dyDescent="0.25">
      <c r="A453" s="13"/>
      <c r="B453" s="13"/>
      <c r="C453" s="13"/>
      <c r="D453" s="13"/>
      <c r="E453" s="13"/>
      <c r="F453" s="13"/>
      <c r="G453" s="13"/>
      <c r="H453" s="6"/>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row>
    <row r="454" spans="1:49" x14ac:dyDescent="0.25">
      <c r="A454" s="13"/>
      <c r="B454" s="13"/>
      <c r="C454" s="13"/>
      <c r="D454" s="13"/>
      <c r="E454" s="13"/>
      <c r="F454" s="13"/>
      <c r="G454" s="13"/>
      <c r="H454" s="6"/>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row>
    <row r="455" spans="1:49" x14ac:dyDescent="0.25">
      <c r="A455" s="13"/>
      <c r="B455" s="13"/>
      <c r="C455" s="13"/>
      <c r="D455" s="13"/>
      <c r="E455" s="13"/>
      <c r="F455" s="13"/>
      <c r="G455" s="13"/>
      <c r="H455" s="6"/>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row>
    <row r="456" spans="1:49" x14ac:dyDescent="0.25">
      <c r="A456" s="13"/>
      <c r="B456" s="13"/>
      <c r="C456" s="13"/>
      <c r="D456" s="13"/>
      <c r="E456" s="13"/>
      <c r="F456" s="13"/>
      <c r="G456" s="13"/>
      <c r="H456" s="6"/>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row>
    <row r="457" spans="1:49" x14ac:dyDescent="0.25">
      <c r="A457" s="13"/>
      <c r="B457" s="13"/>
      <c r="C457" s="13"/>
      <c r="D457" s="13"/>
      <c r="E457" s="13"/>
      <c r="F457" s="13"/>
      <c r="G457" s="13"/>
      <c r="H457" s="6"/>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row>
    <row r="458" spans="1:49" x14ac:dyDescent="0.25">
      <c r="A458" s="13"/>
      <c r="B458" s="13"/>
      <c r="C458" s="13"/>
      <c r="D458" s="13"/>
      <c r="E458" s="13"/>
      <c r="F458" s="13"/>
      <c r="G458" s="13"/>
      <c r="H458" s="6"/>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row>
    <row r="459" spans="1:49" x14ac:dyDescent="0.25">
      <c r="A459" s="13"/>
      <c r="B459" s="13"/>
      <c r="C459" s="13"/>
      <c r="D459" s="13"/>
      <c r="E459" s="13"/>
      <c r="F459" s="13"/>
      <c r="G459" s="13"/>
      <c r="H459" s="6"/>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row>
    <row r="460" spans="1:49" x14ac:dyDescent="0.25">
      <c r="A460" s="13"/>
      <c r="B460" s="13"/>
      <c r="C460" s="13"/>
      <c r="D460" s="13"/>
      <c r="E460" s="13"/>
      <c r="F460" s="13"/>
      <c r="G460" s="13"/>
      <c r="H460" s="6"/>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row>
    <row r="461" spans="1:49" x14ac:dyDescent="0.25">
      <c r="A461" s="13"/>
      <c r="B461" s="13"/>
      <c r="C461" s="13"/>
      <c r="D461" s="13"/>
      <c r="E461" s="13"/>
      <c r="F461" s="13"/>
      <c r="G461" s="13"/>
      <c r="H461" s="6"/>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row>
    <row r="462" spans="1:49" x14ac:dyDescent="0.25">
      <c r="A462" s="13"/>
      <c r="B462" s="13"/>
      <c r="C462" s="13"/>
      <c r="D462" s="13"/>
      <c r="E462" s="13"/>
      <c r="F462" s="13"/>
      <c r="G462" s="13"/>
      <c r="H462" s="6"/>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row>
    <row r="463" spans="1:49" x14ac:dyDescent="0.25">
      <c r="A463" s="13"/>
      <c r="B463" s="13"/>
      <c r="C463" s="13"/>
      <c r="D463" s="13"/>
      <c r="E463" s="13"/>
      <c r="F463" s="13"/>
      <c r="G463" s="13"/>
      <c r="H463" s="6"/>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row>
    <row r="464" spans="1:49" x14ac:dyDescent="0.25">
      <c r="A464" s="13"/>
      <c r="B464" s="13"/>
      <c r="C464" s="13"/>
      <c r="D464" s="13"/>
      <c r="E464" s="13"/>
      <c r="F464" s="13"/>
      <c r="G464" s="13"/>
      <c r="H464" s="6"/>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row>
    <row r="465" spans="1:49" x14ac:dyDescent="0.25">
      <c r="A465" s="13"/>
      <c r="B465" s="13"/>
      <c r="C465" s="13"/>
      <c r="D465" s="13"/>
      <c r="E465" s="13"/>
      <c r="F465" s="13"/>
      <c r="G465" s="13"/>
      <c r="H465" s="6"/>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row>
    <row r="466" spans="1:49" x14ac:dyDescent="0.25">
      <c r="A466" s="13"/>
      <c r="B466" s="13"/>
      <c r="C466" s="13"/>
      <c r="D466" s="13"/>
      <c r="E466" s="13"/>
      <c r="F466" s="13"/>
      <c r="G466" s="13"/>
      <c r="H466" s="6"/>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row>
    <row r="467" spans="1:49" x14ac:dyDescent="0.25">
      <c r="A467" s="13"/>
      <c r="B467" s="13"/>
      <c r="C467" s="13"/>
      <c r="D467" s="13"/>
      <c r="E467" s="13"/>
      <c r="F467" s="13"/>
      <c r="G467" s="13"/>
      <c r="H467" s="6"/>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row>
    <row r="468" spans="1:49" x14ac:dyDescent="0.25">
      <c r="A468" s="13"/>
      <c r="B468" s="13"/>
      <c r="C468" s="13"/>
      <c r="D468" s="13"/>
      <c r="E468" s="13"/>
      <c r="F468" s="13"/>
      <c r="G468" s="13"/>
      <c r="H468" s="6"/>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row>
    <row r="469" spans="1:49" x14ac:dyDescent="0.25">
      <c r="A469" s="13"/>
      <c r="B469" s="13"/>
      <c r="C469" s="13"/>
      <c r="D469" s="13"/>
      <c r="E469" s="13"/>
      <c r="F469" s="13"/>
      <c r="G469" s="13"/>
      <c r="H469" s="6"/>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row>
    <row r="470" spans="1:49" x14ac:dyDescent="0.25">
      <c r="A470" s="13"/>
      <c r="B470" s="13"/>
      <c r="C470" s="13"/>
      <c r="D470" s="13"/>
      <c r="E470" s="13"/>
      <c r="F470" s="13"/>
      <c r="G470" s="13"/>
      <c r="H470" s="6"/>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row>
    <row r="471" spans="1:49" x14ac:dyDescent="0.25">
      <c r="A471" s="13"/>
      <c r="B471" s="13"/>
      <c r="C471" s="13"/>
      <c r="D471" s="13"/>
      <c r="E471" s="13"/>
      <c r="F471" s="13"/>
      <c r="G471" s="13"/>
      <c r="H471" s="6"/>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row>
    <row r="472" spans="1:49" x14ac:dyDescent="0.25">
      <c r="A472" s="13"/>
      <c r="B472" s="13"/>
      <c r="C472" s="13"/>
      <c r="D472" s="13"/>
      <c r="E472" s="13"/>
      <c r="F472" s="13"/>
      <c r="G472" s="13"/>
      <c r="H472" s="6"/>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row>
    <row r="473" spans="1:49" x14ac:dyDescent="0.25">
      <c r="A473" s="13"/>
      <c r="B473" s="13"/>
      <c r="C473" s="13"/>
      <c r="D473" s="13"/>
      <c r="E473" s="13"/>
      <c r="F473" s="13"/>
      <c r="G473" s="13"/>
      <c r="H473" s="6"/>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row>
    <row r="474" spans="1:49" x14ac:dyDescent="0.25">
      <c r="A474" s="13"/>
      <c r="B474" s="13"/>
      <c r="C474" s="13"/>
      <c r="D474" s="13"/>
      <c r="E474" s="13"/>
      <c r="F474" s="13"/>
      <c r="G474" s="13"/>
      <c r="H474" s="6"/>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row>
    <row r="475" spans="1:49" x14ac:dyDescent="0.25">
      <c r="A475" s="13"/>
      <c r="B475" s="13"/>
      <c r="C475" s="13"/>
      <c r="D475" s="13"/>
      <c r="E475" s="13"/>
      <c r="F475" s="13"/>
      <c r="G475" s="13"/>
      <c r="H475" s="6"/>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row>
    <row r="476" spans="1:49" x14ac:dyDescent="0.25">
      <c r="A476" s="13"/>
      <c r="B476" s="13"/>
      <c r="C476" s="13"/>
      <c r="D476" s="13"/>
      <c r="E476" s="13"/>
      <c r="F476" s="13"/>
      <c r="G476" s="13"/>
      <c r="H476" s="6"/>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row>
    <row r="477" spans="1:49" x14ac:dyDescent="0.25">
      <c r="A477" s="13"/>
      <c r="B477" s="13"/>
      <c r="C477" s="13"/>
      <c r="D477" s="13"/>
      <c r="E477" s="13"/>
      <c r="F477" s="13"/>
      <c r="G477" s="13"/>
      <c r="H477" s="6"/>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row>
    <row r="478" spans="1:49" x14ac:dyDescent="0.25">
      <c r="A478" s="13"/>
      <c r="B478" s="13"/>
      <c r="C478" s="13"/>
      <c r="D478" s="13"/>
      <c r="E478" s="13"/>
      <c r="F478" s="13"/>
      <c r="G478" s="13"/>
      <c r="H478" s="6"/>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row>
    <row r="479" spans="1:49" x14ac:dyDescent="0.25">
      <c r="A479" s="13"/>
      <c r="B479" s="13"/>
      <c r="C479" s="13"/>
      <c r="D479" s="13"/>
      <c r="E479" s="13"/>
      <c r="F479" s="13"/>
      <c r="G479" s="13"/>
      <c r="H479" s="6"/>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row>
    <row r="480" spans="1:49" x14ac:dyDescent="0.25">
      <c r="A480" s="13"/>
      <c r="B480" s="13"/>
      <c r="C480" s="13"/>
      <c r="D480" s="13"/>
      <c r="E480" s="13"/>
      <c r="F480" s="13"/>
      <c r="G480" s="13"/>
      <c r="H480" s="6"/>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row>
    <row r="481" spans="1:49" x14ac:dyDescent="0.25">
      <c r="A481" s="13"/>
      <c r="B481" s="13"/>
      <c r="C481" s="13"/>
      <c r="D481" s="13"/>
      <c r="E481" s="13"/>
      <c r="F481" s="13"/>
      <c r="G481" s="13"/>
      <c r="H481" s="6"/>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row>
    <row r="482" spans="1:49" x14ac:dyDescent="0.25">
      <c r="A482" s="13"/>
      <c r="B482" s="13"/>
      <c r="C482" s="13"/>
      <c r="D482" s="13"/>
      <c r="E482" s="13"/>
      <c r="F482" s="13"/>
      <c r="G482" s="13"/>
      <c r="H482" s="6"/>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row>
    <row r="483" spans="1:49" x14ac:dyDescent="0.25">
      <c r="A483" s="13"/>
      <c r="B483" s="13"/>
      <c r="C483" s="13"/>
      <c r="D483" s="13"/>
      <c r="E483" s="13"/>
      <c r="F483" s="13"/>
      <c r="G483" s="13"/>
      <c r="H483" s="6"/>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row>
    <row r="484" spans="1:49" x14ac:dyDescent="0.25">
      <c r="A484" s="13"/>
      <c r="B484" s="13"/>
      <c r="C484" s="13"/>
      <c r="D484" s="13"/>
      <c r="E484" s="13"/>
      <c r="F484" s="13"/>
      <c r="G484" s="13"/>
      <c r="H484" s="6"/>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row>
    <row r="485" spans="1:49" x14ac:dyDescent="0.25">
      <c r="A485" s="13"/>
      <c r="B485" s="13"/>
      <c r="C485" s="13"/>
      <c r="D485" s="13"/>
      <c r="E485" s="13"/>
      <c r="F485" s="13"/>
      <c r="G485" s="13"/>
      <c r="H485" s="6"/>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row>
    <row r="486" spans="1:49" x14ac:dyDescent="0.25">
      <c r="A486" s="13"/>
      <c r="B486" s="13"/>
      <c r="C486" s="13"/>
      <c r="D486" s="13"/>
      <c r="E486" s="13"/>
      <c r="F486" s="13"/>
      <c r="G486" s="13"/>
      <c r="H486" s="6"/>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row>
    <row r="487" spans="1:49" x14ac:dyDescent="0.25">
      <c r="A487" s="13"/>
      <c r="B487" s="13"/>
      <c r="C487" s="13"/>
      <c r="D487" s="13"/>
      <c r="E487" s="13"/>
      <c r="F487" s="13"/>
      <c r="G487" s="13"/>
      <c r="H487" s="6"/>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row>
    <row r="488" spans="1:49" x14ac:dyDescent="0.25">
      <c r="A488" s="13"/>
      <c r="B488" s="13"/>
      <c r="C488" s="13"/>
      <c r="D488" s="13"/>
      <c r="E488" s="13"/>
      <c r="F488" s="13"/>
      <c r="G488" s="13"/>
      <c r="H488" s="6"/>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row>
    <row r="489" spans="1:49" x14ac:dyDescent="0.25">
      <c r="A489" s="13"/>
      <c r="B489" s="13"/>
      <c r="C489" s="13"/>
      <c r="D489" s="13"/>
      <c r="E489" s="13"/>
      <c r="F489" s="13"/>
      <c r="G489" s="13"/>
      <c r="H489" s="6"/>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row>
    <row r="490" spans="1:49" x14ac:dyDescent="0.25">
      <c r="A490" s="13"/>
      <c r="B490" s="13"/>
      <c r="C490" s="13"/>
      <c r="D490" s="13"/>
      <c r="E490" s="13"/>
      <c r="F490" s="13"/>
      <c r="G490" s="13"/>
      <c r="H490" s="6"/>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row>
    <row r="491" spans="1:49" x14ac:dyDescent="0.25">
      <c r="A491" s="13"/>
      <c r="B491" s="13"/>
      <c r="C491" s="13"/>
      <c r="D491" s="13"/>
      <c r="E491" s="13"/>
      <c r="F491" s="13"/>
      <c r="G491" s="13"/>
      <c r="H491" s="6"/>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row>
    <row r="492" spans="1:49" x14ac:dyDescent="0.25">
      <c r="A492" s="13"/>
      <c r="B492" s="13"/>
      <c r="C492" s="13"/>
      <c r="D492" s="13"/>
      <c r="E492" s="13"/>
      <c r="F492" s="13"/>
      <c r="G492" s="13"/>
      <c r="H492" s="6"/>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row>
    <row r="493" spans="1:49" x14ac:dyDescent="0.25">
      <c r="A493" s="13"/>
      <c r="B493" s="13"/>
      <c r="C493" s="13"/>
      <c r="D493" s="13"/>
      <c r="E493" s="13"/>
      <c r="F493" s="13"/>
      <c r="G493" s="13"/>
      <c r="H493" s="6"/>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row>
    <row r="494" spans="1:49" x14ac:dyDescent="0.25">
      <c r="A494" s="13"/>
      <c r="B494" s="13"/>
      <c r="C494" s="13"/>
      <c r="D494" s="13"/>
      <c r="E494" s="13"/>
      <c r="F494" s="13"/>
      <c r="G494" s="13"/>
      <c r="H494" s="6"/>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row>
    <row r="495" spans="1:49" x14ac:dyDescent="0.25">
      <c r="A495" s="13"/>
      <c r="B495" s="13"/>
      <c r="C495" s="13"/>
      <c r="D495" s="13"/>
      <c r="E495" s="13"/>
      <c r="F495" s="13"/>
      <c r="G495" s="13"/>
      <c r="H495" s="6"/>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row>
    <row r="496" spans="1:49" x14ac:dyDescent="0.25">
      <c r="A496" s="13"/>
      <c r="B496" s="13"/>
      <c r="C496" s="13"/>
      <c r="D496" s="13"/>
      <c r="E496" s="13"/>
      <c r="F496" s="13"/>
      <c r="G496" s="13"/>
      <c r="H496" s="6"/>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row>
    <row r="497" spans="1:49" x14ac:dyDescent="0.25">
      <c r="A497" s="13"/>
      <c r="B497" s="13"/>
      <c r="C497" s="13"/>
      <c r="D497" s="13"/>
      <c r="E497" s="13"/>
      <c r="F497" s="13"/>
      <c r="G497" s="13"/>
      <c r="H497" s="6"/>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row>
    <row r="498" spans="1:49" x14ac:dyDescent="0.25">
      <c r="A498" s="13"/>
      <c r="B498" s="13"/>
      <c r="C498" s="13"/>
      <c r="D498" s="13"/>
      <c r="E498" s="13"/>
      <c r="F498" s="13"/>
      <c r="G498" s="13"/>
      <c r="H498" s="6"/>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row>
    <row r="499" spans="1:49" x14ac:dyDescent="0.25">
      <c r="A499" s="13"/>
      <c r="B499" s="13"/>
      <c r="C499" s="13"/>
      <c r="D499" s="13"/>
      <c r="E499" s="13"/>
      <c r="F499" s="13"/>
      <c r="G499" s="13"/>
      <c r="H499" s="6"/>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row>
  </sheetData>
  <autoFilter ref="A3:AG119" xr:uid="{A81350EF-B563-45CD-99DA-22212DCF2BD0}">
    <filterColumn colId="19">
      <filters blank="1">
        <filter val="#ДЕЛ/0!"/>
        <filter val="30"/>
        <filter val="78"/>
      </filters>
    </filterColumn>
    <filterColumn colId="31">
      <filters>
        <filter val="новинка / нужно увеличить продажи!!! / Грация"/>
        <filter val="нужно увеличить продажи / плюсом 5 дней"/>
        <filter val="нужно увеличить продажи!!!"/>
        <filter val="нужно увеличить продажи!!! / 192шт списано (11,08,26)"/>
        <filter val="нужно увеличить продажи!!! / 268шт списание (20,08,26)"/>
        <filter val="нужно увеличить продажи!!! / 374шт списание (11,08,26)"/>
        <filter val="нужно увеличить продажи!!! / вместо 6459"/>
        <filter val="нужно увеличить продажи!!! / Грация"/>
        <filter val="нужно увеличить продажи!!! / новинка"/>
        <filter val="нужно увеличить продажи!!! / новинка / 100кг под ТК (Титенок просила 200кг 12,08,26)"/>
        <filter val="нужно увеличить продажи!!! / помощь заводу"/>
        <filter val="ув"/>
      </filters>
    </filterColumn>
  </autoFilter>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A46A5-33D3-4FDF-A333-07C9E0EE5C6A}">
  <dimension ref="A1:H10"/>
  <sheetViews>
    <sheetView workbookViewId="0">
      <selection activeCell="H11" sqref="H11"/>
    </sheetView>
  </sheetViews>
  <sheetFormatPr defaultRowHeight="15" x14ac:dyDescent="0.25"/>
  <cols>
    <col min="2" max="2" width="16" style="22" bestFit="1" customWidth="1"/>
    <col min="3" max="3" width="52.28515625" bestFit="1" customWidth="1"/>
    <col min="4" max="4" width="61.28515625" customWidth="1"/>
    <col min="7" max="7" width="47.85546875" customWidth="1"/>
  </cols>
  <sheetData>
    <row r="1" spans="1:8" ht="16.5" thickBot="1" x14ac:dyDescent="0.3">
      <c r="A1" s="16">
        <v>7514</v>
      </c>
      <c r="B1" s="20">
        <v>1001017557514</v>
      </c>
      <c r="C1" s="17" t="s">
        <v>173</v>
      </c>
      <c r="D1" t="str">
        <f>A1&amp;" "&amp;C1</f>
        <v>7514 ЛЮБИТЕЛЬСКАЯ ОСТАНКИНСКАЯ вар ц/о в/у</v>
      </c>
      <c r="E1" t="s">
        <v>36</v>
      </c>
      <c r="F1">
        <f>VLOOKUP(B1,[1]КИ_ПФ!$B:$Q,16,0)</f>
        <v>30</v>
      </c>
      <c r="G1" t="str">
        <f>VLOOKUP(B1,[1]КИ_ПФ!$B:$C,2,0)</f>
        <v>ЛЮБИТЕЛЬСКАЯ ОСТАНКИНСКАЯ вар ц/о в/у</v>
      </c>
      <c r="H1">
        <v>1</v>
      </c>
    </row>
    <row r="2" spans="1:8" ht="16.5" thickBot="1" x14ac:dyDescent="0.3">
      <c r="A2" s="18">
        <v>7518</v>
      </c>
      <c r="B2" s="21">
        <v>1001017567518</v>
      </c>
      <c r="C2" s="19" t="s">
        <v>174</v>
      </c>
      <c r="D2" t="str">
        <f t="shared" ref="D2:D10" si="0">A2&amp;" "&amp;C2</f>
        <v>7518 ТЕЛЯЧЬЯ ГОСТ Останкино вар н/о в/у</v>
      </c>
      <c r="E2" t="s">
        <v>36</v>
      </c>
      <c r="F2">
        <f>VLOOKUP(B2,[1]КИ_ПФ!$B:$Q,16,0)</f>
        <v>30</v>
      </c>
      <c r="G2" t="str">
        <f>VLOOKUP(B2,[1]КИ_ПФ!$B:$C,2,0)</f>
        <v>ТЕЛЯЧЬЯ ГОСТ Останкино вар н/о в/у</v>
      </c>
      <c r="H2">
        <v>1</v>
      </c>
    </row>
    <row r="3" spans="1:8" ht="16.5" thickBot="1" x14ac:dyDescent="0.3">
      <c r="A3" s="18">
        <v>6929</v>
      </c>
      <c r="B3" s="21">
        <v>1001085476929</v>
      </c>
      <c r="C3" s="19" t="s">
        <v>175</v>
      </c>
      <c r="D3" t="str">
        <f t="shared" si="0"/>
        <v>6929 КАРБОНAД ДОМАШНИЙ ПМ к/в кр/к в/у</v>
      </c>
      <c r="E3" t="s">
        <v>36</v>
      </c>
      <c r="F3">
        <f>VLOOKUP(B3,[1]КИ_ПФ!$B:$Q,16,0)</f>
        <v>45</v>
      </c>
      <c r="G3" t="str">
        <f>VLOOKUP(B3,[1]КИ_ПФ!$B:$C,2,0)</f>
        <v>КАРБОНAД ДОМАШНИЙ ПМ к/в кр/к в/у</v>
      </c>
      <c r="H3">
        <v>1</v>
      </c>
    </row>
    <row r="4" spans="1:8" ht="16.5" thickBot="1" x14ac:dyDescent="0.3">
      <c r="A4" s="23">
        <v>614</v>
      </c>
      <c r="B4" s="24">
        <v>1001060720614</v>
      </c>
      <c r="C4" s="25" t="s">
        <v>176</v>
      </c>
      <c r="D4" t="s">
        <v>35</v>
      </c>
      <c r="E4" t="s">
        <v>36</v>
      </c>
      <c r="F4">
        <f>VLOOKUP(B4,[1]КИ_ПФ!$B:$Q,16,0)</f>
        <v>120</v>
      </c>
      <c r="G4" t="str">
        <f>VLOOKUP(B4,[1]КИ_ПФ!$B:$C,2,0)</f>
        <v>ПРАЗДНИЧНАЯ с/к в/с дек.спец.мгс</v>
      </c>
      <c r="H4">
        <v>1</v>
      </c>
    </row>
    <row r="5" spans="1:8" ht="16.5" thickBot="1" x14ac:dyDescent="0.3">
      <c r="A5" s="18">
        <v>7143</v>
      </c>
      <c r="B5" s="21">
        <v>1001060717143</v>
      </c>
      <c r="C5" s="19" t="s">
        <v>177</v>
      </c>
      <c r="D5" t="str">
        <f t="shared" si="0"/>
        <v>7143 БРАУНШВЕЙГСКАЯ ГОСТ с/к в/у 1/220 8шт.</v>
      </c>
      <c r="E5" t="s">
        <v>40</v>
      </c>
      <c r="F5">
        <f>VLOOKUP(B5,[1]КИ_ПФ!$B:$Q,16,0)</f>
        <v>120</v>
      </c>
      <c r="G5" t="str">
        <f>VLOOKUP(B5,[1]КИ_ПФ!$B:$C,2,0)</f>
        <v>БРАУНШВЕЙГСКАЯ ГОСТ с/к в/у 1/220 8шт.</v>
      </c>
      <c r="H5">
        <v>0.22</v>
      </c>
    </row>
    <row r="6" spans="1:8" ht="16.5" thickBot="1" x14ac:dyDescent="0.3">
      <c r="A6" s="16">
        <v>7710</v>
      </c>
      <c r="B6" s="20">
        <v>1001307587710</v>
      </c>
      <c r="C6" s="17" t="s">
        <v>178</v>
      </c>
      <c r="D6" t="str">
        <f t="shared" si="0"/>
        <v>7710 КРАКОВСКАЯ ГОСТ п/к н/о мгс 0.3кг</v>
      </c>
      <c r="E6" t="s">
        <v>40</v>
      </c>
      <c r="F6">
        <v>45</v>
      </c>
      <c r="G6" t="s">
        <v>178</v>
      </c>
      <c r="H6">
        <v>0.3</v>
      </c>
    </row>
    <row r="7" spans="1:8" ht="16.5" thickBot="1" x14ac:dyDescent="0.3">
      <c r="A7" s="18">
        <v>7456</v>
      </c>
      <c r="B7" s="21">
        <v>1001063097456</v>
      </c>
      <c r="C7" s="19" t="s">
        <v>179</v>
      </c>
      <c r="D7" t="str">
        <f t="shared" si="0"/>
        <v>7456 САЛЯМИ ФИНСКАЯ Папа может с/к в/у 1/150</v>
      </c>
      <c r="E7" t="s">
        <v>40</v>
      </c>
      <c r="F7">
        <f>VLOOKUP(B7,[1]КИ_ПФ!$B:$Q,16,0)</f>
        <v>90</v>
      </c>
      <c r="G7" t="str">
        <f>VLOOKUP(B7,[1]КИ_ПФ!$B:$C,2,0)</f>
        <v>САЛЯМИ ФИНСКАЯ Папа может с/к в/у 1/150</v>
      </c>
      <c r="H7">
        <v>0.15</v>
      </c>
    </row>
    <row r="8" spans="1:8" ht="16.5" thickBot="1" x14ac:dyDescent="0.3">
      <c r="A8" s="26">
        <v>7386</v>
      </c>
      <c r="B8" s="27">
        <v>1001067017386</v>
      </c>
      <c r="C8" s="28" t="s">
        <v>180</v>
      </c>
      <c r="D8" t="s">
        <v>141</v>
      </c>
      <c r="E8" t="s">
        <v>40</v>
      </c>
      <c r="F8">
        <f>VLOOKUP(B8,[1]КИ_ПФ!$B:$Q,16,0)</f>
        <v>90</v>
      </c>
      <c r="G8" t="str">
        <f>VLOOKUP(B8,[1]КИ_ПФ!$B:$C,2,0)</f>
        <v>БАРСЕЛОНА ПМ с/к в/у 1/150</v>
      </c>
      <c r="H8">
        <v>0.15</v>
      </c>
    </row>
    <row r="9" spans="1:8" ht="16.5" thickBot="1" x14ac:dyDescent="0.3">
      <c r="A9" s="18">
        <v>7344</v>
      </c>
      <c r="B9" s="21">
        <v>1001122287344</v>
      </c>
      <c r="C9" s="19" t="s">
        <v>181</v>
      </c>
      <c r="D9" t="str">
        <f t="shared" si="0"/>
        <v>7344 КОНСЕРВЫ МЯС.ГОВЯДИНА ТУШ. В/С 338г_ЧЗ</v>
      </c>
      <c r="E9" t="s">
        <v>40</v>
      </c>
      <c r="F9" t="str">
        <f>VLOOKUP(B9,[1]КИ_ПФ!$B:$Q,16,0)</f>
        <v>3 года</v>
      </c>
      <c r="G9" t="str">
        <f>VLOOKUP(B9,[1]КИ_ПФ!$B:$C,2,0)</f>
        <v>КОНСЕРВЫ МЯС.ГОВЯДИНА ТУШ. В/С 338г_ЧЗ</v>
      </c>
      <c r="H9">
        <v>0.33800000000000002</v>
      </c>
    </row>
    <row r="10" spans="1:8" ht="16.5" thickBot="1" x14ac:dyDescent="0.3">
      <c r="A10" s="18">
        <v>7345</v>
      </c>
      <c r="B10" s="21">
        <v>1001123677345</v>
      </c>
      <c r="C10" s="19" t="s">
        <v>182</v>
      </c>
      <c r="D10" t="str">
        <f t="shared" si="0"/>
        <v>7345 КОНСЕРВЫ МЯС.СВИНИНА ТУШ. В/С 325г_ЧЗ</v>
      </c>
      <c r="E10" t="s">
        <v>40</v>
      </c>
      <c r="F10" t="str">
        <f>VLOOKUP(B10,[1]КИ_ПФ!$B:$Q,16,0)</f>
        <v>3 года</v>
      </c>
      <c r="G10" t="str">
        <f>VLOOKUP(B10,[1]КИ_ПФ!$B:$C,2,0)</f>
        <v>КОНСЕРВЫ МЯС.СВИНИНА ТУШ. В/С 325г_ЧЗ</v>
      </c>
      <c r="H10">
        <v>0.32500000000000001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BF83-AAFA-4489-867A-29467CD5AA2D}">
  <dimension ref="A1:B5"/>
  <sheetViews>
    <sheetView workbookViewId="0">
      <selection activeCell="A6" sqref="A6"/>
    </sheetView>
  </sheetViews>
  <sheetFormatPr defaultRowHeight="15" x14ac:dyDescent="0.25"/>
  <cols>
    <col min="1" max="1" width="70" bestFit="1" customWidth="1"/>
  </cols>
  <sheetData>
    <row r="1" spans="1:2" ht="16.5" thickBot="1" x14ac:dyDescent="0.3">
      <c r="A1" s="34" t="s">
        <v>73</v>
      </c>
      <c r="B1" s="17" t="s">
        <v>172</v>
      </c>
    </row>
    <row r="2" spans="1:2" ht="16.5" thickBot="1" x14ac:dyDescent="0.3">
      <c r="A2" s="35" t="s">
        <v>107</v>
      </c>
      <c r="B2" s="17" t="s">
        <v>172</v>
      </c>
    </row>
    <row r="3" spans="1:2" ht="16.5" thickBot="1" x14ac:dyDescent="0.3">
      <c r="A3" s="35" t="s">
        <v>138</v>
      </c>
      <c r="B3" s="17" t="s">
        <v>172</v>
      </c>
    </row>
    <row r="4" spans="1:2" ht="16.5" thickBot="1" x14ac:dyDescent="0.3">
      <c r="A4" s="35" t="s">
        <v>156</v>
      </c>
      <c r="B4" s="17" t="s">
        <v>172</v>
      </c>
    </row>
    <row r="5" spans="1:2" ht="16.5" thickBot="1" x14ac:dyDescent="0.3">
      <c r="A5" s="35" t="s">
        <v>157</v>
      </c>
      <c r="B5" s="17"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Sheet</vt:lpstr>
      <vt:lpstr>новинки</vt:lpstr>
      <vt:lpstr>вывод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Uaer4</cp:lastModifiedBy>
  <dcterms:created xsi:type="dcterms:W3CDTF">2026-08-31T08:09:42Z</dcterms:created>
  <dcterms:modified xsi:type="dcterms:W3CDTF">2026-09-02T06:57:43Z</dcterms:modified>
</cp:coreProperties>
</file>