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СЫРЫ\"/>
    </mc:Choice>
  </mc:AlternateContent>
  <xr:revisionPtr revIDLastSave="0" documentId="13_ncr:1_{C674F8F3-7055-4AED-8B21-8CFB7D4ABDD4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6" i="1" l="1"/>
  <c r="G45" i="1"/>
  <c r="G39" i="1"/>
  <c r="G36" i="1"/>
  <c r="G33" i="1"/>
  <c r="G22" i="1"/>
  <c r="G16" i="1"/>
  <c r="G14" i="1"/>
  <c r="G13" i="1"/>
  <c r="G12" i="1"/>
  <c r="G8" i="1"/>
  <c r="G7" i="1"/>
  <c r="R7" i="1" l="1"/>
  <c r="T7" i="1" s="1"/>
  <c r="R8" i="1"/>
  <c r="T8" i="1" s="1"/>
  <c r="R9" i="1"/>
  <c r="S9" i="1" s="1"/>
  <c r="T9" i="1" s="1"/>
  <c r="R10" i="1"/>
  <c r="T10" i="1" s="1"/>
  <c r="R11" i="1"/>
  <c r="T11" i="1" s="1"/>
  <c r="R12" i="1"/>
  <c r="T12" i="1" s="1"/>
  <c r="R13" i="1"/>
  <c r="U13" i="1" s="1"/>
  <c r="R14" i="1"/>
  <c r="T14" i="1" s="1"/>
  <c r="R15" i="1"/>
  <c r="T15" i="1" s="1"/>
  <c r="R16" i="1"/>
  <c r="T16" i="1" s="1"/>
  <c r="R17" i="1"/>
  <c r="T17" i="1" s="1"/>
  <c r="R18" i="1"/>
  <c r="U18" i="1" s="1"/>
  <c r="R19" i="1"/>
  <c r="U19" i="1" s="1"/>
  <c r="R20" i="1"/>
  <c r="S20" i="1" s="1"/>
  <c r="T20" i="1" s="1"/>
  <c r="R21" i="1"/>
  <c r="S21" i="1" s="1"/>
  <c r="T21" i="1" s="1"/>
  <c r="R22" i="1"/>
  <c r="T22" i="1" s="1"/>
  <c r="R23" i="1"/>
  <c r="U23" i="1" s="1"/>
  <c r="R24" i="1"/>
  <c r="U24" i="1" s="1"/>
  <c r="R25" i="1"/>
  <c r="U25" i="1" s="1"/>
  <c r="R26" i="1"/>
  <c r="U26" i="1" s="1"/>
  <c r="R27" i="1"/>
  <c r="S27" i="1" s="1"/>
  <c r="T27" i="1" s="1"/>
  <c r="R28" i="1"/>
  <c r="T28" i="1" s="1"/>
  <c r="R29" i="1"/>
  <c r="S29" i="1" s="1"/>
  <c r="T29" i="1" s="1"/>
  <c r="R30" i="1"/>
  <c r="T30" i="1" s="1"/>
  <c r="R31" i="1"/>
  <c r="U31" i="1" s="1"/>
  <c r="R32" i="1"/>
  <c r="S32" i="1" s="1"/>
  <c r="T32" i="1" s="1"/>
  <c r="R33" i="1"/>
  <c r="U33" i="1" s="1"/>
  <c r="R34" i="1"/>
  <c r="T34" i="1" s="1"/>
  <c r="R35" i="1"/>
  <c r="S35" i="1" s="1"/>
  <c r="T35" i="1" s="1"/>
  <c r="R36" i="1"/>
  <c r="T36" i="1" s="1"/>
  <c r="R37" i="1"/>
  <c r="R38" i="1"/>
  <c r="T38" i="1" s="1"/>
  <c r="R39" i="1"/>
  <c r="U39" i="1" s="1"/>
  <c r="R40" i="1"/>
  <c r="S40" i="1" s="1"/>
  <c r="T40" i="1" s="1"/>
  <c r="R41" i="1"/>
  <c r="U41" i="1" s="1"/>
  <c r="R42" i="1"/>
  <c r="U42" i="1" s="1"/>
  <c r="R43" i="1"/>
  <c r="T43" i="1" s="1"/>
  <c r="R44" i="1"/>
  <c r="U44" i="1" s="1"/>
  <c r="R45" i="1"/>
  <c r="U45" i="1" s="1"/>
  <c r="R46" i="1"/>
  <c r="U46" i="1" s="1"/>
  <c r="R47" i="1"/>
  <c r="U47" i="1" s="1"/>
  <c r="R6" i="1"/>
  <c r="T6" i="1" s="1"/>
  <c r="S37" i="1" l="1"/>
  <c r="T37" i="1" s="1"/>
  <c r="U40" i="1"/>
  <c r="S41" i="1"/>
  <c r="T41" i="1" s="1"/>
  <c r="U29" i="1"/>
  <c r="U28" i="1"/>
  <c r="U27" i="1"/>
  <c r="U22" i="1"/>
  <c r="U21" i="1"/>
  <c r="U20" i="1"/>
  <c r="U17" i="1"/>
  <c r="U15" i="1"/>
  <c r="U8" i="1"/>
  <c r="T47" i="1"/>
  <c r="S42" i="1"/>
  <c r="T42" i="1" s="1"/>
  <c r="U6" i="1"/>
  <c r="T33" i="1"/>
  <c r="U43" i="1"/>
  <c r="U30" i="1"/>
  <c r="T13" i="1"/>
  <c r="U16" i="1"/>
  <c r="T46" i="1"/>
  <c r="T26" i="1"/>
  <c r="T45" i="1"/>
  <c r="S25" i="1"/>
  <c r="T25" i="1" s="1"/>
  <c r="T44" i="1"/>
  <c r="T24" i="1"/>
  <c r="U14" i="1"/>
  <c r="T23" i="1"/>
  <c r="U38" i="1"/>
  <c r="U12" i="1"/>
  <c r="T39" i="1"/>
  <c r="S19" i="1"/>
  <c r="T19" i="1" s="1"/>
  <c r="U37" i="1"/>
  <c r="T18" i="1"/>
  <c r="U36" i="1"/>
  <c r="U11" i="1"/>
  <c r="U35" i="1"/>
  <c r="U10" i="1"/>
  <c r="U34" i="1"/>
  <c r="U9" i="1"/>
  <c r="T31" i="1"/>
  <c r="U32" i="1"/>
  <c r="U7" i="1"/>
  <c r="AG47" i="1"/>
  <c r="M47" i="1"/>
  <c r="AG46" i="1"/>
  <c r="M46" i="1"/>
  <c r="AG45" i="1"/>
  <c r="M45" i="1"/>
  <c r="AG44" i="1"/>
  <c r="M44" i="1"/>
  <c r="AG43" i="1"/>
  <c r="M43" i="1"/>
  <c r="AG42" i="1"/>
  <c r="M42" i="1"/>
  <c r="M41" i="1"/>
  <c r="AG40" i="1"/>
  <c r="M40" i="1"/>
  <c r="M39" i="1"/>
  <c r="AG38" i="1"/>
  <c r="M38" i="1"/>
  <c r="AG37" i="1"/>
  <c r="M37" i="1"/>
  <c r="AG36" i="1"/>
  <c r="M36" i="1"/>
  <c r="AG35" i="1"/>
  <c r="M35" i="1"/>
  <c r="AG34" i="1"/>
  <c r="M34" i="1"/>
  <c r="AG33" i="1"/>
  <c r="M33" i="1"/>
  <c r="AG32" i="1"/>
  <c r="M32" i="1"/>
  <c r="M31" i="1"/>
  <c r="AG30" i="1"/>
  <c r="M30" i="1"/>
  <c r="AG29" i="1"/>
  <c r="M29" i="1"/>
  <c r="AG28" i="1"/>
  <c r="M28" i="1"/>
  <c r="AG27" i="1"/>
  <c r="M27" i="1"/>
  <c r="AG26" i="1"/>
  <c r="M26" i="1"/>
  <c r="M25" i="1"/>
  <c r="AG24" i="1"/>
  <c r="M24" i="1"/>
  <c r="AG23" i="1"/>
  <c r="M23" i="1"/>
  <c r="AG22" i="1"/>
  <c r="M22" i="1"/>
  <c r="AG21" i="1"/>
  <c r="M21" i="1"/>
  <c r="AG20" i="1"/>
  <c r="M20" i="1"/>
  <c r="M19" i="1"/>
  <c r="M18" i="1"/>
  <c r="AG17" i="1"/>
  <c r="M17" i="1"/>
  <c r="AG16" i="1"/>
  <c r="M16" i="1"/>
  <c r="AG15" i="1"/>
  <c r="M15" i="1"/>
  <c r="AG14" i="1"/>
  <c r="M14" i="1"/>
  <c r="AG13" i="1"/>
  <c r="M13" i="1"/>
  <c r="AG12" i="1"/>
  <c r="M12" i="1"/>
  <c r="AG11" i="1"/>
  <c r="M11" i="1"/>
  <c r="AG10" i="1"/>
  <c r="M10" i="1"/>
  <c r="AG9" i="1"/>
  <c r="M9" i="1"/>
  <c r="AG8" i="1"/>
  <c r="M8" i="1"/>
  <c r="AG7" i="1"/>
  <c r="M7" i="1"/>
  <c r="AG6" i="1"/>
  <c r="M6" i="1"/>
  <c r="AE5" i="1"/>
  <c r="AD5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L5" i="1"/>
  <c r="F5" i="1"/>
  <c r="E5" i="1"/>
  <c r="AG41" i="1" l="1"/>
  <c r="AG25" i="1"/>
  <c r="S5" i="1"/>
  <c r="AG31" i="1"/>
  <c r="AG18" i="1"/>
  <c r="AG19" i="1"/>
  <c r="AG5" i="1" s="1"/>
  <c r="AG39" i="1"/>
  <c r="M5" i="1"/>
</calcChain>
</file>

<file path=xl/sharedStrings.xml><?xml version="1.0" encoding="utf-8"?>
<sst xmlns="http://schemas.openxmlformats.org/spreadsheetml/2006/main" count="156" uniqueCount="92">
  <si>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</si>
  <si>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</si>
  <si>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</si>
  <si>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</si>
  <si>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</si>
  <si>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</si>
  <si>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</si>
  <si>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</si>
  <si>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</si>
  <si>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</si>
  <si>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</si>
  <si>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</si>
  <si>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</si>
  <si>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</si>
  <si>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</si>
  <si>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</si>
  <si>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</si>
  <si>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</si>
  <si>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</si>
  <si>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</si>
  <si>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</si>
  <si>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</si>
  <si>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</si>
  <si>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31,08,сети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</si>
  <si>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</si>
  <si>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</si>
  <si>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</si>
  <si>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</si>
  <si>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</si>
  <si>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</si>
  <si>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</si>
  <si>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</si>
  <si>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</si>
  <si>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</si>
  <si>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</si>
  <si>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</si>
  <si>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</si>
  <si>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</si>
  <si>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</si>
  <si>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</si>
  <si>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</si>
  <si>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</si>
  <si>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</si>
  <si>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</si>
  <si>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</si>
  <si>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</si>
  <si>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</si>
  <si>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</si>
  <si>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</si>
  <si>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</si>
  <si>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</si>
  <si>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</si>
  <si>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</si>
  <si>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</si>
  <si>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</si>
  <si>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</si>
  <si>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</si>
  <si>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</si>
  <si>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</si>
  <si>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</si>
  <si>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</si>
  <si>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</si>
  <si>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</si>
  <si>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</si>
  <si>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</si>
  <si>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</si>
  <si>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</si>
  <si>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</si>
  <si>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</si>
  <si>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</si>
  <si>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</si>
  <si>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</si>
  <si>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</si>
  <si>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</si>
  <si>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</si>
  <si>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</si>
  <si>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</si>
  <si>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</si>
  <si>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</si>
  <si>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</si>
  <si>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</si>
  <si>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</si>
  <si>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</si>
  <si>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</si>
  <si>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285шт в уценку (27,08,26)</t>
  </si>
  <si>
    <t>187шт в уценку (27,08,26)</t>
  </si>
  <si>
    <t>130шт в уценку (27,08,26)</t>
  </si>
  <si>
    <t>93шт в уценку (27,08,26)</t>
  </si>
  <si>
    <t>16кг в уценку (27,08,26)</t>
  </si>
  <si>
    <t>98шт в уценку (27,08,26)</t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</si>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</sst>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53" sqref="S5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2" bestFit="1" customWidth="1"/>
    <col min="8" max="8" width="5" style="6" customWidth="1"/>
    <col min="9" max="9" width="5" customWidth="1"/>
    <col min="10" max="10" width="7.42578125" customWidth="1"/>
    <col min="11" max="11" width="1" customWidth="1"/>
    <col min="12" max="13" width="7" customWidth="1"/>
    <col min="14" max="15" width="0.5703125" customWidth="1"/>
    <col min="16" max="19" width="7" customWidth="1"/>
    <col min="20" max="21" width="5" customWidth="1"/>
    <col min="22" max="31" width="6" customWidth="1"/>
    <col min="32" max="32" width="44.710937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91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 t="s">
        <v>24</v>
      </c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90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2152.1029999999996</v>
      </c>
      <c r="F5" s="4">
        <f>SUM(F6:F497)</f>
        <v>5546.7950000000001</v>
      </c>
      <c r="G5" s="4"/>
      <c r="H5" s="7"/>
      <c r="I5" s="1"/>
      <c r="J5" s="1"/>
      <c r="K5" s="1"/>
      <c r="L5" s="4">
        <f t="shared" ref="L5:S5" si="0">SUM(L6:L497)</f>
        <v>2951.0519999999997</v>
      </c>
      <c r="M5" s="4">
        <f t="shared" si="0"/>
        <v>-798.94900000000007</v>
      </c>
      <c r="N5" s="4">
        <f t="shared" si="0"/>
        <v>0</v>
      </c>
      <c r="O5" s="4">
        <f t="shared" si="0"/>
        <v>0</v>
      </c>
      <c r="P5" s="4">
        <f t="shared" si="0"/>
        <v>570</v>
      </c>
      <c r="Q5" s="4">
        <f t="shared" si="0"/>
        <v>424</v>
      </c>
      <c r="R5" s="4">
        <f t="shared" si="0"/>
        <v>430.42060000000004</v>
      </c>
      <c r="S5" s="4">
        <f t="shared" si="0"/>
        <v>1891.4480000000001</v>
      </c>
      <c r="T5" s="1"/>
      <c r="U5" s="1"/>
      <c r="V5" s="4">
        <f t="shared" ref="V5:AE5" si="1">SUM(V6:V497)</f>
        <v>432.49839999999995</v>
      </c>
      <c r="W5" s="4">
        <f t="shared" si="1"/>
        <v>540.87959999999975</v>
      </c>
      <c r="X5" s="4">
        <f t="shared" si="1"/>
        <v>359.47259999999989</v>
      </c>
      <c r="Y5" s="4">
        <f t="shared" si="1"/>
        <v>466.03420000000006</v>
      </c>
      <c r="Z5" s="4">
        <f t="shared" si="1"/>
        <v>440.05199999999996</v>
      </c>
      <c r="AA5" s="4">
        <f t="shared" si="1"/>
        <v>293.5243999999999</v>
      </c>
      <c r="AB5" s="4">
        <f t="shared" si="1"/>
        <v>493.16799999999995</v>
      </c>
      <c r="AC5" s="4">
        <f t="shared" si="1"/>
        <v>453.59320000000014</v>
      </c>
      <c r="AD5" s="4">
        <f t="shared" si="1"/>
        <v>562.35560000000009</v>
      </c>
      <c r="AE5" s="4">
        <f t="shared" si="1"/>
        <v>611.33759999999995</v>
      </c>
      <c r="AF5" s="1" t="s">
        <v>90</v>
      </c>
      <c r="AG5" s="4">
        <f>SUM(AG6:AG497)</f>
        <v>388.58799999999997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idden="1" x14ac:dyDescent="0.25">
      <c r="A6" s="1" t="s">
        <v>35</v>
      </c>
      <c r="B6" s="1" t="s">
        <v>36</v>
      </c>
      <c r="C6" s="1">
        <v>88</v>
      </c>
      <c r="D6" s="1"/>
      <c r="E6" s="1">
        <v>18</v>
      </c>
      <c r="F6" s="1">
        <v>68</v>
      </c>
      <c r="G6" s="1"/>
      <c r="H6" s="7">
        <v>5.5E-2</v>
      </c>
      <c r="I6" s="1">
        <v>120</v>
      </c>
      <c r="J6" s="1"/>
      <c r="K6" s="1"/>
      <c r="L6" s="1">
        <v>18</v>
      </c>
      <c r="M6" s="1">
        <f t="shared" ref="M6:M47" si="2">E6-L6</f>
        <v>0</v>
      </c>
      <c r="N6" s="1"/>
      <c r="O6" s="1"/>
      <c r="P6" s="1"/>
      <c r="Q6" s="1"/>
      <c r="R6" s="1">
        <f>E6/5</f>
        <v>3.6</v>
      </c>
      <c r="S6" s="5"/>
      <c r="T6" s="1">
        <f>(F6+P6+Q6+S6)/R6</f>
        <v>18.888888888888889</v>
      </c>
      <c r="U6" s="1">
        <f>(F6+P6+Q6)/R6</f>
        <v>18.888888888888889</v>
      </c>
      <c r="V6" s="1">
        <v>3.2</v>
      </c>
      <c r="W6" s="1">
        <v>3.2</v>
      </c>
      <c r="X6" s="1">
        <v>0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0" t="s">
        <v>37</v>
      </c>
      <c r="AG6" s="1">
        <f t="shared" ref="AG6:AG47" si="3">H6*S6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78</v>
      </c>
      <c r="D7" s="1"/>
      <c r="E7" s="1">
        <v>10</v>
      </c>
      <c r="F7" s="1">
        <v>68</v>
      </c>
      <c r="G7" s="1">
        <f>F7*H7</f>
        <v>6.8000000000000007</v>
      </c>
      <c r="H7" s="7">
        <v>0.1</v>
      </c>
      <c r="I7" s="1">
        <v>120</v>
      </c>
      <c r="J7" s="1"/>
      <c r="K7" s="1"/>
      <c r="L7" s="1">
        <v>10</v>
      </c>
      <c r="M7" s="1">
        <f t="shared" si="2"/>
        <v>0</v>
      </c>
      <c r="N7" s="1"/>
      <c r="O7" s="1"/>
      <c r="P7" s="1">
        <v>24</v>
      </c>
      <c r="Q7" s="1"/>
      <c r="R7" s="1">
        <f t="shared" ref="R7:R47" si="4">E7/5</f>
        <v>2</v>
      </c>
      <c r="S7" s="5"/>
      <c r="T7" s="1">
        <f t="shared" ref="T7:T47" si="5">(F7+P7+Q7+S7)/R7</f>
        <v>46</v>
      </c>
      <c r="U7" s="1">
        <f t="shared" ref="U7:U47" si="6">(F7+P7+Q7)/R7</f>
        <v>46</v>
      </c>
      <c r="V7" s="1">
        <v>6</v>
      </c>
      <c r="W7" s="1">
        <v>2.6</v>
      </c>
      <c r="X7" s="1">
        <v>1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0" t="s">
        <v>37</v>
      </c>
      <c r="AG7" s="1">
        <f t="shared" si="3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34</v>
      </c>
      <c r="D8" s="1"/>
      <c r="E8" s="1">
        <v>6</v>
      </c>
      <c r="F8" s="1">
        <v>25</v>
      </c>
      <c r="G8" s="1">
        <f>F8*H8</f>
        <v>2.5</v>
      </c>
      <c r="H8" s="7">
        <v>0.1</v>
      </c>
      <c r="I8" s="1">
        <v>120</v>
      </c>
      <c r="J8" s="1"/>
      <c r="K8" s="1"/>
      <c r="L8" s="1">
        <v>6</v>
      </c>
      <c r="M8" s="1">
        <f t="shared" si="2"/>
        <v>0</v>
      </c>
      <c r="N8" s="1"/>
      <c r="O8" s="1"/>
      <c r="P8" s="1">
        <v>24</v>
      </c>
      <c r="Q8" s="1"/>
      <c r="R8" s="1">
        <f t="shared" si="4"/>
        <v>1.2</v>
      </c>
      <c r="S8" s="5"/>
      <c r="T8" s="1">
        <f t="shared" si="5"/>
        <v>40.833333333333336</v>
      </c>
      <c r="U8" s="1">
        <f t="shared" si="6"/>
        <v>40.833333333333336</v>
      </c>
      <c r="V8" s="1">
        <v>3.2</v>
      </c>
      <c r="W8" s="1">
        <v>1.4</v>
      </c>
      <c r="X8" s="1">
        <v>3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0" t="s">
        <v>37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idden="1" x14ac:dyDescent="0.25">
      <c r="A9" s="1" t="s">
        <v>40</v>
      </c>
      <c r="B9" s="1" t="s">
        <v>41</v>
      </c>
      <c r="C9" s="1">
        <v>68.087999999999994</v>
      </c>
      <c r="D9" s="1"/>
      <c r="E9" s="1">
        <v>41.807000000000002</v>
      </c>
      <c r="F9" s="1">
        <v>22.658999999999999</v>
      </c>
      <c r="G9" s="1"/>
      <c r="H9" s="7">
        <v>1</v>
      </c>
      <c r="I9" s="1">
        <v>120</v>
      </c>
      <c r="J9" s="1"/>
      <c r="K9" s="1"/>
      <c r="L9" s="1">
        <v>45.03</v>
      </c>
      <c r="M9" s="1">
        <f t="shared" si="2"/>
        <v>-3.222999999999999</v>
      </c>
      <c r="N9" s="1"/>
      <c r="O9" s="1"/>
      <c r="P9" s="1">
        <v>30</v>
      </c>
      <c r="Q9" s="1"/>
      <c r="R9" s="1">
        <f t="shared" si="4"/>
        <v>8.3613999999999997</v>
      </c>
      <c r="S9" s="5">
        <f t="shared" ref="S9:S42" si="7">15*R9-Q9-P9-F9</f>
        <v>72.762</v>
      </c>
      <c r="T9" s="1">
        <f t="shared" si="5"/>
        <v>15</v>
      </c>
      <c r="U9" s="1">
        <f t="shared" si="6"/>
        <v>6.2978687779558449</v>
      </c>
      <c r="V9" s="1">
        <v>5.9184000000000001</v>
      </c>
      <c r="W9" s="1">
        <v>5.1240000000000014</v>
      </c>
      <c r="X9" s="1">
        <v>2.4895999999999998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>
        <v>10.0276</v>
      </c>
      <c r="AF9" s="1"/>
      <c r="AG9" s="1">
        <f t="shared" si="3"/>
        <v>72.762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idden="1" x14ac:dyDescent="0.25">
      <c r="A10" s="1" t="s">
        <v>42</v>
      </c>
      <c r="B10" s="1" t="s">
        <v>36</v>
      </c>
      <c r="C10" s="1"/>
      <c r="D10" s="1"/>
      <c r="E10" s="1"/>
      <c r="F10" s="1"/>
      <c r="G10" s="1"/>
      <c r="H10" s="7">
        <v>0.18</v>
      </c>
      <c r="I10" s="1">
        <v>180</v>
      </c>
      <c r="J10" s="1"/>
      <c r="K10" s="1"/>
      <c r="L10" s="1">
        <v>1</v>
      </c>
      <c r="M10" s="1">
        <f t="shared" si="2"/>
        <v>-1</v>
      </c>
      <c r="N10" s="1"/>
      <c r="O10" s="1"/>
      <c r="P10" s="1">
        <v>0</v>
      </c>
      <c r="Q10" s="1"/>
      <c r="R10" s="1">
        <f t="shared" si="4"/>
        <v>0</v>
      </c>
      <c r="S10" s="5">
        <v>24</v>
      </c>
      <c r="T10" s="1" t="e">
        <f t="shared" si="5"/>
        <v>#DIV/0!</v>
      </c>
      <c r="U10" s="1" t="e">
        <f t="shared" si="6"/>
        <v>#DIV/0!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>
        <v>0.4</v>
      </c>
      <c r="AF10" s="1" t="s">
        <v>43</v>
      </c>
      <c r="AG10" s="1">
        <f t="shared" si="3"/>
        <v>4.32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idden="1" x14ac:dyDescent="0.25">
      <c r="A11" s="1" t="s">
        <v>44</v>
      </c>
      <c r="B11" s="1" t="s">
        <v>36</v>
      </c>
      <c r="C11" s="1"/>
      <c r="D11" s="1"/>
      <c r="E11" s="1"/>
      <c r="F11" s="1"/>
      <c r="G11" s="1"/>
      <c r="H11" s="7">
        <v>0.18</v>
      </c>
      <c r="I11" s="1">
        <v>180</v>
      </c>
      <c r="J11" s="1"/>
      <c r="K11" s="1"/>
      <c r="L11" s="1">
        <v>1</v>
      </c>
      <c r="M11" s="1">
        <f t="shared" si="2"/>
        <v>-1</v>
      </c>
      <c r="N11" s="1"/>
      <c r="O11" s="1"/>
      <c r="P11" s="1">
        <v>0</v>
      </c>
      <c r="Q11" s="1"/>
      <c r="R11" s="1">
        <f t="shared" si="4"/>
        <v>0</v>
      </c>
      <c r="S11" s="5">
        <v>24</v>
      </c>
      <c r="T11" s="1" t="e">
        <f t="shared" si="5"/>
        <v>#DIV/0!</v>
      </c>
      <c r="U11" s="1" t="e">
        <f t="shared" si="6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>
        <v>0.4</v>
      </c>
      <c r="AF11" s="1" t="s">
        <v>43</v>
      </c>
      <c r="AG11" s="1">
        <f t="shared" si="3"/>
        <v>4.32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41</v>
      </c>
      <c r="C12" s="1">
        <v>87.07</v>
      </c>
      <c r="D12" s="1"/>
      <c r="E12" s="1">
        <v>6.5259999999999998</v>
      </c>
      <c r="F12" s="1">
        <v>77.165999999999997</v>
      </c>
      <c r="G12" s="1">
        <f t="shared" ref="G12:G14" si="8">F12*H12</f>
        <v>77.165999999999997</v>
      </c>
      <c r="H12" s="7">
        <v>1</v>
      </c>
      <c r="I12" s="1">
        <v>180</v>
      </c>
      <c r="J12" s="1"/>
      <c r="K12" s="1"/>
      <c r="L12" s="1">
        <v>7</v>
      </c>
      <c r="M12" s="1">
        <f t="shared" si="2"/>
        <v>-0.4740000000000002</v>
      </c>
      <c r="N12" s="1"/>
      <c r="O12" s="1"/>
      <c r="P12" s="1"/>
      <c r="Q12" s="1"/>
      <c r="R12" s="1">
        <f t="shared" si="4"/>
        <v>1.3051999999999999</v>
      </c>
      <c r="S12" s="5"/>
      <c r="T12" s="1">
        <f t="shared" si="5"/>
        <v>59.121973643885994</v>
      </c>
      <c r="U12" s="1">
        <f t="shared" si="6"/>
        <v>59.121973643885994</v>
      </c>
      <c r="V12" s="1">
        <v>0.63680000000000003</v>
      </c>
      <c r="W12" s="1">
        <v>1.2988</v>
      </c>
      <c r="X12" s="1">
        <v>1.2927999999999999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>
        <v>3.3479999999999999</v>
      </c>
      <c r="AF12" s="11" t="s">
        <v>46</v>
      </c>
      <c r="AG12" s="1">
        <f t="shared" si="3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36</v>
      </c>
      <c r="C13" s="1">
        <v>140</v>
      </c>
      <c r="D13" s="1"/>
      <c r="E13" s="1"/>
      <c r="F13" s="1">
        <v>138</v>
      </c>
      <c r="G13" s="1">
        <f t="shared" si="8"/>
        <v>113.78100000000001</v>
      </c>
      <c r="H13" s="7">
        <v>0.82450000000000001</v>
      </c>
      <c r="I13" s="1">
        <v>180</v>
      </c>
      <c r="J13" s="1"/>
      <c r="K13" s="1"/>
      <c r="L13" s="1"/>
      <c r="M13" s="1">
        <f t="shared" si="2"/>
        <v>0</v>
      </c>
      <c r="N13" s="1"/>
      <c r="O13" s="1"/>
      <c r="P13" s="1"/>
      <c r="Q13" s="1"/>
      <c r="R13" s="1">
        <f t="shared" si="4"/>
        <v>0</v>
      </c>
      <c r="S13" s="5"/>
      <c r="T13" s="1" t="e">
        <f t="shared" si="5"/>
        <v>#DIV/0!</v>
      </c>
      <c r="U13" s="1" t="e">
        <f t="shared" si="6"/>
        <v>#DIV/0!</v>
      </c>
      <c r="V13" s="1">
        <v>0.4</v>
      </c>
      <c r="W13" s="1">
        <v>0</v>
      </c>
      <c r="X13" s="1">
        <v>0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">
        <v>0.6</v>
      </c>
      <c r="AF13" s="11" t="s">
        <v>46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36</v>
      </c>
      <c r="C14" s="1">
        <v>308</v>
      </c>
      <c r="D14" s="1">
        <v>4</v>
      </c>
      <c r="E14" s="1">
        <v>38</v>
      </c>
      <c r="F14" s="1">
        <v>270</v>
      </c>
      <c r="G14" s="1">
        <f t="shared" si="8"/>
        <v>100.44</v>
      </c>
      <c r="H14" s="7">
        <v>0.372</v>
      </c>
      <c r="I14" s="1">
        <v>180</v>
      </c>
      <c r="J14" s="1"/>
      <c r="K14" s="1"/>
      <c r="L14" s="1">
        <v>39</v>
      </c>
      <c r="M14" s="1">
        <f t="shared" si="2"/>
        <v>-1</v>
      </c>
      <c r="N14" s="1"/>
      <c r="O14" s="1"/>
      <c r="P14" s="1"/>
      <c r="Q14" s="1">
        <v>48</v>
      </c>
      <c r="R14" s="1">
        <f t="shared" si="4"/>
        <v>7.6</v>
      </c>
      <c r="S14" s="5"/>
      <c r="T14" s="1">
        <f t="shared" si="5"/>
        <v>41.842105263157897</v>
      </c>
      <c r="U14" s="1">
        <f t="shared" si="6"/>
        <v>41.842105263157897</v>
      </c>
      <c r="V14" s="1">
        <v>2.4</v>
      </c>
      <c r="W14" s="1">
        <v>9.8000000000000007</v>
      </c>
      <c r="X14" s="1">
        <v>16.2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>
        <v>4.4000000000000004</v>
      </c>
      <c r="AF14" s="11" t="s">
        <v>46</v>
      </c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idden="1" x14ac:dyDescent="0.25">
      <c r="A15" s="1" t="s">
        <v>49</v>
      </c>
      <c r="B15" s="1" t="s">
        <v>36</v>
      </c>
      <c r="C15" s="1">
        <v>290</v>
      </c>
      <c r="D15" s="1"/>
      <c r="E15" s="1">
        <v>5</v>
      </c>
      <c r="F15" s="1">
        <v>-2</v>
      </c>
      <c r="G15" s="1"/>
      <c r="H15" s="7">
        <v>0.74399999999999999</v>
      </c>
      <c r="I15" s="1">
        <v>180</v>
      </c>
      <c r="J15" s="1"/>
      <c r="K15" s="1"/>
      <c r="L15" s="1">
        <v>23</v>
      </c>
      <c r="M15" s="1">
        <f t="shared" si="2"/>
        <v>-18</v>
      </c>
      <c r="N15" s="1"/>
      <c r="O15" s="1"/>
      <c r="P15" s="1"/>
      <c r="Q15" s="1"/>
      <c r="R15" s="1">
        <f t="shared" si="4"/>
        <v>1</v>
      </c>
      <c r="S15" s="5">
        <v>20</v>
      </c>
      <c r="T15" s="1">
        <f t="shared" si="5"/>
        <v>18</v>
      </c>
      <c r="U15" s="1">
        <f t="shared" si="6"/>
        <v>-2</v>
      </c>
      <c r="V15" s="1">
        <v>6.6</v>
      </c>
      <c r="W15" s="1">
        <v>6.4</v>
      </c>
      <c r="X15" s="1">
        <v>2.8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>
        <v>3.2</v>
      </c>
      <c r="AF15" s="9" t="s">
        <v>84</v>
      </c>
      <c r="AG15" s="1">
        <f t="shared" si="3"/>
        <v>14.879999999999999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36</v>
      </c>
      <c r="C16" s="1">
        <v>413</v>
      </c>
      <c r="D16" s="1">
        <v>3</v>
      </c>
      <c r="E16" s="1">
        <v>58</v>
      </c>
      <c r="F16" s="1">
        <v>324</v>
      </c>
      <c r="G16" s="1">
        <f>F16*H16</f>
        <v>120.52800000000001</v>
      </c>
      <c r="H16" s="7">
        <v>0.372</v>
      </c>
      <c r="I16" s="1">
        <v>180</v>
      </c>
      <c r="J16" s="1"/>
      <c r="K16" s="1"/>
      <c r="L16" s="1">
        <v>226</v>
      </c>
      <c r="M16" s="1">
        <f t="shared" si="2"/>
        <v>-168</v>
      </c>
      <c r="N16" s="1"/>
      <c r="O16" s="1"/>
      <c r="P16" s="1"/>
      <c r="Q16" s="1">
        <v>144</v>
      </c>
      <c r="R16" s="1">
        <f t="shared" si="4"/>
        <v>11.6</v>
      </c>
      <c r="S16" s="5"/>
      <c r="T16" s="1">
        <f t="shared" si="5"/>
        <v>40.344827586206897</v>
      </c>
      <c r="U16" s="1">
        <f t="shared" si="6"/>
        <v>40.344827586206897</v>
      </c>
      <c r="V16" s="1">
        <v>10.199999999999999</v>
      </c>
      <c r="W16" s="1">
        <v>16.2</v>
      </c>
      <c r="X16" s="1">
        <v>7.8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>
        <v>12</v>
      </c>
      <c r="AF16" s="11" t="s">
        <v>46</v>
      </c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idden="1" x14ac:dyDescent="0.25">
      <c r="A17" s="1" t="s">
        <v>51</v>
      </c>
      <c r="B17" s="1" t="s">
        <v>36</v>
      </c>
      <c r="C17" s="1">
        <v>22</v>
      </c>
      <c r="D17" s="1"/>
      <c r="E17" s="1">
        <v>20</v>
      </c>
      <c r="F17" s="1">
        <v>-4</v>
      </c>
      <c r="G17" s="1"/>
      <c r="H17" s="7">
        <v>0.74399999999999999</v>
      </c>
      <c r="I17" s="1">
        <v>180</v>
      </c>
      <c r="J17" s="1"/>
      <c r="K17" s="1"/>
      <c r="L17" s="1">
        <v>52</v>
      </c>
      <c r="M17" s="1">
        <f t="shared" si="2"/>
        <v>-32</v>
      </c>
      <c r="N17" s="1"/>
      <c r="O17" s="1"/>
      <c r="P17" s="1">
        <v>96</v>
      </c>
      <c r="Q17" s="1"/>
      <c r="R17" s="1">
        <f t="shared" si="4"/>
        <v>4</v>
      </c>
      <c r="S17" s="5"/>
      <c r="T17" s="1">
        <f t="shared" si="5"/>
        <v>23</v>
      </c>
      <c r="U17" s="1">
        <f t="shared" si="6"/>
        <v>23</v>
      </c>
      <c r="V17" s="1">
        <v>11</v>
      </c>
      <c r="W17" s="1">
        <v>8.4</v>
      </c>
      <c r="X17" s="1">
        <v>3.2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>
        <v>7.2</v>
      </c>
      <c r="AF17" s="1" t="s">
        <v>52</v>
      </c>
      <c r="AG17" s="1">
        <f t="shared" si="3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idden="1" x14ac:dyDescent="0.25">
      <c r="A18" s="1" t="s">
        <v>53</v>
      </c>
      <c r="B18" s="1" t="s">
        <v>36</v>
      </c>
      <c r="C18" s="1">
        <v>72</v>
      </c>
      <c r="D18" s="1">
        <v>16</v>
      </c>
      <c r="E18" s="1">
        <v>25</v>
      </c>
      <c r="F18" s="1">
        <v>59</v>
      </c>
      <c r="G18" s="1"/>
      <c r="H18" s="7">
        <v>0.18</v>
      </c>
      <c r="I18" s="1">
        <v>270</v>
      </c>
      <c r="J18" s="1"/>
      <c r="K18" s="1"/>
      <c r="L18" s="1">
        <v>26</v>
      </c>
      <c r="M18" s="1">
        <f t="shared" si="2"/>
        <v>-1</v>
      </c>
      <c r="N18" s="1"/>
      <c r="O18" s="1"/>
      <c r="P18" s="1">
        <v>16</v>
      </c>
      <c r="Q18" s="1"/>
      <c r="R18" s="1">
        <f t="shared" si="4"/>
        <v>5</v>
      </c>
      <c r="S18" s="5"/>
      <c r="T18" s="1">
        <f t="shared" si="5"/>
        <v>15</v>
      </c>
      <c r="U18" s="1">
        <f t="shared" si="6"/>
        <v>15</v>
      </c>
      <c r="V18" s="1">
        <v>5.8</v>
      </c>
      <c r="W18" s="1">
        <v>6.8</v>
      </c>
      <c r="X18" s="1">
        <v>9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>
        <v>7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idden="1" x14ac:dyDescent="0.25">
      <c r="A19" s="1" t="s">
        <v>54</v>
      </c>
      <c r="B19" s="1" t="s">
        <v>36</v>
      </c>
      <c r="C19" s="1">
        <v>77</v>
      </c>
      <c r="D19" s="1"/>
      <c r="E19" s="1">
        <v>24</v>
      </c>
      <c r="F19" s="1">
        <v>50</v>
      </c>
      <c r="G19" s="1"/>
      <c r="H19" s="7">
        <v>0.18</v>
      </c>
      <c r="I19" s="1">
        <v>270</v>
      </c>
      <c r="J19" s="1"/>
      <c r="K19" s="1"/>
      <c r="L19" s="1">
        <v>25</v>
      </c>
      <c r="M19" s="1">
        <f t="shared" si="2"/>
        <v>-1</v>
      </c>
      <c r="N19" s="1"/>
      <c r="O19" s="1"/>
      <c r="P19" s="1">
        <v>16</v>
      </c>
      <c r="Q19" s="1"/>
      <c r="R19" s="1">
        <f t="shared" si="4"/>
        <v>4.8</v>
      </c>
      <c r="S19" s="5">
        <f t="shared" si="7"/>
        <v>6</v>
      </c>
      <c r="T19" s="1">
        <f t="shared" si="5"/>
        <v>15</v>
      </c>
      <c r="U19" s="1">
        <f t="shared" si="6"/>
        <v>13.75</v>
      </c>
      <c r="V19" s="1">
        <v>5.8</v>
      </c>
      <c r="W19" s="1">
        <v>5.8</v>
      </c>
      <c r="X19" s="1">
        <v>9.1999999999999993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>
        <v>9</v>
      </c>
      <c r="AF19" s="1"/>
      <c r="AG19" s="1">
        <f t="shared" si="3"/>
        <v>1.08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idden="1" x14ac:dyDescent="0.25">
      <c r="A20" s="1" t="s">
        <v>55</v>
      </c>
      <c r="B20" s="1" t="s">
        <v>36</v>
      </c>
      <c r="C20" s="1">
        <v>264</v>
      </c>
      <c r="D20" s="1">
        <v>291</v>
      </c>
      <c r="E20" s="1">
        <v>193</v>
      </c>
      <c r="F20" s="1">
        <v>329</v>
      </c>
      <c r="G20" s="1"/>
      <c r="H20" s="7">
        <v>0.18</v>
      </c>
      <c r="I20" s="1">
        <v>180</v>
      </c>
      <c r="J20" s="1"/>
      <c r="K20" s="1"/>
      <c r="L20" s="1">
        <v>196</v>
      </c>
      <c r="M20" s="1">
        <f t="shared" si="2"/>
        <v>-3</v>
      </c>
      <c r="N20" s="1"/>
      <c r="O20" s="1"/>
      <c r="P20" s="1">
        <v>50</v>
      </c>
      <c r="Q20" s="1"/>
      <c r="R20" s="1">
        <f t="shared" si="4"/>
        <v>38.6</v>
      </c>
      <c r="S20" s="5">
        <f t="shared" si="7"/>
        <v>200</v>
      </c>
      <c r="T20" s="1">
        <f t="shared" si="5"/>
        <v>15</v>
      </c>
      <c r="U20" s="1">
        <f t="shared" si="6"/>
        <v>9.818652849740932</v>
      </c>
      <c r="V20" s="1">
        <v>36.6</v>
      </c>
      <c r="W20" s="1">
        <v>46.2</v>
      </c>
      <c r="X20" s="1">
        <v>38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>
        <v>59</v>
      </c>
      <c r="AF20" s="1"/>
      <c r="AG20" s="1">
        <f t="shared" si="3"/>
        <v>36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idden="1" x14ac:dyDescent="0.25">
      <c r="A21" s="1" t="s">
        <v>56</v>
      </c>
      <c r="B21" s="1" t="s">
        <v>36</v>
      </c>
      <c r="C21" s="1">
        <v>230</v>
      </c>
      <c r="D21" s="1">
        <v>120</v>
      </c>
      <c r="E21" s="1">
        <v>96</v>
      </c>
      <c r="F21" s="1">
        <v>231</v>
      </c>
      <c r="G21" s="1"/>
      <c r="H21" s="7">
        <v>0.18</v>
      </c>
      <c r="I21" s="1">
        <v>180</v>
      </c>
      <c r="J21" s="1"/>
      <c r="K21" s="1"/>
      <c r="L21" s="1">
        <v>99</v>
      </c>
      <c r="M21" s="1">
        <f t="shared" si="2"/>
        <v>-3</v>
      </c>
      <c r="N21" s="1"/>
      <c r="O21" s="1"/>
      <c r="P21" s="1"/>
      <c r="Q21" s="1"/>
      <c r="R21" s="1">
        <f t="shared" si="4"/>
        <v>19.2</v>
      </c>
      <c r="S21" s="5">
        <f t="shared" si="7"/>
        <v>57</v>
      </c>
      <c r="T21" s="1">
        <f t="shared" si="5"/>
        <v>15</v>
      </c>
      <c r="U21" s="1">
        <f t="shared" si="6"/>
        <v>12.03125</v>
      </c>
      <c r="V21" s="1">
        <v>15</v>
      </c>
      <c r="W21" s="1">
        <v>26.6</v>
      </c>
      <c r="X21" s="1">
        <v>30.6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>
        <v>28.6</v>
      </c>
      <c r="AF21" s="1"/>
      <c r="AG21" s="1">
        <f t="shared" si="3"/>
        <v>10.26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36</v>
      </c>
      <c r="C22" s="1">
        <v>32</v>
      </c>
      <c r="D22" s="1"/>
      <c r="E22" s="1">
        <v>-2</v>
      </c>
      <c r="F22" s="1">
        <v>31</v>
      </c>
      <c r="G22" s="1">
        <f>F22*H22</f>
        <v>12.4</v>
      </c>
      <c r="H22" s="7">
        <v>0.4</v>
      </c>
      <c r="I22" s="1">
        <v>270</v>
      </c>
      <c r="J22" s="1"/>
      <c r="K22" s="1"/>
      <c r="L22" s="1">
        <v>14</v>
      </c>
      <c r="M22" s="1">
        <f t="shared" si="2"/>
        <v>-16</v>
      </c>
      <c r="N22" s="1"/>
      <c r="O22" s="1"/>
      <c r="P22" s="1"/>
      <c r="Q22" s="1"/>
      <c r="R22" s="1">
        <f t="shared" si="4"/>
        <v>-0.4</v>
      </c>
      <c r="S22" s="5"/>
      <c r="T22" s="1">
        <f t="shared" si="5"/>
        <v>-77.5</v>
      </c>
      <c r="U22" s="1">
        <f t="shared" si="6"/>
        <v>-77.5</v>
      </c>
      <c r="V22" s="1">
        <v>0</v>
      </c>
      <c r="W22" s="1">
        <v>0</v>
      </c>
      <c r="X22" s="1">
        <v>0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">
        <v>0.2</v>
      </c>
      <c r="AF22" s="11" t="s">
        <v>46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idden="1" x14ac:dyDescent="0.25">
      <c r="A23" s="1" t="s">
        <v>58</v>
      </c>
      <c r="B23" s="1" t="s">
        <v>36</v>
      </c>
      <c r="C23" s="1"/>
      <c r="D23" s="1">
        <v>28</v>
      </c>
      <c r="E23" s="1">
        <v>2</v>
      </c>
      <c r="F23" s="1">
        <v>26</v>
      </c>
      <c r="G23" s="1"/>
      <c r="H23" s="7">
        <v>0.4</v>
      </c>
      <c r="I23" s="1">
        <v>270</v>
      </c>
      <c r="J23" s="1"/>
      <c r="K23" s="1"/>
      <c r="L23" s="1">
        <v>2</v>
      </c>
      <c r="M23" s="1">
        <f t="shared" si="2"/>
        <v>0</v>
      </c>
      <c r="N23" s="1"/>
      <c r="O23" s="1"/>
      <c r="P23" s="1">
        <v>28</v>
      </c>
      <c r="Q23" s="1"/>
      <c r="R23" s="1">
        <f t="shared" si="4"/>
        <v>0.4</v>
      </c>
      <c r="S23" s="5"/>
      <c r="T23" s="1">
        <f t="shared" si="5"/>
        <v>135</v>
      </c>
      <c r="U23" s="1">
        <f t="shared" si="6"/>
        <v>135</v>
      </c>
      <c r="V23" s="1">
        <v>2</v>
      </c>
      <c r="W23" s="1">
        <v>0.6</v>
      </c>
      <c r="X23" s="1">
        <v>0.4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>
        <v>1.6</v>
      </c>
      <c r="AF23" s="1"/>
      <c r="AG23" s="1">
        <f t="shared" si="3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idden="1" x14ac:dyDescent="0.25">
      <c r="A24" s="1" t="s">
        <v>59</v>
      </c>
      <c r="B24" s="1" t="s">
        <v>36</v>
      </c>
      <c r="C24" s="1">
        <v>8</v>
      </c>
      <c r="D24" s="1">
        <v>170</v>
      </c>
      <c r="E24" s="1">
        <v>8</v>
      </c>
      <c r="F24" s="1">
        <v>133</v>
      </c>
      <c r="G24" s="1"/>
      <c r="H24" s="7">
        <v>0.18</v>
      </c>
      <c r="I24" s="1">
        <v>150</v>
      </c>
      <c r="J24" s="1"/>
      <c r="K24" s="1"/>
      <c r="L24" s="1">
        <v>90</v>
      </c>
      <c r="M24" s="1">
        <f t="shared" si="2"/>
        <v>-82</v>
      </c>
      <c r="N24" s="1"/>
      <c r="O24" s="1"/>
      <c r="P24" s="1"/>
      <c r="Q24" s="1">
        <v>132</v>
      </c>
      <c r="R24" s="1">
        <f t="shared" si="4"/>
        <v>1.6</v>
      </c>
      <c r="S24" s="5"/>
      <c r="T24" s="1">
        <f t="shared" si="5"/>
        <v>165.625</v>
      </c>
      <c r="U24" s="1">
        <f t="shared" si="6"/>
        <v>165.625</v>
      </c>
      <c r="V24" s="1">
        <v>1</v>
      </c>
      <c r="W24" s="1">
        <v>11.8</v>
      </c>
      <c r="X24" s="1">
        <v>2.6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>
        <v>5.4</v>
      </c>
      <c r="AF24" s="1"/>
      <c r="AG24" s="1">
        <f t="shared" si="3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idden="1" x14ac:dyDescent="0.25">
      <c r="A25" s="1" t="s">
        <v>60</v>
      </c>
      <c r="B25" s="1" t="s">
        <v>36</v>
      </c>
      <c r="C25" s="1">
        <v>447</v>
      </c>
      <c r="D25" s="1">
        <v>5</v>
      </c>
      <c r="E25" s="1">
        <v>112</v>
      </c>
      <c r="F25" s="1">
        <v>316</v>
      </c>
      <c r="G25" s="1"/>
      <c r="H25" s="7">
        <v>0.1</v>
      </c>
      <c r="I25" s="1">
        <v>90</v>
      </c>
      <c r="J25" s="1"/>
      <c r="K25" s="1"/>
      <c r="L25" s="1">
        <v>115</v>
      </c>
      <c r="M25" s="1">
        <f t="shared" si="2"/>
        <v>-3</v>
      </c>
      <c r="N25" s="1"/>
      <c r="O25" s="1"/>
      <c r="P25" s="1"/>
      <c r="Q25" s="1"/>
      <c r="R25" s="1">
        <f t="shared" si="4"/>
        <v>22.4</v>
      </c>
      <c r="S25" s="5">
        <f t="shared" si="7"/>
        <v>20</v>
      </c>
      <c r="T25" s="1">
        <f t="shared" si="5"/>
        <v>15.000000000000002</v>
      </c>
      <c r="U25" s="1">
        <f t="shared" si="6"/>
        <v>14.107142857142858</v>
      </c>
      <c r="V25" s="1">
        <v>14.6</v>
      </c>
      <c r="W25" s="1">
        <v>17.399999999999999</v>
      </c>
      <c r="X25" s="1">
        <v>11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>
        <v>19.600000000000001</v>
      </c>
      <c r="AF25" s="1"/>
      <c r="AG25" s="1">
        <f t="shared" si="3"/>
        <v>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idden="1" x14ac:dyDescent="0.25">
      <c r="A26" s="1" t="s">
        <v>61</v>
      </c>
      <c r="B26" s="1" t="s">
        <v>36</v>
      </c>
      <c r="C26" s="1">
        <v>228</v>
      </c>
      <c r="D26" s="1">
        <v>2</v>
      </c>
      <c r="E26" s="1">
        <v>79</v>
      </c>
      <c r="F26" s="1">
        <v>128</v>
      </c>
      <c r="G26" s="1"/>
      <c r="H26" s="7">
        <v>0.1</v>
      </c>
      <c r="I26" s="1">
        <v>60</v>
      </c>
      <c r="J26" s="1"/>
      <c r="K26" s="1"/>
      <c r="L26" s="1">
        <v>82</v>
      </c>
      <c r="M26" s="1">
        <f t="shared" si="2"/>
        <v>-3</v>
      </c>
      <c r="N26" s="1"/>
      <c r="O26" s="1"/>
      <c r="P26" s="1">
        <v>184</v>
      </c>
      <c r="Q26" s="1"/>
      <c r="R26" s="1">
        <f t="shared" si="4"/>
        <v>15.8</v>
      </c>
      <c r="S26" s="5"/>
      <c r="T26" s="1">
        <f t="shared" si="5"/>
        <v>19.746835443037973</v>
      </c>
      <c r="U26" s="1">
        <f t="shared" si="6"/>
        <v>19.746835443037973</v>
      </c>
      <c r="V26" s="1">
        <v>26.2</v>
      </c>
      <c r="W26" s="1">
        <v>15</v>
      </c>
      <c r="X26" s="1">
        <v>25.4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>
        <v>22</v>
      </c>
      <c r="AF26" s="1"/>
      <c r="AG26" s="1">
        <f t="shared" si="3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idden="1" x14ac:dyDescent="0.25">
      <c r="A27" s="1" t="s">
        <v>62</v>
      </c>
      <c r="B27" s="1" t="s">
        <v>36</v>
      </c>
      <c r="C27" s="1">
        <v>180</v>
      </c>
      <c r="D27" s="1">
        <v>98</v>
      </c>
      <c r="E27" s="1">
        <v>84</v>
      </c>
      <c r="F27" s="1">
        <v>181</v>
      </c>
      <c r="G27" s="1"/>
      <c r="H27" s="7">
        <v>0.1</v>
      </c>
      <c r="I27" s="1">
        <v>90</v>
      </c>
      <c r="J27" s="1"/>
      <c r="K27" s="1"/>
      <c r="L27" s="1">
        <v>88</v>
      </c>
      <c r="M27" s="1">
        <f t="shared" si="2"/>
        <v>-4</v>
      </c>
      <c r="N27" s="1"/>
      <c r="O27" s="1"/>
      <c r="P27" s="1"/>
      <c r="Q27" s="1"/>
      <c r="R27" s="1">
        <f t="shared" si="4"/>
        <v>16.8</v>
      </c>
      <c r="S27" s="5">
        <f t="shared" si="7"/>
        <v>71</v>
      </c>
      <c r="T27" s="1">
        <f t="shared" si="5"/>
        <v>15</v>
      </c>
      <c r="U27" s="1">
        <f t="shared" si="6"/>
        <v>10.773809523809524</v>
      </c>
      <c r="V27" s="1">
        <v>11.2</v>
      </c>
      <c r="W27" s="1">
        <v>17.8</v>
      </c>
      <c r="X27" s="1">
        <v>21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>
        <v>19</v>
      </c>
      <c r="AF27" s="1"/>
      <c r="AG27" s="1">
        <f t="shared" si="3"/>
        <v>7.1000000000000005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idden="1" x14ac:dyDescent="0.25">
      <c r="A28" s="1" t="s">
        <v>63</v>
      </c>
      <c r="B28" s="1" t="s">
        <v>36</v>
      </c>
      <c r="C28" s="1">
        <v>199</v>
      </c>
      <c r="D28" s="1">
        <v>60</v>
      </c>
      <c r="E28" s="1">
        <v>10</v>
      </c>
      <c r="F28" s="1">
        <v>56</v>
      </c>
      <c r="G28" s="1"/>
      <c r="H28" s="7">
        <v>0.18</v>
      </c>
      <c r="I28" s="1">
        <v>150</v>
      </c>
      <c r="J28" s="1"/>
      <c r="K28" s="1"/>
      <c r="L28" s="1">
        <v>43</v>
      </c>
      <c r="M28" s="1">
        <f t="shared" si="2"/>
        <v>-33</v>
      </c>
      <c r="N28" s="1"/>
      <c r="O28" s="1"/>
      <c r="P28" s="1"/>
      <c r="Q28" s="1"/>
      <c r="R28" s="1">
        <f t="shared" si="4"/>
        <v>2</v>
      </c>
      <c r="S28" s="5"/>
      <c r="T28" s="1">
        <f t="shared" si="5"/>
        <v>28</v>
      </c>
      <c r="U28" s="1">
        <f t="shared" si="6"/>
        <v>28</v>
      </c>
      <c r="V28" s="1">
        <v>7</v>
      </c>
      <c r="W28" s="1">
        <v>19</v>
      </c>
      <c r="X28" s="1">
        <v>16.2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>
        <v>19</v>
      </c>
      <c r="AF28" s="9" t="s">
        <v>85</v>
      </c>
      <c r="AG28" s="1">
        <f t="shared" si="3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idden="1" x14ac:dyDescent="0.25">
      <c r="A29" s="1" t="s">
        <v>64</v>
      </c>
      <c r="B29" s="1" t="s">
        <v>36</v>
      </c>
      <c r="C29" s="1">
        <v>446</v>
      </c>
      <c r="D29" s="1">
        <v>434</v>
      </c>
      <c r="E29" s="1">
        <v>288</v>
      </c>
      <c r="F29" s="1">
        <v>348</v>
      </c>
      <c r="G29" s="1"/>
      <c r="H29" s="7">
        <v>0.18</v>
      </c>
      <c r="I29" s="1">
        <v>150</v>
      </c>
      <c r="J29" s="1"/>
      <c r="K29" s="1"/>
      <c r="L29" s="1">
        <v>421</v>
      </c>
      <c r="M29" s="1">
        <f t="shared" si="2"/>
        <v>-133</v>
      </c>
      <c r="N29" s="1"/>
      <c r="O29" s="1"/>
      <c r="P29" s="1"/>
      <c r="Q29" s="1">
        <v>100</v>
      </c>
      <c r="R29" s="1">
        <f t="shared" si="4"/>
        <v>57.6</v>
      </c>
      <c r="S29" s="5">
        <f t="shared" si="7"/>
        <v>416</v>
      </c>
      <c r="T29" s="1">
        <f t="shared" si="5"/>
        <v>15</v>
      </c>
      <c r="U29" s="1">
        <f t="shared" si="6"/>
        <v>7.7777777777777777</v>
      </c>
      <c r="V29" s="1">
        <v>47.8</v>
      </c>
      <c r="W29" s="1">
        <v>68.599999999999994</v>
      </c>
      <c r="X29" s="1">
        <v>30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>
        <v>64.599999999999994</v>
      </c>
      <c r="AF29" s="9" t="s">
        <v>86</v>
      </c>
      <c r="AG29" s="1">
        <f t="shared" si="3"/>
        <v>74.88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idden="1" x14ac:dyDescent="0.25">
      <c r="A30" s="1" t="s">
        <v>65</v>
      </c>
      <c r="B30" s="1" t="s">
        <v>36</v>
      </c>
      <c r="C30" s="1">
        <v>234</v>
      </c>
      <c r="D30" s="1">
        <v>2</v>
      </c>
      <c r="E30" s="1">
        <v>24</v>
      </c>
      <c r="F30" s="1">
        <v>111</v>
      </c>
      <c r="G30" s="1"/>
      <c r="H30" s="7">
        <v>0.18</v>
      </c>
      <c r="I30" s="1">
        <v>150</v>
      </c>
      <c r="J30" s="1"/>
      <c r="K30" s="1"/>
      <c r="L30" s="1">
        <v>29</v>
      </c>
      <c r="M30" s="1">
        <f t="shared" si="2"/>
        <v>-5</v>
      </c>
      <c r="N30" s="1"/>
      <c r="O30" s="1"/>
      <c r="P30" s="1"/>
      <c r="Q30" s="1"/>
      <c r="R30" s="1">
        <f t="shared" si="4"/>
        <v>4.8</v>
      </c>
      <c r="S30" s="5"/>
      <c r="T30" s="1">
        <f t="shared" si="5"/>
        <v>23.125</v>
      </c>
      <c r="U30" s="1">
        <f t="shared" si="6"/>
        <v>23.125</v>
      </c>
      <c r="V30" s="1">
        <v>6</v>
      </c>
      <c r="W30" s="1">
        <v>9</v>
      </c>
      <c r="X30" s="1">
        <v>8.8000000000000007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>
        <v>3.4</v>
      </c>
      <c r="AF30" s="9" t="s">
        <v>87</v>
      </c>
      <c r="AG30" s="1">
        <f t="shared" si="3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idden="1" x14ac:dyDescent="0.25">
      <c r="A31" s="1" t="s">
        <v>66</v>
      </c>
      <c r="B31" s="1" t="s">
        <v>36</v>
      </c>
      <c r="C31" s="1">
        <v>102</v>
      </c>
      <c r="D31" s="1"/>
      <c r="E31" s="1">
        <v>4</v>
      </c>
      <c r="F31" s="1">
        <v>-2</v>
      </c>
      <c r="G31" s="1"/>
      <c r="H31" s="7">
        <v>0.18</v>
      </c>
      <c r="I31" s="1">
        <v>150</v>
      </c>
      <c r="J31" s="1"/>
      <c r="K31" s="1"/>
      <c r="L31" s="1">
        <v>22</v>
      </c>
      <c r="M31" s="1">
        <f t="shared" si="2"/>
        <v>-18</v>
      </c>
      <c r="N31" s="1"/>
      <c r="O31" s="1"/>
      <c r="P31" s="1"/>
      <c r="Q31" s="1"/>
      <c r="R31" s="1">
        <f t="shared" si="4"/>
        <v>0.8</v>
      </c>
      <c r="S31" s="5">
        <v>20</v>
      </c>
      <c r="T31" s="1">
        <f t="shared" si="5"/>
        <v>22.5</v>
      </c>
      <c r="U31" s="1">
        <f t="shared" si="6"/>
        <v>-2.5</v>
      </c>
      <c r="V31" s="1">
        <v>2.6</v>
      </c>
      <c r="W31" s="1">
        <v>4.4000000000000004</v>
      </c>
      <c r="X31" s="1">
        <v>4.4000000000000004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>
        <v>1.4</v>
      </c>
      <c r="AF31" s="9" t="s">
        <v>89</v>
      </c>
      <c r="AG31" s="1">
        <f t="shared" si="3"/>
        <v>3.5999999999999996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idden="1" x14ac:dyDescent="0.25">
      <c r="A32" s="1" t="s">
        <v>67</v>
      </c>
      <c r="B32" s="1" t="s">
        <v>36</v>
      </c>
      <c r="C32" s="1">
        <v>744</v>
      </c>
      <c r="D32" s="1">
        <v>366</v>
      </c>
      <c r="E32" s="1">
        <v>366</v>
      </c>
      <c r="F32" s="1">
        <v>621</v>
      </c>
      <c r="G32" s="1"/>
      <c r="H32" s="7">
        <v>0.18</v>
      </c>
      <c r="I32" s="1">
        <v>150</v>
      </c>
      <c r="J32" s="1"/>
      <c r="K32" s="1"/>
      <c r="L32" s="1">
        <v>460</v>
      </c>
      <c r="M32" s="1">
        <f t="shared" si="2"/>
        <v>-94</v>
      </c>
      <c r="N32" s="1"/>
      <c r="O32" s="1"/>
      <c r="P32" s="1"/>
      <c r="Q32" s="1"/>
      <c r="R32" s="1">
        <f t="shared" si="4"/>
        <v>73.2</v>
      </c>
      <c r="S32" s="5">
        <f t="shared" si="7"/>
        <v>477</v>
      </c>
      <c r="T32" s="1">
        <f t="shared" si="5"/>
        <v>15</v>
      </c>
      <c r="U32" s="1">
        <f t="shared" si="6"/>
        <v>8.4836065573770494</v>
      </c>
      <c r="V32" s="1">
        <v>55.8</v>
      </c>
      <c r="W32" s="1">
        <v>91.6</v>
      </c>
      <c r="X32" s="1">
        <v>30.8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>
        <v>126.4</v>
      </c>
      <c r="AF32" s="1"/>
      <c r="AG32" s="1">
        <f t="shared" si="3"/>
        <v>85.86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36</v>
      </c>
      <c r="C33" s="1">
        <v>445</v>
      </c>
      <c r="D33" s="1">
        <v>6</v>
      </c>
      <c r="E33" s="1">
        <v>70</v>
      </c>
      <c r="F33" s="1">
        <v>366</v>
      </c>
      <c r="G33" s="1">
        <f>F33*H33</f>
        <v>65.88</v>
      </c>
      <c r="H33" s="7">
        <v>0.18</v>
      </c>
      <c r="I33" s="1">
        <v>150</v>
      </c>
      <c r="J33" s="1"/>
      <c r="K33" s="1"/>
      <c r="L33" s="1">
        <v>103</v>
      </c>
      <c r="M33" s="1">
        <f t="shared" si="2"/>
        <v>-33</v>
      </c>
      <c r="N33" s="1"/>
      <c r="O33" s="1"/>
      <c r="P33" s="1">
        <v>70</v>
      </c>
      <c r="Q33" s="1"/>
      <c r="R33" s="1">
        <f t="shared" si="4"/>
        <v>14</v>
      </c>
      <c r="S33" s="5"/>
      <c r="T33" s="1">
        <f t="shared" si="5"/>
        <v>31.142857142857142</v>
      </c>
      <c r="U33" s="1">
        <f t="shared" si="6"/>
        <v>31.142857142857142</v>
      </c>
      <c r="V33" s="1">
        <v>34</v>
      </c>
      <c r="W33" s="1">
        <v>14.2</v>
      </c>
      <c r="X33" s="1">
        <v>8.4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">
        <v>26.2</v>
      </c>
      <c r="AF33" s="11" t="s">
        <v>46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idden="1" x14ac:dyDescent="0.25">
      <c r="A34" s="1" t="s">
        <v>69</v>
      </c>
      <c r="B34" s="1" t="s">
        <v>36</v>
      </c>
      <c r="C34" s="1">
        <v>108</v>
      </c>
      <c r="D34" s="1"/>
      <c r="E34" s="1">
        <v>26</v>
      </c>
      <c r="F34" s="1">
        <v>78</v>
      </c>
      <c r="G34" s="1"/>
      <c r="H34" s="7">
        <v>0.14000000000000001</v>
      </c>
      <c r="I34" s="1">
        <v>180</v>
      </c>
      <c r="J34" s="1"/>
      <c r="K34" s="1"/>
      <c r="L34" s="1">
        <v>26</v>
      </c>
      <c r="M34" s="1">
        <f t="shared" si="2"/>
        <v>0</v>
      </c>
      <c r="N34" s="1"/>
      <c r="O34" s="1"/>
      <c r="P34" s="1"/>
      <c r="Q34" s="1"/>
      <c r="R34" s="1">
        <f t="shared" si="4"/>
        <v>5.2</v>
      </c>
      <c r="S34" s="5"/>
      <c r="T34" s="1">
        <f t="shared" si="5"/>
        <v>15</v>
      </c>
      <c r="U34" s="1">
        <f t="shared" si="6"/>
        <v>15</v>
      </c>
      <c r="V34" s="1">
        <v>3</v>
      </c>
      <c r="W34" s="1">
        <v>7.6</v>
      </c>
      <c r="X34" s="1">
        <v>9.1999999999999993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>
        <v>8.8000000000000007</v>
      </c>
      <c r="AF34" s="1"/>
      <c r="AG34" s="1">
        <f t="shared" si="3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idden="1" x14ac:dyDescent="0.25">
      <c r="A35" s="1" t="s">
        <v>70</v>
      </c>
      <c r="B35" s="1" t="s">
        <v>36</v>
      </c>
      <c r="C35" s="1">
        <v>63</v>
      </c>
      <c r="D35" s="1">
        <v>28</v>
      </c>
      <c r="E35" s="1">
        <v>35</v>
      </c>
      <c r="F35" s="1">
        <v>50</v>
      </c>
      <c r="G35" s="1"/>
      <c r="H35" s="7">
        <v>0.18</v>
      </c>
      <c r="I35" s="1">
        <v>270</v>
      </c>
      <c r="J35" s="1"/>
      <c r="K35" s="1"/>
      <c r="L35" s="1">
        <v>37</v>
      </c>
      <c r="M35" s="1">
        <f t="shared" si="2"/>
        <v>-2</v>
      </c>
      <c r="N35" s="1"/>
      <c r="O35" s="1"/>
      <c r="P35" s="1">
        <v>32</v>
      </c>
      <c r="Q35" s="1"/>
      <c r="R35" s="1">
        <f t="shared" si="4"/>
        <v>7</v>
      </c>
      <c r="S35" s="5">
        <f t="shared" si="7"/>
        <v>23</v>
      </c>
      <c r="T35" s="1">
        <f t="shared" si="5"/>
        <v>15</v>
      </c>
      <c r="U35" s="1">
        <f t="shared" si="6"/>
        <v>11.714285714285714</v>
      </c>
      <c r="V35" s="1">
        <v>8</v>
      </c>
      <c r="W35" s="1">
        <v>8</v>
      </c>
      <c r="X35" s="1">
        <v>8.1999999999999993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>
        <v>9.4</v>
      </c>
      <c r="AF35" s="1"/>
      <c r="AG35" s="1">
        <f t="shared" si="3"/>
        <v>4.1399999999999997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71</v>
      </c>
      <c r="B36" s="1" t="s">
        <v>41</v>
      </c>
      <c r="C36" s="1">
        <v>87.616</v>
      </c>
      <c r="D36" s="1"/>
      <c r="E36" s="1">
        <v>6.8659999999999997</v>
      </c>
      <c r="F36" s="1">
        <v>80.75</v>
      </c>
      <c r="G36" s="1">
        <f>F36*H36</f>
        <v>80.75</v>
      </c>
      <c r="H36" s="7">
        <v>1</v>
      </c>
      <c r="I36" s="1">
        <v>180</v>
      </c>
      <c r="J36" s="1"/>
      <c r="K36" s="1"/>
      <c r="L36" s="1">
        <v>6.8</v>
      </c>
      <c r="M36" s="1">
        <f t="shared" si="2"/>
        <v>6.5999999999999837E-2</v>
      </c>
      <c r="N36" s="1"/>
      <c r="O36" s="1"/>
      <c r="P36" s="1"/>
      <c r="Q36" s="1"/>
      <c r="R36" s="1">
        <f t="shared" si="4"/>
        <v>1.3732</v>
      </c>
      <c r="S36" s="5"/>
      <c r="T36" s="1">
        <f t="shared" si="5"/>
        <v>58.80425284008156</v>
      </c>
      <c r="U36" s="1">
        <f t="shared" si="6"/>
        <v>58.80425284008156</v>
      </c>
      <c r="V36" s="1">
        <v>2.7864</v>
      </c>
      <c r="W36" s="1">
        <v>2.1147999999999998</v>
      </c>
      <c r="X36" s="1">
        <v>0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">
        <v>2.7471999999999999</v>
      </c>
      <c r="AF36" s="11" t="s">
        <v>46</v>
      </c>
      <c r="AG36" s="1">
        <f t="shared" si="3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idden="1" x14ac:dyDescent="0.25">
      <c r="A37" s="1" t="s">
        <v>72</v>
      </c>
      <c r="B37" s="1" t="s">
        <v>41</v>
      </c>
      <c r="C37" s="1">
        <v>36.131999999999998</v>
      </c>
      <c r="D37" s="1">
        <v>6.9939999999999998</v>
      </c>
      <c r="E37" s="1">
        <v>10.3</v>
      </c>
      <c r="F37" s="1">
        <v>9.86</v>
      </c>
      <c r="G37" s="1"/>
      <c r="H37" s="7">
        <v>1</v>
      </c>
      <c r="I37" s="1">
        <v>180</v>
      </c>
      <c r="J37" s="1"/>
      <c r="K37" s="1"/>
      <c r="L37" s="1">
        <v>17.5</v>
      </c>
      <c r="M37" s="1">
        <f t="shared" si="2"/>
        <v>-7.1999999999999993</v>
      </c>
      <c r="N37" s="1"/>
      <c r="O37" s="1"/>
      <c r="P37" s="1"/>
      <c r="Q37" s="1"/>
      <c r="R37" s="1">
        <f t="shared" si="4"/>
        <v>2.06</v>
      </c>
      <c r="S37" s="5">
        <f>13*R37-Q37-P37-F37</f>
        <v>16.920000000000002</v>
      </c>
      <c r="T37" s="1">
        <f t="shared" si="5"/>
        <v>13</v>
      </c>
      <c r="U37" s="1">
        <f t="shared" si="6"/>
        <v>4.7864077669902905</v>
      </c>
      <c r="V37" s="1">
        <v>2.5316000000000001</v>
      </c>
      <c r="W37" s="1">
        <v>0.67400000000000004</v>
      </c>
      <c r="X37" s="1">
        <v>1.9556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>
        <v>0</v>
      </c>
      <c r="AF37" s="9" t="s">
        <v>88</v>
      </c>
      <c r="AG37" s="1">
        <f t="shared" si="3"/>
        <v>16.920000000000002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idden="1" x14ac:dyDescent="0.25">
      <c r="A38" s="1" t="s">
        <v>73</v>
      </c>
      <c r="B38" s="1" t="s">
        <v>41</v>
      </c>
      <c r="C38" s="1">
        <v>17.431999999999999</v>
      </c>
      <c r="D38" s="1">
        <v>62.286000000000001</v>
      </c>
      <c r="E38" s="1">
        <v>15.385999999999999</v>
      </c>
      <c r="F38" s="1">
        <v>64.331999999999994</v>
      </c>
      <c r="G38" s="1"/>
      <c r="H38" s="7">
        <v>1</v>
      </c>
      <c r="I38" s="1">
        <v>180</v>
      </c>
      <c r="J38" s="1"/>
      <c r="K38" s="1"/>
      <c r="L38" s="1">
        <v>15.821999999999999</v>
      </c>
      <c r="M38" s="1">
        <f t="shared" si="2"/>
        <v>-0.43599999999999994</v>
      </c>
      <c r="N38" s="1"/>
      <c r="O38" s="1"/>
      <c r="P38" s="1"/>
      <c r="Q38" s="1"/>
      <c r="R38" s="1">
        <f t="shared" si="4"/>
        <v>3.0771999999999999</v>
      </c>
      <c r="S38" s="5"/>
      <c r="T38" s="1">
        <f t="shared" si="5"/>
        <v>20.90601845833875</v>
      </c>
      <c r="U38" s="1">
        <f t="shared" si="6"/>
        <v>20.90601845833875</v>
      </c>
      <c r="V38" s="1">
        <v>4.3231999999999999</v>
      </c>
      <c r="W38" s="1">
        <v>6.6019999999999994</v>
      </c>
      <c r="X38" s="1">
        <v>1.9152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>
        <v>6.0739999999999998</v>
      </c>
      <c r="AF38" s="1"/>
      <c r="AG38" s="1">
        <f t="shared" si="3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74</v>
      </c>
      <c r="B39" s="1" t="s">
        <v>41</v>
      </c>
      <c r="C39" s="1">
        <v>125.246</v>
      </c>
      <c r="D39" s="1"/>
      <c r="E39" s="1">
        <v>3.476</v>
      </c>
      <c r="F39" s="1">
        <v>121.77</v>
      </c>
      <c r="G39" s="1">
        <f>F39*H39</f>
        <v>121.77</v>
      </c>
      <c r="H39" s="7">
        <v>1</v>
      </c>
      <c r="I39" s="1">
        <v>180</v>
      </c>
      <c r="J39" s="1"/>
      <c r="K39" s="1"/>
      <c r="L39" s="1">
        <v>3.5</v>
      </c>
      <c r="M39" s="1">
        <f t="shared" si="2"/>
        <v>-2.4000000000000021E-2</v>
      </c>
      <c r="N39" s="1"/>
      <c r="O39" s="1"/>
      <c r="P39" s="1"/>
      <c r="Q39" s="1"/>
      <c r="R39" s="1">
        <f t="shared" si="4"/>
        <v>0.69520000000000004</v>
      </c>
      <c r="S39" s="5"/>
      <c r="T39" s="1">
        <f t="shared" si="5"/>
        <v>175.15822784810126</v>
      </c>
      <c r="U39" s="1">
        <f t="shared" si="6"/>
        <v>175.15822784810126</v>
      </c>
      <c r="V39" s="1">
        <v>0.59960000000000002</v>
      </c>
      <c r="W39" s="1">
        <v>1.1588000000000001</v>
      </c>
      <c r="X39" s="1">
        <v>0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">
        <v>0.64160000000000006</v>
      </c>
      <c r="AF39" s="11" t="s">
        <v>46</v>
      </c>
      <c r="AG39" s="1">
        <f t="shared" si="3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idden="1" x14ac:dyDescent="0.25">
      <c r="A40" s="1" t="s">
        <v>75</v>
      </c>
      <c r="B40" s="1" t="s">
        <v>36</v>
      </c>
      <c r="C40" s="1">
        <v>99</v>
      </c>
      <c r="D40" s="1">
        <v>482</v>
      </c>
      <c r="E40" s="1">
        <v>151</v>
      </c>
      <c r="F40" s="1">
        <v>363</v>
      </c>
      <c r="G40" s="1"/>
      <c r="H40" s="7">
        <v>0.1</v>
      </c>
      <c r="I40" s="1">
        <v>60</v>
      </c>
      <c r="J40" s="1"/>
      <c r="K40" s="1"/>
      <c r="L40" s="1">
        <v>211</v>
      </c>
      <c r="M40" s="1">
        <f t="shared" si="2"/>
        <v>-60</v>
      </c>
      <c r="N40" s="1"/>
      <c r="O40" s="1"/>
      <c r="P40" s="1"/>
      <c r="Q40" s="1"/>
      <c r="R40" s="1">
        <f t="shared" si="4"/>
        <v>30.2</v>
      </c>
      <c r="S40" s="5">
        <f t="shared" si="7"/>
        <v>90</v>
      </c>
      <c r="T40" s="1">
        <f t="shared" si="5"/>
        <v>15</v>
      </c>
      <c r="U40" s="1">
        <f t="shared" si="6"/>
        <v>12.019867549668874</v>
      </c>
      <c r="V40" s="1">
        <v>36.6</v>
      </c>
      <c r="W40" s="1">
        <v>49.2</v>
      </c>
      <c r="X40" s="1">
        <v>0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>
        <v>48.2</v>
      </c>
      <c r="AF40" s="1"/>
      <c r="AG40" s="1">
        <f t="shared" si="3"/>
        <v>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idden="1" x14ac:dyDescent="0.25">
      <c r="A41" s="1" t="s">
        <v>76</v>
      </c>
      <c r="B41" s="1" t="s">
        <v>36</v>
      </c>
      <c r="C41" s="1">
        <v>592</v>
      </c>
      <c r="D41" s="1">
        <v>5</v>
      </c>
      <c r="E41" s="1">
        <v>224</v>
      </c>
      <c r="F41" s="1">
        <v>325</v>
      </c>
      <c r="G41" s="1"/>
      <c r="H41" s="7">
        <v>0.1</v>
      </c>
      <c r="I41" s="1">
        <v>90</v>
      </c>
      <c r="J41" s="1"/>
      <c r="K41" s="1"/>
      <c r="L41" s="1">
        <v>293</v>
      </c>
      <c r="M41" s="1">
        <f t="shared" si="2"/>
        <v>-69</v>
      </c>
      <c r="N41" s="1"/>
      <c r="O41" s="1"/>
      <c r="P41" s="1"/>
      <c r="Q41" s="1"/>
      <c r="R41" s="1">
        <f t="shared" si="4"/>
        <v>44.8</v>
      </c>
      <c r="S41" s="5">
        <f t="shared" si="7"/>
        <v>347</v>
      </c>
      <c r="T41" s="1">
        <f t="shared" si="5"/>
        <v>15.000000000000002</v>
      </c>
      <c r="U41" s="1">
        <f t="shared" si="6"/>
        <v>7.2544642857142865</v>
      </c>
      <c r="V41" s="1">
        <v>33.799999999999997</v>
      </c>
      <c r="W41" s="1">
        <v>31.4</v>
      </c>
      <c r="X41" s="1">
        <v>33.4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>
        <v>44.8</v>
      </c>
      <c r="AF41" s="1"/>
      <c r="AG41" s="1">
        <f t="shared" si="3"/>
        <v>34.700000000000003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idden="1" x14ac:dyDescent="0.25">
      <c r="A42" s="1" t="s">
        <v>77</v>
      </c>
      <c r="B42" s="1" t="s">
        <v>41</v>
      </c>
      <c r="C42" s="1">
        <v>10.342000000000001</v>
      </c>
      <c r="D42" s="1"/>
      <c r="E42" s="1">
        <v>3.964</v>
      </c>
      <c r="F42" s="1">
        <v>5.1260000000000003</v>
      </c>
      <c r="G42" s="1"/>
      <c r="H42" s="7">
        <v>1</v>
      </c>
      <c r="I42" s="1"/>
      <c r="J42" s="1"/>
      <c r="K42" s="1"/>
      <c r="L42" s="1">
        <v>5.7</v>
      </c>
      <c r="M42" s="1">
        <f t="shared" si="2"/>
        <v>-1.7360000000000002</v>
      </c>
      <c r="N42" s="1"/>
      <c r="O42" s="1"/>
      <c r="P42" s="1"/>
      <c r="Q42" s="1"/>
      <c r="R42" s="1">
        <f t="shared" si="4"/>
        <v>0.79279999999999995</v>
      </c>
      <c r="S42" s="5">
        <f t="shared" si="7"/>
        <v>6.7659999999999991</v>
      </c>
      <c r="T42" s="1">
        <f t="shared" si="5"/>
        <v>15</v>
      </c>
      <c r="U42" s="1">
        <f t="shared" si="6"/>
        <v>6.4656912209889006</v>
      </c>
      <c r="V42" s="1">
        <v>0</v>
      </c>
      <c r="W42" s="1">
        <v>0</v>
      </c>
      <c r="X42" s="1">
        <v>0.24940000000000001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>
        <v>0.9012</v>
      </c>
      <c r="AF42" s="1" t="s">
        <v>78</v>
      </c>
      <c r="AG42" s="1">
        <f t="shared" si="3"/>
        <v>6.7659999999999991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idden="1" x14ac:dyDescent="0.25">
      <c r="A43" s="1" t="s">
        <v>79</v>
      </c>
      <c r="B43" s="1" t="s">
        <v>36</v>
      </c>
      <c r="C43" s="1">
        <v>111</v>
      </c>
      <c r="D43" s="1">
        <v>64</v>
      </c>
      <c r="E43" s="1">
        <v>41</v>
      </c>
      <c r="F43" s="1">
        <v>125</v>
      </c>
      <c r="G43" s="1"/>
      <c r="H43" s="7">
        <v>0.14000000000000001</v>
      </c>
      <c r="I43" s="1">
        <v>180</v>
      </c>
      <c r="J43" s="1"/>
      <c r="K43" s="1"/>
      <c r="L43" s="1">
        <v>41</v>
      </c>
      <c r="M43" s="1">
        <f t="shared" si="2"/>
        <v>0</v>
      </c>
      <c r="N43" s="1"/>
      <c r="O43" s="1"/>
      <c r="P43" s="1"/>
      <c r="Q43" s="1"/>
      <c r="R43" s="1">
        <f t="shared" si="4"/>
        <v>8.1999999999999993</v>
      </c>
      <c r="S43" s="5"/>
      <c r="T43" s="1">
        <f t="shared" si="5"/>
        <v>15.243902439024392</v>
      </c>
      <c r="U43" s="1">
        <f t="shared" si="6"/>
        <v>15.243902439024392</v>
      </c>
      <c r="V43" s="1">
        <v>8.4</v>
      </c>
      <c r="W43" s="1">
        <v>12.8</v>
      </c>
      <c r="X43" s="1">
        <v>12.2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>
        <v>11.6</v>
      </c>
      <c r="AF43" s="1"/>
      <c r="AG43" s="1">
        <f t="shared" si="3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idden="1" x14ac:dyDescent="0.25">
      <c r="A44" s="1" t="s">
        <v>80</v>
      </c>
      <c r="B44" s="1" t="s">
        <v>36</v>
      </c>
      <c r="C44" s="1">
        <v>103</v>
      </c>
      <c r="D44" s="1"/>
      <c r="E44" s="1">
        <v>14</v>
      </c>
      <c r="F44" s="1">
        <v>88</v>
      </c>
      <c r="G44" s="1"/>
      <c r="H44" s="7">
        <v>0.2</v>
      </c>
      <c r="I44" s="1">
        <v>120</v>
      </c>
      <c r="J44" s="1"/>
      <c r="K44" s="1"/>
      <c r="L44" s="1">
        <v>15</v>
      </c>
      <c r="M44" s="1">
        <f t="shared" si="2"/>
        <v>-1</v>
      </c>
      <c r="N44" s="1"/>
      <c r="O44" s="1"/>
      <c r="P44" s="1"/>
      <c r="Q44" s="1"/>
      <c r="R44" s="1">
        <f t="shared" si="4"/>
        <v>2.8</v>
      </c>
      <c r="S44" s="5"/>
      <c r="T44" s="1">
        <f t="shared" si="5"/>
        <v>31.428571428571431</v>
      </c>
      <c r="U44" s="1">
        <f t="shared" si="6"/>
        <v>31.428571428571431</v>
      </c>
      <c r="V44" s="1">
        <v>4.4000000000000004</v>
      </c>
      <c r="W44" s="1">
        <v>5.8</v>
      </c>
      <c r="X44" s="1">
        <v>2.4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>
        <v>10</v>
      </c>
      <c r="AF44" s="1"/>
      <c r="AG44" s="1">
        <f t="shared" si="3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81</v>
      </c>
      <c r="B45" s="1" t="s">
        <v>41</v>
      </c>
      <c r="C45" s="1">
        <v>80.346000000000004</v>
      </c>
      <c r="D45" s="1"/>
      <c r="E45" s="1"/>
      <c r="F45" s="1">
        <v>80.346000000000004</v>
      </c>
      <c r="G45" s="1">
        <f t="shared" ref="G45:G46" si="9">F45*H45</f>
        <v>80.346000000000004</v>
      </c>
      <c r="H45" s="7">
        <v>1</v>
      </c>
      <c r="I45" s="1">
        <v>120</v>
      </c>
      <c r="J45" s="1"/>
      <c r="K45" s="1"/>
      <c r="L45" s="1"/>
      <c r="M45" s="1">
        <f t="shared" si="2"/>
        <v>0</v>
      </c>
      <c r="N45" s="1"/>
      <c r="O45" s="1"/>
      <c r="P45" s="1"/>
      <c r="Q45" s="1"/>
      <c r="R45" s="1">
        <f t="shared" si="4"/>
        <v>0</v>
      </c>
      <c r="S45" s="5"/>
      <c r="T45" s="1" t="e">
        <f t="shared" si="5"/>
        <v>#DIV/0!</v>
      </c>
      <c r="U45" s="1" t="e">
        <f t="shared" si="6"/>
        <v>#DIV/0!</v>
      </c>
      <c r="V45" s="1">
        <v>0</v>
      </c>
      <c r="W45" s="1">
        <v>0.64680000000000004</v>
      </c>
      <c r="X45" s="1">
        <v>1.2376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">
        <v>0.70960000000000001</v>
      </c>
      <c r="AF45" s="11" t="s">
        <v>46</v>
      </c>
      <c r="AG45" s="1">
        <f t="shared" si="3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82</v>
      </c>
      <c r="B46" s="1" t="s">
        <v>36</v>
      </c>
      <c r="C46" s="1">
        <v>124</v>
      </c>
      <c r="D46" s="1"/>
      <c r="E46" s="1">
        <v>11</v>
      </c>
      <c r="F46" s="1">
        <v>112</v>
      </c>
      <c r="G46" s="1">
        <f t="shared" si="9"/>
        <v>22.400000000000002</v>
      </c>
      <c r="H46" s="7">
        <v>0.2</v>
      </c>
      <c r="I46" s="1">
        <v>120</v>
      </c>
      <c r="J46" s="1"/>
      <c r="K46" s="1"/>
      <c r="L46" s="1">
        <v>11</v>
      </c>
      <c r="M46" s="1">
        <f t="shared" si="2"/>
        <v>0</v>
      </c>
      <c r="N46" s="1"/>
      <c r="O46" s="1"/>
      <c r="P46" s="1"/>
      <c r="Q46" s="1"/>
      <c r="R46" s="1">
        <f t="shared" si="4"/>
        <v>2.2000000000000002</v>
      </c>
      <c r="S46" s="5"/>
      <c r="T46" s="1">
        <f t="shared" si="5"/>
        <v>50.909090909090907</v>
      </c>
      <c r="U46" s="1">
        <f t="shared" si="6"/>
        <v>50.909090909090907</v>
      </c>
      <c r="V46" s="1">
        <v>4.4000000000000004</v>
      </c>
      <c r="W46" s="1">
        <v>5</v>
      </c>
      <c r="X46" s="1">
        <v>4.4000000000000004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>
        <v>12.8</v>
      </c>
      <c r="AF46" s="11" t="s">
        <v>46</v>
      </c>
      <c r="AG46" s="1">
        <f t="shared" si="3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idden="1" x14ac:dyDescent="0.25">
      <c r="A47" s="1" t="s">
        <v>83</v>
      </c>
      <c r="B47" s="1" t="s">
        <v>41</v>
      </c>
      <c r="C47" s="1">
        <v>96.563999999999993</v>
      </c>
      <c r="D47" s="1"/>
      <c r="E47" s="1">
        <v>23.777999999999999</v>
      </c>
      <c r="F47" s="1">
        <v>72.786000000000001</v>
      </c>
      <c r="G47" s="1"/>
      <c r="H47" s="7">
        <v>1</v>
      </c>
      <c r="I47" s="1">
        <v>120</v>
      </c>
      <c r="J47" s="1"/>
      <c r="K47" s="1"/>
      <c r="L47" s="1">
        <v>24.7</v>
      </c>
      <c r="M47" s="1">
        <f t="shared" si="2"/>
        <v>-0.9220000000000006</v>
      </c>
      <c r="N47" s="1"/>
      <c r="O47" s="1"/>
      <c r="P47" s="1"/>
      <c r="Q47" s="1"/>
      <c r="R47" s="1">
        <f t="shared" si="4"/>
        <v>4.7555999999999994</v>
      </c>
      <c r="S47" s="5"/>
      <c r="T47" s="1">
        <f t="shared" si="5"/>
        <v>15.305324249306084</v>
      </c>
      <c r="U47" s="1">
        <f t="shared" si="6"/>
        <v>15.305324249306084</v>
      </c>
      <c r="V47" s="1">
        <v>2.7023999999999999</v>
      </c>
      <c r="W47" s="1">
        <v>0.66039999999999999</v>
      </c>
      <c r="X47" s="1">
        <v>0.73239999999999994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">
        <v>0.68840000000000001</v>
      </c>
      <c r="AF47" s="11" t="s">
        <v>46</v>
      </c>
      <c r="AG47" s="1">
        <f t="shared" si="3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1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1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1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1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1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1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1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1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G47" xr:uid="{00000000-0001-0000-0000-000000000000}">
    <filterColumn colId="19">
      <filters blank="1">
        <filter val="#ДЕЛ/0!"/>
        <filter val="175"/>
        <filter val="31"/>
        <filter val="40"/>
        <filter val="41"/>
        <filter val="42"/>
        <filter val="46"/>
        <filter val="51"/>
        <filter val="59"/>
        <filter val="-78"/>
      </filters>
    </filterColumn>
    <filterColumn colId="31">
      <filters>
        <filter val="нужно увеличить продажи / новинка"/>
        <filter val="нужно увеличить продажи!!!"/>
        <filter val="ув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2026-09-01T15:09:15Z</dcterms:created>
  <dcterms:modified xsi:type="dcterms:W3CDTF">2026-09-02T07:03:15Z</dcterms:modified>
</cp:coreProperties>
</file>