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9CECC5-9950-49BF-8A33-BB7798F9350C}" xr6:coauthVersionLast="45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Поком КИ" sheetId="1" r:id="rId1"/>
    <sheet name="Поком ЗПФ" sheetId="2" r:id="rId2"/>
    <sheet name="Останкино Сыр" sheetId="3" r:id="rId3"/>
    <sheet name="Останкино Колбаса" sheetId="4" r:id="rId4"/>
    <sheet name="Останкино ЗП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9" i="1" l="1"/>
  <c r="V39" i="1"/>
  <c r="W37" i="1"/>
  <c r="V37" i="1"/>
  <c r="W30" i="1"/>
  <c r="V30" i="1"/>
  <c r="W27" i="1"/>
  <c r="V27" i="1"/>
</calcChain>
</file>

<file path=xl/sharedStrings.xml><?xml version="1.0" encoding="utf-8"?>
<sst xmlns="http://schemas.openxmlformats.org/spreadsheetml/2006/main" count="1205" uniqueCount="240">
  <si>
    <t>Свод низкооборачиваемых товаров — Поком КИ, по территориям (на 01.09.2026), только видимые строки/колонки источника</t>
  </si>
  <si>
    <t>Территория</t>
  </si>
  <si>
    <t>Завод/Категория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</si>
  <si>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</si>
  <si>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</si>
  <si>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</si>
  <si>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</si>
  <si>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</si>
  <si>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</si>
  <si>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Остаток, кг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</si>
  <si>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</si>
  <si>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</si>
  <si>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</si>
  <si>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</si>
  <si>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</si>
  <si>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</si>
  <si>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</si>
  <si>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</si>
  <si>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 (последняя дата)</t>
  </si>
  <si>
    <t>Дата заказа в пути</t>
  </si>
  <si>
    <t>ст нов (01.09)</t>
  </si>
  <si>
    <t>расчет</t>
  </si>
  <si>
    <t>кон ост</t>
  </si>
  <si>
    <t>факт</t>
  </si>
  <si>
    <t>продажи ст (27,08)</t>
  </si>
  <si>
    <t>продажи ст (25,08)</t>
  </si>
  <si>
    <t>продажи ст (20,08)</t>
  </si>
  <si>
    <t>продажи ст (18,08)</t>
  </si>
  <si>
    <t>продажи ст (13,08)</t>
  </si>
  <si>
    <t>продажи ст (11,08)</t>
  </si>
  <si>
    <t>продажи ст (06,08)</t>
  </si>
  <si>
    <t>продажи ст (04,08)</t>
  </si>
  <si>
    <t>продажи ст (30,07)</t>
  </si>
  <si>
    <t>продажи ст (28,07)</t>
  </si>
  <si>
    <t>комментарии</t>
  </si>
  <si>
    <t>вес</t>
  </si>
  <si>
    <t>Дней остатка (Конечный ост. / (Расход за месяц/30))</t>
  </si>
  <si>
    <t>Бердянск</t>
  </si>
  <si>
    <t>Поком КИ</t>
  </si>
  <si>
    <t xml:space="preserve"> 364  Сардельки Филейские Вязанка ВЕС NDX ТМ Вязанка  ПОКОМ</t>
  </si>
  <si>
    <t>кг</t>
  </si>
  <si>
    <t>матрица</t>
  </si>
  <si>
    <t>01,09,</t>
  </si>
  <si>
    <t>нужно увеличить продажи!!! / вышли из ПРОМО (в сентябре)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</si>
  <si>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</si>
  <si>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</si>
  <si>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</si>
  <si>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>шт</t>
  </si>
  <si>
    <t>нужно увеличить продажи!!! / 70шт сеть Молоко (07,08,26)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</si>
  <si>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</si>
  <si>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</si>
  <si>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 xml:space="preserve"> 597  Колбаса Классическая ТМ Особый рецепт в оболочке полиамид ВЕС. ПОКОМ</t>
  </si>
  <si>
    <t>нужно увеличить продажи!!!</t>
  </si>
  <si>
    <t>Донецк</t>
  </si>
  <si>
    <t xml:space="preserve"> 023  Колбаса Докторская ГОСТ, Вязанка вектор, 0,4 кг, ПОКОМ</t>
  </si>
  <si>
    <t>01,09,(2)</t>
  </si>
  <si>
    <t>нужно увеличить продажи!!! / 19 шт списано (12,07,26)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</si>
  <si>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</si>
  <si>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</si>
  <si>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</si>
  <si>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244  Колбаса Сервелат Кремлевский, ВЕС. ПОКОМ</t>
  </si>
  <si>
    <t xml:space="preserve"> 335  Колбаса Сливушка ТМ Вязанка. ВЕС.  ПОКОМ </t>
  </si>
  <si>
    <t>нужно увеличить продажи</t>
  </si>
  <si>
    <t xml:space="preserve"> 339  Колбаса вареная Филейская ТМ Вязанка ТС Классическая, 0,40 кг.  ПОКОМ</t>
  </si>
  <si>
    <t xml:space="preserve"> 433 Колбаса Стародворская со шпиком  в оболочке полиамид. ТМ Стародворье ВЕС ПОКОМ</t>
  </si>
  <si>
    <t xml:space="preserve"> 517  Сосиски С сыром ТМ Ядрена копоть 0,3кг  ПОКОМ</t>
  </si>
  <si>
    <t>ВНИМАНИЕ / матрица</t>
  </si>
  <si>
    <t>нужно увеличить продажи!!! / плюсом 500шт сеть Молоко (21,08,26) / плюсом 300шт сеть Молоко (05,08,26)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</si>
  <si>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</si>
  <si>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</si>
  <si>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>НЕДОГРУЗ / матрица</t>
  </si>
  <si>
    <t xml:space="preserve"> 580  Ветчина Нежная с индейкой ТМ Особый рецепт в оболочке полиамид.ВЕС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</si>
  <si>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</si>
  <si>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</si>
  <si>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нужно увеличить продажи / новинка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</si>
  <si>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</si>
  <si>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</si>
  <si>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Луганск</t>
  </si>
  <si>
    <t xml:space="preserve"> 336  Ветчина Сливушка с индейкой ТМ Вязанка. ВЕС  ПОКОМ</t>
  </si>
  <si>
    <t>31,08,</t>
  </si>
  <si>
    <t xml:space="preserve"> 460  Колбаса Стародворская Традиционная ВЕС ТМ Стародворье в оболочке полиамид. ПОКОМ</t>
  </si>
  <si>
    <t>нужно увеличить продажи!!! / 21 шт в уценку 30,06,26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</si>
  <si>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</si>
  <si>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</si>
  <si>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>нужно увеличить продажи!!! / новинка</t>
  </si>
  <si>
    <t>Мелитополь</t>
  </si>
  <si>
    <t xml:space="preserve"> 263  Шпикачки Стародворские, ВЕС.  ПОКОМ</t>
  </si>
  <si>
    <t xml:space="preserve"> 302  Сосиски Сочинки по-баварски,  0.4кг, ТМ Стародворье  ПОКОМ</t>
  </si>
  <si>
    <t>нужно увеличить продажи / ПРОМО сентябрь</t>
  </si>
  <si>
    <t xml:space="preserve"> 342 Сосиски Сочинки Молочные ТМ Стародворье 0,4 кг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</si>
  <si>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</si>
  <si>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</si>
  <si>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</si>
  <si>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>Свод низкооборачиваемых товаров — Поком ЗПФ, по территориям (на 27.08.2026), только видимые строки/колонки источника</t>
  </si>
  <si>
    <t>ст нов (27.08)</t>
  </si>
  <si>
    <t>расчет (потребность)</t>
  </si>
  <si>
    <t>расчет (отгрузит завод)</t>
  </si>
  <si>
    <t>продажи ст (16,08)</t>
  </si>
  <si>
    <t>продажи ст (23,07)</t>
  </si>
  <si>
    <t>продажи ст (21,07)</t>
  </si>
  <si>
    <t>продажи ст (16,07)</t>
  </si>
  <si>
    <t>продажи ст (13,07)</t>
  </si>
  <si>
    <t>продажи ст (09,07)</t>
  </si>
  <si>
    <t>продажи ст (02,07)</t>
  </si>
  <si>
    <t>продажи ст (25,06)</t>
  </si>
  <si>
    <t>крат кор</t>
  </si>
  <si>
    <t>заказ кор. (посл. дата)</t>
  </si>
  <si>
    <t>ряд</t>
  </si>
  <si>
    <t>паллет</t>
  </si>
  <si>
    <t>кол-во паллет</t>
  </si>
  <si>
    <t>Дней остатка (Конечный ост. / (Расход/30))</t>
  </si>
  <si>
    <t>Поком ЗПФ</t>
  </si>
  <si>
    <t>Бульмени хрустящие с мясом ТМ Горячая штучка ТС Бульмени ГШ сфера 0,22 кг  Поком</t>
  </si>
  <si>
    <t>P005065</t>
  </si>
  <si>
    <t>24,08,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</si>
  <si>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</si>
  <si>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</si>
  <si>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</si>
  <si>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Наггетсы Хрустящие ТМ Стародворье с сочной курочкой 0,23 кг  ПОКОМ</t>
  </si>
  <si>
    <t>P005043</t>
  </si>
  <si>
    <t>Пельмени Бульмени мини с мясом и оливковым маслом  ТС Бульмени ГШ флоу-пак сфера 0,7кг  Поком</t>
  </si>
  <si>
    <t>P004819</t>
  </si>
  <si>
    <t>Пирожки с мясом 3,7кг ВЕС ТМ Зареченские  ПОКОМ</t>
  </si>
  <si>
    <t>P004359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</si>
  <si>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</si>
  <si>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</si>
  <si>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</si>
  <si>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</si>
  <si>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</si>
  <si>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</si>
  <si>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Готовые бельмеши сочные с мясом ТМ Горячая штучка 0,3кг зам  ПОКОМ</t>
  </si>
  <si>
    <t>P004598</t>
  </si>
  <si>
    <t>нет</t>
  </si>
  <si>
    <t>Круггетсы с сырным соусом ТМ Горячая штучка ТС Круггетсы флоу-пак 0,2 кг  ПОКОМ</t>
  </si>
  <si>
    <t>P004956</t>
  </si>
  <si>
    <t>Наггетсы Нагетосы Сочная курочка со сметаной и зеленью ТМ Горячая штучка флоу-пак 0,25 кг  Поком</t>
  </si>
  <si>
    <t>P004600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</si>
  <si>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</si>
  <si>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</si>
  <si>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</si>
  <si>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</si>
  <si>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</si>
  <si>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</si>
  <si>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</si>
  <si>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</si>
  <si>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Отборные с говядиной 0,9 кг НОВА ТМ Стародворье ТС Медвежье ушко  ПОКОМ</t>
  </si>
  <si>
    <t>P005105</t>
  </si>
  <si>
    <t>Свод низкооборачиваемых товаров — Останкино Сыр, по территориям (на 01.09.2026), только видимые строки/колонки источника</t>
  </si>
  <si>
    <t>продажи ст (19,08)</t>
  </si>
  <si>
    <t>продажи ст (14,07)</t>
  </si>
  <si>
    <t>продажи ст (07,07)</t>
  </si>
  <si>
    <t>продажи ст (29,06)</t>
  </si>
  <si>
    <t>продажи ст (22,06)</t>
  </si>
  <si>
    <t>Останкино Сыр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</si>
  <si>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</si>
  <si>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</si>
  <si>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</si>
  <si>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</si>
  <si>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</si>
  <si>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</si>
  <si>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Cыр Перлини со вкусом Васаби 40% 100гр (8шт)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</si>
  <si>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</si>
  <si>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</si>
  <si>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</si>
  <si>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</si>
  <si>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</si>
  <si>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</si>
  <si>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</si>
  <si>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ПАПА МОЖЕТ "Гауда Голд" 45 % 180 гр (10шт) Останкино</t>
  </si>
  <si>
    <t>Сыр Скаморца свежий 100 гр.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</si>
  <si>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</si>
  <si>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 / не стабильные продажи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</si>
  <si>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</si>
  <si>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</si>
  <si>
    <t>нужно увеличить продажи!!! / 78 кг разовая продажа (11,08,26) / 20кг сети Деликатес (06,08,26) / 14,07,26 разовая продажа 295 кг</t>
  </si>
  <si>
    <t>31,08,сети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</si>
  <si>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</si>
  <si>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</si>
  <si>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Сыр ПАПА МОЖЕТ "Тильзитер" фасованный массовая доля жира в сухом веществе 45%, 180г  Останкино</t>
  </si>
  <si>
    <t>Сыч/Прод Коровино Тильзитер 50% 200г НОВАЯ СЗМЖ  ОСТАНКИНО</t>
  </si>
  <si>
    <t>6948263 Майонез провансаль классич.оливковый Папа может 744гр с массовой долей жирн. 67% Останкино</t>
  </si>
  <si>
    <t>Сыр Папа Может "Гауда Голд" 45% (-2,5 кг брус) (6 шт)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</si>
  <si>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</si>
  <si>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</si>
  <si>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Cыр Перлини копченый 40% 100гр (8шт)  Останкино</t>
  </si>
  <si>
    <t>нужно увеличить продажи!!! / 205кг в уценку (06,08,26)</t>
  </si>
  <si>
    <t>Сыр Косичка сырная копченая 43% 100г/8шт Папа Может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</si>
  <si>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</si>
  <si>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</si>
  <si>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Сыч/Прод Коровино Тильзитер Оригин 50% ВЕС (3,5 кг брус) СЗМЖ  Останкино</t>
  </si>
  <si>
    <t>Свод низкооборачиваемых товаров — Останкино Колбаса, по территориям (на 31.08.2026), только видимые строки/колонки источника</t>
  </si>
  <si>
    <t>ст нов (31.08)</t>
  </si>
  <si>
    <t>продажи ст (24,08)</t>
  </si>
  <si>
    <t>продажи ст (17,08)</t>
  </si>
  <si>
    <t>продажи ст (10,08)</t>
  </si>
  <si>
    <t>продажи ст (03,08)</t>
  </si>
  <si>
    <t>продажи ст (27,07)</t>
  </si>
  <si>
    <t>продажи ст (20,07)</t>
  </si>
  <si>
    <t>продажи ст (06,07)</t>
  </si>
  <si>
    <t>Останкино Колбаса</t>
  </si>
  <si>
    <t>0614 ПРАЗДНИЧНАЯ с/к в/с дек.спец.мгс  Останкино</t>
  </si>
  <si>
    <t>новинка / нужно увеличить продажи!!! / Грация</t>
  </si>
  <si>
    <t>4117 ЭКСТРА Папа может с/к в/у_Л   ОСТАНКИНО</t>
  </si>
  <si>
    <t>нужно увеличить продажи / плюсом 5 дней</t>
  </si>
  <si>
    <t>5819 Сосиски Папа может 400г Мясные  ОСТАНКИНО</t>
  </si>
  <si>
    <t>нужно увеличить продажи!!! / 192шт списано (11,08,26)</t>
  </si>
  <si>
    <t>6025 ВЕТЧ.ФИРМЕННАЯ С ИНДЕЙКОЙ п/о   ОСТАНКИНО</t>
  </si>
  <si>
    <t>нужно увеличить продажи!!! / Грация</t>
  </si>
  <si>
    <t>6222 ИТАЛЬЯНСКОЕ АССОРТИ с/в с/н мгс 1/90 ОСТАНКИНО</t>
  </si>
  <si>
    <t>6279 КОРЕЙКА ПО-ОСТ.к/в в/с с/н в/у 1/150_45с  Останкино</t>
  </si>
  <si>
    <t>6761 МОЛОЧНЫЕ ГОСТ сос ц/о мгс 1*4  Останкино</t>
  </si>
  <si>
    <t>6937 САЛЯМИ Папа может с/к в/у 1/250 8шт  Останкино</t>
  </si>
  <si>
    <t>7238 СЕРВЕЛАТ ОРЕХОВЫЙ в/к в/у 0,31кг_209к  Останкино</t>
  </si>
  <si>
    <t>7334 МЯСНАЯ СО ШПИКОМ ПМ вар п/о 0.4кг 8шт.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</si>
  <si>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</si>
  <si>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</si>
  <si>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</si>
  <si>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нужно увеличить продажи!!! / 374шт списание (11,08,26)</t>
  </si>
  <si>
    <t>7608 СЕРВЕЛАТ ШВЕЙЦАРСК.в/к с/н в/у 1/100_Л11  ОСТАНКИНО</t>
  </si>
  <si>
    <t>вывод</t>
  </si>
  <si>
    <t>нужно увеличить продажи!!! / вместо 6459</t>
  </si>
  <si>
    <t>нужно увеличить продажи!!! / плюсом 5 дней</t>
  </si>
  <si>
    <t>6411 ВЕТЧ.РУБЛЕНАЯ ПМ в/у срез 0.3кг 6шт.  ОСТАНКИНО</t>
  </si>
  <si>
    <t>7163 СЕРВЕЛАТ КЛАССИЧ.ПМ в/к в/у 0,62кг_50с  Останкино</t>
  </si>
  <si>
    <t>3287 САЛЯМИ ИТАЛЬЯНСКАЯ с/к в/у ОСТАНКИНО</t>
  </si>
  <si>
    <t>6837 ФИЛЕЙНЫЕ Папа Может сос ц/о мгс 0,4кг  Останкино</t>
  </si>
  <si>
    <t>5851 ЭКСТРА Папа может вар п/о   ОСТАНКИНО</t>
  </si>
  <si>
    <t>6008 САЛО СОЛЕНОЕ С ЧЕРНЫМ ПЕРЦЕМ мл/к в/у ОСТАНКИНО</t>
  </si>
  <si>
    <t>6470 ВЕТЧ.МРАМОРНАЯ в/у_45с  ОСТАНКИНО</t>
  </si>
  <si>
    <t>6475 Сосиски Папа может 400г С сыром  ОСТАНКИНО</t>
  </si>
  <si>
    <t>6862 ДОМАШНИЙ РЕЦЕПТ СО ШПИК. Коровино вар п/о  Останкино</t>
  </si>
  <si>
    <t>Свод низкооборачиваемых товаров — Останкино ЗПФ, по территориям (на 31.08.2026), только видимые строки/колонки источника</t>
  </si>
  <si>
    <t>Останкино ЗПФ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</si>
  <si>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</si>
  <si>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</si>
  <si>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</si>
  <si>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</si>
  <si>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</si>
  <si>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нужно увеличить продажи!!! / 46шт в уценку (06,08,26)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</si>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</sst>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</font>
    <font>
      <b/>
      <sz val="10"/>
      <name val="Arial"/>
    </font>
    <font>
      <sz val="10"/>
      <name val="Arial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 applyAlignment="1"/>
    <xf numFmtId="0" fontId="0" fillId="0" borderId="0" xfId="0" applyAlignment="1"/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5" fillId="7" borderId="2" xfId="0" applyFont="1" applyFill="1" applyBorder="1" applyAlignment="1">
      <alignment vertical="center" wrapText="1"/>
    </xf>
    <xf numFmtId="0" fontId="6" fillId="8" borderId="2" xfId="0" applyFont="1" applyFill="1" applyBorder="1"/>
    <xf numFmtId="0" fontId="6" fillId="9" borderId="2" xfId="0" applyFont="1" applyFill="1" applyBorder="1"/>
    <xf numFmtId="0" fontId="6" fillId="10" borderId="2" xfId="0" applyFont="1" applyFill="1" applyBorder="1"/>
    <xf numFmtId="0" fontId="6" fillId="11" borderId="2" xfId="0" applyFont="1" applyFill="1" applyBorder="1"/>
    <xf numFmtId="0" fontId="7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/>
    <xf numFmtId="0" fontId="7" fillId="4" borderId="1" xfId="0" applyFont="1" applyFill="1" applyBorder="1" applyAlignment="1"/>
    <xf numFmtId="0" fontId="7" fillId="5" borderId="1" xfId="0" applyFont="1" applyFill="1" applyBorder="1" applyAlignment="1"/>
    <xf numFmtId="0" fontId="7" fillId="6" borderId="1" xfId="0" applyFont="1" applyFill="1" applyBorder="1" applyAlignment="1"/>
    <xf numFmtId="0" fontId="8" fillId="0" borderId="0" xfId="0" applyFont="1" applyAlignment="1"/>
    <xf numFmtId="0" fontId="7" fillId="7" borderId="2" xfId="0" applyFont="1" applyFill="1" applyBorder="1" applyAlignment="1">
      <alignment vertical="center" wrapText="1"/>
    </xf>
    <xf numFmtId="0" fontId="7" fillId="8" borderId="2" xfId="0" applyFont="1" applyFill="1" applyBorder="1"/>
    <xf numFmtId="0" fontId="7" fillId="9" borderId="2" xfId="0" applyFont="1" applyFill="1" applyBorder="1"/>
    <xf numFmtId="0" fontId="7" fillId="10" borderId="2" xfId="0" applyFont="1" applyFill="1" applyBorder="1"/>
    <xf numFmtId="0" fontId="7" fillId="11" borderId="2" xfId="0" applyFont="1" applyFill="1" applyBorder="1"/>
    <xf numFmtId="0" fontId="8" fillId="0" borderId="0" xfId="0" applyFont="1"/>
    <xf numFmtId="0" fontId="1" fillId="0" borderId="0" xfId="0" applyFont="1" applyAlignment="1"/>
    <xf numFmtId="0" fontId="0" fillId="0" borderId="0" xfId="0" applyAlignment="1"/>
    <xf numFmtId="0" fontId="4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"/>
  <sheetViews>
    <sheetView showGridLines="0" topLeftCell="C1" zoomScaleNormal="100" workbookViewId="0">
      <pane ySplit="3" topLeftCell="A4" activePane="bottomLeft" state="frozen"/>
      <selection pane="bottomLeft" activeCell="Q9" sqref="Q9"/>
    </sheetView>
  </sheetViews>
  <sheetFormatPr defaultColWidth="8.7109375" defaultRowHeight="15" x14ac:dyDescent="0.25"/>
  <cols>
    <col min="1" max="1" width="14" style="1" customWidth="1"/>
    <col min="2" max="2" width="16" style="1" customWidth="1"/>
    <col min="3" max="3" width="45" style="1" customWidth="1"/>
    <col min="4" max="17" width="10" style="1" customWidth="1"/>
    <col min="18" max="18" width="14" style="1" customWidth="1"/>
    <col min="19" max="19" width="12" style="1" customWidth="1"/>
    <col min="20" max="21" width="10" style="1" customWidth="1"/>
    <col min="22" max="22" width="8" style="1" customWidth="1"/>
    <col min="23" max="23" width="8" style="18" customWidth="1"/>
    <col min="24" max="33" width="10" style="1" customWidth="1"/>
    <col min="34" max="34" width="30" style="1" customWidth="1"/>
    <col min="35" max="35" width="8" style="1" customWidth="1"/>
    <col min="36" max="36" width="22" style="1" customWidth="1"/>
  </cols>
  <sheetData>
    <row r="1" spans="1:36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3" spans="1:36" ht="35.1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1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 ht="15" customHeight="1" x14ac:dyDescent="0.25">
      <c r="A4" s="4" t="s">
        <v>37</v>
      </c>
      <c r="B4" s="4" t="s">
        <v>38</v>
      </c>
      <c r="C4" s="4" t="s">
        <v>39</v>
      </c>
      <c r="D4" s="4" t="s">
        <v>40</v>
      </c>
      <c r="E4" s="4">
        <v>128.47200000000001</v>
      </c>
      <c r="F4" s="4">
        <v>6.5679999999999996</v>
      </c>
      <c r="G4" s="4">
        <v>8.75</v>
      </c>
      <c r="H4" s="4">
        <v>106.134</v>
      </c>
      <c r="I4" s="4">
        <v>106.134</v>
      </c>
      <c r="J4" s="4">
        <v>1</v>
      </c>
      <c r="K4" s="4">
        <v>30</v>
      </c>
      <c r="L4" s="4" t="s">
        <v>41</v>
      </c>
      <c r="M4" s="4"/>
      <c r="N4" s="4">
        <v>167.1</v>
      </c>
      <c r="O4" s="4">
        <v>-158.35</v>
      </c>
      <c r="P4" s="4"/>
      <c r="Q4" s="4"/>
      <c r="R4" s="4"/>
      <c r="S4" s="4" t="s">
        <v>42</v>
      </c>
      <c r="T4" s="4">
        <v>1.75</v>
      </c>
      <c r="U4" s="4"/>
      <c r="V4" s="4">
        <v>203.12868571428601</v>
      </c>
      <c r="W4" s="14">
        <v>203.12868571428601</v>
      </c>
      <c r="X4" s="4">
        <v>29.075600000000001</v>
      </c>
      <c r="Y4" s="4">
        <v>33.2898</v>
      </c>
      <c r="Z4" s="4">
        <v>11.0556</v>
      </c>
      <c r="AA4" s="4">
        <v>4.7800000000000002E-2</v>
      </c>
      <c r="AB4" s="4">
        <v>28.5642</v>
      </c>
      <c r="AC4" s="4">
        <v>35.5794</v>
      </c>
      <c r="AD4" s="4">
        <v>22.786799999999999</v>
      </c>
      <c r="AE4" s="4">
        <v>21.472200000000001</v>
      </c>
      <c r="AF4" s="4">
        <v>26.0868</v>
      </c>
      <c r="AG4" s="4">
        <v>29.864999999999998</v>
      </c>
      <c r="AH4" s="4" t="s">
        <v>43</v>
      </c>
      <c r="AI4" s="4">
        <v>0</v>
      </c>
      <c r="AJ4" s="4">
        <v>363.9</v>
      </c>
    </row>
    <row r="5" spans="1:36" ht="15" customHeight="1" x14ac:dyDescent="0.25">
      <c r="A5" s="4" t="s">
        <v>37</v>
      </c>
      <c r="B5" s="4" t="s">
        <v>38</v>
      </c>
      <c r="C5" s="4" t="s">
        <v>44</v>
      </c>
      <c r="D5" s="4" t="s">
        <v>40</v>
      </c>
      <c r="E5" s="4">
        <v>15.294</v>
      </c>
      <c r="F5" s="4"/>
      <c r="G5" s="4">
        <v>1.0169999999999999</v>
      </c>
      <c r="H5" s="4">
        <v>14.276999999999999</v>
      </c>
      <c r="I5" s="4">
        <v>14.276999999999999</v>
      </c>
      <c r="J5" s="4">
        <v>1</v>
      </c>
      <c r="K5" s="4">
        <v>55</v>
      </c>
      <c r="L5" s="4" t="s">
        <v>41</v>
      </c>
      <c r="M5" s="4"/>
      <c r="N5" s="4">
        <v>1.3</v>
      </c>
      <c r="O5" s="4">
        <v>-0.28299999999999997</v>
      </c>
      <c r="P5" s="4"/>
      <c r="Q5" s="4"/>
      <c r="R5" s="4"/>
      <c r="S5" s="4" t="s">
        <v>42</v>
      </c>
      <c r="T5" s="4">
        <v>0.2034</v>
      </c>
      <c r="U5" s="4"/>
      <c r="V5" s="4">
        <v>70.191740412979399</v>
      </c>
      <c r="W5" s="14">
        <v>70.191740412979399</v>
      </c>
      <c r="X5" s="4">
        <v>0.4078</v>
      </c>
      <c r="Y5" s="4">
        <v>-0.11600000000000001</v>
      </c>
      <c r="Z5" s="4">
        <v>-0.64339999999999997</v>
      </c>
      <c r="AA5" s="4">
        <v>-0.32300000000000001</v>
      </c>
      <c r="AB5" s="4">
        <v>0</v>
      </c>
      <c r="AC5" s="4">
        <v>2.1076000000000001</v>
      </c>
      <c r="AD5" s="4">
        <v>1.9372</v>
      </c>
      <c r="AE5" s="4">
        <v>2.2138</v>
      </c>
      <c r="AF5" s="4">
        <v>4.1204000000000001</v>
      </c>
      <c r="AG5" s="4">
        <v>3.4714</v>
      </c>
      <c r="AH5" s="4" t="s">
        <v>45</v>
      </c>
      <c r="AI5" s="4">
        <v>0</v>
      </c>
      <c r="AJ5" s="4">
        <v>421.2</v>
      </c>
    </row>
    <row r="6" spans="1:36" ht="15" customHeight="1" x14ac:dyDescent="0.25">
      <c r="A6" s="4" t="s">
        <v>37</v>
      </c>
      <c r="B6" s="4" t="s">
        <v>38</v>
      </c>
      <c r="C6" s="4" t="s">
        <v>46</v>
      </c>
      <c r="D6" s="4" t="s">
        <v>47</v>
      </c>
      <c r="E6" s="4">
        <v>52</v>
      </c>
      <c r="F6" s="4">
        <v>79</v>
      </c>
      <c r="G6" s="4">
        <v>18</v>
      </c>
      <c r="H6" s="4">
        <v>112</v>
      </c>
      <c r="I6" s="4">
        <v>12.32</v>
      </c>
      <c r="J6" s="4">
        <v>0.11</v>
      </c>
      <c r="K6" s="4">
        <v>30</v>
      </c>
      <c r="L6" s="4" t="s">
        <v>41</v>
      </c>
      <c r="M6" s="4"/>
      <c r="N6" s="4">
        <v>69</v>
      </c>
      <c r="O6" s="4">
        <v>-51</v>
      </c>
      <c r="P6" s="4"/>
      <c r="Q6" s="4"/>
      <c r="R6" s="4"/>
      <c r="S6" s="4" t="s">
        <v>42</v>
      </c>
      <c r="T6" s="4">
        <v>3.6</v>
      </c>
      <c r="U6" s="4"/>
      <c r="V6" s="4">
        <v>31.1111111111111</v>
      </c>
      <c r="W6" s="14">
        <v>31.1111111111111</v>
      </c>
      <c r="X6" s="4">
        <v>0.4</v>
      </c>
      <c r="Y6" s="4">
        <v>1.6</v>
      </c>
      <c r="Z6" s="4">
        <v>11.4</v>
      </c>
      <c r="AA6" s="4">
        <v>0</v>
      </c>
      <c r="AB6" s="4">
        <v>0</v>
      </c>
      <c r="AC6" s="4">
        <v>0</v>
      </c>
      <c r="AD6" s="4">
        <v>0</v>
      </c>
      <c r="AE6" s="4">
        <v>3.2</v>
      </c>
      <c r="AF6" s="4">
        <v>3.2</v>
      </c>
      <c r="AG6" s="4">
        <v>0</v>
      </c>
      <c r="AH6" s="4" t="s">
        <v>48</v>
      </c>
      <c r="AI6" s="4">
        <v>0</v>
      </c>
      <c r="AJ6" s="4">
        <v>186.7</v>
      </c>
    </row>
    <row r="7" spans="1:36" ht="15" customHeight="1" x14ac:dyDescent="0.25">
      <c r="A7" s="4" t="s">
        <v>37</v>
      </c>
      <c r="B7" s="4" t="s">
        <v>38</v>
      </c>
      <c r="C7" s="4" t="s">
        <v>49</v>
      </c>
      <c r="D7" s="4" t="s">
        <v>47</v>
      </c>
      <c r="E7" s="4">
        <v>72</v>
      </c>
      <c r="F7" s="4"/>
      <c r="G7" s="4">
        <v>6</v>
      </c>
      <c r="H7" s="4">
        <v>65</v>
      </c>
      <c r="I7" s="4">
        <v>11.05</v>
      </c>
      <c r="J7" s="4">
        <v>0.17</v>
      </c>
      <c r="K7" s="4">
        <v>30</v>
      </c>
      <c r="L7" s="4" t="s">
        <v>41</v>
      </c>
      <c r="M7" s="4"/>
      <c r="N7" s="4">
        <v>29</v>
      </c>
      <c r="O7" s="4">
        <v>-23</v>
      </c>
      <c r="P7" s="4"/>
      <c r="Q7" s="4"/>
      <c r="R7" s="4"/>
      <c r="S7" s="4" t="s">
        <v>42</v>
      </c>
      <c r="T7" s="4">
        <v>1.2</v>
      </c>
      <c r="U7" s="4"/>
      <c r="V7" s="4">
        <v>54.1666666666667</v>
      </c>
      <c r="W7" s="14">
        <v>54.1666666666667</v>
      </c>
      <c r="X7" s="4">
        <v>0.4</v>
      </c>
      <c r="Y7" s="4">
        <v>3.6</v>
      </c>
      <c r="Z7" s="4">
        <v>3.4</v>
      </c>
      <c r="AA7" s="4">
        <v>0</v>
      </c>
      <c r="AB7" s="4">
        <v>0</v>
      </c>
      <c r="AC7" s="4">
        <v>0</v>
      </c>
      <c r="AD7" s="4">
        <v>0.4</v>
      </c>
      <c r="AE7" s="4">
        <v>0.8</v>
      </c>
      <c r="AF7" s="4">
        <v>0.4</v>
      </c>
      <c r="AG7" s="4">
        <v>0.2</v>
      </c>
      <c r="AH7" s="4" t="s">
        <v>50</v>
      </c>
      <c r="AI7" s="4">
        <v>0</v>
      </c>
      <c r="AJ7" s="4">
        <v>325</v>
      </c>
    </row>
    <row r="8" spans="1:36" ht="15" customHeight="1" x14ac:dyDescent="0.25">
      <c r="A8" s="4" t="s">
        <v>37</v>
      </c>
      <c r="B8" s="4" t="s">
        <v>38</v>
      </c>
      <c r="C8" s="4" t="s">
        <v>51</v>
      </c>
      <c r="D8" s="4" t="s">
        <v>40</v>
      </c>
      <c r="E8" s="4">
        <v>543.28</v>
      </c>
      <c r="F8" s="4">
        <v>1349.078</v>
      </c>
      <c r="G8" s="4">
        <v>194.166</v>
      </c>
      <c r="H8" s="4">
        <v>1722.9929999999999</v>
      </c>
      <c r="I8" s="4">
        <v>1722.9929999999999</v>
      </c>
      <c r="J8" s="4">
        <v>1</v>
      </c>
      <c r="K8" s="4">
        <v>60</v>
      </c>
      <c r="L8" s="4" t="s">
        <v>41</v>
      </c>
      <c r="M8" s="4"/>
      <c r="N8" s="4">
        <v>737.46500000000003</v>
      </c>
      <c r="O8" s="4">
        <v>-543.29899999999998</v>
      </c>
      <c r="P8" s="4"/>
      <c r="Q8" s="4"/>
      <c r="R8" s="4"/>
      <c r="S8" s="4" t="s">
        <v>42</v>
      </c>
      <c r="T8" s="4">
        <v>38.833199999999998</v>
      </c>
      <c r="U8" s="4"/>
      <c r="V8" s="4">
        <v>45.145958252217198</v>
      </c>
      <c r="W8" s="14">
        <v>45.145958252217198</v>
      </c>
      <c r="X8" s="4">
        <v>101.4106</v>
      </c>
      <c r="Y8" s="4">
        <v>172.1686</v>
      </c>
      <c r="Z8" s="4">
        <v>194.34620000000001</v>
      </c>
      <c r="AA8" s="4">
        <v>173.6292</v>
      </c>
      <c r="AB8" s="4">
        <v>165.13419999999999</v>
      </c>
      <c r="AC8" s="4">
        <v>149.19040000000001</v>
      </c>
      <c r="AD8" s="4">
        <v>130.2586</v>
      </c>
      <c r="AE8" s="4">
        <v>161.93</v>
      </c>
      <c r="AF8" s="4">
        <v>151.02940000000001</v>
      </c>
      <c r="AG8" s="4">
        <v>117.4376</v>
      </c>
      <c r="AH8" s="4" t="s">
        <v>52</v>
      </c>
      <c r="AI8" s="4">
        <v>0</v>
      </c>
      <c r="AJ8" s="4">
        <v>266.2</v>
      </c>
    </row>
    <row r="9" spans="1:36" ht="15" customHeight="1" x14ac:dyDescent="0.25">
      <c r="A9" s="5" t="s">
        <v>53</v>
      </c>
      <c r="B9" s="5" t="s">
        <v>38</v>
      </c>
      <c r="C9" s="5" t="s">
        <v>54</v>
      </c>
      <c r="D9" s="5" t="s">
        <v>47</v>
      </c>
      <c r="E9" s="5">
        <v>13</v>
      </c>
      <c r="F9" s="5">
        <v>20</v>
      </c>
      <c r="G9" s="5">
        <v>1</v>
      </c>
      <c r="H9" s="5">
        <v>31</v>
      </c>
      <c r="I9" s="5">
        <v>12.4</v>
      </c>
      <c r="J9" s="5">
        <v>0.4</v>
      </c>
      <c r="K9" s="5">
        <v>50</v>
      </c>
      <c r="L9" s="5" t="s">
        <v>41</v>
      </c>
      <c r="M9" s="5"/>
      <c r="N9" s="5">
        <v>1</v>
      </c>
      <c r="O9" s="5">
        <v>0</v>
      </c>
      <c r="P9" s="5">
        <v>1</v>
      </c>
      <c r="Q9" s="5"/>
      <c r="R9" s="5"/>
      <c r="S9" s="5" t="s">
        <v>55</v>
      </c>
      <c r="T9" s="5">
        <v>0.2</v>
      </c>
      <c r="U9" s="5"/>
      <c r="V9" s="5">
        <v>155</v>
      </c>
      <c r="W9" s="15">
        <v>155</v>
      </c>
      <c r="X9" s="5">
        <v>1.2</v>
      </c>
      <c r="Y9" s="5">
        <v>2.8</v>
      </c>
      <c r="Z9" s="5">
        <v>1.4</v>
      </c>
      <c r="AA9" s="5">
        <v>1.4</v>
      </c>
      <c r="AB9" s="5">
        <v>1.8</v>
      </c>
      <c r="AC9" s="5">
        <v>2.4</v>
      </c>
      <c r="AD9" s="5">
        <v>1</v>
      </c>
      <c r="AE9" s="5">
        <v>1.2</v>
      </c>
      <c r="AF9" s="5"/>
      <c r="AG9" s="5"/>
      <c r="AH9" s="5" t="s">
        <v>56</v>
      </c>
      <c r="AI9" s="5">
        <v>0</v>
      </c>
      <c r="AJ9" s="5">
        <v>930</v>
      </c>
    </row>
    <row r="10" spans="1:36" ht="15" customHeight="1" x14ac:dyDescent="0.25">
      <c r="A10" s="5" t="s">
        <v>53</v>
      </c>
      <c r="B10" s="5" t="s">
        <v>38</v>
      </c>
      <c r="C10" s="5" t="s">
        <v>57</v>
      </c>
      <c r="D10" s="5" t="s">
        <v>47</v>
      </c>
      <c r="E10" s="5">
        <v>255</v>
      </c>
      <c r="F10" s="5">
        <v>4</v>
      </c>
      <c r="G10" s="5">
        <v>9</v>
      </c>
      <c r="H10" s="5">
        <v>245</v>
      </c>
      <c r="I10" s="5">
        <v>102.9</v>
      </c>
      <c r="J10" s="5">
        <v>0.42</v>
      </c>
      <c r="K10" s="5"/>
      <c r="L10" s="5" t="s">
        <v>58</v>
      </c>
      <c r="M10" s="5"/>
      <c r="N10" s="5">
        <v>28</v>
      </c>
      <c r="O10" s="5">
        <v>-19</v>
      </c>
      <c r="P10" s="5">
        <v>9</v>
      </c>
      <c r="Q10" s="5"/>
      <c r="R10" s="5"/>
      <c r="S10" s="5" t="s">
        <v>55</v>
      </c>
      <c r="T10" s="5">
        <v>1.8</v>
      </c>
      <c r="U10" s="5"/>
      <c r="V10" s="5">
        <v>136.111111111111</v>
      </c>
      <c r="W10" s="15">
        <v>136.111111111111</v>
      </c>
      <c r="X10" s="5">
        <v>7.8</v>
      </c>
      <c r="Y10" s="5">
        <v>16</v>
      </c>
      <c r="Z10" s="5">
        <v>1</v>
      </c>
      <c r="AA10" s="5">
        <v>1</v>
      </c>
      <c r="AB10" s="5">
        <v>5.2</v>
      </c>
      <c r="AC10" s="5">
        <v>4.4000000000000004</v>
      </c>
      <c r="AD10" s="5">
        <v>0.2</v>
      </c>
      <c r="AE10" s="5">
        <v>4.4000000000000004</v>
      </c>
      <c r="AF10" s="5"/>
      <c r="AG10" s="5"/>
      <c r="AH10" s="5" t="s">
        <v>59</v>
      </c>
      <c r="AI10" s="5"/>
      <c r="AJ10" s="5">
        <v>816.7</v>
      </c>
    </row>
    <row r="11" spans="1:36" ht="15" customHeight="1" x14ac:dyDescent="0.25">
      <c r="A11" s="5" t="s">
        <v>53</v>
      </c>
      <c r="B11" s="5" t="s">
        <v>38</v>
      </c>
      <c r="C11" s="5" t="s">
        <v>60</v>
      </c>
      <c r="D11" s="5" t="s">
        <v>40</v>
      </c>
      <c r="E11" s="5">
        <v>68.403999999999996</v>
      </c>
      <c r="F11" s="5">
        <v>0.746</v>
      </c>
      <c r="G11" s="5">
        <v>8.0259999999999998</v>
      </c>
      <c r="H11" s="5">
        <v>59.648000000000003</v>
      </c>
      <c r="I11" s="5">
        <v>59.648000000000003</v>
      </c>
      <c r="J11" s="5">
        <v>1</v>
      </c>
      <c r="K11" s="5">
        <v>40</v>
      </c>
      <c r="L11" s="5" t="s">
        <v>41</v>
      </c>
      <c r="M11" s="5"/>
      <c r="N11" s="5">
        <v>10</v>
      </c>
      <c r="O11" s="5">
        <v>-1.974</v>
      </c>
      <c r="P11" s="5">
        <v>8.0259999999999998</v>
      </c>
      <c r="Q11" s="5"/>
      <c r="R11" s="5"/>
      <c r="S11" s="5" t="s">
        <v>55</v>
      </c>
      <c r="T11" s="5">
        <v>1.6052</v>
      </c>
      <c r="U11" s="5"/>
      <c r="V11" s="5">
        <v>37.159232494393201</v>
      </c>
      <c r="W11" s="15">
        <v>37.159232494393201</v>
      </c>
      <c r="X11" s="5">
        <v>2.1873999999999998</v>
      </c>
      <c r="Y11" s="5">
        <v>2.1844000000000001</v>
      </c>
      <c r="Z11" s="5">
        <v>1.3022</v>
      </c>
      <c r="AA11" s="5">
        <v>1.3022</v>
      </c>
      <c r="AB11" s="5">
        <v>1.9805999999999999</v>
      </c>
      <c r="AC11" s="5">
        <v>1.2582</v>
      </c>
      <c r="AD11" s="5">
        <v>0.73199999999999998</v>
      </c>
      <c r="AE11" s="5">
        <v>1.3146</v>
      </c>
      <c r="AF11" s="5"/>
      <c r="AG11" s="5"/>
      <c r="AH11" s="5" t="s">
        <v>52</v>
      </c>
      <c r="AI11" s="5">
        <v>0</v>
      </c>
      <c r="AJ11" s="5">
        <v>223</v>
      </c>
    </row>
    <row r="12" spans="1:36" ht="15" customHeight="1" x14ac:dyDescent="0.25">
      <c r="A12" s="5" t="s">
        <v>53</v>
      </c>
      <c r="B12" s="5" t="s">
        <v>38</v>
      </c>
      <c r="C12" s="5" t="s">
        <v>61</v>
      </c>
      <c r="D12" s="5" t="s">
        <v>40</v>
      </c>
      <c r="E12" s="5">
        <v>238.47200000000001</v>
      </c>
      <c r="F12" s="5">
        <v>1311.308</v>
      </c>
      <c r="G12" s="5">
        <v>210.51599999999999</v>
      </c>
      <c r="H12" s="5">
        <v>1158.5609999999999</v>
      </c>
      <c r="I12" s="5">
        <v>1158.5609999999999</v>
      </c>
      <c r="J12" s="5">
        <v>1</v>
      </c>
      <c r="K12" s="5">
        <v>50</v>
      </c>
      <c r="L12" s="5" t="s">
        <v>41</v>
      </c>
      <c r="M12" s="5"/>
      <c r="N12" s="5">
        <v>285.012</v>
      </c>
      <c r="O12" s="5">
        <v>-74.495999999999995</v>
      </c>
      <c r="P12" s="5">
        <v>210.51599999999999</v>
      </c>
      <c r="Q12" s="5"/>
      <c r="R12" s="5">
        <v>122.72580000000001</v>
      </c>
      <c r="S12" s="5" t="s">
        <v>55</v>
      </c>
      <c r="T12" s="5">
        <v>42.103200000000001</v>
      </c>
      <c r="U12" s="5"/>
      <c r="V12" s="5">
        <v>37.942697942199203</v>
      </c>
      <c r="W12" s="15">
        <v>37.942697942199203</v>
      </c>
      <c r="X12" s="5">
        <v>122.72580000000001</v>
      </c>
      <c r="Y12" s="5">
        <v>148.85560000000001</v>
      </c>
      <c r="Z12" s="5">
        <v>72.963200000000001</v>
      </c>
      <c r="AA12" s="5">
        <v>88.772199999999998</v>
      </c>
      <c r="AB12" s="5">
        <v>93.292599999999993</v>
      </c>
      <c r="AC12" s="5">
        <v>105.92659999999999</v>
      </c>
      <c r="AD12" s="5">
        <v>80.308400000000006</v>
      </c>
      <c r="AE12" s="5">
        <v>57.7956</v>
      </c>
      <c r="AF12" s="5"/>
      <c r="AG12" s="5"/>
      <c r="AH12" s="5" t="s">
        <v>62</v>
      </c>
      <c r="AI12" s="5">
        <v>0</v>
      </c>
      <c r="AJ12" s="5">
        <v>165.1</v>
      </c>
    </row>
    <row r="13" spans="1:36" ht="15" customHeight="1" x14ac:dyDescent="0.25">
      <c r="A13" s="5" t="s">
        <v>53</v>
      </c>
      <c r="B13" s="5" t="s">
        <v>38</v>
      </c>
      <c r="C13" s="5" t="s">
        <v>63</v>
      </c>
      <c r="D13" s="5" t="s">
        <v>47</v>
      </c>
      <c r="E13" s="5">
        <v>27</v>
      </c>
      <c r="F13" s="5"/>
      <c r="G13" s="5">
        <v>1</v>
      </c>
      <c r="H13" s="5">
        <v>26</v>
      </c>
      <c r="I13" s="5">
        <v>10.4</v>
      </c>
      <c r="J13" s="5">
        <v>0.4</v>
      </c>
      <c r="K13" s="5">
        <v>50</v>
      </c>
      <c r="L13" s="5" t="s">
        <v>41</v>
      </c>
      <c r="M13" s="5"/>
      <c r="N13" s="5">
        <v>12</v>
      </c>
      <c r="O13" s="5">
        <v>-11</v>
      </c>
      <c r="P13" s="5">
        <v>1</v>
      </c>
      <c r="Q13" s="5"/>
      <c r="R13" s="5"/>
      <c r="S13" s="5" t="s">
        <v>55</v>
      </c>
      <c r="T13" s="5">
        <v>0.2</v>
      </c>
      <c r="U13" s="5"/>
      <c r="V13" s="5">
        <v>130</v>
      </c>
      <c r="W13" s="15">
        <v>130</v>
      </c>
      <c r="X13" s="5">
        <v>0.2</v>
      </c>
      <c r="Y13" s="5">
        <v>0</v>
      </c>
      <c r="Z13" s="5">
        <v>0.2</v>
      </c>
      <c r="AA13" s="5">
        <v>0.2</v>
      </c>
      <c r="AB13" s="5">
        <v>0.8</v>
      </c>
      <c r="AC13" s="5">
        <v>1.4</v>
      </c>
      <c r="AD13" s="5">
        <v>2.2000000000000002</v>
      </c>
      <c r="AE13" s="5">
        <v>2.2000000000000002</v>
      </c>
      <c r="AF13" s="5"/>
      <c r="AG13" s="5"/>
      <c r="AH13" s="5" t="s">
        <v>52</v>
      </c>
      <c r="AI13" s="5">
        <v>0</v>
      </c>
      <c r="AJ13" s="5">
        <v>780</v>
      </c>
    </row>
    <row r="14" spans="1:36" ht="15" customHeight="1" x14ac:dyDescent="0.25">
      <c r="A14" s="5" t="s">
        <v>53</v>
      </c>
      <c r="B14" s="5" t="s">
        <v>38</v>
      </c>
      <c r="C14" s="5" t="s">
        <v>39</v>
      </c>
      <c r="D14" s="5" t="s">
        <v>40</v>
      </c>
      <c r="E14" s="5">
        <v>231.71799999999999</v>
      </c>
      <c r="F14" s="5">
        <v>655.66600000000005</v>
      </c>
      <c r="G14" s="5">
        <v>159.42699999999999</v>
      </c>
      <c r="H14" s="5">
        <v>666.01400000000001</v>
      </c>
      <c r="I14" s="5">
        <v>666.01400000000001</v>
      </c>
      <c r="J14" s="5">
        <v>1</v>
      </c>
      <c r="K14" s="5">
        <v>30</v>
      </c>
      <c r="L14" s="5" t="s">
        <v>41</v>
      </c>
      <c r="M14" s="5"/>
      <c r="N14" s="5">
        <v>323.3</v>
      </c>
      <c r="O14" s="5">
        <v>-163.87299999999999</v>
      </c>
      <c r="P14" s="5">
        <v>159.42699999999999</v>
      </c>
      <c r="Q14" s="5"/>
      <c r="R14" s="5"/>
      <c r="S14" s="5" t="s">
        <v>55</v>
      </c>
      <c r="T14" s="5">
        <v>31.885400000000001</v>
      </c>
      <c r="U14" s="5"/>
      <c r="V14" s="5">
        <v>36.568899872669</v>
      </c>
      <c r="W14" s="15">
        <v>36.568899872669</v>
      </c>
      <c r="X14" s="5">
        <v>80.1066</v>
      </c>
      <c r="Y14" s="5">
        <v>96.989400000000003</v>
      </c>
      <c r="Z14" s="5">
        <v>46.159199999999998</v>
      </c>
      <c r="AA14" s="5">
        <v>46.7592</v>
      </c>
      <c r="AB14" s="5">
        <v>74.270200000000003</v>
      </c>
      <c r="AC14" s="5">
        <v>73.813599999999994</v>
      </c>
      <c r="AD14" s="5">
        <v>59.351199999999999</v>
      </c>
      <c r="AE14" s="5">
        <v>99.834000000000003</v>
      </c>
      <c r="AF14" s="5"/>
      <c r="AG14" s="5"/>
      <c r="AH14" s="5" t="s">
        <v>43</v>
      </c>
      <c r="AI14" s="5">
        <v>0</v>
      </c>
      <c r="AJ14" s="5">
        <v>125.3</v>
      </c>
    </row>
    <row r="15" spans="1:36" ht="15" customHeight="1" x14ac:dyDescent="0.25">
      <c r="A15" s="5" t="s">
        <v>53</v>
      </c>
      <c r="B15" s="5" t="s">
        <v>38</v>
      </c>
      <c r="C15" s="5" t="s">
        <v>64</v>
      </c>
      <c r="D15" s="5" t="s">
        <v>40</v>
      </c>
      <c r="E15" s="5">
        <v>28.09</v>
      </c>
      <c r="F15" s="5"/>
      <c r="G15" s="5">
        <v>2.8290000000000002</v>
      </c>
      <c r="H15" s="5">
        <v>25.260999999999999</v>
      </c>
      <c r="I15" s="5">
        <v>25.260999999999999</v>
      </c>
      <c r="J15" s="5">
        <v>1</v>
      </c>
      <c r="K15" s="5">
        <v>55</v>
      </c>
      <c r="L15" s="5" t="s">
        <v>41</v>
      </c>
      <c r="M15" s="5"/>
      <c r="N15" s="5">
        <v>7.1</v>
      </c>
      <c r="O15" s="5">
        <v>-4.2709999999999999</v>
      </c>
      <c r="P15" s="5">
        <v>2.8290000000000002</v>
      </c>
      <c r="Q15" s="5"/>
      <c r="R15" s="5"/>
      <c r="S15" s="5" t="s">
        <v>55</v>
      </c>
      <c r="T15" s="5">
        <v>0.56579999999999997</v>
      </c>
      <c r="U15" s="5"/>
      <c r="V15" s="5">
        <v>44.6465182043125</v>
      </c>
      <c r="W15" s="15">
        <v>44.6465182043125</v>
      </c>
      <c r="X15" s="5">
        <v>0.85499999999999998</v>
      </c>
      <c r="Y15" s="5">
        <v>0.5796</v>
      </c>
      <c r="Z15" s="5">
        <v>0.81820000000000004</v>
      </c>
      <c r="AA15" s="5">
        <v>0.81820000000000004</v>
      </c>
      <c r="AB15" s="5">
        <v>1.704</v>
      </c>
      <c r="AC15" s="5">
        <v>2.0099999999999998</v>
      </c>
      <c r="AD15" s="5">
        <v>1.7163999999999999</v>
      </c>
      <c r="AE15" s="5">
        <v>1.7183999999999999</v>
      </c>
      <c r="AF15" s="5"/>
      <c r="AG15" s="5"/>
      <c r="AH15" s="5" t="s">
        <v>52</v>
      </c>
      <c r="AI15" s="5">
        <v>0</v>
      </c>
      <c r="AJ15" s="5">
        <v>267.89999999999998</v>
      </c>
    </row>
    <row r="16" spans="1:36" ht="15" customHeight="1" x14ac:dyDescent="0.25">
      <c r="A16" s="5" t="s">
        <v>53</v>
      </c>
      <c r="B16" s="5" t="s">
        <v>38</v>
      </c>
      <c r="C16" s="5" t="s">
        <v>65</v>
      </c>
      <c r="D16" s="5" t="s">
        <v>47</v>
      </c>
      <c r="E16" s="5">
        <v>140</v>
      </c>
      <c r="F16" s="5">
        <v>3</v>
      </c>
      <c r="G16" s="5">
        <v>11</v>
      </c>
      <c r="H16" s="5">
        <v>131</v>
      </c>
      <c r="I16" s="5">
        <v>39.299999999999997</v>
      </c>
      <c r="J16" s="5">
        <v>0.3</v>
      </c>
      <c r="K16" s="5">
        <v>40</v>
      </c>
      <c r="L16" s="5" t="s">
        <v>41</v>
      </c>
      <c r="M16" s="5"/>
      <c r="N16" s="5">
        <v>16</v>
      </c>
      <c r="O16" s="5">
        <v>-5</v>
      </c>
      <c r="P16" s="5">
        <v>11</v>
      </c>
      <c r="Q16" s="5"/>
      <c r="R16" s="5"/>
      <c r="S16" s="5" t="s">
        <v>55</v>
      </c>
      <c r="T16" s="5">
        <v>2.2000000000000002</v>
      </c>
      <c r="U16" s="5"/>
      <c r="V16" s="5">
        <v>59.545454545454497</v>
      </c>
      <c r="W16" s="15">
        <v>59.545454545454497</v>
      </c>
      <c r="X16" s="5">
        <v>6.8</v>
      </c>
      <c r="Y16" s="5">
        <v>8.1999999999999993</v>
      </c>
      <c r="Z16" s="5">
        <v>7.8</v>
      </c>
      <c r="AA16" s="5">
        <v>7.8</v>
      </c>
      <c r="AB16" s="5">
        <v>17.2</v>
      </c>
      <c r="AC16" s="5">
        <v>16.2</v>
      </c>
      <c r="AD16" s="5">
        <v>4</v>
      </c>
      <c r="AE16" s="5">
        <v>9.6</v>
      </c>
      <c r="AF16" s="5"/>
      <c r="AG16" s="5"/>
      <c r="AH16" s="5" t="s">
        <v>52</v>
      </c>
      <c r="AI16" s="5">
        <v>0</v>
      </c>
      <c r="AJ16" s="5">
        <v>357.3</v>
      </c>
    </row>
    <row r="17" spans="1:36" ht="15" customHeight="1" x14ac:dyDescent="0.25">
      <c r="A17" s="5" t="s">
        <v>53</v>
      </c>
      <c r="B17" s="5" t="s">
        <v>38</v>
      </c>
      <c r="C17" s="5" t="s">
        <v>46</v>
      </c>
      <c r="D17" s="5" t="s">
        <v>47</v>
      </c>
      <c r="E17" s="5">
        <v>130</v>
      </c>
      <c r="F17" s="5">
        <v>623</v>
      </c>
      <c r="G17" s="5">
        <v>85</v>
      </c>
      <c r="H17" s="5">
        <v>661</v>
      </c>
      <c r="I17" s="5">
        <v>72.709999999999994</v>
      </c>
      <c r="J17" s="5">
        <v>0.11</v>
      </c>
      <c r="K17" s="5">
        <v>30</v>
      </c>
      <c r="L17" s="5" t="s">
        <v>66</v>
      </c>
      <c r="M17" s="5"/>
      <c r="N17" s="5">
        <v>257</v>
      </c>
      <c r="O17" s="5">
        <v>-172</v>
      </c>
      <c r="P17" s="5">
        <v>85</v>
      </c>
      <c r="Q17" s="5"/>
      <c r="R17" s="5"/>
      <c r="S17" s="5" t="s">
        <v>55</v>
      </c>
      <c r="T17" s="5">
        <v>17</v>
      </c>
      <c r="U17" s="5"/>
      <c r="V17" s="5">
        <v>38.882352941176499</v>
      </c>
      <c r="W17" s="15">
        <v>38.882352941176499</v>
      </c>
      <c r="X17" s="5">
        <v>11.6</v>
      </c>
      <c r="Y17" s="5">
        <v>20.399999999999999</v>
      </c>
      <c r="Z17" s="5">
        <v>18.600000000000001</v>
      </c>
      <c r="AA17" s="5">
        <v>20.6</v>
      </c>
      <c r="AB17" s="5">
        <v>12</v>
      </c>
      <c r="AC17" s="5">
        <v>0</v>
      </c>
      <c r="AD17" s="5">
        <v>0</v>
      </c>
      <c r="AE17" s="5">
        <v>0</v>
      </c>
      <c r="AF17" s="5"/>
      <c r="AG17" s="5"/>
      <c r="AH17" s="5" t="s">
        <v>67</v>
      </c>
      <c r="AI17" s="5">
        <v>0</v>
      </c>
      <c r="AJ17" s="5">
        <v>233.3</v>
      </c>
    </row>
    <row r="18" spans="1:36" ht="15" customHeight="1" x14ac:dyDescent="0.25">
      <c r="A18" s="5" t="s">
        <v>53</v>
      </c>
      <c r="B18" s="5" t="s">
        <v>38</v>
      </c>
      <c r="C18" s="5" t="s">
        <v>68</v>
      </c>
      <c r="D18" s="5" t="s">
        <v>47</v>
      </c>
      <c r="E18" s="5">
        <v>7</v>
      </c>
      <c r="F18" s="5">
        <v>66</v>
      </c>
      <c r="G18" s="5">
        <v>2</v>
      </c>
      <c r="H18" s="5">
        <v>70</v>
      </c>
      <c r="I18" s="5">
        <v>21</v>
      </c>
      <c r="J18" s="5">
        <v>0.3</v>
      </c>
      <c r="K18" s="5">
        <v>45</v>
      </c>
      <c r="L18" s="5" t="s">
        <v>41</v>
      </c>
      <c r="M18" s="5"/>
      <c r="N18" s="5">
        <v>53</v>
      </c>
      <c r="O18" s="5">
        <v>-51</v>
      </c>
      <c r="P18" s="5">
        <v>2</v>
      </c>
      <c r="Q18" s="5"/>
      <c r="R18" s="5"/>
      <c r="S18" s="5" t="s">
        <v>55</v>
      </c>
      <c r="T18" s="5">
        <v>0.4</v>
      </c>
      <c r="U18" s="5"/>
      <c r="V18" s="5">
        <v>175</v>
      </c>
      <c r="W18" s="15">
        <v>175</v>
      </c>
      <c r="X18" s="5">
        <v>1.2</v>
      </c>
      <c r="Y18" s="5">
        <v>8.4</v>
      </c>
      <c r="Z18" s="5">
        <v>2</v>
      </c>
      <c r="AA18" s="5">
        <v>2</v>
      </c>
      <c r="AB18" s="5">
        <v>3.2</v>
      </c>
      <c r="AC18" s="5">
        <v>4</v>
      </c>
      <c r="AD18" s="5">
        <v>3.8</v>
      </c>
      <c r="AE18" s="5">
        <v>7.4</v>
      </c>
      <c r="AF18" s="5"/>
      <c r="AG18" s="5"/>
      <c r="AH18" s="5" t="s">
        <v>52</v>
      </c>
      <c r="AI18" s="5">
        <v>0</v>
      </c>
      <c r="AJ18" s="5">
        <v>1050</v>
      </c>
    </row>
    <row r="19" spans="1:36" ht="15" customHeight="1" x14ac:dyDescent="0.25">
      <c r="A19" s="5" t="s">
        <v>53</v>
      </c>
      <c r="B19" s="5" t="s">
        <v>38</v>
      </c>
      <c r="C19" s="5" t="s">
        <v>69</v>
      </c>
      <c r="D19" s="5" t="s">
        <v>47</v>
      </c>
      <c r="E19" s="5">
        <v>86</v>
      </c>
      <c r="F19" s="5">
        <v>517</v>
      </c>
      <c r="G19" s="5">
        <v>17</v>
      </c>
      <c r="H19" s="5">
        <v>529</v>
      </c>
      <c r="I19" s="5">
        <v>148.12</v>
      </c>
      <c r="J19" s="5">
        <v>0.28000000000000003</v>
      </c>
      <c r="K19" s="5">
        <v>40</v>
      </c>
      <c r="L19" s="5" t="s">
        <v>70</v>
      </c>
      <c r="M19" s="5"/>
      <c r="N19" s="5">
        <v>480</v>
      </c>
      <c r="O19" s="5">
        <v>-463</v>
      </c>
      <c r="P19" s="5">
        <v>17</v>
      </c>
      <c r="Q19" s="5"/>
      <c r="R19" s="5">
        <v>150</v>
      </c>
      <c r="S19" s="5" t="s">
        <v>55</v>
      </c>
      <c r="T19" s="5">
        <v>3.4</v>
      </c>
      <c r="U19" s="5"/>
      <c r="V19" s="5">
        <v>243.82352941176501</v>
      </c>
      <c r="W19" s="15">
        <v>243.82352941176501</v>
      </c>
      <c r="X19" s="5">
        <v>27.6</v>
      </c>
      <c r="Y19" s="5">
        <v>72.8</v>
      </c>
      <c r="Z19" s="5">
        <v>76.599999999999994</v>
      </c>
      <c r="AA19" s="5">
        <v>78.2</v>
      </c>
      <c r="AB19" s="5">
        <v>70.2</v>
      </c>
      <c r="AC19" s="5">
        <v>72</v>
      </c>
      <c r="AD19" s="5">
        <v>68.400000000000006</v>
      </c>
      <c r="AE19" s="5">
        <v>58.2</v>
      </c>
      <c r="AF19" s="5"/>
      <c r="AG19" s="5"/>
      <c r="AH19" s="5" t="s">
        <v>52</v>
      </c>
      <c r="AI19" s="5">
        <v>0</v>
      </c>
      <c r="AJ19" s="5">
        <v>933.5</v>
      </c>
    </row>
    <row r="20" spans="1:36" ht="15" customHeight="1" x14ac:dyDescent="0.25">
      <c r="A20" s="5" t="s">
        <v>53</v>
      </c>
      <c r="B20" s="5" t="s">
        <v>38</v>
      </c>
      <c r="C20" s="5" t="s">
        <v>71</v>
      </c>
      <c r="D20" s="5" t="s">
        <v>40</v>
      </c>
      <c r="E20" s="5">
        <v>21.233000000000001</v>
      </c>
      <c r="F20" s="5">
        <v>30.152000000000001</v>
      </c>
      <c r="G20" s="5">
        <v>4.9740000000000002</v>
      </c>
      <c r="H20" s="5">
        <v>41.417000000000002</v>
      </c>
      <c r="I20" s="5">
        <v>41.417000000000002</v>
      </c>
      <c r="J20" s="5">
        <v>1</v>
      </c>
      <c r="K20" s="5">
        <v>50</v>
      </c>
      <c r="L20" s="5" t="s">
        <v>41</v>
      </c>
      <c r="M20" s="5"/>
      <c r="N20" s="5">
        <v>5</v>
      </c>
      <c r="O20" s="5">
        <v>-2.5999999999999801E-2</v>
      </c>
      <c r="P20" s="5">
        <v>4.9740000000000002</v>
      </c>
      <c r="Q20" s="5"/>
      <c r="R20" s="5"/>
      <c r="S20" s="5" t="s">
        <v>55</v>
      </c>
      <c r="T20" s="5">
        <v>0.99480000000000002</v>
      </c>
      <c r="U20" s="5"/>
      <c r="V20" s="5">
        <v>56.171692802573403</v>
      </c>
      <c r="W20" s="15">
        <v>56.171692802573403</v>
      </c>
      <c r="X20" s="5">
        <v>3.9885999999999999</v>
      </c>
      <c r="Y20" s="5">
        <v>3.4885999999999999</v>
      </c>
      <c r="Z20" s="5">
        <v>2.4849999999999999</v>
      </c>
      <c r="AA20" s="5">
        <v>2.4849999999999999</v>
      </c>
      <c r="AB20" s="5">
        <v>3.984</v>
      </c>
      <c r="AC20" s="5">
        <v>3.3889999999999998</v>
      </c>
      <c r="AD20" s="5">
        <v>4.8133999999999997</v>
      </c>
      <c r="AE20" s="5">
        <v>2.9209999999999998</v>
      </c>
      <c r="AF20" s="5"/>
      <c r="AG20" s="5"/>
      <c r="AH20" s="5" t="s">
        <v>52</v>
      </c>
      <c r="AI20" s="5">
        <v>0</v>
      </c>
      <c r="AJ20" s="5">
        <v>249.8</v>
      </c>
    </row>
    <row r="21" spans="1:36" ht="15" customHeight="1" x14ac:dyDescent="0.25">
      <c r="A21" s="5" t="s">
        <v>53</v>
      </c>
      <c r="B21" s="5" t="s">
        <v>38</v>
      </c>
      <c r="C21" s="5" t="s">
        <v>72</v>
      </c>
      <c r="D21" s="5" t="s">
        <v>47</v>
      </c>
      <c r="E21" s="5">
        <v>63</v>
      </c>
      <c r="F21" s="5">
        <v>36</v>
      </c>
      <c r="G21" s="5">
        <v>6</v>
      </c>
      <c r="H21" s="5">
        <v>93</v>
      </c>
      <c r="I21" s="5">
        <v>23.25</v>
      </c>
      <c r="J21" s="5">
        <v>0.25</v>
      </c>
      <c r="K21" s="5"/>
      <c r="L21" s="5" t="s">
        <v>70</v>
      </c>
      <c r="M21" s="5"/>
      <c r="N21" s="5">
        <v>6</v>
      </c>
      <c r="O21" s="5">
        <v>0</v>
      </c>
      <c r="P21" s="5">
        <v>6</v>
      </c>
      <c r="Q21" s="5"/>
      <c r="R21" s="5"/>
      <c r="S21" s="5" t="s">
        <v>55</v>
      </c>
      <c r="T21" s="5">
        <v>1.2</v>
      </c>
      <c r="U21" s="5"/>
      <c r="V21" s="5">
        <v>77.5</v>
      </c>
      <c r="W21" s="15">
        <v>77.5</v>
      </c>
      <c r="X21" s="5">
        <v>3.6</v>
      </c>
      <c r="Y21" s="5">
        <v>4.2</v>
      </c>
      <c r="Z21" s="5">
        <v>6.2</v>
      </c>
      <c r="AA21" s="5">
        <v>6.2</v>
      </c>
      <c r="AB21" s="5">
        <v>10.4</v>
      </c>
      <c r="AC21" s="5">
        <v>8.8000000000000007</v>
      </c>
      <c r="AD21" s="5">
        <v>18.600000000000001</v>
      </c>
      <c r="AE21" s="5">
        <v>16.2</v>
      </c>
      <c r="AF21" s="5"/>
      <c r="AG21" s="5"/>
      <c r="AH21" s="5" t="s">
        <v>52</v>
      </c>
      <c r="AI21" s="5">
        <v>0</v>
      </c>
      <c r="AJ21" s="5">
        <v>465</v>
      </c>
    </row>
    <row r="22" spans="1:36" ht="15" customHeight="1" x14ac:dyDescent="0.25">
      <c r="A22" s="5" t="s">
        <v>53</v>
      </c>
      <c r="B22" s="5" t="s">
        <v>38</v>
      </c>
      <c r="C22" s="5" t="s">
        <v>73</v>
      </c>
      <c r="D22" s="5" t="s">
        <v>47</v>
      </c>
      <c r="E22" s="5">
        <v>53</v>
      </c>
      <c r="F22" s="5"/>
      <c r="G22" s="5">
        <v>5</v>
      </c>
      <c r="H22" s="5">
        <v>80</v>
      </c>
      <c r="I22" s="5">
        <v>26</v>
      </c>
      <c r="J22" s="5">
        <v>0.32500000000000001</v>
      </c>
      <c r="K22" s="5"/>
      <c r="L22" s="5" t="s">
        <v>41</v>
      </c>
      <c r="M22" s="5"/>
      <c r="N22" s="5">
        <v>8</v>
      </c>
      <c r="O22" s="5">
        <v>-3</v>
      </c>
      <c r="P22" s="5">
        <v>5</v>
      </c>
      <c r="Q22" s="5"/>
      <c r="R22" s="5"/>
      <c r="S22" s="5" t="s">
        <v>55</v>
      </c>
      <c r="T22" s="5">
        <v>1</v>
      </c>
      <c r="U22" s="5"/>
      <c r="V22" s="5">
        <v>80</v>
      </c>
      <c r="W22" s="15">
        <v>80</v>
      </c>
      <c r="X22" s="5">
        <v>2.8</v>
      </c>
      <c r="Y22" s="5">
        <v>3.6</v>
      </c>
      <c r="Z22" s="5">
        <v>7.6</v>
      </c>
      <c r="AA22" s="5">
        <v>7.6</v>
      </c>
      <c r="AB22" s="5">
        <v>5.2</v>
      </c>
      <c r="AC22" s="5">
        <v>5.2</v>
      </c>
      <c r="AD22" s="5">
        <v>10.199999999999999</v>
      </c>
      <c r="AE22" s="5">
        <v>9.8000000000000007</v>
      </c>
      <c r="AF22" s="5"/>
      <c r="AG22" s="5"/>
      <c r="AH22" s="5" t="s">
        <v>74</v>
      </c>
      <c r="AI22" s="5">
        <v>0</v>
      </c>
      <c r="AJ22" s="5">
        <v>480</v>
      </c>
    </row>
    <row r="23" spans="1:36" ht="15" customHeight="1" x14ac:dyDescent="0.25">
      <c r="A23" s="5" t="s">
        <v>53</v>
      </c>
      <c r="B23" s="5" t="s">
        <v>38</v>
      </c>
      <c r="C23" s="5" t="s">
        <v>75</v>
      </c>
      <c r="D23" s="5" t="s">
        <v>47</v>
      </c>
      <c r="E23" s="5">
        <v>73</v>
      </c>
      <c r="F23" s="5">
        <v>36</v>
      </c>
      <c r="G23" s="5">
        <v>10</v>
      </c>
      <c r="H23" s="5">
        <v>99</v>
      </c>
      <c r="I23" s="5">
        <v>24.75</v>
      </c>
      <c r="J23" s="5">
        <v>0.25</v>
      </c>
      <c r="K23" s="5"/>
      <c r="L23" s="5" t="s">
        <v>41</v>
      </c>
      <c r="M23" s="5"/>
      <c r="N23" s="5">
        <v>20</v>
      </c>
      <c r="O23" s="5">
        <v>-10</v>
      </c>
      <c r="P23" s="5">
        <v>10</v>
      </c>
      <c r="Q23" s="5"/>
      <c r="R23" s="5"/>
      <c r="S23" s="5" t="s">
        <v>55</v>
      </c>
      <c r="T23" s="5">
        <v>2</v>
      </c>
      <c r="U23" s="5"/>
      <c r="V23" s="5">
        <v>49.5</v>
      </c>
      <c r="W23" s="15">
        <v>49.5</v>
      </c>
      <c r="X23" s="5">
        <v>8</v>
      </c>
      <c r="Y23" s="5">
        <v>9.8000000000000007</v>
      </c>
      <c r="Z23" s="5">
        <v>6.2</v>
      </c>
      <c r="AA23" s="5">
        <v>6.2</v>
      </c>
      <c r="AB23" s="5">
        <v>9.8000000000000007</v>
      </c>
      <c r="AC23" s="5">
        <v>6.6</v>
      </c>
      <c r="AD23" s="5">
        <v>14.4</v>
      </c>
      <c r="AE23" s="5">
        <v>13.2</v>
      </c>
      <c r="AF23" s="5"/>
      <c r="AG23" s="5"/>
      <c r="AH23" s="5" t="s">
        <v>74</v>
      </c>
      <c r="AI23" s="5">
        <v>0</v>
      </c>
      <c r="AJ23" s="5">
        <v>297</v>
      </c>
    </row>
    <row r="24" spans="1:36" ht="15" customHeight="1" x14ac:dyDescent="0.25">
      <c r="A24" s="5" t="s">
        <v>53</v>
      </c>
      <c r="B24" s="5" t="s">
        <v>38</v>
      </c>
      <c r="C24" s="5" t="s">
        <v>76</v>
      </c>
      <c r="D24" s="5" t="s">
        <v>47</v>
      </c>
      <c r="E24" s="5">
        <v>35</v>
      </c>
      <c r="F24" s="5"/>
      <c r="G24" s="5">
        <v>-2</v>
      </c>
      <c r="H24" s="5">
        <v>34</v>
      </c>
      <c r="I24" s="5">
        <v>10.199999999999999</v>
      </c>
      <c r="J24" s="5">
        <v>0.3</v>
      </c>
      <c r="K24" s="5">
        <v>40</v>
      </c>
      <c r="L24" s="5" t="s">
        <v>70</v>
      </c>
      <c r="M24" s="5"/>
      <c r="N24" s="5">
        <v>195</v>
      </c>
      <c r="O24" s="5">
        <v>-197</v>
      </c>
      <c r="P24" s="5">
        <v>-2</v>
      </c>
      <c r="Q24" s="5"/>
      <c r="R24" s="5">
        <v>70</v>
      </c>
      <c r="S24" s="5" t="s">
        <v>55</v>
      </c>
      <c r="T24" s="5">
        <v>-0.4</v>
      </c>
      <c r="U24" s="5"/>
      <c r="V24" s="5">
        <v>-435</v>
      </c>
      <c r="W24" s="15">
        <v>-435</v>
      </c>
      <c r="X24" s="5">
        <v>-0.4</v>
      </c>
      <c r="Y24" s="5">
        <v>-0.6</v>
      </c>
      <c r="Z24" s="5">
        <v>13.2</v>
      </c>
      <c r="AA24" s="5">
        <v>13.6</v>
      </c>
      <c r="AB24" s="5">
        <v>34</v>
      </c>
      <c r="AC24" s="5">
        <v>30.8</v>
      </c>
      <c r="AD24" s="5">
        <v>19.2</v>
      </c>
      <c r="AE24" s="5">
        <v>19</v>
      </c>
      <c r="AF24" s="5"/>
      <c r="AG24" s="5"/>
      <c r="AH24" s="5" t="s">
        <v>62</v>
      </c>
      <c r="AI24" s="5">
        <v>0</v>
      </c>
      <c r="AJ24" s="5">
        <v>-510</v>
      </c>
    </row>
    <row r="25" spans="1:36" ht="15" customHeight="1" x14ac:dyDescent="0.25">
      <c r="A25" s="6" t="s">
        <v>77</v>
      </c>
      <c r="B25" s="6" t="s">
        <v>38</v>
      </c>
      <c r="C25" s="6" t="s">
        <v>78</v>
      </c>
      <c r="D25" s="6" t="s">
        <v>40</v>
      </c>
      <c r="E25" s="6">
        <v>123.11199999999999</v>
      </c>
      <c r="F25" s="6">
        <v>154.69999999999999</v>
      </c>
      <c r="G25" s="6">
        <v>55.606000000000002</v>
      </c>
      <c r="H25" s="6">
        <v>178.60499999999999</v>
      </c>
      <c r="I25" s="6">
        <v>178.60499999999999</v>
      </c>
      <c r="J25" s="6">
        <v>1</v>
      </c>
      <c r="K25" s="6">
        <v>55</v>
      </c>
      <c r="L25" s="6" t="s">
        <v>41</v>
      </c>
      <c r="M25" s="6"/>
      <c r="N25" s="6">
        <v>58.6</v>
      </c>
      <c r="O25" s="6">
        <v>-2.9940000000000002</v>
      </c>
      <c r="P25" s="6"/>
      <c r="Q25" s="6"/>
      <c r="R25" s="6">
        <v>167.86019999999999</v>
      </c>
      <c r="S25" s="6" t="s">
        <v>79</v>
      </c>
      <c r="T25" s="6">
        <v>11.1212</v>
      </c>
      <c r="U25" s="6"/>
      <c r="V25" s="6">
        <v>31.153580548861601</v>
      </c>
      <c r="W25" s="16">
        <v>31.153580548861601</v>
      </c>
      <c r="X25" s="6">
        <v>21.421600000000002</v>
      </c>
      <c r="Y25" s="6">
        <v>21.666799999999999</v>
      </c>
      <c r="Z25" s="6">
        <v>16.1006</v>
      </c>
      <c r="AA25" s="6">
        <v>20.717400000000001</v>
      </c>
      <c r="AB25" s="6">
        <v>18.250800000000002</v>
      </c>
      <c r="AC25" s="6">
        <v>15.446999999999999</v>
      </c>
      <c r="AD25" s="6">
        <v>17.9756</v>
      </c>
      <c r="AE25" s="6">
        <v>16.6264</v>
      </c>
      <c r="AF25" s="6">
        <v>20.0504</v>
      </c>
      <c r="AG25" s="6">
        <v>20.848199999999999</v>
      </c>
      <c r="AH25" s="6" t="s">
        <v>52</v>
      </c>
      <c r="AI25" s="6">
        <v>0</v>
      </c>
      <c r="AJ25" s="6">
        <v>96.4</v>
      </c>
    </row>
    <row r="26" spans="1:36" ht="15" customHeight="1" x14ac:dyDescent="0.25">
      <c r="A26" s="6" t="s">
        <v>77</v>
      </c>
      <c r="B26" s="6" t="s">
        <v>38</v>
      </c>
      <c r="C26" s="6" t="s">
        <v>80</v>
      </c>
      <c r="D26" s="6" t="s">
        <v>40</v>
      </c>
      <c r="E26" s="6">
        <v>42.231999999999999</v>
      </c>
      <c r="F26" s="6">
        <v>87.341999999999999</v>
      </c>
      <c r="G26" s="6">
        <v>25.538</v>
      </c>
      <c r="H26" s="6">
        <v>73.177999999999997</v>
      </c>
      <c r="I26" s="6">
        <v>73.177999999999997</v>
      </c>
      <c r="J26" s="6">
        <v>1</v>
      </c>
      <c r="K26" s="6">
        <v>55</v>
      </c>
      <c r="L26" s="6" t="s">
        <v>41</v>
      </c>
      <c r="M26" s="6"/>
      <c r="N26" s="6">
        <v>22.8</v>
      </c>
      <c r="O26" s="6">
        <v>2.738</v>
      </c>
      <c r="P26" s="6"/>
      <c r="Q26" s="6"/>
      <c r="R26" s="6">
        <v>90.86</v>
      </c>
      <c r="S26" s="6" t="s">
        <v>79</v>
      </c>
      <c r="T26" s="6">
        <v>5.1075999999999997</v>
      </c>
      <c r="U26" s="6"/>
      <c r="V26" s="6">
        <v>32.1164539118177</v>
      </c>
      <c r="W26" s="16">
        <v>32.1164539118177</v>
      </c>
      <c r="X26" s="6">
        <v>11.430400000000001</v>
      </c>
      <c r="Y26" s="6">
        <v>8.48</v>
      </c>
      <c r="Z26" s="6">
        <v>2.9582000000000002</v>
      </c>
      <c r="AA26" s="6">
        <v>3.7658</v>
      </c>
      <c r="AB26" s="6">
        <v>7.8483999999999998</v>
      </c>
      <c r="AC26" s="6">
        <v>7.0461999999999998</v>
      </c>
      <c r="AD26" s="6">
        <v>8.6546000000000003</v>
      </c>
      <c r="AE26" s="6">
        <v>8.9196000000000009</v>
      </c>
      <c r="AF26" s="6">
        <v>9.2284000000000006</v>
      </c>
      <c r="AG26" s="6">
        <v>8.9586000000000006</v>
      </c>
      <c r="AH26" s="6" t="s">
        <v>52</v>
      </c>
      <c r="AI26" s="6">
        <v>0</v>
      </c>
      <c r="AJ26" s="6">
        <v>86</v>
      </c>
    </row>
    <row r="27" spans="1:36" ht="15" customHeight="1" x14ac:dyDescent="0.25">
      <c r="A27" s="6" t="s">
        <v>77</v>
      </c>
      <c r="B27" s="6" t="s">
        <v>38</v>
      </c>
      <c r="C27" s="6" t="s">
        <v>49</v>
      </c>
      <c r="D27" s="6" t="s">
        <v>47</v>
      </c>
      <c r="E27" s="6">
        <v>7</v>
      </c>
      <c r="F27" s="6">
        <v>34</v>
      </c>
      <c r="G27" s="6"/>
      <c r="H27" s="6">
        <v>40</v>
      </c>
      <c r="I27" s="6">
        <v>6.8</v>
      </c>
      <c r="J27" s="6">
        <v>0.17</v>
      </c>
      <c r="K27" s="6">
        <v>30</v>
      </c>
      <c r="L27" s="6" t="s">
        <v>41</v>
      </c>
      <c r="M27" s="6"/>
      <c r="N27" s="6"/>
      <c r="O27" s="6">
        <v>0</v>
      </c>
      <c r="P27" s="6"/>
      <c r="Q27" s="6"/>
      <c r="R27" s="6">
        <v>0</v>
      </c>
      <c r="S27" s="6" t="s">
        <v>79</v>
      </c>
      <c r="T27" s="6">
        <v>0</v>
      </c>
      <c r="U27" s="6"/>
      <c r="V27" s="6" t="e">
        <f>#DIV/0!</f>
        <v>#DIV/0!</v>
      </c>
      <c r="W27" s="16" t="e">
        <f>#DIV/0!</f>
        <v>#DIV/0!</v>
      </c>
      <c r="X27" s="6">
        <v>0</v>
      </c>
      <c r="Y27" s="6">
        <v>1.4</v>
      </c>
      <c r="Z27" s="6">
        <v>1.6</v>
      </c>
      <c r="AA27" s="6">
        <v>0.2</v>
      </c>
      <c r="AB27" s="6">
        <v>0</v>
      </c>
      <c r="AC27" s="6">
        <v>-0.2</v>
      </c>
      <c r="AD27" s="6">
        <v>2</v>
      </c>
      <c r="AE27" s="6">
        <v>4.2</v>
      </c>
      <c r="AF27" s="6">
        <v>1.6</v>
      </c>
      <c r="AG27" s="6">
        <v>0.4</v>
      </c>
      <c r="AH27" s="6" t="s">
        <v>81</v>
      </c>
      <c r="AI27" s="6">
        <v>0</v>
      </c>
      <c r="AJ27" s="6"/>
    </row>
    <row r="28" spans="1:36" ht="15" customHeight="1" x14ac:dyDescent="0.25">
      <c r="A28" s="6" t="s">
        <v>77</v>
      </c>
      <c r="B28" s="6" t="s">
        <v>38</v>
      </c>
      <c r="C28" s="6" t="s">
        <v>82</v>
      </c>
      <c r="D28" s="6" t="s">
        <v>47</v>
      </c>
      <c r="E28" s="6">
        <v>81</v>
      </c>
      <c r="F28" s="6">
        <v>384</v>
      </c>
      <c r="G28" s="6">
        <v>-10</v>
      </c>
      <c r="H28" s="6">
        <v>211</v>
      </c>
      <c r="I28" s="6">
        <v>59.08</v>
      </c>
      <c r="J28" s="6">
        <v>0.28000000000000003</v>
      </c>
      <c r="K28" s="6">
        <v>40</v>
      </c>
      <c r="L28" s="6" t="s">
        <v>70</v>
      </c>
      <c r="M28" s="6"/>
      <c r="N28" s="6">
        <v>596</v>
      </c>
      <c r="O28" s="6">
        <v>-606</v>
      </c>
      <c r="P28" s="6"/>
      <c r="Q28" s="6"/>
      <c r="R28" s="6">
        <v>105</v>
      </c>
      <c r="S28" s="6" t="s">
        <v>79</v>
      </c>
      <c r="T28" s="6">
        <v>-2</v>
      </c>
      <c r="U28" s="6"/>
      <c r="V28" s="6">
        <v>-158</v>
      </c>
      <c r="W28" s="16">
        <v>-158</v>
      </c>
      <c r="X28" s="6">
        <v>12</v>
      </c>
      <c r="Y28" s="6">
        <v>46.2</v>
      </c>
      <c r="Z28" s="6">
        <v>76.400000000000006</v>
      </c>
      <c r="AA28" s="6">
        <v>75.2</v>
      </c>
      <c r="AB28" s="6">
        <v>67</v>
      </c>
      <c r="AC28" s="6">
        <v>62.4</v>
      </c>
      <c r="AD28" s="6">
        <v>67</v>
      </c>
      <c r="AE28" s="6">
        <v>69</v>
      </c>
      <c r="AF28" s="6">
        <v>63</v>
      </c>
      <c r="AG28" s="6">
        <v>66.8</v>
      </c>
      <c r="AH28" s="6" t="s">
        <v>62</v>
      </c>
      <c r="AI28" s="6">
        <v>0</v>
      </c>
      <c r="AJ28" s="6">
        <v>-633</v>
      </c>
    </row>
    <row r="29" spans="1:36" ht="15" customHeight="1" x14ac:dyDescent="0.25">
      <c r="A29" s="6" t="s">
        <v>77</v>
      </c>
      <c r="B29" s="6" t="s">
        <v>38</v>
      </c>
      <c r="C29" s="6" t="s">
        <v>83</v>
      </c>
      <c r="D29" s="6" t="s">
        <v>40</v>
      </c>
      <c r="E29" s="6">
        <v>90.263999999999996</v>
      </c>
      <c r="F29" s="6">
        <v>313.54199999999997</v>
      </c>
      <c r="G29" s="6">
        <v>13.379</v>
      </c>
      <c r="H29" s="6">
        <v>346.678</v>
      </c>
      <c r="I29" s="6">
        <v>346.678</v>
      </c>
      <c r="J29" s="6">
        <v>1</v>
      </c>
      <c r="K29" s="6">
        <v>60</v>
      </c>
      <c r="L29" s="6" t="s">
        <v>41</v>
      </c>
      <c r="M29" s="6"/>
      <c r="N29" s="6">
        <v>75</v>
      </c>
      <c r="O29" s="6">
        <v>-61.621000000000002</v>
      </c>
      <c r="P29" s="6"/>
      <c r="Q29" s="6"/>
      <c r="R29" s="6">
        <v>291.46300000000002</v>
      </c>
      <c r="S29" s="6" t="s">
        <v>79</v>
      </c>
      <c r="T29" s="6">
        <v>2.6758000000000002</v>
      </c>
      <c r="U29" s="6"/>
      <c r="V29" s="6">
        <v>238.486060243666</v>
      </c>
      <c r="W29" s="16">
        <v>238.486060243666</v>
      </c>
      <c r="X29" s="6">
        <v>38.171399999999998</v>
      </c>
      <c r="Y29" s="6">
        <v>43.339199999999998</v>
      </c>
      <c r="Z29" s="6">
        <v>23.119599999999998</v>
      </c>
      <c r="AA29" s="6">
        <v>16.192399999999999</v>
      </c>
      <c r="AB29" s="6">
        <v>24.320599999999999</v>
      </c>
      <c r="AC29" s="6">
        <v>34.040199999999999</v>
      </c>
      <c r="AD29" s="6">
        <v>26.383400000000002</v>
      </c>
      <c r="AE29" s="6">
        <v>17.169599999999999</v>
      </c>
      <c r="AF29" s="6">
        <v>17.895399999999999</v>
      </c>
      <c r="AG29" s="6">
        <v>29.697600000000001</v>
      </c>
      <c r="AH29" s="6" t="s">
        <v>52</v>
      </c>
      <c r="AI29" s="6">
        <v>0</v>
      </c>
      <c r="AJ29" s="6">
        <v>777.4</v>
      </c>
    </row>
    <row r="30" spans="1:36" ht="15" customHeight="1" x14ac:dyDescent="0.25">
      <c r="A30" s="6" t="s">
        <v>77</v>
      </c>
      <c r="B30" s="6" t="s">
        <v>38</v>
      </c>
      <c r="C30" s="6" t="s">
        <v>71</v>
      </c>
      <c r="D30" s="6" t="s">
        <v>40</v>
      </c>
      <c r="E30" s="6">
        <v>82.09</v>
      </c>
      <c r="F30" s="6">
        <v>7.5650000000000004</v>
      </c>
      <c r="G30" s="6"/>
      <c r="H30" s="6">
        <v>89.655000000000001</v>
      </c>
      <c r="I30" s="6">
        <v>89.655000000000001</v>
      </c>
      <c r="J30" s="6">
        <v>1</v>
      </c>
      <c r="K30" s="6">
        <v>50</v>
      </c>
      <c r="L30" s="6" t="s">
        <v>41</v>
      </c>
      <c r="M30" s="6"/>
      <c r="N30" s="6">
        <v>10</v>
      </c>
      <c r="O30" s="6">
        <v>-10</v>
      </c>
      <c r="P30" s="6"/>
      <c r="Q30" s="6"/>
      <c r="R30" s="6">
        <v>0</v>
      </c>
      <c r="S30" s="6" t="s">
        <v>79</v>
      </c>
      <c r="T30" s="6">
        <v>0</v>
      </c>
      <c r="U30" s="6"/>
      <c r="V30" s="6" t="e">
        <f>#DIV/0!</f>
        <v>#DIV/0!</v>
      </c>
      <c r="W30" s="16" t="e">
        <f>#DIV/0!</f>
        <v>#DIV/0!</v>
      </c>
      <c r="X30" s="6">
        <v>0</v>
      </c>
      <c r="Y30" s="6">
        <v>-0.2356</v>
      </c>
      <c r="Z30" s="6">
        <v>-0.3604</v>
      </c>
      <c r="AA30" s="6">
        <v>-0.12479999999999999</v>
      </c>
      <c r="AB30" s="6">
        <v>-0.17460000000000001</v>
      </c>
      <c r="AC30" s="6">
        <v>-0.35780000000000001</v>
      </c>
      <c r="AD30" s="6">
        <v>-0.1832</v>
      </c>
      <c r="AE30" s="6">
        <v>0.36159999999999998</v>
      </c>
      <c r="AF30" s="6">
        <v>4.1176000000000004</v>
      </c>
      <c r="AG30" s="6">
        <v>5.7633999999999999</v>
      </c>
      <c r="AH30" s="6" t="s">
        <v>52</v>
      </c>
      <c r="AI30" s="6">
        <v>0</v>
      </c>
      <c r="AJ30" s="6"/>
    </row>
    <row r="31" spans="1:36" ht="15" customHeight="1" x14ac:dyDescent="0.25">
      <c r="A31" s="6" t="s">
        <v>77</v>
      </c>
      <c r="B31" s="6" t="s">
        <v>38</v>
      </c>
      <c r="C31" s="6" t="s">
        <v>72</v>
      </c>
      <c r="D31" s="6" t="s">
        <v>47</v>
      </c>
      <c r="E31" s="6">
        <v>274</v>
      </c>
      <c r="F31" s="6">
        <v>174</v>
      </c>
      <c r="G31" s="6">
        <v>21</v>
      </c>
      <c r="H31" s="6">
        <v>418</v>
      </c>
      <c r="I31" s="6">
        <v>104.5</v>
      </c>
      <c r="J31" s="6">
        <v>0.25</v>
      </c>
      <c r="K31" s="6">
        <v>1096</v>
      </c>
      <c r="L31" s="6" t="s">
        <v>70</v>
      </c>
      <c r="M31" s="6"/>
      <c r="N31" s="6">
        <v>23</v>
      </c>
      <c r="O31" s="6">
        <v>-2</v>
      </c>
      <c r="P31" s="6"/>
      <c r="Q31" s="6"/>
      <c r="R31" s="6">
        <v>0</v>
      </c>
      <c r="S31" s="6" t="s">
        <v>79</v>
      </c>
      <c r="T31" s="6">
        <v>4.2</v>
      </c>
      <c r="U31" s="6"/>
      <c r="V31" s="6">
        <v>99.523809523809504</v>
      </c>
      <c r="W31" s="16">
        <v>99.523809523809504</v>
      </c>
      <c r="X31" s="6">
        <v>5.8</v>
      </c>
      <c r="Y31" s="6">
        <v>8</v>
      </c>
      <c r="Z31" s="6">
        <v>4.2</v>
      </c>
      <c r="AA31" s="6">
        <v>0</v>
      </c>
      <c r="AB31" s="6">
        <v>0</v>
      </c>
      <c r="AC31" s="6">
        <v>0</v>
      </c>
      <c r="AD31" s="6">
        <v>23.2</v>
      </c>
      <c r="AE31" s="6">
        <v>40.4</v>
      </c>
      <c r="AF31" s="6">
        <v>17.2</v>
      </c>
      <c r="AG31" s="6">
        <v>0</v>
      </c>
      <c r="AH31" s="6" t="s">
        <v>84</v>
      </c>
      <c r="AI31" s="6">
        <v>0</v>
      </c>
      <c r="AJ31" s="6">
        <v>597.1</v>
      </c>
    </row>
    <row r="32" spans="1:36" ht="15" customHeight="1" x14ac:dyDescent="0.25">
      <c r="A32" s="6" t="s">
        <v>77</v>
      </c>
      <c r="B32" s="6" t="s">
        <v>38</v>
      </c>
      <c r="C32" s="6" t="s">
        <v>73</v>
      </c>
      <c r="D32" s="6" t="s">
        <v>47</v>
      </c>
      <c r="E32" s="6">
        <v>446</v>
      </c>
      <c r="F32" s="6">
        <v>40</v>
      </c>
      <c r="G32" s="6">
        <v>35</v>
      </c>
      <c r="H32" s="6">
        <v>449</v>
      </c>
      <c r="I32" s="6">
        <v>145.92500000000001</v>
      </c>
      <c r="J32" s="6">
        <v>0.32500000000000001</v>
      </c>
      <c r="K32" s="6">
        <v>1096</v>
      </c>
      <c r="L32" s="6" t="s">
        <v>70</v>
      </c>
      <c r="M32" s="6"/>
      <c r="N32" s="6">
        <v>33</v>
      </c>
      <c r="O32" s="6">
        <v>2</v>
      </c>
      <c r="P32" s="6"/>
      <c r="Q32" s="6"/>
      <c r="R32" s="6">
        <v>0</v>
      </c>
      <c r="S32" s="6" t="s">
        <v>79</v>
      </c>
      <c r="T32" s="6">
        <v>7</v>
      </c>
      <c r="U32" s="6"/>
      <c r="V32" s="6">
        <v>64.142857142857096</v>
      </c>
      <c r="W32" s="16">
        <v>64.142857142857096</v>
      </c>
      <c r="X32" s="6">
        <v>5.6</v>
      </c>
      <c r="Y32" s="6">
        <v>5.4</v>
      </c>
      <c r="Z32" s="6">
        <v>3.4</v>
      </c>
      <c r="AA32" s="6">
        <v>0</v>
      </c>
      <c r="AB32" s="6">
        <v>0.4</v>
      </c>
      <c r="AC32" s="6">
        <v>3.6</v>
      </c>
      <c r="AD32" s="6">
        <v>24</v>
      </c>
      <c r="AE32" s="6">
        <v>36.799999999999997</v>
      </c>
      <c r="AF32" s="6">
        <v>16</v>
      </c>
      <c r="AG32" s="6">
        <v>0</v>
      </c>
      <c r="AH32" s="6" t="s">
        <v>84</v>
      </c>
      <c r="AI32" s="6">
        <v>0</v>
      </c>
      <c r="AJ32" s="6">
        <v>384.9</v>
      </c>
    </row>
    <row r="33" spans="1:36" ht="15" customHeight="1" x14ac:dyDescent="0.25">
      <c r="A33" s="7" t="s">
        <v>85</v>
      </c>
      <c r="B33" s="7" t="s">
        <v>38</v>
      </c>
      <c r="C33" s="7" t="s">
        <v>86</v>
      </c>
      <c r="D33" s="7" t="s">
        <v>40</v>
      </c>
      <c r="E33" s="7">
        <v>28.359000000000002</v>
      </c>
      <c r="F33" s="7">
        <v>56.744</v>
      </c>
      <c r="G33" s="7">
        <v>7.0469999999999997</v>
      </c>
      <c r="H33" s="7">
        <v>63.439</v>
      </c>
      <c r="I33" s="7">
        <v>63.439</v>
      </c>
      <c r="J33" s="7">
        <v>1</v>
      </c>
      <c r="K33" s="7">
        <v>30</v>
      </c>
      <c r="L33" s="7" t="s">
        <v>41</v>
      </c>
      <c r="M33" s="7"/>
      <c r="N33" s="7">
        <v>24.6</v>
      </c>
      <c r="O33" s="7">
        <v>-17.553000000000001</v>
      </c>
      <c r="P33" s="7"/>
      <c r="Q33" s="7"/>
      <c r="R33" s="7"/>
      <c r="S33" s="7" t="s">
        <v>42</v>
      </c>
      <c r="T33" s="7">
        <v>1.4094</v>
      </c>
      <c r="U33" s="7"/>
      <c r="V33" s="7">
        <v>45.0113523485171</v>
      </c>
      <c r="W33" s="17">
        <v>45.0113523485171</v>
      </c>
      <c r="X33" s="7">
        <v>13.768800000000001</v>
      </c>
      <c r="Y33" s="7">
        <v>18.741599999999998</v>
      </c>
      <c r="Z33" s="7">
        <v>8.1288</v>
      </c>
      <c r="AA33" s="7">
        <v>0.57520000000000004</v>
      </c>
      <c r="AB33" s="7">
        <v>4.4287999999999998</v>
      </c>
      <c r="AC33" s="7">
        <v>9.4892000000000003</v>
      </c>
      <c r="AD33" s="7">
        <v>9.4754000000000005</v>
      </c>
      <c r="AE33" s="7">
        <v>3.5449999999999999</v>
      </c>
      <c r="AF33" s="7">
        <v>0</v>
      </c>
      <c r="AG33" s="7">
        <v>5.3902000000000001</v>
      </c>
      <c r="AH33" s="7" t="s">
        <v>52</v>
      </c>
      <c r="AI33" s="7">
        <v>0</v>
      </c>
      <c r="AJ33" s="7">
        <v>270.10000000000002</v>
      </c>
    </row>
    <row r="34" spans="1:36" ht="15" customHeight="1" x14ac:dyDescent="0.25">
      <c r="A34" s="7" t="s">
        <v>85</v>
      </c>
      <c r="B34" s="7" t="s">
        <v>38</v>
      </c>
      <c r="C34" s="7" t="s">
        <v>87</v>
      </c>
      <c r="D34" s="7" t="s">
        <v>47</v>
      </c>
      <c r="E34" s="7">
        <v>25</v>
      </c>
      <c r="F34" s="7">
        <v>60</v>
      </c>
      <c r="G34" s="7">
        <v>7</v>
      </c>
      <c r="H34" s="7">
        <v>70</v>
      </c>
      <c r="I34" s="7">
        <v>28</v>
      </c>
      <c r="J34" s="7">
        <v>0.4</v>
      </c>
      <c r="K34" s="7">
        <v>45</v>
      </c>
      <c r="L34" s="7" t="s">
        <v>70</v>
      </c>
      <c r="M34" s="7"/>
      <c r="N34" s="7">
        <v>67</v>
      </c>
      <c r="O34" s="7">
        <v>-60</v>
      </c>
      <c r="P34" s="7"/>
      <c r="Q34" s="7"/>
      <c r="R34" s="7"/>
      <c r="S34" s="7" t="s">
        <v>42</v>
      </c>
      <c r="T34" s="7">
        <v>1.4</v>
      </c>
      <c r="U34" s="7"/>
      <c r="V34" s="7">
        <v>157.142857142857</v>
      </c>
      <c r="W34" s="17">
        <v>157.142857142857</v>
      </c>
      <c r="X34" s="7">
        <v>4.8</v>
      </c>
      <c r="Y34" s="7">
        <v>25</v>
      </c>
      <c r="Z34" s="7">
        <v>30.8</v>
      </c>
      <c r="AA34" s="7">
        <v>13.8</v>
      </c>
      <c r="AB34" s="7">
        <v>21.8</v>
      </c>
      <c r="AC34" s="7">
        <v>26.4</v>
      </c>
      <c r="AD34" s="7">
        <v>14.8</v>
      </c>
      <c r="AE34" s="7">
        <v>2.4</v>
      </c>
      <c r="AF34" s="7">
        <v>0</v>
      </c>
      <c r="AG34" s="7">
        <v>18</v>
      </c>
      <c r="AH34" s="7" t="s">
        <v>62</v>
      </c>
      <c r="AI34" s="7">
        <v>0</v>
      </c>
      <c r="AJ34" s="7">
        <v>300</v>
      </c>
    </row>
    <row r="35" spans="1:36" ht="15" customHeight="1" x14ac:dyDescent="0.25">
      <c r="A35" s="7" t="s">
        <v>85</v>
      </c>
      <c r="B35" s="7" t="s">
        <v>38</v>
      </c>
      <c r="C35" s="7" t="s">
        <v>61</v>
      </c>
      <c r="D35" s="7" t="s">
        <v>40</v>
      </c>
      <c r="E35" s="7">
        <v>93.44</v>
      </c>
      <c r="F35" s="7">
        <v>14.856</v>
      </c>
      <c r="G35" s="7">
        <v>35.345999999999997</v>
      </c>
      <c r="H35" s="7">
        <v>62.054000000000002</v>
      </c>
      <c r="I35" s="7">
        <v>62.054000000000002</v>
      </c>
      <c r="J35" s="7">
        <v>1</v>
      </c>
      <c r="K35" s="7">
        <v>50</v>
      </c>
      <c r="L35" s="7" t="s">
        <v>41</v>
      </c>
      <c r="M35" s="7"/>
      <c r="N35" s="7">
        <v>35.700000000000003</v>
      </c>
      <c r="O35" s="7">
        <v>-0.35400000000000598</v>
      </c>
      <c r="P35" s="7"/>
      <c r="Q35" s="7"/>
      <c r="R35" s="7">
        <v>79.5</v>
      </c>
      <c r="S35" s="7" t="s">
        <v>42</v>
      </c>
      <c r="T35" s="7">
        <v>7.0692000000000004</v>
      </c>
      <c r="U35" s="7"/>
      <c r="V35" s="7">
        <v>29.996887908108398</v>
      </c>
      <c r="W35" s="17">
        <v>29.996887908108398</v>
      </c>
      <c r="X35" s="7">
        <v>16.045000000000002</v>
      </c>
      <c r="Y35" s="7">
        <v>15.5054</v>
      </c>
      <c r="Z35" s="7">
        <v>10.170400000000001</v>
      </c>
      <c r="AA35" s="7">
        <v>14.961</v>
      </c>
      <c r="AB35" s="7">
        <v>15.6616</v>
      </c>
      <c r="AC35" s="7">
        <v>8.7064000000000004</v>
      </c>
      <c r="AD35" s="7">
        <v>10.54</v>
      </c>
      <c r="AE35" s="7">
        <v>16.8352</v>
      </c>
      <c r="AF35" s="7">
        <v>17.306999999999999</v>
      </c>
      <c r="AG35" s="7">
        <v>15.000999999999999</v>
      </c>
      <c r="AH35" s="7" t="s">
        <v>88</v>
      </c>
      <c r="AI35" s="7">
        <v>0</v>
      </c>
      <c r="AJ35" s="7">
        <v>52.7</v>
      </c>
    </row>
    <row r="36" spans="1:36" ht="15" customHeight="1" x14ac:dyDescent="0.25">
      <c r="A36" s="7" t="s">
        <v>85</v>
      </c>
      <c r="B36" s="7" t="s">
        <v>38</v>
      </c>
      <c r="C36" s="7" t="s">
        <v>89</v>
      </c>
      <c r="D36" s="7" t="s">
        <v>47</v>
      </c>
      <c r="E36" s="7">
        <v>323</v>
      </c>
      <c r="F36" s="7">
        <v>252</v>
      </c>
      <c r="G36" s="7">
        <v>20</v>
      </c>
      <c r="H36" s="7">
        <v>513</v>
      </c>
      <c r="I36" s="7">
        <v>205.2</v>
      </c>
      <c r="J36" s="7">
        <v>0.4</v>
      </c>
      <c r="K36" s="7">
        <v>40</v>
      </c>
      <c r="L36" s="7" t="s">
        <v>41</v>
      </c>
      <c r="M36" s="7"/>
      <c r="N36" s="7">
        <v>362</v>
      </c>
      <c r="O36" s="7">
        <v>-342</v>
      </c>
      <c r="P36" s="7"/>
      <c r="Q36" s="7"/>
      <c r="R36" s="7"/>
      <c r="S36" s="7" t="s">
        <v>42</v>
      </c>
      <c r="T36" s="7">
        <v>4</v>
      </c>
      <c r="U36" s="7"/>
      <c r="V36" s="7">
        <v>128.25</v>
      </c>
      <c r="W36" s="17">
        <v>128.25</v>
      </c>
      <c r="X36" s="7">
        <v>2.4</v>
      </c>
      <c r="Y36" s="7">
        <v>49</v>
      </c>
      <c r="Z36" s="7">
        <v>58</v>
      </c>
      <c r="AA36" s="7">
        <v>10</v>
      </c>
      <c r="AB36" s="7">
        <v>24.8</v>
      </c>
      <c r="AC36" s="7">
        <v>56.2</v>
      </c>
      <c r="AD36" s="7">
        <v>44.2</v>
      </c>
      <c r="AE36" s="7">
        <v>14.2</v>
      </c>
      <c r="AF36" s="7">
        <v>1.4</v>
      </c>
      <c r="AG36" s="7">
        <v>13.8</v>
      </c>
      <c r="AH36" s="7" t="s">
        <v>52</v>
      </c>
      <c r="AI36" s="7">
        <v>0</v>
      </c>
      <c r="AJ36" s="7">
        <v>769.5</v>
      </c>
    </row>
    <row r="37" spans="1:36" ht="15" customHeight="1" x14ac:dyDescent="0.25">
      <c r="A37" s="7" t="s">
        <v>85</v>
      </c>
      <c r="B37" s="7" t="s">
        <v>38</v>
      </c>
      <c r="C37" s="7" t="s">
        <v>90</v>
      </c>
      <c r="D37" s="7" t="s">
        <v>47</v>
      </c>
      <c r="E37" s="7">
        <v>32</v>
      </c>
      <c r="F37" s="7"/>
      <c r="G37" s="7"/>
      <c r="H37" s="7">
        <v>32</v>
      </c>
      <c r="I37" s="7">
        <v>19.2</v>
      </c>
      <c r="J37" s="7">
        <v>0.6</v>
      </c>
      <c r="K37" s="7">
        <v>70</v>
      </c>
      <c r="L37" s="7" t="s">
        <v>41</v>
      </c>
      <c r="M37" s="7"/>
      <c r="N37" s="7"/>
      <c r="O37" s="7">
        <v>0</v>
      </c>
      <c r="P37" s="7"/>
      <c r="Q37" s="7"/>
      <c r="R37" s="7"/>
      <c r="S37" s="7" t="s">
        <v>42</v>
      </c>
      <c r="T37" s="7">
        <v>0</v>
      </c>
      <c r="U37" s="7"/>
      <c r="V37" s="7" t="e">
        <f>#DIV/0!</f>
        <v>#DIV/0!</v>
      </c>
      <c r="W37" s="17" t="e">
        <f>#DIV/0!</f>
        <v>#DIV/0!</v>
      </c>
      <c r="X37" s="7">
        <v>2.2000000000000002</v>
      </c>
      <c r="Y37" s="7">
        <v>2.8</v>
      </c>
      <c r="Z37" s="7">
        <v>2.2000000000000002</v>
      </c>
      <c r="AA37" s="7">
        <v>1.6</v>
      </c>
      <c r="AB37" s="7">
        <v>1.6</v>
      </c>
      <c r="AC37" s="7">
        <v>1.6</v>
      </c>
      <c r="AD37" s="7">
        <v>0.6</v>
      </c>
      <c r="AE37" s="7">
        <v>1</v>
      </c>
      <c r="AF37" s="7">
        <v>0.8</v>
      </c>
      <c r="AG37" s="7">
        <v>1.2</v>
      </c>
      <c r="AH37" s="7" t="s">
        <v>52</v>
      </c>
      <c r="AI37" s="7">
        <v>0</v>
      </c>
      <c r="AJ37" s="7"/>
    </row>
    <row r="38" spans="1:36" ht="15" customHeight="1" x14ac:dyDescent="0.25">
      <c r="A38" s="7" t="s">
        <v>85</v>
      </c>
      <c r="B38" s="7" t="s">
        <v>38</v>
      </c>
      <c r="C38" s="7" t="s">
        <v>91</v>
      </c>
      <c r="D38" s="7" t="s">
        <v>47</v>
      </c>
      <c r="E38" s="7">
        <v>44</v>
      </c>
      <c r="F38" s="7">
        <v>104</v>
      </c>
      <c r="G38" s="7">
        <v>41</v>
      </c>
      <c r="H38" s="7">
        <v>107</v>
      </c>
      <c r="I38" s="7">
        <v>42.8</v>
      </c>
      <c r="J38" s="7">
        <v>0.4</v>
      </c>
      <c r="K38" s="7">
        <v>90</v>
      </c>
      <c r="L38" s="7" t="s">
        <v>41</v>
      </c>
      <c r="M38" s="7"/>
      <c r="N38" s="7">
        <v>57</v>
      </c>
      <c r="O38" s="7">
        <v>-16</v>
      </c>
      <c r="P38" s="7"/>
      <c r="Q38" s="7"/>
      <c r="R38" s="7">
        <v>79.5</v>
      </c>
      <c r="S38" s="7" t="s">
        <v>42</v>
      </c>
      <c r="T38" s="7">
        <v>8.1999999999999993</v>
      </c>
      <c r="U38" s="7"/>
      <c r="V38" s="7">
        <v>31.341463414634202</v>
      </c>
      <c r="W38" s="17">
        <v>31.341463414634202</v>
      </c>
      <c r="X38" s="7">
        <v>16</v>
      </c>
      <c r="Y38" s="7">
        <v>19</v>
      </c>
      <c r="Z38" s="7">
        <v>17.600000000000001</v>
      </c>
      <c r="AA38" s="7">
        <v>16.600000000000001</v>
      </c>
      <c r="AB38" s="7">
        <v>13.6</v>
      </c>
      <c r="AC38" s="7">
        <v>5.4</v>
      </c>
      <c r="AD38" s="7">
        <v>5.6</v>
      </c>
      <c r="AE38" s="7">
        <v>9.8000000000000007</v>
      </c>
      <c r="AF38" s="7">
        <v>16.600000000000001</v>
      </c>
      <c r="AG38" s="7">
        <v>17.2</v>
      </c>
      <c r="AH38" s="7" t="s">
        <v>62</v>
      </c>
      <c r="AI38" s="7">
        <v>0</v>
      </c>
      <c r="AJ38" s="7">
        <v>78.3</v>
      </c>
    </row>
    <row r="39" spans="1:36" ht="15" customHeight="1" x14ac:dyDescent="0.25">
      <c r="A39" s="7" t="s">
        <v>85</v>
      </c>
      <c r="B39" s="7" t="s">
        <v>38</v>
      </c>
      <c r="C39" s="7" t="s">
        <v>92</v>
      </c>
      <c r="D39" s="7" t="s">
        <v>40</v>
      </c>
      <c r="E39" s="7">
        <v>12.851000000000001</v>
      </c>
      <c r="F39" s="7">
        <v>11.536</v>
      </c>
      <c r="G39" s="7"/>
      <c r="H39" s="7">
        <v>24.387</v>
      </c>
      <c r="I39" s="7">
        <v>24.387</v>
      </c>
      <c r="J39" s="7">
        <v>1</v>
      </c>
      <c r="K39" s="7">
        <v>55</v>
      </c>
      <c r="L39" s="7" t="s">
        <v>41</v>
      </c>
      <c r="M39" s="7"/>
      <c r="N39" s="7">
        <v>2.2999999999999998</v>
      </c>
      <c r="O39" s="7">
        <v>-2.2999999999999998</v>
      </c>
      <c r="P39" s="7"/>
      <c r="Q39" s="7"/>
      <c r="R39" s="7"/>
      <c r="S39" s="7" t="s">
        <v>42</v>
      </c>
      <c r="T39" s="7">
        <v>0</v>
      </c>
      <c r="U39" s="7"/>
      <c r="V39" s="7" t="e">
        <f>#DIV/0!</f>
        <v>#DIV/0!</v>
      </c>
      <c r="W39" s="17" t="e">
        <f>#DIV/0!</f>
        <v>#DIV/0!</v>
      </c>
      <c r="X39" s="7">
        <v>2.0213999999999999</v>
      </c>
      <c r="Y39" s="7">
        <v>3.1659999999999999</v>
      </c>
      <c r="Z39" s="7">
        <v>2.0042</v>
      </c>
      <c r="AA39" s="7">
        <v>1.1472</v>
      </c>
      <c r="AB39" s="7">
        <v>0.57320000000000004</v>
      </c>
      <c r="AC39" s="7">
        <v>0.57420000000000004</v>
      </c>
      <c r="AD39" s="7">
        <v>0.57440000000000002</v>
      </c>
      <c r="AE39" s="7">
        <v>1.1494</v>
      </c>
      <c r="AF39" s="7">
        <v>2.0078</v>
      </c>
      <c r="AG39" s="7">
        <v>2.8702000000000001</v>
      </c>
      <c r="AH39" s="7" t="s">
        <v>52</v>
      </c>
      <c r="AI39" s="7">
        <v>0</v>
      </c>
      <c r="AJ39" s="7"/>
    </row>
  </sheetData>
  <mergeCells count="1">
    <mergeCell ref="A1:AJ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6"/>
  <sheetViews>
    <sheetView showGridLines="0" topLeftCell="F1" workbookViewId="0">
      <pane ySplit="3" topLeftCell="A4" activePane="bottomLeft" state="frozen"/>
      <selection pane="bottomLeft" activeCell="I29" sqref="I29"/>
    </sheetView>
  </sheetViews>
  <sheetFormatPr defaultRowHeight="15" x14ac:dyDescent="0.25"/>
  <cols>
    <col min="1" max="1" width="14" style="2" customWidth="1"/>
    <col min="2" max="2" width="16" style="2" customWidth="1"/>
    <col min="3" max="3" width="45" style="2" customWidth="1"/>
    <col min="4" max="17" width="10" style="2" customWidth="1"/>
    <col min="18" max="18" width="16" style="2" customWidth="1"/>
    <col min="19" max="20" width="12" style="2" customWidth="1"/>
    <col min="21" max="22" width="18" style="2" customWidth="1"/>
    <col min="23" max="23" width="8" style="2" customWidth="1"/>
    <col min="24" max="24" width="8" style="24" customWidth="1"/>
    <col min="25" max="36" width="10" style="2" customWidth="1"/>
    <col min="37" max="37" width="8" style="2" customWidth="1"/>
    <col min="38" max="38" width="16" style="2" customWidth="1"/>
    <col min="39" max="40" width="8" style="2" customWidth="1"/>
    <col min="41" max="41" width="10" style="2" customWidth="1"/>
    <col min="42" max="42" width="30" style="2" customWidth="1"/>
    <col min="43" max="43" width="8" style="2" customWidth="1"/>
    <col min="44" max="44" width="22" style="2" customWidth="1"/>
  </cols>
  <sheetData>
    <row r="1" spans="1:44" ht="15.75" x14ac:dyDescent="0.25">
      <c r="A1" s="27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</row>
    <row r="3" spans="1:44" ht="38.2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94</v>
      </c>
      <c r="U3" s="8" t="s">
        <v>95</v>
      </c>
      <c r="V3" s="8" t="s">
        <v>96</v>
      </c>
      <c r="W3" s="8" t="s">
        <v>22</v>
      </c>
      <c r="X3" s="19" t="s">
        <v>23</v>
      </c>
      <c r="Y3" s="8" t="s">
        <v>26</v>
      </c>
      <c r="Z3" s="8" t="s">
        <v>97</v>
      </c>
      <c r="AA3" s="8" t="s">
        <v>28</v>
      </c>
      <c r="AB3" s="8" t="s">
        <v>30</v>
      </c>
      <c r="AC3" s="8" t="s">
        <v>32</v>
      </c>
      <c r="AD3" s="8" t="s">
        <v>98</v>
      </c>
      <c r="AE3" s="8" t="s">
        <v>99</v>
      </c>
      <c r="AF3" s="8" t="s">
        <v>100</v>
      </c>
      <c r="AG3" s="8" t="s">
        <v>101</v>
      </c>
      <c r="AH3" s="8" t="s">
        <v>102</v>
      </c>
      <c r="AI3" s="8" t="s">
        <v>103</v>
      </c>
      <c r="AJ3" s="8" t="s">
        <v>104</v>
      </c>
      <c r="AK3" s="8" t="s">
        <v>105</v>
      </c>
      <c r="AL3" s="8" t="s">
        <v>106</v>
      </c>
      <c r="AM3" s="8" t="s">
        <v>107</v>
      </c>
      <c r="AN3" s="8" t="s">
        <v>108</v>
      </c>
      <c r="AO3" s="8" t="s">
        <v>109</v>
      </c>
      <c r="AP3" s="8" t="s">
        <v>34</v>
      </c>
      <c r="AQ3" s="8" t="s">
        <v>35</v>
      </c>
      <c r="AR3" s="8" t="s">
        <v>110</v>
      </c>
    </row>
    <row r="4" spans="1:44" x14ac:dyDescent="0.25">
      <c r="A4" s="9" t="s">
        <v>37</v>
      </c>
      <c r="B4" s="9" t="s">
        <v>111</v>
      </c>
      <c r="C4" s="9" t="s">
        <v>112</v>
      </c>
      <c r="D4" s="9" t="s">
        <v>47</v>
      </c>
      <c r="E4" s="9">
        <v>75</v>
      </c>
      <c r="F4" s="9"/>
      <c r="G4" s="9">
        <v>14</v>
      </c>
      <c r="H4" s="9">
        <v>61</v>
      </c>
      <c r="I4" s="9">
        <v>13.42</v>
      </c>
      <c r="J4" s="9">
        <v>0.22</v>
      </c>
      <c r="K4" s="9">
        <v>180</v>
      </c>
      <c r="L4" s="9" t="s">
        <v>113</v>
      </c>
      <c r="M4" s="9"/>
      <c r="N4" s="9">
        <v>14</v>
      </c>
      <c r="O4" s="9">
        <v>0</v>
      </c>
      <c r="P4" s="9"/>
      <c r="Q4" s="9"/>
      <c r="R4" s="9">
        <v>168</v>
      </c>
      <c r="S4" s="9" t="s">
        <v>114</v>
      </c>
      <c r="T4" s="9">
        <v>2.8</v>
      </c>
      <c r="U4" s="9"/>
      <c r="V4" s="9">
        <v>0</v>
      </c>
      <c r="W4" s="9">
        <v>81.785714285714292</v>
      </c>
      <c r="X4" s="20">
        <v>81.785714285714292</v>
      </c>
      <c r="Y4" s="9">
        <v>11.6</v>
      </c>
      <c r="Z4" s="9">
        <v>12.4</v>
      </c>
      <c r="AA4" s="9">
        <v>4</v>
      </c>
      <c r="AB4" s="9">
        <v>4.2</v>
      </c>
      <c r="AC4" s="9">
        <v>7</v>
      </c>
      <c r="AD4" s="9"/>
      <c r="AE4" s="9">
        <v>9.4</v>
      </c>
      <c r="AF4" s="9">
        <v>13.6</v>
      </c>
      <c r="AG4" s="9">
        <v>13.6</v>
      </c>
      <c r="AH4" s="9">
        <v>6</v>
      </c>
      <c r="AI4" s="9">
        <v>5.2</v>
      </c>
      <c r="AJ4" s="9"/>
      <c r="AK4" s="9">
        <v>12</v>
      </c>
      <c r="AL4" s="9">
        <v>0</v>
      </c>
      <c r="AM4" s="9">
        <v>14</v>
      </c>
      <c r="AN4" s="9">
        <v>70</v>
      </c>
      <c r="AO4" s="9">
        <v>0</v>
      </c>
      <c r="AP4" s="9" t="s">
        <v>52</v>
      </c>
      <c r="AQ4" s="9">
        <v>0</v>
      </c>
      <c r="AR4" s="9">
        <v>130.69999999999999</v>
      </c>
    </row>
    <row r="5" spans="1:44" x14ac:dyDescent="0.25">
      <c r="A5" s="9" t="s">
        <v>37</v>
      </c>
      <c r="B5" s="9" t="s">
        <v>111</v>
      </c>
      <c r="C5" s="9" t="s">
        <v>115</v>
      </c>
      <c r="D5" s="9" t="s">
        <v>47</v>
      </c>
      <c r="E5" s="9">
        <v>56</v>
      </c>
      <c r="F5" s="9"/>
      <c r="G5" s="9"/>
      <c r="H5" s="9">
        <v>56</v>
      </c>
      <c r="I5" s="9">
        <v>11.2</v>
      </c>
      <c r="J5" s="9">
        <v>0.2</v>
      </c>
      <c r="K5" s="9"/>
      <c r="L5" s="9" t="s">
        <v>116</v>
      </c>
      <c r="M5" s="9"/>
      <c r="N5" s="9">
        <v>7</v>
      </c>
      <c r="O5" s="9">
        <v>-7</v>
      </c>
      <c r="P5" s="9"/>
      <c r="Q5" s="9"/>
      <c r="R5" s="9"/>
      <c r="S5" s="9" t="s">
        <v>114</v>
      </c>
      <c r="T5" s="9">
        <v>0</v>
      </c>
      <c r="U5" s="9"/>
      <c r="V5" s="9"/>
      <c r="W5" s="9" t="e">
        <v>#DIV/0!</v>
      </c>
      <c r="X5" s="20" t="e">
        <v>#DIV/0!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/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/>
      <c r="AK5" s="9"/>
      <c r="AL5" s="9"/>
      <c r="AM5" s="9"/>
      <c r="AN5" s="9"/>
      <c r="AO5" s="9"/>
      <c r="AP5" s="9" t="s">
        <v>117</v>
      </c>
      <c r="AQ5" s="9"/>
      <c r="AR5" s="9"/>
    </row>
    <row r="6" spans="1:44" x14ac:dyDescent="0.25">
      <c r="A6" s="9" t="s">
        <v>37</v>
      </c>
      <c r="B6" s="9" t="s">
        <v>111</v>
      </c>
      <c r="C6" s="9" t="s">
        <v>118</v>
      </c>
      <c r="D6" s="9" t="s">
        <v>47</v>
      </c>
      <c r="E6" s="9">
        <v>349</v>
      </c>
      <c r="F6" s="9"/>
      <c r="G6" s="9">
        <v>35</v>
      </c>
      <c r="H6" s="9">
        <v>298</v>
      </c>
      <c r="I6" s="9">
        <v>68.540000000000006</v>
      </c>
      <c r="J6" s="9">
        <v>0.23</v>
      </c>
      <c r="K6" s="9">
        <v>180</v>
      </c>
      <c r="L6" s="9" t="s">
        <v>119</v>
      </c>
      <c r="M6" s="9"/>
      <c r="N6" s="9">
        <v>35</v>
      </c>
      <c r="O6" s="9">
        <v>0</v>
      </c>
      <c r="P6" s="9"/>
      <c r="Q6" s="9"/>
      <c r="R6" s="9">
        <v>0</v>
      </c>
      <c r="S6" s="9" t="s">
        <v>114</v>
      </c>
      <c r="T6" s="9">
        <v>7</v>
      </c>
      <c r="U6" s="9"/>
      <c r="V6" s="9">
        <v>0</v>
      </c>
      <c r="W6" s="9">
        <v>42.571428571428569</v>
      </c>
      <c r="X6" s="20">
        <v>42.571428571428569</v>
      </c>
      <c r="Y6" s="9">
        <v>8.6</v>
      </c>
      <c r="Z6" s="9">
        <v>8.8000000000000007</v>
      </c>
      <c r="AA6" s="9">
        <v>6.8</v>
      </c>
      <c r="AB6" s="9">
        <v>5.2</v>
      </c>
      <c r="AC6" s="9">
        <v>13.2</v>
      </c>
      <c r="AD6" s="9"/>
      <c r="AE6" s="9">
        <v>25.4</v>
      </c>
      <c r="AF6" s="9">
        <v>25</v>
      </c>
      <c r="AG6" s="9">
        <v>21.2</v>
      </c>
      <c r="AH6" s="9">
        <v>23.4</v>
      </c>
      <c r="AI6" s="9">
        <v>6.4</v>
      </c>
      <c r="AJ6" s="9"/>
      <c r="AK6" s="9">
        <v>12</v>
      </c>
      <c r="AL6" s="9">
        <v>0</v>
      </c>
      <c r="AM6" s="9">
        <v>14</v>
      </c>
      <c r="AN6" s="9">
        <v>70</v>
      </c>
      <c r="AO6" s="9">
        <v>0</v>
      </c>
      <c r="AP6" s="9" t="s">
        <v>52</v>
      </c>
      <c r="AQ6" s="9">
        <v>0</v>
      </c>
      <c r="AR6" s="9">
        <v>255.4</v>
      </c>
    </row>
    <row r="7" spans="1:44" x14ac:dyDescent="0.25">
      <c r="A7" s="9" t="s">
        <v>37</v>
      </c>
      <c r="B7" s="9" t="s">
        <v>111</v>
      </c>
      <c r="C7" s="9" t="s">
        <v>120</v>
      </c>
      <c r="D7" s="9" t="s">
        <v>47</v>
      </c>
      <c r="E7" s="9">
        <v>214</v>
      </c>
      <c r="F7" s="9">
        <v>27</v>
      </c>
      <c r="G7" s="9">
        <v>59</v>
      </c>
      <c r="H7" s="9">
        <v>120</v>
      </c>
      <c r="I7" s="9">
        <v>84</v>
      </c>
      <c r="J7" s="9">
        <v>0.7</v>
      </c>
      <c r="K7" s="9">
        <v>180</v>
      </c>
      <c r="L7" s="9" t="s">
        <v>121</v>
      </c>
      <c r="M7" s="9"/>
      <c r="N7" s="9">
        <v>62</v>
      </c>
      <c r="O7" s="9">
        <v>-3</v>
      </c>
      <c r="P7" s="9"/>
      <c r="Q7" s="9"/>
      <c r="R7" s="9">
        <v>240</v>
      </c>
      <c r="S7" s="9" t="s">
        <v>114</v>
      </c>
      <c r="T7" s="9">
        <v>11.8</v>
      </c>
      <c r="U7" s="9"/>
      <c r="V7" s="9">
        <v>0</v>
      </c>
      <c r="W7" s="9">
        <v>30.50847457627118</v>
      </c>
      <c r="X7" s="20">
        <v>30.50847457627118</v>
      </c>
      <c r="Y7" s="9">
        <v>29.8</v>
      </c>
      <c r="Z7" s="9">
        <v>10</v>
      </c>
      <c r="AA7" s="9">
        <v>13.4</v>
      </c>
      <c r="AB7" s="9">
        <v>29.8</v>
      </c>
      <c r="AC7" s="9">
        <v>37.6</v>
      </c>
      <c r="AD7" s="9"/>
      <c r="AE7" s="9">
        <v>20.6</v>
      </c>
      <c r="AF7" s="9">
        <v>24.6</v>
      </c>
      <c r="AG7" s="9">
        <v>17</v>
      </c>
      <c r="AH7" s="9">
        <v>23</v>
      </c>
      <c r="AI7" s="9">
        <v>33</v>
      </c>
      <c r="AJ7" s="9"/>
      <c r="AK7" s="9">
        <v>10</v>
      </c>
      <c r="AL7" s="9">
        <v>0</v>
      </c>
      <c r="AM7" s="9">
        <v>12</v>
      </c>
      <c r="AN7" s="9">
        <v>84</v>
      </c>
      <c r="AO7" s="9">
        <v>0</v>
      </c>
      <c r="AP7" s="9" t="s">
        <v>62</v>
      </c>
      <c r="AQ7" s="9">
        <v>0</v>
      </c>
      <c r="AR7" s="9">
        <v>61</v>
      </c>
    </row>
    <row r="8" spans="1:44" x14ac:dyDescent="0.25">
      <c r="A8" s="9" t="s">
        <v>37</v>
      </c>
      <c r="B8" s="9" t="s">
        <v>111</v>
      </c>
      <c r="C8" s="9" t="s">
        <v>122</v>
      </c>
      <c r="D8" s="9" t="s">
        <v>40</v>
      </c>
      <c r="E8" s="9">
        <v>55.5</v>
      </c>
      <c r="F8" s="9"/>
      <c r="G8" s="9">
        <v>3.7</v>
      </c>
      <c r="H8" s="9">
        <v>55.5</v>
      </c>
      <c r="I8" s="9">
        <v>55.5</v>
      </c>
      <c r="J8" s="9">
        <v>1</v>
      </c>
      <c r="K8" s="9">
        <v>180</v>
      </c>
      <c r="L8" s="9" t="s">
        <v>123</v>
      </c>
      <c r="M8" s="9"/>
      <c r="N8" s="9"/>
      <c r="O8" s="9">
        <v>3.7</v>
      </c>
      <c r="P8" s="9"/>
      <c r="Q8" s="9"/>
      <c r="R8" s="9">
        <v>0</v>
      </c>
      <c r="S8" s="9" t="s">
        <v>114</v>
      </c>
      <c r="T8" s="9">
        <v>0.74</v>
      </c>
      <c r="U8" s="9"/>
      <c r="V8" s="9">
        <v>0</v>
      </c>
      <c r="W8" s="9">
        <v>75</v>
      </c>
      <c r="X8" s="20">
        <v>75</v>
      </c>
      <c r="Y8" s="9">
        <v>0</v>
      </c>
      <c r="Z8" s="9">
        <v>0</v>
      </c>
      <c r="AA8" s="9">
        <v>0</v>
      </c>
      <c r="AB8" s="9">
        <v>0.74</v>
      </c>
      <c r="AC8" s="9">
        <v>0.74</v>
      </c>
      <c r="AD8" s="9"/>
      <c r="AE8" s="9">
        <v>2.08</v>
      </c>
      <c r="AF8" s="9">
        <v>3.56</v>
      </c>
      <c r="AG8" s="9">
        <v>3.56</v>
      </c>
      <c r="AH8" s="9">
        <v>3.56</v>
      </c>
      <c r="AI8" s="9">
        <v>5.18</v>
      </c>
      <c r="AJ8" s="9"/>
      <c r="AK8" s="9">
        <v>3.7</v>
      </c>
      <c r="AL8" s="9">
        <v>0</v>
      </c>
      <c r="AM8" s="9">
        <v>14</v>
      </c>
      <c r="AN8" s="9">
        <v>126</v>
      </c>
      <c r="AO8" s="9">
        <v>0</v>
      </c>
      <c r="AP8" s="9" t="s">
        <v>52</v>
      </c>
      <c r="AQ8" s="9">
        <v>0</v>
      </c>
      <c r="AR8" s="9">
        <v>450</v>
      </c>
    </row>
    <row r="9" spans="1:44" x14ac:dyDescent="0.25">
      <c r="A9" s="9" t="s">
        <v>37</v>
      </c>
      <c r="B9" s="9" t="s">
        <v>111</v>
      </c>
      <c r="C9" s="9" t="s">
        <v>124</v>
      </c>
      <c r="D9" s="9" t="s">
        <v>47</v>
      </c>
      <c r="E9" s="9">
        <v>89</v>
      </c>
      <c r="F9" s="9">
        <v>4</v>
      </c>
      <c r="G9" s="9"/>
      <c r="H9" s="9">
        <v>93</v>
      </c>
      <c r="I9" s="9">
        <v>16.739999999999998</v>
      </c>
      <c r="J9" s="9">
        <v>0.18</v>
      </c>
      <c r="K9" s="9">
        <v>180</v>
      </c>
      <c r="L9" s="9" t="s">
        <v>125</v>
      </c>
      <c r="M9" s="9"/>
      <c r="N9" s="9"/>
      <c r="O9" s="9">
        <v>0</v>
      </c>
      <c r="P9" s="9"/>
      <c r="Q9" s="9"/>
      <c r="R9" s="9">
        <v>0</v>
      </c>
      <c r="S9" s="9" t="s">
        <v>114</v>
      </c>
      <c r="T9" s="9">
        <v>0</v>
      </c>
      <c r="U9" s="9"/>
      <c r="V9" s="9">
        <v>0</v>
      </c>
      <c r="W9" s="9" t="e">
        <v>#DIV/0!</v>
      </c>
      <c r="X9" s="20" t="e">
        <v>#DIV/0!</v>
      </c>
      <c r="Y9" s="9">
        <v>1.2</v>
      </c>
      <c r="Z9" s="9">
        <v>0</v>
      </c>
      <c r="AA9" s="9">
        <v>0</v>
      </c>
      <c r="AB9" s="9">
        <v>1.2</v>
      </c>
      <c r="AC9" s="9">
        <v>2.4</v>
      </c>
      <c r="AD9" s="9"/>
      <c r="AE9" s="9">
        <v>2.8</v>
      </c>
      <c r="AF9" s="9">
        <v>2</v>
      </c>
      <c r="AG9" s="9">
        <v>2.8</v>
      </c>
      <c r="AH9" s="9">
        <v>4</v>
      </c>
      <c r="AI9" s="9">
        <v>4.2</v>
      </c>
      <c r="AJ9" s="9"/>
      <c r="AK9" s="9">
        <v>6</v>
      </c>
      <c r="AL9" s="9">
        <v>0</v>
      </c>
      <c r="AM9" s="9">
        <v>14</v>
      </c>
      <c r="AN9" s="9">
        <v>140</v>
      </c>
      <c r="AO9" s="9">
        <v>0</v>
      </c>
      <c r="AP9" s="9" t="s">
        <v>52</v>
      </c>
      <c r="AQ9" s="9">
        <v>0</v>
      </c>
      <c r="AR9" s="9"/>
    </row>
    <row r="10" spans="1:44" x14ac:dyDescent="0.25">
      <c r="A10" s="9" t="s">
        <v>37</v>
      </c>
      <c r="B10" s="9" t="s">
        <v>111</v>
      </c>
      <c r="C10" s="9" t="s">
        <v>126</v>
      </c>
      <c r="D10" s="9" t="s">
        <v>47</v>
      </c>
      <c r="E10" s="9">
        <v>45</v>
      </c>
      <c r="F10" s="9"/>
      <c r="G10" s="9"/>
      <c r="H10" s="9">
        <v>45</v>
      </c>
      <c r="I10" s="9">
        <v>8.1</v>
      </c>
      <c r="J10" s="9">
        <v>0.18</v>
      </c>
      <c r="K10" s="9">
        <v>180</v>
      </c>
      <c r="L10" s="9" t="s">
        <v>127</v>
      </c>
      <c r="M10" s="9"/>
      <c r="N10" s="9"/>
      <c r="O10" s="9">
        <v>0</v>
      </c>
      <c r="P10" s="9"/>
      <c r="Q10" s="9"/>
      <c r="R10" s="9">
        <v>0</v>
      </c>
      <c r="S10" s="9" t="s">
        <v>114</v>
      </c>
      <c r="T10" s="9">
        <v>0</v>
      </c>
      <c r="U10" s="9"/>
      <c r="V10" s="9">
        <v>0</v>
      </c>
      <c r="W10" s="9" t="e">
        <v>#DIV/0!</v>
      </c>
      <c r="X10" s="20" t="e">
        <v>#DIV/0!</v>
      </c>
      <c r="Y10" s="9">
        <v>0.8</v>
      </c>
      <c r="Z10" s="9">
        <v>0</v>
      </c>
      <c r="AA10" s="9">
        <v>0.2</v>
      </c>
      <c r="AB10" s="9">
        <v>0.6</v>
      </c>
      <c r="AC10" s="9">
        <v>3.2</v>
      </c>
      <c r="AD10" s="9"/>
      <c r="AE10" s="9">
        <v>3.4</v>
      </c>
      <c r="AF10" s="9">
        <v>2.6</v>
      </c>
      <c r="AG10" s="9">
        <v>1.6</v>
      </c>
      <c r="AH10" s="9">
        <v>4.4000000000000004</v>
      </c>
      <c r="AI10" s="9">
        <v>2.8</v>
      </c>
      <c r="AJ10" s="9"/>
      <c r="AK10" s="9">
        <v>6</v>
      </c>
      <c r="AL10" s="9">
        <v>0</v>
      </c>
      <c r="AM10" s="9">
        <v>14</v>
      </c>
      <c r="AN10" s="9">
        <v>140</v>
      </c>
      <c r="AO10" s="9">
        <v>0</v>
      </c>
      <c r="AP10" s="9" t="s">
        <v>52</v>
      </c>
      <c r="AQ10" s="9">
        <v>0</v>
      </c>
      <c r="AR10" s="9"/>
    </row>
    <row r="11" spans="1:44" x14ac:dyDescent="0.25">
      <c r="A11" s="9" t="s">
        <v>37</v>
      </c>
      <c r="B11" s="9" t="s">
        <v>111</v>
      </c>
      <c r="C11" s="9" t="s">
        <v>128</v>
      </c>
      <c r="D11" s="9" t="s">
        <v>47</v>
      </c>
      <c r="E11" s="9">
        <v>57</v>
      </c>
      <c r="F11" s="9"/>
      <c r="G11" s="9"/>
      <c r="H11" s="9">
        <v>57</v>
      </c>
      <c r="I11" s="9">
        <v>10.26</v>
      </c>
      <c r="J11" s="9">
        <v>0.18</v>
      </c>
      <c r="K11" s="9">
        <v>180</v>
      </c>
      <c r="L11" s="9" t="s">
        <v>129</v>
      </c>
      <c r="M11" s="9"/>
      <c r="N11" s="9"/>
      <c r="O11" s="9">
        <v>0</v>
      </c>
      <c r="P11" s="9"/>
      <c r="Q11" s="9"/>
      <c r="R11" s="9">
        <v>0</v>
      </c>
      <c r="S11" s="9" t="s">
        <v>114</v>
      </c>
      <c r="T11" s="9">
        <v>0</v>
      </c>
      <c r="U11" s="9"/>
      <c r="V11" s="9">
        <v>0</v>
      </c>
      <c r="W11" s="9" t="e">
        <v>#DIV/0!</v>
      </c>
      <c r="X11" s="20" t="e">
        <v>#DIV/0!</v>
      </c>
      <c r="Y11" s="9">
        <v>0.2</v>
      </c>
      <c r="Z11" s="9">
        <v>0</v>
      </c>
      <c r="AA11" s="9">
        <v>0</v>
      </c>
      <c r="AB11" s="9">
        <v>0</v>
      </c>
      <c r="AC11" s="9">
        <v>0</v>
      </c>
      <c r="AD11" s="9"/>
      <c r="AE11" s="9">
        <v>1.4</v>
      </c>
      <c r="AF11" s="9">
        <v>1.2</v>
      </c>
      <c r="AG11" s="9">
        <v>1.6</v>
      </c>
      <c r="AH11" s="9">
        <v>1.2</v>
      </c>
      <c r="AI11" s="9">
        <v>0.2</v>
      </c>
      <c r="AJ11" s="9"/>
      <c r="AK11" s="9">
        <v>6</v>
      </c>
      <c r="AL11" s="9">
        <v>0</v>
      </c>
      <c r="AM11" s="9">
        <v>14</v>
      </c>
      <c r="AN11" s="9">
        <v>140</v>
      </c>
      <c r="AO11" s="9">
        <v>0</v>
      </c>
      <c r="AP11" s="9" t="s">
        <v>52</v>
      </c>
      <c r="AQ11" s="9">
        <v>0</v>
      </c>
      <c r="AR11" s="9"/>
    </row>
    <row r="12" spans="1:44" x14ac:dyDescent="0.25">
      <c r="A12" s="10" t="s">
        <v>53</v>
      </c>
      <c r="B12" s="10" t="s">
        <v>111</v>
      </c>
      <c r="C12" s="10" t="s">
        <v>130</v>
      </c>
      <c r="D12" s="10" t="s">
        <v>47</v>
      </c>
      <c r="E12" s="10">
        <v>351</v>
      </c>
      <c r="F12" s="10">
        <v>1033</v>
      </c>
      <c r="G12" s="10">
        <v>177</v>
      </c>
      <c r="H12" s="10">
        <v>1158</v>
      </c>
      <c r="I12" s="10">
        <v>347.4</v>
      </c>
      <c r="J12" s="10">
        <v>0.3</v>
      </c>
      <c r="K12" s="10">
        <v>180</v>
      </c>
      <c r="L12" s="10" t="s">
        <v>131</v>
      </c>
      <c r="M12" s="10"/>
      <c r="N12" s="10">
        <v>281</v>
      </c>
      <c r="O12" s="10">
        <v>-104</v>
      </c>
      <c r="P12" s="10"/>
      <c r="Q12" s="10"/>
      <c r="R12" s="10"/>
      <c r="S12" s="10" t="s">
        <v>132</v>
      </c>
      <c r="T12" s="10">
        <v>35.4</v>
      </c>
      <c r="U12" s="10"/>
      <c r="V12" s="10">
        <v>0</v>
      </c>
      <c r="W12" s="10">
        <v>32.711864406779661</v>
      </c>
      <c r="X12" s="21">
        <v>32.711864406779661</v>
      </c>
      <c r="Y12" s="10">
        <v>93.8</v>
      </c>
      <c r="Z12" s="10">
        <v>69.8</v>
      </c>
      <c r="AA12" s="10">
        <v>62.2</v>
      </c>
      <c r="AB12" s="10">
        <v>58.8</v>
      </c>
      <c r="AC12" s="10">
        <v>61.8</v>
      </c>
      <c r="AD12" s="10">
        <v>29.2</v>
      </c>
      <c r="AE12" s="10"/>
      <c r="AF12" s="10">
        <v>82.4</v>
      </c>
      <c r="AG12" s="10"/>
      <c r="AH12" s="10">
        <v>66.400000000000006</v>
      </c>
      <c r="AI12" s="10">
        <v>58.6</v>
      </c>
      <c r="AJ12" s="10">
        <v>76.599999999999994</v>
      </c>
      <c r="AK12" s="10">
        <v>12</v>
      </c>
      <c r="AL12" s="10"/>
      <c r="AM12" s="10">
        <v>14</v>
      </c>
      <c r="AN12" s="10">
        <v>70</v>
      </c>
      <c r="AO12" s="10"/>
      <c r="AP12" s="10" t="s">
        <v>62</v>
      </c>
      <c r="AQ12" s="10">
        <v>0</v>
      </c>
      <c r="AR12" s="10">
        <v>196.3</v>
      </c>
    </row>
    <row r="13" spans="1:44" x14ac:dyDescent="0.25">
      <c r="A13" s="10" t="s">
        <v>53</v>
      </c>
      <c r="B13" s="10" t="s">
        <v>111</v>
      </c>
      <c r="C13" s="10" t="s">
        <v>128</v>
      </c>
      <c r="D13" s="10" t="s">
        <v>47</v>
      </c>
      <c r="E13" s="10">
        <v>84</v>
      </c>
      <c r="F13" s="10"/>
      <c r="G13" s="10">
        <v>5</v>
      </c>
      <c r="H13" s="10">
        <v>79</v>
      </c>
      <c r="I13" s="10">
        <v>14.22</v>
      </c>
      <c r="J13" s="10">
        <v>0.18</v>
      </c>
      <c r="K13" s="10">
        <v>180</v>
      </c>
      <c r="L13" s="10" t="s">
        <v>129</v>
      </c>
      <c r="M13" s="10"/>
      <c r="N13" s="10">
        <v>5</v>
      </c>
      <c r="O13" s="10">
        <v>0</v>
      </c>
      <c r="P13" s="10"/>
      <c r="Q13" s="10"/>
      <c r="R13" s="10"/>
      <c r="S13" s="10" t="s">
        <v>132</v>
      </c>
      <c r="T13" s="10">
        <v>1</v>
      </c>
      <c r="U13" s="10"/>
      <c r="V13" s="10">
        <v>0</v>
      </c>
      <c r="W13" s="10">
        <v>79</v>
      </c>
      <c r="X13" s="21">
        <v>79</v>
      </c>
      <c r="Y13" s="10">
        <v>0.6</v>
      </c>
      <c r="Z13" s="10">
        <v>0.6</v>
      </c>
      <c r="AA13" s="10">
        <v>0.4</v>
      </c>
      <c r="AB13" s="10">
        <v>0.6</v>
      </c>
      <c r="AC13" s="10">
        <v>3</v>
      </c>
      <c r="AD13" s="10">
        <v>0.4</v>
      </c>
      <c r="AE13" s="10"/>
      <c r="AF13" s="10">
        <v>2.4</v>
      </c>
      <c r="AG13" s="10"/>
      <c r="AH13" s="10">
        <v>2.2000000000000002</v>
      </c>
      <c r="AI13" s="10">
        <v>2</v>
      </c>
      <c r="AJ13" s="10">
        <v>2.2000000000000002</v>
      </c>
      <c r="AK13" s="10">
        <v>6</v>
      </c>
      <c r="AL13" s="10"/>
      <c r="AM13" s="10">
        <v>14</v>
      </c>
      <c r="AN13" s="10">
        <v>140</v>
      </c>
      <c r="AO13" s="10"/>
      <c r="AP13" s="10" t="s">
        <v>52</v>
      </c>
      <c r="AQ13" s="10">
        <v>0</v>
      </c>
      <c r="AR13" s="10">
        <v>474</v>
      </c>
    </row>
    <row r="14" spans="1:44" x14ac:dyDescent="0.25">
      <c r="A14" s="11" t="s">
        <v>77</v>
      </c>
      <c r="B14" s="11" t="s">
        <v>111</v>
      </c>
      <c r="C14" s="11" t="s">
        <v>126</v>
      </c>
      <c r="D14" s="11" t="s">
        <v>47</v>
      </c>
      <c r="E14" s="11">
        <v>47</v>
      </c>
      <c r="F14" s="11">
        <v>168</v>
      </c>
      <c r="G14" s="11">
        <v>15</v>
      </c>
      <c r="H14" s="11">
        <v>199</v>
      </c>
      <c r="I14" s="11">
        <v>35.82</v>
      </c>
      <c r="J14" s="11">
        <v>0.18</v>
      </c>
      <c r="K14" s="11">
        <v>180</v>
      </c>
      <c r="L14" s="11" t="s">
        <v>127</v>
      </c>
      <c r="M14" s="11"/>
      <c r="N14" s="11">
        <v>15</v>
      </c>
      <c r="O14" s="11">
        <v>0</v>
      </c>
      <c r="P14" s="11"/>
      <c r="Q14" s="11"/>
      <c r="R14" s="11"/>
      <c r="S14" s="11" t="s">
        <v>132</v>
      </c>
      <c r="T14" s="11">
        <v>3</v>
      </c>
      <c r="U14" s="11"/>
      <c r="V14" s="11">
        <v>0</v>
      </c>
      <c r="W14" s="11">
        <v>66.333333333333329</v>
      </c>
      <c r="X14" s="22">
        <v>66.333333333333329</v>
      </c>
      <c r="Y14" s="11">
        <v>10.199999999999999</v>
      </c>
      <c r="Z14" s="11">
        <v>12.2</v>
      </c>
      <c r="AA14" s="11">
        <v>3.4</v>
      </c>
      <c r="AB14" s="11">
        <v>3</v>
      </c>
      <c r="AC14" s="11">
        <v>5.8</v>
      </c>
      <c r="AD14" s="11">
        <v>2.2000000000000002</v>
      </c>
      <c r="AE14" s="11"/>
      <c r="AF14" s="11">
        <v>18.399999999999999</v>
      </c>
      <c r="AG14" s="11"/>
      <c r="AH14" s="11">
        <v>3.4</v>
      </c>
      <c r="AI14" s="11">
        <v>5.6</v>
      </c>
      <c r="AJ14" s="11">
        <v>9.6</v>
      </c>
      <c r="AK14" s="11">
        <v>6</v>
      </c>
      <c r="AL14" s="11">
        <v>0</v>
      </c>
      <c r="AM14" s="11">
        <v>14</v>
      </c>
      <c r="AN14" s="11">
        <v>140</v>
      </c>
      <c r="AO14" s="11">
        <v>0</v>
      </c>
      <c r="AP14" s="11" t="s">
        <v>52</v>
      </c>
      <c r="AQ14" s="11">
        <v>0</v>
      </c>
      <c r="AR14" s="11">
        <v>398</v>
      </c>
    </row>
    <row r="15" spans="1:44" x14ac:dyDescent="0.25">
      <c r="A15" s="11" t="s">
        <v>77</v>
      </c>
      <c r="B15" s="11" t="s">
        <v>111</v>
      </c>
      <c r="C15" s="11" t="s">
        <v>128</v>
      </c>
      <c r="D15" s="11" t="s">
        <v>47</v>
      </c>
      <c r="E15" s="11">
        <v>93</v>
      </c>
      <c r="F15" s="11">
        <v>84</v>
      </c>
      <c r="G15" s="11">
        <v>9</v>
      </c>
      <c r="H15" s="11">
        <v>166</v>
      </c>
      <c r="I15" s="11">
        <v>29.88</v>
      </c>
      <c r="J15" s="11">
        <v>0.18</v>
      </c>
      <c r="K15" s="11">
        <v>180</v>
      </c>
      <c r="L15" s="11" t="s">
        <v>129</v>
      </c>
      <c r="M15" s="11"/>
      <c r="N15" s="11">
        <v>9</v>
      </c>
      <c r="O15" s="11">
        <v>0</v>
      </c>
      <c r="P15" s="11"/>
      <c r="Q15" s="11"/>
      <c r="R15" s="11"/>
      <c r="S15" s="11" t="s">
        <v>132</v>
      </c>
      <c r="T15" s="11">
        <v>1.8</v>
      </c>
      <c r="U15" s="11"/>
      <c r="V15" s="11">
        <v>0</v>
      </c>
      <c r="W15" s="11">
        <v>92.222222222222214</v>
      </c>
      <c r="X15" s="22">
        <v>92.222222222222214</v>
      </c>
      <c r="Y15" s="11">
        <v>9</v>
      </c>
      <c r="Z15" s="11">
        <v>8.4</v>
      </c>
      <c r="AA15" s="11">
        <v>1.4</v>
      </c>
      <c r="AB15" s="11">
        <v>6.8</v>
      </c>
      <c r="AC15" s="11">
        <v>3.6</v>
      </c>
      <c r="AD15" s="11">
        <v>3</v>
      </c>
      <c r="AE15" s="11"/>
      <c r="AF15" s="11">
        <v>5.8</v>
      </c>
      <c r="AG15" s="11"/>
      <c r="AH15" s="11">
        <v>2</v>
      </c>
      <c r="AI15" s="11">
        <v>0</v>
      </c>
      <c r="AJ15" s="11">
        <v>0</v>
      </c>
      <c r="AK15" s="11">
        <v>6</v>
      </c>
      <c r="AL15" s="11">
        <v>0</v>
      </c>
      <c r="AM15" s="11">
        <v>14</v>
      </c>
      <c r="AN15" s="11">
        <v>140</v>
      </c>
      <c r="AO15" s="11">
        <v>0</v>
      </c>
      <c r="AP15" s="11" t="s">
        <v>52</v>
      </c>
      <c r="AQ15" s="11">
        <v>0</v>
      </c>
      <c r="AR15" s="11">
        <v>553.29999999999995</v>
      </c>
    </row>
    <row r="16" spans="1:44" x14ac:dyDescent="0.25">
      <c r="A16" s="12" t="s">
        <v>85</v>
      </c>
      <c r="B16" s="12" t="s">
        <v>111</v>
      </c>
      <c r="C16" s="12" t="s">
        <v>133</v>
      </c>
      <c r="D16" s="12" t="s">
        <v>47</v>
      </c>
      <c r="E16" s="12">
        <v>2171</v>
      </c>
      <c r="F16" s="12">
        <v>12</v>
      </c>
      <c r="G16" s="12">
        <v>57</v>
      </c>
      <c r="H16" s="12">
        <v>2045</v>
      </c>
      <c r="I16" s="12">
        <v>409</v>
      </c>
      <c r="J16" s="12">
        <v>0.2</v>
      </c>
      <c r="K16" s="12">
        <v>180</v>
      </c>
      <c r="L16" s="12" t="s">
        <v>134</v>
      </c>
      <c r="M16" s="12"/>
      <c r="N16" s="12">
        <v>71</v>
      </c>
      <c r="O16" s="12">
        <v>-14</v>
      </c>
      <c r="P16" s="12"/>
      <c r="Q16" s="12"/>
      <c r="R16" s="12">
        <v>0</v>
      </c>
      <c r="S16" s="12" t="s">
        <v>114</v>
      </c>
      <c r="T16" s="12">
        <v>11.4</v>
      </c>
      <c r="U16" s="12"/>
      <c r="V16" s="12">
        <v>0</v>
      </c>
      <c r="W16" s="12">
        <v>179.38596491228071</v>
      </c>
      <c r="X16" s="23">
        <v>179.38596491228071</v>
      </c>
      <c r="Y16" s="12">
        <v>32.200000000000003</v>
      </c>
      <c r="Z16" s="12">
        <v>7</v>
      </c>
      <c r="AA16" s="12">
        <v>18</v>
      </c>
      <c r="AB16" s="12">
        <v>31.800000000000011</v>
      </c>
      <c r="AC16" s="12">
        <v>32</v>
      </c>
      <c r="AD16" s="12"/>
      <c r="AE16" s="12">
        <v>22.4</v>
      </c>
      <c r="AF16" s="12">
        <v>24.8</v>
      </c>
      <c r="AG16" s="12">
        <v>25.2</v>
      </c>
      <c r="AH16" s="12">
        <v>34.799999999999997</v>
      </c>
      <c r="AI16" s="12">
        <v>48</v>
      </c>
      <c r="AJ16" s="12"/>
      <c r="AK16" s="12">
        <v>12</v>
      </c>
      <c r="AL16" s="12">
        <v>0</v>
      </c>
      <c r="AM16" s="12">
        <v>14</v>
      </c>
      <c r="AN16" s="12">
        <v>70</v>
      </c>
      <c r="AO16" s="12">
        <v>0</v>
      </c>
      <c r="AP16" s="12" t="s">
        <v>52</v>
      </c>
      <c r="AQ16" s="12">
        <v>0</v>
      </c>
      <c r="AR16" s="12">
        <v>1076.3</v>
      </c>
    </row>
    <row r="17" spans="1:44" x14ac:dyDescent="0.25">
      <c r="A17" s="12" t="s">
        <v>85</v>
      </c>
      <c r="B17" s="12" t="s">
        <v>111</v>
      </c>
      <c r="C17" s="12" t="s">
        <v>135</v>
      </c>
      <c r="D17" s="12" t="s">
        <v>47</v>
      </c>
      <c r="E17" s="12">
        <v>649</v>
      </c>
      <c r="F17" s="12"/>
      <c r="G17" s="12">
        <v>86</v>
      </c>
      <c r="H17" s="12">
        <v>546</v>
      </c>
      <c r="I17" s="12">
        <v>136.5</v>
      </c>
      <c r="J17" s="12">
        <v>0.25</v>
      </c>
      <c r="K17" s="12">
        <v>365</v>
      </c>
      <c r="L17" s="12" t="s">
        <v>136</v>
      </c>
      <c r="M17" s="12"/>
      <c r="N17" s="12">
        <v>82</v>
      </c>
      <c r="O17" s="12">
        <v>4</v>
      </c>
      <c r="P17" s="12"/>
      <c r="Q17" s="12"/>
      <c r="R17" s="12">
        <v>0</v>
      </c>
      <c r="S17" s="12" t="s">
        <v>114</v>
      </c>
      <c r="T17" s="12">
        <v>17.2</v>
      </c>
      <c r="U17" s="12"/>
      <c r="V17" s="12">
        <v>0</v>
      </c>
      <c r="W17" s="12">
        <v>31.744186046511629</v>
      </c>
      <c r="X17" s="23">
        <v>31.744186046511629</v>
      </c>
      <c r="Y17" s="12">
        <v>7.8</v>
      </c>
      <c r="Z17" s="12">
        <v>9.8000000000000007</v>
      </c>
      <c r="AA17" s="12">
        <v>8.8000000000000007</v>
      </c>
      <c r="AB17" s="12">
        <v>5</v>
      </c>
      <c r="AC17" s="12">
        <v>18.600000000000001</v>
      </c>
      <c r="AD17" s="12"/>
      <c r="AE17" s="12">
        <v>2.2000000000000002</v>
      </c>
      <c r="AF17" s="12">
        <v>0.4</v>
      </c>
      <c r="AG17" s="12">
        <v>0</v>
      </c>
      <c r="AH17" s="12">
        <v>2.2000000000000002</v>
      </c>
      <c r="AI17" s="12">
        <v>25.4</v>
      </c>
      <c r="AJ17" s="12"/>
      <c r="AK17" s="12">
        <v>6</v>
      </c>
      <c r="AL17" s="12">
        <v>0</v>
      </c>
      <c r="AM17" s="12">
        <v>14</v>
      </c>
      <c r="AN17" s="12">
        <v>140</v>
      </c>
      <c r="AO17" s="12">
        <v>0</v>
      </c>
      <c r="AP17" s="12" t="s">
        <v>52</v>
      </c>
      <c r="AQ17" s="12">
        <v>0</v>
      </c>
      <c r="AR17" s="12">
        <v>190.5</v>
      </c>
    </row>
    <row r="18" spans="1:44" x14ac:dyDescent="0.25">
      <c r="A18" s="12" t="s">
        <v>85</v>
      </c>
      <c r="B18" s="12" t="s">
        <v>111</v>
      </c>
      <c r="C18" s="12" t="s">
        <v>137</v>
      </c>
      <c r="D18" s="12" t="s">
        <v>47</v>
      </c>
      <c r="E18" s="12">
        <v>273</v>
      </c>
      <c r="F18" s="12">
        <v>1</v>
      </c>
      <c r="G18" s="12">
        <v>44</v>
      </c>
      <c r="H18" s="12">
        <v>151</v>
      </c>
      <c r="I18" s="12">
        <v>105.7</v>
      </c>
      <c r="J18" s="12">
        <v>0.7</v>
      </c>
      <c r="K18" s="12">
        <v>180</v>
      </c>
      <c r="L18" s="12" t="s">
        <v>138</v>
      </c>
      <c r="M18" s="12"/>
      <c r="N18" s="12">
        <v>62</v>
      </c>
      <c r="O18" s="12">
        <v>-18</v>
      </c>
      <c r="P18" s="12"/>
      <c r="Q18" s="12"/>
      <c r="R18" s="12">
        <v>120</v>
      </c>
      <c r="S18" s="12" t="s">
        <v>114</v>
      </c>
      <c r="T18" s="12">
        <v>8.8000000000000007</v>
      </c>
      <c r="U18" s="12"/>
      <c r="V18" s="12">
        <v>0</v>
      </c>
      <c r="W18" s="12">
        <v>30.79545454545454</v>
      </c>
      <c r="X18" s="23">
        <v>30.79545454545454</v>
      </c>
      <c r="Y18" s="12">
        <v>28.4</v>
      </c>
      <c r="Z18" s="12">
        <v>3.6</v>
      </c>
      <c r="AA18" s="12">
        <v>9</v>
      </c>
      <c r="AB18" s="12">
        <v>25.2</v>
      </c>
      <c r="AC18" s="12">
        <v>39.200000000000003</v>
      </c>
      <c r="AD18" s="12"/>
      <c r="AE18" s="12">
        <v>32.6</v>
      </c>
      <c r="AF18" s="12">
        <v>28.4</v>
      </c>
      <c r="AG18" s="12">
        <v>32.799999999999997</v>
      </c>
      <c r="AH18" s="12">
        <v>27</v>
      </c>
      <c r="AI18" s="12">
        <v>52.6</v>
      </c>
      <c r="AJ18" s="12"/>
      <c r="AK18" s="12">
        <v>10</v>
      </c>
      <c r="AL18" s="12">
        <v>0</v>
      </c>
      <c r="AM18" s="12">
        <v>12</v>
      </c>
      <c r="AN18" s="12">
        <v>84</v>
      </c>
      <c r="AO18" s="12">
        <v>0</v>
      </c>
      <c r="AP18" s="12" t="s">
        <v>62</v>
      </c>
      <c r="AQ18" s="12">
        <v>0</v>
      </c>
      <c r="AR18" s="12">
        <v>103</v>
      </c>
    </row>
    <row r="19" spans="1:44" x14ac:dyDescent="0.25">
      <c r="A19" s="12" t="s">
        <v>85</v>
      </c>
      <c r="B19" s="12" t="s">
        <v>111</v>
      </c>
      <c r="C19" s="12" t="s">
        <v>120</v>
      </c>
      <c r="D19" s="12" t="s">
        <v>47</v>
      </c>
      <c r="E19" s="12">
        <v>103</v>
      </c>
      <c r="F19" s="12"/>
      <c r="G19" s="12">
        <v>-4</v>
      </c>
      <c r="H19" s="12">
        <v>47</v>
      </c>
      <c r="I19" s="12">
        <v>32.9</v>
      </c>
      <c r="J19" s="12">
        <v>0.7</v>
      </c>
      <c r="K19" s="12">
        <v>180</v>
      </c>
      <c r="L19" s="12" t="s">
        <v>121</v>
      </c>
      <c r="M19" s="12"/>
      <c r="N19" s="12">
        <v>16</v>
      </c>
      <c r="O19" s="12">
        <v>-20</v>
      </c>
      <c r="P19" s="12"/>
      <c r="Q19" s="12"/>
      <c r="R19" s="12">
        <v>240</v>
      </c>
      <c r="S19" s="12" t="s">
        <v>114</v>
      </c>
      <c r="T19" s="12">
        <v>-0.8</v>
      </c>
      <c r="U19" s="12"/>
      <c r="V19" s="12">
        <v>0</v>
      </c>
      <c r="W19" s="12">
        <v>-358.75</v>
      </c>
      <c r="X19" s="23">
        <v>-358.75</v>
      </c>
      <c r="Y19" s="12">
        <v>24.6</v>
      </c>
      <c r="Z19" s="12">
        <v>3.4</v>
      </c>
      <c r="AA19" s="12">
        <v>10.8</v>
      </c>
      <c r="AB19" s="12">
        <v>18.2</v>
      </c>
      <c r="AC19" s="12">
        <v>24.6</v>
      </c>
      <c r="AD19" s="12"/>
      <c r="AE19" s="12">
        <v>21.2</v>
      </c>
      <c r="AF19" s="12">
        <v>14.6</v>
      </c>
      <c r="AG19" s="12">
        <v>28.4</v>
      </c>
      <c r="AH19" s="12">
        <v>26.6</v>
      </c>
      <c r="AI19" s="12">
        <v>39.799999999999997</v>
      </c>
      <c r="AJ19" s="12"/>
      <c r="AK19" s="12">
        <v>10</v>
      </c>
      <c r="AL19" s="12">
        <v>0</v>
      </c>
      <c r="AM19" s="12">
        <v>12</v>
      </c>
      <c r="AN19" s="12">
        <v>84</v>
      </c>
      <c r="AO19" s="12">
        <v>0</v>
      </c>
      <c r="AP19" s="12" t="s">
        <v>52</v>
      </c>
      <c r="AQ19" s="12">
        <v>0</v>
      </c>
      <c r="AR19" s="12">
        <v>-352.5</v>
      </c>
    </row>
    <row r="20" spans="1:44" x14ac:dyDescent="0.25">
      <c r="A20" s="12" t="s">
        <v>85</v>
      </c>
      <c r="B20" s="12" t="s">
        <v>111</v>
      </c>
      <c r="C20" s="12" t="s">
        <v>139</v>
      </c>
      <c r="D20" s="12" t="s">
        <v>47</v>
      </c>
      <c r="E20" s="12">
        <v>199</v>
      </c>
      <c r="F20" s="12">
        <v>1</v>
      </c>
      <c r="G20" s="12">
        <v>12</v>
      </c>
      <c r="H20" s="12">
        <v>69</v>
      </c>
      <c r="I20" s="12">
        <v>27.6</v>
      </c>
      <c r="J20" s="12">
        <v>0.4</v>
      </c>
      <c r="K20" s="12">
        <v>180</v>
      </c>
      <c r="L20" s="12" t="s">
        <v>140</v>
      </c>
      <c r="M20" s="12"/>
      <c r="N20" s="12">
        <v>44</v>
      </c>
      <c r="O20" s="12">
        <v>-32</v>
      </c>
      <c r="P20" s="12"/>
      <c r="Q20" s="12"/>
      <c r="R20" s="12">
        <v>384</v>
      </c>
      <c r="S20" s="12" t="s">
        <v>114</v>
      </c>
      <c r="T20" s="12">
        <v>2.4</v>
      </c>
      <c r="U20" s="12"/>
      <c r="V20" s="12">
        <v>0</v>
      </c>
      <c r="W20" s="12">
        <v>188.75</v>
      </c>
      <c r="X20" s="23">
        <v>188.75</v>
      </c>
      <c r="Y20" s="12">
        <v>37.6</v>
      </c>
      <c r="Z20" s="12">
        <v>6.2</v>
      </c>
      <c r="AA20" s="12">
        <v>15.4</v>
      </c>
      <c r="AB20" s="12">
        <v>25</v>
      </c>
      <c r="AC20" s="12">
        <v>41.6</v>
      </c>
      <c r="AD20" s="12"/>
      <c r="AE20" s="12">
        <v>35.6</v>
      </c>
      <c r="AF20" s="12">
        <v>16.600000000000001</v>
      </c>
      <c r="AG20" s="12">
        <v>24.8</v>
      </c>
      <c r="AH20" s="12">
        <v>29</v>
      </c>
      <c r="AI20" s="12">
        <v>60.4</v>
      </c>
      <c r="AJ20" s="12"/>
      <c r="AK20" s="12">
        <v>16</v>
      </c>
      <c r="AL20" s="12">
        <v>0</v>
      </c>
      <c r="AM20" s="12">
        <v>12</v>
      </c>
      <c r="AN20" s="12">
        <v>84</v>
      </c>
      <c r="AO20" s="12">
        <v>0</v>
      </c>
      <c r="AP20" s="12" t="s">
        <v>52</v>
      </c>
      <c r="AQ20" s="12">
        <v>0</v>
      </c>
      <c r="AR20" s="12">
        <v>172.5</v>
      </c>
    </row>
    <row r="21" spans="1:44" x14ac:dyDescent="0.25">
      <c r="A21" s="12" t="s">
        <v>85</v>
      </c>
      <c r="B21" s="12" t="s">
        <v>111</v>
      </c>
      <c r="C21" s="12" t="s">
        <v>141</v>
      </c>
      <c r="D21" s="12" t="s">
        <v>47</v>
      </c>
      <c r="E21" s="12">
        <v>550</v>
      </c>
      <c r="F21" s="12"/>
      <c r="G21" s="12">
        <v>66</v>
      </c>
      <c r="H21" s="12">
        <v>399</v>
      </c>
      <c r="I21" s="12">
        <v>279.3</v>
      </c>
      <c r="J21" s="12">
        <v>0.7</v>
      </c>
      <c r="K21" s="12">
        <v>180</v>
      </c>
      <c r="L21" s="12" t="s">
        <v>142</v>
      </c>
      <c r="M21" s="12"/>
      <c r="N21" s="12">
        <v>81</v>
      </c>
      <c r="O21" s="12">
        <v>-15</v>
      </c>
      <c r="P21" s="12"/>
      <c r="Q21" s="12"/>
      <c r="R21" s="12">
        <v>0</v>
      </c>
      <c r="S21" s="12" t="s">
        <v>114</v>
      </c>
      <c r="T21" s="12">
        <v>13.2</v>
      </c>
      <c r="U21" s="12"/>
      <c r="V21" s="12">
        <v>0</v>
      </c>
      <c r="W21" s="12">
        <v>30.22727272727273</v>
      </c>
      <c r="X21" s="23">
        <v>30.22727272727273</v>
      </c>
      <c r="Y21" s="12">
        <v>38.4</v>
      </c>
      <c r="Z21" s="12">
        <v>18.8</v>
      </c>
      <c r="AA21" s="12">
        <v>43.4</v>
      </c>
      <c r="AB21" s="12">
        <v>49.6</v>
      </c>
      <c r="AC21" s="12">
        <v>66.599999999999994</v>
      </c>
      <c r="AD21" s="12"/>
      <c r="AE21" s="12">
        <v>62.6</v>
      </c>
      <c r="AF21" s="12">
        <v>48.6</v>
      </c>
      <c r="AG21" s="12">
        <v>60.2</v>
      </c>
      <c r="AH21" s="12">
        <v>71.2</v>
      </c>
      <c r="AI21" s="12">
        <v>71.2</v>
      </c>
      <c r="AJ21" s="12"/>
      <c r="AK21" s="12">
        <v>10</v>
      </c>
      <c r="AL21" s="12">
        <v>0</v>
      </c>
      <c r="AM21" s="12">
        <v>12</v>
      </c>
      <c r="AN21" s="12">
        <v>84</v>
      </c>
      <c r="AO21" s="12">
        <v>0</v>
      </c>
      <c r="AP21" s="12" t="s">
        <v>62</v>
      </c>
      <c r="AQ21" s="12">
        <v>0</v>
      </c>
      <c r="AR21" s="12">
        <v>181.4</v>
      </c>
    </row>
    <row r="22" spans="1:44" x14ac:dyDescent="0.25">
      <c r="A22" s="12" t="s">
        <v>85</v>
      </c>
      <c r="B22" s="12" t="s">
        <v>111</v>
      </c>
      <c r="C22" s="12" t="s">
        <v>143</v>
      </c>
      <c r="D22" s="12" t="s">
        <v>47</v>
      </c>
      <c r="E22" s="12">
        <v>776</v>
      </c>
      <c r="F22" s="12">
        <v>5</v>
      </c>
      <c r="G22" s="12">
        <v>71</v>
      </c>
      <c r="H22" s="12">
        <v>600</v>
      </c>
      <c r="I22" s="12">
        <v>240</v>
      </c>
      <c r="J22" s="12">
        <v>0.4</v>
      </c>
      <c r="K22" s="12">
        <v>180</v>
      </c>
      <c r="L22" s="12" t="s">
        <v>144</v>
      </c>
      <c r="M22" s="12"/>
      <c r="N22" s="12">
        <v>81</v>
      </c>
      <c r="O22" s="12">
        <v>-10</v>
      </c>
      <c r="P22" s="12"/>
      <c r="Q22" s="12"/>
      <c r="R22" s="12">
        <v>0</v>
      </c>
      <c r="S22" s="12" t="s">
        <v>114</v>
      </c>
      <c r="T22" s="12">
        <v>14.2</v>
      </c>
      <c r="U22" s="12"/>
      <c r="V22" s="12">
        <v>0</v>
      </c>
      <c r="W22" s="12">
        <v>42.253521126760567</v>
      </c>
      <c r="X22" s="23">
        <v>42.253521126760567</v>
      </c>
      <c r="Y22" s="12">
        <v>28</v>
      </c>
      <c r="Z22" s="12">
        <v>14.6</v>
      </c>
      <c r="AA22" s="12">
        <v>10</v>
      </c>
      <c r="AB22" s="12">
        <v>19.600000000000001</v>
      </c>
      <c r="AC22" s="12">
        <v>61.6</v>
      </c>
      <c r="AD22" s="12"/>
      <c r="AE22" s="12">
        <v>32</v>
      </c>
      <c r="AF22" s="12">
        <v>39.200000000000003</v>
      </c>
      <c r="AG22" s="12">
        <v>45.4</v>
      </c>
      <c r="AH22" s="12">
        <v>42.8</v>
      </c>
      <c r="AI22" s="12">
        <v>60</v>
      </c>
      <c r="AJ22" s="12"/>
      <c r="AK22" s="12">
        <v>16</v>
      </c>
      <c r="AL22" s="12">
        <v>0</v>
      </c>
      <c r="AM22" s="12">
        <v>12</v>
      </c>
      <c r="AN22" s="12">
        <v>84</v>
      </c>
      <c r="AO22" s="12">
        <v>0</v>
      </c>
      <c r="AP22" s="12" t="s">
        <v>52</v>
      </c>
      <c r="AQ22" s="12">
        <v>0</v>
      </c>
      <c r="AR22" s="12">
        <v>253.5</v>
      </c>
    </row>
    <row r="23" spans="1:44" x14ac:dyDescent="0.25">
      <c r="A23" s="12" t="s">
        <v>85</v>
      </c>
      <c r="B23" s="12" t="s">
        <v>111</v>
      </c>
      <c r="C23" s="12" t="s">
        <v>145</v>
      </c>
      <c r="D23" s="12" t="s">
        <v>47</v>
      </c>
      <c r="E23" s="12">
        <v>230</v>
      </c>
      <c r="F23" s="12">
        <v>1</v>
      </c>
      <c r="G23" s="12">
        <v>27</v>
      </c>
      <c r="H23" s="12">
        <v>136</v>
      </c>
      <c r="I23" s="12">
        <v>122.4</v>
      </c>
      <c r="J23" s="12">
        <v>0.9</v>
      </c>
      <c r="K23" s="12">
        <v>180</v>
      </c>
      <c r="L23" s="12" t="s">
        <v>146</v>
      </c>
      <c r="M23" s="12"/>
      <c r="N23" s="12">
        <v>43</v>
      </c>
      <c r="O23" s="12">
        <v>-16</v>
      </c>
      <c r="P23" s="12"/>
      <c r="Q23" s="12"/>
      <c r="R23" s="12">
        <v>96</v>
      </c>
      <c r="S23" s="12" t="s">
        <v>114</v>
      </c>
      <c r="T23" s="12">
        <v>5.4</v>
      </c>
      <c r="U23" s="12"/>
      <c r="V23" s="12">
        <v>0</v>
      </c>
      <c r="W23" s="12">
        <v>42.962962962962962</v>
      </c>
      <c r="X23" s="23">
        <v>42.962962962962962</v>
      </c>
      <c r="Y23" s="12">
        <v>19.8</v>
      </c>
      <c r="Z23" s="12">
        <v>3.2</v>
      </c>
      <c r="AA23" s="12">
        <v>8.1999999999999993</v>
      </c>
      <c r="AB23" s="12">
        <v>21.8</v>
      </c>
      <c r="AC23" s="12">
        <v>28.8</v>
      </c>
      <c r="AD23" s="12"/>
      <c r="AE23" s="12">
        <v>1.6</v>
      </c>
      <c r="AF23" s="12">
        <v>1.4</v>
      </c>
      <c r="AG23" s="12">
        <v>30</v>
      </c>
      <c r="AH23" s="12">
        <v>45.2</v>
      </c>
      <c r="AI23" s="12">
        <v>44.6</v>
      </c>
      <c r="AJ23" s="12"/>
      <c r="AK23" s="12">
        <v>8</v>
      </c>
      <c r="AL23" s="12">
        <v>0</v>
      </c>
      <c r="AM23" s="12">
        <v>12</v>
      </c>
      <c r="AN23" s="12">
        <v>84</v>
      </c>
      <c r="AO23" s="12">
        <v>0</v>
      </c>
      <c r="AP23" s="12" t="s">
        <v>62</v>
      </c>
      <c r="AQ23" s="12">
        <v>0</v>
      </c>
      <c r="AR23" s="12">
        <v>151.1</v>
      </c>
    </row>
    <row r="24" spans="1:44" x14ac:dyDescent="0.25">
      <c r="A24" s="12" t="s">
        <v>85</v>
      </c>
      <c r="B24" s="12" t="s">
        <v>111</v>
      </c>
      <c r="C24" s="12" t="s">
        <v>122</v>
      </c>
      <c r="D24" s="12" t="s">
        <v>40</v>
      </c>
      <c r="E24" s="12">
        <v>225.7</v>
      </c>
      <c r="F24" s="12"/>
      <c r="G24" s="12"/>
      <c r="H24" s="12">
        <v>225.7</v>
      </c>
      <c r="I24" s="12">
        <v>225.7</v>
      </c>
      <c r="J24" s="12">
        <v>1</v>
      </c>
      <c r="K24" s="12">
        <v>180</v>
      </c>
      <c r="L24" s="12" t="s">
        <v>123</v>
      </c>
      <c r="M24" s="12"/>
      <c r="N24" s="12"/>
      <c r="O24" s="12">
        <v>0</v>
      </c>
      <c r="P24" s="12"/>
      <c r="Q24" s="12"/>
      <c r="R24" s="12">
        <v>0</v>
      </c>
      <c r="S24" s="12" t="s">
        <v>114</v>
      </c>
      <c r="T24" s="12">
        <v>0</v>
      </c>
      <c r="U24" s="12"/>
      <c r="V24" s="12">
        <v>0</v>
      </c>
      <c r="W24" s="12" t="e">
        <v>#DIV/0!</v>
      </c>
      <c r="X24" s="23" t="e">
        <v>#DIV/0!</v>
      </c>
      <c r="Y24" s="12">
        <v>1.48</v>
      </c>
      <c r="Z24" s="12">
        <v>0</v>
      </c>
      <c r="AA24" s="12">
        <v>0</v>
      </c>
      <c r="AB24" s="12">
        <v>0.74</v>
      </c>
      <c r="AC24" s="12">
        <v>2.2200000000000002</v>
      </c>
      <c r="AD24" s="12"/>
      <c r="AE24" s="12">
        <v>0.74</v>
      </c>
      <c r="AF24" s="12">
        <v>1.48</v>
      </c>
      <c r="AG24" s="12">
        <v>1.48</v>
      </c>
      <c r="AH24" s="12">
        <v>0</v>
      </c>
      <c r="AI24" s="12">
        <v>0.74</v>
      </c>
      <c r="AJ24" s="12"/>
      <c r="AK24" s="12">
        <v>3.7</v>
      </c>
      <c r="AL24" s="12">
        <v>0</v>
      </c>
      <c r="AM24" s="12">
        <v>14</v>
      </c>
      <c r="AN24" s="12">
        <v>126</v>
      </c>
      <c r="AO24" s="12">
        <v>0</v>
      </c>
      <c r="AP24" s="12" t="s">
        <v>52</v>
      </c>
      <c r="AQ24" s="12">
        <v>0</v>
      </c>
      <c r="AR24" s="12"/>
    </row>
    <row r="25" spans="1:44" x14ac:dyDescent="0.25">
      <c r="A25" s="12" t="s">
        <v>85</v>
      </c>
      <c r="B25" s="12" t="s">
        <v>111</v>
      </c>
      <c r="C25" s="12" t="s">
        <v>124</v>
      </c>
      <c r="D25" s="12" t="s">
        <v>47</v>
      </c>
      <c r="E25" s="12">
        <v>218</v>
      </c>
      <c r="F25" s="12"/>
      <c r="G25" s="12">
        <v>13</v>
      </c>
      <c r="H25" s="12">
        <v>205</v>
      </c>
      <c r="I25" s="12">
        <v>36.9</v>
      </c>
      <c r="J25" s="12">
        <v>0.18</v>
      </c>
      <c r="K25" s="12">
        <v>180</v>
      </c>
      <c r="L25" s="12" t="s">
        <v>125</v>
      </c>
      <c r="M25" s="12"/>
      <c r="N25" s="12">
        <v>13</v>
      </c>
      <c r="O25" s="12">
        <v>0</v>
      </c>
      <c r="P25" s="12"/>
      <c r="Q25" s="12"/>
      <c r="R25" s="12">
        <v>0</v>
      </c>
      <c r="S25" s="12" t="s">
        <v>114</v>
      </c>
      <c r="T25" s="12">
        <v>2.6</v>
      </c>
      <c r="U25" s="12"/>
      <c r="V25" s="12">
        <v>0</v>
      </c>
      <c r="W25" s="12">
        <v>78.84615384615384</v>
      </c>
      <c r="X25" s="23">
        <v>78.84615384615384</v>
      </c>
      <c r="Y25" s="12">
        <v>0.4</v>
      </c>
      <c r="Z25" s="12">
        <v>0</v>
      </c>
      <c r="AA25" s="12">
        <v>0</v>
      </c>
      <c r="AB25" s="12">
        <v>0</v>
      </c>
      <c r="AC25" s="12">
        <v>1.2</v>
      </c>
      <c r="AD25" s="12"/>
      <c r="AE25" s="12">
        <v>3</v>
      </c>
      <c r="AF25" s="12">
        <v>3</v>
      </c>
      <c r="AG25" s="12">
        <v>1.4</v>
      </c>
      <c r="AH25" s="12">
        <v>3.2</v>
      </c>
      <c r="AI25" s="12">
        <v>0.4</v>
      </c>
      <c r="AJ25" s="12"/>
      <c r="AK25" s="12">
        <v>6</v>
      </c>
      <c r="AL25" s="12">
        <v>0</v>
      </c>
      <c r="AM25" s="12">
        <v>14</v>
      </c>
      <c r="AN25" s="12">
        <v>140</v>
      </c>
      <c r="AO25" s="12">
        <v>0</v>
      </c>
      <c r="AP25" s="12" t="s">
        <v>52</v>
      </c>
      <c r="AQ25" s="12">
        <v>0</v>
      </c>
      <c r="AR25" s="12">
        <v>473.1</v>
      </c>
    </row>
    <row r="26" spans="1:44" x14ac:dyDescent="0.25">
      <c r="A26" s="12" t="s">
        <v>85</v>
      </c>
      <c r="B26" s="12" t="s">
        <v>111</v>
      </c>
      <c r="C26" s="12" t="s">
        <v>126</v>
      </c>
      <c r="D26" s="12" t="s">
        <v>47</v>
      </c>
      <c r="E26" s="12">
        <v>113</v>
      </c>
      <c r="F26" s="12"/>
      <c r="G26" s="12">
        <v>13</v>
      </c>
      <c r="H26" s="12">
        <v>100</v>
      </c>
      <c r="I26" s="12">
        <v>18</v>
      </c>
      <c r="J26" s="12">
        <v>0.18</v>
      </c>
      <c r="K26" s="12">
        <v>180</v>
      </c>
      <c r="L26" s="12" t="s">
        <v>127</v>
      </c>
      <c r="M26" s="12"/>
      <c r="N26" s="12">
        <v>13</v>
      </c>
      <c r="O26" s="12">
        <v>0</v>
      </c>
      <c r="P26" s="12"/>
      <c r="Q26" s="12"/>
      <c r="R26" s="12">
        <v>0</v>
      </c>
      <c r="S26" s="12" t="s">
        <v>114</v>
      </c>
      <c r="T26" s="12">
        <v>2.6</v>
      </c>
      <c r="U26" s="12"/>
      <c r="V26" s="12">
        <v>0</v>
      </c>
      <c r="W26" s="12">
        <v>38.46153846153846</v>
      </c>
      <c r="X26" s="23">
        <v>38.46153846153846</v>
      </c>
      <c r="Y26" s="12">
        <v>1.2</v>
      </c>
      <c r="Z26" s="12">
        <v>0</v>
      </c>
      <c r="AA26" s="12">
        <v>0</v>
      </c>
      <c r="AB26" s="12">
        <v>0</v>
      </c>
      <c r="AC26" s="12">
        <v>2.2000000000000002</v>
      </c>
      <c r="AD26" s="12"/>
      <c r="AE26" s="12">
        <v>3.4</v>
      </c>
      <c r="AF26" s="12">
        <v>3.8</v>
      </c>
      <c r="AG26" s="12">
        <v>1.4</v>
      </c>
      <c r="AH26" s="12">
        <v>3.2</v>
      </c>
      <c r="AI26" s="12">
        <v>1.8</v>
      </c>
      <c r="AJ26" s="12"/>
      <c r="AK26" s="12">
        <v>6</v>
      </c>
      <c r="AL26" s="12">
        <v>0</v>
      </c>
      <c r="AM26" s="12">
        <v>14</v>
      </c>
      <c r="AN26" s="12">
        <v>140</v>
      </c>
      <c r="AO26" s="12">
        <v>0</v>
      </c>
      <c r="AP26" s="12" t="s">
        <v>52</v>
      </c>
      <c r="AQ26" s="12">
        <v>0</v>
      </c>
      <c r="AR26" s="12">
        <v>230.8</v>
      </c>
    </row>
  </sheetData>
  <mergeCells count="1">
    <mergeCell ref="A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5"/>
  <sheetViews>
    <sheetView showGridLines="0" topLeftCell="E1" workbookViewId="0">
      <pane ySplit="3" topLeftCell="A28" activePane="bottomLeft" state="frozen"/>
      <selection pane="bottomLeft" activeCell="K60" sqref="K60"/>
    </sheetView>
  </sheetViews>
  <sheetFormatPr defaultRowHeight="15" x14ac:dyDescent="0.25"/>
  <cols>
    <col min="1" max="1" width="14" style="2" customWidth="1"/>
    <col min="2" max="2" width="18" style="2" customWidth="1"/>
    <col min="3" max="3" width="55" style="2" customWidth="1"/>
    <col min="4" max="17" width="10" style="2" customWidth="1"/>
    <col min="18" max="18" width="16" style="2" customWidth="1"/>
    <col min="19" max="19" width="12" style="2" customWidth="1"/>
    <col min="20" max="21" width="10" style="2" customWidth="1"/>
    <col min="22" max="22" width="8" style="2" customWidth="1"/>
    <col min="23" max="23" width="8" style="24" customWidth="1"/>
    <col min="24" max="34" width="10" style="2" customWidth="1"/>
    <col min="35" max="35" width="30" style="2" customWidth="1"/>
    <col min="36" max="36" width="8" style="2" customWidth="1"/>
    <col min="37" max="37" width="22" style="2" customWidth="1"/>
  </cols>
  <sheetData>
    <row r="1" spans="1:37" ht="15.75" x14ac:dyDescent="0.25">
      <c r="A1" s="27" t="s">
        <v>147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3" spans="1:37" ht="38.2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19" t="s">
        <v>23</v>
      </c>
      <c r="X3" s="8" t="s">
        <v>25</v>
      </c>
      <c r="Y3" s="8" t="s">
        <v>27</v>
      </c>
      <c r="Z3" s="8" t="s">
        <v>148</v>
      </c>
      <c r="AA3" s="8" t="s">
        <v>29</v>
      </c>
      <c r="AB3" s="8" t="s">
        <v>31</v>
      </c>
      <c r="AC3" s="8" t="s">
        <v>33</v>
      </c>
      <c r="AD3" s="8" t="s">
        <v>99</v>
      </c>
      <c r="AE3" s="8" t="s">
        <v>149</v>
      </c>
      <c r="AF3" s="8" t="s">
        <v>150</v>
      </c>
      <c r="AG3" s="8" t="s">
        <v>151</v>
      </c>
      <c r="AH3" s="8" t="s">
        <v>152</v>
      </c>
      <c r="AI3" s="8" t="s">
        <v>34</v>
      </c>
      <c r="AJ3" s="8" t="s">
        <v>35</v>
      </c>
      <c r="AK3" s="8" t="s">
        <v>110</v>
      </c>
    </row>
    <row r="4" spans="1:37" x14ac:dyDescent="0.25">
      <c r="A4" s="9" t="s">
        <v>37</v>
      </c>
      <c r="B4" s="9" t="s">
        <v>153</v>
      </c>
      <c r="C4" s="9" t="s">
        <v>154</v>
      </c>
      <c r="D4" s="9" t="s">
        <v>47</v>
      </c>
      <c r="E4" s="9">
        <v>28</v>
      </c>
      <c r="F4" s="9"/>
      <c r="G4" s="9"/>
      <c r="H4" s="9">
        <v>28</v>
      </c>
      <c r="I4" s="9">
        <v>1.54</v>
      </c>
      <c r="J4" s="9">
        <v>5.5E-2</v>
      </c>
      <c r="K4" s="9">
        <v>120</v>
      </c>
      <c r="L4" s="9"/>
      <c r="M4" s="9"/>
      <c r="N4" s="9">
        <v>4</v>
      </c>
      <c r="O4" s="9">
        <v>-4</v>
      </c>
      <c r="P4" s="9"/>
      <c r="Q4" s="9"/>
      <c r="R4" s="9"/>
      <c r="S4" s="9" t="s">
        <v>79</v>
      </c>
      <c r="T4" s="9">
        <v>0</v>
      </c>
      <c r="U4" s="9"/>
      <c r="V4" s="9" t="e">
        <v>#DIV/0!</v>
      </c>
      <c r="W4" s="20" t="e">
        <v>#DIV/0!</v>
      </c>
      <c r="X4" s="9">
        <v>0.4</v>
      </c>
      <c r="Y4" s="9">
        <v>1.2</v>
      </c>
      <c r="Z4" s="9"/>
      <c r="AA4" s="9">
        <v>1</v>
      </c>
      <c r="AB4" s="9">
        <v>1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 t="s">
        <v>84</v>
      </c>
      <c r="AJ4" s="9">
        <v>0</v>
      </c>
      <c r="AK4" s="9"/>
    </row>
    <row r="5" spans="1:37" x14ac:dyDescent="0.25">
      <c r="A5" s="9" t="s">
        <v>37</v>
      </c>
      <c r="B5" s="9" t="s">
        <v>153</v>
      </c>
      <c r="C5" s="9" t="s">
        <v>155</v>
      </c>
      <c r="D5" s="9" t="s">
        <v>47</v>
      </c>
      <c r="E5" s="9">
        <v>29</v>
      </c>
      <c r="F5" s="9"/>
      <c r="G5" s="9"/>
      <c r="H5" s="9">
        <v>29</v>
      </c>
      <c r="I5" s="9">
        <v>2.9</v>
      </c>
      <c r="J5" s="9">
        <v>0.1</v>
      </c>
      <c r="K5" s="9">
        <v>120</v>
      </c>
      <c r="L5" s="9"/>
      <c r="M5" s="9"/>
      <c r="N5" s="9">
        <v>1</v>
      </c>
      <c r="O5" s="9">
        <v>-1</v>
      </c>
      <c r="P5" s="9"/>
      <c r="Q5" s="9"/>
      <c r="R5" s="9"/>
      <c r="S5" s="9" t="s">
        <v>79</v>
      </c>
      <c r="T5" s="9">
        <v>0</v>
      </c>
      <c r="U5" s="9"/>
      <c r="V5" s="9" t="e">
        <v>#DIV/0!</v>
      </c>
      <c r="W5" s="20" t="e">
        <v>#DIV/0!</v>
      </c>
      <c r="X5" s="9">
        <v>0.4</v>
      </c>
      <c r="Y5" s="9">
        <v>1.6</v>
      </c>
      <c r="Z5" s="9"/>
      <c r="AA5" s="9">
        <v>1.2</v>
      </c>
      <c r="AB5" s="9">
        <v>1.2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 t="s">
        <v>84</v>
      </c>
      <c r="AJ5" s="9">
        <v>0</v>
      </c>
      <c r="AK5" s="9"/>
    </row>
    <row r="6" spans="1:37" x14ac:dyDescent="0.25">
      <c r="A6" s="9" t="s">
        <v>37</v>
      </c>
      <c r="B6" s="9" t="s">
        <v>153</v>
      </c>
      <c r="C6" s="9" t="s">
        <v>156</v>
      </c>
      <c r="D6" s="9" t="s">
        <v>47</v>
      </c>
      <c r="E6" s="9">
        <v>31</v>
      </c>
      <c r="F6" s="9"/>
      <c r="G6" s="9"/>
      <c r="H6" s="9">
        <v>31</v>
      </c>
      <c r="I6" s="9">
        <v>3.1</v>
      </c>
      <c r="J6" s="9">
        <v>0.1</v>
      </c>
      <c r="K6" s="9">
        <v>120</v>
      </c>
      <c r="L6" s="9"/>
      <c r="M6" s="9"/>
      <c r="N6" s="9"/>
      <c r="O6" s="9">
        <v>0</v>
      </c>
      <c r="P6" s="9"/>
      <c r="Q6" s="9"/>
      <c r="R6" s="9"/>
      <c r="S6" s="9" t="s">
        <v>79</v>
      </c>
      <c r="T6" s="9">
        <v>0</v>
      </c>
      <c r="U6" s="9"/>
      <c r="V6" s="9" t="e">
        <v>#DIV/0!</v>
      </c>
      <c r="W6" s="20" t="e">
        <v>#DIV/0!</v>
      </c>
      <c r="X6" s="9">
        <v>0</v>
      </c>
      <c r="Y6" s="9">
        <v>0.8</v>
      </c>
      <c r="Z6" s="9"/>
      <c r="AA6" s="9">
        <v>1.2</v>
      </c>
      <c r="AB6" s="9">
        <v>1.6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 t="s">
        <v>84</v>
      </c>
      <c r="AJ6" s="9">
        <v>0</v>
      </c>
      <c r="AK6" s="9"/>
    </row>
    <row r="7" spans="1:37" x14ac:dyDescent="0.25">
      <c r="A7" s="9" t="s">
        <v>37</v>
      </c>
      <c r="B7" s="9" t="s">
        <v>153</v>
      </c>
      <c r="C7" s="9" t="s">
        <v>157</v>
      </c>
      <c r="D7" s="9" t="s">
        <v>47</v>
      </c>
      <c r="E7" s="9">
        <v>137</v>
      </c>
      <c r="F7" s="9"/>
      <c r="G7" s="9">
        <v>14</v>
      </c>
      <c r="H7" s="9">
        <v>123</v>
      </c>
      <c r="I7" s="9">
        <v>22.14</v>
      </c>
      <c r="J7" s="9">
        <v>0.18</v>
      </c>
      <c r="K7" s="9">
        <v>180</v>
      </c>
      <c r="L7" s="9"/>
      <c r="M7" s="9"/>
      <c r="N7" s="9">
        <v>14</v>
      </c>
      <c r="O7" s="9">
        <v>0</v>
      </c>
      <c r="P7" s="9"/>
      <c r="Q7" s="9"/>
      <c r="R7" s="9"/>
      <c r="S7" s="9" t="s">
        <v>79</v>
      </c>
      <c r="T7" s="9">
        <v>2.8</v>
      </c>
      <c r="U7" s="9"/>
      <c r="V7" s="9">
        <v>43.928571428571431</v>
      </c>
      <c r="W7" s="20">
        <v>43.928571428571431</v>
      </c>
      <c r="X7" s="9">
        <v>-0.2</v>
      </c>
      <c r="Y7" s="9">
        <v>1.2</v>
      </c>
      <c r="Z7" s="9"/>
      <c r="AA7" s="9">
        <v>23.4</v>
      </c>
      <c r="AB7" s="9">
        <v>-0.4</v>
      </c>
      <c r="AC7" s="9">
        <v>-1.2</v>
      </c>
      <c r="AD7" s="9">
        <v>3.6</v>
      </c>
      <c r="AE7" s="9">
        <v>3</v>
      </c>
      <c r="AF7" s="9">
        <v>7.2</v>
      </c>
      <c r="AG7" s="9">
        <v>8</v>
      </c>
      <c r="AH7" s="9">
        <v>4.4000000000000004</v>
      </c>
      <c r="AI7" s="9" t="s">
        <v>52</v>
      </c>
      <c r="AJ7" s="9">
        <v>0</v>
      </c>
      <c r="AK7" s="9">
        <v>263.60000000000002</v>
      </c>
    </row>
    <row r="8" spans="1:37" x14ac:dyDescent="0.25">
      <c r="A8" s="9" t="s">
        <v>37</v>
      </c>
      <c r="B8" s="9" t="s">
        <v>153</v>
      </c>
      <c r="C8" s="9" t="s">
        <v>158</v>
      </c>
      <c r="D8" s="9" t="s">
        <v>40</v>
      </c>
      <c r="E8" s="9">
        <v>41.555999999999997</v>
      </c>
      <c r="F8" s="9"/>
      <c r="G8" s="9">
        <v>3.1779999999999999</v>
      </c>
      <c r="H8" s="9">
        <v>38.378</v>
      </c>
      <c r="I8" s="9">
        <v>38.378</v>
      </c>
      <c r="J8" s="9">
        <v>1</v>
      </c>
      <c r="K8" s="9">
        <v>180</v>
      </c>
      <c r="L8" s="9"/>
      <c r="M8" s="9"/>
      <c r="N8" s="9">
        <v>3.5</v>
      </c>
      <c r="O8" s="9">
        <v>-0.32200000000000012</v>
      </c>
      <c r="P8" s="9"/>
      <c r="Q8" s="9"/>
      <c r="R8" s="9"/>
      <c r="S8" s="9" t="s">
        <v>79</v>
      </c>
      <c r="T8" s="9">
        <v>0.63559999999999994</v>
      </c>
      <c r="U8" s="9"/>
      <c r="V8" s="9">
        <v>60.380742605412223</v>
      </c>
      <c r="W8" s="20">
        <v>60.380742605412223</v>
      </c>
      <c r="X8" s="9">
        <v>1.2452000000000001</v>
      </c>
      <c r="Y8" s="9">
        <v>0.61959999999999993</v>
      </c>
      <c r="Z8" s="9"/>
      <c r="AA8" s="9">
        <v>2.4516</v>
      </c>
      <c r="AB8" s="9">
        <v>3.2412000000000001</v>
      </c>
      <c r="AC8" s="9">
        <v>0</v>
      </c>
      <c r="AD8" s="9">
        <v>0.68120000000000003</v>
      </c>
      <c r="AE8" s="9">
        <v>4.0174000000000003</v>
      </c>
      <c r="AF8" s="9">
        <v>6.1176000000000004</v>
      </c>
      <c r="AG8" s="9">
        <v>5.7628000000000004</v>
      </c>
      <c r="AH8" s="9">
        <v>5.9207999999999998</v>
      </c>
      <c r="AI8" s="9" t="s">
        <v>52</v>
      </c>
      <c r="AJ8" s="9">
        <v>0</v>
      </c>
      <c r="AK8" s="9">
        <v>362.3</v>
      </c>
    </row>
    <row r="9" spans="1:37" x14ac:dyDescent="0.25">
      <c r="A9" s="9" t="s">
        <v>37</v>
      </c>
      <c r="B9" s="9" t="s">
        <v>153</v>
      </c>
      <c r="C9" s="9" t="s">
        <v>159</v>
      </c>
      <c r="D9" s="9" t="s">
        <v>47</v>
      </c>
      <c r="E9" s="9">
        <v>64</v>
      </c>
      <c r="F9" s="9">
        <v>72</v>
      </c>
      <c r="G9" s="9"/>
      <c r="H9" s="9">
        <v>135</v>
      </c>
      <c r="I9" s="9">
        <v>111.3075</v>
      </c>
      <c r="J9" s="9">
        <v>0.82450000000000001</v>
      </c>
      <c r="K9" s="9">
        <v>180</v>
      </c>
      <c r="L9" s="9"/>
      <c r="M9" s="9"/>
      <c r="N9" s="9">
        <v>1</v>
      </c>
      <c r="O9" s="9">
        <v>-1</v>
      </c>
      <c r="P9" s="9"/>
      <c r="Q9" s="9"/>
      <c r="R9" s="9"/>
      <c r="S9" s="9" t="s">
        <v>79</v>
      </c>
      <c r="T9" s="9">
        <v>0</v>
      </c>
      <c r="U9" s="9"/>
      <c r="V9" s="9" t="e">
        <v>#DIV/0!</v>
      </c>
      <c r="W9" s="20" t="e">
        <v>#DIV/0!</v>
      </c>
      <c r="X9" s="9">
        <v>0.2</v>
      </c>
      <c r="Y9" s="9">
        <v>9.6</v>
      </c>
      <c r="Z9" s="9"/>
      <c r="AA9" s="9">
        <v>0.4</v>
      </c>
      <c r="AB9" s="9">
        <v>0.6</v>
      </c>
      <c r="AC9" s="9">
        <v>0</v>
      </c>
      <c r="AD9" s="9">
        <v>1.8</v>
      </c>
      <c r="AE9" s="9">
        <v>2.8</v>
      </c>
      <c r="AF9" s="9">
        <v>2.8</v>
      </c>
      <c r="AG9" s="9">
        <v>3.8</v>
      </c>
      <c r="AH9" s="9">
        <v>1.6</v>
      </c>
      <c r="AI9" s="9" t="s">
        <v>52</v>
      </c>
      <c r="AJ9" s="9">
        <v>0</v>
      </c>
      <c r="AK9" s="9"/>
    </row>
    <row r="10" spans="1:37" x14ac:dyDescent="0.25">
      <c r="A10" s="9" t="s">
        <v>37</v>
      </c>
      <c r="B10" s="9" t="s">
        <v>153</v>
      </c>
      <c r="C10" s="9" t="s">
        <v>160</v>
      </c>
      <c r="D10" s="9" t="s">
        <v>47</v>
      </c>
      <c r="E10" s="9">
        <v>90</v>
      </c>
      <c r="F10" s="9">
        <v>1</v>
      </c>
      <c r="G10" s="9">
        <v>10</v>
      </c>
      <c r="H10" s="9">
        <v>74</v>
      </c>
      <c r="I10" s="9">
        <v>7.4</v>
      </c>
      <c r="J10" s="9">
        <v>0.1</v>
      </c>
      <c r="K10" s="9">
        <v>60</v>
      </c>
      <c r="L10" s="9"/>
      <c r="M10" s="9"/>
      <c r="N10" s="9">
        <v>15</v>
      </c>
      <c r="O10" s="9">
        <v>-5</v>
      </c>
      <c r="P10" s="9"/>
      <c r="Q10" s="9"/>
      <c r="R10" s="9"/>
      <c r="S10" s="9" t="s">
        <v>79</v>
      </c>
      <c r="T10" s="9">
        <v>2</v>
      </c>
      <c r="U10" s="9"/>
      <c r="V10" s="9">
        <v>37</v>
      </c>
      <c r="W10" s="20">
        <v>37</v>
      </c>
      <c r="X10" s="9">
        <v>2.4</v>
      </c>
      <c r="Y10" s="9">
        <v>4</v>
      </c>
      <c r="Z10" s="9"/>
      <c r="AA10" s="9">
        <v>2.6</v>
      </c>
      <c r="AB10" s="9">
        <v>-0.6</v>
      </c>
      <c r="AC10" s="9">
        <v>4.5999999999999996</v>
      </c>
      <c r="AD10" s="9">
        <v>9.1999999999999993</v>
      </c>
      <c r="AE10" s="9">
        <v>2</v>
      </c>
      <c r="AF10" s="9">
        <v>6.4</v>
      </c>
      <c r="AG10" s="9">
        <v>2.8</v>
      </c>
      <c r="AH10" s="9">
        <v>5.4</v>
      </c>
      <c r="AI10" s="9" t="s">
        <v>52</v>
      </c>
      <c r="AJ10" s="9">
        <v>0</v>
      </c>
      <c r="AK10" s="9">
        <v>222</v>
      </c>
    </row>
    <row r="11" spans="1:37" x14ac:dyDescent="0.25">
      <c r="A11" s="9" t="s">
        <v>37</v>
      </c>
      <c r="B11" s="9" t="s">
        <v>153</v>
      </c>
      <c r="C11" s="9" t="s">
        <v>161</v>
      </c>
      <c r="D11" s="9" t="s">
        <v>47</v>
      </c>
      <c r="E11" s="9">
        <v>55</v>
      </c>
      <c r="F11" s="9"/>
      <c r="G11" s="9">
        <v>6</v>
      </c>
      <c r="H11" s="9">
        <v>49</v>
      </c>
      <c r="I11" s="9">
        <v>19.600000000000001</v>
      </c>
      <c r="J11" s="9">
        <v>0.4</v>
      </c>
      <c r="K11" s="9">
        <v>270</v>
      </c>
      <c r="L11" s="9"/>
      <c r="M11" s="9"/>
      <c r="N11" s="9">
        <v>9</v>
      </c>
      <c r="O11" s="9">
        <v>-3</v>
      </c>
      <c r="P11" s="9"/>
      <c r="Q11" s="9"/>
      <c r="R11" s="9"/>
      <c r="S11" s="9" t="s">
        <v>79</v>
      </c>
      <c r="T11" s="9">
        <v>1.2</v>
      </c>
      <c r="U11" s="9"/>
      <c r="V11" s="9">
        <v>40.833333333333343</v>
      </c>
      <c r="W11" s="20">
        <v>40.833333333333343</v>
      </c>
      <c r="X11" s="9">
        <v>1</v>
      </c>
      <c r="Y11" s="9">
        <v>-0.2</v>
      </c>
      <c r="Z11" s="9"/>
      <c r="AA11" s="9">
        <v>1.2</v>
      </c>
      <c r="AB11" s="9">
        <v>0.6</v>
      </c>
      <c r="AC11" s="9">
        <v>1</v>
      </c>
      <c r="AD11" s="9">
        <v>3.2</v>
      </c>
      <c r="AE11" s="9">
        <v>2.6</v>
      </c>
      <c r="AF11" s="9">
        <v>0</v>
      </c>
      <c r="AG11" s="9">
        <v>2.2000000000000002</v>
      </c>
      <c r="AH11" s="9">
        <v>0.8</v>
      </c>
      <c r="AI11" s="9" t="s">
        <v>52</v>
      </c>
      <c r="AJ11" s="9">
        <v>0</v>
      </c>
      <c r="AK11" s="9">
        <v>245</v>
      </c>
    </row>
    <row r="12" spans="1:37" x14ac:dyDescent="0.25">
      <c r="A12" s="9" t="s">
        <v>37</v>
      </c>
      <c r="B12" s="9" t="s">
        <v>153</v>
      </c>
      <c r="C12" s="9" t="s">
        <v>162</v>
      </c>
      <c r="D12" s="9" t="s">
        <v>47</v>
      </c>
      <c r="E12" s="9">
        <v>88</v>
      </c>
      <c r="F12" s="9"/>
      <c r="G12" s="9"/>
      <c r="H12" s="9">
        <v>87</v>
      </c>
      <c r="I12" s="9">
        <v>34.799999999999997</v>
      </c>
      <c r="J12" s="9">
        <v>0.4</v>
      </c>
      <c r="K12" s="9">
        <v>270</v>
      </c>
      <c r="L12" s="9"/>
      <c r="M12" s="9"/>
      <c r="N12" s="9">
        <v>1</v>
      </c>
      <c r="O12" s="9">
        <v>-1</v>
      </c>
      <c r="P12" s="9"/>
      <c r="Q12" s="9"/>
      <c r="R12" s="9"/>
      <c r="S12" s="9" t="s">
        <v>79</v>
      </c>
      <c r="T12" s="9">
        <v>0</v>
      </c>
      <c r="U12" s="9"/>
      <c r="V12" s="9" t="e">
        <v>#DIV/0!</v>
      </c>
      <c r="W12" s="20" t="e">
        <v>#DIV/0!</v>
      </c>
      <c r="X12" s="9">
        <v>0</v>
      </c>
      <c r="Y12" s="9">
        <v>0</v>
      </c>
      <c r="Z12" s="9"/>
      <c r="AA12" s="9">
        <v>0</v>
      </c>
      <c r="AB12" s="9">
        <v>0</v>
      </c>
      <c r="AC12" s="9">
        <v>0</v>
      </c>
      <c r="AD12" s="9">
        <v>0</v>
      </c>
      <c r="AE12" s="9">
        <v>0.2</v>
      </c>
      <c r="AF12" s="9">
        <v>0</v>
      </c>
      <c r="AG12" s="9">
        <v>0</v>
      </c>
      <c r="AH12" s="9">
        <v>0.2</v>
      </c>
      <c r="AI12" s="9" t="s">
        <v>52</v>
      </c>
      <c r="AJ12" s="9">
        <v>0</v>
      </c>
      <c r="AK12" s="9"/>
    </row>
    <row r="13" spans="1:37" x14ac:dyDescent="0.25">
      <c r="A13" s="9" t="s">
        <v>37</v>
      </c>
      <c r="B13" s="9" t="s">
        <v>153</v>
      </c>
      <c r="C13" s="9" t="s">
        <v>163</v>
      </c>
      <c r="D13" s="9" t="s">
        <v>47</v>
      </c>
      <c r="E13" s="9">
        <v>67</v>
      </c>
      <c r="F13" s="9">
        <v>144</v>
      </c>
      <c r="G13" s="9">
        <v>16</v>
      </c>
      <c r="H13" s="9">
        <v>195</v>
      </c>
      <c r="I13" s="9">
        <v>35.1</v>
      </c>
      <c r="J13" s="9">
        <v>0.18</v>
      </c>
      <c r="K13" s="9">
        <v>270</v>
      </c>
      <c r="L13" s="9"/>
      <c r="M13" s="9"/>
      <c r="N13" s="9">
        <v>16</v>
      </c>
      <c r="O13" s="9">
        <v>0</v>
      </c>
      <c r="P13" s="9"/>
      <c r="Q13" s="9"/>
      <c r="R13" s="9"/>
      <c r="S13" s="9" t="s">
        <v>79</v>
      </c>
      <c r="T13" s="9">
        <v>3.2</v>
      </c>
      <c r="U13" s="9"/>
      <c r="V13" s="9">
        <v>60.9375</v>
      </c>
      <c r="W13" s="20">
        <v>60.9375</v>
      </c>
      <c r="X13" s="9">
        <v>0.2</v>
      </c>
      <c r="Y13" s="9">
        <v>19.600000000000001</v>
      </c>
      <c r="Z13" s="9"/>
      <c r="AA13" s="9">
        <v>1.4</v>
      </c>
      <c r="AB13" s="9">
        <v>1</v>
      </c>
      <c r="AC13" s="9">
        <v>0.2</v>
      </c>
      <c r="AD13" s="9">
        <v>2.8</v>
      </c>
      <c r="AE13" s="9">
        <v>3.6</v>
      </c>
      <c r="AF13" s="9">
        <v>1.8</v>
      </c>
      <c r="AG13" s="9">
        <v>1</v>
      </c>
      <c r="AH13" s="9">
        <v>1</v>
      </c>
      <c r="AI13" s="9" t="s">
        <v>52</v>
      </c>
      <c r="AJ13" s="9">
        <v>0</v>
      </c>
      <c r="AK13" s="9">
        <v>365.6</v>
      </c>
    </row>
    <row r="14" spans="1:37" x14ac:dyDescent="0.25">
      <c r="A14" s="9" t="s">
        <v>37</v>
      </c>
      <c r="B14" s="9" t="s">
        <v>153</v>
      </c>
      <c r="C14" s="9" t="s">
        <v>164</v>
      </c>
      <c r="D14" s="9" t="s">
        <v>47</v>
      </c>
      <c r="E14" s="9">
        <v>24</v>
      </c>
      <c r="F14" s="9"/>
      <c r="G14" s="9"/>
      <c r="H14" s="9">
        <v>24</v>
      </c>
      <c r="I14" s="9">
        <v>4.8000000000000007</v>
      </c>
      <c r="J14" s="9">
        <v>0.2</v>
      </c>
      <c r="K14" s="9">
        <v>120</v>
      </c>
      <c r="L14" s="9"/>
      <c r="M14" s="9"/>
      <c r="N14" s="9"/>
      <c r="O14" s="9">
        <v>0</v>
      </c>
      <c r="P14" s="9"/>
      <c r="Q14" s="9"/>
      <c r="R14" s="9"/>
      <c r="S14" s="9" t="s">
        <v>79</v>
      </c>
      <c r="T14" s="9">
        <v>0</v>
      </c>
      <c r="U14" s="9"/>
      <c r="V14" s="9" t="e">
        <v>#DIV/0!</v>
      </c>
      <c r="W14" s="20" t="e">
        <v>#DIV/0!</v>
      </c>
      <c r="X14" s="9">
        <v>0</v>
      </c>
      <c r="Y14" s="9">
        <v>0</v>
      </c>
      <c r="Z14" s="9"/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 t="s">
        <v>52</v>
      </c>
      <c r="AJ14" s="9">
        <v>0</v>
      </c>
      <c r="AK14" s="9"/>
    </row>
    <row r="15" spans="1:37" x14ac:dyDescent="0.25">
      <c r="A15" s="9" t="s">
        <v>37</v>
      </c>
      <c r="B15" s="9" t="s">
        <v>153</v>
      </c>
      <c r="C15" s="9" t="s">
        <v>165</v>
      </c>
      <c r="D15" s="9" t="s">
        <v>40</v>
      </c>
      <c r="E15" s="9">
        <v>14.645</v>
      </c>
      <c r="F15" s="9"/>
      <c r="G15" s="9">
        <v>-1.8080000000000001</v>
      </c>
      <c r="H15" s="9">
        <v>14.645</v>
      </c>
      <c r="I15" s="9">
        <v>14.645</v>
      </c>
      <c r="J15" s="9">
        <v>1</v>
      </c>
      <c r="K15" s="9">
        <v>180</v>
      </c>
      <c r="L15" s="9"/>
      <c r="M15" s="9"/>
      <c r="N15" s="9"/>
      <c r="O15" s="9">
        <v>-1.8080000000000001</v>
      </c>
      <c r="P15" s="9"/>
      <c r="Q15" s="9"/>
      <c r="R15" s="9"/>
      <c r="S15" s="9" t="s">
        <v>79</v>
      </c>
      <c r="T15" s="9">
        <v>-0.36159999999999998</v>
      </c>
      <c r="U15" s="9"/>
      <c r="V15" s="9">
        <v>-40.500553097345133</v>
      </c>
      <c r="W15" s="20">
        <v>-40.500553097345133</v>
      </c>
      <c r="X15" s="9">
        <v>0</v>
      </c>
      <c r="Y15" s="9">
        <v>0</v>
      </c>
      <c r="Z15" s="9"/>
      <c r="AA15" s="9">
        <v>0</v>
      </c>
      <c r="AB15" s="9">
        <v>0</v>
      </c>
      <c r="AC15" s="9">
        <v>0.46300000000000002</v>
      </c>
      <c r="AD15" s="9">
        <v>0.88900000000000001</v>
      </c>
      <c r="AE15" s="9">
        <v>0.34799999999999998</v>
      </c>
      <c r="AF15" s="9">
        <v>0.56299999999999994</v>
      </c>
      <c r="AG15" s="9">
        <v>0</v>
      </c>
      <c r="AH15" s="9">
        <v>0</v>
      </c>
      <c r="AI15" s="9" t="s">
        <v>52</v>
      </c>
      <c r="AJ15" s="9">
        <v>0</v>
      </c>
      <c r="AK15" s="9">
        <v>-243</v>
      </c>
    </row>
    <row r="16" spans="1:37" x14ac:dyDescent="0.25">
      <c r="A16" s="9" t="s">
        <v>37</v>
      </c>
      <c r="B16" s="9" t="s">
        <v>153</v>
      </c>
      <c r="C16" s="9" t="s">
        <v>166</v>
      </c>
      <c r="D16" s="9" t="s">
        <v>40</v>
      </c>
      <c r="E16" s="9">
        <v>59.395000000000003</v>
      </c>
      <c r="F16" s="9"/>
      <c r="G16" s="9"/>
      <c r="H16" s="9">
        <v>59.395000000000003</v>
      </c>
      <c r="I16" s="9">
        <v>59.395000000000003</v>
      </c>
      <c r="J16" s="9">
        <v>1</v>
      </c>
      <c r="K16" s="9">
        <v>180</v>
      </c>
      <c r="L16" s="9"/>
      <c r="M16" s="9"/>
      <c r="N16" s="9"/>
      <c r="O16" s="9">
        <v>0</v>
      </c>
      <c r="P16" s="9"/>
      <c r="Q16" s="9"/>
      <c r="R16" s="9"/>
      <c r="S16" s="9" t="s">
        <v>79</v>
      </c>
      <c r="T16" s="9">
        <v>0</v>
      </c>
      <c r="U16" s="9"/>
      <c r="V16" s="9" t="e">
        <v>#DIV/0!</v>
      </c>
      <c r="W16" s="20" t="e">
        <v>#DIV/0!</v>
      </c>
      <c r="X16" s="9">
        <v>0</v>
      </c>
      <c r="Y16" s="9">
        <v>0</v>
      </c>
      <c r="Z16" s="9"/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 t="s">
        <v>52</v>
      </c>
      <c r="AJ16" s="9">
        <v>0</v>
      </c>
      <c r="AK16" s="9"/>
    </row>
    <row r="17" spans="1:37" x14ac:dyDescent="0.25">
      <c r="A17" s="9" t="s">
        <v>37</v>
      </c>
      <c r="B17" s="9" t="s">
        <v>153</v>
      </c>
      <c r="C17" s="9" t="s">
        <v>167</v>
      </c>
      <c r="D17" s="9" t="s">
        <v>47</v>
      </c>
      <c r="E17" s="9">
        <v>112</v>
      </c>
      <c r="F17" s="9"/>
      <c r="G17" s="9"/>
      <c r="H17" s="9">
        <v>111</v>
      </c>
      <c r="I17" s="9">
        <v>19.98</v>
      </c>
      <c r="J17" s="9">
        <v>0.18</v>
      </c>
      <c r="K17" s="9">
        <v>150</v>
      </c>
      <c r="L17" s="9"/>
      <c r="M17" s="9"/>
      <c r="N17" s="9">
        <v>157</v>
      </c>
      <c r="O17" s="9">
        <v>-157</v>
      </c>
      <c r="P17" s="9"/>
      <c r="Q17" s="9"/>
      <c r="R17" s="9"/>
      <c r="S17" s="9" t="s">
        <v>79</v>
      </c>
      <c r="T17" s="9">
        <v>0</v>
      </c>
      <c r="U17" s="9"/>
      <c r="V17" s="9" t="e">
        <v>#DIV/0!</v>
      </c>
      <c r="W17" s="20" t="e">
        <v>#DIV/0!</v>
      </c>
      <c r="X17" s="9">
        <v>0</v>
      </c>
      <c r="Y17" s="9">
        <v>2.8</v>
      </c>
      <c r="Z17" s="9"/>
      <c r="AA17" s="9">
        <v>4.8</v>
      </c>
      <c r="AB17" s="9">
        <v>8.4</v>
      </c>
      <c r="AC17" s="9">
        <v>7.2</v>
      </c>
      <c r="AD17" s="9">
        <v>12</v>
      </c>
      <c r="AE17" s="9">
        <v>4.2</v>
      </c>
      <c r="AF17" s="9">
        <v>5.4</v>
      </c>
      <c r="AG17" s="9">
        <v>0</v>
      </c>
      <c r="AH17" s="9">
        <v>0</v>
      </c>
      <c r="AI17" s="9" t="s">
        <v>52</v>
      </c>
      <c r="AJ17" s="9">
        <v>0</v>
      </c>
      <c r="AK17" s="9"/>
    </row>
    <row r="18" spans="1:37" x14ac:dyDescent="0.25">
      <c r="A18" s="9" t="s">
        <v>37</v>
      </c>
      <c r="B18" s="9" t="s">
        <v>153</v>
      </c>
      <c r="C18" s="9" t="s">
        <v>168</v>
      </c>
      <c r="D18" s="9" t="s">
        <v>47</v>
      </c>
      <c r="E18" s="9">
        <v>95</v>
      </c>
      <c r="F18" s="9"/>
      <c r="G18" s="9">
        <v>-3</v>
      </c>
      <c r="H18" s="9">
        <v>95</v>
      </c>
      <c r="I18" s="9">
        <v>17.100000000000001</v>
      </c>
      <c r="J18" s="9">
        <v>0.18</v>
      </c>
      <c r="K18" s="9">
        <v>150</v>
      </c>
      <c r="L18" s="9"/>
      <c r="M18" s="9"/>
      <c r="N18" s="9">
        <v>247</v>
      </c>
      <c r="O18" s="9">
        <v>-250</v>
      </c>
      <c r="P18" s="9"/>
      <c r="Q18" s="9"/>
      <c r="R18" s="9"/>
      <c r="S18" s="9" t="s">
        <v>79</v>
      </c>
      <c r="T18" s="9">
        <v>-0.6</v>
      </c>
      <c r="U18" s="9"/>
      <c r="V18" s="9">
        <v>-158.33333333333329</v>
      </c>
      <c r="W18" s="20">
        <v>-158.33333333333329</v>
      </c>
      <c r="X18" s="9">
        <v>-0.8</v>
      </c>
      <c r="Y18" s="9">
        <v>-2.8</v>
      </c>
      <c r="Z18" s="9"/>
      <c r="AA18" s="9">
        <v>6</v>
      </c>
      <c r="AB18" s="9">
        <v>34.799999999999997</v>
      </c>
      <c r="AC18" s="9">
        <v>21.2</v>
      </c>
      <c r="AD18" s="9">
        <v>39.6</v>
      </c>
      <c r="AE18" s="9">
        <v>29</v>
      </c>
      <c r="AF18" s="9">
        <v>34.799999999999997</v>
      </c>
      <c r="AG18" s="9">
        <v>33.200000000000003</v>
      </c>
      <c r="AH18" s="9">
        <v>23.2</v>
      </c>
      <c r="AI18" s="9" t="s">
        <v>52</v>
      </c>
      <c r="AJ18" s="9">
        <v>0</v>
      </c>
      <c r="AK18" s="9">
        <v>-950</v>
      </c>
    </row>
    <row r="19" spans="1:37" x14ac:dyDescent="0.25">
      <c r="A19" s="9" t="s">
        <v>37</v>
      </c>
      <c r="B19" s="9" t="s">
        <v>153</v>
      </c>
      <c r="C19" s="9" t="s">
        <v>169</v>
      </c>
      <c r="D19" s="9" t="s">
        <v>47</v>
      </c>
      <c r="E19" s="9">
        <v>27</v>
      </c>
      <c r="F19" s="9"/>
      <c r="G19" s="9">
        <v>4</v>
      </c>
      <c r="H19" s="9">
        <v>22</v>
      </c>
      <c r="I19" s="9">
        <v>2.2000000000000002</v>
      </c>
      <c r="J19" s="9">
        <v>0.1</v>
      </c>
      <c r="K19" s="9">
        <v>60</v>
      </c>
      <c r="L19" s="9"/>
      <c r="M19" s="9"/>
      <c r="N19" s="9">
        <v>9</v>
      </c>
      <c r="O19" s="9">
        <v>-5</v>
      </c>
      <c r="P19" s="9"/>
      <c r="Q19" s="9"/>
      <c r="R19" s="9">
        <v>8</v>
      </c>
      <c r="S19" s="9" t="s">
        <v>79</v>
      </c>
      <c r="T19" s="9">
        <v>0.8</v>
      </c>
      <c r="U19" s="9"/>
      <c r="V19" s="9">
        <v>37.5</v>
      </c>
      <c r="W19" s="20">
        <v>37.5</v>
      </c>
      <c r="X19" s="9">
        <v>2.2000000000000002</v>
      </c>
      <c r="Y19" s="9">
        <v>0.2</v>
      </c>
      <c r="Z19" s="9"/>
      <c r="AA19" s="9">
        <v>2</v>
      </c>
      <c r="AB19" s="9">
        <v>-0.4</v>
      </c>
      <c r="AC19" s="9">
        <v>-0.2</v>
      </c>
      <c r="AD19" s="9">
        <v>0.2</v>
      </c>
      <c r="AE19" s="9">
        <v>2.8</v>
      </c>
      <c r="AF19" s="9">
        <v>3</v>
      </c>
      <c r="AG19" s="9">
        <v>1.8</v>
      </c>
      <c r="AH19" s="9">
        <v>7.4</v>
      </c>
      <c r="AI19" s="9" t="s">
        <v>52</v>
      </c>
      <c r="AJ19" s="9">
        <v>0</v>
      </c>
      <c r="AK19" s="9">
        <v>165</v>
      </c>
    </row>
    <row r="20" spans="1:37" x14ac:dyDescent="0.25">
      <c r="A20" s="9" t="s">
        <v>37</v>
      </c>
      <c r="B20" s="9" t="s">
        <v>153</v>
      </c>
      <c r="C20" s="9" t="s">
        <v>170</v>
      </c>
      <c r="D20" s="9" t="s">
        <v>40</v>
      </c>
      <c r="E20" s="9">
        <v>117.512</v>
      </c>
      <c r="F20" s="9">
        <v>67.573999999999998</v>
      </c>
      <c r="G20" s="9"/>
      <c r="H20" s="9">
        <v>185.08600000000001</v>
      </c>
      <c r="I20" s="9">
        <v>185.08600000000001</v>
      </c>
      <c r="J20" s="9">
        <v>1</v>
      </c>
      <c r="K20" s="9">
        <v>180</v>
      </c>
      <c r="L20" s="9"/>
      <c r="M20" s="9"/>
      <c r="N20" s="9"/>
      <c r="O20" s="9">
        <v>0</v>
      </c>
      <c r="P20" s="9"/>
      <c r="Q20" s="9"/>
      <c r="R20" s="9"/>
      <c r="S20" s="9" t="s">
        <v>79</v>
      </c>
      <c r="T20" s="9">
        <v>0</v>
      </c>
      <c r="U20" s="9"/>
      <c r="V20" s="9" t="e">
        <v>#DIV/0!</v>
      </c>
      <c r="W20" s="20" t="e">
        <v>#DIV/0!</v>
      </c>
      <c r="X20" s="9">
        <v>1.2927999999999999</v>
      </c>
      <c r="Y20" s="9">
        <v>17.328800000000001</v>
      </c>
      <c r="Z20" s="9"/>
      <c r="AA20" s="9">
        <v>2.5156000000000001</v>
      </c>
      <c r="AB20" s="9">
        <v>2.64</v>
      </c>
      <c r="AC20" s="9">
        <v>1.3726</v>
      </c>
      <c r="AD20" s="9">
        <v>0.75600000000000001</v>
      </c>
      <c r="AE20" s="9">
        <v>1.2356</v>
      </c>
      <c r="AF20" s="9">
        <v>4.1204000000000001</v>
      </c>
      <c r="AG20" s="9">
        <v>1.3091999999999999</v>
      </c>
      <c r="AH20" s="9">
        <v>4.6416000000000004</v>
      </c>
      <c r="AI20" s="9" t="s">
        <v>171</v>
      </c>
      <c r="AJ20" s="9">
        <v>0</v>
      </c>
      <c r="AK20" s="9"/>
    </row>
    <row r="21" spans="1:37" x14ac:dyDescent="0.25">
      <c r="A21" s="9" t="s">
        <v>37</v>
      </c>
      <c r="B21" s="9" t="s">
        <v>153</v>
      </c>
      <c r="C21" s="9" t="s">
        <v>172</v>
      </c>
      <c r="D21" s="9" t="s">
        <v>40</v>
      </c>
      <c r="E21" s="9">
        <v>46.38</v>
      </c>
      <c r="F21" s="9">
        <v>15.62</v>
      </c>
      <c r="G21" s="9"/>
      <c r="H21" s="9">
        <v>62</v>
      </c>
      <c r="I21" s="9">
        <v>62</v>
      </c>
      <c r="J21" s="9">
        <v>1</v>
      </c>
      <c r="K21" s="9">
        <v>180</v>
      </c>
      <c r="L21" s="9"/>
      <c r="M21" s="9"/>
      <c r="N21" s="9"/>
      <c r="O21" s="9">
        <v>0</v>
      </c>
      <c r="P21" s="9"/>
      <c r="Q21" s="9"/>
      <c r="R21" s="9"/>
      <c r="S21" s="9" t="s">
        <v>79</v>
      </c>
      <c r="T21" s="9">
        <v>0</v>
      </c>
      <c r="U21" s="9"/>
      <c r="V21" s="9" t="e">
        <v>#DIV/0!</v>
      </c>
      <c r="W21" s="20" t="e">
        <v>#DIV/0!</v>
      </c>
      <c r="X21" s="9">
        <v>1.274</v>
      </c>
      <c r="Y21" s="9">
        <v>3.7267999999999999</v>
      </c>
      <c r="Z21" s="9"/>
      <c r="AA21" s="9">
        <v>3.8944000000000001</v>
      </c>
      <c r="AB21" s="9">
        <v>3.7183999999999999</v>
      </c>
      <c r="AC21" s="9">
        <v>2.5583999999999998</v>
      </c>
      <c r="AD21" s="9">
        <v>3.859599999999999</v>
      </c>
      <c r="AE21" s="9">
        <v>0.60640000000000005</v>
      </c>
      <c r="AF21" s="9">
        <v>5.1560000000000006</v>
      </c>
      <c r="AG21" s="9">
        <v>0.63280000000000003</v>
      </c>
      <c r="AH21" s="9">
        <v>2.4144000000000001</v>
      </c>
      <c r="AI21" s="9" t="s">
        <v>52</v>
      </c>
      <c r="AJ21" s="9">
        <v>0</v>
      </c>
      <c r="AK21" s="9"/>
    </row>
    <row r="22" spans="1:37" x14ac:dyDescent="0.25">
      <c r="A22" s="9" t="s">
        <v>37</v>
      </c>
      <c r="B22" s="9" t="s">
        <v>153</v>
      </c>
      <c r="C22" s="9" t="s">
        <v>173</v>
      </c>
      <c r="D22" s="9" t="s">
        <v>40</v>
      </c>
      <c r="E22" s="9">
        <v>110.39700000000001</v>
      </c>
      <c r="F22" s="9"/>
      <c r="G22" s="9"/>
      <c r="H22" s="9">
        <v>110.39700000000001</v>
      </c>
      <c r="I22" s="9">
        <v>110.39700000000001</v>
      </c>
      <c r="J22" s="9">
        <v>1</v>
      </c>
      <c r="K22" s="9">
        <v>120</v>
      </c>
      <c r="L22" s="9"/>
      <c r="M22" s="9"/>
      <c r="N22" s="9"/>
      <c r="O22" s="9">
        <v>0</v>
      </c>
      <c r="P22" s="9"/>
      <c r="Q22" s="9"/>
      <c r="R22" s="9"/>
      <c r="S22" s="9" t="s">
        <v>79</v>
      </c>
      <c r="T22" s="9">
        <v>0</v>
      </c>
      <c r="U22" s="9"/>
      <c r="V22" s="9" t="e">
        <v>#DIV/0!</v>
      </c>
      <c r="W22" s="20" t="e">
        <v>#DIV/0!</v>
      </c>
      <c r="X22" s="9">
        <v>0.83499999999999996</v>
      </c>
      <c r="Y22" s="9">
        <v>0</v>
      </c>
      <c r="Z22" s="9"/>
      <c r="AA22" s="9">
        <v>15.537599999999999</v>
      </c>
      <c r="AB22" s="9">
        <v>0.63040000000000007</v>
      </c>
      <c r="AC22" s="9">
        <v>0</v>
      </c>
      <c r="AD22" s="9">
        <v>0</v>
      </c>
      <c r="AE22" s="9">
        <v>64.421999999999997</v>
      </c>
      <c r="AF22" s="9">
        <v>0.6492</v>
      </c>
      <c r="AG22" s="9">
        <v>6.3916000000000004</v>
      </c>
      <c r="AH22" s="9">
        <v>34.374000000000002</v>
      </c>
      <c r="AI22" s="9" t="s">
        <v>174</v>
      </c>
      <c r="AJ22" s="9">
        <v>0</v>
      </c>
      <c r="AK22" s="9"/>
    </row>
    <row r="23" spans="1:37" x14ac:dyDescent="0.25">
      <c r="A23" s="10" t="s">
        <v>53</v>
      </c>
      <c r="B23" s="10" t="s">
        <v>153</v>
      </c>
      <c r="C23" s="10" t="s">
        <v>155</v>
      </c>
      <c r="D23" s="10" t="s">
        <v>47</v>
      </c>
      <c r="E23" s="10">
        <v>78</v>
      </c>
      <c r="F23" s="10"/>
      <c r="G23" s="10">
        <v>10</v>
      </c>
      <c r="H23" s="10">
        <v>68</v>
      </c>
      <c r="I23" s="10">
        <v>6.8000000000000007</v>
      </c>
      <c r="J23" s="10">
        <v>0.1</v>
      </c>
      <c r="K23" s="10">
        <v>120</v>
      </c>
      <c r="L23" s="10"/>
      <c r="M23" s="10"/>
      <c r="N23" s="10">
        <v>10</v>
      </c>
      <c r="O23" s="10">
        <v>0</v>
      </c>
      <c r="P23" s="10"/>
      <c r="Q23" s="10"/>
      <c r="R23" s="10"/>
      <c r="S23" s="10" t="s">
        <v>175</v>
      </c>
      <c r="T23" s="10">
        <v>2</v>
      </c>
      <c r="U23" s="10"/>
      <c r="V23" s="10">
        <v>46</v>
      </c>
      <c r="W23" s="21">
        <v>46</v>
      </c>
      <c r="X23" s="10">
        <v>6</v>
      </c>
      <c r="Y23" s="10">
        <v>2.6</v>
      </c>
      <c r="Z23" s="10"/>
      <c r="AA23" s="10">
        <v>1</v>
      </c>
      <c r="AB23" s="10">
        <v>6</v>
      </c>
      <c r="AC23" s="10">
        <v>3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 t="s">
        <v>74</v>
      </c>
      <c r="AJ23" s="10">
        <v>0</v>
      </c>
      <c r="AK23" s="10">
        <v>204</v>
      </c>
    </row>
    <row r="24" spans="1:37" x14ac:dyDescent="0.25">
      <c r="A24" s="10" t="s">
        <v>53</v>
      </c>
      <c r="B24" s="10" t="s">
        <v>153</v>
      </c>
      <c r="C24" s="10" t="s">
        <v>156</v>
      </c>
      <c r="D24" s="10" t="s">
        <v>47</v>
      </c>
      <c r="E24" s="10">
        <v>34</v>
      </c>
      <c r="F24" s="10"/>
      <c r="G24" s="10">
        <v>6</v>
      </c>
      <c r="H24" s="10">
        <v>25</v>
      </c>
      <c r="I24" s="10">
        <v>2.5</v>
      </c>
      <c r="J24" s="10">
        <v>0.1</v>
      </c>
      <c r="K24" s="10">
        <v>120</v>
      </c>
      <c r="L24" s="10"/>
      <c r="M24" s="10"/>
      <c r="N24" s="10">
        <v>6</v>
      </c>
      <c r="O24" s="10">
        <v>0</v>
      </c>
      <c r="P24" s="10"/>
      <c r="Q24" s="10"/>
      <c r="R24" s="10"/>
      <c r="S24" s="10" t="s">
        <v>175</v>
      </c>
      <c r="T24" s="10">
        <v>1.2</v>
      </c>
      <c r="U24" s="10"/>
      <c r="V24" s="10">
        <v>40.833333333333343</v>
      </c>
      <c r="W24" s="21">
        <v>40.833333333333343</v>
      </c>
      <c r="X24" s="10">
        <v>3.2</v>
      </c>
      <c r="Y24" s="10">
        <v>1.4</v>
      </c>
      <c r="Z24" s="10"/>
      <c r="AA24" s="10">
        <v>3</v>
      </c>
      <c r="AB24" s="10">
        <v>2.2000000000000002</v>
      </c>
      <c r="AC24" s="10">
        <v>2.4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 t="s">
        <v>74</v>
      </c>
      <c r="AJ24" s="10">
        <v>0</v>
      </c>
      <c r="AK24" s="10">
        <v>125</v>
      </c>
    </row>
    <row r="25" spans="1:37" x14ac:dyDescent="0.25">
      <c r="A25" s="10" t="s">
        <v>53</v>
      </c>
      <c r="B25" s="10" t="s">
        <v>153</v>
      </c>
      <c r="C25" s="10" t="s">
        <v>158</v>
      </c>
      <c r="D25" s="10" t="s">
        <v>40</v>
      </c>
      <c r="E25" s="10">
        <v>87.07</v>
      </c>
      <c r="F25" s="10"/>
      <c r="G25" s="10">
        <v>6.5259999999999998</v>
      </c>
      <c r="H25" s="10">
        <v>77.165999999999997</v>
      </c>
      <c r="I25" s="10">
        <v>77.165999999999997</v>
      </c>
      <c r="J25" s="10">
        <v>1</v>
      </c>
      <c r="K25" s="10">
        <v>180</v>
      </c>
      <c r="L25" s="10"/>
      <c r="M25" s="10"/>
      <c r="N25" s="10">
        <v>7</v>
      </c>
      <c r="O25" s="10">
        <v>-0.4740000000000002</v>
      </c>
      <c r="P25" s="10"/>
      <c r="Q25" s="10"/>
      <c r="R25" s="10"/>
      <c r="S25" s="10" t="s">
        <v>175</v>
      </c>
      <c r="T25" s="10">
        <v>1.3051999999999999</v>
      </c>
      <c r="U25" s="10"/>
      <c r="V25" s="10">
        <v>59.121973643885987</v>
      </c>
      <c r="W25" s="21">
        <v>59.121973643885987</v>
      </c>
      <c r="X25" s="10">
        <v>0.63680000000000003</v>
      </c>
      <c r="Y25" s="10">
        <v>1.2988</v>
      </c>
      <c r="Z25" s="10"/>
      <c r="AA25" s="10">
        <v>1.2927999999999999</v>
      </c>
      <c r="AB25" s="10">
        <v>0.72399999999999998</v>
      </c>
      <c r="AC25" s="10">
        <v>1.9139999999999999</v>
      </c>
      <c r="AD25" s="10">
        <v>0.628</v>
      </c>
      <c r="AE25" s="10">
        <v>6.628400000000001</v>
      </c>
      <c r="AF25" s="10">
        <v>1.3204</v>
      </c>
      <c r="AG25" s="10">
        <v>5.8715999999999999</v>
      </c>
      <c r="AH25" s="10">
        <v>3.3479999999999999</v>
      </c>
      <c r="AI25" s="10" t="s">
        <v>52</v>
      </c>
      <c r="AJ25" s="10">
        <v>0</v>
      </c>
      <c r="AK25" s="10">
        <v>354.7</v>
      </c>
    </row>
    <row r="26" spans="1:37" x14ac:dyDescent="0.25">
      <c r="A26" s="10" t="s">
        <v>53</v>
      </c>
      <c r="B26" s="10" t="s">
        <v>153</v>
      </c>
      <c r="C26" s="10" t="s">
        <v>159</v>
      </c>
      <c r="D26" s="10" t="s">
        <v>47</v>
      </c>
      <c r="E26" s="10">
        <v>140</v>
      </c>
      <c r="F26" s="10"/>
      <c r="G26" s="10"/>
      <c r="H26" s="10">
        <v>138</v>
      </c>
      <c r="I26" s="10">
        <v>113.78100000000001</v>
      </c>
      <c r="J26" s="10">
        <v>0.82450000000000001</v>
      </c>
      <c r="K26" s="10">
        <v>180</v>
      </c>
      <c r="L26" s="10"/>
      <c r="M26" s="10"/>
      <c r="N26" s="10"/>
      <c r="O26" s="10">
        <v>0</v>
      </c>
      <c r="P26" s="10"/>
      <c r="Q26" s="10"/>
      <c r="R26" s="10"/>
      <c r="S26" s="10" t="s">
        <v>175</v>
      </c>
      <c r="T26" s="10">
        <v>0</v>
      </c>
      <c r="U26" s="10"/>
      <c r="V26" s="10" t="e">
        <v>#DIV/0!</v>
      </c>
      <c r="W26" s="21" t="e">
        <v>#DIV/0!</v>
      </c>
      <c r="X26" s="10">
        <v>0.4</v>
      </c>
      <c r="Y26" s="10">
        <v>0</v>
      </c>
      <c r="Z26" s="10"/>
      <c r="AA26" s="10">
        <v>0</v>
      </c>
      <c r="AB26" s="10">
        <v>0</v>
      </c>
      <c r="AC26" s="10">
        <v>0.6</v>
      </c>
      <c r="AD26" s="10">
        <v>0</v>
      </c>
      <c r="AE26" s="10">
        <v>0</v>
      </c>
      <c r="AF26" s="10">
        <v>0</v>
      </c>
      <c r="AG26" s="10">
        <v>0</v>
      </c>
      <c r="AH26" s="10">
        <v>0.6</v>
      </c>
      <c r="AI26" s="10" t="s">
        <v>52</v>
      </c>
      <c r="AJ26" s="10">
        <v>0</v>
      </c>
      <c r="AK26" s="10"/>
    </row>
    <row r="27" spans="1:37" x14ac:dyDescent="0.25">
      <c r="A27" s="10" t="s">
        <v>53</v>
      </c>
      <c r="B27" s="10" t="s">
        <v>153</v>
      </c>
      <c r="C27" s="10" t="s">
        <v>176</v>
      </c>
      <c r="D27" s="10" t="s">
        <v>47</v>
      </c>
      <c r="E27" s="10">
        <v>308</v>
      </c>
      <c r="F27" s="10">
        <v>4</v>
      </c>
      <c r="G27" s="10">
        <v>38</v>
      </c>
      <c r="H27" s="10">
        <v>270</v>
      </c>
      <c r="I27" s="10">
        <v>100.44</v>
      </c>
      <c r="J27" s="10">
        <v>0.372</v>
      </c>
      <c r="K27" s="10">
        <v>180</v>
      </c>
      <c r="L27" s="10"/>
      <c r="M27" s="10"/>
      <c r="N27" s="10">
        <v>39</v>
      </c>
      <c r="O27" s="10">
        <v>-1</v>
      </c>
      <c r="P27" s="10"/>
      <c r="Q27" s="10"/>
      <c r="R27" s="10">
        <v>48</v>
      </c>
      <c r="S27" s="10" t="s">
        <v>175</v>
      </c>
      <c r="T27" s="10">
        <v>7.6</v>
      </c>
      <c r="U27" s="10"/>
      <c r="V27" s="10">
        <v>41.842105263157897</v>
      </c>
      <c r="W27" s="21">
        <v>41.842105263157897</v>
      </c>
      <c r="X27" s="10">
        <v>2.4</v>
      </c>
      <c r="Y27" s="10">
        <v>9.8000000000000007</v>
      </c>
      <c r="Z27" s="10"/>
      <c r="AA27" s="10">
        <v>16.2</v>
      </c>
      <c r="AB27" s="10">
        <v>15.2</v>
      </c>
      <c r="AC27" s="10">
        <v>4.5999999999999996</v>
      </c>
      <c r="AD27" s="10">
        <v>5</v>
      </c>
      <c r="AE27" s="10">
        <v>16</v>
      </c>
      <c r="AF27" s="10">
        <v>2.6</v>
      </c>
      <c r="AG27" s="10">
        <v>29.8</v>
      </c>
      <c r="AH27" s="10">
        <v>4.4000000000000004</v>
      </c>
      <c r="AI27" s="10" t="s">
        <v>52</v>
      </c>
      <c r="AJ27" s="10">
        <v>0</v>
      </c>
      <c r="AK27" s="10">
        <v>213.2</v>
      </c>
    </row>
    <row r="28" spans="1:37" x14ac:dyDescent="0.25">
      <c r="A28" s="10" t="s">
        <v>53</v>
      </c>
      <c r="B28" s="10" t="s">
        <v>153</v>
      </c>
      <c r="C28" s="10" t="s">
        <v>177</v>
      </c>
      <c r="D28" s="10" t="s">
        <v>47</v>
      </c>
      <c r="E28" s="10">
        <v>413</v>
      </c>
      <c r="F28" s="10">
        <v>3</v>
      </c>
      <c r="G28" s="10">
        <v>58</v>
      </c>
      <c r="H28" s="10">
        <v>324</v>
      </c>
      <c r="I28" s="10">
        <v>120.52800000000001</v>
      </c>
      <c r="J28" s="10">
        <v>0.372</v>
      </c>
      <c r="K28" s="10">
        <v>180</v>
      </c>
      <c r="L28" s="10"/>
      <c r="M28" s="10"/>
      <c r="N28" s="10">
        <v>226</v>
      </c>
      <c r="O28" s="10">
        <v>-168</v>
      </c>
      <c r="P28" s="10"/>
      <c r="Q28" s="10"/>
      <c r="R28" s="10">
        <v>144</v>
      </c>
      <c r="S28" s="10" t="s">
        <v>175</v>
      </c>
      <c r="T28" s="10">
        <v>11.6</v>
      </c>
      <c r="U28" s="10"/>
      <c r="V28" s="10">
        <v>40.344827586206897</v>
      </c>
      <c r="W28" s="21">
        <v>40.344827586206897</v>
      </c>
      <c r="X28" s="10">
        <v>10.199999999999999</v>
      </c>
      <c r="Y28" s="10">
        <v>16.2</v>
      </c>
      <c r="Z28" s="10"/>
      <c r="AA28" s="10">
        <v>7.8</v>
      </c>
      <c r="AB28" s="10">
        <v>15.4</v>
      </c>
      <c r="AC28" s="10">
        <v>15.8</v>
      </c>
      <c r="AD28" s="10">
        <v>10</v>
      </c>
      <c r="AE28" s="10">
        <v>20.399999999999999</v>
      </c>
      <c r="AF28" s="10">
        <v>8.8000000000000007</v>
      </c>
      <c r="AG28" s="10">
        <v>42.8</v>
      </c>
      <c r="AH28" s="10">
        <v>12</v>
      </c>
      <c r="AI28" s="10" t="s">
        <v>52</v>
      </c>
      <c r="AJ28" s="10">
        <v>0</v>
      </c>
      <c r="AK28" s="10">
        <v>167.6</v>
      </c>
    </row>
    <row r="29" spans="1:37" x14ac:dyDescent="0.25">
      <c r="A29" s="10" t="s">
        <v>53</v>
      </c>
      <c r="B29" s="10" t="s">
        <v>153</v>
      </c>
      <c r="C29" s="10" t="s">
        <v>161</v>
      </c>
      <c r="D29" s="10" t="s">
        <v>47</v>
      </c>
      <c r="E29" s="10">
        <v>32</v>
      </c>
      <c r="F29" s="10"/>
      <c r="G29" s="10">
        <v>-2</v>
      </c>
      <c r="H29" s="10">
        <v>31</v>
      </c>
      <c r="I29" s="10">
        <v>12.4</v>
      </c>
      <c r="J29" s="10">
        <v>0.4</v>
      </c>
      <c r="K29" s="10">
        <v>270</v>
      </c>
      <c r="L29" s="10"/>
      <c r="M29" s="10"/>
      <c r="N29" s="10">
        <v>14</v>
      </c>
      <c r="O29" s="10">
        <v>-16</v>
      </c>
      <c r="P29" s="10"/>
      <c r="Q29" s="10"/>
      <c r="R29" s="10"/>
      <c r="S29" s="10" t="s">
        <v>175</v>
      </c>
      <c r="T29" s="10">
        <v>-0.4</v>
      </c>
      <c r="U29" s="10"/>
      <c r="V29" s="10">
        <v>-77.5</v>
      </c>
      <c r="W29" s="21">
        <v>-77.5</v>
      </c>
      <c r="X29" s="10">
        <v>0</v>
      </c>
      <c r="Y29" s="10">
        <v>0</v>
      </c>
      <c r="Z29" s="10"/>
      <c r="AA29" s="10">
        <v>0</v>
      </c>
      <c r="AB29" s="10">
        <v>-0.4</v>
      </c>
      <c r="AC29" s="10">
        <v>0</v>
      </c>
      <c r="AD29" s="10">
        <v>0.4</v>
      </c>
      <c r="AE29" s="10">
        <v>0.4</v>
      </c>
      <c r="AF29" s="10">
        <v>0.4</v>
      </c>
      <c r="AG29" s="10">
        <v>0.8</v>
      </c>
      <c r="AH29" s="10">
        <v>0.2</v>
      </c>
      <c r="AI29" s="10" t="s">
        <v>52</v>
      </c>
      <c r="AJ29" s="10">
        <v>0</v>
      </c>
      <c r="AK29" s="10">
        <v>-465</v>
      </c>
    </row>
    <row r="30" spans="1:37" x14ac:dyDescent="0.25">
      <c r="A30" s="10" t="s">
        <v>53</v>
      </c>
      <c r="B30" s="10" t="s">
        <v>153</v>
      </c>
      <c r="C30" s="10" t="s">
        <v>178</v>
      </c>
      <c r="D30" s="10" t="s">
        <v>47</v>
      </c>
      <c r="E30" s="10">
        <v>445</v>
      </c>
      <c r="F30" s="10">
        <v>6</v>
      </c>
      <c r="G30" s="10">
        <v>70</v>
      </c>
      <c r="H30" s="10">
        <v>366</v>
      </c>
      <c r="I30" s="10">
        <v>65.88</v>
      </c>
      <c r="J30" s="10">
        <v>0.18</v>
      </c>
      <c r="K30" s="10">
        <v>150</v>
      </c>
      <c r="L30" s="10"/>
      <c r="M30" s="10"/>
      <c r="N30" s="10">
        <v>103</v>
      </c>
      <c r="O30" s="10">
        <v>-33</v>
      </c>
      <c r="P30" s="10"/>
      <c r="Q30" s="10"/>
      <c r="R30" s="10"/>
      <c r="S30" s="10" t="s">
        <v>175</v>
      </c>
      <c r="T30" s="10">
        <v>14</v>
      </c>
      <c r="U30" s="10"/>
      <c r="V30" s="10">
        <v>31.142857142857139</v>
      </c>
      <c r="W30" s="21">
        <v>31.142857142857139</v>
      </c>
      <c r="X30" s="10">
        <v>34</v>
      </c>
      <c r="Y30" s="10">
        <v>14.2</v>
      </c>
      <c r="Z30" s="10"/>
      <c r="AA30" s="10">
        <v>8.4</v>
      </c>
      <c r="AB30" s="10">
        <v>6.4</v>
      </c>
      <c r="AC30" s="10">
        <v>5.4</v>
      </c>
      <c r="AD30" s="10">
        <v>17</v>
      </c>
      <c r="AE30" s="10">
        <v>11.8</v>
      </c>
      <c r="AF30" s="10">
        <v>27.6</v>
      </c>
      <c r="AG30" s="10">
        <v>9</v>
      </c>
      <c r="AH30" s="10">
        <v>26.2</v>
      </c>
      <c r="AI30" s="10" t="s">
        <v>52</v>
      </c>
      <c r="AJ30" s="10">
        <v>0</v>
      </c>
      <c r="AK30" s="10">
        <v>156.9</v>
      </c>
    </row>
    <row r="31" spans="1:37" x14ac:dyDescent="0.25">
      <c r="A31" s="10" t="s">
        <v>53</v>
      </c>
      <c r="B31" s="10" t="s">
        <v>153</v>
      </c>
      <c r="C31" s="10" t="s">
        <v>170</v>
      </c>
      <c r="D31" s="10" t="s">
        <v>40</v>
      </c>
      <c r="E31" s="10">
        <v>87.616</v>
      </c>
      <c r="F31" s="10"/>
      <c r="G31" s="10">
        <v>6.8659999999999997</v>
      </c>
      <c r="H31" s="10">
        <v>80.75</v>
      </c>
      <c r="I31" s="10">
        <v>80.75</v>
      </c>
      <c r="J31" s="10">
        <v>1</v>
      </c>
      <c r="K31" s="10">
        <v>180</v>
      </c>
      <c r="L31" s="10"/>
      <c r="M31" s="10"/>
      <c r="N31" s="10">
        <v>6.8</v>
      </c>
      <c r="O31" s="10">
        <v>6.5999999999999837E-2</v>
      </c>
      <c r="P31" s="10"/>
      <c r="Q31" s="10"/>
      <c r="R31" s="10"/>
      <c r="S31" s="10" t="s">
        <v>175</v>
      </c>
      <c r="T31" s="10">
        <v>1.3732</v>
      </c>
      <c r="U31" s="10"/>
      <c r="V31" s="10">
        <v>58.80425284008156</v>
      </c>
      <c r="W31" s="21">
        <v>58.80425284008156</v>
      </c>
      <c r="X31" s="10">
        <v>2.7864</v>
      </c>
      <c r="Y31" s="10">
        <v>2.1147999999999998</v>
      </c>
      <c r="Z31" s="10"/>
      <c r="AA31" s="10">
        <v>0</v>
      </c>
      <c r="AB31" s="10">
        <v>0.76879999999999993</v>
      </c>
      <c r="AC31" s="10">
        <v>2.5832000000000002</v>
      </c>
      <c r="AD31" s="10">
        <v>0.69920000000000004</v>
      </c>
      <c r="AE31" s="10">
        <v>0.72199999999999998</v>
      </c>
      <c r="AF31" s="10">
        <v>0.67720000000000002</v>
      </c>
      <c r="AG31" s="10">
        <v>0.67120000000000002</v>
      </c>
      <c r="AH31" s="10">
        <v>2.7471999999999999</v>
      </c>
      <c r="AI31" s="10" t="s">
        <v>52</v>
      </c>
      <c r="AJ31" s="10">
        <v>0</v>
      </c>
      <c r="AK31" s="10">
        <v>352.8</v>
      </c>
    </row>
    <row r="32" spans="1:37" x14ac:dyDescent="0.25">
      <c r="A32" s="10" t="s">
        <v>53</v>
      </c>
      <c r="B32" s="10" t="s">
        <v>153</v>
      </c>
      <c r="C32" s="10" t="s">
        <v>172</v>
      </c>
      <c r="D32" s="10" t="s">
        <v>40</v>
      </c>
      <c r="E32" s="10">
        <v>125.246</v>
      </c>
      <c r="F32" s="10"/>
      <c r="G32" s="10">
        <v>3.476</v>
      </c>
      <c r="H32" s="10">
        <v>121.77</v>
      </c>
      <c r="I32" s="10">
        <v>121.77</v>
      </c>
      <c r="J32" s="10">
        <v>1</v>
      </c>
      <c r="K32" s="10">
        <v>180</v>
      </c>
      <c r="L32" s="10"/>
      <c r="M32" s="10"/>
      <c r="N32" s="10">
        <v>3.5</v>
      </c>
      <c r="O32" s="10">
        <v>-2.4000000000000021E-2</v>
      </c>
      <c r="P32" s="10"/>
      <c r="Q32" s="10"/>
      <c r="R32" s="10"/>
      <c r="S32" s="10" t="s">
        <v>175</v>
      </c>
      <c r="T32" s="10">
        <v>0.69520000000000004</v>
      </c>
      <c r="U32" s="10"/>
      <c r="V32" s="10">
        <v>175.15822784810129</v>
      </c>
      <c r="W32" s="21">
        <v>175.15822784810129</v>
      </c>
      <c r="X32" s="10">
        <v>0.59960000000000002</v>
      </c>
      <c r="Y32" s="10">
        <v>1.1588000000000001</v>
      </c>
      <c r="Z32" s="10"/>
      <c r="AA32" s="10">
        <v>0</v>
      </c>
      <c r="AB32" s="10">
        <v>0.61199999999999999</v>
      </c>
      <c r="AC32" s="10">
        <v>2.6760000000000002</v>
      </c>
      <c r="AD32" s="10">
        <v>0.63880000000000003</v>
      </c>
      <c r="AE32" s="10">
        <v>0</v>
      </c>
      <c r="AF32" s="10">
        <v>0.61919999999999997</v>
      </c>
      <c r="AG32" s="10">
        <v>4.4596</v>
      </c>
      <c r="AH32" s="10">
        <v>0.64160000000000006</v>
      </c>
      <c r="AI32" s="10" t="s">
        <v>52</v>
      </c>
      <c r="AJ32" s="10">
        <v>0</v>
      </c>
      <c r="AK32" s="10">
        <v>1050.9000000000001</v>
      </c>
    </row>
    <row r="33" spans="1:37" x14ac:dyDescent="0.25">
      <c r="A33" s="10" t="s">
        <v>53</v>
      </c>
      <c r="B33" s="10" t="s">
        <v>153</v>
      </c>
      <c r="C33" s="10" t="s">
        <v>173</v>
      </c>
      <c r="D33" s="10" t="s">
        <v>40</v>
      </c>
      <c r="E33" s="10">
        <v>80.346000000000004</v>
      </c>
      <c r="F33" s="10"/>
      <c r="G33" s="10"/>
      <c r="H33" s="10">
        <v>80.346000000000004</v>
      </c>
      <c r="I33" s="10">
        <v>80.346000000000004</v>
      </c>
      <c r="J33" s="10">
        <v>1</v>
      </c>
      <c r="K33" s="10">
        <v>120</v>
      </c>
      <c r="L33" s="10"/>
      <c r="M33" s="10"/>
      <c r="N33" s="10"/>
      <c r="O33" s="10">
        <v>0</v>
      </c>
      <c r="P33" s="10"/>
      <c r="Q33" s="10"/>
      <c r="R33" s="10"/>
      <c r="S33" s="10" t="s">
        <v>175</v>
      </c>
      <c r="T33" s="10">
        <v>0</v>
      </c>
      <c r="U33" s="10"/>
      <c r="V33" s="10" t="e">
        <v>#DIV/0!</v>
      </c>
      <c r="W33" s="21" t="e">
        <v>#DIV/0!</v>
      </c>
      <c r="X33" s="10">
        <v>0</v>
      </c>
      <c r="Y33" s="10">
        <v>0.64680000000000004</v>
      </c>
      <c r="Z33" s="10"/>
      <c r="AA33" s="10">
        <v>1.2376</v>
      </c>
      <c r="AB33" s="10">
        <v>0.64039999999999997</v>
      </c>
      <c r="AC33" s="10">
        <v>0</v>
      </c>
      <c r="AD33" s="10">
        <v>0.67400000000000004</v>
      </c>
      <c r="AE33" s="10">
        <v>0.58240000000000003</v>
      </c>
      <c r="AF33" s="10">
        <v>2.5568</v>
      </c>
      <c r="AG33" s="10">
        <v>5.3572000000000006</v>
      </c>
      <c r="AH33" s="10">
        <v>0.70960000000000001</v>
      </c>
      <c r="AI33" s="10" t="s">
        <v>52</v>
      </c>
      <c r="AJ33" s="10">
        <v>0</v>
      </c>
      <c r="AK33" s="10"/>
    </row>
    <row r="34" spans="1:37" x14ac:dyDescent="0.25">
      <c r="A34" s="10" t="s">
        <v>53</v>
      </c>
      <c r="B34" s="10" t="s">
        <v>153</v>
      </c>
      <c r="C34" s="10" t="s">
        <v>179</v>
      </c>
      <c r="D34" s="10" t="s">
        <v>47</v>
      </c>
      <c r="E34" s="10">
        <v>124</v>
      </c>
      <c r="F34" s="10"/>
      <c r="G34" s="10">
        <v>11</v>
      </c>
      <c r="H34" s="10">
        <v>112</v>
      </c>
      <c r="I34" s="10">
        <v>22.4</v>
      </c>
      <c r="J34" s="10">
        <v>0.2</v>
      </c>
      <c r="K34" s="10">
        <v>120</v>
      </c>
      <c r="L34" s="10"/>
      <c r="M34" s="10"/>
      <c r="N34" s="10">
        <v>11</v>
      </c>
      <c r="O34" s="10">
        <v>0</v>
      </c>
      <c r="P34" s="10"/>
      <c r="Q34" s="10"/>
      <c r="R34" s="10"/>
      <c r="S34" s="10" t="s">
        <v>175</v>
      </c>
      <c r="T34" s="10">
        <v>2.2000000000000002</v>
      </c>
      <c r="U34" s="10"/>
      <c r="V34" s="10">
        <v>50.909090909090907</v>
      </c>
      <c r="W34" s="21">
        <v>50.909090909090907</v>
      </c>
      <c r="X34" s="10">
        <v>4.4000000000000004</v>
      </c>
      <c r="Y34" s="10">
        <v>5</v>
      </c>
      <c r="Z34" s="10"/>
      <c r="AA34" s="10">
        <v>4.4000000000000004</v>
      </c>
      <c r="AB34" s="10">
        <v>4.2</v>
      </c>
      <c r="AC34" s="10">
        <v>2.8</v>
      </c>
      <c r="AD34" s="10">
        <v>2.4</v>
      </c>
      <c r="AE34" s="10">
        <v>1.4</v>
      </c>
      <c r="AF34" s="10">
        <v>12</v>
      </c>
      <c r="AG34" s="10">
        <v>11</v>
      </c>
      <c r="AH34" s="10">
        <v>12.8</v>
      </c>
      <c r="AI34" s="10" t="s">
        <v>52</v>
      </c>
      <c r="AJ34" s="10">
        <v>0</v>
      </c>
      <c r="AK34" s="10">
        <v>305.5</v>
      </c>
    </row>
    <row r="35" spans="1:37" x14ac:dyDescent="0.25">
      <c r="A35" s="11" t="s">
        <v>77</v>
      </c>
      <c r="B35" s="11" t="s">
        <v>153</v>
      </c>
      <c r="C35" s="11" t="s">
        <v>154</v>
      </c>
      <c r="D35" s="11" t="s">
        <v>47</v>
      </c>
      <c r="E35" s="11">
        <v>88</v>
      </c>
      <c r="F35" s="11"/>
      <c r="G35" s="11">
        <v>12</v>
      </c>
      <c r="H35" s="11">
        <v>74</v>
      </c>
      <c r="I35" s="11">
        <v>4.07</v>
      </c>
      <c r="J35" s="11">
        <v>5.5E-2</v>
      </c>
      <c r="K35" s="11">
        <v>120</v>
      </c>
      <c r="L35" s="11"/>
      <c r="M35" s="11"/>
      <c r="N35" s="11">
        <v>12</v>
      </c>
      <c r="O35" s="11">
        <v>0</v>
      </c>
      <c r="P35" s="11"/>
      <c r="Q35" s="11"/>
      <c r="R35" s="11"/>
      <c r="S35" s="11" t="s">
        <v>79</v>
      </c>
      <c r="T35" s="11">
        <v>2.4</v>
      </c>
      <c r="U35" s="11"/>
      <c r="V35" s="11">
        <v>30.833333333333339</v>
      </c>
      <c r="W35" s="22">
        <v>30.833333333333339</v>
      </c>
      <c r="X35" s="11">
        <v>1.6</v>
      </c>
      <c r="Y35" s="11">
        <v>0</v>
      </c>
      <c r="Z35" s="11"/>
      <c r="AA35" s="11">
        <v>1.8</v>
      </c>
      <c r="AB35" s="11">
        <v>7.4</v>
      </c>
      <c r="AC35" s="11">
        <v>0.4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 t="s">
        <v>74</v>
      </c>
      <c r="AJ35" s="11">
        <v>0</v>
      </c>
      <c r="AK35" s="11">
        <v>185</v>
      </c>
    </row>
    <row r="36" spans="1:37" x14ac:dyDescent="0.25">
      <c r="A36" s="11" t="s">
        <v>77</v>
      </c>
      <c r="B36" s="11" t="s">
        <v>153</v>
      </c>
      <c r="C36" s="11" t="s">
        <v>159</v>
      </c>
      <c r="D36" s="11" t="s">
        <v>47</v>
      </c>
      <c r="E36" s="11">
        <v>26</v>
      </c>
      <c r="F36" s="11">
        <v>27</v>
      </c>
      <c r="G36" s="11">
        <v>5</v>
      </c>
      <c r="H36" s="11">
        <v>43</v>
      </c>
      <c r="I36" s="11">
        <v>35.453499999999998</v>
      </c>
      <c r="J36" s="11">
        <v>0.82450000000000001</v>
      </c>
      <c r="K36" s="11">
        <v>180</v>
      </c>
      <c r="L36" s="11"/>
      <c r="M36" s="11"/>
      <c r="N36" s="11">
        <v>5</v>
      </c>
      <c r="O36" s="11">
        <v>0</v>
      </c>
      <c r="P36" s="11"/>
      <c r="Q36" s="11"/>
      <c r="R36" s="11"/>
      <c r="S36" s="11" t="s">
        <v>79</v>
      </c>
      <c r="T36" s="11">
        <v>1</v>
      </c>
      <c r="U36" s="11"/>
      <c r="V36" s="11">
        <v>43</v>
      </c>
      <c r="W36" s="22">
        <v>43</v>
      </c>
      <c r="X36" s="11">
        <v>1</v>
      </c>
      <c r="Y36" s="11">
        <v>3</v>
      </c>
      <c r="Z36" s="11"/>
      <c r="AA36" s="11">
        <v>1.4</v>
      </c>
      <c r="AB36" s="11">
        <v>3</v>
      </c>
      <c r="AC36" s="11">
        <v>1.8</v>
      </c>
      <c r="AD36" s="11">
        <v>0.8</v>
      </c>
      <c r="AE36" s="11">
        <v>0.8</v>
      </c>
      <c r="AF36" s="11">
        <v>1</v>
      </c>
      <c r="AG36" s="11">
        <v>1</v>
      </c>
      <c r="AH36" s="11">
        <v>2.4</v>
      </c>
      <c r="AI36" s="11" t="s">
        <v>52</v>
      </c>
      <c r="AJ36" s="11">
        <v>0</v>
      </c>
      <c r="AK36" s="11">
        <v>258</v>
      </c>
    </row>
    <row r="37" spans="1:37" x14ac:dyDescent="0.25">
      <c r="A37" s="11" t="s">
        <v>77</v>
      </c>
      <c r="B37" s="11" t="s">
        <v>153</v>
      </c>
      <c r="C37" s="11" t="s">
        <v>180</v>
      </c>
      <c r="D37" s="11" t="s">
        <v>47</v>
      </c>
      <c r="E37" s="11">
        <v>365</v>
      </c>
      <c r="F37" s="11">
        <v>59</v>
      </c>
      <c r="G37" s="11">
        <v>26</v>
      </c>
      <c r="H37" s="11">
        <v>339</v>
      </c>
      <c r="I37" s="11">
        <v>252.21600000000001</v>
      </c>
      <c r="J37" s="11">
        <v>0.74399999999999999</v>
      </c>
      <c r="K37" s="11">
        <v>180</v>
      </c>
      <c r="L37" s="11"/>
      <c r="M37" s="11"/>
      <c r="N37" s="11">
        <v>26</v>
      </c>
      <c r="O37" s="11">
        <v>0</v>
      </c>
      <c r="P37" s="11"/>
      <c r="Q37" s="11"/>
      <c r="R37" s="11"/>
      <c r="S37" s="11" t="s">
        <v>79</v>
      </c>
      <c r="T37" s="11">
        <v>5.2</v>
      </c>
      <c r="U37" s="11"/>
      <c r="V37" s="11">
        <v>65.192307692307693</v>
      </c>
      <c r="W37" s="22">
        <v>65.192307692307693</v>
      </c>
      <c r="X37" s="11">
        <v>7</v>
      </c>
      <c r="Y37" s="11">
        <v>12.6</v>
      </c>
      <c r="Z37" s="11"/>
      <c r="AA37" s="11">
        <v>4.2</v>
      </c>
      <c r="AB37" s="11">
        <v>32</v>
      </c>
      <c r="AC37" s="11">
        <v>5.8</v>
      </c>
      <c r="AD37" s="11">
        <v>5.2</v>
      </c>
      <c r="AE37" s="11">
        <v>23</v>
      </c>
      <c r="AF37" s="11">
        <v>16.8</v>
      </c>
      <c r="AG37" s="11">
        <v>10.8</v>
      </c>
      <c r="AH37" s="11">
        <v>8</v>
      </c>
      <c r="AI37" s="11" t="s">
        <v>52</v>
      </c>
      <c r="AJ37" s="11">
        <v>0</v>
      </c>
      <c r="AK37" s="11">
        <v>391.2</v>
      </c>
    </row>
    <row r="38" spans="1:37" x14ac:dyDescent="0.25">
      <c r="A38" s="11" t="s">
        <v>77</v>
      </c>
      <c r="B38" s="11" t="s">
        <v>153</v>
      </c>
      <c r="C38" s="11" t="s">
        <v>162</v>
      </c>
      <c r="D38" s="11" t="s">
        <v>47</v>
      </c>
      <c r="E38" s="11">
        <v>80</v>
      </c>
      <c r="F38" s="11"/>
      <c r="G38" s="11">
        <v>5</v>
      </c>
      <c r="H38" s="11">
        <v>75</v>
      </c>
      <c r="I38" s="11">
        <v>30</v>
      </c>
      <c r="J38" s="11">
        <v>0.4</v>
      </c>
      <c r="K38" s="11">
        <v>270</v>
      </c>
      <c r="L38" s="11"/>
      <c r="M38" s="11"/>
      <c r="N38" s="11">
        <v>5</v>
      </c>
      <c r="O38" s="11">
        <v>0</v>
      </c>
      <c r="P38" s="11"/>
      <c r="Q38" s="11"/>
      <c r="R38" s="11"/>
      <c r="S38" s="11" t="s">
        <v>79</v>
      </c>
      <c r="T38" s="11">
        <v>1</v>
      </c>
      <c r="U38" s="11"/>
      <c r="V38" s="11">
        <v>75</v>
      </c>
      <c r="W38" s="22">
        <v>75</v>
      </c>
      <c r="X38" s="11">
        <v>0.8</v>
      </c>
      <c r="Y38" s="11">
        <v>0.4</v>
      </c>
      <c r="Z38" s="11"/>
      <c r="AA38" s="11">
        <v>3.8</v>
      </c>
      <c r="AB38" s="11">
        <v>1.4</v>
      </c>
      <c r="AC38" s="11">
        <v>6</v>
      </c>
      <c r="AD38" s="11">
        <v>1.6</v>
      </c>
      <c r="AE38" s="11">
        <v>1.4</v>
      </c>
      <c r="AF38" s="11">
        <v>3.2</v>
      </c>
      <c r="AG38" s="11">
        <v>1.2</v>
      </c>
      <c r="AH38" s="11">
        <v>4.5999999999999996</v>
      </c>
      <c r="AI38" s="11" t="s">
        <v>52</v>
      </c>
      <c r="AJ38" s="11">
        <v>0</v>
      </c>
      <c r="AK38" s="11">
        <v>450</v>
      </c>
    </row>
    <row r="39" spans="1:37" x14ac:dyDescent="0.25">
      <c r="A39" s="11" t="s">
        <v>77</v>
      </c>
      <c r="B39" s="11" t="s">
        <v>153</v>
      </c>
      <c r="C39" s="11" t="s">
        <v>178</v>
      </c>
      <c r="D39" s="11" t="s">
        <v>47</v>
      </c>
      <c r="E39" s="11">
        <v>232</v>
      </c>
      <c r="F39" s="11">
        <v>1</v>
      </c>
      <c r="G39" s="11">
        <v>26</v>
      </c>
      <c r="H39" s="11">
        <v>192</v>
      </c>
      <c r="I39" s="11">
        <v>34.56</v>
      </c>
      <c r="J39" s="11">
        <v>0.18</v>
      </c>
      <c r="K39" s="11">
        <v>150</v>
      </c>
      <c r="L39" s="11"/>
      <c r="M39" s="11"/>
      <c r="N39" s="11">
        <v>27</v>
      </c>
      <c r="O39" s="11">
        <v>-1</v>
      </c>
      <c r="P39" s="11"/>
      <c r="Q39" s="11"/>
      <c r="R39" s="11"/>
      <c r="S39" s="11" t="s">
        <v>79</v>
      </c>
      <c r="T39" s="11">
        <v>5.2</v>
      </c>
      <c r="U39" s="11"/>
      <c r="V39" s="11">
        <v>36.92307692307692</v>
      </c>
      <c r="W39" s="22">
        <v>36.92307692307692</v>
      </c>
      <c r="X39" s="11">
        <v>9.4</v>
      </c>
      <c r="Y39" s="11">
        <v>10.199999999999999</v>
      </c>
      <c r="Z39" s="11"/>
      <c r="AA39" s="11">
        <v>8</v>
      </c>
      <c r="AB39" s="11">
        <v>4.5999999999999996</v>
      </c>
      <c r="AC39" s="11">
        <v>19.600000000000001</v>
      </c>
      <c r="AD39" s="11">
        <v>8.1999999999999993</v>
      </c>
      <c r="AE39" s="11">
        <v>14</v>
      </c>
      <c r="AF39" s="11">
        <v>12.4</v>
      </c>
      <c r="AG39" s="11">
        <v>10.8</v>
      </c>
      <c r="AH39" s="11">
        <v>11.6</v>
      </c>
      <c r="AI39" s="11" t="s">
        <v>52</v>
      </c>
      <c r="AJ39" s="11">
        <v>0</v>
      </c>
      <c r="AK39" s="11">
        <v>221.5</v>
      </c>
    </row>
    <row r="40" spans="1:37" x14ac:dyDescent="0.25">
      <c r="A40" s="11" t="s">
        <v>77</v>
      </c>
      <c r="B40" s="11" t="s">
        <v>153</v>
      </c>
      <c r="C40" s="11" t="s">
        <v>181</v>
      </c>
      <c r="D40" s="11" t="s">
        <v>40</v>
      </c>
      <c r="E40" s="11">
        <v>36.363999999999997</v>
      </c>
      <c r="F40" s="11"/>
      <c r="G40" s="11"/>
      <c r="H40" s="11">
        <v>36.363999999999997</v>
      </c>
      <c r="I40" s="11">
        <v>36.363999999999997</v>
      </c>
      <c r="J40" s="11">
        <v>1</v>
      </c>
      <c r="K40" s="11"/>
      <c r="L40" s="11"/>
      <c r="M40" s="11"/>
      <c r="N40" s="11"/>
      <c r="O40" s="11">
        <v>0</v>
      </c>
      <c r="P40" s="11"/>
      <c r="Q40" s="11"/>
      <c r="R40" s="11"/>
      <c r="S40" s="11" t="s">
        <v>79</v>
      </c>
      <c r="T40" s="11">
        <v>0</v>
      </c>
      <c r="U40" s="11"/>
      <c r="V40" s="11" t="e">
        <v>#DIV/0!</v>
      </c>
      <c r="W40" s="22" t="e">
        <v>#DIV/0!</v>
      </c>
      <c r="X40" s="11">
        <v>0</v>
      </c>
      <c r="Y40" s="11">
        <v>0</v>
      </c>
      <c r="Z40" s="11"/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 t="s">
        <v>52</v>
      </c>
      <c r="AJ40" s="11">
        <v>0</v>
      </c>
      <c r="AK40" s="11"/>
    </row>
    <row r="41" spans="1:37" x14ac:dyDescent="0.25">
      <c r="A41" s="11" t="s">
        <v>77</v>
      </c>
      <c r="B41" s="11" t="s">
        <v>153</v>
      </c>
      <c r="C41" s="11" t="s">
        <v>182</v>
      </c>
      <c r="D41" s="11" t="s">
        <v>47</v>
      </c>
      <c r="E41" s="11">
        <v>109</v>
      </c>
      <c r="F41" s="11"/>
      <c r="G41" s="11">
        <v>18</v>
      </c>
      <c r="H41" s="11">
        <v>87</v>
      </c>
      <c r="I41" s="11">
        <v>15.66</v>
      </c>
      <c r="J41" s="11">
        <v>0.18</v>
      </c>
      <c r="K41" s="11">
        <v>270</v>
      </c>
      <c r="L41" s="11"/>
      <c r="M41" s="11"/>
      <c r="N41" s="11">
        <v>19</v>
      </c>
      <c r="O41" s="11">
        <v>-1</v>
      </c>
      <c r="P41" s="11"/>
      <c r="Q41" s="11"/>
      <c r="R41" s="11">
        <v>64</v>
      </c>
      <c r="S41" s="11" t="s">
        <v>79</v>
      </c>
      <c r="T41" s="11">
        <v>3.6</v>
      </c>
      <c r="U41" s="11"/>
      <c r="V41" s="11">
        <v>41.944444444444443</v>
      </c>
      <c r="W41" s="22">
        <v>41.944444444444443</v>
      </c>
      <c r="X41" s="11">
        <v>11.8</v>
      </c>
      <c r="Y41" s="11">
        <v>3.8</v>
      </c>
      <c r="Z41" s="11"/>
      <c r="AA41" s="11">
        <v>2.4</v>
      </c>
      <c r="AB41" s="11">
        <v>11</v>
      </c>
      <c r="AC41" s="11">
        <v>8.4</v>
      </c>
      <c r="AD41" s="11">
        <v>6.2</v>
      </c>
      <c r="AE41" s="11">
        <v>2.4</v>
      </c>
      <c r="AF41" s="11">
        <v>9.8000000000000007</v>
      </c>
      <c r="AG41" s="11">
        <v>2.2000000000000002</v>
      </c>
      <c r="AH41" s="11">
        <v>8.1999999999999993</v>
      </c>
      <c r="AI41" s="11" t="s">
        <v>62</v>
      </c>
      <c r="AJ41" s="11">
        <v>0</v>
      </c>
      <c r="AK41" s="11">
        <v>145</v>
      </c>
    </row>
    <row r="42" spans="1:37" x14ac:dyDescent="0.25">
      <c r="A42" s="11" t="s">
        <v>77</v>
      </c>
      <c r="B42" s="11" t="s">
        <v>153</v>
      </c>
      <c r="C42" s="11" t="s">
        <v>183</v>
      </c>
      <c r="D42" s="11" t="s">
        <v>40</v>
      </c>
      <c r="E42" s="11">
        <v>48.353000000000002</v>
      </c>
      <c r="F42" s="11">
        <v>15.699</v>
      </c>
      <c r="G42" s="11">
        <v>9.1940000000000008</v>
      </c>
      <c r="H42" s="11">
        <v>54.857999999999997</v>
      </c>
      <c r="I42" s="11">
        <v>54.857999999999997</v>
      </c>
      <c r="J42" s="11">
        <v>1</v>
      </c>
      <c r="K42" s="11">
        <v>180</v>
      </c>
      <c r="L42" s="11"/>
      <c r="M42" s="11"/>
      <c r="N42" s="11">
        <v>9.8000000000000007</v>
      </c>
      <c r="O42" s="11">
        <v>-0.60599999999999987</v>
      </c>
      <c r="P42" s="11"/>
      <c r="Q42" s="11"/>
      <c r="R42" s="11"/>
      <c r="S42" s="11" t="s">
        <v>79</v>
      </c>
      <c r="T42" s="11">
        <v>1.8388</v>
      </c>
      <c r="U42" s="11"/>
      <c r="V42" s="11">
        <v>29.833587122036111</v>
      </c>
      <c r="W42" s="22">
        <v>29.833587122036111</v>
      </c>
      <c r="X42" s="11">
        <v>1.8648</v>
      </c>
      <c r="Y42" s="11">
        <v>2.508</v>
      </c>
      <c r="Z42" s="11"/>
      <c r="AA42" s="11">
        <v>6.5763999999999996</v>
      </c>
      <c r="AB42" s="11">
        <v>5.2422000000000004</v>
      </c>
      <c r="AC42" s="11">
        <v>3.0844</v>
      </c>
      <c r="AD42" s="11">
        <v>3.2427999999999999</v>
      </c>
      <c r="AE42" s="11">
        <v>4.4512</v>
      </c>
      <c r="AF42" s="11">
        <v>4.6284000000000001</v>
      </c>
      <c r="AG42" s="11">
        <v>2.6107999999999998</v>
      </c>
      <c r="AH42" s="11">
        <v>3.7959999999999998</v>
      </c>
      <c r="AI42" s="11" t="s">
        <v>62</v>
      </c>
      <c r="AJ42" s="11">
        <v>0</v>
      </c>
      <c r="AK42" s="11">
        <v>179</v>
      </c>
    </row>
    <row r="43" spans="1:37" x14ac:dyDescent="0.25">
      <c r="A43" s="12" t="s">
        <v>85</v>
      </c>
      <c r="B43" s="12" t="s">
        <v>153</v>
      </c>
      <c r="C43" s="12" t="s">
        <v>158</v>
      </c>
      <c r="D43" s="12" t="s">
        <v>40</v>
      </c>
      <c r="E43" s="12">
        <v>20.026</v>
      </c>
      <c r="F43" s="12">
        <v>15.77</v>
      </c>
      <c r="G43" s="12">
        <v>3.2719999999999998</v>
      </c>
      <c r="H43" s="12">
        <v>32.524000000000001</v>
      </c>
      <c r="I43" s="12">
        <v>32.524000000000001</v>
      </c>
      <c r="J43" s="12">
        <v>1</v>
      </c>
      <c r="K43" s="12">
        <v>180</v>
      </c>
      <c r="L43" s="12"/>
      <c r="M43" s="12"/>
      <c r="N43" s="12">
        <v>3</v>
      </c>
      <c r="O43" s="12">
        <v>0.2719999999999998</v>
      </c>
      <c r="P43" s="12"/>
      <c r="Q43" s="12"/>
      <c r="R43" s="12">
        <v>16</v>
      </c>
      <c r="S43" s="12" t="s">
        <v>79</v>
      </c>
      <c r="T43" s="12">
        <v>0.65439999999999998</v>
      </c>
      <c r="U43" s="12"/>
      <c r="V43" s="12">
        <v>74.150366748166263</v>
      </c>
      <c r="W43" s="23">
        <v>74.150366748166263</v>
      </c>
      <c r="X43" s="12">
        <v>3.2088000000000001</v>
      </c>
      <c r="Y43" s="12"/>
      <c r="Z43" s="12">
        <v>3.1692</v>
      </c>
      <c r="AA43" s="12">
        <v>0</v>
      </c>
      <c r="AB43" s="12">
        <v>2.6052</v>
      </c>
      <c r="AC43" s="12">
        <v>1.2527999999999999</v>
      </c>
      <c r="AD43" s="12">
        <v>0.64640000000000009</v>
      </c>
      <c r="AE43" s="12">
        <v>0</v>
      </c>
      <c r="AF43" s="12">
        <v>1.8504</v>
      </c>
      <c r="AG43" s="12">
        <v>3.8519999999999999</v>
      </c>
      <c r="AH43" s="12">
        <v>16.388400000000001</v>
      </c>
      <c r="AI43" s="12" t="s">
        <v>52</v>
      </c>
      <c r="AJ43" s="12">
        <v>0</v>
      </c>
      <c r="AK43" s="12">
        <v>298.2</v>
      </c>
    </row>
    <row r="44" spans="1:37" x14ac:dyDescent="0.25">
      <c r="A44" s="12" t="s">
        <v>85</v>
      </c>
      <c r="B44" s="12" t="s">
        <v>153</v>
      </c>
      <c r="C44" s="12" t="s">
        <v>159</v>
      </c>
      <c r="D44" s="12" t="s">
        <v>47</v>
      </c>
      <c r="E44" s="12">
        <v>163</v>
      </c>
      <c r="F44" s="12"/>
      <c r="G44" s="12">
        <v>12</v>
      </c>
      <c r="H44" s="12">
        <v>151</v>
      </c>
      <c r="I44" s="12">
        <v>124.4995</v>
      </c>
      <c r="J44" s="12">
        <v>0.82450000000000001</v>
      </c>
      <c r="K44" s="12">
        <v>180</v>
      </c>
      <c r="L44" s="12"/>
      <c r="M44" s="12"/>
      <c r="N44" s="12">
        <v>12</v>
      </c>
      <c r="O44" s="12">
        <v>0</v>
      </c>
      <c r="P44" s="12"/>
      <c r="Q44" s="12"/>
      <c r="R44" s="12"/>
      <c r="S44" s="12" t="s">
        <v>79</v>
      </c>
      <c r="T44" s="12">
        <v>2.4</v>
      </c>
      <c r="U44" s="12"/>
      <c r="V44" s="12">
        <v>62.916666666666671</v>
      </c>
      <c r="W44" s="23">
        <v>62.916666666666671</v>
      </c>
      <c r="X44" s="12">
        <v>0</v>
      </c>
      <c r="Y44" s="12"/>
      <c r="Z44" s="12">
        <v>1</v>
      </c>
      <c r="AA44" s="12">
        <v>0.2</v>
      </c>
      <c r="AB44" s="12">
        <v>4.8</v>
      </c>
      <c r="AC44" s="12">
        <v>0</v>
      </c>
      <c r="AD44" s="12">
        <v>0</v>
      </c>
      <c r="AE44" s="12">
        <v>0.2</v>
      </c>
      <c r="AF44" s="12">
        <v>0</v>
      </c>
      <c r="AG44" s="12">
        <v>4.8</v>
      </c>
      <c r="AH44" s="12">
        <v>3</v>
      </c>
      <c r="AI44" s="12" t="s">
        <v>52</v>
      </c>
      <c r="AJ44" s="12">
        <v>0</v>
      </c>
      <c r="AK44" s="12">
        <v>377.5</v>
      </c>
    </row>
    <row r="45" spans="1:37" x14ac:dyDescent="0.25">
      <c r="A45" s="12" t="s">
        <v>85</v>
      </c>
      <c r="B45" s="12" t="s">
        <v>153</v>
      </c>
      <c r="C45" s="12" t="s">
        <v>180</v>
      </c>
      <c r="D45" s="12" t="s">
        <v>47</v>
      </c>
      <c r="E45" s="12">
        <v>487</v>
      </c>
      <c r="F45" s="12"/>
      <c r="G45" s="12">
        <v>46</v>
      </c>
      <c r="H45" s="12">
        <v>436</v>
      </c>
      <c r="I45" s="12">
        <v>324.38400000000001</v>
      </c>
      <c r="J45" s="12">
        <v>0.74399999999999999</v>
      </c>
      <c r="K45" s="12">
        <v>180</v>
      </c>
      <c r="L45" s="12"/>
      <c r="M45" s="12"/>
      <c r="N45" s="12">
        <v>49</v>
      </c>
      <c r="O45" s="12">
        <v>-3</v>
      </c>
      <c r="P45" s="12"/>
      <c r="Q45" s="12"/>
      <c r="R45" s="12"/>
      <c r="S45" s="12" t="s">
        <v>79</v>
      </c>
      <c r="T45" s="12">
        <v>9.1999999999999993</v>
      </c>
      <c r="U45" s="12"/>
      <c r="V45" s="12">
        <v>47.391304347826093</v>
      </c>
      <c r="W45" s="23">
        <v>47.391304347826093</v>
      </c>
      <c r="X45" s="12">
        <v>1.2</v>
      </c>
      <c r="Y45" s="12"/>
      <c r="Z45" s="12">
        <v>10.6</v>
      </c>
      <c r="AA45" s="12">
        <v>1.6</v>
      </c>
      <c r="AB45" s="12">
        <v>31.6</v>
      </c>
      <c r="AC45" s="12">
        <v>4.2</v>
      </c>
      <c r="AD45" s="12">
        <v>6.4</v>
      </c>
      <c r="AE45" s="12">
        <v>17.399999999999999</v>
      </c>
      <c r="AF45" s="12">
        <v>6</v>
      </c>
      <c r="AG45" s="12">
        <v>40.6</v>
      </c>
      <c r="AH45" s="12">
        <v>19.600000000000001</v>
      </c>
      <c r="AI45" s="12" t="s">
        <v>52</v>
      </c>
      <c r="AJ45" s="12">
        <v>0</v>
      </c>
      <c r="AK45" s="12">
        <v>284.3</v>
      </c>
    </row>
    <row r="46" spans="1:37" x14ac:dyDescent="0.25">
      <c r="A46" s="12" t="s">
        <v>85</v>
      </c>
      <c r="B46" s="12" t="s">
        <v>153</v>
      </c>
      <c r="C46" s="12" t="s">
        <v>184</v>
      </c>
      <c r="D46" s="12" t="s">
        <v>47</v>
      </c>
      <c r="E46" s="12">
        <v>41</v>
      </c>
      <c r="F46" s="12">
        <v>112</v>
      </c>
      <c r="G46" s="12">
        <v>16</v>
      </c>
      <c r="H46" s="12">
        <v>136</v>
      </c>
      <c r="I46" s="12">
        <v>13.6</v>
      </c>
      <c r="J46" s="12">
        <v>0.1</v>
      </c>
      <c r="K46" s="12"/>
      <c r="L46" s="12"/>
      <c r="M46" s="12"/>
      <c r="N46" s="12">
        <v>16</v>
      </c>
      <c r="O46" s="12">
        <v>0</v>
      </c>
      <c r="P46" s="12"/>
      <c r="Q46" s="12"/>
      <c r="R46" s="12"/>
      <c r="S46" s="12" t="s">
        <v>79</v>
      </c>
      <c r="T46" s="12">
        <v>3.2</v>
      </c>
      <c r="U46" s="12"/>
      <c r="V46" s="12">
        <v>42.5</v>
      </c>
      <c r="W46" s="23">
        <v>42.5</v>
      </c>
      <c r="X46" s="12">
        <v>3.4</v>
      </c>
      <c r="Y46" s="12"/>
      <c r="Z46" s="12">
        <v>13.2</v>
      </c>
      <c r="AA46" s="12">
        <v>2</v>
      </c>
      <c r="AB46" s="12">
        <v>0</v>
      </c>
      <c r="AC46" s="12">
        <v>1.8</v>
      </c>
      <c r="AD46" s="12">
        <v>17.8</v>
      </c>
      <c r="AE46" s="12">
        <v>2.2000000000000002</v>
      </c>
      <c r="AF46" s="12">
        <v>4</v>
      </c>
      <c r="AG46" s="12">
        <v>6</v>
      </c>
      <c r="AH46" s="12">
        <v>0</v>
      </c>
      <c r="AI46" s="12" t="s">
        <v>52</v>
      </c>
      <c r="AJ46" s="12">
        <v>0</v>
      </c>
      <c r="AK46" s="12">
        <v>255</v>
      </c>
    </row>
    <row r="47" spans="1:37" x14ac:dyDescent="0.25">
      <c r="A47" s="12" t="s">
        <v>85</v>
      </c>
      <c r="B47" s="12" t="s">
        <v>153</v>
      </c>
      <c r="C47" s="12" t="s">
        <v>161</v>
      </c>
      <c r="D47" s="12" t="s">
        <v>47</v>
      </c>
      <c r="E47" s="12">
        <v>17</v>
      </c>
      <c r="F47" s="12">
        <v>56</v>
      </c>
      <c r="G47" s="12">
        <v>5</v>
      </c>
      <c r="H47" s="12">
        <v>63</v>
      </c>
      <c r="I47" s="12">
        <v>25.2</v>
      </c>
      <c r="J47" s="12">
        <v>0.4</v>
      </c>
      <c r="K47" s="12">
        <v>270</v>
      </c>
      <c r="L47" s="12"/>
      <c r="M47" s="12"/>
      <c r="N47" s="12">
        <v>5</v>
      </c>
      <c r="O47" s="12">
        <v>0</v>
      </c>
      <c r="P47" s="12"/>
      <c r="Q47" s="12"/>
      <c r="R47" s="12">
        <v>8</v>
      </c>
      <c r="S47" s="12" t="s">
        <v>79</v>
      </c>
      <c r="T47" s="12">
        <v>1</v>
      </c>
      <c r="U47" s="12"/>
      <c r="V47" s="12">
        <v>71</v>
      </c>
      <c r="W47" s="23">
        <v>71</v>
      </c>
      <c r="X47" s="12">
        <v>5.2</v>
      </c>
      <c r="Y47" s="12"/>
      <c r="Z47" s="12">
        <v>7</v>
      </c>
      <c r="AA47" s="12">
        <v>1.6</v>
      </c>
      <c r="AB47" s="12">
        <v>0.8</v>
      </c>
      <c r="AC47" s="12">
        <v>1.8</v>
      </c>
      <c r="AD47" s="12">
        <v>7.4</v>
      </c>
      <c r="AE47" s="12">
        <v>1.6</v>
      </c>
      <c r="AF47" s="12">
        <v>0.6</v>
      </c>
      <c r="AG47" s="12">
        <v>0.2</v>
      </c>
      <c r="AH47" s="12">
        <v>4</v>
      </c>
      <c r="AI47" s="12" t="s">
        <v>52</v>
      </c>
      <c r="AJ47" s="12">
        <v>0</v>
      </c>
      <c r="AK47" s="12">
        <v>378</v>
      </c>
    </row>
    <row r="48" spans="1:37" x14ac:dyDescent="0.25">
      <c r="A48" s="12" t="s">
        <v>85</v>
      </c>
      <c r="B48" s="12" t="s">
        <v>153</v>
      </c>
      <c r="C48" s="12" t="s">
        <v>163</v>
      </c>
      <c r="D48" s="12" t="s">
        <v>47</v>
      </c>
      <c r="E48" s="12">
        <v>34</v>
      </c>
      <c r="F48" s="12">
        <v>48</v>
      </c>
      <c r="G48" s="12">
        <v>9</v>
      </c>
      <c r="H48" s="12">
        <v>73</v>
      </c>
      <c r="I48" s="12">
        <v>13.14</v>
      </c>
      <c r="J48" s="12">
        <v>0.18</v>
      </c>
      <c r="K48" s="12">
        <v>270</v>
      </c>
      <c r="L48" s="12"/>
      <c r="M48" s="12"/>
      <c r="N48" s="12">
        <v>9</v>
      </c>
      <c r="O48" s="12">
        <v>0</v>
      </c>
      <c r="P48" s="12"/>
      <c r="Q48" s="12"/>
      <c r="R48" s="12"/>
      <c r="S48" s="12" t="s">
        <v>79</v>
      </c>
      <c r="T48" s="12">
        <v>1.8</v>
      </c>
      <c r="U48" s="12"/>
      <c r="V48" s="12">
        <v>40.555555555555557</v>
      </c>
      <c r="W48" s="23">
        <v>40.555555555555557</v>
      </c>
      <c r="X48" s="12">
        <v>5.2</v>
      </c>
      <c r="Y48" s="12"/>
      <c r="Z48" s="12">
        <v>7</v>
      </c>
      <c r="AA48" s="12">
        <v>5</v>
      </c>
      <c r="AB48" s="12">
        <v>3.2</v>
      </c>
      <c r="AC48" s="12">
        <v>5.2</v>
      </c>
      <c r="AD48" s="12">
        <v>12</v>
      </c>
      <c r="AE48" s="12">
        <v>1.8</v>
      </c>
      <c r="AF48" s="12">
        <v>5.4</v>
      </c>
      <c r="AG48" s="12">
        <v>6.6</v>
      </c>
      <c r="AH48" s="12">
        <v>1.6</v>
      </c>
      <c r="AI48" s="12" t="s">
        <v>52</v>
      </c>
      <c r="AJ48" s="12">
        <v>0</v>
      </c>
      <c r="AK48" s="12">
        <v>243.3</v>
      </c>
    </row>
    <row r="49" spans="1:37" x14ac:dyDescent="0.25">
      <c r="A49" s="12" t="s">
        <v>85</v>
      </c>
      <c r="B49" s="12" t="s">
        <v>153</v>
      </c>
      <c r="C49" s="12" t="s">
        <v>164</v>
      </c>
      <c r="D49" s="12" t="s">
        <v>47</v>
      </c>
      <c r="E49" s="12">
        <v>149</v>
      </c>
      <c r="F49" s="12"/>
      <c r="G49" s="12"/>
      <c r="H49" s="12">
        <v>149</v>
      </c>
      <c r="I49" s="12">
        <v>29.8</v>
      </c>
      <c r="J49" s="12">
        <v>0.2</v>
      </c>
      <c r="K49" s="12">
        <v>120</v>
      </c>
      <c r="L49" s="12"/>
      <c r="M49" s="12"/>
      <c r="N49" s="12"/>
      <c r="O49" s="12">
        <v>0</v>
      </c>
      <c r="P49" s="12"/>
      <c r="Q49" s="12"/>
      <c r="R49" s="12"/>
      <c r="S49" s="12" t="s">
        <v>79</v>
      </c>
      <c r="T49" s="12">
        <v>0</v>
      </c>
      <c r="U49" s="12"/>
      <c r="V49" s="12" t="e">
        <v>#DIV/0!</v>
      </c>
      <c r="W49" s="23" t="e">
        <v>#DIV/0!</v>
      </c>
      <c r="X49" s="12">
        <v>0</v>
      </c>
      <c r="Y49" s="12"/>
      <c r="Z49" s="12">
        <v>0</v>
      </c>
      <c r="AA49" s="12">
        <v>0</v>
      </c>
      <c r="AB49" s="12">
        <v>14.4</v>
      </c>
      <c r="AC49" s="12">
        <v>0</v>
      </c>
      <c r="AD49" s="12">
        <v>0.6</v>
      </c>
      <c r="AE49" s="12">
        <v>0.8</v>
      </c>
      <c r="AF49" s="12">
        <v>0</v>
      </c>
      <c r="AG49" s="12">
        <v>0.6</v>
      </c>
      <c r="AH49" s="12">
        <v>0</v>
      </c>
      <c r="AI49" s="12" t="s">
        <v>52</v>
      </c>
      <c r="AJ49" s="12">
        <v>0</v>
      </c>
      <c r="AK49" s="12"/>
    </row>
    <row r="50" spans="1:37" x14ac:dyDescent="0.25">
      <c r="A50" s="12" t="s">
        <v>85</v>
      </c>
      <c r="B50" s="12" t="s">
        <v>153</v>
      </c>
      <c r="C50" s="12" t="s">
        <v>165</v>
      </c>
      <c r="D50" s="12" t="s">
        <v>40</v>
      </c>
      <c r="E50" s="12">
        <v>17.07</v>
      </c>
      <c r="F50" s="12"/>
      <c r="G50" s="12"/>
      <c r="H50" s="12">
        <v>17.07</v>
      </c>
      <c r="I50" s="12">
        <v>17.07</v>
      </c>
      <c r="J50" s="12">
        <v>1</v>
      </c>
      <c r="K50" s="12">
        <v>180</v>
      </c>
      <c r="L50" s="12"/>
      <c r="M50" s="12"/>
      <c r="N50" s="12"/>
      <c r="O50" s="12">
        <v>0</v>
      </c>
      <c r="P50" s="12"/>
      <c r="Q50" s="12"/>
      <c r="R50" s="12"/>
      <c r="S50" s="12" t="s">
        <v>79</v>
      </c>
      <c r="T50" s="12">
        <v>0</v>
      </c>
      <c r="U50" s="12"/>
      <c r="V50" s="12" t="e">
        <v>#DIV/0!</v>
      </c>
      <c r="W50" s="23" t="e">
        <v>#DIV/0!</v>
      </c>
      <c r="X50" s="12">
        <v>0</v>
      </c>
      <c r="Y50" s="12"/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0.65100000000000002</v>
      </c>
      <c r="AF50" s="12">
        <v>0.65100000000000002</v>
      </c>
      <c r="AG50" s="12">
        <v>0</v>
      </c>
      <c r="AH50" s="12">
        <v>2.29</v>
      </c>
      <c r="AI50" s="12" t="s">
        <v>185</v>
      </c>
      <c r="AJ50" s="12">
        <v>0</v>
      </c>
      <c r="AK50" s="12"/>
    </row>
    <row r="51" spans="1:37" x14ac:dyDescent="0.25">
      <c r="A51" s="12" t="s">
        <v>85</v>
      </c>
      <c r="B51" s="12" t="s">
        <v>153</v>
      </c>
      <c r="C51" s="12" t="s">
        <v>186</v>
      </c>
      <c r="D51" s="12" t="s">
        <v>47</v>
      </c>
      <c r="E51" s="12">
        <v>87</v>
      </c>
      <c r="F51" s="12">
        <v>120</v>
      </c>
      <c r="G51" s="12">
        <v>23</v>
      </c>
      <c r="H51" s="12">
        <v>180</v>
      </c>
      <c r="I51" s="12">
        <v>18</v>
      </c>
      <c r="J51" s="12">
        <v>0.1</v>
      </c>
      <c r="K51" s="12">
        <v>90</v>
      </c>
      <c r="L51" s="12"/>
      <c r="M51" s="12"/>
      <c r="N51" s="12">
        <v>31</v>
      </c>
      <c r="O51" s="12">
        <v>-8</v>
      </c>
      <c r="P51" s="12"/>
      <c r="Q51" s="12"/>
      <c r="R51" s="12"/>
      <c r="S51" s="12" t="s">
        <v>79</v>
      </c>
      <c r="T51" s="12">
        <v>4.5999999999999996</v>
      </c>
      <c r="U51" s="12"/>
      <c r="V51" s="12">
        <v>39.130434782608702</v>
      </c>
      <c r="W51" s="23">
        <v>39.130434782608702</v>
      </c>
      <c r="X51" s="12">
        <v>0</v>
      </c>
      <c r="Y51" s="12"/>
      <c r="Z51" s="12">
        <v>14.8</v>
      </c>
      <c r="AA51" s="12">
        <v>10.8</v>
      </c>
      <c r="AB51" s="12">
        <v>1</v>
      </c>
      <c r="AC51" s="12">
        <v>2</v>
      </c>
      <c r="AD51" s="12">
        <v>14</v>
      </c>
      <c r="AE51" s="12">
        <v>4.2</v>
      </c>
      <c r="AF51" s="12">
        <v>4.4000000000000004</v>
      </c>
      <c r="AG51" s="12">
        <v>4.5999999999999996</v>
      </c>
      <c r="AH51" s="12">
        <v>8</v>
      </c>
      <c r="AI51" s="12" t="s">
        <v>52</v>
      </c>
      <c r="AJ51" s="12">
        <v>0</v>
      </c>
      <c r="AK51" s="12">
        <v>234.8</v>
      </c>
    </row>
    <row r="52" spans="1:37" x14ac:dyDescent="0.25">
      <c r="A52" s="12" t="s">
        <v>85</v>
      </c>
      <c r="B52" s="12" t="s">
        <v>153</v>
      </c>
      <c r="C52" s="12" t="s">
        <v>170</v>
      </c>
      <c r="D52" s="12" t="s">
        <v>40</v>
      </c>
      <c r="E52" s="12">
        <v>308.97699999999998</v>
      </c>
      <c r="F52" s="12"/>
      <c r="G52" s="12">
        <v>9.9039999999999999</v>
      </c>
      <c r="H52" s="12">
        <v>299.07299999999998</v>
      </c>
      <c r="I52" s="12">
        <v>299.07299999999998</v>
      </c>
      <c r="J52" s="12">
        <v>1</v>
      </c>
      <c r="K52" s="12">
        <v>180</v>
      </c>
      <c r="L52" s="12"/>
      <c r="M52" s="12"/>
      <c r="N52" s="12">
        <v>9</v>
      </c>
      <c r="O52" s="12">
        <v>0.90399999999999991</v>
      </c>
      <c r="P52" s="12"/>
      <c r="Q52" s="12"/>
      <c r="R52" s="12"/>
      <c r="S52" s="12" t="s">
        <v>79</v>
      </c>
      <c r="T52" s="12">
        <v>1.9807999999999999</v>
      </c>
      <c r="U52" s="12"/>
      <c r="V52" s="12">
        <v>150.98596526655899</v>
      </c>
      <c r="W52" s="23">
        <v>150.98596526655899</v>
      </c>
      <c r="X52" s="12">
        <v>5.8959999999999999</v>
      </c>
      <c r="Y52" s="12"/>
      <c r="Z52" s="12">
        <v>11.202400000000001</v>
      </c>
      <c r="AA52" s="12">
        <v>0.59640000000000004</v>
      </c>
      <c r="AB52" s="12">
        <v>4.7052000000000023</v>
      </c>
      <c r="AC52" s="12">
        <v>2.4363999999999999</v>
      </c>
      <c r="AD52" s="12">
        <v>6.0962000000000014</v>
      </c>
      <c r="AE52" s="12">
        <v>3.3424</v>
      </c>
      <c r="AF52" s="12">
        <v>4.7187999999999999</v>
      </c>
      <c r="AG52" s="12">
        <v>5.4383999999999997</v>
      </c>
      <c r="AH52" s="12">
        <v>12.5824</v>
      </c>
      <c r="AI52" s="12" t="s">
        <v>52</v>
      </c>
      <c r="AJ52" s="12">
        <v>0</v>
      </c>
      <c r="AK52" s="12">
        <v>905.9</v>
      </c>
    </row>
    <row r="53" spans="1:37" x14ac:dyDescent="0.25">
      <c r="A53" s="12" t="s">
        <v>85</v>
      </c>
      <c r="B53" s="12" t="s">
        <v>153</v>
      </c>
      <c r="C53" s="12" t="s">
        <v>187</v>
      </c>
      <c r="D53" s="12" t="s">
        <v>40</v>
      </c>
      <c r="E53" s="12">
        <v>48.698</v>
      </c>
      <c r="F53" s="12">
        <v>83.644000000000005</v>
      </c>
      <c r="G53" s="12">
        <v>14.411</v>
      </c>
      <c r="H53" s="12">
        <v>117.931</v>
      </c>
      <c r="I53" s="12">
        <v>117.931</v>
      </c>
      <c r="J53" s="12">
        <v>1</v>
      </c>
      <c r="K53" s="12">
        <v>180</v>
      </c>
      <c r="L53" s="12"/>
      <c r="M53" s="12"/>
      <c r="N53" s="12">
        <v>14.5</v>
      </c>
      <c r="O53" s="12">
        <v>-8.9000000000000412E-2</v>
      </c>
      <c r="P53" s="12"/>
      <c r="Q53" s="12"/>
      <c r="R53" s="12"/>
      <c r="S53" s="12" t="s">
        <v>79</v>
      </c>
      <c r="T53" s="12">
        <v>2.8822000000000001</v>
      </c>
      <c r="U53" s="12"/>
      <c r="V53" s="12">
        <v>40.91700784123239</v>
      </c>
      <c r="W53" s="23">
        <v>40.91700784123239</v>
      </c>
      <c r="X53" s="12">
        <v>3.1503999999999999</v>
      </c>
      <c r="Y53" s="12"/>
      <c r="Z53" s="12">
        <v>11.279199999999999</v>
      </c>
      <c r="AA53" s="12">
        <v>0.66520000000000001</v>
      </c>
      <c r="AB53" s="12">
        <v>3.1896</v>
      </c>
      <c r="AC53" s="12">
        <v>1.9787999999999999</v>
      </c>
      <c r="AD53" s="12">
        <v>11.616400000000001</v>
      </c>
      <c r="AE53" s="12">
        <v>3.92</v>
      </c>
      <c r="AF53" s="12">
        <v>1.9652000000000001</v>
      </c>
      <c r="AG53" s="12">
        <v>4.0278</v>
      </c>
      <c r="AH53" s="12">
        <v>7.7087999999999992</v>
      </c>
      <c r="AI53" s="12" t="s">
        <v>52</v>
      </c>
      <c r="AJ53" s="12">
        <v>0</v>
      </c>
      <c r="AK53" s="12">
        <v>245.5</v>
      </c>
    </row>
    <row r="54" spans="1:37" x14ac:dyDescent="0.25">
      <c r="A54" s="12" t="s">
        <v>85</v>
      </c>
      <c r="B54" s="12" t="s">
        <v>153</v>
      </c>
      <c r="C54" s="12" t="s">
        <v>188</v>
      </c>
      <c r="D54" s="12" t="s">
        <v>47</v>
      </c>
      <c r="E54" s="12">
        <v>98</v>
      </c>
      <c r="F54" s="12">
        <v>180</v>
      </c>
      <c r="G54" s="12">
        <v>34</v>
      </c>
      <c r="H54" s="12">
        <v>236</v>
      </c>
      <c r="I54" s="12">
        <v>23.6</v>
      </c>
      <c r="J54" s="12">
        <v>0.1</v>
      </c>
      <c r="K54" s="12">
        <v>60</v>
      </c>
      <c r="L54" s="12"/>
      <c r="M54" s="12"/>
      <c r="N54" s="12">
        <v>34</v>
      </c>
      <c r="O54" s="12">
        <v>0</v>
      </c>
      <c r="P54" s="12"/>
      <c r="Q54" s="12"/>
      <c r="R54" s="12"/>
      <c r="S54" s="12" t="s">
        <v>79</v>
      </c>
      <c r="T54" s="12">
        <v>6.8</v>
      </c>
      <c r="U54" s="12"/>
      <c r="V54" s="12">
        <v>34.705882352941167</v>
      </c>
      <c r="W54" s="23">
        <v>34.705882352941167</v>
      </c>
      <c r="X54" s="12">
        <v>4.5999999999999996</v>
      </c>
      <c r="Y54" s="12"/>
      <c r="Z54" s="12">
        <v>21.2</v>
      </c>
      <c r="AA54" s="12">
        <v>5</v>
      </c>
      <c r="AB54" s="12">
        <v>14.2</v>
      </c>
      <c r="AC54" s="12">
        <v>13</v>
      </c>
      <c r="AD54" s="12">
        <v>18.399999999999999</v>
      </c>
      <c r="AE54" s="12">
        <v>9.1999999999999993</v>
      </c>
      <c r="AF54" s="12">
        <v>14.6</v>
      </c>
      <c r="AG54" s="12">
        <v>6.8</v>
      </c>
      <c r="AH54" s="12">
        <v>13.8</v>
      </c>
      <c r="AI54" s="12" t="s">
        <v>52</v>
      </c>
      <c r="AJ54" s="12">
        <v>0</v>
      </c>
      <c r="AK54" s="12">
        <v>208.2</v>
      </c>
    </row>
    <row r="55" spans="1:37" x14ac:dyDescent="0.25">
      <c r="A55" s="12" t="s">
        <v>85</v>
      </c>
      <c r="B55" s="12" t="s">
        <v>153</v>
      </c>
      <c r="C55" s="12" t="s">
        <v>189</v>
      </c>
      <c r="D55" s="12" t="s">
        <v>40</v>
      </c>
      <c r="E55" s="12">
        <v>53.936</v>
      </c>
      <c r="F55" s="12"/>
      <c r="G55" s="12"/>
      <c r="H55" s="12">
        <v>132.386</v>
      </c>
      <c r="I55" s="12">
        <v>132.386</v>
      </c>
      <c r="J55" s="12">
        <v>1</v>
      </c>
      <c r="K55" s="12">
        <v>120</v>
      </c>
      <c r="L55" s="12"/>
      <c r="M55" s="12"/>
      <c r="N55" s="12"/>
      <c r="O55" s="12">
        <v>0</v>
      </c>
      <c r="P55" s="12"/>
      <c r="Q55" s="12"/>
      <c r="R55" s="12"/>
      <c r="S55" s="12" t="s">
        <v>79</v>
      </c>
      <c r="T55" s="12">
        <v>0</v>
      </c>
      <c r="U55" s="12"/>
      <c r="V55" s="12" t="e">
        <v>#DIV/0!</v>
      </c>
      <c r="W55" s="23" t="e">
        <v>#DIV/0!</v>
      </c>
      <c r="X55" s="12">
        <v>5.2942</v>
      </c>
      <c r="Y55" s="12"/>
      <c r="Z55" s="12">
        <v>9.7127999999999997</v>
      </c>
      <c r="AA55" s="12">
        <v>5.3907999999999996</v>
      </c>
      <c r="AB55" s="12">
        <v>-0.2151999999999987</v>
      </c>
      <c r="AC55" s="12">
        <v>9.8420000000000005</v>
      </c>
      <c r="AD55" s="12">
        <v>13.486800000000001</v>
      </c>
      <c r="AE55" s="12">
        <v>8.6932000000000009</v>
      </c>
      <c r="AF55" s="12">
        <v>17.745999999999999</v>
      </c>
      <c r="AG55" s="12">
        <v>24.588799999999999</v>
      </c>
      <c r="AH55" s="12">
        <v>8.9732000000000003</v>
      </c>
      <c r="AI55" s="12" t="s">
        <v>52</v>
      </c>
      <c r="AJ55" s="12">
        <v>0</v>
      </c>
      <c r="AK55" s="12"/>
    </row>
  </sheetData>
  <mergeCells count="1">
    <mergeCell ref="A1:A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"/>
  <sheetViews>
    <sheetView showGridLines="0" workbookViewId="0">
      <pane ySplit="3" topLeftCell="A4" activePane="bottomLeft" state="frozen"/>
      <selection pane="bottomLeft" activeCell="D30" sqref="D30"/>
    </sheetView>
  </sheetViews>
  <sheetFormatPr defaultRowHeight="15" x14ac:dyDescent="0.25"/>
  <cols>
    <col min="1" max="1" width="14" style="2" customWidth="1"/>
    <col min="2" max="2" width="20" style="2" customWidth="1"/>
    <col min="3" max="3" width="55" style="2" customWidth="1"/>
    <col min="4" max="17" width="10" style="2" customWidth="1"/>
    <col min="18" max="18" width="16" style="2" customWidth="1"/>
    <col min="19" max="19" width="12" style="2" customWidth="1"/>
    <col min="20" max="21" width="10" style="2" customWidth="1"/>
    <col min="22" max="22" width="8" style="2" customWidth="1"/>
    <col min="23" max="23" width="8" style="24" customWidth="1"/>
    <col min="24" max="33" width="10" style="2" customWidth="1"/>
    <col min="34" max="34" width="30" style="2" customWidth="1"/>
    <col min="35" max="35" width="8" style="2" customWidth="1"/>
    <col min="36" max="36" width="22" style="2" customWidth="1"/>
  </cols>
  <sheetData>
    <row r="1" spans="1:36" ht="15.75" x14ac:dyDescent="0.25">
      <c r="A1" s="27" t="s">
        <v>190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3" spans="1:36" ht="38.2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191</v>
      </c>
      <c r="U3" s="8" t="s">
        <v>21</v>
      </c>
      <c r="V3" s="8" t="s">
        <v>22</v>
      </c>
      <c r="W3" s="19" t="s">
        <v>23</v>
      </c>
      <c r="X3" s="8" t="s">
        <v>192</v>
      </c>
      <c r="Y3" s="8" t="s">
        <v>193</v>
      </c>
      <c r="Z3" s="8" t="s">
        <v>194</v>
      </c>
      <c r="AA3" s="8" t="s">
        <v>195</v>
      </c>
      <c r="AB3" s="8" t="s">
        <v>196</v>
      </c>
      <c r="AC3" s="8" t="s">
        <v>197</v>
      </c>
      <c r="AD3" s="8" t="s">
        <v>101</v>
      </c>
      <c r="AE3" s="8" t="s">
        <v>198</v>
      </c>
      <c r="AF3" s="8" t="s">
        <v>151</v>
      </c>
      <c r="AG3" s="8" t="s">
        <v>152</v>
      </c>
      <c r="AH3" s="8" t="s">
        <v>34</v>
      </c>
      <c r="AI3" s="8" t="s">
        <v>35</v>
      </c>
      <c r="AJ3" s="8" t="s">
        <v>110</v>
      </c>
    </row>
    <row r="4" spans="1:36" x14ac:dyDescent="0.25">
      <c r="A4" s="9" t="s">
        <v>37</v>
      </c>
      <c r="B4" s="9" t="s">
        <v>199</v>
      </c>
      <c r="C4" s="9" t="s">
        <v>200</v>
      </c>
      <c r="D4" s="9" t="s">
        <v>40</v>
      </c>
      <c r="E4" s="9">
        <v>28.201000000000001</v>
      </c>
      <c r="F4" s="9"/>
      <c r="G4" s="9">
        <v>1.696</v>
      </c>
      <c r="H4" s="9">
        <v>26.504999999999999</v>
      </c>
      <c r="I4" s="9">
        <v>26.504999999999999</v>
      </c>
      <c r="J4" s="9">
        <v>1</v>
      </c>
      <c r="K4" s="9">
        <v>120</v>
      </c>
      <c r="L4" s="9" t="s">
        <v>41</v>
      </c>
      <c r="M4" s="9"/>
      <c r="N4" s="9">
        <v>1.5</v>
      </c>
      <c r="O4" s="9">
        <v>0.19600000000000001</v>
      </c>
      <c r="P4" s="9"/>
      <c r="Q4" s="9"/>
      <c r="R4" s="9">
        <v>0</v>
      </c>
      <c r="S4" s="9" t="s">
        <v>42</v>
      </c>
      <c r="T4" s="9">
        <v>0.3392</v>
      </c>
      <c r="U4" s="9"/>
      <c r="V4" s="9">
        <v>78.13974056603773</v>
      </c>
      <c r="W4" s="20">
        <v>78.13974056603773</v>
      </c>
      <c r="X4" s="9">
        <v>3.1198000000000001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 t="s">
        <v>201</v>
      </c>
      <c r="AI4" s="9">
        <v>0</v>
      </c>
      <c r="AJ4" s="9">
        <v>468.8</v>
      </c>
    </row>
    <row r="5" spans="1:36" x14ac:dyDescent="0.25">
      <c r="A5" s="9" t="s">
        <v>37</v>
      </c>
      <c r="B5" s="9" t="s">
        <v>199</v>
      </c>
      <c r="C5" s="9" t="s">
        <v>202</v>
      </c>
      <c r="D5" s="9" t="s">
        <v>40</v>
      </c>
      <c r="E5" s="9">
        <v>121.441</v>
      </c>
      <c r="F5" s="9"/>
      <c r="G5" s="9">
        <v>21.088000000000001</v>
      </c>
      <c r="H5" s="9">
        <v>100.35299999999999</v>
      </c>
      <c r="I5" s="9">
        <v>100.35299999999999</v>
      </c>
      <c r="J5" s="9">
        <v>1</v>
      </c>
      <c r="K5" s="9">
        <v>120</v>
      </c>
      <c r="L5" s="9" t="s">
        <v>41</v>
      </c>
      <c r="M5" s="9"/>
      <c r="N5" s="9">
        <v>49.7</v>
      </c>
      <c r="O5" s="9">
        <v>-28.611999999999998</v>
      </c>
      <c r="P5" s="9"/>
      <c r="Q5" s="9"/>
      <c r="R5" s="9">
        <v>26</v>
      </c>
      <c r="S5" s="9" t="s">
        <v>42</v>
      </c>
      <c r="T5" s="9">
        <v>4.2176</v>
      </c>
      <c r="U5" s="9"/>
      <c r="V5" s="9">
        <v>29.95850720789074</v>
      </c>
      <c r="W5" s="20">
        <v>29.95850720789074</v>
      </c>
      <c r="X5" s="9">
        <v>10.532</v>
      </c>
      <c r="Y5" s="9">
        <v>6.9102000000000006</v>
      </c>
      <c r="Z5" s="9">
        <v>4.5746000000000002</v>
      </c>
      <c r="AA5" s="9">
        <v>8.6004000000000005</v>
      </c>
      <c r="AB5" s="9">
        <v>5.0928000000000004</v>
      </c>
      <c r="AC5" s="9">
        <v>2.7075999999999998</v>
      </c>
      <c r="AD5" s="9">
        <v>4.4042000000000003</v>
      </c>
      <c r="AE5" s="9">
        <v>2.8081999999999998</v>
      </c>
      <c r="AF5" s="9">
        <v>3.0775999999999999</v>
      </c>
      <c r="AG5" s="9">
        <v>3.7627999999999999</v>
      </c>
      <c r="AH5" s="9" t="s">
        <v>203</v>
      </c>
      <c r="AI5" s="9">
        <v>0</v>
      </c>
      <c r="AJ5" s="9">
        <v>142.80000000000001</v>
      </c>
    </row>
    <row r="6" spans="1:36" x14ac:dyDescent="0.25">
      <c r="A6" s="9" t="s">
        <v>37</v>
      </c>
      <c r="B6" s="9" t="s">
        <v>199</v>
      </c>
      <c r="C6" s="9" t="s">
        <v>204</v>
      </c>
      <c r="D6" s="9" t="s">
        <v>47</v>
      </c>
      <c r="E6" s="9">
        <v>32</v>
      </c>
      <c r="F6" s="9"/>
      <c r="G6" s="9"/>
      <c r="H6" s="9">
        <v>32</v>
      </c>
      <c r="I6" s="9">
        <v>12.8</v>
      </c>
      <c r="J6" s="9">
        <v>0.4</v>
      </c>
      <c r="K6" s="9">
        <v>45</v>
      </c>
      <c r="L6" s="9" t="s">
        <v>41</v>
      </c>
      <c r="M6" s="9"/>
      <c r="N6" s="9">
        <v>256</v>
      </c>
      <c r="O6" s="9">
        <v>-256</v>
      </c>
      <c r="P6" s="9"/>
      <c r="Q6" s="9"/>
      <c r="R6" s="9">
        <v>0</v>
      </c>
      <c r="S6" s="9" t="s">
        <v>42</v>
      </c>
      <c r="T6" s="9">
        <v>0</v>
      </c>
      <c r="U6" s="9"/>
      <c r="V6" s="9" t="e">
        <v>#DIV/0!</v>
      </c>
      <c r="W6" s="20" t="e">
        <v>#DIV/0!</v>
      </c>
      <c r="X6" s="9">
        <v>0</v>
      </c>
      <c r="Y6" s="9">
        <v>-1.2</v>
      </c>
      <c r="Z6" s="9">
        <v>-0.2</v>
      </c>
      <c r="AA6" s="9">
        <v>-3.8</v>
      </c>
      <c r="AB6" s="9">
        <v>-0.2</v>
      </c>
      <c r="AC6" s="9">
        <v>5</v>
      </c>
      <c r="AD6" s="9">
        <v>9.6</v>
      </c>
      <c r="AE6" s="9">
        <v>3.8</v>
      </c>
      <c r="AF6" s="9">
        <v>22.2</v>
      </c>
      <c r="AG6" s="9">
        <v>17.399999999999999</v>
      </c>
      <c r="AH6" s="9" t="s">
        <v>205</v>
      </c>
      <c r="AI6" s="9">
        <v>0</v>
      </c>
      <c r="AJ6" s="9"/>
    </row>
    <row r="7" spans="1:36" x14ac:dyDescent="0.25">
      <c r="A7" s="9" t="s">
        <v>37</v>
      </c>
      <c r="B7" s="9" t="s">
        <v>199</v>
      </c>
      <c r="C7" s="9" t="s">
        <v>206</v>
      </c>
      <c r="D7" s="9" t="s">
        <v>40</v>
      </c>
      <c r="E7" s="9">
        <v>39.21</v>
      </c>
      <c r="F7" s="9"/>
      <c r="G7" s="9"/>
      <c r="H7" s="9">
        <v>39.21</v>
      </c>
      <c r="I7" s="9">
        <v>39.21</v>
      </c>
      <c r="J7" s="9">
        <v>1</v>
      </c>
      <c r="K7" s="9"/>
      <c r="L7" s="9" t="s">
        <v>58</v>
      </c>
      <c r="M7" s="9"/>
      <c r="N7" s="9"/>
      <c r="O7" s="9">
        <v>0</v>
      </c>
      <c r="P7" s="9"/>
      <c r="Q7" s="9"/>
      <c r="R7" s="9">
        <v>0</v>
      </c>
      <c r="S7" s="9" t="s">
        <v>42</v>
      </c>
      <c r="T7" s="9">
        <v>0</v>
      </c>
      <c r="U7" s="9"/>
      <c r="V7" s="9" t="e">
        <v>#DIV/0!</v>
      </c>
      <c r="W7" s="20" t="e">
        <v>#DIV/0!</v>
      </c>
      <c r="X7" s="9">
        <v>2.4140000000000001</v>
      </c>
      <c r="Y7" s="9">
        <v>3.625</v>
      </c>
      <c r="Z7" s="9">
        <v>0</v>
      </c>
      <c r="AA7" s="9">
        <v>5.444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 t="s">
        <v>207</v>
      </c>
      <c r="AI7" s="9"/>
      <c r="AJ7" s="9"/>
    </row>
    <row r="8" spans="1:36" x14ac:dyDescent="0.25">
      <c r="A8" s="9" t="s">
        <v>37</v>
      </c>
      <c r="B8" s="9" t="s">
        <v>199</v>
      </c>
      <c r="C8" s="9" t="s">
        <v>208</v>
      </c>
      <c r="D8" s="9" t="s">
        <v>47</v>
      </c>
      <c r="E8" s="9">
        <v>70</v>
      </c>
      <c r="F8" s="9"/>
      <c r="G8" s="9"/>
      <c r="H8" s="9">
        <v>70</v>
      </c>
      <c r="I8" s="9">
        <v>6.3</v>
      </c>
      <c r="J8" s="9">
        <v>0.09</v>
      </c>
      <c r="K8" s="9"/>
      <c r="L8" s="9" t="s">
        <v>58</v>
      </c>
      <c r="M8" s="9"/>
      <c r="N8" s="9"/>
      <c r="O8" s="9">
        <v>0</v>
      </c>
      <c r="P8" s="9"/>
      <c r="Q8" s="9"/>
      <c r="R8" s="9">
        <v>0</v>
      </c>
      <c r="S8" s="9" t="s">
        <v>42</v>
      </c>
      <c r="T8" s="9">
        <v>0</v>
      </c>
      <c r="U8" s="9"/>
      <c r="V8" s="9" t="e">
        <v>#DIV/0!</v>
      </c>
      <c r="W8" s="20" t="e">
        <v>#DIV/0!</v>
      </c>
      <c r="X8" s="9">
        <v>0</v>
      </c>
      <c r="Y8" s="9">
        <v>6</v>
      </c>
      <c r="Z8" s="9">
        <v>0</v>
      </c>
      <c r="AA8" s="9">
        <v>4.2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 t="s">
        <v>207</v>
      </c>
      <c r="AI8" s="9"/>
      <c r="AJ8" s="9"/>
    </row>
    <row r="9" spans="1:36" x14ac:dyDescent="0.25">
      <c r="A9" s="9" t="s">
        <v>37</v>
      </c>
      <c r="B9" s="9" t="s">
        <v>199</v>
      </c>
      <c r="C9" s="9" t="s">
        <v>209</v>
      </c>
      <c r="D9" s="9" t="s">
        <v>47</v>
      </c>
      <c r="E9" s="9">
        <v>80</v>
      </c>
      <c r="F9" s="9"/>
      <c r="G9" s="9"/>
      <c r="H9" s="9">
        <v>80</v>
      </c>
      <c r="I9" s="9">
        <v>12</v>
      </c>
      <c r="J9" s="9">
        <v>0.15</v>
      </c>
      <c r="K9" s="9">
        <v>45</v>
      </c>
      <c r="L9" s="9" t="s">
        <v>41</v>
      </c>
      <c r="M9" s="9"/>
      <c r="N9" s="9">
        <v>101</v>
      </c>
      <c r="O9" s="9">
        <v>-101</v>
      </c>
      <c r="P9" s="9"/>
      <c r="Q9" s="9"/>
      <c r="R9" s="9">
        <v>0</v>
      </c>
      <c r="S9" s="9" t="s">
        <v>42</v>
      </c>
      <c r="T9" s="9">
        <v>0</v>
      </c>
      <c r="U9" s="9"/>
      <c r="V9" s="9" t="e">
        <v>#DIV/0!</v>
      </c>
      <c r="W9" s="20" t="e">
        <v>#DIV/0!</v>
      </c>
      <c r="X9" s="9">
        <v>0</v>
      </c>
      <c r="Y9" s="9">
        <v>8</v>
      </c>
      <c r="Z9" s="9">
        <v>2</v>
      </c>
      <c r="AA9" s="9">
        <v>1.8</v>
      </c>
      <c r="AB9" s="9">
        <v>2.2000000000000002</v>
      </c>
      <c r="AC9" s="9">
        <v>6</v>
      </c>
      <c r="AD9" s="9">
        <v>8.8000000000000007</v>
      </c>
      <c r="AE9" s="9">
        <v>7</v>
      </c>
      <c r="AF9" s="9">
        <v>9.8000000000000007</v>
      </c>
      <c r="AG9" s="9">
        <v>17.399999999999999</v>
      </c>
      <c r="AH9" s="9" t="s">
        <v>52</v>
      </c>
      <c r="AI9" s="9">
        <v>0</v>
      </c>
      <c r="AJ9" s="9"/>
    </row>
    <row r="10" spans="1:36" x14ac:dyDescent="0.25">
      <c r="A10" s="9" t="s">
        <v>37</v>
      </c>
      <c r="B10" s="9" t="s">
        <v>199</v>
      </c>
      <c r="C10" s="9" t="s">
        <v>210</v>
      </c>
      <c r="D10" s="9" t="s">
        <v>40</v>
      </c>
      <c r="E10" s="9">
        <v>16.449000000000002</v>
      </c>
      <c r="F10" s="9"/>
      <c r="G10" s="9"/>
      <c r="H10" s="9">
        <v>16.449000000000002</v>
      </c>
      <c r="I10" s="9">
        <v>16.449000000000002</v>
      </c>
      <c r="J10" s="9">
        <v>1</v>
      </c>
      <c r="K10" s="9">
        <v>30</v>
      </c>
      <c r="L10" s="9" t="s">
        <v>58</v>
      </c>
      <c r="M10" s="9"/>
      <c r="N10" s="9"/>
      <c r="O10" s="9">
        <v>0</v>
      </c>
      <c r="P10" s="9"/>
      <c r="Q10" s="9"/>
      <c r="R10" s="9">
        <v>0</v>
      </c>
      <c r="S10" s="9" t="s">
        <v>42</v>
      </c>
      <c r="T10" s="9">
        <v>0</v>
      </c>
      <c r="U10" s="9"/>
      <c r="V10" s="9" t="e">
        <v>#DIV/0!</v>
      </c>
      <c r="W10" s="20" t="e">
        <v>#DIV/0!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 t="s">
        <v>52</v>
      </c>
      <c r="AI10" s="9"/>
      <c r="AJ10" s="9"/>
    </row>
    <row r="11" spans="1:36" x14ac:dyDescent="0.25">
      <c r="A11" s="9" t="s">
        <v>37</v>
      </c>
      <c r="B11" s="9" t="s">
        <v>199</v>
      </c>
      <c r="C11" s="9" t="s">
        <v>211</v>
      </c>
      <c r="D11" s="9" t="s">
        <v>47</v>
      </c>
      <c r="E11" s="9">
        <v>120</v>
      </c>
      <c r="F11" s="9"/>
      <c r="G11" s="9"/>
      <c r="H11" s="9">
        <v>120</v>
      </c>
      <c r="I11" s="9">
        <v>30</v>
      </c>
      <c r="J11" s="9">
        <v>0.25</v>
      </c>
      <c r="K11" s="9"/>
      <c r="L11" s="9" t="s">
        <v>58</v>
      </c>
      <c r="M11" s="9"/>
      <c r="N11" s="9"/>
      <c r="O11" s="9">
        <v>0</v>
      </c>
      <c r="P11" s="9"/>
      <c r="Q11" s="9"/>
      <c r="R11" s="9">
        <v>0</v>
      </c>
      <c r="S11" s="9" t="s">
        <v>42</v>
      </c>
      <c r="T11" s="9">
        <v>0</v>
      </c>
      <c r="U11" s="9"/>
      <c r="V11" s="9" t="e">
        <v>#DIV/0!</v>
      </c>
      <c r="W11" s="20" t="e">
        <v>#DIV/0!</v>
      </c>
      <c r="X11" s="9">
        <v>3.2</v>
      </c>
      <c r="Y11" s="9">
        <v>4.8</v>
      </c>
      <c r="Z11" s="9">
        <v>0</v>
      </c>
      <c r="AA11" s="9">
        <v>8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 t="s">
        <v>207</v>
      </c>
      <c r="AI11" s="9"/>
      <c r="AJ11" s="9"/>
    </row>
    <row r="12" spans="1:36" x14ac:dyDescent="0.25">
      <c r="A12" s="9" t="s">
        <v>37</v>
      </c>
      <c r="B12" s="9" t="s">
        <v>199</v>
      </c>
      <c r="C12" s="9" t="s">
        <v>212</v>
      </c>
      <c r="D12" s="9" t="s">
        <v>47</v>
      </c>
      <c r="E12" s="9">
        <v>140</v>
      </c>
      <c r="F12" s="9"/>
      <c r="G12" s="9"/>
      <c r="H12" s="9">
        <v>140</v>
      </c>
      <c r="I12" s="9">
        <v>43.4</v>
      </c>
      <c r="J12" s="9">
        <v>0.31</v>
      </c>
      <c r="K12" s="9"/>
      <c r="L12" s="9" t="s">
        <v>58</v>
      </c>
      <c r="M12" s="9"/>
      <c r="N12" s="9"/>
      <c r="O12" s="9">
        <v>0</v>
      </c>
      <c r="P12" s="9"/>
      <c r="Q12" s="9"/>
      <c r="R12" s="9">
        <v>0</v>
      </c>
      <c r="S12" s="9" t="s">
        <v>42</v>
      </c>
      <c r="T12" s="9">
        <v>0</v>
      </c>
      <c r="U12" s="9"/>
      <c r="V12" s="9" t="e">
        <v>#DIV/0!</v>
      </c>
      <c r="W12" s="20" t="e">
        <v>#DIV/0!</v>
      </c>
      <c r="X12" s="9">
        <v>0.4</v>
      </c>
      <c r="Y12" s="9">
        <v>6.4</v>
      </c>
      <c r="Z12" s="9">
        <v>0</v>
      </c>
      <c r="AA12" s="9">
        <v>1.6</v>
      </c>
      <c r="AB12" s="9">
        <v>3.2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207</v>
      </c>
      <c r="AI12" s="9"/>
      <c r="AJ12" s="9"/>
    </row>
    <row r="13" spans="1:36" x14ac:dyDescent="0.25">
      <c r="A13" s="9" t="s">
        <v>37</v>
      </c>
      <c r="B13" s="9" t="s">
        <v>199</v>
      </c>
      <c r="C13" s="9" t="s">
        <v>213</v>
      </c>
      <c r="D13" s="9" t="s">
        <v>47</v>
      </c>
      <c r="E13" s="9">
        <v>280</v>
      </c>
      <c r="F13" s="9"/>
      <c r="G13" s="9"/>
      <c r="H13" s="9">
        <v>280</v>
      </c>
      <c r="I13" s="9">
        <v>112</v>
      </c>
      <c r="J13" s="9">
        <v>0.4</v>
      </c>
      <c r="K13" s="9"/>
      <c r="L13" s="9" t="s">
        <v>58</v>
      </c>
      <c r="M13" s="9"/>
      <c r="N13" s="9"/>
      <c r="O13" s="9">
        <v>0</v>
      </c>
      <c r="P13" s="9"/>
      <c r="Q13" s="9"/>
      <c r="R13" s="9">
        <v>0</v>
      </c>
      <c r="S13" s="9" t="s">
        <v>42</v>
      </c>
      <c r="T13" s="9">
        <v>0</v>
      </c>
      <c r="U13" s="9"/>
      <c r="V13" s="9" t="e">
        <v>#DIV/0!</v>
      </c>
      <c r="W13" s="20" t="e">
        <v>#DIV/0!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 t="s">
        <v>207</v>
      </c>
      <c r="AI13" s="9"/>
      <c r="AJ13" s="9"/>
    </row>
    <row r="14" spans="1:36" x14ac:dyDescent="0.25">
      <c r="A14" s="9" t="s">
        <v>37</v>
      </c>
      <c r="B14" s="9" t="s">
        <v>199</v>
      </c>
      <c r="C14" s="9" t="s">
        <v>214</v>
      </c>
      <c r="D14" s="9" t="s">
        <v>47</v>
      </c>
      <c r="E14" s="9">
        <v>160</v>
      </c>
      <c r="F14" s="9"/>
      <c r="G14" s="9"/>
      <c r="H14" s="9">
        <v>160</v>
      </c>
      <c r="I14" s="9">
        <v>42.24</v>
      </c>
      <c r="J14" s="9">
        <v>0.26400000000000001</v>
      </c>
      <c r="K14" s="9"/>
      <c r="L14" s="9" t="s">
        <v>58</v>
      </c>
      <c r="M14" s="9"/>
      <c r="N14" s="9">
        <v>6</v>
      </c>
      <c r="O14" s="9">
        <v>-6</v>
      </c>
      <c r="P14" s="9"/>
      <c r="Q14" s="9"/>
      <c r="R14" s="9">
        <v>0</v>
      </c>
      <c r="S14" s="9" t="s">
        <v>42</v>
      </c>
      <c r="T14" s="9">
        <v>0</v>
      </c>
      <c r="U14" s="9"/>
      <c r="V14" s="9" t="e">
        <v>#DIV/0!</v>
      </c>
      <c r="W14" s="20" t="e">
        <v>#DIV/0!</v>
      </c>
      <c r="X14" s="9">
        <v>4.4000000000000004</v>
      </c>
      <c r="Y14" s="9">
        <v>2.2000000000000002</v>
      </c>
      <c r="Z14" s="9">
        <v>1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 t="s">
        <v>215</v>
      </c>
      <c r="AI14" s="9"/>
      <c r="AJ14" s="9"/>
    </row>
    <row r="15" spans="1:36" x14ac:dyDescent="0.25">
      <c r="A15" s="9" t="s">
        <v>37</v>
      </c>
      <c r="B15" s="9" t="s">
        <v>199</v>
      </c>
      <c r="C15" s="9" t="s">
        <v>216</v>
      </c>
      <c r="D15" s="9" t="s">
        <v>47</v>
      </c>
      <c r="E15" s="9">
        <v>28</v>
      </c>
      <c r="F15" s="9"/>
      <c r="G15" s="9"/>
      <c r="H15" s="9">
        <v>28</v>
      </c>
      <c r="I15" s="9">
        <v>9.24</v>
      </c>
      <c r="J15" s="9">
        <v>0.33</v>
      </c>
      <c r="K15" s="9">
        <v>45</v>
      </c>
      <c r="L15" s="9" t="s">
        <v>41</v>
      </c>
      <c r="M15" s="9"/>
      <c r="N15" s="9">
        <v>362</v>
      </c>
      <c r="O15" s="9">
        <v>-362</v>
      </c>
      <c r="P15" s="9"/>
      <c r="Q15" s="9"/>
      <c r="R15" s="9">
        <v>0</v>
      </c>
      <c r="S15" s="9" t="s">
        <v>42</v>
      </c>
      <c r="T15" s="9">
        <v>0</v>
      </c>
      <c r="U15" s="9"/>
      <c r="V15" s="9" t="e">
        <v>#DIV/0!</v>
      </c>
      <c r="W15" s="20" t="e">
        <v>#DIV/0!</v>
      </c>
      <c r="X15" s="9">
        <v>-2.2000000000000002</v>
      </c>
      <c r="Y15" s="9">
        <v>23</v>
      </c>
      <c r="Z15" s="9">
        <v>25.8</v>
      </c>
      <c r="AA15" s="9">
        <v>35.200000000000003</v>
      </c>
      <c r="AB15" s="9">
        <v>18.8</v>
      </c>
      <c r="AC15" s="9">
        <v>4.8</v>
      </c>
      <c r="AD15" s="9">
        <v>21.6</v>
      </c>
      <c r="AE15" s="9">
        <v>23.6</v>
      </c>
      <c r="AF15" s="9">
        <v>18</v>
      </c>
      <c r="AG15" s="9">
        <v>0.2</v>
      </c>
      <c r="AH15" s="9" t="s">
        <v>217</v>
      </c>
      <c r="AI15" s="9">
        <v>0</v>
      </c>
      <c r="AJ15" s="9"/>
    </row>
    <row r="16" spans="1:36" x14ac:dyDescent="0.25">
      <c r="A16" s="9" t="s">
        <v>37</v>
      </c>
      <c r="B16" s="9" t="s">
        <v>199</v>
      </c>
      <c r="C16" s="9" t="s">
        <v>218</v>
      </c>
      <c r="D16" s="9" t="s">
        <v>47</v>
      </c>
      <c r="E16" s="9">
        <v>46</v>
      </c>
      <c r="F16" s="9"/>
      <c r="G16" s="9"/>
      <c r="H16" s="9">
        <v>46</v>
      </c>
      <c r="I16" s="9">
        <v>4.6000000000000014</v>
      </c>
      <c r="J16" s="9">
        <v>0.1</v>
      </c>
      <c r="K16" s="9">
        <v>45</v>
      </c>
      <c r="L16" s="9" t="s">
        <v>219</v>
      </c>
      <c r="M16" s="9"/>
      <c r="N16" s="9">
        <v>11</v>
      </c>
      <c r="O16" s="9">
        <v>-11</v>
      </c>
      <c r="P16" s="9"/>
      <c r="Q16" s="9"/>
      <c r="R16" s="9">
        <v>0</v>
      </c>
      <c r="S16" s="9" t="s">
        <v>42</v>
      </c>
      <c r="T16" s="9">
        <v>0</v>
      </c>
      <c r="U16" s="9"/>
      <c r="V16" s="9" t="e">
        <v>#DIV/0!</v>
      </c>
      <c r="W16" s="20" t="e">
        <v>#DIV/0!</v>
      </c>
      <c r="X16" s="9">
        <v>2.4</v>
      </c>
      <c r="Y16" s="9">
        <v>0.8</v>
      </c>
      <c r="Z16" s="9">
        <v>0.6</v>
      </c>
      <c r="AA16" s="9">
        <v>0.4</v>
      </c>
      <c r="AB16" s="9">
        <v>4.2</v>
      </c>
      <c r="AC16" s="9">
        <v>3.4</v>
      </c>
      <c r="AD16" s="9">
        <v>0</v>
      </c>
      <c r="AE16" s="9">
        <v>0</v>
      </c>
      <c r="AF16" s="9">
        <v>0</v>
      </c>
      <c r="AG16" s="9">
        <v>0</v>
      </c>
      <c r="AH16" s="9" t="s">
        <v>220</v>
      </c>
      <c r="AI16" s="9"/>
      <c r="AJ16" s="9"/>
    </row>
    <row r="17" spans="1:36" x14ac:dyDescent="0.25">
      <c r="A17" s="10" t="s">
        <v>53</v>
      </c>
      <c r="B17" s="10" t="s">
        <v>199</v>
      </c>
      <c r="C17" s="10" t="s">
        <v>202</v>
      </c>
      <c r="D17" s="10" t="s">
        <v>40</v>
      </c>
      <c r="E17" s="10">
        <v>124.67100000000001</v>
      </c>
      <c r="F17" s="10">
        <v>0.995</v>
      </c>
      <c r="G17" s="10">
        <v>10.404</v>
      </c>
      <c r="H17" s="10">
        <v>113.268</v>
      </c>
      <c r="I17" s="10">
        <v>113.268</v>
      </c>
      <c r="J17" s="10">
        <v>1</v>
      </c>
      <c r="K17" s="10">
        <v>120</v>
      </c>
      <c r="L17" s="10" t="s">
        <v>41</v>
      </c>
      <c r="M17" s="10"/>
      <c r="N17" s="10">
        <v>12</v>
      </c>
      <c r="O17" s="10">
        <v>-1.5960000000000001</v>
      </c>
      <c r="P17" s="10">
        <v>10.404</v>
      </c>
      <c r="Q17" s="10"/>
      <c r="R17" s="10"/>
      <c r="S17" s="10" t="s">
        <v>79</v>
      </c>
      <c r="T17" s="10">
        <v>2.0808</v>
      </c>
      <c r="U17" s="10"/>
      <c r="V17" s="10">
        <v>54.434832756632062</v>
      </c>
      <c r="W17" s="21">
        <v>54.434832756632062</v>
      </c>
      <c r="X17" s="10">
        <v>1.0946</v>
      </c>
      <c r="Y17" s="10">
        <v>4.2603999999999997</v>
      </c>
      <c r="Z17" s="10">
        <v>2.5825999999999998</v>
      </c>
      <c r="AA17" s="10">
        <v>1.2851999999999999</v>
      </c>
      <c r="AB17" s="10">
        <v>7.2028000000000008</v>
      </c>
      <c r="AC17" s="10">
        <v>7.5352000000000006</v>
      </c>
      <c r="AD17" s="10">
        <v>4.4573999999999998</v>
      </c>
      <c r="AE17" s="10">
        <v>2.1379999999999999</v>
      </c>
      <c r="AF17" s="10">
        <v>1.2092000000000001</v>
      </c>
      <c r="AG17" s="10">
        <v>6.8614000000000006</v>
      </c>
      <c r="AH17" s="10" t="s">
        <v>221</v>
      </c>
      <c r="AI17" s="10">
        <v>0</v>
      </c>
      <c r="AJ17" s="10">
        <v>326.60000000000002</v>
      </c>
    </row>
    <row r="18" spans="1:36" x14ac:dyDescent="0.25">
      <c r="A18" s="10" t="s">
        <v>53</v>
      </c>
      <c r="B18" s="10" t="s">
        <v>199</v>
      </c>
      <c r="C18" s="10" t="s">
        <v>222</v>
      </c>
      <c r="D18" s="10" t="s">
        <v>47</v>
      </c>
      <c r="E18" s="10">
        <v>58</v>
      </c>
      <c r="F18" s="10">
        <v>30</v>
      </c>
      <c r="G18" s="10">
        <v>6</v>
      </c>
      <c r="H18" s="10">
        <v>82</v>
      </c>
      <c r="I18" s="10">
        <v>24.6</v>
      </c>
      <c r="J18" s="10">
        <v>0.3</v>
      </c>
      <c r="K18" s="10">
        <v>45</v>
      </c>
      <c r="L18" s="10" t="s">
        <v>219</v>
      </c>
      <c r="M18" s="10"/>
      <c r="N18" s="10">
        <v>6</v>
      </c>
      <c r="O18" s="10">
        <v>0</v>
      </c>
      <c r="P18" s="10">
        <v>6</v>
      </c>
      <c r="Q18" s="10"/>
      <c r="R18" s="10"/>
      <c r="S18" s="10" t="s">
        <v>79</v>
      </c>
      <c r="T18" s="10">
        <v>1.2</v>
      </c>
      <c r="U18" s="10"/>
      <c r="V18" s="10">
        <v>68.333333333333343</v>
      </c>
      <c r="W18" s="21">
        <v>68.333333333333343</v>
      </c>
      <c r="X18" s="10">
        <v>3.2</v>
      </c>
      <c r="Y18" s="10">
        <v>7.2</v>
      </c>
      <c r="Z18" s="10">
        <v>0.8</v>
      </c>
      <c r="AA18" s="10">
        <v>1.4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 t="s">
        <v>84</v>
      </c>
      <c r="AI18" s="10"/>
      <c r="AJ18" s="10">
        <v>410</v>
      </c>
    </row>
    <row r="19" spans="1:36" x14ac:dyDescent="0.25">
      <c r="A19" s="10" t="s">
        <v>53</v>
      </c>
      <c r="B19" s="10" t="s">
        <v>199</v>
      </c>
      <c r="C19" s="10" t="s">
        <v>223</v>
      </c>
      <c r="D19" s="10" t="s">
        <v>47</v>
      </c>
      <c r="E19" s="10">
        <v>14</v>
      </c>
      <c r="F19" s="10"/>
      <c r="G19" s="10"/>
      <c r="H19" s="10">
        <v>14</v>
      </c>
      <c r="I19" s="10">
        <v>8.68</v>
      </c>
      <c r="J19" s="10">
        <v>0.62</v>
      </c>
      <c r="K19" s="10">
        <v>50</v>
      </c>
      <c r="L19" s="10" t="s">
        <v>58</v>
      </c>
      <c r="M19" s="10"/>
      <c r="N19" s="10"/>
      <c r="O19" s="10">
        <v>0</v>
      </c>
      <c r="P19" s="10">
        <v>0</v>
      </c>
      <c r="Q19" s="10"/>
      <c r="R19" s="10"/>
      <c r="S19" s="10" t="s">
        <v>79</v>
      </c>
      <c r="T19" s="10">
        <v>0</v>
      </c>
      <c r="U19" s="10"/>
      <c r="V19" s="10" t="e">
        <v>#DIV/0!</v>
      </c>
      <c r="W19" s="21" t="e">
        <v>#DIV/0!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 t="s">
        <v>52</v>
      </c>
      <c r="AI19" s="10"/>
      <c r="AJ19" s="10"/>
    </row>
    <row r="20" spans="1:36" x14ac:dyDescent="0.25">
      <c r="A20" s="11" t="s">
        <v>77</v>
      </c>
      <c r="B20" s="11" t="s">
        <v>199</v>
      </c>
      <c r="C20" s="11" t="s">
        <v>224</v>
      </c>
      <c r="D20" s="11" t="s">
        <v>40</v>
      </c>
      <c r="E20" s="11">
        <v>14.849</v>
      </c>
      <c r="F20" s="11">
        <v>38.008000000000003</v>
      </c>
      <c r="G20" s="11">
        <v>4.97</v>
      </c>
      <c r="H20" s="11">
        <v>46.28</v>
      </c>
      <c r="I20" s="11">
        <v>46.28</v>
      </c>
      <c r="J20" s="11">
        <v>1</v>
      </c>
      <c r="K20" s="11">
        <v>120</v>
      </c>
      <c r="L20" s="11" t="s">
        <v>41</v>
      </c>
      <c r="M20" s="11"/>
      <c r="N20" s="11">
        <v>5</v>
      </c>
      <c r="O20" s="11">
        <v>-3.0000000000000249E-2</v>
      </c>
      <c r="P20" s="11"/>
      <c r="Q20" s="11"/>
      <c r="R20" s="11">
        <v>30</v>
      </c>
      <c r="S20" s="11" t="s">
        <v>79</v>
      </c>
      <c r="T20" s="11">
        <v>0.99399999999999999</v>
      </c>
      <c r="U20" s="11"/>
      <c r="V20" s="11">
        <v>76.74044265593561</v>
      </c>
      <c r="W20" s="22">
        <v>76.74044265593561</v>
      </c>
      <c r="X20" s="11">
        <v>2.5045999999999999</v>
      </c>
      <c r="Y20" s="11">
        <v>4.4005999999999998</v>
      </c>
      <c r="Z20" s="11">
        <v>1.4883999999999999</v>
      </c>
      <c r="AA20" s="11">
        <v>3.4176000000000002</v>
      </c>
      <c r="AB20" s="11">
        <v>1.4923999999999999</v>
      </c>
      <c r="AC20" s="11">
        <v>1.8888</v>
      </c>
      <c r="AD20" s="11">
        <v>1.8835999999999999</v>
      </c>
      <c r="AE20" s="11">
        <v>1.478</v>
      </c>
      <c r="AF20" s="11">
        <v>0.86699999999999999</v>
      </c>
      <c r="AG20" s="11">
        <v>1.7609999999999999</v>
      </c>
      <c r="AH20" s="11" t="s">
        <v>203</v>
      </c>
      <c r="AI20" s="11">
        <v>0</v>
      </c>
      <c r="AJ20" s="11">
        <v>279.39999999999998</v>
      </c>
    </row>
    <row r="21" spans="1:36" x14ac:dyDescent="0.25">
      <c r="A21" s="11" t="s">
        <v>77</v>
      </c>
      <c r="B21" s="11" t="s">
        <v>199</v>
      </c>
      <c r="C21" s="11" t="s">
        <v>202</v>
      </c>
      <c r="D21" s="11" t="s">
        <v>40</v>
      </c>
      <c r="E21" s="11">
        <v>38.613</v>
      </c>
      <c r="F21" s="11">
        <v>138.83699999999999</v>
      </c>
      <c r="G21" s="11">
        <v>21.442</v>
      </c>
      <c r="H21" s="11">
        <v>136.68</v>
      </c>
      <c r="I21" s="11">
        <v>136.68</v>
      </c>
      <c r="J21" s="11">
        <v>1</v>
      </c>
      <c r="K21" s="11">
        <v>120</v>
      </c>
      <c r="L21" s="11" t="s">
        <v>41</v>
      </c>
      <c r="M21" s="11"/>
      <c r="N21" s="11">
        <v>21.484000000000002</v>
      </c>
      <c r="O21" s="11">
        <v>-4.2000000000001592E-2</v>
      </c>
      <c r="P21" s="11"/>
      <c r="Q21" s="11"/>
      <c r="R21" s="11">
        <v>0</v>
      </c>
      <c r="S21" s="11" t="s">
        <v>79</v>
      </c>
      <c r="T21" s="11">
        <v>4.2884000000000002</v>
      </c>
      <c r="U21" s="11"/>
      <c r="V21" s="11">
        <v>31.87202686316575</v>
      </c>
      <c r="W21" s="22">
        <v>31.87202686316575</v>
      </c>
      <c r="X21" s="11">
        <v>2.2122000000000002</v>
      </c>
      <c r="Y21" s="11">
        <v>12.5686</v>
      </c>
      <c r="Z21" s="11">
        <v>1.1908000000000001</v>
      </c>
      <c r="AA21" s="11">
        <v>6.0011999999999999</v>
      </c>
      <c r="AB21" s="11">
        <v>5.9808000000000003</v>
      </c>
      <c r="AC21" s="11">
        <v>1.9032</v>
      </c>
      <c r="AD21" s="11">
        <v>4.1360000000000001</v>
      </c>
      <c r="AE21" s="11">
        <v>5.2065999999999999</v>
      </c>
      <c r="AF21" s="11">
        <v>5.0554000000000006</v>
      </c>
      <c r="AG21" s="11">
        <v>3.4813999999999998</v>
      </c>
      <c r="AH21" s="11" t="s">
        <v>203</v>
      </c>
      <c r="AI21" s="11">
        <v>0</v>
      </c>
      <c r="AJ21" s="11">
        <v>191.2</v>
      </c>
    </row>
    <row r="22" spans="1:36" x14ac:dyDescent="0.25">
      <c r="A22" s="11" t="s">
        <v>77</v>
      </c>
      <c r="B22" s="11" t="s">
        <v>199</v>
      </c>
      <c r="C22" s="11" t="s">
        <v>225</v>
      </c>
      <c r="D22" s="11" t="s">
        <v>47</v>
      </c>
      <c r="E22" s="11">
        <v>79</v>
      </c>
      <c r="F22" s="11">
        <v>266</v>
      </c>
      <c r="G22" s="11">
        <v>33</v>
      </c>
      <c r="H22" s="11">
        <v>276</v>
      </c>
      <c r="I22" s="11">
        <v>110.4</v>
      </c>
      <c r="J22" s="11">
        <v>0.4</v>
      </c>
      <c r="K22" s="11">
        <v>45</v>
      </c>
      <c r="L22" s="11" t="s">
        <v>41</v>
      </c>
      <c r="M22" s="11"/>
      <c r="N22" s="11">
        <v>43</v>
      </c>
      <c r="O22" s="11">
        <v>-10</v>
      </c>
      <c r="P22" s="11"/>
      <c r="Q22" s="11"/>
      <c r="R22" s="11">
        <v>0</v>
      </c>
      <c r="S22" s="11" t="s">
        <v>79</v>
      </c>
      <c r="T22" s="11">
        <v>6.6</v>
      </c>
      <c r="U22" s="11"/>
      <c r="V22" s="11">
        <v>41.81818181818182</v>
      </c>
      <c r="W22" s="22">
        <v>41.81818181818182</v>
      </c>
      <c r="X22" s="11">
        <v>13.6</v>
      </c>
      <c r="Y22" s="11">
        <v>25.4</v>
      </c>
      <c r="Z22" s="11">
        <v>20.6</v>
      </c>
      <c r="AA22" s="11">
        <v>20.6</v>
      </c>
      <c r="AB22" s="11">
        <v>20.6</v>
      </c>
      <c r="AC22" s="11">
        <v>11</v>
      </c>
      <c r="AD22" s="11">
        <v>34.4</v>
      </c>
      <c r="AE22" s="11">
        <v>7.2</v>
      </c>
      <c r="AF22" s="11">
        <v>21.4</v>
      </c>
      <c r="AG22" s="11">
        <v>20.2</v>
      </c>
      <c r="AH22" s="11" t="s">
        <v>52</v>
      </c>
      <c r="AI22" s="11">
        <v>0</v>
      </c>
      <c r="AJ22" s="11">
        <v>250.9</v>
      </c>
    </row>
    <row r="23" spans="1:36" x14ac:dyDescent="0.25">
      <c r="A23" s="12" t="s">
        <v>85</v>
      </c>
      <c r="B23" s="12" t="s">
        <v>199</v>
      </c>
      <c r="C23" s="12" t="s">
        <v>224</v>
      </c>
      <c r="D23" s="12" t="s">
        <v>40</v>
      </c>
      <c r="E23" s="12">
        <v>102.66500000000001</v>
      </c>
      <c r="F23" s="12"/>
      <c r="G23" s="12">
        <v>12.542</v>
      </c>
      <c r="H23" s="12">
        <v>84.704999999999998</v>
      </c>
      <c r="I23" s="12">
        <v>84.704999999999998</v>
      </c>
      <c r="J23" s="12">
        <v>1</v>
      </c>
      <c r="K23" s="12">
        <v>120</v>
      </c>
      <c r="L23" s="12" t="s">
        <v>41</v>
      </c>
      <c r="M23" s="12"/>
      <c r="N23" s="12">
        <v>15.5</v>
      </c>
      <c r="O23" s="12">
        <v>-2.9580000000000002</v>
      </c>
      <c r="P23" s="12"/>
      <c r="Q23" s="12"/>
      <c r="R23" s="12">
        <v>0</v>
      </c>
      <c r="S23" s="12" t="s">
        <v>79</v>
      </c>
      <c r="T23" s="12">
        <v>2.5084</v>
      </c>
      <c r="U23" s="12"/>
      <c r="V23" s="12">
        <v>33.768537713283372</v>
      </c>
      <c r="W23" s="23">
        <v>33.768537713283372</v>
      </c>
      <c r="X23" s="12">
        <v>-8.0800000000000011E-2</v>
      </c>
      <c r="Y23" s="12">
        <v>3.3780000000000001</v>
      </c>
      <c r="Z23" s="12">
        <v>6.4805999999999999</v>
      </c>
      <c r="AA23" s="12">
        <v>3.3934000000000002</v>
      </c>
      <c r="AB23" s="12">
        <v>7.0721999999999996</v>
      </c>
      <c r="AC23" s="12">
        <v>8.3510000000000009</v>
      </c>
      <c r="AD23" s="12">
        <v>6.8492000000000006</v>
      </c>
      <c r="AE23" s="12">
        <v>5.0434000000000001</v>
      </c>
      <c r="AF23" s="12">
        <v>10.417999999999999</v>
      </c>
      <c r="AG23" s="12">
        <v>7.246599999999999</v>
      </c>
      <c r="AH23" s="12" t="s">
        <v>221</v>
      </c>
      <c r="AI23" s="12">
        <v>0</v>
      </c>
      <c r="AJ23" s="12">
        <v>202.6</v>
      </c>
    </row>
    <row r="24" spans="1:36" x14ac:dyDescent="0.25">
      <c r="A24" s="12" t="s">
        <v>85</v>
      </c>
      <c r="B24" s="12" t="s">
        <v>199</v>
      </c>
      <c r="C24" s="12" t="s">
        <v>226</v>
      </c>
      <c r="D24" s="12" t="s">
        <v>40</v>
      </c>
      <c r="E24" s="12">
        <v>248.45099999999999</v>
      </c>
      <c r="F24" s="12"/>
      <c r="G24" s="12">
        <v>34.28</v>
      </c>
      <c r="H24" s="12">
        <v>206.82599999999999</v>
      </c>
      <c r="I24" s="12">
        <v>206.82599999999999</v>
      </c>
      <c r="J24" s="12">
        <v>1</v>
      </c>
      <c r="K24" s="12">
        <v>60</v>
      </c>
      <c r="L24" s="12" t="s">
        <v>41</v>
      </c>
      <c r="M24" s="12"/>
      <c r="N24" s="12">
        <v>30.3</v>
      </c>
      <c r="O24" s="12">
        <v>3.98</v>
      </c>
      <c r="P24" s="12"/>
      <c r="Q24" s="12"/>
      <c r="R24" s="12">
        <v>0</v>
      </c>
      <c r="S24" s="12" t="s">
        <v>79</v>
      </c>
      <c r="T24" s="12">
        <v>6.8559999999999999</v>
      </c>
      <c r="U24" s="12"/>
      <c r="V24" s="12">
        <v>30.1671528588098</v>
      </c>
      <c r="W24" s="23">
        <v>30.1671528588098</v>
      </c>
      <c r="X24" s="12">
        <v>10.878</v>
      </c>
      <c r="Y24" s="12">
        <v>10.856</v>
      </c>
      <c r="Z24" s="12">
        <v>24.0562</v>
      </c>
      <c r="AA24" s="12">
        <v>8.1525999999999996</v>
      </c>
      <c r="AB24" s="12">
        <v>17.556799999999999</v>
      </c>
      <c r="AC24" s="12">
        <v>21.112400000000001</v>
      </c>
      <c r="AD24" s="12">
        <v>24.304200000000002</v>
      </c>
      <c r="AE24" s="12">
        <v>17.704999999999998</v>
      </c>
      <c r="AF24" s="12">
        <v>11.230600000000001</v>
      </c>
      <c r="AG24" s="12">
        <v>31.431000000000001</v>
      </c>
      <c r="AH24" s="12" t="s">
        <v>52</v>
      </c>
      <c r="AI24" s="12">
        <v>0</v>
      </c>
      <c r="AJ24" s="12">
        <v>181</v>
      </c>
    </row>
    <row r="25" spans="1:36" x14ac:dyDescent="0.25">
      <c r="A25" s="12" t="s">
        <v>85</v>
      </c>
      <c r="B25" s="12" t="s">
        <v>199</v>
      </c>
      <c r="C25" s="12" t="s">
        <v>227</v>
      </c>
      <c r="D25" s="12" t="s">
        <v>40</v>
      </c>
      <c r="E25" s="12">
        <v>28.641999999999999</v>
      </c>
      <c r="F25" s="12">
        <v>3.806</v>
      </c>
      <c r="G25" s="12">
        <v>1.6719999999999999</v>
      </c>
      <c r="H25" s="12">
        <v>30.462</v>
      </c>
      <c r="I25" s="12">
        <v>30.462</v>
      </c>
      <c r="J25" s="12">
        <v>1</v>
      </c>
      <c r="K25" s="12">
        <v>40</v>
      </c>
      <c r="L25" s="12" t="s">
        <v>41</v>
      </c>
      <c r="M25" s="12"/>
      <c r="N25" s="12">
        <v>1.9</v>
      </c>
      <c r="O25" s="12">
        <v>-0.22800000000000001</v>
      </c>
      <c r="P25" s="12"/>
      <c r="Q25" s="12"/>
      <c r="R25" s="12">
        <v>5</v>
      </c>
      <c r="S25" s="12" t="s">
        <v>79</v>
      </c>
      <c r="T25" s="12">
        <v>0.33439999999999998</v>
      </c>
      <c r="U25" s="12"/>
      <c r="V25" s="12">
        <v>106.0466507177034</v>
      </c>
      <c r="W25" s="23">
        <v>106.0466507177034</v>
      </c>
      <c r="X25" s="12">
        <v>2.4996</v>
      </c>
      <c r="Y25" s="12">
        <v>2.4508000000000001</v>
      </c>
      <c r="Z25" s="12">
        <v>1.9847999999999999</v>
      </c>
      <c r="AA25" s="12">
        <v>4.2624000000000004</v>
      </c>
      <c r="AB25" s="12">
        <v>2.1756000000000002</v>
      </c>
      <c r="AC25" s="12">
        <v>4.0891999999999999</v>
      </c>
      <c r="AD25" s="12">
        <v>7.2516000000000007</v>
      </c>
      <c r="AE25" s="12">
        <v>2.1152000000000002</v>
      </c>
      <c r="AF25" s="12">
        <v>12.4244</v>
      </c>
      <c r="AG25" s="12">
        <v>0</v>
      </c>
      <c r="AH25" s="12" t="s">
        <v>52</v>
      </c>
      <c r="AI25" s="12">
        <v>0</v>
      </c>
      <c r="AJ25" s="12">
        <v>546.6</v>
      </c>
    </row>
    <row r="26" spans="1:36" x14ac:dyDescent="0.25">
      <c r="A26" s="12" t="s">
        <v>85</v>
      </c>
      <c r="B26" s="12" t="s">
        <v>199</v>
      </c>
      <c r="C26" s="12" t="s">
        <v>228</v>
      </c>
      <c r="D26" s="12" t="s">
        <v>40</v>
      </c>
      <c r="E26" s="12">
        <v>45.584000000000003</v>
      </c>
      <c r="F26" s="12"/>
      <c r="G26" s="12"/>
      <c r="H26" s="12">
        <v>45.584000000000003</v>
      </c>
      <c r="I26" s="12">
        <v>45.584000000000003</v>
      </c>
      <c r="J26" s="12">
        <v>1</v>
      </c>
      <c r="K26" s="12">
        <v>45</v>
      </c>
      <c r="L26" s="12" t="s">
        <v>58</v>
      </c>
      <c r="M26" s="12"/>
      <c r="N26" s="12">
        <v>2.6</v>
      </c>
      <c r="O26" s="12">
        <v>-2.6</v>
      </c>
      <c r="P26" s="12"/>
      <c r="Q26" s="12"/>
      <c r="R26" s="12">
        <v>0</v>
      </c>
      <c r="S26" s="12" t="s">
        <v>79</v>
      </c>
      <c r="T26" s="12">
        <v>0</v>
      </c>
      <c r="U26" s="12"/>
      <c r="V26" s="12" t="e">
        <v>#DIV/0!</v>
      </c>
      <c r="W26" s="23" t="e">
        <v>#DIV/0!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0.23780000000000001</v>
      </c>
      <c r="AD26" s="12">
        <v>1.9172</v>
      </c>
      <c r="AE26" s="12">
        <v>0</v>
      </c>
      <c r="AF26" s="12">
        <v>1.6779999999999999</v>
      </c>
      <c r="AG26" s="12">
        <v>0</v>
      </c>
      <c r="AH26" s="12" t="s">
        <v>52</v>
      </c>
      <c r="AI26" s="12"/>
      <c r="AJ26" s="12"/>
    </row>
    <row r="27" spans="1:36" x14ac:dyDescent="0.25">
      <c r="A27" s="12" t="s">
        <v>85</v>
      </c>
      <c r="B27" s="12" t="s">
        <v>199</v>
      </c>
      <c r="C27" s="12" t="s">
        <v>229</v>
      </c>
      <c r="D27" s="12" t="s">
        <v>47</v>
      </c>
      <c r="E27" s="12">
        <v>30</v>
      </c>
      <c r="F27" s="12"/>
      <c r="G27" s="12"/>
      <c r="H27" s="12">
        <v>30</v>
      </c>
      <c r="I27" s="12">
        <v>12</v>
      </c>
      <c r="J27" s="12">
        <v>0.4</v>
      </c>
      <c r="K27" s="12">
        <v>45</v>
      </c>
      <c r="L27" s="12" t="s">
        <v>58</v>
      </c>
      <c r="M27" s="12"/>
      <c r="N27" s="12">
        <v>221</v>
      </c>
      <c r="O27" s="12">
        <v>-221</v>
      </c>
      <c r="P27" s="12"/>
      <c r="Q27" s="12"/>
      <c r="R27" s="12">
        <v>0</v>
      </c>
      <c r="S27" s="12" t="s">
        <v>79</v>
      </c>
      <c r="T27" s="12">
        <v>0</v>
      </c>
      <c r="U27" s="12"/>
      <c r="V27" s="12" t="e">
        <v>#DIV/0!</v>
      </c>
      <c r="W27" s="23" t="e">
        <v>#DIV/0!</v>
      </c>
      <c r="X27" s="12">
        <v>-1</v>
      </c>
      <c r="Y27" s="12">
        <v>-1</v>
      </c>
      <c r="Z27" s="12">
        <v>21.8</v>
      </c>
      <c r="AA27" s="12">
        <v>14.4</v>
      </c>
      <c r="AB27" s="12">
        <v>20.6</v>
      </c>
      <c r="AC27" s="12">
        <v>49.171999999999997</v>
      </c>
      <c r="AD27" s="12">
        <v>3.2</v>
      </c>
      <c r="AE27" s="12">
        <v>36.4</v>
      </c>
      <c r="AF27" s="12">
        <v>56.8</v>
      </c>
      <c r="AG27" s="12">
        <v>33.799999999999997</v>
      </c>
      <c r="AH27" s="12" t="s">
        <v>52</v>
      </c>
      <c r="AI27" s="12"/>
      <c r="AJ27" s="12"/>
    </row>
    <row r="28" spans="1:36" x14ac:dyDescent="0.25">
      <c r="A28" s="12" t="s">
        <v>85</v>
      </c>
      <c r="B28" s="12" t="s">
        <v>199</v>
      </c>
      <c r="C28" s="12" t="s">
        <v>230</v>
      </c>
      <c r="D28" s="12" t="s">
        <v>40</v>
      </c>
      <c r="E28" s="12">
        <v>3.8809999999999998</v>
      </c>
      <c r="F28" s="12"/>
      <c r="G28" s="12"/>
      <c r="H28" s="12">
        <v>3.8809999999999998</v>
      </c>
      <c r="I28" s="12">
        <v>3.8809999999999998</v>
      </c>
      <c r="J28" s="12">
        <v>1</v>
      </c>
      <c r="K28" s="12">
        <v>60</v>
      </c>
      <c r="L28" s="12" t="s">
        <v>58</v>
      </c>
      <c r="M28" s="12"/>
      <c r="N28" s="12">
        <v>2.2999999999999998</v>
      </c>
      <c r="O28" s="12">
        <v>-2.2999999999999998</v>
      </c>
      <c r="P28" s="12"/>
      <c r="Q28" s="12"/>
      <c r="R28" s="12">
        <v>0</v>
      </c>
      <c r="S28" s="12" t="s">
        <v>79</v>
      </c>
      <c r="T28" s="12">
        <v>0</v>
      </c>
      <c r="U28" s="12"/>
      <c r="V28" s="12" t="e">
        <v>#DIV/0!</v>
      </c>
      <c r="W28" s="23" t="e">
        <v>#DIV/0!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 t="s">
        <v>62</v>
      </c>
      <c r="AI28" s="12"/>
      <c r="AJ28" s="12"/>
    </row>
  </sheetData>
  <mergeCells count="1">
    <mergeCell ref="A1:AJ1"/>
  </mergeCells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9"/>
  <sheetViews>
    <sheetView showGridLines="0" tabSelected="1" workbookViewId="0">
      <pane ySplit="3" topLeftCell="A4" activePane="bottomLeft" state="frozen"/>
      <selection pane="bottomLeft" activeCell="G21" sqref="G21"/>
    </sheetView>
  </sheetViews>
  <sheetFormatPr defaultRowHeight="15" x14ac:dyDescent="0.25"/>
  <cols>
    <col min="1" max="1" width="14" style="2" customWidth="1"/>
    <col min="2" max="2" width="20" style="2" customWidth="1"/>
    <col min="3" max="3" width="55" style="2" customWidth="1"/>
    <col min="4" max="17" width="10" style="2" customWidth="1"/>
    <col min="18" max="18" width="16" style="2" customWidth="1"/>
    <col min="19" max="19" width="12" style="2" customWidth="1"/>
    <col min="20" max="21" width="10" style="2" customWidth="1"/>
    <col min="22" max="22" width="8" style="2" customWidth="1"/>
    <col min="23" max="23" width="8" style="24" customWidth="1"/>
    <col min="24" max="32" width="10" style="2" customWidth="1"/>
    <col min="33" max="33" width="30" style="2" customWidth="1"/>
    <col min="34" max="34" width="8" style="2" customWidth="1"/>
    <col min="35" max="35" width="22" style="2" customWidth="1"/>
  </cols>
  <sheetData>
    <row r="1" spans="1:35" ht="15.75" x14ac:dyDescent="0.25">
      <c r="A1" s="27" t="s">
        <v>231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3" spans="1:35" ht="38.2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191</v>
      </c>
      <c r="U3" s="8" t="s">
        <v>21</v>
      </c>
      <c r="V3" s="8" t="s">
        <v>22</v>
      </c>
      <c r="W3" s="19" t="s">
        <v>23</v>
      </c>
      <c r="X3" s="8" t="s">
        <v>192</v>
      </c>
      <c r="Y3" s="8" t="s">
        <v>193</v>
      </c>
      <c r="Z3" s="8" t="s">
        <v>194</v>
      </c>
      <c r="AA3" s="8" t="s">
        <v>195</v>
      </c>
      <c r="AB3" s="8" t="s">
        <v>196</v>
      </c>
      <c r="AC3" s="8" t="s">
        <v>197</v>
      </c>
      <c r="AD3" s="8" t="s">
        <v>101</v>
      </c>
      <c r="AE3" s="8" t="s">
        <v>198</v>
      </c>
      <c r="AF3" s="8" t="s">
        <v>151</v>
      </c>
      <c r="AG3" s="8" t="s">
        <v>34</v>
      </c>
      <c r="AH3" s="8" t="s">
        <v>35</v>
      </c>
      <c r="AI3" s="8" t="s">
        <v>110</v>
      </c>
    </row>
    <row r="4" spans="1:35" x14ac:dyDescent="0.25">
      <c r="A4" s="9" t="s">
        <v>37</v>
      </c>
      <c r="B4" s="9" t="s">
        <v>232</v>
      </c>
      <c r="C4" s="9" t="s">
        <v>233</v>
      </c>
      <c r="D4" s="9" t="s">
        <v>47</v>
      </c>
      <c r="E4" s="9">
        <v>240</v>
      </c>
      <c r="F4" s="9"/>
      <c r="G4" s="9"/>
      <c r="H4" s="9">
        <v>240</v>
      </c>
      <c r="I4" s="9">
        <v>100.8</v>
      </c>
      <c r="J4" s="9">
        <v>0.42</v>
      </c>
      <c r="K4" s="9">
        <v>120</v>
      </c>
      <c r="L4" s="9" t="s">
        <v>41</v>
      </c>
      <c r="M4" s="9"/>
      <c r="N4" s="9"/>
      <c r="O4" s="9">
        <v>0</v>
      </c>
      <c r="P4" s="9"/>
      <c r="Q4" s="9"/>
      <c r="R4" s="9"/>
      <c r="S4" s="9" t="s">
        <v>42</v>
      </c>
      <c r="T4" s="9">
        <v>0</v>
      </c>
      <c r="U4" s="9"/>
      <c r="V4" s="9" t="e">
        <v>#DIV/0!</v>
      </c>
      <c r="W4" s="20" t="e">
        <v>#DIV/0!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0.2</v>
      </c>
      <c r="AF4" s="9">
        <v>0</v>
      </c>
      <c r="AG4" s="9" t="s">
        <v>52</v>
      </c>
      <c r="AH4" s="9">
        <v>0</v>
      </c>
      <c r="AI4" s="9"/>
    </row>
    <row r="5" spans="1:35" x14ac:dyDescent="0.25">
      <c r="A5" s="9" t="s">
        <v>37</v>
      </c>
      <c r="B5" s="9" t="s">
        <v>232</v>
      </c>
      <c r="C5" s="9" t="s">
        <v>234</v>
      </c>
      <c r="D5" s="9" t="s">
        <v>40</v>
      </c>
      <c r="E5" s="9">
        <v>96.688000000000002</v>
      </c>
      <c r="F5" s="9"/>
      <c r="G5" s="9"/>
      <c r="H5" s="9">
        <v>96.688000000000002</v>
      </c>
      <c r="I5" s="9">
        <v>96.688000000000002</v>
      </c>
      <c r="J5" s="9">
        <v>1</v>
      </c>
      <c r="K5" s="9">
        <v>120</v>
      </c>
      <c r="L5" s="9" t="s">
        <v>41</v>
      </c>
      <c r="M5" s="9"/>
      <c r="N5" s="9"/>
      <c r="O5" s="9">
        <v>0</v>
      </c>
      <c r="P5" s="9"/>
      <c r="Q5" s="9"/>
      <c r="R5" s="9"/>
      <c r="S5" s="9" t="s">
        <v>42</v>
      </c>
      <c r="T5" s="9">
        <v>0</v>
      </c>
      <c r="U5" s="9"/>
      <c r="V5" s="9" t="e">
        <v>#DIV/0!</v>
      </c>
      <c r="W5" s="20" t="e">
        <v>#DIV/0!</v>
      </c>
      <c r="X5" s="9">
        <v>0.91639999999999999</v>
      </c>
      <c r="Y5" s="9">
        <v>0.90679999999999994</v>
      </c>
      <c r="Z5" s="9">
        <v>0.91959999999999997</v>
      </c>
      <c r="AA5" s="9">
        <v>0.9</v>
      </c>
      <c r="AB5" s="9">
        <v>2.7324000000000002</v>
      </c>
      <c r="AC5" s="9">
        <v>7.2384000000000004</v>
      </c>
      <c r="AD5" s="9">
        <v>3.6836000000000002</v>
      </c>
      <c r="AE5" s="9">
        <v>1.8355999999999999</v>
      </c>
      <c r="AF5" s="9">
        <v>0.91959999999999997</v>
      </c>
      <c r="AG5" s="9" t="s">
        <v>52</v>
      </c>
      <c r="AH5" s="9">
        <v>0</v>
      </c>
      <c r="AI5" s="9"/>
    </row>
    <row r="6" spans="1:35" x14ac:dyDescent="0.25">
      <c r="A6" s="9" t="s">
        <v>37</v>
      </c>
      <c r="B6" s="9" t="s">
        <v>232</v>
      </c>
      <c r="C6" s="9" t="s">
        <v>235</v>
      </c>
      <c r="D6" s="9" t="s">
        <v>40</v>
      </c>
      <c r="E6" s="9">
        <v>331.21</v>
      </c>
      <c r="F6" s="9"/>
      <c r="G6" s="9">
        <v>1</v>
      </c>
      <c r="H6" s="9">
        <v>330.21</v>
      </c>
      <c r="I6" s="9">
        <v>330.21</v>
      </c>
      <c r="J6" s="9">
        <v>1</v>
      </c>
      <c r="K6" s="9">
        <v>120</v>
      </c>
      <c r="L6" s="9" t="s">
        <v>41</v>
      </c>
      <c r="M6" s="9"/>
      <c r="N6" s="9">
        <v>1</v>
      </c>
      <c r="O6" s="9">
        <v>0</v>
      </c>
      <c r="P6" s="9"/>
      <c r="Q6" s="9"/>
      <c r="R6" s="9"/>
      <c r="S6" s="9" t="s">
        <v>42</v>
      </c>
      <c r="T6" s="9">
        <v>0.2</v>
      </c>
      <c r="U6" s="9"/>
      <c r="V6" s="9">
        <v>1651.05</v>
      </c>
      <c r="W6" s="20">
        <v>1651.05</v>
      </c>
      <c r="X6" s="9">
        <v>1.8408</v>
      </c>
      <c r="Y6" s="9">
        <v>0</v>
      </c>
      <c r="Z6" s="9">
        <v>0.91159999999999997</v>
      </c>
      <c r="AA6" s="9">
        <v>0</v>
      </c>
      <c r="AB6" s="9">
        <v>0</v>
      </c>
      <c r="AC6" s="9">
        <v>1.8064</v>
      </c>
      <c r="AD6" s="9">
        <v>1.8308</v>
      </c>
      <c r="AE6" s="9">
        <v>0.91880000000000006</v>
      </c>
      <c r="AF6" s="9">
        <v>0</v>
      </c>
      <c r="AG6" s="9" t="s">
        <v>52</v>
      </c>
      <c r="AH6" s="9">
        <v>0</v>
      </c>
      <c r="AI6" s="9">
        <v>9906.2999999999993</v>
      </c>
    </row>
    <row r="7" spans="1:35" x14ac:dyDescent="0.25">
      <c r="A7" s="9" t="s">
        <v>37</v>
      </c>
      <c r="B7" s="9" t="s">
        <v>232</v>
      </c>
      <c r="C7" s="9" t="s">
        <v>236</v>
      </c>
      <c r="D7" s="9" t="s">
        <v>47</v>
      </c>
      <c r="E7" s="9">
        <v>107</v>
      </c>
      <c r="F7" s="9"/>
      <c r="G7" s="9">
        <v>6</v>
      </c>
      <c r="H7" s="9">
        <v>101</v>
      </c>
      <c r="I7" s="9">
        <v>42.42</v>
      </c>
      <c r="J7" s="9">
        <v>0.42</v>
      </c>
      <c r="K7" s="9">
        <v>120</v>
      </c>
      <c r="L7" s="9" t="s">
        <v>41</v>
      </c>
      <c r="M7" s="9"/>
      <c r="N7" s="9">
        <v>11</v>
      </c>
      <c r="O7" s="9">
        <v>-5</v>
      </c>
      <c r="P7" s="9"/>
      <c r="Q7" s="9"/>
      <c r="R7" s="9"/>
      <c r="S7" s="9" t="s">
        <v>42</v>
      </c>
      <c r="T7" s="9">
        <v>1.2</v>
      </c>
      <c r="U7" s="9"/>
      <c r="V7" s="9">
        <v>84.166666666666671</v>
      </c>
      <c r="W7" s="20">
        <v>84.166666666666671</v>
      </c>
      <c r="X7" s="9">
        <v>0</v>
      </c>
      <c r="Y7" s="9">
        <v>0.4</v>
      </c>
      <c r="Z7" s="9">
        <v>0</v>
      </c>
      <c r="AA7" s="9">
        <v>-0.6</v>
      </c>
      <c r="AB7" s="9">
        <v>1.8</v>
      </c>
      <c r="AC7" s="9">
        <v>2</v>
      </c>
      <c r="AD7" s="9">
        <v>0.8</v>
      </c>
      <c r="AE7" s="9">
        <v>1.4</v>
      </c>
      <c r="AF7" s="9">
        <v>1.4</v>
      </c>
      <c r="AG7" s="9" t="s">
        <v>52</v>
      </c>
      <c r="AH7" s="9">
        <v>0</v>
      </c>
      <c r="AI7" s="9">
        <v>505</v>
      </c>
    </row>
    <row r="8" spans="1:35" x14ac:dyDescent="0.25">
      <c r="A8" s="9" t="s">
        <v>37</v>
      </c>
      <c r="B8" s="9" t="s">
        <v>232</v>
      </c>
      <c r="C8" s="9" t="s">
        <v>237</v>
      </c>
      <c r="D8" s="9" t="s">
        <v>47</v>
      </c>
      <c r="E8" s="9">
        <v>103</v>
      </c>
      <c r="F8" s="9"/>
      <c r="G8" s="9"/>
      <c r="H8" s="9">
        <v>103</v>
      </c>
      <c r="I8" s="9">
        <v>30.9</v>
      </c>
      <c r="J8" s="9">
        <v>0.3</v>
      </c>
      <c r="K8" s="9">
        <v>120</v>
      </c>
      <c r="L8" s="9" t="s">
        <v>41</v>
      </c>
      <c r="M8" s="9"/>
      <c r="N8" s="9"/>
      <c r="O8" s="9">
        <v>0</v>
      </c>
      <c r="P8" s="9"/>
      <c r="Q8" s="9"/>
      <c r="R8" s="9"/>
      <c r="S8" s="9" t="s">
        <v>42</v>
      </c>
      <c r="T8" s="9">
        <v>0</v>
      </c>
      <c r="U8" s="9"/>
      <c r="V8" s="9" t="e">
        <v>#DIV/0!</v>
      </c>
      <c r="W8" s="20" t="e">
        <v>#DIV/0!</v>
      </c>
      <c r="X8" s="9">
        <v>0</v>
      </c>
      <c r="Y8" s="9">
        <v>0</v>
      </c>
      <c r="Z8" s="9">
        <v>0</v>
      </c>
      <c r="AA8" s="9">
        <v>0.4</v>
      </c>
      <c r="AB8" s="9">
        <v>0.4</v>
      </c>
      <c r="AC8" s="9">
        <v>1.4</v>
      </c>
      <c r="AD8" s="9">
        <v>0</v>
      </c>
      <c r="AE8" s="9">
        <v>1.8</v>
      </c>
      <c r="AF8" s="9">
        <v>1</v>
      </c>
      <c r="AG8" s="9" t="s">
        <v>52</v>
      </c>
      <c r="AH8" s="9">
        <v>0</v>
      </c>
      <c r="AI8" s="9"/>
    </row>
    <row r="9" spans="1:35" x14ac:dyDescent="0.25">
      <c r="A9" s="10" t="s">
        <v>53</v>
      </c>
      <c r="B9" s="10" t="s">
        <v>232</v>
      </c>
      <c r="C9" s="10" t="s">
        <v>233</v>
      </c>
      <c r="D9" s="10" t="s">
        <v>47</v>
      </c>
      <c r="E9" s="10">
        <v>60</v>
      </c>
      <c r="F9" s="10"/>
      <c r="G9" s="10"/>
      <c r="H9" s="10">
        <v>60</v>
      </c>
      <c r="I9" s="10">
        <v>25.2</v>
      </c>
      <c r="J9" s="10">
        <v>0.42</v>
      </c>
      <c r="K9" s="10">
        <v>120</v>
      </c>
      <c r="L9" s="10" t="s">
        <v>41</v>
      </c>
      <c r="M9" s="10"/>
      <c r="N9" s="10"/>
      <c r="O9" s="10">
        <v>0</v>
      </c>
      <c r="P9" s="10"/>
      <c r="Q9" s="10"/>
      <c r="R9" s="10"/>
      <c r="S9" s="10" t="s">
        <v>79</v>
      </c>
      <c r="T9" s="10">
        <v>0</v>
      </c>
      <c r="U9" s="10"/>
      <c r="V9" s="10" t="e">
        <v>#DIV/0!</v>
      </c>
      <c r="W9" s="21" t="e">
        <v>#DIV/0!</v>
      </c>
      <c r="X9" s="10">
        <v>0.2</v>
      </c>
      <c r="Y9" s="10">
        <v>0.4</v>
      </c>
      <c r="Z9" s="10">
        <v>2.2000000000000002</v>
      </c>
      <c r="AA9" s="10">
        <v>3.6</v>
      </c>
      <c r="AB9" s="10">
        <v>0</v>
      </c>
      <c r="AC9" s="10">
        <v>0.6</v>
      </c>
      <c r="AD9" s="10">
        <v>-0.2</v>
      </c>
      <c r="AE9" s="10">
        <v>1</v>
      </c>
      <c r="AF9" s="10">
        <v>1</v>
      </c>
      <c r="AG9" s="10" t="s">
        <v>238</v>
      </c>
      <c r="AH9" s="10">
        <v>0</v>
      </c>
      <c r="AI9" s="10"/>
    </row>
    <row r="10" spans="1:35" x14ac:dyDescent="0.25">
      <c r="A10" s="10" t="s">
        <v>53</v>
      </c>
      <c r="B10" s="10" t="s">
        <v>232</v>
      </c>
      <c r="C10" s="10" t="s">
        <v>235</v>
      </c>
      <c r="D10" s="10" t="s">
        <v>40</v>
      </c>
      <c r="E10" s="10">
        <v>109.636</v>
      </c>
      <c r="F10" s="10"/>
      <c r="G10" s="10"/>
      <c r="H10" s="10">
        <v>109.636</v>
      </c>
      <c r="I10" s="10">
        <v>109.636</v>
      </c>
      <c r="J10" s="10">
        <v>1</v>
      </c>
      <c r="K10" s="10">
        <v>120</v>
      </c>
      <c r="L10" s="10" t="s">
        <v>41</v>
      </c>
      <c r="M10" s="10"/>
      <c r="N10" s="10"/>
      <c r="O10" s="10">
        <v>0</v>
      </c>
      <c r="P10" s="10"/>
      <c r="Q10" s="10"/>
      <c r="R10" s="10"/>
      <c r="S10" s="10" t="s">
        <v>79</v>
      </c>
      <c r="T10" s="10">
        <v>0</v>
      </c>
      <c r="U10" s="10"/>
      <c r="V10" s="10" t="e">
        <v>#DIV/0!</v>
      </c>
      <c r="W10" s="21" t="e">
        <v>#DIV/0!</v>
      </c>
      <c r="X10" s="10">
        <v>0</v>
      </c>
      <c r="Y10" s="10">
        <v>0.91799999999999993</v>
      </c>
      <c r="Z10" s="10">
        <v>0</v>
      </c>
      <c r="AA10" s="10">
        <v>1.8156000000000001</v>
      </c>
      <c r="AB10" s="10">
        <v>0.90480000000000005</v>
      </c>
      <c r="AC10" s="10">
        <v>0</v>
      </c>
      <c r="AD10" s="10">
        <v>1.8151999999999999</v>
      </c>
      <c r="AE10" s="10">
        <v>1.8311999999999999</v>
      </c>
      <c r="AF10" s="10">
        <v>0.90839999999999999</v>
      </c>
      <c r="AG10" s="10" t="s">
        <v>52</v>
      </c>
      <c r="AH10" s="10">
        <v>0</v>
      </c>
      <c r="AI10" s="10"/>
    </row>
    <row r="11" spans="1:35" x14ac:dyDescent="0.25">
      <c r="A11" s="10" t="s">
        <v>53</v>
      </c>
      <c r="B11" s="10" t="s">
        <v>232</v>
      </c>
      <c r="C11" s="10" t="s">
        <v>236</v>
      </c>
      <c r="D11" s="10" t="s">
        <v>47</v>
      </c>
      <c r="E11" s="10">
        <v>130</v>
      </c>
      <c r="F11" s="10"/>
      <c r="G11" s="10"/>
      <c r="H11" s="10">
        <v>130</v>
      </c>
      <c r="I11" s="10">
        <v>54.6</v>
      </c>
      <c r="J11" s="10">
        <v>0.42</v>
      </c>
      <c r="K11" s="10">
        <v>120</v>
      </c>
      <c r="L11" s="10" t="s">
        <v>41</v>
      </c>
      <c r="M11" s="10"/>
      <c r="N11" s="10"/>
      <c r="O11" s="10">
        <v>0</v>
      </c>
      <c r="P11" s="10"/>
      <c r="Q11" s="10"/>
      <c r="R11" s="10"/>
      <c r="S11" s="10" t="s">
        <v>79</v>
      </c>
      <c r="T11" s="10">
        <v>0</v>
      </c>
      <c r="U11" s="10"/>
      <c r="V11" s="10" t="e">
        <v>#DIV/0!</v>
      </c>
      <c r="W11" s="21" t="e">
        <v>#DIV/0!</v>
      </c>
      <c r="X11" s="10">
        <v>1.8</v>
      </c>
      <c r="Y11" s="10">
        <v>3.4</v>
      </c>
      <c r="Z11" s="10">
        <v>1.4</v>
      </c>
      <c r="AA11" s="10">
        <v>2.4</v>
      </c>
      <c r="AB11" s="10">
        <v>0.4</v>
      </c>
      <c r="AC11" s="10">
        <v>1.8</v>
      </c>
      <c r="AD11" s="10">
        <v>1.4</v>
      </c>
      <c r="AE11" s="10">
        <v>4.5999999999999996</v>
      </c>
      <c r="AF11" s="10">
        <v>2.4</v>
      </c>
      <c r="AG11" s="10" t="s">
        <v>52</v>
      </c>
      <c r="AH11" s="10">
        <v>0</v>
      </c>
      <c r="AI11" s="10"/>
    </row>
    <row r="12" spans="1:35" x14ac:dyDescent="0.25">
      <c r="A12" s="10" t="s">
        <v>53</v>
      </c>
      <c r="B12" s="10" t="s">
        <v>232</v>
      </c>
      <c r="C12" s="10" t="s">
        <v>239</v>
      </c>
      <c r="D12" s="10" t="s">
        <v>47</v>
      </c>
      <c r="E12" s="10">
        <v>284</v>
      </c>
      <c r="F12" s="10"/>
      <c r="G12" s="10">
        <v>35</v>
      </c>
      <c r="H12" s="10">
        <v>249</v>
      </c>
      <c r="I12" s="10">
        <v>174.3</v>
      </c>
      <c r="J12" s="10">
        <v>0.7</v>
      </c>
      <c r="K12" s="10">
        <v>180</v>
      </c>
      <c r="L12" s="10" t="s">
        <v>41</v>
      </c>
      <c r="M12" s="10"/>
      <c r="N12" s="10">
        <v>35</v>
      </c>
      <c r="O12" s="10">
        <v>0</v>
      </c>
      <c r="P12" s="10"/>
      <c r="Q12" s="10"/>
      <c r="R12" s="10"/>
      <c r="S12" s="10" t="s">
        <v>79</v>
      </c>
      <c r="T12" s="10">
        <v>7</v>
      </c>
      <c r="U12" s="10"/>
      <c r="V12" s="10">
        <v>35.571428571428569</v>
      </c>
      <c r="W12" s="21">
        <v>35.571428571428569</v>
      </c>
      <c r="X12" s="10">
        <v>4.4000000000000004</v>
      </c>
      <c r="Y12" s="10">
        <v>6.2</v>
      </c>
      <c r="Z12" s="10">
        <v>1.8</v>
      </c>
      <c r="AA12" s="10">
        <v>7.6</v>
      </c>
      <c r="AB12" s="10">
        <v>8.4</v>
      </c>
      <c r="AC12" s="10">
        <v>11.8</v>
      </c>
      <c r="AD12" s="10">
        <v>9.6</v>
      </c>
      <c r="AE12" s="10">
        <v>7</v>
      </c>
      <c r="AF12" s="10">
        <v>6.2</v>
      </c>
      <c r="AG12" s="10" t="s">
        <v>52</v>
      </c>
      <c r="AH12" s="10">
        <v>0</v>
      </c>
      <c r="AI12" s="10">
        <v>213.4</v>
      </c>
    </row>
    <row r="13" spans="1:35" x14ac:dyDescent="0.25">
      <c r="A13" s="11" t="s">
        <v>77</v>
      </c>
      <c r="B13" s="11" t="s">
        <v>232</v>
      </c>
      <c r="C13" s="11" t="s">
        <v>235</v>
      </c>
      <c r="D13" s="11" t="s">
        <v>40</v>
      </c>
      <c r="E13" s="11">
        <v>198</v>
      </c>
      <c r="F13" s="11">
        <v>36</v>
      </c>
      <c r="G13" s="11">
        <v>9</v>
      </c>
      <c r="H13" s="11">
        <v>189</v>
      </c>
      <c r="I13" s="11">
        <v>189</v>
      </c>
      <c r="J13" s="11">
        <v>1</v>
      </c>
      <c r="K13" s="11">
        <v>120</v>
      </c>
      <c r="L13" s="11" t="s">
        <v>41</v>
      </c>
      <c r="M13" s="11"/>
      <c r="N13" s="11">
        <v>9</v>
      </c>
      <c r="O13" s="11">
        <v>0</v>
      </c>
      <c r="P13" s="11"/>
      <c r="Q13" s="11"/>
      <c r="R13" s="11"/>
      <c r="S13" s="11" t="s">
        <v>79</v>
      </c>
      <c r="T13" s="11">
        <v>1.8</v>
      </c>
      <c r="U13" s="11"/>
      <c r="V13" s="11">
        <v>105</v>
      </c>
      <c r="W13" s="22">
        <v>105</v>
      </c>
      <c r="X13" s="11">
        <v>5.4</v>
      </c>
      <c r="Y13" s="11">
        <v>1.8</v>
      </c>
      <c r="Z13" s="11">
        <v>2.7</v>
      </c>
      <c r="AA13" s="11">
        <v>3.6</v>
      </c>
      <c r="AB13" s="11">
        <v>6.3</v>
      </c>
      <c r="AC13" s="11">
        <v>0.9</v>
      </c>
      <c r="AD13" s="11">
        <v>0</v>
      </c>
      <c r="AE13" s="11">
        <v>1.8</v>
      </c>
      <c r="AF13" s="11">
        <v>0.9</v>
      </c>
      <c r="AG13" s="11" t="s">
        <v>52</v>
      </c>
      <c r="AH13" s="11">
        <v>0</v>
      </c>
      <c r="AI13" s="11">
        <v>630</v>
      </c>
    </row>
    <row r="14" spans="1:35" x14ac:dyDescent="0.25">
      <c r="A14" s="11" t="s">
        <v>77</v>
      </c>
      <c r="B14" s="11" t="s">
        <v>232</v>
      </c>
      <c r="C14" s="11" t="s">
        <v>236</v>
      </c>
      <c r="D14" s="11" t="s">
        <v>47</v>
      </c>
      <c r="E14" s="11">
        <v>45</v>
      </c>
      <c r="F14" s="11">
        <v>92</v>
      </c>
      <c r="G14" s="11">
        <v>16</v>
      </c>
      <c r="H14" s="11">
        <v>119</v>
      </c>
      <c r="I14" s="11">
        <v>49.98</v>
      </c>
      <c r="J14" s="11">
        <v>0.42</v>
      </c>
      <c r="K14" s="11">
        <v>120</v>
      </c>
      <c r="L14" s="11" t="s">
        <v>41</v>
      </c>
      <c r="M14" s="11"/>
      <c r="N14" s="11">
        <v>16</v>
      </c>
      <c r="O14" s="11">
        <v>0</v>
      </c>
      <c r="P14" s="11"/>
      <c r="Q14" s="11"/>
      <c r="R14" s="11"/>
      <c r="S14" s="11" t="s">
        <v>79</v>
      </c>
      <c r="T14" s="11">
        <v>3.2</v>
      </c>
      <c r="U14" s="11"/>
      <c r="V14" s="11">
        <v>37.1875</v>
      </c>
      <c r="W14" s="22">
        <v>37.1875</v>
      </c>
      <c r="X14" s="11">
        <v>3</v>
      </c>
      <c r="Y14" s="11">
        <v>8.6</v>
      </c>
      <c r="Z14" s="11">
        <v>5.4</v>
      </c>
      <c r="AA14" s="11">
        <v>6</v>
      </c>
      <c r="AB14" s="11">
        <v>1.8</v>
      </c>
      <c r="AC14" s="11">
        <v>15.2</v>
      </c>
      <c r="AD14" s="11">
        <v>0</v>
      </c>
      <c r="AE14" s="11">
        <v>0</v>
      </c>
      <c r="AF14" s="11">
        <v>0</v>
      </c>
      <c r="AG14" s="11" t="s">
        <v>62</v>
      </c>
      <c r="AH14" s="11">
        <v>0</v>
      </c>
      <c r="AI14" s="11">
        <v>223.1</v>
      </c>
    </row>
    <row r="15" spans="1:35" x14ac:dyDescent="0.25">
      <c r="A15" s="12" t="s">
        <v>85</v>
      </c>
      <c r="B15" s="12" t="s">
        <v>232</v>
      </c>
      <c r="C15" s="12" t="s">
        <v>233</v>
      </c>
      <c r="D15" s="12" t="s">
        <v>47</v>
      </c>
      <c r="E15" s="12">
        <v>92</v>
      </c>
      <c r="F15" s="12"/>
      <c r="G15" s="12">
        <v>11</v>
      </c>
      <c r="H15" s="12">
        <v>81</v>
      </c>
      <c r="I15" s="12">
        <v>34.020000000000003</v>
      </c>
      <c r="J15" s="12">
        <v>0.42</v>
      </c>
      <c r="K15" s="12">
        <v>120</v>
      </c>
      <c r="L15" s="12" t="s">
        <v>41</v>
      </c>
      <c r="M15" s="12"/>
      <c r="N15" s="12">
        <v>13</v>
      </c>
      <c r="O15" s="12">
        <v>-2</v>
      </c>
      <c r="P15" s="12"/>
      <c r="Q15" s="12"/>
      <c r="R15" s="12"/>
      <c r="S15" s="12" t="s">
        <v>79</v>
      </c>
      <c r="T15" s="12">
        <v>2.2000000000000002</v>
      </c>
      <c r="U15" s="12"/>
      <c r="V15" s="12">
        <v>36.818181818181813</v>
      </c>
      <c r="W15" s="23">
        <v>36.818181818181813</v>
      </c>
      <c r="X15" s="12">
        <v>0.6</v>
      </c>
      <c r="Y15" s="12">
        <v>0.6</v>
      </c>
      <c r="Z15" s="12">
        <v>0</v>
      </c>
      <c r="AA15" s="12">
        <v>8.4</v>
      </c>
      <c r="AB15" s="12">
        <v>1</v>
      </c>
      <c r="AC15" s="12">
        <v>9</v>
      </c>
      <c r="AD15" s="12">
        <v>2</v>
      </c>
      <c r="AE15" s="12">
        <v>0</v>
      </c>
      <c r="AF15" s="12">
        <v>0</v>
      </c>
      <c r="AG15" s="12" t="s">
        <v>52</v>
      </c>
      <c r="AH15" s="12">
        <v>0</v>
      </c>
      <c r="AI15" s="12">
        <v>220.9</v>
      </c>
    </row>
    <row r="16" spans="1:35" x14ac:dyDescent="0.25">
      <c r="A16" s="12" t="s">
        <v>85</v>
      </c>
      <c r="B16" s="12" t="s">
        <v>232</v>
      </c>
      <c r="C16" s="12" t="s">
        <v>234</v>
      </c>
      <c r="D16" s="12" t="s">
        <v>40</v>
      </c>
      <c r="E16" s="12">
        <v>196.68199999999999</v>
      </c>
      <c r="F16" s="12"/>
      <c r="G16" s="12"/>
      <c r="H16" s="12">
        <v>196.68199999999999</v>
      </c>
      <c r="I16" s="12">
        <v>196.68199999999999</v>
      </c>
      <c r="J16" s="12">
        <v>1</v>
      </c>
      <c r="K16" s="12">
        <v>120</v>
      </c>
      <c r="L16" s="12" t="s">
        <v>41</v>
      </c>
      <c r="M16" s="12"/>
      <c r="N16" s="12"/>
      <c r="O16" s="12">
        <v>0</v>
      </c>
      <c r="P16" s="12"/>
      <c r="Q16" s="12"/>
      <c r="R16" s="12"/>
      <c r="S16" s="12" t="s">
        <v>79</v>
      </c>
      <c r="T16" s="12">
        <v>0</v>
      </c>
      <c r="U16" s="12"/>
      <c r="V16" s="12" t="e">
        <v>#DIV/0!</v>
      </c>
      <c r="W16" s="23" t="e">
        <v>#DIV/0!</v>
      </c>
      <c r="X16" s="12">
        <v>0</v>
      </c>
      <c r="Y16" s="12">
        <v>0</v>
      </c>
      <c r="Z16" s="12">
        <v>0</v>
      </c>
      <c r="AA16" s="12">
        <v>0.91880000000000006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 t="s">
        <v>52</v>
      </c>
      <c r="AH16" s="12">
        <v>0</v>
      </c>
      <c r="AI16" s="12"/>
    </row>
    <row r="17" spans="1:35" x14ac:dyDescent="0.25">
      <c r="A17" s="12" t="s">
        <v>85</v>
      </c>
      <c r="B17" s="12" t="s">
        <v>232</v>
      </c>
      <c r="C17" s="12" t="s">
        <v>235</v>
      </c>
      <c r="D17" s="12" t="s">
        <v>40</v>
      </c>
      <c r="E17" s="12">
        <v>95.147999999999996</v>
      </c>
      <c r="F17" s="12"/>
      <c r="G17" s="12"/>
      <c r="H17" s="12">
        <v>95.147999999999996</v>
      </c>
      <c r="I17" s="12">
        <v>95.147999999999996</v>
      </c>
      <c r="J17" s="12">
        <v>1</v>
      </c>
      <c r="K17" s="12">
        <v>120</v>
      </c>
      <c r="L17" s="12" t="s">
        <v>41</v>
      </c>
      <c r="M17" s="12"/>
      <c r="N17" s="12"/>
      <c r="O17" s="12">
        <v>0</v>
      </c>
      <c r="P17" s="12"/>
      <c r="Q17" s="12"/>
      <c r="R17" s="12"/>
      <c r="S17" s="12" t="s">
        <v>79</v>
      </c>
      <c r="T17" s="12">
        <v>0</v>
      </c>
      <c r="U17" s="12"/>
      <c r="V17" s="12" t="e">
        <v>#DIV/0!</v>
      </c>
      <c r="W17" s="23" t="e">
        <v>#DIV/0!</v>
      </c>
      <c r="X17" s="12">
        <v>0</v>
      </c>
      <c r="Y17" s="12">
        <v>0</v>
      </c>
      <c r="Z17" s="12">
        <v>0</v>
      </c>
      <c r="AA17" s="12">
        <v>0.9071999999999999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 t="s">
        <v>52</v>
      </c>
      <c r="AH17" s="12">
        <v>0</v>
      </c>
      <c r="AI17" s="12"/>
    </row>
    <row r="18" spans="1:35" x14ac:dyDescent="0.25">
      <c r="A18" s="12" t="s">
        <v>85</v>
      </c>
      <c r="B18" s="12" t="s">
        <v>232</v>
      </c>
      <c r="C18" s="12" t="s">
        <v>237</v>
      </c>
      <c r="D18" s="12" t="s">
        <v>47</v>
      </c>
      <c r="E18" s="12">
        <v>35</v>
      </c>
      <c r="F18" s="12">
        <v>10</v>
      </c>
      <c r="G18" s="12">
        <v>5</v>
      </c>
      <c r="H18" s="12">
        <v>30</v>
      </c>
      <c r="I18" s="12">
        <v>9</v>
      </c>
      <c r="J18" s="12">
        <v>0.3</v>
      </c>
      <c r="K18" s="12">
        <v>120</v>
      </c>
      <c r="L18" s="12" t="s">
        <v>41</v>
      </c>
      <c r="M18" s="12"/>
      <c r="N18" s="12">
        <v>17</v>
      </c>
      <c r="O18" s="12">
        <v>-12</v>
      </c>
      <c r="P18" s="12"/>
      <c r="Q18" s="12"/>
      <c r="R18" s="12"/>
      <c r="S18" s="12" t="s">
        <v>79</v>
      </c>
      <c r="T18" s="12">
        <v>1</v>
      </c>
      <c r="U18" s="12"/>
      <c r="V18" s="12">
        <v>30</v>
      </c>
      <c r="W18" s="23">
        <v>30</v>
      </c>
      <c r="X18" s="12">
        <v>0.6</v>
      </c>
      <c r="Y18" s="12">
        <v>0.6</v>
      </c>
      <c r="Z18" s="12">
        <v>0.4</v>
      </c>
      <c r="AA18" s="12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 t="s">
        <v>52</v>
      </c>
      <c r="AH18" s="12">
        <v>0</v>
      </c>
      <c r="AI18" s="12">
        <v>180</v>
      </c>
    </row>
    <row r="19" spans="1:35" x14ac:dyDescent="0.25">
      <c r="A19" s="12" t="s">
        <v>85</v>
      </c>
      <c r="B19" s="12" t="s">
        <v>232</v>
      </c>
      <c r="C19" s="12" t="s">
        <v>239</v>
      </c>
      <c r="D19" s="12" t="s">
        <v>47</v>
      </c>
      <c r="E19" s="12">
        <v>276</v>
      </c>
      <c r="F19" s="12"/>
      <c r="G19" s="12">
        <v>29</v>
      </c>
      <c r="H19" s="12">
        <v>247</v>
      </c>
      <c r="I19" s="12">
        <v>172.9</v>
      </c>
      <c r="J19" s="12">
        <v>0.7</v>
      </c>
      <c r="K19" s="12">
        <v>180</v>
      </c>
      <c r="L19" s="12" t="s">
        <v>41</v>
      </c>
      <c r="M19" s="12"/>
      <c r="N19" s="12">
        <v>29</v>
      </c>
      <c r="O19" s="12">
        <v>0</v>
      </c>
      <c r="P19" s="12"/>
      <c r="Q19" s="12"/>
      <c r="R19" s="12"/>
      <c r="S19" s="12" t="s">
        <v>79</v>
      </c>
      <c r="T19" s="12">
        <v>5.8</v>
      </c>
      <c r="U19" s="12"/>
      <c r="V19" s="12">
        <v>42.586206896551722</v>
      </c>
      <c r="W19" s="23">
        <v>42.586206896551722</v>
      </c>
      <c r="X19" s="12">
        <v>1.2</v>
      </c>
      <c r="Y19" s="12">
        <v>2.4</v>
      </c>
      <c r="Z19" s="12">
        <v>1</v>
      </c>
      <c r="AA19" s="12">
        <v>1.6</v>
      </c>
      <c r="AB19" s="12">
        <v>2.2000000000000002</v>
      </c>
      <c r="AC19" s="12">
        <v>5.8</v>
      </c>
      <c r="AD19" s="12">
        <v>10.6</v>
      </c>
      <c r="AE19" s="12">
        <v>0</v>
      </c>
      <c r="AF19" s="12">
        <v>0</v>
      </c>
      <c r="AG19" s="12" t="s">
        <v>52</v>
      </c>
      <c r="AH19" s="12">
        <v>0</v>
      </c>
      <c r="AI19" s="12">
        <v>255.5</v>
      </c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Поком КИ</vt:lpstr>
      <vt:lpstr>Поком ЗПФ</vt:lpstr>
      <vt:lpstr>Останкино Сыр</vt:lpstr>
      <vt:lpstr>Останкино Колбаса</vt:lpstr>
      <vt:lpstr>Останкино 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revision>0</cp:revision>
  <dcterms:created xsi:type="dcterms:W3CDTF">2026-09-02T15:54:57Z</dcterms:created>
  <dcterms:modified xsi:type="dcterms:W3CDTF">2026-09-03T06:10:18Z</dcterms:modified>
  <dc:language>en-US</dc:language>
</cp:coreProperties>
</file>