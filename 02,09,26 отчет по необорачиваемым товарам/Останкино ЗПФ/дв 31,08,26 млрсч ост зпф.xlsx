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Останкино ЗПФ\"/>
    </mc:Choice>
  </mc:AlternateContent>
  <xr:revisionPtr revIDLastSave="0" documentId="13_ncr:1_{63ABF664-BC3C-4133-A5D4-11CF4327961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13" i="1"/>
  <c r="G14" i="1"/>
  <c r="G15" i="1"/>
  <c r="G16" i="1"/>
  <c r="G6" i="1"/>
  <c r="T7" i="1" l="1"/>
  <c r="T9" i="1"/>
  <c r="T13" i="1"/>
  <c r="T15" i="1"/>
  <c r="S7" i="1"/>
  <c r="S6" i="1"/>
  <c r="Q7" i="1"/>
  <c r="Q8" i="1"/>
  <c r="T8" i="1" s="1"/>
  <c r="Q9" i="1"/>
  <c r="S9" i="1" s="1"/>
  <c r="Q10" i="1"/>
  <c r="R10" i="1" s="1"/>
  <c r="Q11" i="1"/>
  <c r="R11" i="1" s="1"/>
  <c r="Q12" i="1"/>
  <c r="T12" i="1" s="1"/>
  <c r="Q13" i="1"/>
  <c r="R13" i="1" s="1"/>
  <c r="Q14" i="1"/>
  <c r="T14" i="1" s="1"/>
  <c r="Q15" i="1"/>
  <c r="S15" i="1" s="1"/>
  <c r="Q16" i="1"/>
  <c r="T16" i="1" s="1"/>
  <c r="Q6" i="1"/>
  <c r="T6" i="1" s="1"/>
  <c r="AE16" i="1"/>
  <c r="M16" i="1"/>
  <c r="AE15" i="1"/>
  <c r="M15" i="1"/>
  <c r="M14" i="1"/>
  <c r="M13" i="1"/>
  <c r="M12" i="1"/>
  <c r="M11" i="1"/>
  <c r="M10" i="1"/>
  <c r="M9" i="1"/>
  <c r="AE8" i="1"/>
  <c r="M8" i="1"/>
  <c r="AE7" i="1"/>
  <c r="M7" i="1"/>
  <c r="AE6" i="1"/>
  <c r="M6" i="1"/>
  <c r="AC5" i="1"/>
  <c r="AB5" i="1"/>
  <c r="AA5" i="1"/>
  <c r="Z5" i="1"/>
  <c r="Y5" i="1"/>
  <c r="X5" i="1"/>
  <c r="W5" i="1"/>
  <c r="V5" i="1"/>
  <c r="U5" i="1"/>
  <c r="P5" i="1"/>
  <c r="O5" i="1"/>
  <c r="N5" i="1"/>
  <c r="L5" i="1"/>
  <c r="F5" i="1"/>
  <c r="E5" i="1"/>
  <c r="T11" i="1" l="1"/>
  <c r="S13" i="1"/>
  <c r="AE13" i="1"/>
  <c r="AE11" i="1"/>
  <c r="S11" i="1"/>
  <c r="S10" i="1"/>
  <c r="AE10" i="1"/>
  <c r="S16" i="1"/>
  <c r="R14" i="1"/>
  <c r="S14" i="1" s="1"/>
  <c r="R12" i="1"/>
  <c r="Q5" i="1"/>
  <c r="S8" i="1"/>
  <c r="T10" i="1"/>
  <c r="AE14" i="1"/>
  <c r="M5" i="1"/>
  <c r="S12" i="1" l="1"/>
  <c r="AE12" i="1"/>
  <c r="AE5" i="1" s="1"/>
  <c r="R5" i="1"/>
</calcChain>
</file>

<file path=xl/sharedStrings.xml><?xml version="1.0" encoding="utf-8"?>
<sst xmlns="http://schemas.openxmlformats.org/spreadsheetml/2006/main" count="81" uniqueCount="49">
  <si>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</si>
  <si>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</si>
  <si>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</si>
  <si>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</si>
  <si>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</si>
  <si>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</si>
  <si>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</si>
  <si>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</si>
  <si>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</si>
  <si>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</si>
  <si>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</si>
  <si>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</si>
  <si>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</si>
  <si>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</si>
  <si>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</si>
  <si>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</si>
  <si>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</si>
  <si>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</si>
  <si>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</si>
  <si>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</si>
  <si>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</si>
  <si>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</si>
  <si>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</si>
  <si>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</si>
  <si>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</si>
  <si>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</si>
  <si>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</si>
  <si>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</si>
  <si>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</si>
  <si>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</si>
  <si>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</si>
  <si>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</si>
  <si>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</si>
  <si>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</si>
  <si>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</si>
  <si>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</si>
  <si>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</si>
  <si>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</si>
  <si>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</si>
  <si>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</si>
  <si>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нет потребности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</si>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</sst>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1" fillId="4" borderId="1" xfId="1" applyNumberFormat="1" applyFill="1"/>
    <xf numFmtId="164" fontId="1" fillId="4" borderId="2" xfId="1" applyNumberFormat="1" applyFill="1" applyBorder="1"/>
    <xf numFmtId="2" fontId="1" fillId="0" borderId="1" xfId="1" applyNumberFormat="1"/>
    <xf numFmtId="2" fontId="2" fillId="2" borderId="1" xfId="1" applyNumberFormat="1" applyFont="1" applyFill="1"/>
    <xf numFmtId="2" fontId="1" fillId="4" borderId="1" xfId="1" applyNumberFormat="1" applyFill="1"/>
    <xf numFmtId="164" fontId="4" fillId="5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22" sqref="Q2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0.85546875" style="13" bestFit="1" customWidth="1"/>
    <col min="8" max="8" width="5" style="6" customWidth="1"/>
    <col min="9" max="9" width="5" customWidth="1"/>
    <col min="10" max="10" width="12" customWidth="1"/>
    <col min="11" max="11" width="1" customWidth="1"/>
    <col min="12" max="13" width="7" customWidth="1"/>
    <col min="14" max="15" width="0.5703125" customWidth="1"/>
    <col min="16" max="18" width="7" customWidth="1"/>
    <col min="19" max="20" width="5" customWidth="1"/>
    <col min="21" max="29" width="6" customWidth="1"/>
    <col min="30" max="30" width="46.57031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1"/>
      <c r="H1" s="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1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48</v>
      </c>
      <c r="H3" s="10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1"/>
      <c r="H4" s="9"/>
      <c r="I4" s="1"/>
      <c r="J4" s="1"/>
      <c r="K4" s="1"/>
      <c r="L4" s="1"/>
      <c r="M4" s="1"/>
      <c r="N4" s="1"/>
      <c r="O4" s="1"/>
      <c r="P4" s="1" t="s">
        <v>22</v>
      </c>
      <c r="Q4" s="1" t="s">
        <v>22</v>
      </c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501</v>
      </c>
      <c r="F5" s="4">
        <f>SUM(F6:F500)</f>
        <v>1321.83</v>
      </c>
      <c r="G5" s="4"/>
      <c r="H5" s="9"/>
      <c r="I5" s="1"/>
      <c r="J5" s="1"/>
      <c r="K5" s="1"/>
      <c r="L5" s="4">
        <f t="shared" ref="L5:R5" si="0">SUM(L6:L500)</f>
        <v>517</v>
      </c>
      <c r="M5" s="4">
        <f t="shared" si="0"/>
        <v>-16</v>
      </c>
      <c r="N5" s="4">
        <f t="shared" si="0"/>
        <v>0</v>
      </c>
      <c r="O5" s="4">
        <f t="shared" si="0"/>
        <v>0</v>
      </c>
      <c r="P5" s="4">
        <f t="shared" si="0"/>
        <v>100</v>
      </c>
      <c r="Q5" s="4">
        <f t="shared" si="0"/>
        <v>100.2</v>
      </c>
      <c r="R5" s="4">
        <f t="shared" si="0"/>
        <v>596</v>
      </c>
      <c r="S5" s="1"/>
      <c r="T5" s="1"/>
      <c r="U5" s="4">
        <f t="shared" ref="U5:AC5" si="1">SUM(U6:U500)</f>
        <v>57.6</v>
      </c>
      <c r="V5" s="4">
        <f t="shared" si="1"/>
        <v>15.600000000000001</v>
      </c>
      <c r="W5" s="4">
        <f t="shared" si="1"/>
        <v>19</v>
      </c>
      <c r="X5" s="4">
        <f t="shared" si="1"/>
        <v>136.226</v>
      </c>
      <c r="Y5" s="4">
        <f t="shared" si="1"/>
        <v>45.400000000000006</v>
      </c>
      <c r="Z5" s="4">
        <f t="shared" si="1"/>
        <v>81.2</v>
      </c>
      <c r="AA5" s="4">
        <f t="shared" si="1"/>
        <v>79.199999999999989</v>
      </c>
      <c r="AB5" s="4">
        <f t="shared" si="1"/>
        <v>0</v>
      </c>
      <c r="AC5" s="4">
        <f t="shared" si="1"/>
        <v>0</v>
      </c>
      <c r="AD5" s="1"/>
      <c r="AE5" s="4">
        <f>SUM(AE6:AE500)</f>
        <v>197.45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32</v>
      </c>
      <c r="B6" s="1" t="s">
        <v>33</v>
      </c>
      <c r="C6" s="1">
        <v>92</v>
      </c>
      <c r="D6" s="1"/>
      <c r="E6" s="1">
        <v>11</v>
      </c>
      <c r="F6" s="1">
        <v>81</v>
      </c>
      <c r="G6" s="1">
        <f>F6*H6</f>
        <v>34.019999999999996</v>
      </c>
      <c r="H6" s="9">
        <v>0.42</v>
      </c>
      <c r="I6" s="1">
        <v>120</v>
      </c>
      <c r="J6" s="1" t="s">
        <v>34</v>
      </c>
      <c r="K6" s="1"/>
      <c r="L6" s="1">
        <v>13</v>
      </c>
      <c r="M6" s="1">
        <f t="shared" ref="M6:M16" si="2">E6-L6</f>
        <v>-2</v>
      </c>
      <c r="N6" s="1"/>
      <c r="O6" s="1"/>
      <c r="P6" s="1"/>
      <c r="Q6" s="1">
        <f>E6/5</f>
        <v>2.2000000000000002</v>
      </c>
      <c r="R6" s="5"/>
      <c r="S6" s="1">
        <f>(F6+P6+R6)/Q6</f>
        <v>36.818181818181813</v>
      </c>
      <c r="T6" s="1">
        <f>(F6+P6)/Q6</f>
        <v>36.818181818181813</v>
      </c>
      <c r="U6" s="1">
        <v>0.6</v>
      </c>
      <c r="V6" s="1">
        <v>0.6</v>
      </c>
      <c r="W6" s="1">
        <v>0</v>
      </c>
      <c r="X6" s="1">
        <v>8.4</v>
      </c>
      <c r="Y6" s="1">
        <v>1</v>
      </c>
      <c r="Z6" s="1">
        <v>9</v>
      </c>
      <c r="AA6" s="1">
        <v>2</v>
      </c>
      <c r="AB6" s="1">
        <v>0</v>
      </c>
      <c r="AC6" s="1">
        <v>0</v>
      </c>
      <c r="AD6" s="12" t="s">
        <v>35</v>
      </c>
      <c r="AE6" s="1">
        <f>H6*R6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36</v>
      </c>
      <c r="B7" s="1" t="s">
        <v>37</v>
      </c>
      <c r="C7" s="1">
        <v>196.68199999999999</v>
      </c>
      <c r="D7" s="1"/>
      <c r="E7" s="1"/>
      <c r="F7" s="1">
        <v>196.68199999999999</v>
      </c>
      <c r="G7" s="1">
        <f t="shared" ref="G7:G16" si="3">F7*H7</f>
        <v>196.68199999999999</v>
      </c>
      <c r="H7" s="9">
        <v>1</v>
      </c>
      <c r="I7" s="1">
        <v>120</v>
      </c>
      <c r="J7" s="1" t="s">
        <v>34</v>
      </c>
      <c r="K7" s="1"/>
      <c r="L7" s="1"/>
      <c r="M7" s="1">
        <f t="shared" si="2"/>
        <v>0</v>
      </c>
      <c r="N7" s="1"/>
      <c r="O7" s="1"/>
      <c r="P7" s="1"/>
      <c r="Q7" s="1">
        <f t="shared" ref="Q7:Q16" si="4">E7/5</f>
        <v>0</v>
      </c>
      <c r="R7" s="5"/>
      <c r="S7" s="1" t="e">
        <f t="shared" ref="S7:S16" si="5">(F7+P7+R7)/Q7</f>
        <v>#DIV/0!</v>
      </c>
      <c r="T7" s="1" t="e">
        <f t="shared" ref="T7:T16" si="6">(F7+P7)/Q7</f>
        <v>#DIV/0!</v>
      </c>
      <c r="U7" s="1">
        <v>0</v>
      </c>
      <c r="V7" s="1">
        <v>0</v>
      </c>
      <c r="W7" s="1">
        <v>0</v>
      </c>
      <c r="X7" s="1">
        <v>0.91880000000000006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2" t="s">
        <v>35</v>
      </c>
      <c r="AE7" s="1">
        <f>H7*R7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37</v>
      </c>
      <c r="C8" s="1">
        <v>95.147999999999996</v>
      </c>
      <c r="D8" s="1"/>
      <c r="E8" s="1"/>
      <c r="F8" s="1">
        <v>95.147999999999996</v>
      </c>
      <c r="G8" s="1">
        <f t="shared" si="3"/>
        <v>95.147999999999996</v>
      </c>
      <c r="H8" s="9">
        <v>1</v>
      </c>
      <c r="I8" s="1">
        <v>120</v>
      </c>
      <c r="J8" s="1" t="s">
        <v>34</v>
      </c>
      <c r="K8" s="1"/>
      <c r="L8" s="1"/>
      <c r="M8" s="1">
        <f t="shared" si="2"/>
        <v>0</v>
      </c>
      <c r="N8" s="1"/>
      <c r="O8" s="1"/>
      <c r="P8" s="1"/>
      <c r="Q8" s="1">
        <f t="shared" si="4"/>
        <v>0</v>
      </c>
      <c r="R8" s="5"/>
      <c r="S8" s="1" t="e">
        <f t="shared" si="5"/>
        <v>#DIV/0!</v>
      </c>
      <c r="T8" s="1" t="e">
        <f t="shared" si="6"/>
        <v>#DIV/0!</v>
      </c>
      <c r="U8" s="1">
        <v>0</v>
      </c>
      <c r="V8" s="1">
        <v>0</v>
      </c>
      <c r="W8" s="1">
        <v>0</v>
      </c>
      <c r="X8" s="1">
        <v>0.9071999999999999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2" t="s">
        <v>35</v>
      </c>
      <c r="AE8" s="1">
        <f>H8*R8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idden="1" x14ac:dyDescent="0.25">
      <c r="A9" s="7" t="s">
        <v>39</v>
      </c>
      <c r="B9" s="7" t="s">
        <v>33</v>
      </c>
      <c r="C9" s="7"/>
      <c r="D9" s="7"/>
      <c r="E9" s="7"/>
      <c r="F9" s="7"/>
      <c r="G9" s="1">
        <f t="shared" si="3"/>
        <v>0</v>
      </c>
      <c r="H9" s="11">
        <v>0</v>
      </c>
      <c r="I9" s="7">
        <v>120</v>
      </c>
      <c r="J9" s="7" t="s">
        <v>34</v>
      </c>
      <c r="K9" s="7"/>
      <c r="L9" s="7"/>
      <c r="M9" s="7">
        <f t="shared" si="2"/>
        <v>0</v>
      </c>
      <c r="N9" s="7"/>
      <c r="O9" s="7"/>
      <c r="P9" s="7"/>
      <c r="Q9" s="7">
        <f t="shared" si="4"/>
        <v>0</v>
      </c>
      <c r="R9" s="8"/>
      <c r="S9" s="7" t="e">
        <f t="shared" si="5"/>
        <v>#DIV/0!</v>
      </c>
      <c r="T9" s="7" t="e">
        <f t="shared" si="6"/>
        <v>#DIV/0!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 t="s">
        <v>40</v>
      </c>
      <c r="AE9" s="7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idden="1" x14ac:dyDescent="0.25">
      <c r="A10" s="1" t="s">
        <v>41</v>
      </c>
      <c r="B10" s="1" t="s">
        <v>33</v>
      </c>
      <c r="C10" s="1">
        <v>329</v>
      </c>
      <c r="D10" s="1"/>
      <c r="E10" s="1">
        <v>108</v>
      </c>
      <c r="F10" s="1">
        <v>217</v>
      </c>
      <c r="G10" s="1">
        <f t="shared" si="3"/>
        <v>65.099999999999994</v>
      </c>
      <c r="H10" s="9">
        <v>0.3</v>
      </c>
      <c r="I10" s="1">
        <v>120</v>
      </c>
      <c r="J10" s="1" t="s">
        <v>34</v>
      </c>
      <c r="K10" s="1"/>
      <c r="L10" s="1">
        <v>107</v>
      </c>
      <c r="M10" s="1">
        <f t="shared" si="2"/>
        <v>1</v>
      </c>
      <c r="N10" s="1"/>
      <c r="O10" s="1"/>
      <c r="P10" s="1"/>
      <c r="Q10" s="1">
        <f t="shared" si="4"/>
        <v>21.6</v>
      </c>
      <c r="R10" s="5">
        <f>15*Q10-P10-F10</f>
        <v>107</v>
      </c>
      <c r="S10" s="1">
        <f t="shared" si="5"/>
        <v>14.999999999999998</v>
      </c>
      <c r="T10" s="1">
        <f t="shared" si="6"/>
        <v>10.046296296296296</v>
      </c>
      <c r="U10" s="1">
        <v>12.2</v>
      </c>
      <c r="V10" s="1">
        <v>1.2</v>
      </c>
      <c r="W10" s="1">
        <v>2.4</v>
      </c>
      <c r="X10" s="1">
        <v>37.4</v>
      </c>
      <c r="Y10" s="1">
        <v>16</v>
      </c>
      <c r="Z10" s="1">
        <v>18.2</v>
      </c>
      <c r="AA10" s="1">
        <v>19.600000000000001</v>
      </c>
      <c r="AB10" s="1">
        <v>0</v>
      </c>
      <c r="AC10" s="1">
        <v>0</v>
      </c>
      <c r="AD10" s="1"/>
      <c r="AE10" s="1">
        <f t="shared" ref="AE10:AE16" si="7">H10*R10</f>
        <v>32.1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idden="1" x14ac:dyDescent="0.25">
      <c r="A11" s="1" t="s">
        <v>42</v>
      </c>
      <c r="B11" s="1" t="s">
        <v>33</v>
      </c>
      <c r="C11" s="1">
        <v>95</v>
      </c>
      <c r="D11" s="1"/>
      <c r="E11" s="1">
        <v>45</v>
      </c>
      <c r="F11" s="1">
        <v>50</v>
      </c>
      <c r="G11" s="1">
        <f t="shared" si="3"/>
        <v>15</v>
      </c>
      <c r="H11" s="9">
        <v>0.3</v>
      </c>
      <c r="I11" s="1">
        <v>120</v>
      </c>
      <c r="J11" s="1" t="s">
        <v>34</v>
      </c>
      <c r="K11" s="1"/>
      <c r="L11" s="1">
        <v>48</v>
      </c>
      <c r="M11" s="1">
        <f t="shared" si="2"/>
        <v>-3</v>
      </c>
      <c r="N11" s="1"/>
      <c r="O11" s="1"/>
      <c r="P11" s="1"/>
      <c r="Q11" s="1">
        <f t="shared" si="4"/>
        <v>9</v>
      </c>
      <c r="R11" s="5">
        <f t="shared" ref="R11:R14" si="8">15*Q11-P11-F11</f>
        <v>85</v>
      </c>
      <c r="S11" s="1">
        <f t="shared" si="5"/>
        <v>15</v>
      </c>
      <c r="T11" s="1">
        <f t="shared" si="6"/>
        <v>5.5555555555555554</v>
      </c>
      <c r="U11" s="1">
        <v>5.8</v>
      </c>
      <c r="V11" s="1">
        <v>1.4</v>
      </c>
      <c r="W11" s="1">
        <v>4.4000000000000004</v>
      </c>
      <c r="X11" s="1">
        <v>8.8000000000000007</v>
      </c>
      <c r="Y11" s="1">
        <v>4.4000000000000004</v>
      </c>
      <c r="Z11" s="1">
        <v>15.4</v>
      </c>
      <c r="AA11" s="1">
        <v>3.2</v>
      </c>
      <c r="AB11" s="1">
        <v>0</v>
      </c>
      <c r="AC11" s="1">
        <v>0</v>
      </c>
      <c r="AD11" s="1"/>
      <c r="AE11" s="1">
        <f t="shared" si="7"/>
        <v>25.5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idden="1" x14ac:dyDescent="0.25">
      <c r="A12" s="1" t="s">
        <v>43</v>
      </c>
      <c r="B12" s="1" t="s">
        <v>33</v>
      </c>
      <c r="C12" s="1">
        <v>376</v>
      </c>
      <c r="D12" s="1"/>
      <c r="E12" s="1">
        <v>123</v>
      </c>
      <c r="F12" s="1">
        <v>247</v>
      </c>
      <c r="G12" s="1">
        <f t="shared" si="3"/>
        <v>86.449999999999989</v>
      </c>
      <c r="H12" s="9">
        <v>0.35</v>
      </c>
      <c r="I12" s="1">
        <v>120</v>
      </c>
      <c r="J12" s="1" t="s">
        <v>34</v>
      </c>
      <c r="K12" s="1"/>
      <c r="L12" s="1">
        <v>122</v>
      </c>
      <c r="M12" s="1">
        <f t="shared" si="2"/>
        <v>1</v>
      </c>
      <c r="N12" s="1"/>
      <c r="O12" s="1"/>
      <c r="P12" s="1"/>
      <c r="Q12" s="1">
        <f t="shared" si="4"/>
        <v>24.6</v>
      </c>
      <c r="R12" s="5">
        <f t="shared" si="8"/>
        <v>122</v>
      </c>
      <c r="S12" s="1">
        <f t="shared" si="5"/>
        <v>15</v>
      </c>
      <c r="T12" s="1">
        <f t="shared" si="6"/>
        <v>10.040650406504064</v>
      </c>
      <c r="U12" s="1">
        <v>11.8</v>
      </c>
      <c r="V12" s="1">
        <v>2.4</v>
      </c>
      <c r="W12" s="1">
        <v>2.6</v>
      </c>
      <c r="X12" s="1">
        <v>37.6</v>
      </c>
      <c r="Y12" s="1">
        <v>0.6</v>
      </c>
      <c r="Z12" s="1">
        <v>-0.6</v>
      </c>
      <c r="AA12" s="1">
        <v>20.2</v>
      </c>
      <c r="AB12" s="1">
        <v>0</v>
      </c>
      <c r="AC12" s="1">
        <v>0</v>
      </c>
      <c r="AD12" s="1"/>
      <c r="AE12" s="1">
        <f t="shared" si="7"/>
        <v>42.699999999999996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idden="1" x14ac:dyDescent="0.25">
      <c r="A13" s="1" t="s">
        <v>44</v>
      </c>
      <c r="B13" s="1" t="s">
        <v>33</v>
      </c>
      <c r="C13" s="1">
        <v>58</v>
      </c>
      <c r="D13" s="1"/>
      <c r="E13" s="1">
        <v>34</v>
      </c>
      <c r="F13" s="1">
        <v>21</v>
      </c>
      <c r="G13" s="1">
        <f t="shared" si="3"/>
        <v>6.3</v>
      </c>
      <c r="H13" s="9">
        <v>0.3</v>
      </c>
      <c r="I13" s="1">
        <v>120</v>
      </c>
      <c r="J13" s="1" t="s">
        <v>34</v>
      </c>
      <c r="K13" s="1"/>
      <c r="L13" s="1">
        <v>35</v>
      </c>
      <c r="M13" s="1">
        <f t="shared" si="2"/>
        <v>-1</v>
      </c>
      <c r="N13" s="1"/>
      <c r="O13" s="1"/>
      <c r="P13" s="1">
        <v>50</v>
      </c>
      <c r="Q13" s="1">
        <f t="shared" si="4"/>
        <v>6.8</v>
      </c>
      <c r="R13" s="5">
        <f t="shared" si="8"/>
        <v>31</v>
      </c>
      <c r="S13" s="1">
        <f t="shared" si="5"/>
        <v>15</v>
      </c>
      <c r="T13" s="1">
        <f t="shared" si="6"/>
        <v>10.441176470588236</v>
      </c>
      <c r="U13" s="1">
        <v>5.8</v>
      </c>
      <c r="V13" s="1">
        <v>3.2</v>
      </c>
      <c r="W13" s="1">
        <v>3.8</v>
      </c>
      <c r="X13" s="1">
        <v>0.2</v>
      </c>
      <c r="Y13" s="1">
        <v>5</v>
      </c>
      <c r="Z13" s="1">
        <v>10.6</v>
      </c>
      <c r="AA13" s="1">
        <v>3</v>
      </c>
      <c r="AB13" s="1">
        <v>0</v>
      </c>
      <c r="AC13" s="1">
        <v>0</v>
      </c>
      <c r="AD13" s="1"/>
      <c r="AE13" s="1">
        <f t="shared" si="7"/>
        <v>9.2999999999999989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idden="1" x14ac:dyDescent="0.25">
      <c r="A14" s="1" t="s">
        <v>45</v>
      </c>
      <c r="B14" s="1" t="s">
        <v>33</v>
      </c>
      <c r="C14" s="1">
        <v>290</v>
      </c>
      <c r="D14" s="1"/>
      <c r="E14" s="1">
        <v>146</v>
      </c>
      <c r="F14" s="1">
        <v>137</v>
      </c>
      <c r="G14" s="1">
        <f t="shared" si="3"/>
        <v>47.949999999999996</v>
      </c>
      <c r="H14" s="9">
        <v>0.35</v>
      </c>
      <c r="I14" s="1">
        <v>120</v>
      </c>
      <c r="J14" s="1" t="s">
        <v>34</v>
      </c>
      <c r="K14" s="1"/>
      <c r="L14" s="1">
        <v>146</v>
      </c>
      <c r="M14" s="1">
        <f t="shared" si="2"/>
        <v>0</v>
      </c>
      <c r="N14" s="1"/>
      <c r="O14" s="1"/>
      <c r="P14" s="1">
        <v>50</v>
      </c>
      <c r="Q14" s="1">
        <f t="shared" si="4"/>
        <v>29.2</v>
      </c>
      <c r="R14" s="5">
        <f t="shared" si="8"/>
        <v>251</v>
      </c>
      <c r="S14" s="1">
        <f t="shared" si="5"/>
        <v>15</v>
      </c>
      <c r="T14" s="1">
        <f t="shared" si="6"/>
        <v>6.404109589041096</v>
      </c>
      <c r="U14" s="1">
        <v>19.600000000000001</v>
      </c>
      <c r="V14" s="1">
        <v>3.8</v>
      </c>
      <c r="W14" s="1">
        <v>4.4000000000000004</v>
      </c>
      <c r="X14" s="1">
        <v>39.4</v>
      </c>
      <c r="Y14" s="1">
        <v>16.2</v>
      </c>
      <c r="Z14" s="1">
        <v>22.8</v>
      </c>
      <c r="AA14" s="1">
        <v>20.6</v>
      </c>
      <c r="AB14" s="1">
        <v>0</v>
      </c>
      <c r="AC14" s="1">
        <v>0</v>
      </c>
      <c r="AD14" s="1"/>
      <c r="AE14" s="1">
        <f t="shared" si="7"/>
        <v>87.85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46</v>
      </c>
      <c r="B15" s="1" t="s">
        <v>33</v>
      </c>
      <c r="C15" s="1">
        <v>35</v>
      </c>
      <c r="D15" s="1">
        <v>10</v>
      </c>
      <c r="E15" s="1">
        <v>5</v>
      </c>
      <c r="F15" s="1">
        <v>30</v>
      </c>
      <c r="G15" s="1">
        <f t="shared" si="3"/>
        <v>9</v>
      </c>
      <c r="H15" s="9">
        <v>0.3</v>
      </c>
      <c r="I15" s="1">
        <v>120</v>
      </c>
      <c r="J15" s="1" t="s">
        <v>34</v>
      </c>
      <c r="K15" s="1"/>
      <c r="L15" s="1">
        <v>17</v>
      </c>
      <c r="M15" s="1">
        <f t="shared" si="2"/>
        <v>-12</v>
      </c>
      <c r="N15" s="1"/>
      <c r="O15" s="1"/>
      <c r="P15" s="1"/>
      <c r="Q15" s="1">
        <f t="shared" si="4"/>
        <v>1</v>
      </c>
      <c r="R15" s="5"/>
      <c r="S15" s="1">
        <f t="shared" si="5"/>
        <v>30</v>
      </c>
      <c r="T15" s="1">
        <f t="shared" si="6"/>
        <v>30</v>
      </c>
      <c r="U15" s="1">
        <v>0.6</v>
      </c>
      <c r="V15" s="1">
        <v>0.6</v>
      </c>
      <c r="W15" s="1">
        <v>0.4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2" t="s">
        <v>35</v>
      </c>
      <c r="AE15" s="1">
        <f t="shared" si="7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47</v>
      </c>
      <c r="B16" s="1" t="s">
        <v>33</v>
      </c>
      <c r="C16" s="1">
        <v>276</v>
      </c>
      <c r="D16" s="1"/>
      <c r="E16" s="1">
        <v>29</v>
      </c>
      <c r="F16" s="1">
        <v>247</v>
      </c>
      <c r="G16" s="1">
        <f t="shared" si="3"/>
        <v>172.89999999999998</v>
      </c>
      <c r="H16" s="9">
        <v>0.7</v>
      </c>
      <c r="I16" s="1">
        <v>180</v>
      </c>
      <c r="J16" s="1" t="s">
        <v>34</v>
      </c>
      <c r="K16" s="1"/>
      <c r="L16" s="1">
        <v>29</v>
      </c>
      <c r="M16" s="1">
        <f t="shared" si="2"/>
        <v>0</v>
      </c>
      <c r="N16" s="1"/>
      <c r="O16" s="1"/>
      <c r="P16" s="1"/>
      <c r="Q16" s="1">
        <f t="shared" si="4"/>
        <v>5.8</v>
      </c>
      <c r="R16" s="5"/>
      <c r="S16" s="1">
        <f t="shared" si="5"/>
        <v>42.586206896551722</v>
      </c>
      <c r="T16" s="1">
        <f t="shared" si="6"/>
        <v>42.586206896551722</v>
      </c>
      <c r="U16" s="1">
        <v>1.2</v>
      </c>
      <c r="V16" s="1">
        <v>2.4</v>
      </c>
      <c r="W16" s="1">
        <v>1</v>
      </c>
      <c r="X16" s="1">
        <v>1.6</v>
      </c>
      <c r="Y16" s="1">
        <v>2.2000000000000002</v>
      </c>
      <c r="Z16" s="1">
        <v>5.8</v>
      </c>
      <c r="AA16" s="1">
        <v>10.6</v>
      </c>
      <c r="AB16" s="1">
        <v>0</v>
      </c>
      <c r="AC16" s="1">
        <v>0</v>
      </c>
      <c r="AD16" s="12" t="s">
        <v>35</v>
      </c>
      <c r="AE16" s="1">
        <f t="shared" si="7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1"/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1"/>
      <c r="H18" s="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1"/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1"/>
      <c r="H20" s="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1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1"/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1"/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1"/>
      <c r="H24" s="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1"/>
      <c r="H25" s="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1"/>
      <c r="H26" s="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1"/>
      <c r="H27" s="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1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1"/>
      <c r="H29" s="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1"/>
      <c r="H30" s="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1"/>
      <c r="H31" s="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1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1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1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1"/>
      <c r="H35" s="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1"/>
      <c r="H36" s="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1"/>
      <c r="H37" s="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1"/>
      <c r="H38" s="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1"/>
      <c r="H39" s="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1"/>
      <c r="H40" s="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1"/>
      <c r="H41" s="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1"/>
      <c r="H42" s="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1"/>
      <c r="H43" s="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1"/>
      <c r="H44" s="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1"/>
      <c r="H45" s="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1"/>
      <c r="H46" s="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1"/>
      <c r="H47" s="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1"/>
      <c r="H48" s="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1"/>
      <c r="H49" s="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1"/>
      <c r="H50" s="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1"/>
      <c r="H51" s="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1"/>
      <c r="H52" s="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1"/>
      <c r="H53" s="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1"/>
      <c r="H54" s="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1"/>
      <c r="H55" s="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1"/>
      <c r="H56" s="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1"/>
      <c r="H57" s="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1"/>
      <c r="H58" s="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1"/>
      <c r="H59" s="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1"/>
      <c r="H60" s="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1"/>
      <c r="H61" s="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1"/>
      <c r="H62" s="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1"/>
      <c r="H63" s="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1"/>
      <c r="H64" s="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1"/>
      <c r="H65" s="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1"/>
      <c r="H66" s="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1"/>
      <c r="H67" s="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1"/>
      <c r="H68" s="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1"/>
      <c r="H69" s="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1"/>
      <c r="H70" s="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1"/>
      <c r="H71" s="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1"/>
      <c r="H72" s="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1"/>
      <c r="H73" s="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1"/>
      <c r="H74" s="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1"/>
      <c r="H75" s="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1"/>
      <c r="H76" s="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1"/>
      <c r="H77" s="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1"/>
      <c r="H78" s="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1"/>
      <c r="H79" s="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1"/>
      <c r="H80" s="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1"/>
      <c r="H81" s="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1"/>
      <c r="H82" s="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1"/>
      <c r="H83" s="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1"/>
      <c r="H84" s="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1"/>
      <c r="H85" s="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1"/>
      <c r="H86" s="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1"/>
      <c r="H87" s="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1"/>
      <c r="H88" s="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1"/>
      <c r="H89" s="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1"/>
      <c r="H90" s="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1"/>
      <c r="H91" s="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1"/>
      <c r="H92" s="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1"/>
      <c r="H93" s="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1"/>
      <c r="H94" s="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1"/>
      <c r="H95" s="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1"/>
      <c r="H96" s="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1"/>
      <c r="H97" s="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1"/>
      <c r="H98" s="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1"/>
      <c r="H99" s="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1"/>
      <c r="H100" s="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1"/>
      <c r="H101" s="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1"/>
      <c r="H102" s="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1"/>
      <c r="H103" s="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1"/>
      <c r="H104" s="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1"/>
      <c r="H105" s="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1"/>
      <c r="H106" s="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1"/>
      <c r="H107" s="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1"/>
      <c r="H108" s="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1"/>
      <c r="H109" s="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1"/>
      <c r="H110" s="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1"/>
      <c r="H111" s="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1"/>
      <c r="H112" s="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1"/>
      <c r="H113" s="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1"/>
      <c r="H114" s="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1"/>
      <c r="H115" s="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1"/>
      <c r="H116" s="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1"/>
      <c r="H117" s="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1"/>
      <c r="H118" s="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1"/>
      <c r="H119" s="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1"/>
      <c r="H120" s="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1"/>
      <c r="H121" s="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1"/>
      <c r="H122" s="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1"/>
      <c r="H123" s="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1"/>
      <c r="H124" s="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1"/>
      <c r="H125" s="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1"/>
      <c r="H126" s="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1"/>
      <c r="H127" s="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1"/>
      <c r="H128" s="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1"/>
      <c r="H129" s="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1"/>
      <c r="H130" s="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1"/>
      <c r="H131" s="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1"/>
      <c r="H132" s="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1"/>
      <c r="H133" s="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1"/>
      <c r="H134" s="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1"/>
      <c r="H135" s="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1"/>
      <c r="H136" s="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1"/>
      <c r="H137" s="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1"/>
      <c r="H138" s="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1"/>
      <c r="H139" s="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1"/>
      <c r="H140" s="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1"/>
      <c r="H141" s="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1"/>
      <c r="H142" s="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1"/>
      <c r="H143" s="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1"/>
      <c r="H144" s="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1"/>
      <c r="H145" s="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1"/>
      <c r="H146" s="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1"/>
      <c r="H147" s="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1"/>
      <c r="H148" s="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1"/>
      <c r="H149" s="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1"/>
      <c r="H150" s="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1"/>
      <c r="H151" s="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1"/>
      <c r="H152" s="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1"/>
      <c r="H153" s="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1"/>
      <c r="H154" s="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1"/>
      <c r="H155" s="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1"/>
      <c r="H156" s="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1"/>
      <c r="H157" s="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1"/>
      <c r="H158" s="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1"/>
      <c r="H159" s="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1"/>
      <c r="H160" s="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1"/>
      <c r="H161" s="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1"/>
      <c r="H162" s="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1"/>
      <c r="H163" s="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1"/>
      <c r="H164" s="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1"/>
      <c r="H165" s="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1"/>
      <c r="H166" s="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1"/>
      <c r="H167" s="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1"/>
      <c r="H168" s="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1"/>
      <c r="H169" s="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1"/>
      <c r="H170" s="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1"/>
      <c r="H171" s="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1"/>
      <c r="H172" s="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1"/>
      <c r="H173" s="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1"/>
      <c r="H174" s="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1"/>
      <c r="H175" s="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1"/>
      <c r="H176" s="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1"/>
      <c r="H177" s="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1"/>
      <c r="H178" s="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1"/>
      <c r="H179" s="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1"/>
      <c r="H180" s="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1"/>
      <c r="H181" s="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1"/>
      <c r="H182" s="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1"/>
      <c r="H183" s="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1"/>
      <c r="H184" s="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1"/>
      <c r="H185" s="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1"/>
      <c r="H186" s="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1"/>
      <c r="H187" s="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1"/>
      <c r="H188" s="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1"/>
      <c r="H189" s="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1"/>
      <c r="H190" s="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1"/>
      <c r="H191" s="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1"/>
      <c r="H192" s="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1"/>
      <c r="H193" s="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1"/>
      <c r="H194" s="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1"/>
      <c r="H195" s="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1"/>
      <c r="H196" s="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1"/>
      <c r="H197" s="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1"/>
      <c r="H198" s="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1"/>
      <c r="H199" s="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1"/>
      <c r="H200" s="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1"/>
      <c r="H201" s="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1"/>
      <c r="H202" s="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1"/>
      <c r="H203" s="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1"/>
      <c r="H204" s="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1"/>
      <c r="H205" s="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1"/>
      <c r="H206" s="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1"/>
      <c r="H207" s="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1"/>
      <c r="H208" s="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1"/>
      <c r="H209" s="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1"/>
      <c r="H210" s="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1"/>
      <c r="H211" s="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1"/>
      <c r="H212" s="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1"/>
      <c r="H213" s="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1"/>
      <c r="H214" s="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1"/>
      <c r="H215" s="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1"/>
      <c r="H216" s="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1"/>
      <c r="H217" s="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1"/>
      <c r="H218" s="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1"/>
      <c r="H219" s="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1"/>
      <c r="H220" s="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1"/>
      <c r="H221" s="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1"/>
      <c r="H222" s="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1"/>
      <c r="H223" s="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1"/>
      <c r="H224" s="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1"/>
      <c r="H225" s="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1"/>
      <c r="H226" s="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1"/>
      <c r="H227" s="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1"/>
      <c r="H228" s="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1"/>
      <c r="H229" s="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1"/>
      <c r="H230" s="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1"/>
      <c r="H231" s="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1"/>
      <c r="H232" s="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1"/>
      <c r="H233" s="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1"/>
      <c r="H234" s="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1"/>
      <c r="H235" s="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1"/>
      <c r="H236" s="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1"/>
      <c r="H237" s="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1"/>
      <c r="H238" s="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1"/>
      <c r="H239" s="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1"/>
      <c r="H240" s="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1"/>
      <c r="H241" s="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1"/>
      <c r="H242" s="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1"/>
      <c r="H243" s="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1"/>
      <c r="H244" s="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1"/>
      <c r="H245" s="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1"/>
      <c r="H246" s="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1"/>
      <c r="H247" s="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1"/>
      <c r="H248" s="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1"/>
      <c r="H249" s="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1"/>
      <c r="H250" s="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1"/>
      <c r="H251" s="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1"/>
      <c r="H252" s="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1"/>
      <c r="H253" s="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1"/>
      <c r="H254" s="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1"/>
      <c r="H255" s="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1"/>
      <c r="H256" s="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1"/>
      <c r="H257" s="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1"/>
      <c r="H258" s="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1"/>
      <c r="H259" s="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1"/>
      <c r="H260" s="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1"/>
      <c r="H261" s="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1"/>
      <c r="H262" s="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1"/>
      <c r="H263" s="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1"/>
      <c r="H264" s="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1"/>
      <c r="H265" s="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1"/>
      <c r="H266" s="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1"/>
      <c r="H267" s="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1"/>
      <c r="H268" s="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1"/>
      <c r="H269" s="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1"/>
      <c r="H270" s="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1"/>
      <c r="H271" s="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1"/>
      <c r="H272" s="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1"/>
      <c r="H273" s="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1"/>
      <c r="H274" s="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1"/>
      <c r="H275" s="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1"/>
      <c r="H276" s="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1"/>
      <c r="H277" s="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1"/>
      <c r="H278" s="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1"/>
      <c r="H279" s="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1"/>
      <c r="H280" s="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1"/>
      <c r="H281" s="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1"/>
      <c r="H282" s="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1"/>
      <c r="H283" s="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1"/>
      <c r="H284" s="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1"/>
      <c r="H285" s="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1"/>
      <c r="H286" s="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1"/>
      <c r="H287" s="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1"/>
      <c r="H288" s="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1"/>
      <c r="H289" s="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1"/>
      <c r="H290" s="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1"/>
      <c r="H291" s="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1"/>
      <c r="H292" s="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1"/>
      <c r="H293" s="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1"/>
      <c r="H294" s="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1"/>
      <c r="H295" s="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1"/>
      <c r="H296" s="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1"/>
      <c r="H297" s="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1"/>
      <c r="H298" s="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1"/>
      <c r="H299" s="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1"/>
      <c r="H300" s="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1"/>
      <c r="H301" s="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1"/>
      <c r="H302" s="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1"/>
      <c r="H303" s="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1"/>
      <c r="H304" s="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1"/>
      <c r="H305" s="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1"/>
      <c r="H306" s="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1"/>
      <c r="H307" s="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1"/>
      <c r="H308" s="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1"/>
      <c r="H309" s="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1"/>
      <c r="H310" s="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1"/>
      <c r="H311" s="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1"/>
      <c r="H312" s="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1"/>
      <c r="H313" s="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1"/>
      <c r="H314" s="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1"/>
      <c r="H315" s="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1"/>
      <c r="H316" s="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1"/>
      <c r="H317" s="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1"/>
      <c r="H318" s="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1"/>
      <c r="H319" s="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1"/>
      <c r="H320" s="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1"/>
      <c r="H321" s="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1"/>
      <c r="H322" s="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1"/>
      <c r="H323" s="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1"/>
      <c r="H324" s="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1"/>
      <c r="H325" s="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1"/>
      <c r="H326" s="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1"/>
      <c r="H327" s="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1"/>
      <c r="H328" s="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1"/>
      <c r="H329" s="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1"/>
      <c r="H330" s="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1"/>
      <c r="H331" s="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1"/>
      <c r="H332" s="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1"/>
      <c r="H333" s="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1"/>
      <c r="H334" s="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1"/>
      <c r="H335" s="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1"/>
      <c r="H336" s="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1"/>
      <c r="H337" s="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1"/>
      <c r="H338" s="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1"/>
      <c r="H339" s="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1"/>
      <c r="H340" s="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1"/>
      <c r="H341" s="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1"/>
      <c r="H342" s="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1"/>
      <c r="H343" s="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1"/>
      <c r="H344" s="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1"/>
      <c r="H345" s="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1"/>
      <c r="H346" s="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1"/>
      <c r="H347" s="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1"/>
      <c r="H348" s="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1"/>
      <c r="H349" s="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1"/>
      <c r="H350" s="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1"/>
      <c r="H351" s="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1"/>
      <c r="H352" s="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1"/>
      <c r="H353" s="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1"/>
      <c r="H354" s="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1"/>
      <c r="H355" s="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1"/>
      <c r="H356" s="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1"/>
      <c r="H357" s="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1"/>
      <c r="H358" s="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1"/>
      <c r="H359" s="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1"/>
      <c r="H360" s="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1"/>
      <c r="H361" s="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1"/>
      <c r="H362" s="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1"/>
      <c r="H363" s="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1"/>
      <c r="H364" s="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1"/>
      <c r="H365" s="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1"/>
      <c r="H366" s="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1"/>
      <c r="H367" s="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1"/>
      <c r="H368" s="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1"/>
      <c r="H369" s="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1"/>
      <c r="H370" s="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1"/>
      <c r="H371" s="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1"/>
      <c r="H372" s="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1"/>
      <c r="H373" s="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1"/>
      <c r="H374" s="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1"/>
      <c r="H375" s="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1"/>
      <c r="H376" s="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1"/>
      <c r="H377" s="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1"/>
      <c r="H378" s="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1"/>
      <c r="H379" s="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1"/>
      <c r="H380" s="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1"/>
      <c r="H381" s="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1"/>
      <c r="H382" s="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1"/>
      <c r="H383" s="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1"/>
      <c r="H384" s="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1"/>
      <c r="H385" s="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1"/>
      <c r="H386" s="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1"/>
      <c r="H387" s="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1"/>
      <c r="H388" s="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1"/>
      <c r="H389" s="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1"/>
      <c r="H390" s="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1"/>
      <c r="H391" s="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1"/>
      <c r="H392" s="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1"/>
      <c r="H393" s="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1"/>
      <c r="H394" s="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1"/>
      <c r="H395" s="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1"/>
      <c r="H396" s="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1"/>
      <c r="H397" s="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1"/>
      <c r="H398" s="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1"/>
      <c r="H399" s="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1"/>
      <c r="H400" s="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1"/>
      <c r="H401" s="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1"/>
      <c r="H402" s="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1"/>
      <c r="H403" s="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1"/>
      <c r="H404" s="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1"/>
      <c r="H405" s="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1"/>
      <c r="H406" s="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1"/>
      <c r="H407" s="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1"/>
      <c r="H408" s="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1"/>
      <c r="H409" s="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1"/>
      <c r="H410" s="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1"/>
      <c r="H411" s="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1"/>
      <c r="H412" s="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1"/>
      <c r="H413" s="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1"/>
      <c r="H414" s="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1"/>
      <c r="H415" s="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1"/>
      <c r="H416" s="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1"/>
      <c r="H417" s="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1"/>
      <c r="H418" s="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1"/>
      <c r="H419" s="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1"/>
      <c r="H420" s="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1"/>
      <c r="H421" s="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1"/>
      <c r="H422" s="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1"/>
      <c r="H423" s="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1"/>
      <c r="H424" s="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1"/>
      <c r="H425" s="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1"/>
      <c r="H426" s="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1"/>
      <c r="H427" s="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1"/>
      <c r="H428" s="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1"/>
      <c r="H429" s="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1"/>
      <c r="H430" s="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1"/>
      <c r="H431" s="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1"/>
      <c r="H432" s="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1"/>
      <c r="H433" s="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1"/>
      <c r="H434" s="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1"/>
      <c r="H435" s="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1"/>
      <c r="H436" s="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1"/>
      <c r="H437" s="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1"/>
      <c r="H438" s="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1"/>
      <c r="H439" s="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1"/>
      <c r="H440" s="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1"/>
      <c r="H441" s="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1"/>
      <c r="H442" s="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1"/>
      <c r="H443" s="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1"/>
      <c r="H444" s="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1"/>
      <c r="H445" s="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1"/>
      <c r="H446" s="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1"/>
      <c r="H447" s="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1"/>
      <c r="H448" s="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1"/>
      <c r="H449" s="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1"/>
      <c r="H450" s="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1"/>
      <c r="H451" s="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1"/>
      <c r="H452" s="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1"/>
      <c r="H453" s="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1"/>
      <c r="H454" s="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1"/>
      <c r="H455" s="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1"/>
      <c r="H456" s="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1"/>
      <c r="H457" s="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1"/>
      <c r="H458" s="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1"/>
      <c r="H459" s="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1"/>
      <c r="H460" s="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1"/>
      <c r="H461" s="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1"/>
      <c r="H462" s="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1"/>
      <c r="H463" s="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1"/>
      <c r="H464" s="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1"/>
      <c r="H465" s="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1"/>
      <c r="H466" s="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1"/>
      <c r="H467" s="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1"/>
      <c r="H468" s="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1"/>
      <c r="H469" s="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1"/>
      <c r="H470" s="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1"/>
      <c r="H471" s="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1"/>
      <c r="H472" s="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1"/>
      <c r="H473" s="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1"/>
      <c r="H474" s="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1"/>
      <c r="H475" s="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1"/>
      <c r="H476" s="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1"/>
      <c r="H477" s="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1"/>
      <c r="H478" s="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1"/>
      <c r="H479" s="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1"/>
      <c r="H480" s="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1"/>
      <c r="H481" s="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1"/>
      <c r="H482" s="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1"/>
      <c r="H483" s="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1"/>
      <c r="H484" s="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1"/>
      <c r="H485" s="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1"/>
      <c r="H486" s="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1"/>
      <c r="H487" s="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1"/>
      <c r="H488" s="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1"/>
      <c r="H489" s="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1"/>
      <c r="H490" s="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1"/>
      <c r="H491" s="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1"/>
      <c r="H492" s="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1"/>
      <c r="H493" s="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1"/>
      <c r="H494" s="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1"/>
      <c r="H495" s="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1"/>
      <c r="H496" s="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1"/>
      <c r="H497" s="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1"/>
      <c r="H498" s="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1"/>
      <c r="H499" s="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1"/>
      <c r="H500" s="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2026-08-31T14:58:01Z</dcterms:created>
  <dcterms:modified xsi:type="dcterms:W3CDTF">2026-09-02T06:54:33Z</dcterms:modified>
</cp:coreProperties>
</file>