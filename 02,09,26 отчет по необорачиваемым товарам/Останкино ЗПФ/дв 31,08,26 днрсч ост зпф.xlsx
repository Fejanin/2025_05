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отчет по необорачиваемым товарам\Останкино ЗПФ\"/>
    </mc:Choice>
  </mc:AlternateContent>
  <xr:revisionPtr revIDLastSave="0" documentId="13_ncr:1_{E504C878-5B8A-4FD8-9F9F-1E22B77C1BB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13" i="1"/>
  <c r="G14" i="1"/>
  <c r="G15" i="1"/>
  <c r="G16" i="1"/>
  <c r="G6" i="1"/>
  <c r="T8" i="1" l="1"/>
  <c r="S16" i="1"/>
  <c r="Q7" i="1"/>
  <c r="R7" i="1" s="1"/>
  <c r="Q8" i="1"/>
  <c r="S8" i="1" s="1"/>
  <c r="Q9" i="1"/>
  <c r="S9" i="1" s="1"/>
  <c r="Q10" i="1"/>
  <c r="Q11" i="1"/>
  <c r="T11" i="1" s="1"/>
  <c r="Q12" i="1"/>
  <c r="T12" i="1" s="1"/>
  <c r="Q13" i="1"/>
  <c r="T13" i="1" s="1"/>
  <c r="Q14" i="1"/>
  <c r="T14" i="1" s="1"/>
  <c r="Q15" i="1"/>
  <c r="T15" i="1" s="1"/>
  <c r="Q16" i="1"/>
  <c r="T16" i="1" s="1"/>
  <c r="Q6" i="1"/>
  <c r="S6" i="1" s="1"/>
  <c r="AE16" i="1"/>
  <c r="M16" i="1"/>
  <c r="M15" i="1"/>
  <c r="AE14" i="1"/>
  <c r="M14" i="1"/>
  <c r="AE13" i="1"/>
  <c r="M13" i="1"/>
  <c r="AE12" i="1"/>
  <c r="M12" i="1"/>
  <c r="M11" i="1"/>
  <c r="M10" i="1"/>
  <c r="AE9" i="1"/>
  <c r="M9" i="1"/>
  <c r="AE8" i="1"/>
  <c r="M8" i="1"/>
  <c r="M7" i="1"/>
  <c r="AE6" i="1"/>
  <c r="M6" i="1"/>
  <c r="AC5" i="1"/>
  <c r="AB5" i="1"/>
  <c r="AA5" i="1"/>
  <c r="Z5" i="1"/>
  <c r="Y5" i="1"/>
  <c r="X5" i="1"/>
  <c r="W5" i="1"/>
  <c r="V5" i="1"/>
  <c r="U5" i="1"/>
  <c r="P5" i="1"/>
  <c r="O5" i="1"/>
  <c r="N5" i="1"/>
  <c r="L5" i="1"/>
  <c r="F5" i="1"/>
  <c r="E5" i="1"/>
  <c r="S12" i="1" l="1"/>
  <c r="S14" i="1"/>
  <c r="S7" i="1"/>
  <c r="AE7" i="1"/>
  <c r="T6" i="1"/>
  <c r="S15" i="1"/>
  <c r="S13" i="1"/>
  <c r="T9" i="1"/>
  <c r="T7" i="1"/>
  <c r="R11" i="1"/>
  <c r="Q5" i="1"/>
  <c r="T10" i="1"/>
  <c r="R10" i="1"/>
  <c r="M5" i="1"/>
  <c r="S10" i="1" l="1"/>
  <c r="AE10" i="1"/>
  <c r="S11" i="1"/>
  <c r="AE11" i="1"/>
  <c r="R5" i="1"/>
  <c r="AE5" i="1" l="1"/>
</calcChain>
</file>

<file path=xl/sharedStrings.xml><?xml version="1.0" encoding="utf-8"?>
<sst xmlns="http://schemas.openxmlformats.org/spreadsheetml/2006/main" count="80" uniqueCount="50">
  <si>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</si>
  <si>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</si>
  <si>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</si>
  <si>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</si>
  <si>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</si>
  <si>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</si>
  <si>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</si>
  <si>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</si>
  <si>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</si>
  <si>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</si>
  <si>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</si>
  <si>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</si>
  <si>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</si>
  <si>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</si>
  <si>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</si>
  <si>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</si>
  <si>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</si>
  <si>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</si>
  <si>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</si>
  <si>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</si>
  <si>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</si>
  <si>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</si>
  <si>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24,08,</t>
  </si>
  <si>
    <t>31,08,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</si>
  <si>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</si>
  <si>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</si>
  <si>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</si>
  <si>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</si>
  <si>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</si>
  <si>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</si>
  <si>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</si>
  <si>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</si>
  <si>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</si>
  <si>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</si>
  <si>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</si>
  <si>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</si>
  <si>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</si>
  <si>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</si>
  <si>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нужно увеличить продажи!!!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</si>
  <si>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</si>
  <si>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</si>
  <si>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</si>
  <si>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</si>
  <si>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</si>
  <si>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</si>
  <si>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</si>
  <si>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</si>
  <si>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нет потребности / 84шт в уценку (27,08,26) / 83шт в уценку (06,08,26)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</si>
  <si>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46шт в уценку (06,08,26)</t>
    </r>
  </si>
  <si>
    <t>Остаток,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</si>
</sst>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5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4" fillId="5" borderId="1" xfId="1" applyNumberFormat="1" applyFont="1" applyFill="1"/>
    <xf numFmtId="164" fontId="5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30" sqref="Z3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10.85546875" bestFit="1" customWidth="1"/>
    <col min="8" max="8" width="5" style="6" customWidth="1"/>
    <col min="9" max="9" width="5" customWidth="1"/>
    <col min="10" max="10" width="12" customWidth="1"/>
    <col min="11" max="11" width="1" customWidth="1"/>
    <col min="12" max="13" width="7" customWidth="1"/>
    <col min="14" max="15" width="0.7109375" customWidth="1"/>
    <col min="16" max="18" width="7" customWidth="1"/>
    <col min="19" max="20" width="5" customWidth="1"/>
    <col min="21" max="29" width="6" customWidth="1"/>
    <col min="30" max="30" width="66.85546875" customWidth="1"/>
    <col min="31" max="31" width="7" customWidth="1"/>
    <col min="32" max="50" width="8" customWidth="1"/>
  </cols>
  <sheetData>
    <row r="1" spans="1:50" x14ac:dyDescent="0.25">
      <c r="A1" s="1"/>
      <c r="B1" s="1"/>
      <c r="C1" s="1"/>
      <c r="D1" s="1"/>
      <c r="E1" s="1"/>
      <c r="F1" s="1"/>
      <c r="G1" s="1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1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49</v>
      </c>
      <c r="H3" s="8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1"/>
      <c r="H4" s="7"/>
      <c r="I4" s="1"/>
      <c r="J4" s="1"/>
      <c r="K4" s="1"/>
      <c r="L4" s="1"/>
      <c r="M4" s="1"/>
      <c r="N4" s="1"/>
      <c r="O4" s="1"/>
      <c r="P4" s="1" t="s">
        <v>23</v>
      </c>
      <c r="Q4" s="1" t="s">
        <v>23</v>
      </c>
      <c r="R4" s="1"/>
      <c r="S4" s="1"/>
      <c r="T4" s="1"/>
      <c r="U4" s="1" t="s">
        <v>22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277.18600000000004</v>
      </c>
      <c r="F5" s="4">
        <f>SUM(F6:F500)</f>
        <v>980.58400000000006</v>
      </c>
      <c r="G5" s="4"/>
      <c r="H5" s="7"/>
      <c r="I5" s="1"/>
      <c r="J5" s="1"/>
      <c r="K5" s="1"/>
      <c r="L5" s="4">
        <f t="shared" ref="L5:R5" si="0">SUM(L6:L500)</f>
        <v>370</v>
      </c>
      <c r="M5" s="4">
        <f t="shared" si="0"/>
        <v>-92.813999999999993</v>
      </c>
      <c r="N5" s="4">
        <f t="shared" si="0"/>
        <v>0</v>
      </c>
      <c r="O5" s="4">
        <f t="shared" si="0"/>
        <v>0</v>
      </c>
      <c r="P5" s="4">
        <f t="shared" si="0"/>
        <v>130</v>
      </c>
      <c r="Q5" s="4">
        <f t="shared" si="0"/>
        <v>55.437199999999997</v>
      </c>
      <c r="R5" s="4">
        <f t="shared" si="0"/>
        <v>287.41000000000003</v>
      </c>
      <c r="S5" s="1"/>
      <c r="T5" s="1"/>
      <c r="U5" s="4">
        <f t="shared" ref="U5:AC5" si="1">SUM(U6:U500)</f>
        <v>53.413999999999987</v>
      </c>
      <c r="V5" s="4">
        <f t="shared" si="1"/>
        <v>78.434399999999997</v>
      </c>
      <c r="W5" s="4">
        <f t="shared" si="1"/>
        <v>44.2</v>
      </c>
      <c r="X5" s="4">
        <f t="shared" si="1"/>
        <v>82.250399999999985</v>
      </c>
      <c r="Y5" s="4">
        <f t="shared" si="1"/>
        <v>62.94319999999999</v>
      </c>
      <c r="Z5" s="4">
        <f t="shared" si="1"/>
        <v>63.713200000000001</v>
      </c>
      <c r="AA5" s="4">
        <f t="shared" si="1"/>
        <v>88.232799999999997</v>
      </c>
      <c r="AB5" s="4">
        <f t="shared" si="1"/>
        <v>69.177999999999997</v>
      </c>
      <c r="AC5" s="4">
        <f t="shared" si="1"/>
        <v>81.424800000000005</v>
      </c>
      <c r="AD5" s="1"/>
      <c r="AE5" s="4">
        <f>SUM(AE6:AE500)</f>
        <v>91.55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32</v>
      </c>
      <c r="B6" s="1" t="s">
        <v>33</v>
      </c>
      <c r="C6" s="1">
        <v>60</v>
      </c>
      <c r="D6" s="1"/>
      <c r="E6" s="1"/>
      <c r="F6" s="1">
        <v>60</v>
      </c>
      <c r="G6" s="1">
        <f>F6*H6</f>
        <v>25.2</v>
      </c>
      <c r="H6" s="7">
        <v>0.42</v>
      </c>
      <c r="I6" s="1">
        <v>120</v>
      </c>
      <c r="J6" s="1" t="s">
        <v>34</v>
      </c>
      <c r="K6" s="1"/>
      <c r="L6" s="1"/>
      <c r="M6" s="1">
        <f t="shared" ref="M6:M16" si="2">E6-L6</f>
        <v>0</v>
      </c>
      <c r="N6" s="1"/>
      <c r="O6" s="1"/>
      <c r="P6" s="1"/>
      <c r="Q6" s="1">
        <f>E6/5</f>
        <v>0</v>
      </c>
      <c r="R6" s="5"/>
      <c r="S6" s="1" t="e">
        <f>(F6+P6+R6)/Q6</f>
        <v>#DIV/0!</v>
      </c>
      <c r="T6" s="1" t="e">
        <f>(F6+P6)/Q6</f>
        <v>#DIV/0!</v>
      </c>
      <c r="U6" s="1">
        <v>0.2</v>
      </c>
      <c r="V6" s="1">
        <v>0.4</v>
      </c>
      <c r="W6" s="1">
        <v>2.2000000000000002</v>
      </c>
      <c r="X6" s="1">
        <v>3.6</v>
      </c>
      <c r="Y6" s="1">
        <v>0</v>
      </c>
      <c r="Z6" s="1">
        <v>0.6</v>
      </c>
      <c r="AA6" s="1">
        <v>-0.2</v>
      </c>
      <c r="AB6" s="1">
        <v>1</v>
      </c>
      <c r="AC6" s="1">
        <v>1</v>
      </c>
      <c r="AD6" s="13" t="s">
        <v>48</v>
      </c>
      <c r="AE6" s="1">
        <f t="shared" ref="AE6:AE14" si="3">H6*R6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hidden="1" x14ac:dyDescent="0.25">
      <c r="A7" s="1" t="s">
        <v>35</v>
      </c>
      <c r="B7" s="1" t="s">
        <v>36</v>
      </c>
      <c r="C7" s="1">
        <v>9.1340000000000003</v>
      </c>
      <c r="D7" s="1"/>
      <c r="E7" s="1">
        <v>9.1859999999999999</v>
      </c>
      <c r="F7" s="1">
        <v>-5.1999999999999998E-2</v>
      </c>
      <c r="G7" s="1">
        <f t="shared" ref="G7:G16" si="4">F7*H7</f>
        <v>-5.1999999999999998E-2</v>
      </c>
      <c r="H7" s="7">
        <v>1</v>
      </c>
      <c r="I7" s="1">
        <v>120</v>
      </c>
      <c r="J7" s="1" t="s">
        <v>34</v>
      </c>
      <c r="K7" s="1"/>
      <c r="L7" s="1">
        <v>9</v>
      </c>
      <c r="M7" s="1">
        <f t="shared" si="2"/>
        <v>0.18599999999999994</v>
      </c>
      <c r="N7" s="1"/>
      <c r="O7" s="1"/>
      <c r="P7" s="1">
        <v>20</v>
      </c>
      <c r="Q7" s="1">
        <f t="shared" ref="Q7:Q16" si="5">E7/5</f>
        <v>1.8371999999999999</v>
      </c>
      <c r="R7" s="5">
        <f>15*Q7-P7-F7</f>
        <v>7.6099999999999994</v>
      </c>
      <c r="S7" s="1">
        <f t="shared" ref="S7:S16" si="6">(F7+P7+R7)/Q7</f>
        <v>15</v>
      </c>
      <c r="T7" s="1">
        <f t="shared" ref="T7:T16" si="7">(F7+P7)/Q7</f>
        <v>10.857827128238625</v>
      </c>
      <c r="U7" s="1">
        <v>1.8140000000000001</v>
      </c>
      <c r="V7" s="1">
        <v>0.91639999999999999</v>
      </c>
      <c r="W7" s="1">
        <v>0</v>
      </c>
      <c r="X7" s="1">
        <v>1.8348</v>
      </c>
      <c r="Y7" s="1">
        <v>1.8384</v>
      </c>
      <c r="Z7" s="1">
        <v>0.91320000000000001</v>
      </c>
      <c r="AA7" s="1">
        <v>1.8176000000000001</v>
      </c>
      <c r="AB7" s="1">
        <v>4.5468000000000002</v>
      </c>
      <c r="AC7" s="1">
        <v>0.91639999999999999</v>
      </c>
      <c r="AD7" s="1"/>
      <c r="AE7" s="1">
        <f t="shared" si="3"/>
        <v>7.6099999999999994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37</v>
      </c>
      <c r="B8" s="1" t="s">
        <v>36</v>
      </c>
      <c r="C8" s="1">
        <v>109.636</v>
      </c>
      <c r="D8" s="1"/>
      <c r="E8" s="1"/>
      <c r="F8" s="1">
        <v>109.636</v>
      </c>
      <c r="G8" s="1">
        <f t="shared" si="4"/>
        <v>109.636</v>
      </c>
      <c r="H8" s="7">
        <v>1</v>
      </c>
      <c r="I8" s="1">
        <v>120</v>
      </c>
      <c r="J8" s="1" t="s">
        <v>34</v>
      </c>
      <c r="K8" s="1"/>
      <c r="L8" s="1"/>
      <c r="M8" s="1">
        <f t="shared" si="2"/>
        <v>0</v>
      </c>
      <c r="N8" s="1"/>
      <c r="O8" s="1"/>
      <c r="P8" s="1"/>
      <c r="Q8" s="1">
        <f t="shared" si="5"/>
        <v>0</v>
      </c>
      <c r="R8" s="5"/>
      <c r="S8" s="1" t="e">
        <f t="shared" si="6"/>
        <v>#DIV/0!</v>
      </c>
      <c r="T8" s="1" t="e">
        <f t="shared" si="7"/>
        <v>#DIV/0!</v>
      </c>
      <c r="U8" s="1">
        <v>0</v>
      </c>
      <c r="V8" s="1">
        <v>0.91799999999999993</v>
      </c>
      <c r="W8" s="1">
        <v>0</v>
      </c>
      <c r="X8" s="1">
        <v>1.8156000000000001</v>
      </c>
      <c r="Y8" s="1">
        <v>0.90480000000000005</v>
      </c>
      <c r="Z8" s="1">
        <v>0</v>
      </c>
      <c r="AA8" s="1">
        <v>1.8151999999999999</v>
      </c>
      <c r="AB8" s="1">
        <v>1.8311999999999999</v>
      </c>
      <c r="AC8" s="1">
        <v>0.90839999999999999</v>
      </c>
      <c r="AD8" s="14" t="s">
        <v>38</v>
      </c>
      <c r="AE8" s="1">
        <f t="shared" si="3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ht="14.25" customHeight="1" x14ac:dyDescent="0.25">
      <c r="A9" s="1" t="s">
        <v>39</v>
      </c>
      <c r="B9" s="1" t="s">
        <v>33</v>
      </c>
      <c r="C9" s="1">
        <v>130</v>
      </c>
      <c r="D9" s="1"/>
      <c r="E9" s="1"/>
      <c r="F9" s="1">
        <v>130</v>
      </c>
      <c r="G9" s="1">
        <f t="shared" si="4"/>
        <v>54.6</v>
      </c>
      <c r="H9" s="7">
        <v>0.42</v>
      </c>
      <c r="I9" s="1">
        <v>120</v>
      </c>
      <c r="J9" s="1" t="s">
        <v>34</v>
      </c>
      <c r="K9" s="1"/>
      <c r="L9" s="1"/>
      <c r="M9" s="1">
        <f t="shared" si="2"/>
        <v>0</v>
      </c>
      <c r="N9" s="1"/>
      <c r="O9" s="1"/>
      <c r="P9" s="1"/>
      <c r="Q9" s="1">
        <f t="shared" si="5"/>
        <v>0</v>
      </c>
      <c r="R9" s="5"/>
      <c r="S9" s="1" t="e">
        <f t="shared" si="6"/>
        <v>#DIV/0!</v>
      </c>
      <c r="T9" s="1" t="e">
        <f t="shared" si="7"/>
        <v>#DIV/0!</v>
      </c>
      <c r="U9" s="1">
        <v>1.8</v>
      </c>
      <c r="V9" s="1">
        <v>3.4</v>
      </c>
      <c r="W9" s="1">
        <v>1.4</v>
      </c>
      <c r="X9" s="1">
        <v>2.4</v>
      </c>
      <c r="Y9" s="1">
        <v>0.4</v>
      </c>
      <c r="Z9" s="1">
        <v>1.8</v>
      </c>
      <c r="AA9" s="1">
        <v>1.4</v>
      </c>
      <c r="AB9" s="1">
        <v>4.5999999999999996</v>
      </c>
      <c r="AC9" s="1">
        <v>2.4</v>
      </c>
      <c r="AD9" s="14" t="s">
        <v>38</v>
      </c>
      <c r="AE9" s="1">
        <f t="shared" si="3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hidden="1" x14ac:dyDescent="0.25">
      <c r="A10" s="1" t="s">
        <v>40</v>
      </c>
      <c r="B10" s="1" t="s">
        <v>33</v>
      </c>
      <c r="C10" s="1">
        <v>5</v>
      </c>
      <c r="D10" s="1">
        <v>60</v>
      </c>
      <c r="E10" s="1">
        <v>52</v>
      </c>
      <c r="F10" s="1">
        <v>13</v>
      </c>
      <c r="G10" s="1">
        <f t="shared" si="4"/>
        <v>3.9</v>
      </c>
      <c r="H10" s="7">
        <v>0.3</v>
      </c>
      <c r="I10" s="1">
        <v>120</v>
      </c>
      <c r="J10" s="1" t="s">
        <v>34</v>
      </c>
      <c r="K10" s="1"/>
      <c r="L10" s="1">
        <v>111</v>
      </c>
      <c r="M10" s="1">
        <f t="shared" si="2"/>
        <v>-59</v>
      </c>
      <c r="N10" s="1"/>
      <c r="O10" s="1"/>
      <c r="P10" s="1"/>
      <c r="Q10" s="1">
        <f t="shared" si="5"/>
        <v>10.4</v>
      </c>
      <c r="R10" s="5">
        <f>12*Q10-P10-F10</f>
        <v>111.80000000000001</v>
      </c>
      <c r="S10" s="1">
        <f t="shared" si="6"/>
        <v>12</v>
      </c>
      <c r="T10" s="1">
        <f t="shared" si="7"/>
        <v>1.25</v>
      </c>
      <c r="U10" s="1">
        <v>0.2</v>
      </c>
      <c r="V10" s="1">
        <v>7</v>
      </c>
      <c r="W10" s="1">
        <v>7.8</v>
      </c>
      <c r="X10" s="1">
        <v>7</v>
      </c>
      <c r="Y10" s="1">
        <v>9.1999999999999993</v>
      </c>
      <c r="Z10" s="1">
        <v>6.2</v>
      </c>
      <c r="AA10" s="1">
        <v>9.6</v>
      </c>
      <c r="AB10" s="1">
        <v>9.6</v>
      </c>
      <c r="AC10" s="1">
        <v>10.199999999999999</v>
      </c>
      <c r="AD10" s="1"/>
      <c r="AE10" s="1">
        <f t="shared" si="3"/>
        <v>33.54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hidden="1" x14ac:dyDescent="0.25">
      <c r="A11" s="1" t="s">
        <v>41</v>
      </c>
      <c r="B11" s="1" t="s">
        <v>33</v>
      </c>
      <c r="C11" s="1">
        <v>172</v>
      </c>
      <c r="D11" s="1">
        <v>37</v>
      </c>
      <c r="E11" s="1">
        <v>94</v>
      </c>
      <c r="F11" s="1">
        <v>114</v>
      </c>
      <c r="G11" s="1">
        <f t="shared" si="4"/>
        <v>34.199999999999996</v>
      </c>
      <c r="H11" s="7">
        <v>0.3</v>
      </c>
      <c r="I11" s="1">
        <v>120</v>
      </c>
      <c r="J11" s="1" t="s">
        <v>34</v>
      </c>
      <c r="K11" s="1"/>
      <c r="L11" s="1">
        <v>96</v>
      </c>
      <c r="M11" s="1">
        <f t="shared" si="2"/>
        <v>-2</v>
      </c>
      <c r="N11" s="1"/>
      <c r="O11" s="1"/>
      <c r="P11" s="1"/>
      <c r="Q11" s="1">
        <f t="shared" si="5"/>
        <v>18.8</v>
      </c>
      <c r="R11" s="5">
        <f t="shared" ref="R11" si="8">15*Q11-P11-F11</f>
        <v>168</v>
      </c>
      <c r="S11" s="1">
        <f t="shared" si="6"/>
        <v>15</v>
      </c>
      <c r="T11" s="1">
        <f t="shared" si="7"/>
        <v>6.0638297872340425</v>
      </c>
      <c r="U11" s="1">
        <v>14.2</v>
      </c>
      <c r="V11" s="1">
        <v>17.8</v>
      </c>
      <c r="W11" s="1">
        <v>5.4</v>
      </c>
      <c r="X11" s="1">
        <v>22.8</v>
      </c>
      <c r="Y11" s="1">
        <v>9</v>
      </c>
      <c r="Z11" s="1">
        <v>10</v>
      </c>
      <c r="AA11" s="1">
        <v>20.2</v>
      </c>
      <c r="AB11" s="1">
        <v>14.2</v>
      </c>
      <c r="AC11" s="1">
        <v>22.6</v>
      </c>
      <c r="AD11" s="1"/>
      <c r="AE11" s="1">
        <f t="shared" si="3"/>
        <v>50.4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hidden="1" x14ac:dyDescent="0.25">
      <c r="A12" s="1" t="s">
        <v>42</v>
      </c>
      <c r="B12" s="1" t="s">
        <v>33</v>
      </c>
      <c r="C12" s="1">
        <v>42</v>
      </c>
      <c r="D12" s="1">
        <v>50</v>
      </c>
      <c r="E12" s="1">
        <v>35</v>
      </c>
      <c r="F12" s="1">
        <v>55</v>
      </c>
      <c r="G12" s="1">
        <f t="shared" si="4"/>
        <v>19.25</v>
      </c>
      <c r="H12" s="7">
        <v>0.35</v>
      </c>
      <c r="I12" s="1">
        <v>120</v>
      </c>
      <c r="J12" s="1" t="s">
        <v>34</v>
      </c>
      <c r="K12" s="1"/>
      <c r="L12" s="1">
        <v>39</v>
      </c>
      <c r="M12" s="1">
        <f t="shared" si="2"/>
        <v>-4</v>
      </c>
      <c r="N12" s="1"/>
      <c r="O12" s="1"/>
      <c r="P12" s="1">
        <v>50</v>
      </c>
      <c r="Q12" s="1">
        <f t="shared" si="5"/>
        <v>7</v>
      </c>
      <c r="R12" s="5"/>
      <c r="S12" s="1">
        <f t="shared" si="6"/>
        <v>15</v>
      </c>
      <c r="T12" s="1">
        <f t="shared" si="7"/>
        <v>15</v>
      </c>
      <c r="U12" s="1">
        <v>9.4</v>
      </c>
      <c r="V12" s="1">
        <v>10.199999999999999</v>
      </c>
      <c r="W12" s="1">
        <v>7.2</v>
      </c>
      <c r="X12" s="1">
        <v>12.4</v>
      </c>
      <c r="Y12" s="1">
        <v>8</v>
      </c>
      <c r="Z12" s="1">
        <v>9.4</v>
      </c>
      <c r="AA12" s="1">
        <v>13.4</v>
      </c>
      <c r="AB12" s="1">
        <v>16.399999999999999</v>
      </c>
      <c r="AC12" s="1">
        <v>12</v>
      </c>
      <c r="AD12" s="1"/>
      <c r="AE12" s="1">
        <f t="shared" si="3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hidden="1" x14ac:dyDescent="0.25">
      <c r="A13" s="1" t="s">
        <v>43</v>
      </c>
      <c r="B13" s="1" t="s">
        <v>33</v>
      </c>
      <c r="C13" s="1">
        <v>2</v>
      </c>
      <c r="D13" s="1">
        <v>180</v>
      </c>
      <c r="E13" s="1">
        <v>23</v>
      </c>
      <c r="F13" s="1">
        <v>159</v>
      </c>
      <c r="G13" s="1">
        <f t="shared" si="4"/>
        <v>47.699999999999996</v>
      </c>
      <c r="H13" s="7">
        <v>0.3</v>
      </c>
      <c r="I13" s="1">
        <v>120</v>
      </c>
      <c r="J13" s="1" t="s">
        <v>34</v>
      </c>
      <c r="K13" s="1"/>
      <c r="L13" s="1">
        <v>47</v>
      </c>
      <c r="M13" s="1">
        <f t="shared" si="2"/>
        <v>-24</v>
      </c>
      <c r="N13" s="1"/>
      <c r="O13" s="1"/>
      <c r="P13" s="1"/>
      <c r="Q13" s="1">
        <f t="shared" si="5"/>
        <v>4.5999999999999996</v>
      </c>
      <c r="R13" s="5"/>
      <c r="S13" s="1">
        <f t="shared" si="6"/>
        <v>34.565217391304351</v>
      </c>
      <c r="T13" s="1">
        <f t="shared" si="7"/>
        <v>34.565217391304351</v>
      </c>
      <c r="U13" s="1">
        <v>9.1999999999999993</v>
      </c>
      <c r="V13" s="1">
        <v>15.2</v>
      </c>
      <c r="W13" s="1">
        <v>7.6</v>
      </c>
      <c r="X13" s="1">
        <v>11.2</v>
      </c>
      <c r="Y13" s="1">
        <v>13</v>
      </c>
      <c r="Z13" s="1">
        <v>7.4</v>
      </c>
      <c r="AA13" s="1">
        <v>13.8</v>
      </c>
      <c r="AB13" s="1">
        <v>8.1999999999999993</v>
      </c>
      <c r="AC13" s="1">
        <v>13.2</v>
      </c>
      <c r="AD13" s="1"/>
      <c r="AE13" s="1">
        <f t="shared" si="3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hidden="1" x14ac:dyDescent="0.25">
      <c r="A14" s="1" t="s">
        <v>44</v>
      </c>
      <c r="B14" s="1" t="s">
        <v>33</v>
      </c>
      <c r="C14" s="1"/>
      <c r="D14" s="1">
        <v>123</v>
      </c>
      <c r="E14" s="1">
        <v>29</v>
      </c>
      <c r="F14" s="1">
        <v>91</v>
      </c>
      <c r="G14" s="1">
        <f t="shared" si="4"/>
        <v>31.849999999999998</v>
      </c>
      <c r="H14" s="7">
        <v>0.35</v>
      </c>
      <c r="I14" s="1">
        <v>120</v>
      </c>
      <c r="J14" s="1" t="s">
        <v>34</v>
      </c>
      <c r="K14" s="1"/>
      <c r="L14" s="1">
        <v>33</v>
      </c>
      <c r="M14" s="1">
        <f t="shared" si="2"/>
        <v>-4</v>
      </c>
      <c r="N14" s="1"/>
      <c r="O14" s="1"/>
      <c r="P14" s="1">
        <v>60</v>
      </c>
      <c r="Q14" s="1">
        <f t="shared" si="5"/>
        <v>5.8</v>
      </c>
      <c r="R14" s="5"/>
      <c r="S14" s="1">
        <f t="shared" si="6"/>
        <v>26.03448275862069</v>
      </c>
      <c r="T14" s="1">
        <f t="shared" si="7"/>
        <v>26.03448275862069</v>
      </c>
      <c r="U14" s="1">
        <v>11.8</v>
      </c>
      <c r="V14" s="1">
        <v>11.6</v>
      </c>
      <c r="W14" s="1">
        <v>10.8</v>
      </c>
      <c r="X14" s="1">
        <v>11.6</v>
      </c>
      <c r="Y14" s="1">
        <v>11.8</v>
      </c>
      <c r="Z14" s="1">
        <v>12</v>
      </c>
      <c r="AA14" s="1">
        <v>14.2</v>
      </c>
      <c r="AB14" s="1">
        <v>0.2</v>
      </c>
      <c r="AC14" s="1">
        <v>10.4</v>
      </c>
      <c r="AD14" s="1"/>
      <c r="AE14" s="1">
        <f t="shared" si="3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hidden="1" x14ac:dyDescent="0.25">
      <c r="A15" s="9" t="s">
        <v>45</v>
      </c>
      <c r="B15" s="9" t="s">
        <v>33</v>
      </c>
      <c r="C15" s="9">
        <v>84</v>
      </c>
      <c r="D15" s="9"/>
      <c r="E15" s="9"/>
      <c r="F15" s="9"/>
      <c r="G15" s="1">
        <f t="shared" si="4"/>
        <v>0</v>
      </c>
      <c r="H15" s="10">
        <v>0</v>
      </c>
      <c r="I15" s="9">
        <v>120</v>
      </c>
      <c r="J15" s="9" t="s">
        <v>34</v>
      </c>
      <c r="K15" s="9"/>
      <c r="L15" s="9"/>
      <c r="M15" s="9">
        <f t="shared" si="2"/>
        <v>0</v>
      </c>
      <c r="N15" s="9"/>
      <c r="O15" s="9"/>
      <c r="P15" s="9"/>
      <c r="Q15" s="9">
        <f t="shared" si="5"/>
        <v>0</v>
      </c>
      <c r="R15" s="11"/>
      <c r="S15" s="9" t="e">
        <f t="shared" si="6"/>
        <v>#DIV/0!</v>
      </c>
      <c r="T15" s="9" t="e">
        <f t="shared" si="7"/>
        <v>#DIV/0!</v>
      </c>
      <c r="U15" s="9">
        <v>0.4</v>
      </c>
      <c r="V15" s="9">
        <v>4.8</v>
      </c>
      <c r="W15" s="9">
        <v>0</v>
      </c>
      <c r="X15" s="9">
        <v>0</v>
      </c>
      <c r="Y15" s="9">
        <v>0.4</v>
      </c>
      <c r="Z15" s="9">
        <v>3.6</v>
      </c>
      <c r="AA15" s="9">
        <v>2.6</v>
      </c>
      <c r="AB15" s="9">
        <v>1.6</v>
      </c>
      <c r="AC15" s="9">
        <v>1.6</v>
      </c>
      <c r="AD15" s="12" t="s">
        <v>47</v>
      </c>
      <c r="AE15" s="9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46</v>
      </c>
      <c r="B16" s="1" t="s">
        <v>33</v>
      </c>
      <c r="C16" s="1">
        <v>284</v>
      </c>
      <c r="D16" s="1"/>
      <c r="E16" s="1">
        <v>35</v>
      </c>
      <c r="F16" s="1">
        <v>249</v>
      </c>
      <c r="G16" s="1">
        <f t="shared" si="4"/>
        <v>174.29999999999998</v>
      </c>
      <c r="H16" s="7">
        <v>0.7</v>
      </c>
      <c r="I16" s="1">
        <v>180</v>
      </c>
      <c r="J16" s="1" t="s">
        <v>34</v>
      </c>
      <c r="K16" s="1"/>
      <c r="L16" s="1">
        <v>35</v>
      </c>
      <c r="M16" s="1">
        <f t="shared" si="2"/>
        <v>0</v>
      </c>
      <c r="N16" s="1"/>
      <c r="O16" s="1"/>
      <c r="P16" s="1"/>
      <c r="Q16" s="1">
        <f t="shared" si="5"/>
        <v>7</v>
      </c>
      <c r="R16" s="5"/>
      <c r="S16" s="1">
        <f t="shared" si="6"/>
        <v>35.571428571428569</v>
      </c>
      <c r="T16" s="1">
        <f t="shared" si="7"/>
        <v>35.571428571428569</v>
      </c>
      <c r="U16" s="1">
        <v>4.4000000000000004</v>
      </c>
      <c r="V16" s="1">
        <v>6.2</v>
      </c>
      <c r="W16" s="1">
        <v>1.8</v>
      </c>
      <c r="X16" s="1">
        <v>7.6</v>
      </c>
      <c r="Y16" s="1">
        <v>8.4</v>
      </c>
      <c r="Z16" s="1">
        <v>11.8</v>
      </c>
      <c r="AA16" s="1">
        <v>9.6</v>
      </c>
      <c r="AB16" s="1">
        <v>7</v>
      </c>
      <c r="AC16" s="1">
        <v>6.2</v>
      </c>
      <c r="AD16" s="14" t="s">
        <v>38</v>
      </c>
      <c r="AE16" s="1">
        <f>H16*R16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/>
      <c r="B17" s="1"/>
      <c r="C17" s="1"/>
      <c r="D17" s="1"/>
      <c r="E17" s="1"/>
      <c r="F17" s="1"/>
      <c r="G17" s="1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/>
      <c r="B18" s="1"/>
      <c r="C18" s="1"/>
      <c r="D18" s="1"/>
      <c r="E18" s="1"/>
      <c r="F18" s="1"/>
      <c r="G18" s="1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/>
      <c r="B19" s="1"/>
      <c r="C19" s="1"/>
      <c r="D19" s="1"/>
      <c r="E19" s="1"/>
      <c r="F19" s="1"/>
      <c r="G19" s="1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/>
      <c r="B20" s="1"/>
      <c r="C20" s="1"/>
      <c r="D20" s="1"/>
      <c r="E20" s="1"/>
      <c r="F20" s="1"/>
      <c r="G20" s="1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/>
      <c r="B21" s="1"/>
      <c r="C21" s="1"/>
      <c r="D21" s="1"/>
      <c r="E21" s="1"/>
      <c r="F21" s="1"/>
      <c r="G21" s="1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/>
      <c r="B22" s="1"/>
      <c r="C22" s="1"/>
      <c r="D22" s="1"/>
      <c r="E22" s="1"/>
      <c r="F22" s="1"/>
      <c r="G22" s="1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/>
      <c r="B23" s="1"/>
      <c r="C23" s="1"/>
      <c r="D23" s="1"/>
      <c r="E23" s="1"/>
      <c r="F23" s="1"/>
      <c r="G23" s="1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/>
      <c r="B24" s="1"/>
      <c r="C24" s="1"/>
      <c r="D24" s="1"/>
      <c r="E24" s="1"/>
      <c r="F24" s="1"/>
      <c r="G24" s="1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/>
      <c r="B25" s="1"/>
      <c r="C25" s="1"/>
      <c r="D25" s="1"/>
      <c r="E25" s="1"/>
      <c r="F25" s="1"/>
      <c r="G25" s="1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/>
      <c r="B26" s="1"/>
      <c r="C26" s="1"/>
      <c r="D26" s="1"/>
      <c r="E26" s="1"/>
      <c r="F26" s="1"/>
      <c r="G26" s="1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/>
      <c r="B27" s="1"/>
      <c r="C27" s="1"/>
      <c r="D27" s="1"/>
      <c r="E27" s="1"/>
      <c r="F27" s="1"/>
      <c r="G27" s="1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/>
      <c r="B28" s="1"/>
      <c r="C28" s="1"/>
      <c r="D28" s="1"/>
      <c r="E28" s="1"/>
      <c r="F28" s="1"/>
      <c r="G28" s="1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/>
      <c r="B29" s="1"/>
      <c r="C29" s="1"/>
      <c r="D29" s="1"/>
      <c r="E29" s="1"/>
      <c r="F29" s="1"/>
      <c r="G29" s="1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/>
      <c r="B30" s="1"/>
      <c r="C30" s="1"/>
      <c r="D30" s="1"/>
      <c r="E30" s="1"/>
      <c r="F30" s="1"/>
      <c r="G30" s="1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/>
      <c r="B31" s="1"/>
      <c r="C31" s="1"/>
      <c r="D31" s="1"/>
      <c r="E31" s="1"/>
      <c r="F31" s="1"/>
      <c r="G31" s="1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/>
      <c r="B32" s="1"/>
      <c r="C32" s="1"/>
      <c r="D32" s="1"/>
      <c r="E32" s="1"/>
      <c r="F32" s="1"/>
      <c r="G32" s="1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/>
      <c r="B33" s="1"/>
      <c r="C33" s="1"/>
      <c r="D33" s="1"/>
      <c r="E33" s="1"/>
      <c r="F33" s="1"/>
      <c r="G33" s="1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/>
      <c r="B34" s="1"/>
      <c r="C34" s="1"/>
      <c r="D34" s="1"/>
      <c r="E34" s="1"/>
      <c r="F34" s="1"/>
      <c r="G34" s="1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/>
      <c r="B35" s="1"/>
      <c r="C35" s="1"/>
      <c r="D35" s="1"/>
      <c r="E35" s="1"/>
      <c r="F35" s="1"/>
      <c r="G35" s="1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/>
      <c r="B36" s="1"/>
      <c r="C36" s="1"/>
      <c r="D36" s="1"/>
      <c r="E36" s="1"/>
      <c r="F36" s="1"/>
      <c r="G36" s="1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/>
      <c r="B37" s="1"/>
      <c r="C37" s="1"/>
      <c r="D37" s="1"/>
      <c r="E37" s="1"/>
      <c r="F37" s="1"/>
      <c r="G37" s="1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/>
      <c r="B38" s="1"/>
      <c r="C38" s="1"/>
      <c r="D38" s="1"/>
      <c r="E38" s="1"/>
      <c r="F38" s="1"/>
      <c r="G38" s="1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/>
      <c r="B39" s="1"/>
      <c r="C39" s="1"/>
      <c r="D39" s="1"/>
      <c r="E39" s="1"/>
      <c r="F39" s="1"/>
      <c r="G39" s="1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1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1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1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1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1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1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1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1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1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1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1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1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1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1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1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1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1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1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1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1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1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1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1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1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1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1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1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1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1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1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1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1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1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1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1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1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1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1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1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1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1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1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1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1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1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1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1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1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1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1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1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1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1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1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1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1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1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1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1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1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1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1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1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1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1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1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1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1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1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1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1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1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1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1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1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1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1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1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1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1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1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1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1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1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1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1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1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1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1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1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1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1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1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1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1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1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1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1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1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1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1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1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1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1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1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1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1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1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1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1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1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1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1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1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1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1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1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1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1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1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1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1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1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1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1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1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1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1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1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1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1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1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1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1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1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1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1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1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1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1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1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1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1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1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1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1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1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1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1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1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1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1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1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1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1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1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1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1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1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1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1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1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1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1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1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1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1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1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1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1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1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1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1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1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1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1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1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1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1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1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1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1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1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1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1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1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1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1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1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1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1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1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1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1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1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1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1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1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1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1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1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1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1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1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1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1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1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1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1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1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1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1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1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1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1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1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1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1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1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1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1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1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1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1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1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1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1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1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1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1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1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1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1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1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1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1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1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1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1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1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1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1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1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1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1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1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1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1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1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1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1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1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1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1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1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1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1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1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1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1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1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1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1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1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1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1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1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1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1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1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1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1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1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1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1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1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1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1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1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1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1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1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1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1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1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1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1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1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1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1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1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1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1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1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1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1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1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1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1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1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1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1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1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1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1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1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1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1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1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1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1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1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1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1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1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1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1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1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1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1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1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1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1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1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1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1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1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1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1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1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1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1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1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1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1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1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1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1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1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1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1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1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1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1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1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1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1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1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1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1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1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1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1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1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1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1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1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1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1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1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1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1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1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1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1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1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1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1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1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1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1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1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1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1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1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1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1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1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1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1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1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1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1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1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1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1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1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1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1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1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1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1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1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1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1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1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1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1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1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1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1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1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1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1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1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1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1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1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1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1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1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1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1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1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1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1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1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1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1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1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1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1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1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1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1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1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1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1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1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1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1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1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1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1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1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1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1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1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1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1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1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1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1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1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1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1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1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1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1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1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1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1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1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1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1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1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1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1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1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1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1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2026-08-31T14:37:59Z</dcterms:created>
  <dcterms:modified xsi:type="dcterms:W3CDTF">2026-09-02T06:54:50Z</dcterms:modified>
</cp:coreProperties>
</file>