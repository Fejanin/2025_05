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F0F7458-D0EC-4E1B-AE7A-55265CCBCD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Sheet1" sheetId="1" r:id="rId2"/>
  </sheet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I130" i="2" l="1"/>
  <c r="I88" i="2"/>
  <c r="I73" i="2"/>
  <c r="I61" i="2"/>
  <c r="I30" i="2"/>
  <c r="I4" i="2"/>
</calcChain>
</file>

<file path=xl/sharedStrings.xml><?xml version="1.0" encoding="utf-8"?>
<sst xmlns="http://schemas.openxmlformats.org/spreadsheetml/2006/main" count="3818" uniqueCount="291">
  <si>
    <t>Счет клиента</t>
  </si>
  <si>
    <t>Наименование</t>
  </si>
  <si>
    <t>Поздний заказ</t>
  </si>
  <si>
    <t>Заказ на продажу</t>
  </si>
  <si>
    <t>Запрошенная дата отгрузки</t>
  </si>
  <si>
    <t>Внешний номер заказа</t>
  </si>
  <si>
    <t>Время отгрузки</t>
  </si>
  <si>
    <t>Внешний код клиента</t>
  </si>
  <si>
    <t>Запрошенная дата прихода</t>
  </si>
  <si>
    <t>Время прихода</t>
  </si>
  <si>
    <t>Код адреса поставки</t>
  </si>
  <si>
    <t>Сайт</t>
  </si>
  <si>
    <t>Склад</t>
  </si>
  <si>
    <t>ИОСГ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</si>
  <si>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</si>
  <si>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</si>
  <si>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</si>
  <si>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</si>
  <si>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</si>
  <si>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</si>
  <si>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</si>
  <si>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</si>
  <si>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</si>
  <si>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</si>
  <si>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</si>
  <si>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</si>
  <si>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</si>
  <si>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</si>
  <si>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</si>
  <si>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</si>
  <si>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Вложение</t>
  </si>
  <si>
    <t>590704</t>
  </si>
  <si>
    <t>ОБЩЕСТВО С ОГРАНИЧЕННОЙ ОТВЕТСТВЕННОСТЬЮ "ЛОГИСТИЧЕСКИЙ ПАРТНЕР"</t>
  </si>
  <si>
    <t>Нет</t>
  </si>
  <si>
    <t>TSO001089245</t>
  </si>
  <si>
    <t>6298236</t>
  </si>
  <si>
    <t>ЛогПартССт</t>
  </si>
  <si>
    <t>590704_7</t>
  </si>
  <si>
    <t>VLDR</t>
  </si>
  <si>
    <t>ЦСК</t>
  </si>
  <si>
    <t>SU002825</t>
  </si>
  <si>
    <t>Сосиски «Филейские» Фикс.вес 0,3 ц/о мгс ТМ «Вязанка»</t>
  </si>
  <si>
    <t>SU003288</t>
  </si>
  <si>
    <t>Сосиски «Филейские рубленые» ф/в 0,3 ц/о ТМ «Вязанка»</t>
  </si>
  <si>
    <t>SU001718</t>
  </si>
  <si>
    <t>Сосиски «Молокуши» ф/в 0,45 п/а мгс ТМ «Вязанка»</t>
  </si>
  <si>
    <t>SU003745</t>
  </si>
  <si>
    <t>Вареные колбасы «Сливушка» Фикс.вес 0,11 нарезка ТМ «Вязанка»</t>
  </si>
  <si>
    <t>SU002356</t>
  </si>
  <si>
    <t>Ветчины «Сливушка с индейкой» Фикс.вес 0,1 нарезка ТМ «Вязанка»</t>
  </si>
  <si>
    <t>ОгранПроизвМощностей</t>
  </si>
  <si>
    <t>Производ</t>
  </si>
  <si>
    <t>SU003336</t>
  </si>
  <si>
    <t>Сосиски «Сливушки по-венски» ф/в 0,3 п/а ТМ «Вязанка»</t>
  </si>
  <si>
    <t>Логинов 21.08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</si>
  <si>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</si>
  <si>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</si>
  <si>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SU003178</t>
  </si>
  <si>
    <t>Копченые колбасы «Сервелат Мясорубский» Фикс.вес 0,08 нарезка ТМ «Стародворье»</t>
  </si>
  <si>
    <t>SU002757</t>
  </si>
  <si>
    <t>Ветчина Сочинка с сочным окороком ТМ Стародворье полиамид ф/в 0,35 кг</t>
  </si>
  <si>
    <t>ОгранПроизвМощСпис</t>
  </si>
  <si>
    <t>SU002618</t>
  </si>
  <si>
    <t>Сосиски «Сочинки с сочной грудинкой» Фикс.вес 0,4 П/а мгс ТМ «Стародворье»</t>
  </si>
  <si>
    <t>SU002621</t>
  </si>
  <si>
    <t>Сосиски «Сочинки с сочным окороком» Фикс.вес 0,4 П/а мгс ТМ «Стародворье»</t>
  </si>
  <si>
    <t>SU003274</t>
  </si>
  <si>
    <t>Вареные колбасы «Молочная Стародворская с молоком» ф/в 0,4 п/а ТМ «Стародворье»</t>
  </si>
  <si>
    <t>SU003272</t>
  </si>
  <si>
    <t>Вареные колбасы «Стародворская с окороком» ф/в 0,4 п/а ТМ «Стародворье»</t>
  </si>
  <si>
    <t>SU003340</t>
  </si>
  <si>
    <t>Сосиски «Венские» ф/в 0,6 п/а ТМ «Стародворье»</t>
  </si>
  <si>
    <t>SU002617</t>
  </si>
  <si>
    <t>В/к колбасы Сервелат Филедворский срез Бордо Фикс.вес 0,35 фиброуз в/у стародворье</t>
  </si>
  <si>
    <t>Логинов 22.08</t>
  </si>
  <si>
    <t>SU002252</t>
  </si>
  <si>
    <t>П/к колбасы Кракушка пряная с сальцем Бавария Фикс.вес 0,3 н/о в/у Стародворье</t>
  </si>
  <si>
    <t>SU001869</t>
  </si>
  <si>
    <t>С/к колбасы Швейцарская Бордо Фикс.вес 0,17 Фиброуз терм/п Стародворье</t>
  </si>
  <si>
    <t>SU002368</t>
  </si>
  <si>
    <t>Паштеты Со сливочным маслом ГОСТ Бордо фикс.вес 0,1 Стародворье</t>
  </si>
  <si>
    <t>SU003167</t>
  </si>
  <si>
    <t>Сосиски «Баварские» Фикс.вес 0,35 П/а ТМ «Стародворье»</t>
  </si>
  <si>
    <t>SU003421</t>
  </si>
  <si>
    <t>Вареные колбасы «Филейная» ф/в 0,5 п/а ТМ «Особый рецепт»</t>
  </si>
  <si>
    <t>SU002027</t>
  </si>
  <si>
    <t>Ветчины Нежная Особая Особая Фикс.вес 0,4 П/а Особый рецепт</t>
  </si>
  <si>
    <t>SU002603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</si>
  <si>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</si>
  <si>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</si>
  <si>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Сосиски Баварушки (со сливочным маслом ГОСТ 32261-2013) Филейбургская Фикс.вес 0,6 П/а мгс Баварушка</t>
  </si>
  <si>
    <t>SU002632</t>
  </si>
  <si>
    <t>Вареные колбасы «Докторская ГОСТ» Фикс.вес 0,6 п/а ТМ «Дугушка»</t>
  </si>
  <si>
    <t>SU002631</t>
  </si>
  <si>
    <t>Вареные колбасы «Молочная Дугушка» Фикс.вес 0,6 П/а ТМ «Дугушка»</t>
  </si>
  <si>
    <t>SU001485</t>
  </si>
  <si>
    <t>Вареные колбасы Докторская ГОСТ Вязанка Фикс.вес 0,4 Вектор Вязанка</t>
  </si>
  <si>
    <t>596383</t>
  </si>
  <si>
    <t>ОБЩЕСТВО С ОГРАНИЧЕННОЙ ОТВЕТСТВЕННОСТЬЮ "НОВОЕ ВРЕМЯ"</t>
  </si>
  <si>
    <t>TSO001092149</t>
  </si>
  <si>
    <t>6303090</t>
  </si>
  <si>
    <t>НВДонецЧаа</t>
  </si>
  <si>
    <t>596383_8</t>
  </si>
  <si>
    <t>SU002928</t>
  </si>
  <si>
    <t>Вареные колбасы «Сливушка» Вес П/а ТМ «Вязанка»</t>
  </si>
  <si>
    <t>SU001720</t>
  </si>
  <si>
    <t>Сосиски «Сливочные» ф/в 0,45 п/а мгс ТМ «Вязанка»</t>
  </si>
  <si>
    <t>SU002945</t>
  </si>
  <si>
    <t>П/к колбасы «Сочинка зернистая с сочной грудинкой» Весовой фиброуз ТМ «Стародворье»</t>
  </si>
  <si>
    <t>SU002725</t>
  </si>
  <si>
    <t>Сосиски «Сочинки» Весовой п/а ТМ «Стародворье»</t>
  </si>
  <si>
    <t>SU003168</t>
  </si>
  <si>
    <t>Сосиски «Баварские с сыром» Фикс.вес 0,35 п/а ТМ «Стародворье»</t>
  </si>
  <si>
    <t>Логинов 29.08</t>
  </si>
  <si>
    <t>SU003422</t>
  </si>
  <si>
    <t>Вареные колбасы «Молочная» Весовой п/а ТМ «Особый рецепт»</t>
  </si>
  <si>
    <t>SU003420</t>
  </si>
  <si>
    <t>Вареные колбасы «Филейная» Весовой п/а ТМ «Особый рецепт» большой батон</t>
  </si>
  <si>
    <t>SU002074</t>
  </si>
  <si>
    <t>Сосиски «Молочные для завтрака» Весовой п/а ТМ «Особый рецепт»</t>
  </si>
  <si>
    <t>ВозврИзПодрезки</t>
  </si>
  <si>
    <t>SU002205</t>
  </si>
  <si>
    <t>Сосиски «Молочные для завтрака» Фикс.вес 0,4 П/а мгс ТМ «Особый рецепт»</t>
  </si>
  <si>
    <t>SU002035</t>
  </si>
  <si>
    <t>Ветчины Дугушка Дугушка Вес б/о Дугушка</t>
  </si>
  <si>
    <t>SU000722</t>
  </si>
  <si>
    <t>Вареные колбасы Докторская ГОСТ Вязанка Весовые Вектор Вязанка</t>
  </si>
  <si>
    <t>TSO001092151</t>
  </si>
  <si>
    <t>6302683</t>
  </si>
  <si>
    <t>SU000126</t>
  </si>
  <si>
    <t>Ветчины Нежная Особая Особая Весовые П/а Особый рецепт большой батон</t>
  </si>
  <si>
    <t>SU002634</t>
  </si>
  <si>
    <t>Вареные колбасы «Дугушка Стародворская» Вес п/а ТМ «Дугушка»</t>
  </si>
  <si>
    <t>SU001721</t>
  </si>
  <si>
    <t>Сосиски «Сливочные Вязанка» Весовой п/а мгс ТМ «Вязанка»</t>
  </si>
  <si>
    <t>TSO001092153</t>
  </si>
  <si>
    <t>6301828</t>
  </si>
  <si>
    <t>SU002828</t>
  </si>
  <si>
    <t>Ветчины «Филейская» Весовые Вектор ТМ «Вязанка»</t>
  </si>
  <si>
    <t>SU001523</t>
  </si>
  <si>
    <t>Сосиски «Молокуши (Вязанка Молочные)» Весовой п/а мгс ТМ «Вязанка»</t>
  </si>
  <si>
    <t>SU002833</t>
  </si>
  <si>
    <t>Ветчины «Сливушка с индейкой» Весовой п/а ТМ «Вязанка»</t>
  </si>
  <si>
    <t>SU004041</t>
  </si>
  <si>
    <t>Копченые колбасы «Балыковая» Весовой фиброуз ТМ «Вязанка»</t>
  </si>
  <si>
    <t>SU002756</t>
  </si>
  <si>
    <t>Колбаса Мясорубская ТМ Стародворье с рубленой грудинкой в оболочке фиброуз в вакуумной упаковке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</si>
  <si>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</si>
  <si>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</si>
  <si>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</si>
  <si>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</si>
  <si>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</si>
  <si>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</si>
  <si>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SU000227</t>
  </si>
  <si>
    <t>Сардельки «Стародворские с говядиной» Весовые NDX ТМ «Стародворье»</t>
  </si>
  <si>
    <t>SU003423</t>
  </si>
  <si>
    <t>Вареные колбасы «Со шпиком» Весовой п/а ТМ «Особый рецепт» большой батон</t>
  </si>
  <si>
    <t>SU002287</t>
  </si>
  <si>
    <t>Сардельки «Сочные» Весовой п/а ТМ «Особый рецепт»</t>
  </si>
  <si>
    <t>SU002612</t>
  </si>
  <si>
    <t>Копченые колбасы «Балыкбургская» Весовой фиброуз ТМ «Баварушка»</t>
  </si>
  <si>
    <t>SU002158</t>
  </si>
  <si>
    <t>В/к колбасы «Салями Запеченая» Весовые ТМ «Дугушка»</t>
  </si>
  <si>
    <t>SU002808</t>
  </si>
  <si>
    <t>Вареные колбасы «Нежная» НТУ Весовые П/а ТМ «Зареченские»</t>
  </si>
  <si>
    <t>SU002655</t>
  </si>
  <si>
    <t>Сосиски «Датские» Весовой п/а ТМ «Зареченские продукты»</t>
  </si>
  <si>
    <t>TSO001092154</t>
  </si>
  <si>
    <t>6303272</t>
  </si>
  <si>
    <t>TSO001092157</t>
  </si>
  <si>
    <t>6303104</t>
  </si>
  <si>
    <t>НВЛугРабоч</t>
  </si>
  <si>
    <t>596383_9</t>
  </si>
  <si>
    <t>SU003665</t>
  </si>
  <si>
    <t>Сосиски «Сосиски с сыром» Фикс.вес 0,3 вискофан ТМ «Ядрена копоть»</t>
  </si>
  <si>
    <t>SU003642</t>
  </si>
  <si>
    <t>Вареные колбасы «Филейская со шпиком» Весовой п/а ТМ «Вязанка»</t>
  </si>
  <si>
    <t>SU002831</t>
  </si>
  <si>
    <t>Колбаса вареная Филейская ТМ Вязанка ТС Классическая полиамид ф/в 0,4 кг</t>
  </si>
  <si>
    <t>SU002815</t>
  </si>
  <si>
    <t>Вареные колбасы «Филейская» Фикс.вес 0,45 Вектор ТМ «Вязанка»</t>
  </si>
  <si>
    <t>SU002835</t>
  </si>
  <si>
    <t>Сардельки «Филейские» Весовые н/о мгс ТМ «Вязанка»</t>
  </si>
  <si>
    <t>SU002354</t>
  </si>
  <si>
    <t>Вареные колбасы «Молокуша» Фикс.вес 0,17 нарезка ТМ «Вязанка»</t>
  </si>
  <si>
    <t>SU002816</t>
  </si>
  <si>
    <t>Вареные колбасы Молокуша Вязанка Фикс.вес 0,45 п/а Вязанка</t>
  </si>
  <si>
    <t>SU002735</t>
  </si>
  <si>
    <t>Ветчины «Сливушка с индейкой» Фикс.вес 0,4 п/а ТМ «Вязанка»</t>
  </si>
  <si>
    <t>SU002983</t>
  </si>
  <si>
    <t>Колбаса вареная Мусульманская ТМ Вязанка Халяль вектор ф/в 0,4 кг Казахстан АК</t>
  </si>
  <si>
    <t>SU002985</t>
  </si>
  <si>
    <t>П/к колбасы «Аль-Ислами халяль» ф/в 0,35 фиброуз ТМ «Вязанка»</t>
  </si>
  <si>
    <t>ОгранПроизвМощАут</t>
  </si>
  <si>
    <t>Общие</t>
  </si>
  <si>
    <t>SU002984</t>
  </si>
  <si>
    <t>Сосиски Восточные халяль ТМ Вязанка полиамид в/у ф/в 0,33 кг Казахстан АК</t>
  </si>
  <si>
    <t>SU004157</t>
  </si>
  <si>
    <t>Вареные колбасы «Мясная Классическая» Весовой п/а ТМ «Вязанка»</t>
  </si>
  <si>
    <t>SU004047</t>
  </si>
  <si>
    <t>Копченые колбасы «Сервелат Финский» Весовой фиброуз ТМ «Вязанка»</t>
  </si>
  <si>
    <t>SU004044</t>
  </si>
  <si>
    <t>Копченые колбасы «Сервелат Ореховый» Весовой фиброуз ТМ «Вязанка»</t>
  </si>
  <si>
    <t>SU003753</t>
  </si>
  <si>
    <t>Копченые колбасы «Балыковая » Фикс.вес 0,09 нарезка ТМ «Вязанка»</t>
  </si>
  <si>
    <t>НевыполМенееЛимРассл</t>
  </si>
  <si>
    <t>Каростина ЦФО ДМ?</t>
  </si>
  <si>
    <t>SU004039</t>
  </si>
  <si>
    <t>Копченые колбасы «Балыковая» Фикс.вес 0,28 фиброуз срез ТМ «Вязанка»</t>
  </si>
  <si>
    <t>SU003751</t>
  </si>
  <si>
    <t>Копченые колбасы «Сервелат Финский» Фикс.вес 0,09 нарезка ТМ «Вязанка»</t>
  </si>
  <si>
    <t>SU004042</t>
  </si>
  <si>
    <t>Копченые колбасы «Сервелат Ореховый» Фикс.вес 0,28 фиброуз срез ТМ «Вязанка»</t>
  </si>
  <si>
    <t>SU002847</t>
  </si>
  <si>
    <t>В/к колбасы Сервелат Мясорубский с мелкорубленным окороком Бордо Весовой фиброуз Стародворье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</si>
  <si>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</si>
  <si>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</si>
  <si>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SU003829</t>
  </si>
  <si>
    <t>Копченые колбасы «Сервелат Мясорубский Делюкс» Фикс.вес 0,3 фиброуз ТМ «Стародворье»</t>
  </si>
  <si>
    <t>SU003894</t>
  </si>
  <si>
    <t>Сырокопченые колбасы «Сервелат Ореховый» Фикс.вес 0,07 нарезка ТМ «Стародворье»</t>
  </si>
  <si>
    <t>SU003896</t>
  </si>
  <si>
    <t>Сыровяленые колбасы «Фуэт» Фикс.вес 0,07 нарезка ТМ «Стародворье»</t>
  </si>
  <si>
    <t>SU002947</t>
  </si>
  <si>
    <t>П/к колбасы «Сочинка рубленая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</si>
  <si>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</si>
  <si>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</si>
  <si>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</si>
  <si>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</si>
  <si>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</si>
  <si>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</si>
  <si>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SU002845</t>
  </si>
  <si>
    <t>Сосиски «Сочинки Сливочные» Весовые ТМ «Стародворье» 1,35 кг</t>
  </si>
  <si>
    <t>SU002686</t>
  </si>
  <si>
    <t>Сосиски Сочинки с сыром Бордо ф/в 0,4 кг п/а Стародворье</t>
  </si>
  <si>
    <t>SU002844</t>
  </si>
  <si>
    <t>Сосиски «Сочинки Сливочные» Фикс.вес 0,4 п/а мгс ТМ «Стародворье»</t>
  </si>
  <si>
    <t>SU002758</t>
  </si>
  <si>
    <t>Сардельки «Сочинки» Фикс.вес 0,4 п/а ТМ «Стародворье»</t>
  </si>
  <si>
    <t>SU003921</t>
  </si>
  <si>
    <t>Деликатесы в/к «Грудинка копчено-вареная» Фикс.вес 0,12 нарезка ТМ «Стародворье»</t>
  </si>
  <si>
    <t>SU002801</t>
  </si>
  <si>
    <t>Сосиски «Сочинки по-баварски с сыром» Фикс.вес 0,4 П/а мгс ТМ «Стародворье»</t>
  </si>
  <si>
    <t>SU002799</t>
  </si>
  <si>
    <t>Сосиски Сочинки по-баварски Бавария Фикс.вес 0,4 П/а мгс Стародворье</t>
  </si>
  <si>
    <t>SU004103</t>
  </si>
  <si>
    <t>Вареные колбасы «Молочная» Весовой п/а ТМ «Стародворье»</t>
  </si>
  <si>
    <t>SU004104</t>
  </si>
  <si>
    <t>Вареные колбасы «Мясная» Весовой п/а ТМ «Стародворье»</t>
  </si>
  <si>
    <t>SU003392</t>
  </si>
  <si>
    <t>Вареные колбасы «Стародворская Традиционная» Весовой п/а ТМ «Стародворье»</t>
  </si>
  <si>
    <t>SU001822</t>
  </si>
  <si>
    <t>В/к колбасы Кремлевский Бордо Весовые Фиброуз в/у Стародворье</t>
  </si>
  <si>
    <t>SU001051</t>
  </si>
  <si>
    <t>Сардельки «Нежные» Весовые NDX мгс ТМ «Стародворье»</t>
  </si>
  <si>
    <t>SU002841</t>
  </si>
  <si>
    <t>Паштеты «Любительский ГОСТ» Фикс.вес 0,1 ТМ «Стародворье»</t>
  </si>
  <si>
    <t>SU002840</t>
  </si>
  <si>
    <t>Паштеты «Печеночный с морковью ГОСТ» Фикс.вес 0,1 ТМ «Стародворье»</t>
  </si>
  <si>
    <t>SU004131</t>
  </si>
  <si>
    <t>Вареные колбасы «Ветчинно-рубленая» Весовой п/а ТМ «Особый рецепт»</t>
  </si>
  <si>
    <t>SU002643</t>
  </si>
  <si>
    <t>Ветчины «Дугушка» Фикс.вес 0,6 полиамид ТМ «Дугушка»</t>
  </si>
  <si>
    <t>SU002151</t>
  </si>
  <si>
    <t>В/к колбасы «Сервелат Запеченный» Весовые Вектор ТМ «Дугушка»</t>
  </si>
  <si>
    <t>SU004016</t>
  </si>
  <si>
    <t>Сосиски «Мясные для гриля» Фикс.вес 0,3 целлофан ТМ «Ядрена копоть»</t>
  </si>
  <si>
    <t>TSO001092166</t>
  </si>
  <si>
    <t>6302685</t>
  </si>
  <si>
    <t>SU001430</t>
  </si>
  <si>
    <t>Сардельки «Шпикачки Стародворские» Весовой NDX ТМ «Стародворье»</t>
  </si>
  <si>
    <t>SU002010</t>
  </si>
  <si>
    <t>Вареные колбасы «Молочная Дугушка» Весовые Вектор ТМ «Дугушка»</t>
  </si>
  <si>
    <t>TSO001092170</t>
  </si>
  <si>
    <t>6303094</t>
  </si>
  <si>
    <t>SU002829</t>
  </si>
  <si>
    <t>Вареные колбасы «Филейская» Весовые Вектор ТМ «Вязанка»</t>
  </si>
  <si>
    <t>SU002830</t>
  </si>
  <si>
    <t>Вареные колбасы Молокуша Вязанка Вес п/а Вязанка</t>
  </si>
  <si>
    <t>SU002842</t>
  </si>
  <si>
    <t>Сосиски «Сочинки Молочные» Фикс.вес 0,4 п/а мгс ТМ «Стародворье»</t>
  </si>
  <si>
    <t>SU001835</t>
  </si>
  <si>
    <t>Сосиски Баварские Бавария Весовые П/а мгс Стародворье</t>
  </si>
  <si>
    <t>SU003425</t>
  </si>
  <si>
    <t>Вареные колбасы «Филейная Оригинальная» Весовой п/а ТМ «Особый рецепт»</t>
  </si>
  <si>
    <t>SU002150</t>
  </si>
  <si>
    <t>В/к колбасы «Рубленая Запеченная» Весовые Вектор ТМ «Дугушка»</t>
  </si>
  <si>
    <t>Общий итог</t>
  </si>
  <si>
    <t>Сумма по полю Заказано</t>
  </si>
  <si>
    <t>Сумма по полю Согласовано</t>
  </si>
  <si>
    <t>Сумма по полю Урезание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</si>
</sst>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1" xfId="0" pivotButton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pivotButton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0" fontId="0" fillId="2" borderId="0" xfId="0" applyFill="1"/>
    <xf numFmtId="164" fontId="0" fillId="3" borderId="0" xfId="0" applyNumberFormat="1" applyFill="1"/>
    <xf numFmtId="0" fontId="0" fillId="3" borderId="0" xfId="0" applyFill="1"/>
  </cellXfs>
  <cellStyles count="1">
    <cellStyle name="Обычный" xfId="0" builtinId="0"/>
  </cellStyles>
  <dxfs count="677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#,##0_ ;[Red]\-#,##0\ "/>
    </dxf>
    <dxf>
      <numFmt numFmtId="164" formatCode="#,##0_ ;[Red]\-#,##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околова Наталья Олеговна" refreshedDate="46264.532222337963" createdVersion="6" refreshedVersion="6" minRefreshableVersion="3" recordCount="203" xr:uid="{00000000-000A-0000-FFFF-FFFF2A000000}">
  <cacheSource type="worksheet">
    <worksheetSource name="Table"/>
  </cacheSource>
  <cacheFields count="31">
    <cacheField name="Счет клиента" numFmtId="49">
      <sharedItems/>
    </cacheField>
    <cacheField name="Наименование" numFmtId="49">
      <sharedItems/>
    </cacheField>
    <cacheField name="Поздний заказ" numFmtId="49">
      <sharedItems/>
    </cacheField>
    <cacheField name="Заказ на продажу" numFmtId="49">
      <sharedItems/>
    </cacheField>
    <cacheField name="Запрошенная дата отгрузки" numFmtId="14">
      <sharedItems containsSemiMixedTypes="0" containsNonDate="0" containsDate="1" containsString="0" minDate="2026-08-30T00:00:00" maxDate="2026-08-31T00:00:00" count="1">
        <d v="2026-08-30T00:00:00"/>
      </sharedItems>
    </cacheField>
    <cacheField name="Внешний номер заказа" numFmtId="49">
      <sharedItems count="8">
        <s v="6298236"/>
        <s v="6303090"/>
        <s v="6302683"/>
        <s v="6301828"/>
        <s v="6303272"/>
        <s v="6303104"/>
        <s v="6302685"/>
        <s v="6303094"/>
      </sharedItems>
    </cacheField>
    <cacheField name="Время отгрузки" numFmtId="19">
      <sharedItems containsSemiMixedTypes="0" containsNonDate="0" containsDate="1" containsString="0" minDate="2026-08-30T00:10:00" maxDate="2026-08-30T16:00:00"/>
    </cacheField>
    <cacheField name="Внешний код клиента" numFmtId="49">
      <sharedItems count="3">
        <s v="ЛогПартССт"/>
        <s v="НВДонецЧаа"/>
        <s v="НВЛугРабоч"/>
      </sharedItems>
    </cacheField>
    <cacheField name="Запрошенная дата прихода" numFmtId="14">
      <sharedItems containsSemiMixedTypes="0" containsNonDate="0" containsDate="1" containsString="0" minDate="2026-08-30T00:00:00" maxDate="2026-08-31T00:00:00"/>
    </cacheField>
    <cacheField name="Время прихода" numFmtId="19">
      <sharedItems containsSemiMixedTypes="0" containsNonDate="0" containsDate="1" containsString="0" minDate="2026-08-30T00:10:00" maxDate="2026-08-30T16:00:00"/>
    </cacheField>
    <cacheField name="Код адреса поставки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108">
        <s v="SU002825"/>
        <s v="SU003288"/>
        <s v="SU001718"/>
        <s v="SU003745"/>
        <s v="SU002356"/>
        <s v="SU003336"/>
        <s v="SU004026"/>
        <s v="SU003178"/>
        <s v="SU002757"/>
        <s v="SU002618"/>
        <s v="SU002621"/>
        <s v="SU003274"/>
        <s v="SU003272"/>
        <s v="SU003340"/>
        <s v="SU002617"/>
        <s v="SU002252"/>
        <s v="SU001869"/>
        <s v="SU002368"/>
        <s v="SU003167"/>
        <s v="SU003421"/>
        <s v="SU002027"/>
        <s v="SU002603"/>
        <s v="SU002285"/>
        <s v="SU002632"/>
        <s v="SU002631"/>
        <s v="SU001485"/>
        <s v="SU002928"/>
        <s v="SU001720"/>
        <s v="SU002945"/>
        <s v="SU002725"/>
        <s v="SU003168"/>
        <s v="SU003422"/>
        <s v="SU003420"/>
        <s v="SU002074"/>
        <s v="SU002205"/>
        <s v="SU002035"/>
        <s v="SU000722"/>
        <s v="SU000126"/>
        <s v="SU002634"/>
        <s v="SU001721"/>
        <s v="SU002828"/>
        <s v="SU001523"/>
        <s v="SU002833"/>
        <s v="SU004041"/>
        <s v="SU002756"/>
        <s v="SU002848"/>
        <s v="SU002941"/>
        <s v="SU002943"/>
        <s v="SU000227"/>
        <s v="SU003423"/>
        <s v="SU002287"/>
        <s v="SU002612"/>
        <s v="SU002158"/>
        <s v="SU002808"/>
        <s v="SU002655"/>
        <s v="SU003665"/>
        <s v="SU003642"/>
        <s v="SU002831"/>
        <s v="SU002815"/>
        <s v="SU002835"/>
        <s v="SU002354"/>
        <s v="SU002816"/>
        <s v="SU002735"/>
        <s v="SU002983"/>
        <s v="SU002985"/>
        <s v="SU002984"/>
        <s v="SU004157"/>
        <s v="SU004047"/>
        <s v="SU004044"/>
        <s v="SU003753"/>
        <s v="SU004039"/>
        <s v="SU003751"/>
        <s v="SU004042"/>
        <s v="SU002847"/>
        <s v="SU002660"/>
        <s v="SU003829"/>
        <s v="SU003894"/>
        <s v="SU003896"/>
        <s v="SU002947"/>
        <s v="SU002944"/>
        <s v="SU002942"/>
        <s v="SU002948"/>
        <s v="SU002845"/>
        <s v="SU002686"/>
        <s v="SU002844"/>
        <s v="SU002758"/>
        <s v="SU003921"/>
        <s v="SU002801"/>
        <s v="SU002799"/>
        <s v="SU004103"/>
        <s v="SU004104"/>
        <s v="SU003392"/>
        <s v="SU001822"/>
        <s v="SU001051"/>
        <s v="SU002841"/>
        <s v="SU002840"/>
        <s v="SU004131"/>
        <s v="SU002643"/>
        <s v="SU002151"/>
        <s v="SU004016"/>
        <s v="SU001430"/>
        <s v="SU002010"/>
        <s v="SU002829"/>
        <s v="SU002830"/>
        <s v="SU002842"/>
        <s v="SU001835"/>
        <s v="SU003425"/>
        <s v="SU002150"/>
      </sharedItems>
    </cacheField>
    <cacheField name="Наименование для бланков" numFmtId="49">
      <sharedItems count="108">
        <s v="Сосиски «Филейские» Фикс.вес 0,3 ц/о мгс ТМ «Вязанка»"/>
        <s v="Сосиски «Филейские рубленые» ф/в 0,3 ц/о ТМ «Вязанка»"/>
        <s v="Сосиски «Молокуши» ф/в 0,45 п/а мгс ТМ «Вязанка»"/>
        <s v="Вареные колбасы «Сливушка» Фикс.вес 0,11 нарезка ТМ «Вязанка»"/>
        <s v="Ветчины «Сливушка с индейкой» Фикс.вес 0,1 нарезка ТМ «Вязанка»"/>
        <s v="Сосиски «Сливушки по-венски» ф/в 0,3 п/а ТМ «Вязанка»"/>
        <s v="Копченые колбасы «Ассорти Мясорубская коллекция: Сервелат Делюкс, С балыком» Фикс.вес 0,08 нарезка ТМ «Стародворье»"/>
        <s v="Копченые колбасы «Сервелат Мясорубский» Фикс.вес 0,08 нарезка ТМ «Стародворье»"/>
        <s v="Ветчина Сочинка с сочным окороком ТМ Стародворье полиамид ф/в 0,35 кг"/>
        <s v="Сосиски «Сочинки с сочной грудинкой» Фикс.вес 0,4 П/а мгс ТМ «Стародворье»"/>
        <s v="Сосиски «Сочинки с сочным окороком» Фикс.вес 0,4 П/а мгс ТМ «Стародворье»"/>
        <s v="Вареные колбасы «Молочная Стародворская с молоком» ф/в 0,4 п/а ТМ «Стародворье»"/>
        <s v="Вареные колбасы «Стародворская с окороком» ф/в 0,4 п/а ТМ «Стародворье»"/>
        <s v="Сосиски «Венские» ф/в 0,6 п/а ТМ «Стародворье»"/>
        <s v="В/к колбасы Сервелат Филедворский срез Бордо Фикс.вес 0,35 фиброуз в/у стародворье"/>
        <s v="П/к колбасы Кракушка пряная с сальцем Бавария Фикс.вес 0,3 н/о в/у Стародворье"/>
        <s v="С/к колбасы Швейцарская Бордо Фикс.вес 0,17 Фиброуз терм/п Стародворье"/>
        <s v="Паштеты Со сливочным маслом ГОСТ Бордо фикс.вес 0,1 Стародворье"/>
        <s v="Сосиски «Баварские» Фикс.вес 0,35 П/а ТМ «Стародворье»"/>
        <s v="Вареные колбасы «Филейная» ф/в 0,5 п/а ТМ «Особый рецепт»"/>
        <s v="Ветчины Нежная Особая Особая Фикс.вес 0,4 П/а Особый рецепт"/>
        <s v="В/к колбасы Сервелат Филейбургский с копченой грудинкой срез Филейбургская Фикс.вес 0,35 фиброуз Баварушка"/>
        <s v="Сосиски Баварушки (со сливочным маслом ГОСТ 32261-2013) Филейбургская Фикс.вес 0,6 П/а мгс Баварушка"/>
        <s v="Вареные колбасы «Докторская ГОСТ» Фикс.вес 0,6 п/а ТМ «Дугушка»"/>
        <s v="Вареные колбасы «Молочная Дугушка» Фикс.вес 0,6 П/а ТМ «Дугушка»"/>
        <s v="Вареные колбасы Докторская ГОСТ Вязанка Фикс.вес 0,4 Вектор Вязанка"/>
        <s v="Вареные колбасы «Сливушка» Вес П/а ТМ «Вязанка»"/>
        <s v="Сосиски «Сливочные» ф/в 0,45 п/а мгс ТМ «Вязанка»"/>
        <s v="П/к колбасы «Сочинка зернистая с сочной грудинкой» Весовой фиброуз ТМ «Стародворье»"/>
        <s v="Сосиски «Сочинки» Весовой п/а ТМ «Стародворье»"/>
        <s v="Сосиски «Баварские с сыром» Фикс.вес 0,35 п/а ТМ «Стародворье»"/>
        <s v="Вареные колбасы «Молочная» Весовой п/а ТМ «Особый рецепт»"/>
        <s v="Вареные колбасы «Филейная» Весовой п/а ТМ «Особый рецепт» большой батон"/>
        <s v="Сосиски «Молочные для завтрака» Весовой п/а ТМ «Особый рецепт»"/>
        <s v="Сосиски «Молочные для завтрака» Фикс.вес 0,4 П/а мгс ТМ «Особый рецепт»"/>
        <s v="Ветчины Дугушка Дугушка Вес б/о Дугушка"/>
        <s v="Вареные колбасы Докторская ГОСТ Вязанка Весовые Вектор Вязанка"/>
        <s v="Ветчины Нежная Особая Особая Весовые П/а Особый рецепт большой батон"/>
        <s v="Вареные колбасы «Дугушка Стародворская» Вес п/а ТМ «Дугушка»"/>
        <s v="Сосиски «Сливочные Вязанка» Весовой п/а мгс ТМ «Вязанка»"/>
        <s v="Ветчины «Филейская» Весовые Вектор ТМ «Вязанка»"/>
        <s v="Сосиски «Молокуши (Вязанка Молочные)» Весовой п/а мгс ТМ «Вязанка»"/>
        <s v="Ветчины «Сливушка с индейкой» Весовой п/а ТМ «Вязанка»"/>
        <s v="Копченые колбасы «Балыковая» Весовой фиброуз ТМ «Вязанка»"/>
        <s v="Колбаса Мясорубская ТМ Стародворье с рубленой грудинкой в оболочке фиброуз в вакуумной упаковке"/>
        <s v="В/к колбасы Сервелат Мясорубский с мелкорубленным окороком срез Бордо Фикс.вес 0,35 фиброуз Стародворье"/>
        <s v="В/к колбасы «Сочинка по-европейски с сочной грудинкой» Весовой фиброуз ТМ «Стародворье»"/>
        <s v="В/к колбасы «Сочинка по-фински с сочным окороком» Весовой фиброуз ТМ «Стародворье»"/>
        <s v="Сардельки «Стародворские с говядиной» Весовые NDX ТМ «Стародворье»"/>
        <s v="Вареные колбасы «Со шпиком» Весовой п/а ТМ «Особый рецепт» большой батон"/>
        <s v="Сардельки «Сочные» Весовой п/а ТМ «Особый рецепт»"/>
        <s v="Копченые колбасы «Балыкбургская» Весовой фиброуз ТМ «Баварушка»"/>
        <s v="В/к колбасы «Салями Запеченая» Весовые ТМ «Дугушка»"/>
        <s v="Вареные колбасы «Нежная» НТУ Весовые П/а ТМ «Зареченские»"/>
        <s v="Сосиски «Датские» Весовой п/а ТМ «Зареченские продукты»"/>
        <s v="Сосиски «Сосиски с сыром» Фикс.вес 0,3 вискофан ТМ «Ядрена копоть»"/>
        <s v="Вареные колбасы «Филейская со шпиком» Весовой п/а ТМ «Вязанка»"/>
        <s v="Колбаса вареная Филейская ТМ Вязанка ТС Классическая полиамид ф/в 0,4 кг"/>
        <s v="Вареные колбасы «Филейская» Фикс.вес 0,45 Вектор ТМ «Вязанка»"/>
        <s v="Сардельки «Филейские» Весовые н/о мгс ТМ «Вязанка»"/>
        <s v="Вареные колбасы «Молокуша» Фикс.вес 0,17 нарезка ТМ «Вязанка»"/>
        <s v="Вареные колбасы Молокуша Вязанка Фикс.вес 0,45 п/а Вязанка"/>
        <s v="Ветчины «Сливушка с индейкой» Фикс.вес 0,4 п/а ТМ «Вязанка»"/>
        <s v="Колбаса вареная Мусульманская ТМ Вязанка Халяль вектор ф/в 0,4 кг Казахстан АК"/>
        <s v="П/к колбасы «Аль-Ислами халяль» ф/в 0,35 фиброуз ТМ «Вязанка»"/>
        <s v="Сосиски Восточные халяль ТМ Вязанка полиамид в/у ф/в 0,33 кг Казахстан АК"/>
        <s v="Вареные колбасы «Мясная Классическая» Весовой п/а ТМ «Вязанка»"/>
        <s v="Копченые колбасы «Сервелат Финский» Весовой фиброуз ТМ «Вязанка»"/>
        <s v="Копченые колбасы «Сервелат Ореховый» Весовой фиброуз ТМ «Вязанка»"/>
        <s v="Копченые колбасы «Балыковая » Фикс.вес 0,09 нарезка ТМ «Вязанка»"/>
        <s v="Копченые колбасы «Балыковая» Фикс.вес 0,28 фиброуз срез ТМ «Вязанка»"/>
        <s v="Копченые колбасы «Сервелат Финский» Фикс.вес 0,09 нарезка ТМ «Вязанка»"/>
        <s v="Копченые колбасы «Сервелат Ореховый» Фикс.вес 0,28 фиброуз срез ТМ «Вязанка»"/>
        <s v="В/к колбасы Сервелат Мясорубский с мелкорубленным окороком Бордо Весовой фиброуз Стародворье"/>
        <s v="Колбаса Мясорубская ТМ Стародворье с рубленой грудинкой в оболочке фиброуз в вакуумной упаковке 0,35 кг срез"/>
        <s v="Копченые колбасы «Сервелат Мясорубский Делюкс» Фикс.вес 0,3 фиброуз ТМ «Стародворье»"/>
        <s v="Сырокопченые колбасы «Сервелат Ореховый» Фикс.вес 0,07 нарезка ТМ «Стародворье»"/>
        <s v="Сыровяленые колбасы «Фуэт» Фикс.вес 0,07 нарезка ТМ «Стародворье»"/>
        <s v="П/к колбасы «Сочинка рубленая с сочным окороком» Весовой фиброуз ТМ «Стародворье»"/>
        <s v="В/к колбасы «Сочинка по-европейски с сочной грудинкой» срез Фикс.вес 0,3 фиброуз ТМ «Стародворье»"/>
        <s v="В/к колбасы «Сочинка по-фински с сочным окороком» срез Фикс.вес 0,3 фиброуз ТМ «Стародворье»"/>
        <s v="П/к колбасы «Сочинка рубленая с сочным окороком» срез Фикс.вес 0,3 фиброуз ТМ «Стародворье»"/>
        <s v="Сосиски «Сочинки Сливочные» Весовые ТМ «Стародворье» 1,35 кг"/>
        <s v="Сосиски Сочинки с сыром Бордо ф/в 0,4 кг п/а Стародворье"/>
        <s v="Сосиски «Сочинки Сливочные» Фикс.вес 0,4 п/а мгс ТМ «Стародворье»"/>
        <s v="Сардельки «Сочинки» Фикс.вес 0,4 п/а ТМ «Стародворье»"/>
        <s v="Деликатесы в/к «Грудинка копчено-вареная» Фикс.вес 0,12 нарезка ТМ «Стародворье»"/>
        <s v="Сосиски «Сочинки по-баварски с сыром» Фикс.вес 0,4 П/а мгс ТМ «Стародворье»"/>
        <s v="Сосиски Сочинки по-баварски Бавария Фикс.вес 0,4 П/а мгс Стародворье"/>
        <s v="Вареные колбасы «Молочная» Весовой п/а ТМ «Стародворье»"/>
        <s v="Вареные колбасы «Мясная» Весовой п/а ТМ «Стародворье»"/>
        <s v="Вареные колбасы «Стародворская Традиционная» Весовой п/а ТМ «Стародворье»"/>
        <s v="В/к колбасы Кремлевский Бордо Весовые Фиброуз в/у Стародворье"/>
        <s v="Сардельки «Нежные» Весовые NDX мгс ТМ «Стародворье»"/>
        <s v="Паштеты «Любительский ГОСТ» Фикс.вес 0,1 ТМ «Стародворье»"/>
        <s v="Паштеты «Печеночный с морковью ГОСТ» Фикс.вес 0,1 ТМ «Стародворье»"/>
        <s v="Вареные колбасы «Ветчинно-рубленая» Весовой п/а ТМ «Особый рецепт»"/>
        <s v="Ветчины «Дугушка» Фикс.вес 0,6 полиамид ТМ «Дугушка»"/>
        <s v="В/к колбасы «Сервелат Запеченный» Весовые Вектор ТМ «Дугушка»"/>
        <s v="Сосиски «Мясные для гриля» Фикс.вес 0,3 целлофан ТМ «Ядрена копоть»"/>
        <s v="Сардельки «Шпикачки Стародворские» Весовой NDX ТМ «Стародворье»"/>
        <s v="Вареные колбасы «Молочная Дугушка» Весовые Вектор ТМ «Дугушка»"/>
        <s v="Вареные колбасы «Филейская» Весовые Вектор ТМ «Вязанка»"/>
        <s v="Вареные колбасы Молокуша Вязанка Вес п/а Вязанка"/>
        <s v="Сосиски «Сочинки Молочные» Фикс.вес 0,4 п/а мгс ТМ «Стародворье»"/>
        <s v="Сосиски Баварские Бавария Весовые П/а мгс Стародворье"/>
        <s v="Вареные колбасы «Филейная Оригинальная» Весовой п/а ТМ «Особый рецепт»"/>
        <s v="В/к колбасы «Рубленая Запеченная» Весовые Вектор ТМ «Дугушка»"/>
      </sharedItems>
    </cacheField>
    <cacheField name="Заказано" numFmtId="4">
      <sharedItems containsSemiMixedTypes="0" containsString="0" containsNumber="1" minValue="1.7" maxValue="5004"/>
    </cacheField>
    <cacheField name="Согласовано" numFmtId="4">
      <sharedItems containsString="0" containsBlank="1" containsNumber="1" minValue="1.7" maxValue="5004" count="111">
        <n v="27"/>
        <n v="36"/>
        <n v="202.5"/>
        <n v="4.4000000000000004"/>
        <m/>
        <n v="7.2"/>
        <n v="11.2"/>
        <n v="120"/>
        <n v="24"/>
        <n v="52"/>
        <n v="15.3"/>
        <n v="10.5"/>
        <n v="31.5"/>
        <n v="144"/>
        <n v="91.2"/>
        <n v="273.60000000000002"/>
        <n v="88"/>
        <n v="226.8"/>
        <n v="108"/>
        <n v="52.2"/>
        <n v="40.799999999999997"/>
        <n v="35.700000000000003"/>
        <n v="405"/>
        <n v="510"/>
        <n v="504"/>
        <n v="401.28"/>
        <n v="259.2"/>
        <n v="300"/>
        <n v="285.12"/>
        <n v="251.1"/>
        <n v="54"/>
        <n v="324"/>
        <n v="43.2"/>
        <n v="1401.3"/>
        <n v="42"/>
        <n v="52.5"/>
        <n v="803.4"/>
        <n v="5.0999999999999996"/>
        <n v="1500"/>
        <n v="750"/>
        <n v="702.24"/>
        <n v="501.6"/>
        <n v="5004"/>
        <n v="32.4"/>
        <n v="33.6"/>
        <n v="72"/>
        <n v="151.19999999999999"/>
        <n v="109.2"/>
        <n v="1.7"/>
        <n v="542.70000000000005"/>
        <n v="116.1"/>
        <n v="129.6"/>
        <n v="60"/>
        <n v="461.7"/>
        <n v="194.4"/>
        <n v="41.6"/>
        <n v="84"/>
        <n v="150.5"/>
        <n v="53.76"/>
        <n v="57.12"/>
        <n v="21"/>
        <n v="12"/>
        <n v="16"/>
        <n v="281.39999999999998"/>
        <n v="5.04"/>
        <n v="2.52"/>
        <n v="48.6"/>
        <n v="217.5"/>
        <n v="1480.8"/>
        <n v="55.2"/>
        <n v="5.4"/>
        <n v="88.8"/>
        <n v="69.599999999999994"/>
        <n v="46.8"/>
        <n v="148.19999999999999"/>
        <n v="16.2"/>
        <n v="1068.5999999999999"/>
        <n v="26"/>
        <n v="38"/>
        <n v="46.2"/>
        <n v="255"/>
        <n v="1404"/>
        <n v="4.8"/>
        <n v="48"/>
        <n v="38.4"/>
        <n v="26.4"/>
        <n v="15.84"/>
        <n v="30.6"/>
        <n v="86.4"/>
        <n v="62.4"/>
        <n v="67.2"/>
        <n v="42.24"/>
        <n v="84.48"/>
        <n v="89.6"/>
        <n v="172.8"/>
        <n v="124.8"/>
        <n v="37.799999999999997"/>
        <n v="432"/>
        <n v="50.4"/>
        <n v="252"/>
        <n v="75.599999999999994"/>
        <n v="139.19999999999999"/>
        <n v="57.6"/>
        <n v="28.8"/>
        <n v="374.4"/>
        <n v="64.8"/>
        <n v="360"/>
        <n v="240"/>
        <n v="270"/>
        <n v="211.2"/>
        <n v="518.4"/>
      </sharedItems>
    </cacheField>
    <cacheField name="Отгружено" numFmtId="4">
      <sharedItems containsString="0" containsBlank="1" containsNumber="1" minValue="1.7" maxValue="5004"/>
    </cacheField>
    <cacheField name="Урезание" numFmtId="4">
      <sharedItems containsString="0" containsBlank="1" containsNumber="1" minValue="-351" maxValue="-2" count="34">
        <m/>
        <n v="-13"/>
        <n v="-54"/>
        <n v="-31.5"/>
        <n v="-72"/>
        <n v="-50.4"/>
        <n v="-108"/>
        <n v="-205.2"/>
        <n v="-201.6"/>
        <n v="-35.700000000000003"/>
        <n v="-21"/>
        <n v="-70.2"/>
        <n v="-96"/>
        <n v="-207"/>
        <n v="-81"/>
        <n v="-2"/>
        <n v="-14"/>
        <n v="-13.2"/>
        <n v="-203"/>
        <n v="-252"/>
        <n v="-7.2"/>
        <n v="-45"/>
        <n v="-151.19999999999999"/>
        <n v="-351"/>
        <n v="-61.2"/>
        <n v="-30.6"/>
        <n v="-33.6"/>
        <n v="-27"/>
        <n v="-37.799999999999997"/>
        <n v="-194.4"/>
        <n v="-129.6"/>
        <n v="-64.8"/>
        <n v="-115.2"/>
        <n v="-268.8"/>
      </sharedItems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Blank="1"/>
    </cacheField>
    <cacheField name="Вложение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"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0"/>
    <x v="0"/>
    <n v="27"/>
    <x v="0"/>
    <n v="27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1"/>
    <x v="1"/>
    <n v="36"/>
    <x v="1"/>
    <n v="36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2"/>
    <x v="2"/>
    <n v="202.5"/>
    <x v="2"/>
    <n v="202.5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3"/>
    <x v="3"/>
    <n v="4.4000000000000004"/>
    <x v="3"/>
    <n v="4.4000000000000004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4"/>
    <x v="4"/>
    <n v="13"/>
    <x v="4"/>
    <m/>
    <x v="1"/>
    <s v="ОгранПроизвМощностей"/>
    <s v="Производ"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5"/>
    <x v="5"/>
    <n v="54"/>
    <x v="4"/>
    <m/>
    <x v="2"/>
    <s v="ОгранПроизвМощностей"/>
    <s v="Производ"/>
    <s v="Нет"/>
    <m/>
    <m/>
    <m/>
    <s v="Нет"/>
    <s v="Логинов 21.08"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6"/>
    <x v="6"/>
    <n v="7.2"/>
    <x v="5"/>
    <n v="7.2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7"/>
    <x v="7"/>
    <n v="11.2"/>
    <x v="6"/>
    <n v="11.2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8"/>
    <x v="8"/>
    <n v="31.5"/>
    <x v="4"/>
    <m/>
    <x v="3"/>
    <s v="ОгранПроизвМощСпис"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9"/>
    <x v="9"/>
    <n v="120"/>
    <x v="7"/>
    <n v="120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10"/>
    <x v="10"/>
    <n v="72"/>
    <x v="4"/>
    <m/>
    <x v="4"/>
    <s v="ОгранПроизвМощностей"/>
    <s v="Производ"/>
    <s v="Нет"/>
    <m/>
    <m/>
    <m/>
    <s v="Нет"/>
    <s v="Логинов 21.08"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11"/>
    <x v="11"/>
    <n v="24"/>
    <x v="8"/>
    <n v="24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12"/>
    <x v="12"/>
    <n v="52"/>
    <x v="9"/>
    <n v="52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13"/>
    <x v="13"/>
    <n v="50.4"/>
    <x v="4"/>
    <m/>
    <x v="5"/>
    <s v="ОгранПроизвМощностей"/>
    <s v="Производ"/>
    <s v="Нет"/>
    <m/>
    <m/>
    <m/>
    <s v="Нет"/>
    <s v="Логинов 21.08"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14"/>
    <x v="14"/>
    <n v="31.5"/>
    <x v="4"/>
    <m/>
    <x v="3"/>
    <s v="ОгранПроизвМощностей"/>
    <s v="Производ"/>
    <s v="Нет"/>
    <m/>
    <m/>
    <m/>
    <s v="Нет"/>
    <s v="Логинов 22.08"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15"/>
    <x v="15"/>
    <n v="108"/>
    <x v="4"/>
    <m/>
    <x v="6"/>
    <s v="ОгранПроизвМощностей"/>
    <s v="Производ"/>
    <s v="Нет"/>
    <m/>
    <m/>
    <m/>
    <s v="Нет"/>
    <s v="Логинов 22.08"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16"/>
    <x v="16"/>
    <n v="15.3"/>
    <x v="10"/>
    <n v="15.3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17"/>
    <x v="17"/>
    <n v="36"/>
    <x v="1"/>
    <n v="36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18"/>
    <x v="18"/>
    <n v="10.5"/>
    <x v="11"/>
    <n v="10.5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19"/>
    <x v="19"/>
    <n v="120"/>
    <x v="7"/>
    <n v="120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20"/>
    <x v="20"/>
    <n v="24"/>
    <x v="8"/>
    <n v="24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21"/>
    <x v="21"/>
    <n v="31.5"/>
    <x v="12"/>
    <n v="31.5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22"/>
    <x v="22"/>
    <n v="144"/>
    <x v="13"/>
    <n v="144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23"/>
    <x v="23"/>
    <n v="91.2"/>
    <x v="14"/>
    <n v="91.2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24"/>
    <x v="24"/>
    <n v="273.60000000000002"/>
    <x v="15"/>
    <n v="273.60000000000002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25"/>
    <x v="25"/>
    <n v="88"/>
    <x v="16"/>
    <n v="8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2"/>
    <x v="2"/>
    <n v="226.8"/>
    <x v="17"/>
    <n v="226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26"/>
    <x v="26"/>
    <n v="108"/>
    <x v="18"/>
    <n v="1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27"/>
    <x v="27"/>
    <n v="226.8"/>
    <x v="17"/>
    <n v="226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28"/>
    <x v="28"/>
    <n v="205.2"/>
    <x v="4"/>
    <m/>
    <x v="7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29"/>
    <x v="29"/>
    <n v="52.2"/>
    <x v="19"/>
    <n v="52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9"/>
    <x v="9"/>
    <n v="201.6"/>
    <x v="4"/>
    <m/>
    <x v="8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10"/>
    <x v="10"/>
    <n v="40.799999999999997"/>
    <x v="20"/>
    <n v="40.79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18"/>
    <x v="18"/>
    <n v="35.700000000000003"/>
    <x v="21"/>
    <n v="35.70000000000000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30"/>
    <x v="30"/>
    <n v="35.700000000000003"/>
    <x v="4"/>
    <m/>
    <x v="9"/>
    <s v="ОгранПроизвМощностей"/>
    <s v="Производ"/>
    <s v="Нет"/>
    <m/>
    <m/>
    <m/>
    <s v="Нет"/>
    <s v="Логинов 29.08"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31"/>
    <x v="31"/>
    <n v="405"/>
    <x v="22"/>
    <n v="4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32"/>
    <x v="32"/>
    <n v="510"/>
    <x v="23"/>
    <n v="51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33"/>
    <x v="33"/>
    <n v="504"/>
    <x v="24"/>
    <n v="504"/>
    <x v="0"/>
    <s v="ВозврИзПодрезки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34"/>
    <x v="34"/>
    <n v="40.799999999999997"/>
    <x v="20"/>
    <n v="40.79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35"/>
    <x v="35"/>
    <n v="401.28"/>
    <x v="25"/>
    <n v="401.2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36"/>
    <x v="36"/>
    <n v="259.2"/>
    <x v="26"/>
    <n v="25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1"/>
    <x v="0"/>
    <x v="2"/>
    <d v="2026-08-30T16:00:00"/>
    <x v="1"/>
    <d v="2026-08-30T00:00:00"/>
    <d v="2026-08-30T16:00:00"/>
    <s v="596383_8"/>
    <s v="VLDR"/>
    <s v="ЦСК"/>
    <s v="Нет"/>
    <m/>
    <s v="Нет"/>
    <x v="31"/>
    <x v="31"/>
    <n v="300"/>
    <x v="27"/>
    <n v="3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1"/>
    <x v="0"/>
    <x v="2"/>
    <d v="2026-08-30T16:00:00"/>
    <x v="1"/>
    <d v="2026-08-30T00:00:00"/>
    <d v="2026-08-30T16:00:00"/>
    <s v="596383_8"/>
    <s v="VLDR"/>
    <s v="ЦСК"/>
    <s v="Нет"/>
    <m/>
    <s v="Нет"/>
    <x v="37"/>
    <x v="37"/>
    <n v="300"/>
    <x v="27"/>
    <n v="3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1"/>
    <x v="0"/>
    <x v="2"/>
    <d v="2026-08-30T16:00:00"/>
    <x v="1"/>
    <d v="2026-08-30T00:00:00"/>
    <d v="2026-08-30T16:00:00"/>
    <s v="596383_8"/>
    <s v="VLDR"/>
    <s v="ЦСК"/>
    <s v="Нет"/>
    <m/>
    <s v="Нет"/>
    <x v="38"/>
    <x v="38"/>
    <n v="401.28"/>
    <x v="25"/>
    <n v="401.2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1"/>
    <x v="0"/>
    <x v="2"/>
    <d v="2026-08-30T16:00:00"/>
    <x v="1"/>
    <d v="2026-08-30T00:00:00"/>
    <d v="2026-08-30T16:00:00"/>
    <s v="596383_8"/>
    <s v="VLDR"/>
    <s v="ЦСК"/>
    <s v="Нет"/>
    <m/>
    <s v="Нет"/>
    <x v="35"/>
    <x v="35"/>
    <n v="285.12"/>
    <x v="28"/>
    <n v="285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1"/>
    <x v="0"/>
    <x v="2"/>
    <d v="2026-08-30T16:00:00"/>
    <x v="1"/>
    <d v="2026-08-30T00:00:00"/>
    <d v="2026-08-30T16:00:00"/>
    <s v="596383_8"/>
    <s v="VLDR"/>
    <s v="ЦСК"/>
    <s v="Нет"/>
    <m/>
    <s v="Нет"/>
    <x v="39"/>
    <x v="39"/>
    <n v="251.1"/>
    <x v="29"/>
    <n v="251.1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40"/>
    <x v="40"/>
    <n v="54"/>
    <x v="30"/>
    <n v="54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41"/>
    <x v="41"/>
    <n v="324"/>
    <x v="31"/>
    <n v="324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2"/>
    <x v="2"/>
    <n v="54"/>
    <x v="30"/>
    <n v="54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26"/>
    <x v="26"/>
    <n v="108"/>
    <x v="18"/>
    <n v="108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42"/>
    <x v="42"/>
    <n v="43.2"/>
    <x v="32"/>
    <n v="43.2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39"/>
    <x v="39"/>
    <n v="1401.3"/>
    <x v="33"/>
    <n v="1401.3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43"/>
    <x v="43"/>
    <n v="21"/>
    <x v="4"/>
    <m/>
    <x v="10"/>
    <s v="ОгранПроизвМощностей"/>
    <s v="Производ"/>
    <s v="Нет"/>
    <m/>
    <m/>
    <m/>
    <s v="Нет"/>
    <s v="Логинов 29.08"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44"/>
    <x v="44"/>
    <n v="42"/>
    <x v="34"/>
    <n v="42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45"/>
    <x v="45"/>
    <n v="52.5"/>
    <x v="35"/>
    <n v="52.5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46"/>
    <x v="46"/>
    <n v="70.2"/>
    <x v="4"/>
    <m/>
    <x v="11"/>
    <s v="ОгранПроизвМощностей"/>
    <s v="Производ"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47"/>
    <x v="47"/>
    <n v="54"/>
    <x v="4"/>
    <m/>
    <x v="2"/>
    <s v="ОгранПроизвМощностей"/>
    <s v="Производ"/>
    <s v="Нет"/>
    <m/>
    <m/>
    <m/>
    <s v="Нет"/>
    <s v="Логинов 29.08"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9"/>
    <x v="9"/>
    <n v="96"/>
    <x v="4"/>
    <m/>
    <x v="12"/>
    <s v="ОгранПроизвМощностей"/>
    <s v="Производ"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48"/>
    <x v="48"/>
    <n v="803.4"/>
    <x v="36"/>
    <n v="803.4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16"/>
    <x v="16"/>
    <n v="5.0999999999999996"/>
    <x v="37"/>
    <n v="5.0999999999999996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31"/>
    <x v="31"/>
    <n v="1500"/>
    <x v="38"/>
    <n v="1500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49"/>
    <x v="49"/>
    <n v="750"/>
    <x v="39"/>
    <n v="750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32"/>
    <x v="32"/>
    <n v="1500"/>
    <x v="38"/>
    <n v="1500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37"/>
    <x v="37"/>
    <n v="750"/>
    <x v="39"/>
    <n v="750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50"/>
    <x v="50"/>
    <n v="207"/>
    <x v="4"/>
    <m/>
    <x v="13"/>
    <s v="ОгранПроизвМощностей"/>
    <s v="Производ"/>
    <s v="Нет"/>
    <m/>
    <m/>
    <m/>
    <s v="Нет"/>
    <s v="Логинов 29.08"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51"/>
    <x v="51"/>
    <n v="43.2"/>
    <x v="32"/>
    <n v="43.2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38"/>
    <x v="38"/>
    <n v="702.24"/>
    <x v="40"/>
    <n v="702.24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35"/>
    <x v="35"/>
    <n v="702.24"/>
    <x v="40"/>
    <n v="702.24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52"/>
    <x v="52"/>
    <n v="501.6"/>
    <x v="41"/>
    <n v="501.6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53"/>
    <x v="53"/>
    <n v="108"/>
    <x v="18"/>
    <n v="108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54"/>
    <x v="54"/>
    <n v="81"/>
    <x v="4"/>
    <m/>
    <x v="14"/>
    <s v="ОгранПроизвМощСпис"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36"/>
    <x v="36"/>
    <n v="108"/>
    <x v="18"/>
    <n v="108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4"/>
    <x v="0"/>
    <x v="4"/>
    <d v="2026-08-30T16:00:00"/>
    <x v="0"/>
    <d v="2026-08-30T00:00:00"/>
    <d v="2026-08-30T16:00:00"/>
    <s v="590704_7"/>
    <s v="VLDR"/>
    <s v="ЦСК"/>
    <s v="Нет"/>
    <m/>
    <s v="Нет"/>
    <x v="33"/>
    <x v="33"/>
    <n v="5004"/>
    <x v="42"/>
    <n v="5004"/>
    <x v="0"/>
    <s v="ВозврИзПодрезки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55"/>
    <x v="55"/>
    <n v="32.4"/>
    <x v="43"/>
    <n v="32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56"/>
    <x v="56"/>
    <n v="33.6"/>
    <x v="44"/>
    <n v="3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57"/>
    <x v="57"/>
    <n v="36"/>
    <x v="1"/>
    <n v="3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58"/>
    <x v="58"/>
    <n v="72"/>
    <x v="45"/>
    <n v="7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40"/>
    <x v="40"/>
    <n v="151.19999999999999"/>
    <x v="46"/>
    <n v="151.1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59"/>
    <x v="59"/>
    <n v="109.2"/>
    <x v="47"/>
    <n v="10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60"/>
    <x v="60"/>
    <n v="1.7"/>
    <x v="48"/>
    <n v="1.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61"/>
    <x v="61"/>
    <n v="54"/>
    <x v="30"/>
    <n v="5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41"/>
    <x v="41"/>
    <n v="542.70000000000005"/>
    <x v="49"/>
    <n v="542.700000000000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2"/>
    <x v="2"/>
    <n v="116.1"/>
    <x v="50"/>
    <n v="116.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26"/>
    <x v="26"/>
    <n v="151.19999999999999"/>
    <x v="46"/>
    <n v="151.1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42"/>
    <x v="42"/>
    <n v="129.6"/>
    <x v="51"/>
    <n v="12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4"/>
    <x v="4"/>
    <n v="2"/>
    <x v="4"/>
    <m/>
    <x v="15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62"/>
    <x v="62"/>
    <n v="60"/>
    <x v="52"/>
    <n v="6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39"/>
    <x v="39"/>
    <n v="461.7"/>
    <x v="53"/>
    <n v="461.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27"/>
    <x v="27"/>
    <n v="194.4"/>
    <x v="54"/>
    <n v="19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63"/>
    <x v="63"/>
    <n v="41.6"/>
    <x v="55"/>
    <n v="4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64"/>
    <x v="64"/>
    <n v="14"/>
    <x v="4"/>
    <m/>
    <x v="16"/>
    <s v="ОгранПроизвМощАут"/>
    <s v="Общие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65"/>
    <x v="65"/>
    <n v="13.2"/>
    <x v="4"/>
    <m/>
    <x v="17"/>
    <s v="ОгранПроизвМощАут"/>
    <s v="Общие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66"/>
    <x v="66"/>
    <n v="84"/>
    <x v="56"/>
    <n v="8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43"/>
    <x v="43"/>
    <n v="203"/>
    <x v="4"/>
    <m/>
    <x v="18"/>
    <s v="ОгранПроизвМощностей"/>
    <s v="Производ"/>
    <s v="Нет"/>
    <m/>
    <m/>
    <m/>
    <s v="Нет"/>
    <s v="Логинов 29.08"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67"/>
    <x v="67"/>
    <n v="150.5"/>
    <x v="57"/>
    <n v="150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68"/>
    <x v="68"/>
    <n v="252"/>
    <x v="4"/>
    <m/>
    <x v="19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69"/>
    <x v="69"/>
    <n v="7.2"/>
    <x v="4"/>
    <m/>
    <x v="20"/>
    <s v="НевыполМенееЛимРассл"/>
    <m/>
    <s v="Нет"/>
    <m/>
    <m/>
    <m/>
    <s v="Нет"/>
    <s v="Каростина ЦФО ДМ?"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70"/>
    <x v="70"/>
    <n v="53.76"/>
    <x v="58"/>
    <n v="53.7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71"/>
    <x v="71"/>
    <n v="7.2"/>
    <x v="5"/>
    <n v="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72"/>
    <x v="72"/>
    <n v="57.12"/>
    <x v="59"/>
    <n v="57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44"/>
    <x v="44"/>
    <n v="21"/>
    <x v="60"/>
    <n v="2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73"/>
    <x v="73"/>
    <n v="84"/>
    <x v="56"/>
    <n v="8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6"/>
    <x v="6"/>
    <n v="12"/>
    <x v="61"/>
    <n v="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74"/>
    <x v="74"/>
    <n v="35.700000000000003"/>
    <x v="4"/>
    <m/>
    <x v="9"/>
    <s v="ОгранПроизвМощностей"/>
    <s v="Производ"/>
    <s v="Нет"/>
    <m/>
    <m/>
    <m/>
    <s v="Нет"/>
    <s v="Логинов 29.08"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75"/>
    <x v="75"/>
    <n v="45"/>
    <x v="4"/>
    <m/>
    <x v="21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7"/>
    <x v="7"/>
    <n v="16"/>
    <x v="62"/>
    <n v="1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45"/>
    <x v="45"/>
    <n v="281.39999999999998"/>
    <x v="63"/>
    <n v="281.3999999999999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76"/>
    <x v="76"/>
    <n v="5.04"/>
    <x v="64"/>
    <n v="5.0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77"/>
    <x v="77"/>
    <n v="2.52"/>
    <x v="65"/>
    <n v="2.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46"/>
    <x v="46"/>
    <n v="151.19999999999999"/>
    <x v="4"/>
    <m/>
    <x v="22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47"/>
    <x v="47"/>
    <n v="205.2"/>
    <x v="4"/>
    <m/>
    <x v="7"/>
    <s v="ОгранПроизвМощностей"/>
    <s v="Производ"/>
    <s v="Нет"/>
    <m/>
    <m/>
    <m/>
    <s v="Нет"/>
    <s v="Логинов 29.08"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28"/>
    <x v="28"/>
    <n v="351"/>
    <x v="4"/>
    <m/>
    <x v="23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78"/>
    <x v="78"/>
    <n v="151.19999999999999"/>
    <x v="46"/>
    <n v="151.1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79"/>
    <x v="79"/>
    <n v="61.2"/>
    <x v="4"/>
    <m/>
    <x v="24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80"/>
    <x v="80"/>
    <n v="45"/>
    <x v="4"/>
    <m/>
    <x v="21"/>
    <s v="ОгранПроизвМощностей"/>
    <s v="Производ"/>
    <s v="Нет"/>
    <m/>
    <m/>
    <m/>
    <s v="Нет"/>
    <s v="Логинов 29.08"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81"/>
    <x v="81"/>
    <n v="30.6"/>
    <x v="4"/>
    <m/>
    <x v="25"/>
    <s v="ОгранПроизвМощностей"/>
    <s v="Производ"/>
    <s v="Нет"/>
    <m/>
    <m/>
    <m/>
    <s v="Нет"/>
    <s v="Логинов 29.08"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82"/>
    <x v="82"/>
    <n v="48.6"/>
    <x v="66"/>
    <n v="48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29"/>
    <x v="29"/>
    <n v="217.5"/>
    <x v="67"/>
    <n v="217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9"/>
    <x v="9"/>
    <n v="1480.8"/>
    <x v="68"/>
    <n v="148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10"/>
    <x v="10"/>
    <n v="120"/>
    <x v="7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83"/>
    <x v="83"/>
    <n v="55.2"/>
    <x v="69"/>
    <n v="55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84"/>
    <x v="84"/>
    <n v="60"/>
    <x v="52"/>
    <n v="6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85"/>
    <x v="85"/>
    <n v="33.6"/>
    <x v="4"/>
    <m/>
    <x v="26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12"/>
    <x v="12"/>
    <n v="12"/>
    <x v="61"/>
    <n v="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86"/>
    <x v="86"/>
    <n v="5.4"/>
    <x v="70"/>
    <n v="5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87"/>
    <x v="87"/>
    <n v="88.8"/>
    <x v="71"/>
    <n v="88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88"/>
    <x v="88"/>
    <n v="69.599999999999994"/>
    <x v="72"/>
    <n v="69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89"/>
    <x v="89"/>
    <n v="46.8"/>
    <x v="73"/>
    <n v="46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90"/>
    <x v="90"/>
    <n v="148.19999999999999"/>
    <x v="74"/>
    <n v="148.1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91"/>
    <x v="91"/>
    <n v="54"/>
    <x v="30"/>
    <n v="5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92"/>
    <x v="92"/>
    <n v="84"/>
    <x v="56"/>
    <n v="8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15"/>
    <x v="15"/>
    <n v="16.2"/>
    <x v="75"/>
    <n v="16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93"/>
    <x v="93"/>
    <n v="252"/>
    <x v="4"/>
    <m/>
    <x v="19"/>
    <s v="ОгранПроизвМощностей"/>
    <s v="Производ"/>
    <s v="Нет"/>
    <m/>
    <m/>
    <m/>
    <s v="Нет"/>
    <s v="Логинов 29.08"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48"/>
    <x v="48"/>
    <n v="1068.5999999999999"/>
    <x v="76"/>
    <n v="1068.5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94"/>
    <x v="94"/>
    <n v="26"/>
    <x v="77"/>
    <n v="2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95"/>
    <x v="95"/>
    <n v="16"/>
    <x v="62"/>
    <n v="1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17"/>
    <x v="17"/>
    <n v="38"/>
    <x v="78"/>
    <n v="3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18"/>
    <x v="18"/>
    <n v="46.2"/>
    <x v="79"/>
    <n v="46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30"/>
    <x v="30"/>
    <n v="35.700000000000003"/>
    <x v="4"/>
    <m/>
    <x v="9"/>
    <s v="ОгранПроизвМощностей"/>
    <s v="Производ"/>
    <s v="Нет"/>
    <m/>
    <m/>
    <m/>
    <s v="Нет"/>
    <s v="Логинов 29.08"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96"/>
    <x v="96"/>
    <n v="255"/>
    <x v="80"/>
    <n v="25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50"/>
    <x v="50"/>
    <n v="108"/>
    <x v="4"/>
    <m/>
    <x v="6"/>
    <s v="ОгранПроизвМощностей"/>
    <s v="Производ"/>
    <s v="Нет"/>
    <m/>
    <m/>
    <m/>
    <s v="Нет"/>
    <s v="Логинов 29.08"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33"/>
    <x v="33"/>
    <n v="1404"/>
    <x v="81"/>
    <n v="1404"/>
    <x v="0"/>
    <s v="ВозврИзПодрезки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34"/>
    <x v="34"/>
    <n v="4.8"/>
    <x v="82"/>
    <n v="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23"/>
    <x v="23"/>
    <n v="48"/>
    <x v="83"/>
    <n v="4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97"/>
    <x v="97"/>
    <n v="38.4"/>
    <x v="84"/>
    <n v="38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52"/>
    <x v="52"/>
    <n v="26.4"/>
    <x v="85"/>
    <n v="2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98"/>
    <x v="98"/>
    <n v="15.84"/>
    <x v="86"/>
    <n v="15.8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54"/>
    <x v="54"/>
    <n v="27"/>
    <x v="4"/>
    <m/>
    <x v="27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7"/>
    <x v="0"/>
    <x v="5"/>
    <d v="2026-08-30T16:00:00"/>
    <x v="2"/>
    <d v="2026-08-30T00:00:00"/>
    <d v="2026-08-30T16:00:00"/>
    <s v="596383_9"/>
    <s v="VLDR"/>
    <s v="ЦСК"/>
    <s v="Нет"/>
    <m/>
    <s v="Нет"/>
    <x v="99"/>
    <x v="99"/>
    <n v="30.6"/>
    <x v="87"/>
    <n v="30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66"/>
    <x v="0"/>
    <x v="6"/>
    <d v="2026-08-30T16:00:00"/>
    <x v="2"/>
    <d v="2026-08-30T00:00:00"/>
    <d v="2026-08-30T16:00:00"/>
    <s v="596383_9"/>
    <s v="VLDR"/>
    <s v="ЦСК"/>
    <s v="Нет"/>
    <m/>
    <s v="Нет"/>
    <x v="26"/>
    <x v="26"/>
    <n v="86.4"/>
    <x v="88"/>
    <n v="8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66"/>
    <x v="0"/>
    <x v="6"/>
    <d v="2026-08-30T16:00:00"/>
    <x v="2"/>
    <d v="2026-08-30T00:00:00"/>
    <d v="2026-08-30T16:00:00"/>
    <s v="596383_9"/>
    <s v="VLDR"/>
    <s v="ЦСК"/>
    <s v="Нет"/>
    <m/>
    <s v="Нет"/>
    <x v="48"/>
    <x v="48"/>
    <n v="62.4"/>
    <x v="89"/>
    <n v="62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66"/>
    <x v="0"/>
    <x v="6"/>
    <d v="2026-08-30T16:00:00"/>
    <x v="2"/>
    <d v="2026-08-30T00:00:00"/>
    <d v="2026-08-30T16:00:00"/>
    <s v="596383_9"/>
    <s v="VLDR"/>
    <s v="ЦСК"/>
    <s v="Нет"/>
    <m/>
    <s v="Нет"/>
    <x v="100"/>
    <x v="100"/>
    <n v="67.2"/>
    <x v="90"/>
    <n v="6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66"/>
    <x v="0"/>
    <x v="6"/>
    <d v="2026-08-30T16:00:00"/>
    <x v="2"/>
    <d v="2026-08-30T00:00:00"/>
    <d v="2026-08-30T16:00:00"/>
    <s v="596383_9"/>
    <s v="VLDR"/>
    <s v="ЦСК"/>
    <s v="Нет"/>
    <m/>
    <s v="Нет"/>
    <x v="31"/>
    <x v="31"/>
    <n v="120"/>
    <x v="7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66"/>
    <x v="0"/>
    <x v="6"/>
    <d v="2026-08-30T16:00:00"/>
    <x v="2"/>
    <d v="2026-08-30T00:00:00"/>
    <d v="2026-08-30T16:00:00"/>
    <s v="596383_9"/>
    <s v="VLDR"/>
    <s v="ЦСК"/>
    <s v="Нет"/>
    <m/>
    <s v="Нет"/>
    <x v="32"/>
    <x v="32"/>
    <n v="120"/>
    <x v="7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66"/>
    <x v="0"/>
    <x v="6"/>
    <d v="2026-08-30T16:00:00"/>
    <x v="2"/>
    <d v="2026-08-30T00:00:00"/>
    <d v="2026-08-30T16:00:00"/>
    <s v="596383_9"/>
    <s v="VLDR"/>
    <s v="ЦСК"/>
    <s v="Нет"/>
    <m/>
    <s v="Нет"/>
    <x v="50"/>
    <x v="50"/>
    <n v="72"/>
    <x v="4"/>
    <m/>
    <x v="4"/>
    <s v="ОгранПроизвМощностей"/>
    <s v="Производ"/>
    <s v="Нет"/>
    <m/>
    <m/>
    <m/>
    <s v="Нет"/>
    <s v="Логинов 29.08"/>
    <s v="Нет"/>
  </r>
  <r>
    <s v="596383"/>
    <s v="ОБЩЕСТВО С ОГРАНИЧЕННОЙ ОТВЕТСТВЕННОСТЬЮ &quot;НОВОЕ ВРЕМЯ&quot;"/>
    <s v="Нет"/>
    <s v="TSO001092166"/>
    <x v="0"/>
    <x v="6"/>
    <d v="2026-08-30T16:00:00"/>
    <x v="2"/>
    <d v="2026-08-30T00:00:00"/>
    <d v="2026-08-30T16:00:00"/>
    <s v="596383_9"/>
    <s v="VLDR"/>
    <s v="ЦСК"/>
    <s v="Нет"/>
    <m/>
    <s v="Нет"/>
    <x v="33"/>
    <x v="33"/>
    <n v="144"/>
    <x v="13"/>
    <n v="144"/>
    <x v="0"/>
    <s v="ВозврИзПодрезки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66"/>
    <x v="0"/>
    <x v="6"/>
    <d v="2026-08-30T16:00:00"/>
    <x v="2"/>
    <d v="2026-08-30T00:00:00"/>
    <d v="2026-08-30T16:00:00"/>
    <s v="596383_9"/>
    <s v="VLDR"/>
    <s v="ЦСК"/>
    <s v="Нет"/>
    <m/>
    <s v="Нет"/>
    <x v="34"/>
    <x v="34"/>
    <n v="33.6"/>
    <x v="44"/>
    <n v="3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66"/>
    <x v="0"/>
    <x v="6"/>
    <d v="2026-08-30T16:00:00"/>
    <x v="2"/>
    <d v="2026-08-30T00:00:00"/>
    <d v="2026-08-30T16:00:00"/>
    <s v="596383_9"/>
    <s v="VLDR"/>
    <s v="ЦСК"/>
    <s v="Нет"/>
    <m/>
    <s v="Нет"/>
    <x v="38"/>
    <x v="38"/>
    <n v="42.24"/>
    <x v="91"/>
    <n v="42.2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66"/>
    <x v="0"/>
    <x v="6"/>
    <d v="2026-08-30T16:00:00"/>
    <x v="2"/>
    <d v="2026-08-30T00:00:00"/>
    <d v="2026-08-30T16:00:00"/>
    <s v="596383_9"/>
    <s v="VLDR"/>
    <s v="ЦСК"/>
    <s v="Нет"/>
    <m/>
    <s v="Нет"/>
    <x v="101"/>
    <x v="101"/>
    <n v="84.48"/>
    <x v="92"/>
    <n v="84.4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66"/>
    <x v="0"/>
    <x v="6"/>
    <d v="2026-08-30T16:00:00"/>
    <x v="2"/>
    <d v="2026-08-30T00:00:00"/>
    <d v="2026-08-30T16:00:00"/>
    <s v="596383_9"/>
    <s v="VLDR"/>
    <s v="ЦСК"/>
    <s v="Нет"/>
    <m/>
    <s v="Нет"/>
    <x v="52"/>
    <x v="52"/>
    <n v="42.24"/>
    <x v="91"/>
    <n v="42.2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66"/>
    <x v="0"/>
    <x v="6"/>
    <d v="2026-08-30T16:00:00"/>
    <x v="2"/>
    <d v="2026-08-30T00:00:00"/>
    <d v="2026-08-30T16:00:00"/>
    <s v="596383_9"/>
    <s v="VLDR"/>
    <s v="ЦСК"/>
    <s v="Нет"/>
    <m/>
    <s v="Нет"/>
    <x v="59"/>
    <x v="59"/>
    <n v="62.4"/>
    <x v="89"/>
    <n v="62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56"/>
    <x v="56"/>
    <n v="89.6"/>
    <x v="93"/>
    <n v="8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102"/>
    <x v="102"/>
    <n v="172.8"/>
    <x v="94"/>
    <n v="17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40"/>
    <x v="40"/>
    <n v="172.8"/>
    <x v="94"/>
    <n v="17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59"/>
    <x v="59"/>
    <n v="124.8"/>
    <x v="95"/>
    <n v="12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103"/>
    <x v="103"/>
    <n v="259.2"/>
    <x v="26"/>
    <n v="25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41"/>
    <x v="41"/>
    <n v="194.4"/>
    <x v="54"/>
    <n v="19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2"/>
    <x v="2"/>
    <n v="37.799999999999997"/>
    <x v="96"/>
    <n v="37.79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26"/>
    <x v="26"/>
    <n v="432"/>
    <x v="97"/>
    <n v="43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39"/>
    <x v="39"/>
    <n v="194.4"/>
    <x v="54"/>
    <n v="19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44"/>
    <x v="44"/>
    <n v="50.4"/>
    <x v="98"/>
    <n v="50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73"/>
    <x v="73"/>
    <n v="252"/>
    <x v="99"/>
    <n v="2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74"/>
    <x v="74"/>
    <n v="37.799999999999997"/>
    <x v="4"/>
    <m/>
    <x v="28"/>
    <s v="ОгранПроизвМощностей"/>
    <s v="Производ"/>
    <s v="Нет"/>
    <m/>
    <m/>
    <m/>
    <s v="Нет"/>
    <s v="Логинов 29.08"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45"/>
    <x v="45"/>
    <n v="75.599999999999994"/>
    <x v="100"/>
    <n v="75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46"/>
    <x v="46"/>
    <n v="194.4"/>
    <x v="4"/>
    <m/>
    <x v="29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47"/>
    <x v="47"/>
    <n v="129.6"/>
    <x v="4"/>
    <m/>
    <x v="30"/>
    <s v="ОгранПроизвМощностей"/>
    <s v="Производ"/>
    <s v="Нет"/>
    <m/>
    <m/>
    <m/>
    <s v="Нет"/>
    <s v="Логинов 29.08"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28"/>
    <x v="28"/>
    <n v="64.8"/>
    <x v="4"/>
    <m/>
    <x v="31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78"/>
    <x v="78"/>
    <n v="194.4"/>
    <x v="54"/>
    <n v="19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29"/>
    <x v="29"/>
    <n v="139.19999999999999"/>
    <x v="101"/>
    <n v="139.1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104"/>
    <x v="104"/>
    <n v="115.2"/>
    <x v="4"/>
    <m/>
    <x v="32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10"/>
    <x v="10"/>
    <n v="86.4"/>
    <x v="88"/>
    <n v="8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84"/>
    <x v="84"/>
    <n v="57.6"/>
    <x v="102"/>
    <n v="57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87"/>
    <x v="87"/>
    <n v="28.8"/>
    <x v="103"/>
    <n v="28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88"/>
    <x v="88"/>
    <n v="57.6"/>
    <x v="102"/>
    <n v="57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93"/>
    <x v="93"/>
    <n v="268.8"/>
    <x v="4"/>
    <m/>
    <x v="33"/>
    <s v="ОгранПроизвМощностей"/>
    <s v="Производ"/>
    <s v="Нет"/>
    <m/>
    <m/>
    <m/>
    <s v="Нет"/>
    <s v="Логинов 29.08"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48"/>
    <x v="48"/>
    <n v="374.4"/>
    <x v="104"/>
    <n v="37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100"/>
    <x v="100"/>
    <n v="67.2"/>
    <x v="90"/>
    <n v="6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105"/>
    <x v="105"/>
    <n v="64.8"/>
    <x v="105"/>
    <n v="64.8"/>
    <x v="0"/>
    <s v="ВозврИзПодрезки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31"/>
    <x v="31"/>
    <n v="360"/>
    <x v="106"/>
    <n v="36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49"/>
    <x v="49"/>
    <n v="240"/>
    <x v="107"/>
    <n v="24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32"/>
    <x v="32"/>
    <n v="270"/>
    <x v="108"/>
    <n v="27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37"/>
    <x v="37"/>
    <n v="120"/>
    <x v="7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50"/>
    <x v="50"/>
    <n v="72"/>
    <x v="4"/>
    <m/>
    <x v="4"/>
    <s v="ОгранПроизвМощностей"/>
    <s v="Производ"/>
    <s v="Нет"/>
    <m/>
    <m/>
    <m/>
    <s v="Нет"/>
    <s v="Логинов 29.08"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106"/>
    <x v="106"/>
    <n v="120"/>
    <x v="7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33"/>
    <x v="33"/>
    <n v="72"/>
    <x v="45"/>
    <n v="72"/>
    <x v="0"/>
    <s v="ВозврИзПодрезки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34"/>
    <x v="34"/>
    <n v="57.6"/>
    <x v="102"/>
    <n v="57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38"/>
    <x v="38"/>
    <n v="84.48"/>
    <x v="92"/>
    <n v="84.4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101"/>
    <x v="101"/>
    <n v="211.2"/>
    <x v="109"/>
    <n v="211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35"/>
    <x v="35"/>
    <n v="42.24"/>
    <x v="91"/>
    <n v="42.2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107"/>
    <x v="107"/>
    <n v="42.24"/>
    <x v="91"/>
    <n v="42.2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52"/>
    <x v="52"/>
    <n v="84.48"/>
    <x v="92"/>
    <n v="84.4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98"/>
    <x v="98"/>
    <n v="84.48"/>
    <x v="92"/>
    <n v="84.4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7"/>
    <d v="2026-08-30T16:00:00"/>
    <x v="2"/>
    <d v="2026-08-30T00:00:00"/>
    <d v="2026-08-30T16:00:00"/>
    <s v="596383_9"/>
    <s v="VLDR"/>
    <s v="ЦСК"/>
    <s v="Нет"/>
    <m/>
    <s v="Нет"/>
    <x v="36"/>
    <x v="36"/>
    <n v="518.4"/>
    <x v="110"/>
    <n v="518.4"/>
    <x v="0"/>
    <m/>
    <m/>
    <s v="Нет"/>
    <m/>
    <m/>
    <m/>
    <s v="Нет"/>
    <m/>
    <s v="Нет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4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H207" firstHeaderRow="0" firstDataRow="1" firstDataCol="5"/>
  <pivotFields count="31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4" outline="0" showAll="0" defaultSubtotal="0">
      <items count="1">
        <item x="0"/>
      </items>
    </pivotField>
    <pivotField axis="axisRow" compact="0" outline="0" showAll="0" defaultSubtotal="0">
      <items count="8">
        <item x="0"/>
        <item x="3"/>
        <item x="2"/>
        <item x="6"/>
        <item x="1"/>
        <item x="7"/>
        <item x="5"/>
        <item x="4"/>
      </items>
    </pivotField>
    <pivotField compact="0" numFmtId="19" outline="0" showAll="0" defaultSubtotal="0"/>
    <pivotField axis="axisRow" compact="0" outline="0" showAll="0" defaultSubtotal="0">
      <items count="3">
        <item x="0"/>
        <item x="1"/>
        <item x="2"/>
      </items>
    </pivotField>
    <pivotField compact="0" numFmtId="14" outline="0" showAll="0" defaultSubtotal="0"/>
    <pivotField compact="0" numFmtId="1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8">
        <item x="37"/>
        <item x="48"/>
        <item x="36"/>
        <item x="93"/>
        <item x="100"/>
        <item x="25"/>
        <item x="41"/>
        <item x="2"/>
        <item x="27"/>
        <item x="39"/>
        <item x="92"/>
        <item x="105"/>
        <item x="16"/>
        <item x="101"/>
        <item x="20"/>
        <item x="35"/>
        <item x="33"/>
        <item x="107"/>
        <item x="98"/>
        <item x="52"/>
        <item x="34"/>
        <item x="15"/>
        <item x="22"/>
        <item x="50"/>
        <item x="60"/>
        <item x="4"/>
        <item x="17"/>
        <item x="21"/>
        <item x="51"/>
        <item x="14"/>
        <item x="9"/>
        <item x="10"/>
        <item x="24"/>
        <item x="23"/>
        <item x="38"/>
        <item x="97"/>
        <item x="54"/>
        <item x="74"/>
        <item x="83"/>
        <item x="29"/>
        <item x="62"/>
        <item x="44"/>
        <item x="8"/>
        <item x="85"/>
        <item x="88"/>
        <item x="87"/>
        <item x="53"/>
        <item x="58"/>
        <item x="61"/>
        <item x="0"/>
        <item x="40"/>
        <item x="102"/>
        <item x="103"/>
        <item x="57"/>
        <item x="42"/>
        <item x="59"/>
        <item x="95"/>
        <item x="94"/>
        <item x="104"/>
        <item x="84"/>
        <item x="82"/>
        <item x="73"/>
        <item x="45"/>
        <item x="26"/>
        <item x="46"/>
        <item x="80"/>
        <item x="47"/>
        <item x="79"/>
        <item x="28"/>
        <item x="78"/>
        <item x="81"/>
        <item x="63"/>
        <item x="65"/>
        <item x="64"/>
        <item x="18"/>
        <item x="30"/>
        <item x="7"/>
        <item x="12"/>
        <item x="11"/>
        <item x="1"/>
        <item x="5"/>
        <item x="13"/>
        <item x="91"/>
        <item x="32"/>
        <item x="19"/>
        <item x="31"/>
        <item x="49"/>
        <item x="106"/>
        <item x="56"/>
        <item x="55"/>
        <item x="3"/>
        <item x="71"/>
        <item x="69"/>
        <item x="75"/>
        <item x="76"/>
        <item x="77"/>
        <item x="86"/>
        <item x="99"/>
        <item x="6"/>
        <item x="70"/>
        <item x="43"/>
        <item x="72"/>
        <item x="68"/>
        <item x="67"/>
        <item x="89"/>
        <item x="90"/>
        <item x="96"/>
        <item x="66"/>
      </items>
    </pivotField>
    <pivotField axis="axisRow" compact="0" outline="0" showAll="0" defaultSubtotal="0">
      <items count="108">
        <item x="107"/>
        <item x="52"/>
        <item x="98"/>
        <item x="46"/>
        <item x="79"/>
        <item x="47"/>
        <item x="80"/>
        <item x="92"/>
        <item x="73"/>
        <item x="45"/>
        <item x="14"/>
        <item x="21"/>
        <item x="96"/>
        <item x="23"/>
        <item x="38"/>
        <item x="60"/>
        <item x="101"/>
        <item x="24"/>
        <item x="11"/>
        <item x="31"/>
        <item x="89"/>
        <item x="66"/>
        <item x="90"/>
        <item x="53"/>
        <item x="26"/>
        <item x="3"/>
        <item x="49"/>
        <item x="12"/>
        <item x="91"/>
        <item x="106"/>
        <item x="32"/>
        <item x="19"/>
        <item x="56"/>
        <item x="102"/>
        <item x="58"/>
        <item x="36"/>
        <item x="25"/>
        <item x="103"/>
        <item x="61"/>
        <item x="8"/>
        <item x="97"/>
        <item x="42"/>
        <item x="4"/>
        <item x="62"/>
        <item x="40"/>
        <item x="35"/>
        <item x="37"/>
        <item x="20"/>
        <item x="86"/>
        <item x="63"/>
        <item x="57"/>
        <item x="44"/>
        <item x="74"/>
        <item x="6"/>
        <item x="51"/>
        <item x="69"/>
        <item x="43"/>
        <item x="70"/>
        <item x="75"/>
        <item x="7"/>
        <item x="68"/>
        <item x="72"/>
        <item x="67"/>
        <item x="71"/>
        <item x="64"/>
        <item x="28"/>
        <item x="78"/>
        <item x="81"/>
        <item x="15"/>
        <item x="94"/>
        <item x="95"/>
        <item x="17"/>
        <item x="16"/>
        <item x="93"/>
        <item x="85"/>
        <item x="50"/>
        <item x="48"/>
        <item x="59"/>
        <item x="100"/>
        <item x="30"/>
        <item x="18"/>
        <item x="13"/>
        <item x="54"/>
        <item x="41"/>
        <item x="2"/>
        <item x="33"/>
        <item x="34"/>
        <item x="99"/>
        <item x="39"/>
        <item x="27"/>
        <item x="5"/>
        <item x="55"/>
        <item x="104"/>
        <item x="87"/>
        <item x="9"/>
        <item x="10"/>
        <item x="82"/>
        <item x="84"/>
        <item x="29"/>
        <item x="1"/>
        <item x="0"/>
        <item x="105"/>
        <item x="22"/>
        <item x="65"/>
        <item x="88"/>
        <item x="83"/>
        <item x="77"/>
        <item x="76"/>
      </items>
    </pivotField>
    <pivotField dataField="1" compact="0" numFmtId="4" outline="0" showAll="0" defaultSubtotal="0"/>
    <pivotField dataField="1" compact="0" outline="0" showAll="0" defaultSubtotal="0">
      <items count="111">
        <item x="48"/>
        <item x="65"/>
        <item x="3"/>
        <item x="82"/>
        <item x="64"/>
        <item x="37"/>
        <item x="70"/>
        <item x="5"/>
        <item x="11"/>
        <item x="6"/>
        <item x="61"/>
        <item x="10"/>
        <item x="86"/>
        <item x="62"/>
        <item x="75"/>
        <item x="60"/>
        <item x="8"/>
        <item x="77"/>
        <item x="85"/>
        <item x="0"/>
        <item x="103"/>
        <item x="87"/>
        <item x="12"/>
        <item x="43"/>
        <item x="44"/>
        <item x="21"/>
        <item x="1"/>
        <item x="96"/>
        <item x="78"/>
        <item x="84"/>
        <item x="20"/>
        <item x="55"/>
        <item x="34"/>
        <item x="91"/>
        <item x="32"/>
        <item x="79"/>
        <item x="73"/>
        <item x="83"/>
        <item x="66"/>
        <item x="98"/>
        <item x="9"/>
        <item x="19"/>
        <item x="35"/>
        <item x="58"/>
        <item x="30"/>
        <item x="69"/>
        <item x="59"/>
        <item x="102"/>
        <item x="52"/>
        <item x="89"/>
        <item x="105"/>
        <item x="90"/>
        <item x="72"/>
        <item x="45"/>
        <item x="100"/>
        <item x="56"/>
        <item x="92"/>
        <item x="88"/>
        <item x="16"/>
        <item x="71"/>
        <item x="93"/>
        <item x="14"/>
        <item x="18"/>
        <item x="47"/>
        <item x="50"/>
        <item x="7"/>
        <item x="95"/>
        <item x="51"/>
        <item x="101"/>
        <item x="13"/>
        <item x="74"/>
        <item x="57"/>
        <item x="46"/>
        <item x="94"/>
        <item x="54"/>
        <item x="2"/>
        <item x="109"/>
        <item x="67"/>
        <item x="17"/>
        <item x="107"/>
        <item x="29"/>
        <item x="99"/>
        <item x="80"/>
        <item x="26"/>
        <item x="108"/>
        <item x="15"/>
        <item x="63"/>
        <item x="28"/>
        <item x="27"/>
        <item x="31"/>
        <item x="106"/>
        <item x="104"/>
        <item x="25"/>
        <item x="22"/>
        <item x="97"/>
        <item x="53"/>
        <item x="41"/>
        <item x="24"/>
        <item x="23"/>
        <item x="110"/>
        <item x="49"/>
        <item x="40"/>
        <item x="39"/>
        <item x="36"/>
        <item x="76"/>
        <item x="33"/>
        <item x="81"/>
        <item x="68"/>
        <item x="38"/>
        <item x="42"/>
        <item x="4"/>
      </items>
    </pivotField>
    <pivotField compact="0" outline="0" showAll="0" defaultSubtotal="0"/>
    <pivotField dataField="1" compact="0" outline="0" showAll="0" defaultSubtotal="0">
      <items count="34">
        <item x="23"/>
        <item x="33"/>
        <item x="19"/>
        <item x="13"/>
        <item x="7"/>
        <item x="18"/>
        <item x="8"/>
        <item x="29"/>
        <item x="22"/>
        <item x="30"/>
        <item x="32"/>
        <item x="6"/>
        <item x="12"/>
        <item x="14"/>
        <item x="4"/>
        <item x="11"/>
        <item x="31"/>
        <item x="24"/>
        <item x="2"/>
        <item x="5"/>
        <item x="21"/>
        <item x="28"/>
        <item x="9"/>
        <item x="26"/>
        <item x="3"/>
        <item x="25"/>
        <item x="27"/>
        <item x="10"/>
        <item x="16"/>
        <item x="17"/>
        <item x="1"/>
        <item x="20"/>
        <item x="15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5">
    <field x="4"/>
    <field x="5"/>
    <field x="7"/>
    <field x="16"/>
    <field x="17"/>
  </rowFields>
  <rowItems count="204">
    <i>
      <x/>
      <x/>
      <x/>
      <x v="5"/>
      <x v="36"/>
    </i>
    <i r="3">
      <x v="7"/>
      <x v="84"/>
    </i>
    <i r="3">
      <x v="12"/>
      <x v="72"/>
    </i>
    <i r="3">
      <x v="14"/>
      <x v="47"/>
    </i>
    <i r="3">
      <x v="21"/>
      <x v="68"/>
    </i>
    <i r="3">
      <x v="22"/>
      <x v="102"/>
    </i>
    <i r="3">
      <x v="25"/>
      <x v="42"/>
    </i>
    <i r="3">
      <x v="26"/>
      <x v="71"/>
    </i>
    <i r="3">
      <x v="27"/>
      <x v="11"/>
    </i>
    <i r="3">
      <x v="29"/>
      <x v="10"/>
    </i>
    <i r="3">
      <x v="30"/>
      <x v="94"/>
    </i>
    <i r="3">
      <x v="31"/>
      <x v="95"/>
    </i>
    <i r="3">
      <x v="32"/>
      <x v="17"/>
    </i>
    <i r="3">
      <x v="33"/>
      <x v="13"/>
    </i>
    <i r="3">
      <x v="42"/>
      <x v="39"/>
    </i>
    <i r="3">
      <x v="49"/>
      <x v="100"/>
    </i>
    <i r="3">
      <x v="74"/>
      <x v="80"/>
    </i>
    <i r="3">
      <x v="76"/>
      <x v="59"/>
    </i>
    <i r="3">
      <x v="77"/>
      <x v="27"/>
    </i>
    <i r="3">
      <x v="78"/>
      <x v="18"/>
    </i>
    <i r="3">
      <x v="79"/>
      <x v="99"/>
    </i>
    <i r="3">
      <x v="80"/>
      <x v="90"/>
    </i>
    <i r="3">
      <x v="81"/>
      <x v="81"/>
    </i>
    <i r="3">
      <x v="84"/>
      <x v="31"/>
    </i>
    <i r="3">
      <x v="90"/>
      <x v="25"/>
    </i>
    <i r="3">
      <x v="98"/>
      <x v="53"/>
    </i>
    <i r="1">
      <x v="1"/>
      <x/>
      <x/>
      <x v="46"/>
    </i>
    <i r="3">
      <x v="1"/>
      <x v="76"/>
    </i>
    <i r="3">
      <x v="2"/>
      <x v="35"/>
    </i>
    <i r="3">
      <x v="6"/>
      <x v="83"/>
    </i>
    <i r="3">
      <x v="7"/>
      <x v="84"/>
    </i>
    <i r="3">
      <x v="9"/>
      <x v="88"/>
    </i>
    <i r="3">
      <x v="12"/>
      <x v="72"/>
    </i>
    <i r="3">
      <x v="15"/>
      <x v="45"/>
    </i>
    <i r="3">
      <x v="19"/>
      <x v="1"/>
    </i>
    <i r="3">
      <x v="23"/>
      <x v="75"/>
    </i>
    <i r="3">
      <x v="28"/>
      <x v="54"/>
    </i>
    <i r="3">
      <x v="30"/>
      <x v="94"/>
    </i>
    <i r="3">
      <x v="34"/>
      <x v="14"/>
    </i>
    <i r="3">
      <x v="36"/>
      <x v="82"/>
    </i>
    <i r="3">
      <x v="41"/>
      <x v="51"/>
    </i>
    <i r="3">
      <x v="46"/>
      <x v="23"/>
    </i>
    <i r="3">
      <x v="50"/>
      <x v="44"/>
    </i>
    <i r="3">
      <x v="54"/>
      <x v="41"/>
    </i>
    <i r="3">
      <x v="62"/>
      <x v="9"/>
    </i>
    <i r="3">
      <x v="63"/>
      <x v="24"/>
    </i>
    <i r="3">
      <x v="64"/>
      <x v="3"/>
    </i>
    <i r="3">
      <x v="66"/>
      <x v="5"/>
    </i>
    <i r="3">
      <x v="83"/>
      <x v="30"/>
    </i>
    <i r="3">
      <x v="85"/>
      <x v="19"/>
    </i>
    <i r="3">
      <x v="86"/>
      <x v="26"/>
    </i>
    <i r="3">
      <x v="100"/>
      <x v="56"/>
    </i>
    <i r="1">
      <x v="2"/>
      <x v="1"/>
      <x/>
      <x v="46"/>
    </i>
    <i r="3">
      <x v="9"/>
      <x v="88"/>
    </i>
    <i r="3">
      <x v="15"/>
      <x v="45"/>
    </i>
    <i r="3">
      <x v="34"/>
      <x v="14"/>
    </i>
    <i r="3">
      <x v="85"/>
      <x v="19"/>
    </i>
    <i r="1">
      <x v="3"/>
      <x v="2"/>
      <x v="1"/>
      <x v="76"/>
    </i>
    <i r="3">
      <x v="4"/>
      <x v="78"/>
    </i>
    <i r="3">
      <x v="13"/>
      <x v="16"/>
    </i>
    <i r="3">
      <x v="16"/>
      <x v="85"/>
    </i>
    <i r="3">
      <x v="19"/>
      <x v="1"/>
    </i>
    <i r="3">
      <x v="20"/>
      <x v="86"/>
    </i>
    <i r="3">
      <x v="23"/>
      <x v="75"/>
    </i>
    <i r="3">
      <x v="34"/>
      <x v="14"/>
    </i>
    <i r="3">
      <x v="55"/>
      <x v="77"/>
    </i>
    <i r="3">
      <x v="63"/>
      <x v="24"/>
    </i>
    <i r="3">
      <x v="83"/>
      <x v="30"/>
    </i>
    <i r="3">
      <x v="85"/>
      <x v="19"/>
    </i>
    <i r="1">
      <x v="4"/>
      <x v="1"/>
      <x v="2"/>
      <x v="35"/>
    </i>
    <i r="3">
      <x v="7"/>
      <x v="84"/>
    </i>
    <i r="3">
      <x v="8"/>
      <x v="89"/>
    </i>
    <i r="3">
      <x v="15"/>
      <x v="45"/>
    </i>
    <i r="3">
      <x v="16"/>
      <x v="85"/>
    </i>
    <i r="3">
      <x v="20"/>
      <x v="86"/>
    </i>
    <i r="3">
      <x v="30"/>
      <x v="94"/>
    </i>
    <i r="3">
      <x v="31"/>
      <x v="95"/>
    </i>
    <i r="3">
      <x v="39"/>
      <x v="98"/>
    </i>
    <i r="3">
      <x v="63"/>
      <x v="24"/>
    </i>
    <i r="3">
      <x v="68"/>
      <x v="65"/>
    </i>
    <i r="3">
      <x v="74"/>
      <x v="80"/>
    </i>
    <i r="3">
      <x v="75"/>
      <x v="79"/>
    </i>
    <i r="3">
      <x v="83"/>
      <x v="30"/>
    </i>
    <i r="3">
      <x v="85"/>
      <x v="19"/>
    </i>
    <i r="1">
      <x v="5"/>
      <x v="2"/>
      <x/>
      <x v="46"/>
    </i>
    <i r="3">
      <x v="1"/>
      <x v="76"/>
    </i>
    <i r="3">
      <x v="2"/>
      <x v="35"/>
    </i>
    <i r="3">
      <x v="3"/>
      <x v="73"/>
    </i>
    <i r="3">
      <x v="4"/>
      <x v="78"/>
    </i>
    <i r="3">
      <x v="6"/>
      <x v="83"/>
    </i>
    <i r="3">
      <x v="7"/>
      <x v="84"/>
    </i>
    <i r="3">
      <x v="9"/>
      <x v="88"/>
    </i>
    <i r="3">
      <x v="11"/>
      <x v="101"/>
    </i>
    <i r="3">
      <x v="13"/>
      <x v="16"/>
    </i>
    <i r="3">
      <x v="15"/>
      <x v="45"/>
    </i>
    <i r="3">
      <x v="16"/>
      <x v="85"/>
    </i>
    <i r="3">
      <x v="17"/>
      <x/>
    </i>
    <i r="3">
      <x v="18"/>
      <x v="2"/>
    </i>
    <i r="3">
      <x v="19"/>
      <x v="1"/>
    </i>
    <i r="3">
      <x v="20"/>
      <x v="86"/>
    </i>
    <i r="3">
      <x v="23"/>
      <x v="75"/>
    </i>
    <i r="3">
      <x v="31"/>
      <x v="95"/>
    </i>
    <i r="3">
      <x v="34"/>
      <x v="14"/>
    </i>
    <i r="3">
      <x v="37"/>
      <x v="52"/>
    </i>
    <i r="3">
      <x v="39"/>
      <x v="98"/>
    </i>
    <i r="3">
      <x v="41"/>
      <x v="51"/>
    </i>
    <i r="3">
      <x v="44"/>
      <x v="104"/>
    </i>
    <i r="3">
      <x v="45"/>
      <x v="93"/>
    </i>
    <i r="3">
      <x v="50"/>
      <x v="44"/>
    </i>
    <i r="3">
      <x v="51"/>
      <x v="33"/>
    </i>
    <i r="3">
      <x v="52"/>
      <x v="37"/>
    </i>
    <i r="3">
      <x v="55"/>
      <x v="77"/>
    </i>
    <i r="3">
      <x v="58"/>
      <x v="92"/>
    </i>
    <i r="3">
      <x v="59"/>
      <x v="97"/>
    </i>
    <i r="3">
      <x v="61"/>
      <x v="8"/>
    </i>
    <i r="3">
      <x v="62"/>
      <x v="9"/>
    </i>
    <i r="3">
      <x v="63"/>
      <x v="24"/>
    </i>
    <i r="3">
      <x v="64"/>
      <x v="3"/>
    </i>
    <i r="3">
      <x v="66"/>
      <x v="5"/>
    </i>
    <i r="3">
      <x v="68"/>
      <x v="65"/>
    </i>
    <i r="3">
      <x v="69"/>
      <x v="66"/>
    </i>
    <i r="3">
      <x v="83"/>
      <x v="30"/>
    </i>
    <i r="3">
      <x v="85"/>
      <x v="19"/>
    </i>
    <i r="3">
      <x v="86"/>
      <x v="26"/>
    </i>
    <i r="3">
      <x v="87"/>
      <x v="29"/>
    </i>
    <i r="3">
      <x v="88"/>
      <x v="32"/>
    </i>
    <i r="1">
      <x v="6"/>
      <x v="2"/>
      <x v="1"/>
      <x v="76"/>
    </i>
    <i r="3">
      <x v="3"/>
      <x v="73"/>
    </i>
    <i r="3">
      <x v="6"/>
      <x v="83"/>
    </i>
    <i r="3">
      <x v="7"/>
      <x v="84"/>
    </i>
    <i r="3">
      <x v="8"/>
      <x v="89"/>
    </i>
    <i r="3">
      <x v="9"/>
      <x v="88"/>
    </i>
    <i r="3">
      <x v="10"/>
      <x v="7"/>
    </i>
    <i r="3">
      <x v="16"/>
      <x v="85"/>
    </i>
    <i r="3">
      <x v="18"/>
      <x v="2"/>
    </i>
    <i r="3">
      <x v="19"/>
      <x v="1"/>
    </i>
    <i r="3">
      <x v="20"/>
      <x v="86"/>
    </i>
    <i r="3">
      <x v="21"/>
      <x v="68"/>
    </i>
    <i r="3">
      <x v="23"/>
      <x v="75"/>
    </i>
    <i r="3">
      <x v="24"/>
      <x v="15"/>
    </i>
    <i r="3">
      <x v="25"/>
      <x v="42"/>
    </i>
    <i r="3">
      <x v="26"/>
      <x v="71"/>
    </i>
    <i r="3">
      <x v="30"/>
      <x v="94"/>
    </i>
    <i r="3">
      <x v="31"/>
      <x v="95"/>
    </i>
    <i r="3">
      <x v="33"/>
      <x v="13"/>
    </i>
    <i r="3">
      <x v="35"/>
      <x v="40"/>
    </i>
    <i r="3">
      <x v="36"/>
      <x v="82"/>
    </i>
    <i r="3">
      <x v="37"/>
      <x v="52"/>
    </i>
    <i r="3">
      <x v="38"/>
      <x v="105"/>
    </i>
    <i r="3">
      <x v="39"/>
      <x v="98"/>
    </i>
    <i r="3">
      <x v="40"/>
      <x v="43"/>
    </i>
    <i r="3">
      <x v="41"/>
      <x v="51"/>
    </i>
    <i r="3">
      <x v="43"/>
      <x v="74"/>
    </i>
    <i r="3">
      <x v="44"/>
      <x v="104"/>
    </i>
    <i r="3">
      <x v="45"/>
      <x v="93"/>
    </i>
    <i r="3">
      <x v="47"/>
      <x v="34"/>
    </i>
    <i r="3">
      <x v="48"/>
      <x v="38"/>
    </i>
    <i r="3">
      <x v="50"/>
      <x v="44"/>
    </i>
    <i r="3">
      <x v="53"/>
      <x v="50"/>
    </i>
    <i r="3">
      <x v="54"/>
      <x v="41"/>
    </i>
    <i r="3">
      <x v="55"/>
      <x v="77"/>
    </i>
    <i r="3">
      <x v="56"/>
      <x v="70"/>
    </i>
    <i r="3">
      <x v="57"/>
      <x v="69"/>
    </i>
    <i r="3">
      <x v="59"/>
      <x v="97"/>
    </i>
    <i r="3">
      <x v="60"/>
      <x v="96"/>
    </i>
    <i r="3">
      <x v="61"/>
      <x v="8"/>
    </i>
    <i r="3">
      <x v="62"/>
      <x v="9"/>
    </i>
    <i r="3">
      <x v="63"/>
      <x v="24"/>
    </i>
    <i r="3">
      <x v="64"/>
      <x v="3"/>
    </i>
    <i r="3">
      <x v="65"/>
      <x v="6"/>
    </i>
    <i r="3">
      <x v="66"/>
      <x v="5"/>
    </i>
    <i r="3">
      <x v="67"/>
      <x v="4"/>
    </i>
    <i r="3">
      <x v="68"/>
      <x v="65"/>
    </i>
    <i r="3">
      <x v="69"/>
      <x v="66"/>
    </i>
    <i r="3">
      <x v="70"/>
      <x v="67"/>
    </i>
    <i r="3">
      <x v="71"/>
      <x v="49"/>
    </i>
    <i r="3">
      <x v="72"/>
      <x v="103"/>
    </i>
    <i r="3">
      <x v="73"/>
      <x v="64"/>
    </i>
    <i r="3">
      <x v="74"/>
      <x v="80"/>
    </i>
    <i r="3">
      <x v="75"/>
      <x v="79"/>
    </i>
    <i r="3">
      <x v="76"/>
      <x v="59"/>
    </i>
    <i r="3">
      <x v="77"/>
      <x v="27"/>
    </i>
    <i r="3">
      <x v="82"/>
      <x v="28"/>
    </i>
    <i r="3">
      <x v="88"/>
      <x v="32"/>
    </i>
    <i r="3">
      <x v="89"/>
      <x v="91"/>
    </i>
    <i r="3">
      <x v="91"/>
      <x v="63"/>
    </i>
    <i r="3">
      <x v="92"/>
      <x v="55"/>
    </i>
    <i r="3">
      <x v="93"/>
      <x v="58"/>
    </i>
    <i r="3">
      <x v="94"/>
      <x v="107"/>
    </i>
    <i r="3">
      <x v="95"/>
      <x v="106"/>
    </i>
    <i r="3">
      <x v="96"/>
      <x v="48"/>
    </i>
    <i r="3">
      <x v="97"/>
      <x v="87"/>
    </i>
    <i r="3">
      <x v="98"/>
      <x v="53"/>
    </i>
    <i r="3">
      <x v="99"/>
      <x v="57"/>
    </i>
    <i r="3">
      <x v="100"/>
      <x v="56"/>
    </i>
    <i r="3">
      <x v="101"/>
      <x v="61"/>
    </i>
    <i r="3">
      <x v="102"/>
      <x v="60"/>
    </i>
    <i r="3">
      <x v="103"/>
      <x v="62"/>
    </i>
    <i r="3">
      <x v="104"/>
      <x v="20"/>
    </i>
    <i r="3">
      <x v="105"/>
      <x v="22"/>
    </i>
    <i r="3">
      <x v="106"/>
      <x v="12"/>
    </i>
    <i r="3">
      <x v="107"/>
      <x v="21"/>
    </i>
    <i r="1">
      <x v="7"/>
      <x/>
      <x v="16"/>
      <x v="8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Заказано" fld="18" baseField="0" baseItem="0"/>
    <dataField name="Сумма по полю Согласовано" fld="19" baseField="4" baseItem="0"/>
    <dataField name="Сумма по полю Урезание" fld="21" baseField="4" baseItem="0"/>
  </dataFields>
  <formats count="677">
    <format dxfId="676">
      <pivotArea outline="0" collapsedLevelsAreSubtotals="1" fieldPosition="0"/>
    </format>
    <format dxfId="67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74">
      <pivotArea type="all" dataOnly="0" outline="0" fieldPosition="0"/>
    </format>
    <format dxfId="673">
      <pivotArea outline="0" collapsedLevelsAreSubtotals="1" fieldPosition="0"/>
    </format>
    <format dxfId="672">
      <pivotArea field="4" type="button" dataOnly="0" labelOnly="1" outline="0" axis="axisRow" fieldPosition="0"/>
    </format>
    <format dxfId="671">
      <pivotArea field="5" type="button" dataOnly="0" labelOnly="1" outline="0" axis="axisRow" fieldPosition="1"/>
    </format>
    <format dxfId="670">
      <pivotArea field="7" type="button" dataOnly="0" labelOnly="1" outline="0" axis="axisRow" fieldPosition="2"/>
    </format>
    <format dxfId="669">
      <pivotArea field="16" type="button" dataOnly="0" labelOnly="1" outline="0" axis="axisRow" fieldPosition="3"/>
    </format>
    <format dxfId="668">
      <pivotArea field="17" type="button" dataOnly="0" labelOnly="1" outline="0" axis="axisRow" fieldPosition="4"/>
    </format>
    <format dxfId="667">
      <pivotArea dataOnly="0" labelOnly="1" outline="0" fieldPosition="0">
        <references count="1">
          <reference field="4" count="0"/>
        </references>
      </pivotArea>
    </format>
    <format dxfId="666">
      <pivotArea dataOnly="0" labelOnly="1" grandRow="1" outline="0" fieldPosition="0"/>
    </format>
    <format dxfId="665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664">
      <pivotArea dataOnly="0" labelOnly="1" outline="0" fieldPosition="0">
        <references count="3">
          <reference field="4" count="0" selected="0"/>
          <reference field="5" count="1" selected="0">
            <x v="0"/>
          </reference>
          <reference field="7" count="1">
            <x v="0"/>
          </reference>
        </references>
      </pivotArea>
    </format>
    <format dxfId="663">
      <pivotArea dataOnly="0" labelOnly="1" outline="0" fieldPosition="0">
        <references count="3">
          <reference field="4" count="0" selected="0"/>
          <reference field="5" count="1" selected="0">
            <x v="2"/>
          </reference>
          <reference field="7" count="1">
            <x v="1"/>
          </reference>
        </references>
      </pivotArea>
    </format>
    <format dxfId="662">
      <pivotArea dataOnly="0" labelOnly="1" outline="0" fieldPosition="0">
        <references count="3">
          <reference field="4" count="0" selected="0"/>
          <reference field="5" count="1" selected="0">
            <x v="3"/>
          </reference>
          <reference field="7" count="1">
            <x v="2"/>
          </reference>
        </references>
      </pivotArea>
    </format>
    <format dxfId="661">
      <pivotArea dataOnly="0" labelOnly="1" outline="0" fieldPosition="0">
        <references count="3">
          <reference field="4" count="0" selected="0"/>
          <reference field="5" count="1" selected="0">
            <x v="4"/>
          </reference>
          <reference field="7" count="1">
            <x v="1"/>
          </reference>
        </references>
      </pivotArea>
    </format>
    <format dxfId="660">
      <pivotArea dataOnly="0" labelOnly="1" outline="0" fieldPosition="0">
        <references count="3">
          <reference field="4" count="0" selected="0"/>
          <reference field="5" count="1" selected="0">
            <x v="5"/>
          </reference>
          <reference field="7" count="1">
            <x v="2"/>
          </reference>
        </references>
      </pivotArea>
    </format>
    <format dxfId="659">
      <pivotArea dataOnly="0" labelOnly="1" outline="0" fieldPosition="0">
        <references count="3">
          <reference field="4" count="0" selected="0"/>
          <reference field="5" count="1" selected="0">
            <x v="7"/>
          </reference>
          <reference field="7" count="1">
            <x v="0"/>
          </reference>
        </references>
      </pivotArea>
    </format>
    <format dxfId="658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26">
            <x v="5"/>
            <x v="7"/>
            <x v="12"/>
            <x v="14"/>
            <x v="21"/>
            <x v="22"/>
            <x v="25"/>
            <x v="26"/>
            <x v="27"/>
            <x v="29"/>
            <x v="30"/>
            <x v="31"/>
            <x v="32"/>
            <x v="33"/>
            <x v="42"/>
            <x v="49"/>
            <x v="74"/>
            <x v="76"/>
            <x v="77"/>
            <x v="78"/>
            <x v="79"/>
            <x v="80"/>
            <x v="81"/>
            <x v="84"/>
            <x v="90"/>
            <x v="98"/>
          </reference>
        </references>
      </pivotArea>
    </format>
    <format dxfId="657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26">
            <x v="0"/>
            <x v="1"/>
            <x v="2"/>
            <x v="6"/>
            <x v="7"/>
            <x v="9"/>
            <x v="12"/>
            <x v="15"/>
            <x v="19"/>
            <x v="23"/>
            <x v="28"/>
            <x v="30"/>
            <x v="34"/>
            <x v="36"/>
            <x v="41"/>
            <x v="46"/>
            <x v="50"/>
            <x v="54"/>
            <x v="62"/>
            <x v="63"/>
            <x v="64"/>
            <x v="66"/>
            <x v="83"/>
            <x v="85"/>
            <x v="86"/>
            <x v="100"/>
          </reference>
        </references>
      </pivotArea>
    </format>
    <format dxfId="656">
      <pivotArea dataOnly="0" labelOnly="1" outline="0" fieldPosition="0">
        <references count="4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5">
            <x v="0"/>
            <x v="9"/>
            <x v="15"/>
            <x v="34"/>
            <x v="85"/>
          </reference>
        </references>
      </pivotArea>
    </format>
    <format dxfId="655">
      <pivotArea dataOnly="0" labelOnly="1" outline="0" fieldPosition="0">
        <references count="4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2">
            <x v="1"/>
            <x v="4"/>
            <x v="13"/>
            <x v="16"/>
            <x v="19"/>
            <x v="20"/>
            <x v="23"/>
            <x v="34"/>
            <x v="55"/>
            <x v="63"/>
            <x v="83"/>
            <x v="85"/>
          </reference>
        </references>
      </pivotArea>
    </format>
    <format dxfId="654">
      <pivotArea dataOnly="0" labelOnly="1" outline="0" fieldPosition="0">
        <references count="4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5">
            <x v="2"/>
            <x v="7"/>
            <x v="8"/>
            <x v="15"/>
            <x v="16"/>
            <x v="20"/>
            <x v="30"/>
            <x v="31"/>
            <x v="39"/>
            <x v="63"/>
            <x v="68"/>
            <x v="74"/>
            <x v="75"/>
            <x v="83"/>
            <x v="85"/>
          </reference>
        </references>
      </pivotArea>
    </format>
    <format dxfId="653">
      <pivotArea dataOnly="0" labelOnly="1" outline="0" fieldPosition="0">
        <references count="4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42">
            <x v="0"/>
            <x v="1"/>
            <x v="2"/>
            <x v="3"/>
            <x v="4"/>
            <x v="6"/>
            <x v="7"/>
            <x v="9"/>
            <x v="11"/>
            <x v="13"/>
            <x v="15"/>
            <x v="16"/>
            <x v="17"/>
            <x v="18"/>
            <x v="19"/>
            <x v="20"/>
            <x v="23"/>
            <x v="31"/>
            <x v="34"/>
            <x v="37"/>
            <x v="39"/>
            <x v="41"/>
            <x v="44"/>
            <x v="45"/>
            <x v="50"/>
            <x v="51"/>
            <x v="52"/>
            <x v="55"/>
            <x v="58"/>
            <x v="59"/>
            <x v="61"/>
            <x v="62"/>
            <x v="63"/>
            <x v="64"/>
            <x v="66"/>
            <x v="68"/>
            <x v="69"/>
            <x v="83"/>
            <x v="85"/>
            <x v="86"/>
            <x v="87"/>
            <x v="88"/>
          </reference>
        </references>
      </pivotArea>
    </format>
    <format dxfId="652">
      <pivotArea dataOnly="0" labelOnly="1" outline="0" fieldPosition="0">
        <references count="4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50">
            <x v="1"/>
            <x v="3"/>
            <x v="6"/>
            <x v="7"/>
            <x v="8"/>
            <x v="9"/>
            <x v="10"/>
            <x v="16"/>
            <x v="18"/>
            <x v="19"/>
            <x v="20"/>
            <x v="21"/>
            <x v="23"/>
            <x v="24"/>
            <x v="25"/>
            <x v="26"/>
            <x v="30"/>
            <x v="31"/>
            <x v="33"/>
            <x v="35"/>
            <x v="36"/>
            <x v="37"/>
            <x v="38"/>
            <x v="39"/>
            <x v="40"/>
            <x v="41"/>
            <x v="43"/>
            <x v="44"/>
            <x v="45"/>
            <x v="47"/>
            <x v="48"/>
            <x v="50"/>
            <x v="53"/>
            <x v="54"/>
            <x v="55"/>
            <x v="56"/>
            <x v="57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</reference>
        </references>
      </pivotArea>
    </format>
    <format dxfId="651">
      <pivotArea dataOnly="0" labelOnly="1" outline="0" fieldPosition="0">
        <references count="4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26">
            <x v="72"/>
            <x v="73"/>
            <x v="74"/>
            <x v="75"/>
            <x v="76"/>
            <x v="77"/>
            <x v="82"/>
            <x v="88"/>
            <x v="89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</reference>
        </references>
      </pivotArea>
    </format>
    <format dxfId="650">
      <pivotArea dataOnly="0" labelOnly="1" outline="0" fieldPosition="0">
        <references count="4">
          <reference field="4" count="0" selected="0"/>
          <reference field="5" count="1" selected="0">
            <x v="7"/>
          </reference>
          <reference field="7" count="1" selected="0">
            <x v="0"/>
          </reference>
          <reference field="16" count="1">
            <x v="16"/>
          </reference>
        </references>
      </pivotArea>
    </format>
    <format dxfId="64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"/>
          </reference>
          <reference field="17" count="1">
            <x v="36"/>
          </reference>
        </references>
      </pivotArea>
    </format>
    <format dxfId="64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84"/>
          </reference>
        </references>
      </pivotArea>
    </format>
    <format dxfId="64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72"/>
          </reference>
        </references>
      </pivotArea>
    </format>
    <format dxfId="64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47"/>
          </reference>
        </references>
      </pivotArea>
    </format>
    <format dxfId="64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68"/>
          </reference>
        </references>
      </pivotArea>
    </format>
    <format dxfId="64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102"/>
          </reference>
        </references>
      </pivotArea>
    </format>
    <format dxfId="64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42"/>
          </reference>
        </references>
      </pivotArea>
    </format>
    <format dxfId="64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6"/>
          </reference>
          <reference field="17" count="1">
            <x v="71"/>
          </reference>
        </references>
      </pivotArea>
    </format>
    <format dxfId="64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7"/>
          </reference>
          <reference field="17" count="1">
            <x v="11"/>
          </reference>
        </references>
      </pivotArea>
    </format>
    <format dxfId="64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9"/>
          </reference>
          <reference field="17" count="1">
            <x v="10"/>
          </reference>
        </references>
      </pivotArea>
    </format>
    <format dxfId="63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94"/>
          </reference>
        </references>
      </pivotArea>
    </format>
    <format dxfId="63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95"/>
          </reference>
        </references>
      </pivotArea>
    </format>
    <format dxfId="63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7"/>
          </reference>
        </references>
      </pivotArea>
    </format>
    <format dxfId="63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13"/>
          </reference>
        </references>
      </pivotArea>
    </format>
    <format dxfId="63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2"/>
          </reference>
          <reference field="17" count="1">
            <x v="39"/>
          </reference>
        </references>
      </pivotArea>
    </format>
    <format dxfId="63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100"/>
          </reference>
        </references>
      </pivotArea>
    </format>
    <format dxfId="63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4"/>
          </reference>
          <reference field="17" count="1">
            <x v="80"/>
          </reference>
        </references>
      </pivotArea>
    </format>
    <format dxfId="63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59"/>
          </reference>
        </references>
      </pivotArea>
    </format>
    <format dxfId="63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27"/>
          </reference>
        </references>
      </pivotArea>
    </format>
    <format dxfId="63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8"/>
          </reference>
          <reference field="17" count="1">
            <x v="18"/>
          </reference>
        </references>
      </pivotArea>
    </format>
    <format dxfId="62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9"/>
          </reference>
          <reference field="17" count="1">
            <x v="99"/>
          </reference>
        </references>
      </pivotArea>
    </format>
    <format dxfId="62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0"/>
          </reference>
          <reference field="17" count="1">
            <x v="90"/>
          </reference>
        </references>
      </pivotArea>
    </format>
    <format dxfId="62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1"/>
          </reference>
          <reference field="17" count="1">
            <x v="81"/>
          </reference>
        </references>
      </pivotArea>
    </format>
    <format dxfId="62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31"/>
          </reference>
        </references>
      </pivotArea>
    </format>
    <format dxfId="62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25"/>
          </reference>
        </references>
      </pivotArea>
    </format>
    <format dxfId="62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3"/>
          </reference>
        </references>
      </pivotArea>
    </format>
    <format dxfId="62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6"/>
          </reference>
        </references>
      </pivotArea>
    </format>
    <format dxfId="62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76"/>
          </reference>
        </references>
      </pivotArea>
    </format>
    <format dxfId="62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62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83"/>
          </reference>
        </references>
      </pivotArea>
    </format>
    <format dxfId="61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84"/>
          </reference>
        </references>
      </pivotArea>
    </format>
    <format dxfId="61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88"/>
          </reference>
        </references>
      </pivotArea>
    </format>
    <format dxfId="61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72"/>
          </reference>
        </references>
      </pivotArea>
    </format>
    <format dxfId="61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45"/>
          </reference>
        </references>
      </pivotArea>
    </format>
    <format dxfId="61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1"/>
          </reference>
        </references>
      </pivotArea>
    </format>
    <format dxfId="61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3"/>
          </reference>
          <reference field="17" count="1">
            <x v="75"/>
          </reference>
        </references>
      </pivotArea>
    </format>
    <format dxfId="61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54"/>
          </reference>
        </references>
      </pivotArea>
    </format>
    <format dxfId="61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94"/>
          </reference>
        </references>
      </pivotArea>
    </format>
    <format dxfId="61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4"/>
          </reference>
          <reference field="17" count="1">
            <x v="14"/>
          </reference>
        </references>
      </pivotArea>
    </format>
    <format dxfId="61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82"/>
          </reference>
        </references>
      </pivotArea>
    </format>
    <format dxfId="60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51"/>
          </reference>
        </references>
      </pivotArea>
    </format>
    <format dxfId="60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23"/>
          </reference>
        </references>
      </pivotArea>
    </format>
    <format dxfId="60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44"/>
          </reference>
        </references>
      </pivotArea>
    </format>
    <format dxfId="60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41"/>
          </reference>
        </references>
      </pivotArea>
    </format>
    <format dxfId="60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9"/>
          </reference>
        </references>
      </pivotArea>
    </format>
    <format dxfId="60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3"/>
          </reference>
          <reference field="17" count="1">
            <x v="24"/>
          </reference>
        </references>
      </pivotArea>
    </format>
    <format dxfId="60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3"/>
          </reference>
        </references>
      </pivotArea>
    </format>
    <format dxfId="60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5"/>
          </reference>
        </references>
      </pivotArea>
    </format>
    <format dxfId="60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30"/>
          </reference>
        </references>
      </pivotArea>
    </format>
    <format dxfId="60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19"/>
          </reference>
        </references>
      </pivotArea>
    </format>
    <format dxfId="59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6"/>
          </reference>
          <reference field="17" count="1">
            <x v="26"/>
          </reference>
        </references>
      </pivotArea>
    </format>
    <format dxfId="59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56"/>
          </reference>
        </references>
      </pivotArea>
    </format>
    <format dxfId="59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6"/>
          </reference>
        </references>
      </pivotArea>
    </format>
    <format dxfId="59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88"/>
          </reference>
        </references>
      </pivotArea>
    </format>
    <format dxfId="59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5"/>
          </reference>
        </references>
      </pivotArea>
    </format>
    <format dxfId="59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14"/>
          </reference>
        </references>
      </pivotArea>
    </format>
    <format dxfId="59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19"/>
          </reference>
        </references>
      </pivotArea>
    </format>
    <format dxfId="59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76"/>
          </reference>
        </references>
      </pivotArea>
    </format>
    <format dxfId="59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4"/>
          </reference>
          <reference field="17" count="1">
            <x v="78"/>
          </reference>
        </references>
      </pivotArea>
    </format>
    <format dxfId="59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13"/>
          </reference>
          <reference field="17" count="1">
            <x v="16"/>
          </reference>
        </references>
      </pivotArea>
    </format>
    <format dxfId="58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85"/>
          </reference>
        </references>
      </pivotArea>
    </format>
    <format dxfId="58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1"/>
          </reference>
        </references>
      </pivotArea>
    </format>
    <format dxfId="58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86"/>
          </reference>
        </references>
      </pivotArea>
    </format>
    <format dxfId="58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75"/>
          </reference>
        </references>
      </pivotArea>
    </format>
    <format dxfId="58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34"/>
          </reference>
          <reference field="17" count="1">
            <x v="14"/>
          </reference>
        </references>
      </pivotArea>
    </format>
    <format dxfId="58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77"/>
          </reference>
        </references>
      </pivotArea>
    </format>
    <format dxfId="58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24"/>
          </reference>
        </references>
      </pivotArea>
    </format>
    <format dxfId="58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30"/>
          </reference>
        </references>
      </pivotArea>
    </format>
    <format dxfId="58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85"/>
          </reference>
          <reference field="17" count="1">
            <x v="19"/>
          </reference>
        </references>
      </pivotArea>
    </format>
    <format dxfId="58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57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84"/>
          </reference>
        </references>
      </pivotArea>
    </format>
    <format dxfId="57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89"/>
          </reference>
        </references>
      </pivotArea>
    </format>
    <format dxfId="57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5"/>
          </reference>
        </references>
      </pivotArea>
    </format>
    <format dxfId="57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85"/>
          </reference>
        </references>
      </pivotArea>
    </format>
    <format dxfId="57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86"/>
          </reference>
        </references>
      </pivotArea>
    </format>
    <format dxfId="57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0"/>
          </reference>
          <reference field="17" count="1">
            <x v="94"/>
          </reference>
        </references>
      </pivotArea>
    </format>
    <format dxfId="57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95"/>
          </reference>
        </references>
      </pivotArea>
    </format>
    <format dxfId="57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98"/>
          </reference>
        </references>
      </pivotArea>
    </format>
    <format dxfId="57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63"/>
          </reference>
          <reference field="17" count="1">
            <x v="24"/>
          </reference>
        </references>
      </pivotArea>
    </format>
    <format dxfId="57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65"/>
          </reference>
        </references>
      </pivotArea>
    </format>
    <format dxfId="56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80"/>
          </reference>
        </references>
      </pivotArea>
    </format>
    <format dxfId="56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79"/>
          </reference>
        </references>
      </pivotArea>
    </format>
    <format dxfId="56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30"/>
          </reference>
        </references>
      </pivotArea>
    </format>
    <format dxfId="56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19"/>
          </reference>
        </references>
      </pivotArea>
    </format>
    <format dxfId="56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6"/>
          </reference>
        </references>
      </pivotArea>
    </format>
    <format dxfId="56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76"/>
          </reference>
        </references>
      </pivotArea>
    </format>
    <format dxfId="56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56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"/>
          </reference>
          <reference field="17" count="1">
            <x v="73"/>
          </reference>
        </references>
      </pivotArea>
    </format>
    <format dxfId="56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"/>
          </reference>
          <reference field="17" count="1">
            <x v="78"/>
          </reference>
        </references>
      </pivotArea>
    </format>
    <format dxfId="56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83"/>
          </reference>
        </references>
      </pivotArea>
    </format>
    <format dxfId="55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84"/>
          </reference>
        </references>
      </pivotArea>
    </format>
    <format dxfId="55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88"/>
          </reference>
        </references>
      </pivotArea>
    </format>
    <format dxfId="55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1"/>
          </reference>
          <reference field="17" count="1">
            <x v="101"/>
          </reference>
        </references>
      </pivotArea>
    </format>
    <format dxfId="55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3"/>
          </reference>
          <reference field="17" count="1">
            <x v="16"/>
          </reference>
        </references>
      </pivotArea>
    </format>
    <format dxfId="55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45"/>
          </reference>
        </references>
      </pivotArea>
    </format>
    <format dxfId="55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85"/>
          </reference>
        </references>
      </pivotArea>
    </format>
    <format dxfId="55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0"/>
          </reference>
        </references>
      </pivotArea>
    </format>
    <format dxfId="55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8"/>
          </reference>
          <reference field="17" count="1">
            <x v="2"/>
          </reference>
        </references>
      </pivotArea>
    </format>
    <format dxfId="55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1"/>
          </reference>
        </references>
      </pivotArea>
    </format>
    <format dxfId="55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86"/>
          </reference>
        </references>
      </pivotArea>
    </format>
    <format dxfId="54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75"/>
          </reference>
        </references>
      </pivotArea>
    </format>
    <format dxfId="54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1"/>
          </reference>
          <reference field="17" count="1">
            <x v="95"/>
          </reference>
        </references>
      </pivotArea>
    </format>
    <format dxfId="54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4"/>
          </reference>
          <reference field="17" count="1">
            <x v="14"/>
          </reference>
        </references>
      </pivotArea>
    </format>
    <format dxfId="54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7"/>
          </reference>
          <reference field="17" count="1">
            <x v="52"/>
          </reference>
        </references>
      </pivotArea>
    </format>
    <format dxfId="54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98"/>
          </reference>
        </references>
      </pivotArea>
    </format>
    <format dxfId="54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1"/>
          </reference>
          <reference field="17" count="1">
            <x v="51"/>
          </reference>
        </references>
      </pivotArea>
    </format>
    <format dxfId="54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104"/>
          </reference>
        </references>
      </pivotArea>
    </format>
    <format dxfId="54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93"/>
          </reference>
        </references>
      </pivotArea>
    </format>
    <format dxfId="54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0"/>
          </reference>
          <reference field="17" count="1">
            <x v="44"/>
          </reference>
        </references>
      </pivotArea>
    </format>
    <format dxfId="54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53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37"/>
          </reference>
        </references>
      </pivotArea>
    </format>
    <format dxfId="53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77"/>
          </reference>
        </references>
      </pivotArea>
    </format>
    <format dxfId="53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92"/>
          </reference>
        </references>
      </pivotArea>
    </format>
    <format dxfId="53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97"/>
          </reference>
        </references>
      </pivotArea>
    </format>
    <format dxfId="53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8"/>
          </reference>
        </references>
      </pivotArea>
    </format>
    <format dxfId="53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9"/>
          </reference>
        </references>
      </pivotArea>
    </format>
    <format dxfId="53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24"/>
          </reference>
        </references>
      </pivotArea>
    </format>
    <format dxfId="53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3"/>
          </reference>
        </references>
      </pivotArea>
    </format>
    <format dxfId="53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6"/>
          </reference>
          <reference field="17" count="1">
            <x v="5"/>
          </reference>
        </references>
      </pivotArea>
    </format>
    <format dxfId="53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65"/>
          </reference>
        </references>
      </pivotArea>
    </format>
    <format dxfId="52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9"/>
          </reference>
          <reference field="17" count="1">
            <x v="66"/>
          </reference>
        </references>
      </pivotArea>
    </format>
    <format dxfId="52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30"/>
          </reference>
        </references>
      </pivotArea>
    </format>
    <format dxfId="52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5"/>
          </reference>
          <reference field="17" count="1">
            <x v="19"/>
          </reference>
        </references>
      </pivotArea>
    </format>
    <format dxfId="52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6"/>
          </reference>
          <reference field="17" count="1">
            <x v="26"/>
          </reference>
        </references>
      </pivotArea>
    </format>
    <format dxfId="52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7"/>
          </reference>
          <reference field="17" count="1">
            <x v="29"/>
          </reference>
        </references>
      </pivotArea>
    </format>
    <format dxfId="52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8"/>
          </reference>
          <reference field="17" count="1">
            <x v="32"/>
          </reference>
        </references>
      </pivotArea>
    </format>
    <format dxfId="52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76"/>
          </reference>
        </references>
      </pivotArea>
    </format>
    <format dxfId="52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"/>
          </reference>
          <reference field="17" count="1">
            <x v="73"/>
          </reference>
        </references>
      </pivotArea>
    </format>
    <format dxfId="52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83"/>
          </reference>
        </references>
      </pivotArea>
    </format>
    <format dxfId="52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84"/>
          </reference>
        </references>
      </pivotArea>
    </format>
    <format dxfId="51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89"/>
          </reference>
        </references>
      </pivotArea>
    </format>
    <format dxfId="51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88"/>
          </reference>
        </references>
      </pivotArea>
    </format>
    <format dxfId="51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"/>
          </reference>
          <reference field="17" count="1">
            <x v="7"/>
          </reference>
        </references>
      </pivotArea>
    </format>
    <format dxfId="51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85"/>
          </reference>
        </references>
      </pivotArea>
    </format>
    <format dxfId="51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8"/>
          </reference>
          <reference field="17" count="1">
            <x v="2"/>
          </reference>
        </references>
      </pivotArea>
    </format>
    <format dxfId="51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1"/>
          </reference>
        </references>
      </pivotArea>
    </format>
    <format dxfId="51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86"/>
          </reference>
        </references>
      </pivotArea>
    </format>
    <format dxfId="51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21"/>
          </reference>
          <reference field="17" count="1">
            <x v="68"/>
          </reference>
        </references>
      </pivotArea>
    </format>
    <format dxfId="51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75"/>
          </reference>
        </references>
      </pivotArea>
    </format>
    <format dxfId="51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15"/>
          </reference>
        </references>
      </pivotArea>
    </format>
    <format dxfId="50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25"/>
          </reference>
          <reference field="17" count="1">
            <x v="42"/>
          </reference>
        </references>
      </pivotArea>
    </format>
    <format dxfId="50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26"/>
          </reference>
          <reference field="17" count="1">
            <x v="71"/>
          </reference>
        </references>
      </pivotArea>
    </format>
    <format dxfId="50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0"/>
          </reference>
          <reference field="17" count="1">
            <x v="94"/>
          </reference>
        </references>
      </pivotArea>
    </format>
    <format dxfId="50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1"/>
          </reference>
          <reference field="17" count="1">
            <x v="95"/>
          </reference>
        </references>
      </pivotArea>
    </format>
    <format dxfId="50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3"/>
          </reference>
          <reference field="17" count="1">
            <x v="13"/>
          </reference>
        </references>
      </pivotArea>
    </format>
    <format dxfId="50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5"/>
          </reference>
          <reference field="17" count="1">
            <x v="40"/>
          </reference>
        </references>
      </pivotArea>
    </format>
    <format dxfId="50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6"/>
          </reference>
          <reference field="17" count="1">
            <x v="82"/>
          </reference>
        </references>
      </pivotArea>
    </format>
    <format dxfId="50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7"/>
          </reference>
          <reference field="17" count="1">
            <x v="52"/>
          </reference>
        </references>
      </pivotArea>
    </format>
    <format dxfId="50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105"/>
          </reference>
        </references>
      </pivotArea>
    </format>
    <format dxfId="50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98"/>
          </reference>
        </references>
      </pivotArea>
    </format>
    <format dxfId="49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40"/>
          </reference>
          <reference field="17" count="1">
            <x v="43"/>
          </reference>
        </references>
      </pivotArea>
    </format>
    <format dxfId="49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41"/>
          </reference>
          <reference field="17" count="1">
            <x v="51"/>
          </reference>
        </references>
      </pivotArea>
    </format>
    <format dxfId="49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43"/>
          </reference>
          <reference field="17" count="1">
            <x v="74"/>
          </reference>
        </references>
      </pivotArea>
    </format>
    <format dxfId="49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104"/>
          </reference>
        </references>
      </pivotArea>
    </format>
    <format dxfId="49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93"/>
          </reference>
        </references>
      </pivotArea>
    </format>
    <format dxfId="49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34"/>
          </reference>
        </references>
      </pivotArea>
    </format>
    <format dxfId="49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48"/>
          </reference>
          <reference field="17" count="1">
            <x v="38"/>
          </reference>
        </references>
      </pivotArea>
    </format>
    <format dxfId="49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50"/>
          </reference>
          <reference field="17" count="1">
            <x v="44"/>
          </reference>
        </references>
      </pivotArea>
    </format>
    <format dxfId="49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50"/>
          </reference>
        </references>
      </pivotArea>
    </format>
    <format dxfId="49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54"/>
          </reference>
          <reference field="17" count="1">
            <x v="41"/>
          </reference>
        </references>
      </pivotArea>
    </format>
    <format dxfId="48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77"/>
          </reference>
        </references>
      </pivotArea>
    </format>
    <format dxfId="48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56"/>
          </reference>
          <reference field="17" count="1">
            <x v="70"/>
          </reference>
        </references>
      </pivotArea>
    </format>
    <format dxfId="48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57"/>
          </reference>
          <reference field="17" count="1">
            <x v="69"/>
          </reference>
        </references>
      </pivotArea>
    </format>
    <format dxfId="48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97"/>
          </reference>
        </references>
      </pivotArea>
    </format>
    <format dxfId="48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96"/>
          </reference>
        </references>
      </pivotArea>
    </format>
    <format dxfId="48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8"/>
          </reference>
        </references>
      </pivotArea>
    </format>
    <format dxfId="48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9"/>
          </reference>
        </references>
      </pivotArea>
    </format>
    <format dxfId="48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24"/>
          </reference>
        </references>
      </pivotArea>
    </format>
    <format dxfId="48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3"/>
          </reference>
        </references>
      </pivotArea>
    </format>
    <format dxfId="48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5"/>
          </reference>
          <reference field="17" count="1">
            <x v="6"/>
          </reference>
        </references>
      </pivotArea>
    </format>
    <format dxfId="47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6"/>
          </reference>
          <reference field="17" count="1">
            <x v="5"/>
          </reference>
        </references>
      </pivotArea>
    </format>
    <format dxfId="47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7"/>
          </reference>
          <reference field="17" count="1">
            <x v="4"/>
          </reference>
        </references>
      </pivotArea>
    </format>
    <format dxfId="47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65"/>
          </reference>
        </references>
      </pivotArea>
    </format>
    <format dxfId="47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9"/>
          </reference>
          <reference field="17" count="1">
            <x v="66"/>
          </reference>
        </references>
      </pivotArea>
    </format>
    <format dxfId="47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0"/>
          </reference>
          <reference field="17" count="1">
            <x v="67"/>
          </reference>
        </references>
      </pivotArea>
    </format>
    <format dxfId="47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1"/>
          </reference>
          <reference field="17" count="1">
            <x v="49"/>
          </reference>
        </references>
      </pivotArea>
    </format>
    <format dxfId="47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2"/>
          </reference>
          <reference field="17" count="1">
            <x v="103"/>
          </reference>
        </references>
      </pivotArea>
    </format>
    <format dxfId="47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3"/>
          </reference>
          <reference field="17" count="1">
            <x v="64"/>
          </reference>
        </references>
      </pivotArea>
    </format>
    <format dxfId="47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4"/>
          </reference>
          <reference field="17" count="1">
            <x v="80"/>
          </reference>
        </references>
      </pivotArea>
    </format>
    <format dxfId="47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5"/>
          </reference>
          <reference field="17" count="1">
            <x v="79"/>
          </reference>
        </references>
      </pivotArea>
    </format>
    <format dxfId="46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6"/>
          </reference>
          <reference field="17" count="1">
            <x v="59"/>
          </reference>
        </references>
      </pivotArea>
    </format>
    <format dxfId="46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27"/>
          </reference>
        </references>
      </pivotArea>
    </format>
    <format dxfId="46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82"/>
          </reference>
          <reference field="17" count="1">
            <x v="28"/>
          </reference>
        </references>
      </pivotArea>
    </format>
    <format dxfId="46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88"/>
          </reference>
          <reference field="17" count="1">
            <x v="32"/>
          </reference>
        </references>
      </pivotArea>
    </format>
    <format dxfId="46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89"/>
          </reference>
          <reference field="17" count="1">
            <x v="91"/>
          </reference>
        </references>
      </pivotArea>
    </format>
    <format dxfId="46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1"/>
          </reference>
          <reference field="17" count="1">
            <x v="63"/>
          </reference>
        </references>
      </pivotArea>
    </format>
    <format dxfId="46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2"/>
          </reference>
          <reference field="17" count="1">
            <x v="55"/>
          </reference>
        </references>
      </pivotArea>
    </format>
    <format dxfId="46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3"/>
          </reference>
          <reference field="17" count="1">
            <x v="58"/>
          </reference>
        </references>
      </pivotArea>
    </format>
    <format dxfId="46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4"/>
          </reference>
          <reference field="17" count="1">
            <x v="107"/>
          </reference>
        </references>
      </pivotArea>
    </format>
    <format dxfId="46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5"/>
          </reference>
          <reference field="17" count="1">
            <x v="106"/>
          </reference>
        </references>
      </pivotArea>
    </format>
    <format dxfId="45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6"/>
          </reference>
          <reference field="17" count="1">
            <x v="48"/>
          </reference>
        </references>
      </pivotArea>
    </format>
    <format dxfId="45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7"/>
          </reference>
          <reference field="17" count="1">
            <x v="87"/>
          </reference>
        </references>
      </pivotArea>
    </format>
    <format dxfId="45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8"/>
          </reference>
          <reference field="17" count="1">
            <x v="53"/>
          </reference>
        </references>
      </pivotArea>
    </format>
    <format dxfId="45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9"/>
          </reference>
          <reference field="17" count="1">
            <x v="57"/>
          </reference>
        </references>
      </pivotArea>
    </format>
    <format dxfId="45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0"/>
          </reference>
          <reference field="17" count="1">
            <x v="56"/>
          </reference>
        </references>
      </pivotArea>
    </format>
    <format dxfId="45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1"/>
          </reference>
          <reference field="17" count="1">
            <x v="61"/>
          </reference>
        </references>
      </pivotArea>
    </format>
    <format dxfId="45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2"/>
          </reference>
          <reference field="17" count="1">
            <x v="60"/>
          </reference>
        </references>
      </pivotArea>
    </format>
    <format dxfId="45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3"/>
          </reference>
          <reference field="17" count="1">
            <x v="62"/>
          </reference>
        </references>
      </pivotArea>
    </format>
    <format dxfId="45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4"/>
          </reference>
          <reference field="17" count="1">
            <x v="20"/>
          </reference>
        </references>
      </pivotArea>
    </format>
    <format dxfId="45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5"/>
          </reference>
          <reference field="17" count="1">
            <x v="22"/>
          </reference>
        </references>
      </pivotArea>
    </format>
    <format dxfId="44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6"/>
          </reference>
          <reference field="17" count="1">
            <x v="12"/>
          </reference>
        </references>
      </pivotArea>
    </format>
    <format dxfId="44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7"/>
          </reference>
          <reference field="17" count="1">
            <x v="21"/>
          </reference>
        </references>
      </pivotArea>
    </format>
    <format dxfId="447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85"/>
          </reference>
        </references>
      </pivotArea>
    </format>
    <format dxfId="44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45">
      <pivotArea type="all" dataOnly="0" outline="0" fieldPosition="0"/>
    </format>
    <format dxfId="444">
      <pivotArea outline="0" collapsedLevelsAreSubtotals="1" fieldPosition="0"/>
    </format>
    <format dxfId="443">
      <pivotArea field="4" type="button" dataOnly="0" labelOnly="1" outline="0" axis="axisRow" fieldPosition="0"/>
    </format>
    <format dxfId="442">
      <pivotArea field="5" type="button" dataOnly="0" labelOnly="1" outline="0" axis="axisRow" fieldPosition="1"/>
    </format>
    <format dxfId="441">
      <pivotArea field="7" type="button" dataOnly="0" labelOnly="1" outline="0" axis="axisRow" fieldPosition="2"/>
    </format>
    <format dxfId="440">
      <pivotArea field="16" type="button" dataOnly="0" labelOnly="1" outline="0" axis="axisRow" fieldPosition="3"/>
    </format>
    <format dxfId="439">
      <pivotArea field="17" type="button" dataOnly="0" labelOnly="1" outline="0" axis="axisRow" fieldPosition="4"/>
    </format>
    <format dxfId="438">
      <pivotArea dataOnly="0" labelOnly="1" outline="0" fieldPosition="0">
        <references count="1">
          <reference field="4" count="0"/>
        </references>
      </pivotArea>
    </format>
    <format dxfId="437">
      <pivotArea dataOnly="0" labelOnly="1" grandRow="1" outline="0" fieldPosition="0"/>
    </format>
    <format dxfId="436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435">
      <pivotArea dataOnly="0" labelOnly="1" outline="0" fieldPosition="0">
        <references count="3">
          <reference field="4" count="0" selected="0"/>
          <reference field="5" count="1" selected="0">
            <x v="0"/>
          </reference>
          <reference field="7" count="1">
            <x v="0"/>
          </reference>
        </references>
      </pivotArea>
    </format>
    <format dxfId="434">
      <pivotArea dataOnly="0" labelOnly="1" outline="0" fieldPosition="0">
        <references count="3">
          <reference field="4" count="0" selected="0"/>
          <reference field="5" count="1" selected="0">
            <x v="2"/>
          </reference>
          <reference field="7" count="1">
            <x v="1"/>
          </reference>
        </references>
      </pivotArea>
    </format>
    <format dxfId="433">
      <pivotArea dataOnly="0" labelOnly="1" outline="0" fieldPosition="0">
        <references count="3">
          <reference field="4" count="0" selected="0"/>
          <reference field="5" count="1" selected="0">
            <x v="3"/>
          </reference>
          <reference field="7" count="1">
            <x v="2"/>
          </reference>
        </references>
      </pivotArea>
    </format>
    <format dxfId="432">
      <pivotArea dataOnly="0" labelOnly="1" outline="0" fieldPosition="0">
        <references count="3">
          <reference field="4" count="0" selected="0"/>
          <reference field="5" count="1" selected="0">
            <x v="4"/>
          </reference>
          <reference field="7" count="1">
            <x v="1"/>
          </reference>
        </references>
      </pivotArea>
    </format>
    <format dxfId="431">
      <pivotArea dataOnly="0" labelOnly="1" outline="0" fieldPosition="0">
        <references count="3">
          <reference field="4" count="0" selected="0"/>
          <reference field="5" count="1" selected="0">
            <x v="5"/>
          </reference>
          <reference field="7" count="1">
            <x v="2"/>
          </reference>
        </references>
      </pivotArea>
    </format>
    <format dxfId="430">
      <pivotArea dataOnly="0" labelOnly="1" outline="0" fieldPosition="0">
        <references count="3">
          <reference field="4" count="0" selected="0"/>
          <reference field="5" count="1" selected="0">
            <x v="7"/>
          </reference>
          <reference field="7" count="1">
            <x v="0"/>
          </reference>
        </references>
      </pivotArea>
    </format>
    <format dxfId="429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26">
            <x v="5"/>
            <x v="7"/>
            <x v="12"/>
            <x v="14"/>
            <x v="21"/>
            <x v="22"/>
            <x v="25"/>
            <x v="26"/>
            <x v="27"/>
            <x v="29"/>
            <x v="30"/>
            <x v="31"/>
            <x v="32"/>
            <x v="33"/>
            <x v="42"/>
            <x v="49"/>
            <x v="74"/>
            <x v="76"/>
            <x v="77"/>
            <x v="78"/>
            <x v="79"/>
            <x v="80"/>
            <x v="81"/>
            <x v="84"/>
            <x v="90"/>
            <x v="98"/>
          </reference>
        </references>
      </pivotArea>
    </format>
    <format dxfId="428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26">
            <x v="0"/>
            <x v="1"/>
            <x v="2"/>
            <x v="6"/>
            <x v="7"/>
            <x v="9"/>
            <x v="12"/>
            <x v="15"/>
            <x v="19"/>
            <x v="23"/>
            <x v="28"/>
            <x v="30"/>
            <x v="34"/>
            <x v="36"/>
            <x v="41"/>
            <x v="46"/>
            <x v="50"/>
            <x v="54"/>
            <x v="62"/>
            <x v="63"/>
            <x v="64"/>
            <x v="66"/>
            <x v="83"/>
            <x v="85"/>
            <x v="86"/>
            <x v="100"/>
          </reference>
        </references>
      </pivotArea>
    </format>
    <format dxfId="427">
      <pivotArea dataOnly="0" labelOnly="1" outline="0" fieldPosition="0">
        <references count="4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5">
            <x v="0"/>
            <x v="9"/>
            <x v="15"/>
            <x v="34"/>
            <x v="85"/>
          </reference>
        </references>
      </pivotArea>
    </format>
    <format dxfId="426">
      <pivotArea dataOnly="0" labelOnly="1" outline="0" fieldPosition="0">
        <references count="4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2">
            <x v="1"/>
            <x v="4"/>
            <x v="13"/>
            <x v="16"/>
            <x v="19"/>
            <x v="20"/>
            <x v="23"/>
            <x v="34"/>
            <x v="55"/>
            <x v="63"/>
            <x v="83"/>
            <x v="85"/>
          </reference>
        </references>
      </pivotArea>
    </format>
    <format dxfId="425">
      <pivotArea dataOnly="0" labelOnly="1" outline="0" fieldPosition="0">
        <references count="4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5">
            <x v="2"/>
            <x v="7"/>
            <x v="8"/>
            <x v="15"/>
            <x v="16"/>
            <x v="20"/>
            <x v="30"/>
            <x v="31"/>
            <x v="39"/>
            <x v="63"/>
            <x v="68"/>
            <x v="74"/>
            <x v="75"/>
            <x v="83"/>
            <x v="85"/>
          </reference>
        </references>
      </pivotArea>
    </format>
    <format dxfId="424">
      <pivotArea dataOnly="0" labelOnly="1" outline="0" fieldPosition="0">
        <references count="4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42">
            <x v="0"/>
            <x v="1"/>
            <x v="2"/>
            <x v="3"/>
            <x v="4"/>
            <x v="6"/>
            <x v="7"/>
            <x v="9"/>
            <x v="11"/>
            <x v="13"/>
            <x v="15"/>
            <x v="16"/>
            <x v="17"/>
            <x v="18"/>
            <x v="19"/>
            <x v="20"/>
            <x v="23"/>
            <x v="31"/>
            <x v="34"/>
            <x v="37"/>
            <x v="39"/>
            <x v="41"/>
            <x v="44"/>
            <x v="45"/>
            <x v="50"/>
            <x v="51"/>
            <x v="52"/>
            <x v="55"/>
            <x v="58"/>
            <x v="59"/>
            <x v="61"/>
            <x v="62"/>
            <x v="63"/>
            <x v="64"/>
            <x v="66"/>
            <x v="68"/>
            <x v="69"/>
            <x v="83"/>
            <x v="85"/>
            <x v="86"/>
            <x v="87"/>
            <x v="88"/>
          </reference>
        </references>
      </pivotArea>
    </format>
    <format dxfId="423">
      <pivotArea dataOnly="0" labelOnly="1" outline="0" fieldPosition="0">
        <references count="4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50">
            <x v="1"/>
            <x v="3"/>
            <x v="6"/>
            <x v="7"/>
            <x v="8"/>
            <x v="9"/>
            <x v="10"/>
            <x v="16"/>
            <x v="18"/>
            <x v="19"/>
            <x v="20"/>
            <x v="21"/>
            <x v="23"/>
            <x v="24"/>
            <x v="25"/>
            <x v="26"/>
            <x v="30"/>
            <x v="31"/>
            <x v="33"/>
            <x v="35"/>
            <x v="36"/>
            <x v="37"/>
            <x v="38"/>
            <x v="39"/>
            <x v="40"/>
            <x v="41"/>
            <x v="43"/>
            <x v="44"/>
            <x v="45"/>
            <x v="47"/>
            <x v="48"/>
            <x v="50"/>
            <x v="53"/>
            <x v="54"/>
            <x v="55"/>
            <x v="56"/>
            <x v="57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</reference>
        </references>
      </pivotArea>
    </format>
    <format dxfId="422">
      <pivotArea dataOnly="0" labelOnly="1" outline="0" fieldPosition="0">
        <references count="4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26">
            <x v="72"/>
            <x v="73"/>
            <x v="74"/>
            <x v="75"/>
            <x v="76"/>
            <x v="77"/>
            <x v="82"/>
            <x v="88"/>
            <x v="89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</reference>
        </references>
      </pivotArea>
    </format>
    <format dxfId="421">
      <pivotArea dataOnly="0" labelOnly="1" outline="0" fieldPosition="0">
        <references count="4">
          <reference field="4" count="0" selected="0"/>
          <reference field="5" count="1" selected="0">
            <x v="7"/>
          </reference>
          <reference field="7" count="1" selected="0">
            <x v="0"/>
          </reference>
          <reference field="16" count="1">
            <x v="16"/>
          </reference>
        </references>
      </pivotArea>
    </format>
    <format dxfId="42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"/>
          </reference>
          <reference field="17" count="1">
            <x v="36"/>
          </reference>
        </references>
      </pivotArea>
    </format>
    <format dxfId="41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84"/>
          </reference>
        </references>
      </pivotArea>
    </format>
    <format dxfId="41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72"/>
          </reference>
        </references>
      </pivotArea>
    </format>
    <format dxfId="41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47"/>
          </reference>
        </references>
      </pivotArea>
    </format>
    <format dxfId="41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68"/>
          </reference>
        </references>
      </pivotArea>
    </format>
    <format dxfId="41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102"/>
          </reference>
        </references>
      </pivotArea>
    </format>
    <format dxfId="41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42"/>
          </reference>
        </references>
      </pivotArea>
    </format>
    <format dxfId="41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6"/>
          </reference>
          <reference field="17" count="1">
            <x v="71"/>
          </reference>
        </references>
      </pivotArea>
    </format>
    <format dxfId="41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7"/>
          </reference>
          <reference field="17" count="1">
            <x v="11"/>
          </reference>
        </references>
      </pivotArea>
    </format>
    <format dxfId="41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9"/>
          </reference>
          <reference field="17" count="1">
            <x v="10"/>
          </reference>
        </references>
      </pivotArea>
    </format>
    <format dxfId="41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94"/>
          </reference>
        </references>
      </pivotArea>
    </format>
    <format dxfId="40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95"/>
          </reference>
        </references>
      </pivotArea>
    </format>
    <format dxfId="40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7"/>
          </reference>
        </references>
      </pivotArea>
    </format>
    <format dxfId="40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13"/>
          </reference>
        </references>
      </pivotArea>
    </format>
    <format dxfId="40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2"/>
          </reference>
          <reference field="17" count="1">
            <x v="39"/>
          </reference>
        </references>
      </pivotArea>
    </format>
    <format dxfId="40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100"/>
          </reference>
        </references>
      </pivotArea>
    </format>
    <format dxfId="40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4"/>
          </reference>
          <reference field="17" count="1">
            <x v="80"/>
          </reference>
        </references>
      </pivotArea>
    </format>
    <format dxfId="40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59"/>
          </reference>
        </references>
      </pivotArea>
    </format>
    <format dxfId="40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27"/>
          </reference>
        </references>
      </pivotArea>
    </format>
    <format dxfId="40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8"/>
          </reference>
          <reference field="17" count="1">
            <x v="18"/>
          </reference>
        </references>
      </pivotArea>
    </format>
    <format dxfId="40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9"/>
          </reference>
          <reference field="17" count="1">
            <x v="99"/>
          </reference>
        </references>
      </pivotArea>
    </format>
    <format dxfId="39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0"/>
          </reference>
          <reference field="17" count="1">
            <x v="90"/>
          </reference>
        </references>
      </pivotArea>
    </format>
    <format dxfId="39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1"/>
          </reference>
          <reference field="17" count="1">
            <x v="81"/>
          </reference>
        </references>
      </pivotArea>
    </format>
    <format dxfId="39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31"/>
          </reference>
        </references>
      </pivotArea>
    </format>
    <format dxfId="39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25"/>
          </reference>
        </references>
      </pivotArea>
    </format>
    <format dxfId="39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3"/>
          </reference>
        </references>
      </pivotArea>
    </format>
    <format dxfId="39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6"/>
          </reference>
        </references>
      </pivotArea>
    </format>
    <format dxfId="39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76"/>
          </reference>
        </references>
      </pivotArea>
    </format>
    <format dxfId="39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39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83"/>
          </reference>
        </references>
      </pivotArea>
    </format>
    <format dxfId="39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84"/>
          </reference>
        </references>
      </pivotArea>
    </format>
    <format dxfId="38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88"/>
          </reference>
        </references>
      </pivotArea>
    </format>
    <format dxfId="38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72"/>
          </reference>
        </references>
      </pivotArea>
    </format>
    <format dxfId="38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45"/>
          </reference>
        </references>
      </pivotArea>
    </format>
    <format dxfId="38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1"/>
          </reference>
        </references>
      </pivotArea>
    </format>
    <format dxfId="38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3"/>
          </reference>
          <reference field="17" count="1">
            <x v="75"/>
          </reference>
        </references>
      </pivotArea>
    </format>
    <format dxfId="38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54"/>
          </reference>
        </references>
      </pivotArea>
    </format>
    <format dxfId="38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94"/>
          </reference>
        </references>
      </pivotArea>
    </format>
    <format dxfId="38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4"/>
          </reference>
          <reference field="17" count="1">
            <x v="14"/>
          </reference>
        </references>
      </pivotArea>
    </format>
    <format dxfId="38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82"/>
          </reference>
        </references>
      </pivotArea>
    </format>
    <format dxfId="38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51"/>
          </reference>
        </references>
      </pivotArea>
    </format>
    <format dxfId="37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23"/>
          </reference>
        </references>
      </pivotArea>
    </format>
    <format dxfId="37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44"/>
          </reference>
        </references>
      </pivotArea>
    </format>
    <format dxfId="37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41"/>
          </reference>
        </references>
      </pivotArea>
    </format>
    <format dxfId="37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9"/>
          </reference>
        </references>
      </pivotArea>
    </format>
    <format dxfId="37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3"/>
          </reference>
          <reference field="17" count="1">
            <x v="24"/>
          </reference>
        </references>
      </pivotArea>
    </format>
    <format dxfId="37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3"/>
          </reference>
        </references>
      </pivotArea>
    </format>
    <format dxfId="37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5"/>
          </reference>
        </references>
      </pivotArea>
    </format>
    <format dxfId="37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30"/>
          </reference>
        </references>
      </pivotArea>
    </format>
    <format dxfId="37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19"/>
          </reference>
        </references>
      </pivotArea>
    </format>
    <format dxfId="37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6"/>
          </reference>
          <reference field="17" count="1">
            <x v="26"/>
          </reference>
        </references>
      </pivotArea>
    </format>
    <format dxfId="36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56"/>
          </reference>
        </references>
      </pivotArea>
    </format>
    <format dxfId="36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6"/>
          </reference>
        </references>
      </pivotArea>
    </format>
    <format dxfId="36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88"/>
          </reference>
        </references>
      </pivotArea>
    </format>
    <format dxfId="36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5"/>
          </reference>
        </references>
      </pivotArea>
    </format>
    <format dxfId="36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14"/>
          </reference>
        </references>
      </pivotArea>
    </format>
    <format dxfId="36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19"/>
          </reference>
        </references>
      </pivotArea>
    </format>
    <format dxfId="36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76"/>
          </reference>
        </references>
      </pivotArea>
    </format>
    <format dxfId="36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4"/>
          </reference>
          <reference field="17" count="1">
            <x v="78"/>
          </reference>
        </references>
      </pivotArea>
    </format>
    <format dxfId="36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13"/>
          </reference>
          <reference field="17" count="1">
            <x v="16"/>
          </reference>
        </references>
      </pivotArea>
    </format>
    <format dxfId="36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85"/>
          </reference>
        </references>
      </pivotArea>
    </format>
    <format dxfId="35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1"/>
          </reference>
        </references>
      </pivotArea>
    </format>
    <format dxfId="35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86"/>
          </reference>
        </references>
      </pivotArea>
    </format>
    <format dxfId="35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75"/>
          </reference>
        </references>
      </pivotArea>
    </format>
    <format dxfId="35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34"/>
          </reference>
          <reference field="17" count="1">
            <x v="14"/>
          </reference>
        </references>
      </pivotArea>
    </format>
    <format dxfId="35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77"/>
          </reference>
        </references>
      </pivotArea>
    </format>
    <format dxfId="35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24"/>
          </reference>
        </references>
      </pivotArea>
    </format>
    <format dxfId="35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30"/>
          </reference>
        </references>
      </pivotArea>
    </format>
    <format dxfId="35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85"/>
          </reference>
          <reference field="17" count="1">
            <x v="19"/>
          </reference>
        </references>
      </pivotArea>
    </format>
    <format dxfId="35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35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84"/>
          </reference>
        </references>
      </pivotArea>
    </format>
    <format dxfId="34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89"/>
          </reference>
        </references>
      </pivotArea>
    </format>
    <format dxfId="34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5"/>
          </reference>
        </references>
      </pivotArea>
    </format>
    <format dxfId="34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85"/>
          </reference>
        </references>
      </pivotArea>
    </format>
    <format dxfId="34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86"/>
          </reference>
        </references>
      </pivotArea>
    </format>
    <format dxfId="34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0"/>
          </reference>
          <reference field="17" count="1">
            <x v="94"/>
          </reference>
        </references>
      </pivotArea>
    </format>
    <format dxfId="34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95"/>
          </reference>
        </references>
      </pivotArea>
    </format>
    <format dxfId="34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98"/>
          </reference>
        </references>
      </pivotArea>
    </format>
    <format dxfId="34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63"/>
          </reference>
          <reference field="17" count="1">
            <x v="24"/>
          </reference>
        </references>
      </pivotArea>
    </format>
    <format dxfId="34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65"/>
          </reference>
        </references>
      </pivotArea>
    </format>
    <format dxfId="34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80"/>
          </reference>
        </references>
      </pivotArea>
    </format>
    <format dxfId="33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79"/>
          </reference>
        </references>
      </pivotArea>
    </format>
    <format dxfId="33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30"/>
          </reference>
        </references>
      </pivotArea>
    </format>
    <format dxfId="33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19"/>
          </reference>
        </references>
      </pivotArea>
    </format>
    <format dxfId="33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6"/>
          </reference>
        </references>
      </pivotArea>
    </format>
    <format dxfId="33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76"/>
          </reference>
        </references>
      </pivotArea>
    </format>
    <format dxfId="33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33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"/>
          </reference>
          <reference field="17" count="1">
            <x v="73"/>
          </reference>
        </references>
      </pivotArea>
    </format>
    <format dxfId="33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"/>
          </reference>
          <reference field="17" count="1">
            <x v="78"/>
          </reference>
        </references>
      </pivotArea>
    </format>
    <format dxfId="33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83"/>
          </reference>
        </references>
      </pivotArea>
    </format>
    <format dxfId="33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84"/>
          </reference>
        </references>
      </pivotArea>
    </format>
    <format dxfId="32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88"/>
          </reference>
        </references>
      </pivotArea>
    </format>
    <format dxfId="32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1"/>
          </reference>
          <reference field="17" count="1">
            <x v="101"/>
          </reference>
        </references>
      </pivotArea>
    </format>
    <format dxfId="32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3"/>
          </reference>
          <reference field="17" count="1">
            <x v="16"/>
          </reference>
        </references>
      </pivotArea>
    </format>
    <format dxfId="32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45"/>
          </reference>
        </references>
      </pivotArea>
    </format>
    <format dxfId="32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85"/>
          </reference>
        </references>
      </pivotArea>
    </format>
    <format dxfId="32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0"/>
          </reference>
        </references>
      </pivotArea>
    </format>
    <format dxfId="32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8"/>
          </reference>
          <reference field="17" count="1">
            <x v="2"/>
          </reference>
        </references>
      </pivotArea>
    </format>
    <format dxfId="32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1"/>
          </reference>
        </references>
      </pivotArea>
    </format>
    <format dxfId="32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86"/>
          </reference>
        </references>
      </pivotArea>
    </format>
    <format dxfId="32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75"/>
          </reference>
        </references>
      </pivotArea>
    </format>
    <format dxfId="31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1"/>
          </reference>
          <reference field="17" count="1">
            <x v="95"/>
          </reference>
        </references>
      </pivotArea>
    </format>
    <format dxfId="31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4"/>
          </reference>
          <reference field="17" count="1">
            <x v="14"/>
          </reference>
        </references>
      </pivotArea>
    </format>
    <format dxfId="31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7"/>
          </reference>
          <reference field="17" count="1">
            <x v="52"/>
          </reference>
        </references>
      </pivotArea>
    </format>
    <format dxfId="31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98"/>
          </reference>
        </references>
      </pivotArea>
    </format>
    <format dxfId="31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1"/>
          </reference>
          <reference field="17" count="1">
            <x v="51"/>
          </reference>
        </references>
      </pivotArea>
    </format>
    <format dxfId="31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104"/>
          </reference>
        </references>
      </pivotArea>
    </format>
    <format dxfId="31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93"/>
          </reference>
        </references>
      </pivotArea>
    </format>
    <format dxfId="31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0"/>
          </reference>
          <reference field="17" count="1">
            <x v="44"/>
          </reference>
        </references>
      </pivotArea>
    </format>
    <format dxfId="31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31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37"/>
          </reference>
        </references>
      </pivotArea>
    </format>
    <format dxfId="30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77"/>
          </reference>
        </references>
      </pivotArea>
    </format>
    <format dxfId="30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92"/>
          </reference>
        </references>
      </pivotArea>
    </format>
    <format dxfId="30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97"/>
          </reference>
        </references>
      </pivotArea>
    </format>
    <format dxfId="30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8"/>
          </reference>
        </references>
      </pivotArea>
    </format>
    <format dxfId="30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9"/>
          </reference>
        </references>
      </pivotArea>
    </format>
    <format dxfId="30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24"/>
          </reference>
        </references>
      </pivotArea>
    </format>
    <format dxfId="30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3"/>
          </reference>
        </references>
      </pivotArea>
    </format>
    <format dxfId="30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6"/>
          </reference>
          <reference field="17" count="1">
            <x v="5"/>
          </reference>
        </references>
      </pivotArea>
    </format>
    <format dxfId="30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65"/>
          </reference>
        </references>
      </pivotArea>
    </format>
    <format dxfId="30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9"/>
          </reference>
          <reference field="17" count="1">
            <x v="66"/>
          </reference>
        </references>
      </pivotArea>
    </format>
    <format dxfId="29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30"/>
          </reference>
        </references>
      </pivotArea>
    </format>
    <format dxfId="29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5"/>
          </reference>
          <reference field="17" count="1">
            <x v="19"/>
          </reference>
        </references>
      </pivotArea>
    </format>
    <format dxfId="29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6"/>
          </reference>
          <reference field="17" count="1">
            <x v="26"/>
          </reference>
        </references>
      </pivotArea>
    </format>
    <format dxfId="29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7"/>
          </reference>
          <reference field="17" count="1">
            <x v="29"/>
          </reference>
        </references>
      </pivotArea>
    </format>
    <format dxfId="29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8"/>
          </reference>
          <reference field="17" count="1">
            <x v="32"/>
          </reference>
        </references>
      </pivotArea>
    </format>
    <format dxfId="29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76"/>
          </reference>
        </references>
      </pivotArea>
    </format>
    <format dxfId="29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"/>
          </reference>
          <reference field="17" count="1">
            <x v="73"/>
          </reference>
        </references>
      </pivotArea>
    </format>
    <format dxfId="29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83"/>
          </reference>
        </references>
      </pivotArea>
    </format>
    <format dxfId="29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84"/>
          </reference>
        </references>
      </pivotArea>
    </format>
    <format dxfId="29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89"/>
          </reference>
        </references>
      </pivotArea>
    </format>
    <format dxfId="28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88"/>
          </reference>
        </references>
      </pivotArea>
    </format>
    <format dxfId="28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"/>
          </reference>
          <reference field="17" count="1">
            <x v="7"/>
          </reference>
        </references>
      </pivotArea>
    </format>
    <format dxfId="28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85"/>
          </reference>
        </references>
      </pivotArea>
    </format>
    <format dxfId="28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8"/>
          </reference>
          <reference field="17" count="1">
            <x v="2"/>
          </reference>
        </references>
      </pivotArea>
    </format>
    <format dxfId="28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1"/>
          </reference>
        </references>
      </pivotArea>
    </format>
    <format dxfId="28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86"/>
          </reference>
        </references>
      </pivotArea>
    </format>
    <format dxfId="28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21"/>
          </reference>
          <reference field="17" count="1">
            <x v="68"/>
          </reference>
        </references>
      </pivotArea>
    </format>
    <format dxfId="28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75"/>
          </reference>
        </references>
      </pivotArea>
    </format>
    <format dxfId="28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15"/>
          </reference>
        </references>
      </pivotArea>
    </format>
    <format dxfId="28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25"/>
          </reference>
          <reference field="17" count="1">
            <x v="42"/>
          </reference>
        </references>
      </pivotArea>
    </format>
    <format dxfId="27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26"/>
          </reference>
          <reference field="17" count="1">
            <x v="71"/>
          </reference>
        </references>
      </pivotArea>
    </format>
    <format dxfId="27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0"/>
          </reference>
          <reference field="17" count="1">
            <x v="94"/>
          </reference>
        </references>
      </pivotArea>
    </format>
    <format dxfId="27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1"/>
          </reference>
          <reference field="17" count="1">
            <x v="95"/>
          </reference>
        </references>
      </pivotArea>
    </format>
    <format dxfId="27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3"/>
          </reference>
          <reference field="17" count="1">
            <x v="13"/>
          </reference>
        </references>
      </pivotArea>
    </format>
    <format dxfId="27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5"/>
          </reference>
          <reference field="17" count="1">
            <x v="40"/>
          </reference>
        </references>
      </pivotArea>
    </format>
    <format dxfId="27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6"/>
          </reference>
          <reference field="17" count="1">
            <x v="82"/>
          </reference>
        </references>
      </pivotArea>
    </format>
    <format dxfId="27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7"/>
          </reference>
          <reference field="17" count="1">
            <x v="52"/>
          </reference>
        </references>
      </pivotArea>
    </format>
    <format dxfId="27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105"/>
          </reference>
        </references>
      </pivotArea>
    </format>
    <format dxfId="27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98"/>
          </reference>
        </references>
      </pivotArea>
    </format>
    <format dxfId="27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40"/>
          </reference>
          <reference field="17" count="1">
            <x v="43"/>
          </reference>
        </references>
      </pivotArea>
    </format>
    <format dxfId="26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41"/>
          </reference>
          <reference field="17" count="1">
            <x v="51"/>
          </reference>
        </references>
      </pivotArea>
    </format>
    <format dxfId="26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43"/>
          </reference>
          <reference field="17" count="1">
            <x v="74"/>
          </reference>
        </references>
      </pivotArea>
    </format>
    <format dxfId="26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104"/>
          </reference>
        </references>
      </pivotArea>
    </format>
    <format dxfId="26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93"/>
          </reference>
        </references>
      </pivotArea>
    </format>
    <format dxfId="26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34"/>
          </reference>
        </references>
      </pivotArea>
    </format>
    <format dxfId="26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48"/>
          </reference>
          <reference field="17" count="1">
            <x v="38"/>
          </reference>
        </references>
      </pivotArea>
    </format>
    <format dxfId="26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50"/>
          </reference>
          <reference field="17" count="1">
            <x v="44"/>
          </reference>
        </references>
      </pivotArea>
    </format>
    <format dxfId="26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50"/>
          </reference>
        </references>
      </pivotArea>
    </format>
    <format dxfId="26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54"/>
          </reference>
          <reference field="17" count="1">
            <x v="41"/>
          </reference>
        </references>
      </pivotArea>
    </format>
    <format dxfId="26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77"/>
          </reference>
        </references>
      </pivotArea>
    </format>
    <format dxfId="25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56"/>
          </reference>
          <reference field="17" count="1">
            <x v="70"/>
          </reference>
        </references>
      </pivotArea>
    </format>
    <format dxfId="25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57"/>
          </reference>
          <reference field="17" count="1">
            <x v="69"/>
          </reference>
        </references>
      </pivotArea>
    </format>
    <format dxfId="25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97"/>
          </reference>
        </references>
      </pivotArea>
    </format>
    <format dxfId="25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96"/>
          </reference>
        </references>
      </pivotArea>
    </format>
    <format dxfId="25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8"/>
          </reference>
        </references>
      </pivotArea>
    </format>
    <format dxfId="25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9"/>
          </reference>
        </references>
      </pivotArea>
    </format>
    <format dxfId="25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24"/>
          </reference>
        </references>
      </pivotArea>
    </format>
    <format dxfId="25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3"/>
          </reference>
        </references>
      </pivotArea>
    </format>
    <format dxfId="25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5"/>
          </reference>
          <reference field="17" count="1">
            <x v="6"/>
          </reference>
        </references>
      </pivotArea>
    </format>
    <format dxfId="25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6"/>
          </reference>
          <reference field="17" count="1">
            <x v="5"/>
          </reference>
        </references>
      </pivotArea>
    </format>
    <format dxfId="24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7"/>
          </reference>
          <reference field="17" count="1">
            <x v="4"/>
          </reference>
        </references>
      </pivotArea>
    </format>
    <format dxfId="24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65"/>
          </reference>
        </references>
      </pivotArea>
    </format>
    <format dxfId="24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9"/>
          </reference>
          <reference field="17" count="1">
            <x v="66"/>
          </reference>
        </references>
      </pivotArea>
    </format>
    <format dxfId="24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0"/>
          </reference>
          <reference field="17" count="1">
            <x v="67"/>
          </reference>
        </references>
      </pivotArea>
    </format>
    <format dxfId="24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1"/>
          </reference>
          <reference field="17" count="1">
            <x v="49"/>
          </reference>
        </references>
      </pivotArea>
    </format>
    <format dxfId="24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2"/>
          </reference>
          <reference field="17" count="1">
            <x v="103"/>
          </reference>
        </references>
      </pivotArea>
    </format>
    <format dxfId="24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3"/>
          </reference>
          <reference field="17" count="1">
            <x v="64"/>
          </reference>
        </references>
      </pivotArea>
    </format>
    <format dxfId="24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4"/>
          </reference>
          <reference field="17" count="1">
            <x v="80"/>
          </reference>
        </references>
      </pivotArea>
    </format>
    <format dxfId="24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5"/>
          </reference>
          <reference field="17" count="1">
            <x v="79"/>
          </reference>
        </references>
      </pivotArea>
    </format>
    <format dxfId="24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6"/>
          </reference>
          <reference field="17" count="1">
            <x v="59"/>
          </reference>
        </references>
      </pivotArea>
    </format>
    <format dxfId="23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27"/>
          </reference>
        </references>
      </pivotArea>
    </format>
    <format dxfId="23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82"/>
          </reference>
          <reference field="17" count="1">
            <x v="28"/>
          </reference>
        </references>
      </pivotArea>
    </format>
    <format dxfId="23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88"/>
          </reference>
          <reference field="17" count="1">
            <x v="32"/>
          </reference>
        </references>
      </pivotArea>
    </format>
    <format dxfId="23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89"/>
          </reference>
          <reference field="17" count="1">
            <x v="91"/>
          </reference>
        </references>
      </pivotArea>
    </format>
    <format dxfId="23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1"/>
          </reference>
          <reference field="17" count="1">
            <x v="63"/>
          </reference>
        </references>
      </pivotArea>
    </format>
    <format dxfId="23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2"/>
          </reference>
          <reference field="17" count="1">
            <x v="55"/>
          </reference>
        </references>
      </pivotArea>
    </format>
    <format dxfId="23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3"/>
          </reference>
          <reference field="17" count="1">
            <x v="58"/>
          </reference>
        </references>
      </pivotArea>
    </format>
    <format dxfId="23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4"/>
          </reference>
          <reference field="17" count="1">
            <x v="107"/>
          </reference>
        </references>
      </pivotArea>
    </format>
    <format dxfId="23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5"/>
          </reference>
          <reference field="17" count="1">
            <x v="106"/>
          </reference>
        </references>
      </pivotArea>
    </format>
    <format dxfId="23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6"/>
          </reference>
          <reference field="17" count="1">
            <x v="48"/>
          </reference>
        </references>
      </pivotArea>
    </format>
    <format dxfId="22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7"/>
          </reference>
          <reference field="17" count="1">
            <x v="87"/>
          </reference>
        </references>
      </pivotArea>
    </format>
    <format dxfId="22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8"/>
          </reference>
          <reference field="17" count="1">
            <x v="53"/>
          </reference>
        </references>
      </pivotArea>
    </format>
    <format dxfId="22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9"/>
          </reference>
          <reference field="17" count="1">
            <x v="57"/>
          </reference>
        </references>
      </pivotArea>
    </format>
    <format dxfId="22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0"/>
          </reference>
          <reference field="17" count="1">
            <x v="56"/>
          </reference>
        </references>
      </pivotArea>
    </format>
    <format dxfId="22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1"/>
          </reference>
          <reference field="17" count="1">
            <x v="61"/>
          </reference>
        </references>
      </pivotArea>
    </format>
    <format dxfId="22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2"/>
          </reference>
          <reference field="17" count="1">
            <x v="60"/>
          </reference>
        </references>
      </pivotArea>
    </format>
    <format dxfId="22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3"/>
          </reference>
          <reference field="17" count="1">
            <x v="62"/>
          </reference>
        </references>
      </pivotArea>
    </format>
    <format dxfId="22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4"/>
          </reference>
          <reference field="17" count="1">
            <x v="20"/>
          </reference>
        </references>
      </pivotArea>
    </format>
    <format dxfId="22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5"/>
          </reference>
          <reference field="17" count="1">
            <x v="22"/>
          </reference>
        </references>
      </pivotArea>
    </format>
    <format dxfId="22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6"/>
          </reference>
          <reference field="17" count="1">
            <x v="12"/>
          </reference>
        </references>
      </pivotArea>
    </format>
    <format dxfId="21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7"/>
          </reference>
          <reference field="17" count="1">
            <x v="21"/>
          </reference>
        </references>
      </pivotArea>
    </format>
    <format dxfId="218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85"/>
          </reference>
        </references>
      </pivotArea>
    </format>
    <format dxfId="2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6">
      <pivotArea field="17" type="button" dataOnly="0" labelOnly="1" outline="0" axis="axisRow" fieldPosition="4"/>
    </format>
    <format dxfId="215">
      <pivotArea dataOnly="0" labelOnly="1" grandRow="1" outline="0" fieldPosition="0"/>
    </format>
    <format dxfId="21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"/>
          </reference>
          <reference field="17" count="1">
            <x v="36"/>
          </reference>
        </references>
      </pivotArea>
    </format>
    <format dxfId="21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84"/>
          </reference>
        </references>
      </pivotArea>
    </format>
    <format dxfId="21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72"/>
          </reference>
        </references>
      </pivotArea>
    </format>
    <format dxfId="21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47"/>
          </reference>
        </references>
      </pivotArea>
    </format>
    <format dxfId="21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68"/>
          </reference>
        </references>
      </pivotArea>
    </format>
    <format dxfId="20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102"/>
          </reference>
        </references>
      </pivotArea>
    </format>
    <format dxfId="20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42"/>
          </reference>
        </references>
      </pivotArea>
    </format>
    <format dxfId="20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6"/>
          </reference>
          <reference field="17" count="1">
            <x v="71"/>
          </reference>
        </references>
      </pivotArea>
    </format>
    <format dxfId="20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7"/>
          </reference>
          <reference field="17" count="1">
            <x v="11"/>
          </reference>
        </references>
      </pivotArea>
    </format>
    <format dxfId="20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9"/>
          </reference>
          <reference field="17" count="1">
            <x v="10"/>
          </reference>
        </references>
      </pivotArea>
    </format>
    <format dxfId="20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94"/>
          </reference>
        </references>
      </pivotArea>
    </format>
    <format dxfId="20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95"/>
          </reference>
        </references>
      </pivotArea>
    </format>
    <format dxfId="20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7"/>
          </reference>
        </references>
      </pivotArea>
    </format>
    <format dxfId="20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13"/>
          </reference>
        </references>
      </pivotArea>
    </format>
    <format dxfId="20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2"/>
          </reference>
          <reference field="17" count="1">
            <x v="39"/>
          </reference>
        </references>
      </pivotArea>
    </format>
    <format dxfId="19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100"/>
          </reference>
        </references>
      </pivotArea>
    </format>
    <format dxfId="19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4"/>
          </reference>
          <reference field="17" count="1">
            <x v="80"/>
          </reference>
        </references>
      </pivotArea>
    </format>
    <format dxfId="19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59"/>
          </reference>
        </references>
      </pivotArea>
    </format>
    <format dxfId="19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27"/>
          </reference>
        </references>
      </pivotArea>
    </format>
    <format dxfId="19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8"/>
          </reference>
          <reference field="17" count="1">
            <x v="18"/>
          </reference>
        </references>
      </pivotArea>
    </format>
    <format dxfId="19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9"/>
          </reference>
          <reference field="17" count="1">
            <x v="99"/>
          </reference>
        </references>
      </pivotArea>
    </format>
    <format dxfId="19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0"/>
          </reference>
          <reference field="17" count="1">
            <x v="90"/>
          </reference>
        </references>
      </pivotArea>
    </format>
    <format dxfId="19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1"/>
          </reference>
          <reference field="17" count="1">
            <x v="81"/>
          </reference>
        </references>
      </pivotArea>
    </format>
    <format dxfId="19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31"/>
          </reference>
        </references>
      </pivotArea>
    </format>
    <format dxfId="19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25"/>
          </reference>
        </references>
      </pivotArea>
    </format>
    <format dxfId="18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3"/>
          </reference>
        </references>
      </pivotArea>
    </format>
    <format dxfId="18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6"/>
          </reference>
        </references>
      </pivotArea>
    </format>
    <format dxfId="18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76"/>
          </reference>
        </references>
      </pivotArea>
    </format>
    <format dxfId="18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8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83"/>
          </reference>
        </references>
      </pivotArea>
    </format>
    <format dxfId="18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84"/>
          </reference>
        </references>
      </pivotArea>
    </format>
    <format dxfId="18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88"/>
          </reference>
        </references>
      </pivotArea>
    </format>
    <format dxfId="18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72"/>
          </reference>
        </references>
      </pivotArea>
    </format>
    <format dxfId="18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45"/>
          </reference>
        </references>
      </pivotArea>
    </format>
    <format dxfId="18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1"/>
          </reference>
        </references>
      </pivotArea>
    </format>
    <format dxfId="17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3"/>
          </reference>
          <reference field="17" count="1">
            <x v="75"/>
          </reference>
        </references>
      </pivotArea>
    </format>
    <format dxfId="17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54"/>
          </reference>
        </references>
      </pivotArea>
    </format>
    <format dxfId="17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94"/>
          </reference>
        </references>
      </pivotArea>
    </format>
    <format dxfId="17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4"/>
          </reference>
          <reference field="17" count="1">
            <x v="14"/>
          </reference>
        </references>
      </pivotArea>
    </format>
    <format dxfId="17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82"/>
          </reference>
        </references>
      </pivotArea>
    </format>
    <format dxfId="17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51"/>
          </reference>
        </references>
      </pivotArea>
    </format>
    <format dxfId="17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23"/>
          </reference>
        </references>
      </pivotArea>
    </format>
    <format dxfId="17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44"/>
          </reference>
        </references>
      </pivotArea>
    </format>
    <format dxfId="17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41"/>
          </reference>
        </references>
      </pivotArea>
    </format>
    <format dxfId="17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9"/>
          </reference>
        </references>
      </pivotArea>
    </format>
    <format dxfId="16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3"/>
          </reference>
          <reference field="17" count="1">
            <x v="24"/>
          </reference>
        </references>
      </pivotArea>
    </format>
    <format dxfId="16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3"/>
          </reference>
        </references>
      </pivotArea>
    </format>
    <format dxfId="16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5"/>
          </reference>
        </references>
      </pivotArea>
    </format>
    <format dxfId="16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30"/>
          </reference>
        </references>
      </pivotArea>
    </format>
    <format dxfId="16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19"/>
          </reference>
        </references>
      </pivotArea>
    </format>
    <format dxfId="16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6"/>
          </reference>
          <reference field="17" count="1">
            <x v="26"/>
          </reference>
        </references>
      </pivotArea>
    </format>
    <format dxfId="16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56"/>
          </reference>
        </references>
      </pivotArea>
    </format>
    <format dxfId="16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6"/>
          </reference>
        </references>
      </pivotArea>
    </format>
    <format dxfId="16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88"/>
          </reference>
        </references>
      </pivotArea>
    </format>
    <format dxfId="16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5"/>
          </reference>
        </references>
      </pivotArea>
    </format>
    <format dxfId="15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14"/>
          </reference>
        </references>
      </pivotArea>
    </format>
    <format dxfId="15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19"/>
          </reference>
        </references>
      </pivotArea>
    </format>
    <format dxfId="15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76"/>
          </reference>
        </references>
      </pivotArea>
    </format>
    <format dxfId="15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4"/>
          </reference>
          <reference field="17" count="1">
            <x v="78"/>
          </reference>
        </references>
      </pivotArea>
    </format>
    <format dxfId="15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13"/>
          </reference>
          <reference field="17" count="1">
            <x v="16"/>
          </reference>
        </references>
      </pivotArea>
    </format>
    <format dxfId="15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85"/>
          </reference>
        </references>
      </pivotArea>
    </format>
    <format dxfId="15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1"/>
          </reference>
        </references>
      </pivotArea>
    </format>
    <format dxfId="15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86"/>
          </reference>
        </references>
      </pivotArea>
    </format>
    <format dxfId="15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75"/>
          </reference>
        </references>
      </pivotArea>
    </format>
    <format dxfId="15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34"/>
          </reference>
          <reference field="17" count="1">
            <x v="14"/>
          </reference>
        </references>
      </pivotArea>
    </format>
    <format dxfId="14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77"/>
          </reference>
        </references>
      </pivotArea>
    </format>
    <format dxfId="14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24"/>
          </reference>
        </references>
      </pivotArea>
    </format>
    <format dxfId="14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30"/>
          </reference>
        </references>
      </pivotArea>
    </format>
    <format dxfId="14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85"/>
          </reference>
          <reference field="17" count="1">
            <x v="19"/>
          </reference>
        </references>
      </pivotArea>
    </format>
    <format dxfId="14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4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84"/>
          </reference>
        </references>
      </pivotArea>
    </format>
    <format dxfId="14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89"/>
          </reference>
        </references>
      </pivotArea>
    </format>
    <format dxfId="14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5"/>
          </reference>
        </references>
      </pivotArea>
    </format>
    <format dxfId="14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85"/>
          </reference>
        </references>
      </pivotArea>
    </format>
    <format dxfId="14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86"/>
          </reference>
        </references>
      </pivotArea>
    </format>
    <format dxfId="13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0"/>
          </reference>
          <reference field="17" count="1">
            <x v="94"/>
          </reference>
        </references>
      </pivotArea>
    </format>
    <format dxfId="13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95"/>
          </reference>
        </references>
      </pivotArea>
    </format>
    <format dxfId="13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98"/>
          </reference>
        </references>
      </pivotArea>
    </format>
    <format dxfId="13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63"/>
          </reference>
          <reference field="17" count="1">
            <x v="24"/>
          </reference>
        </references>
      </pivotArea>
    </format>
    <format dxfId="13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65"/>
          </reference>
        </references>
      </pivotArea>
    </format>
    <format dxfId="13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80"/>
          </reference>
        </references>
      </pivotArea>
    </format>
    <format dxfId="13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79"/>
          </reference>
        </references>
      </pivotArea>
    </format>
    <format dxfId="13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30"/>
          </reference>
        </references>
      </pivotArea>
    </format>
    <format dxfId="13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19"/>
          </reference>
        </references>
      </pivotArea>
    </format>
    <format dxfId="13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6"/>
          </reference>
        </references>
      </pivotArea>
    </format>
    <format dxfId="12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76"/>
          </reference>
        </references>
      </pivotArea>
    </format>
    <format dxfId="12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2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"/>
          </reference>
          <reference field="17" count="1">
            <x v="73"/>
          </reference>
        </references>
      </pivotArea>
    </format>
    <format dxfId="12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"/>
          </reference>
          <reference field="17" count="1">
            <x v="78"/>
          </reference>
        </references>
      </pivotArea>
    </format>
    <format dxfId="12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83"/>
          </reference>
        </references>
      </pivotArea>
    </format>
    <format dxfId="12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84"/>
          </reference>
        </references>
      </pivotArea>
    </format>
    <format dxfId="12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88"/>
          </reference>
        </references>
      </pivotArea>
    </format>
    <format dxfId="12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1"/>
          </reference>
          <reference field="17" count="1">
            <x v="101"/>
          </reference>
        </references>
      </pivotArea>
    </format>
    <format dxfId="12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3"/>
          </reference>
          <reference field="17" count="1">
            <x v="16"/>
          </reference>
        </references>
      </pivotArea>
    </format>
    <format dxfId="12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45"/>
          </reference>
        </references>
      </pivotArea>
    </format>
    <format dxfId="11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85"/>
          </reference>
        </references>
      </pivotArea>
    </format>
    <format dxfId="11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0"/>
          </reference>
        </references>
      </pivotArea>
    </format>
    <format dxfId="11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8"/>
          </reference>
          <reference field="17" count="1">
            <x v="2"/>
          </reference>
        </references>
      </pivotArea>
    </format>
    <format dxfId="11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1"/>
          </reference>
        </references>
      </pivotArea>
    </format>
    <format dxfId="11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86"/>
          </reference>
        </references>
      </pivotArea>
    </format>
    <format dxfId="11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75"/>
          </reference>
        </references>
      </pivotArea>
    </format>
    <format dxfId="11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1"/>
          </reference>
          <reference field="17" count="1">
            <x v="95"/>
          </reference>
        </references>
      </pivotArea>
    </format>
    <format dxfId="11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4"/>
          </reference>
          <reference field="17" count="1">
            <x v="14"/>
          </reference>
        </references>
      </pivotArea>
    </format>
    <format dxfId="11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7"/>
          </reference>
          <reference field="17" count="1">
            <x v="52"/>
          </reference>
        </references>
      </pivotArea>
    </format>
    <format dxfId="11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98"/>
          </reference>
        </references>
      </pivotArea>
    </format>
    <format dxfId="10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1"/>
          </reference>
          <reference field="17" count="1">
            <x v="51"/>
          </reference>
        </references>
      </pivotArea>
    </format>
    <format dxfId="10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104"/>
          </reference>
        </references>
      </pivotArea>
    </format>
    <format dxfId="10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93"/>
          </reference>
        </references>
      </pivotArea>
    </format>
    <format dxfId="10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0"/>
          </reference>
          <reference field="17" count="1">
            <x v="44"/>
          </reference>
        </references>
      </pivotArea>
    </format>
    <format dxfId="10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0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37"/>
          </reference>
        </references>
      </pivotArea>
    </format>
    <format dxfId="10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77"/>
          </reference>
        </references>
      </pivotArea>
    </format>
    <format dxfId="10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92"/>
          </reference>
        </references>
      </pivotArea>
    </format>
    <format dxfId="10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97"/>
          </reference>
        </references>
      </pivotArea>
    </format>
    <format dxfId="10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8"/>
          </reference>
        </references>
      </pivotArea>
    </format>
    <format dxfId="9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9"/>
          </reference>
        </references>
      </pivotArea>
    </format>
    <format dxfId="9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24"/>
          </reference>
        </references>
      </pivotArea>
    </format>
    <format dxfId="9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3"/>
          </reference>
        </references>
      </pivotArea>
    </format>
    <format dxfId="9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6"/>
          </reference>
          <reference field="17" count="1">
            <x v="5"/>
          </reference>
        </references>
      </pivotArea>
    </format>
    <format dxfId="9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65"/>
          </reference>
        </references>
      </pivotArea>
    </format>
    <format dxfId="9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9"/>
          </reference>
          <reference field="17" count="1">
            <x v="66"/>
          </reference>
        </references>
      </pivotArea>
    </format>
    <format dxfId="9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30"/>
          </reference>
        </references>
      </pivotArea>
    </format>
    <format dxfId="9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5"/>
          </reference>
          <reference field="17" count="1">
            <x v="19"/>
          </reference>
        </references>
      </pivotArea>
    </format>
    <format dxfId="9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6"/>
          </reference>
          <reference field="17" count="1">
            <x v="26"/>
          </reference>
        </references>
      </pivotArea>
    </format>
    <format dxfId="9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7"/>
          </reference>
          <reference field="17" count="1">
            <x v="29"/>
          </reference>
        </references>
      </pivotArea>
    </format>
    <format dxfId="8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8"/>
          </reference>
          <reference field="17" count="1">
            <x v="32"/>
          </reference>
        </references>
      </pivotArea>
    </format>
    <format dxfId="8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76"/>
          </reference>
        </references>
      </pivotArea>
    </format>
    <format dxfId="8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"/>
          </reference>
          <reference field="17" count="1">
            <x v="73"/>
          </reference>
        </references>
      </pivotArea>
    </format>
    <format dxfId="8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83"/>
          </reference>
        </references>
      </pivotArea>
    </format>
    <format dxfId="8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84"/>
          </reference>
        </references>
      </pivotArea>
    </format>
    <format dxfId="8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89"/>
          </reference>
        </references>
      </pivotArea>
    </format>
    <format dxfId="8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88"/>
          </reference>
        </references>
      </pivotArea>
    </format>
    <format dxfId="8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"/>
          </reference>
          <reference field="17" count="1">
            <x v="7"/>
          </reference>
        </references>
      </pivotArea>
    </format>
    <format dxfId="8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85"/>
          </reference>
        </references>
      </pivotArea>
    </format>
    <format dxfId="8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8"/>
          </reference>
          <reference field="17" count="1">
            <x v="2"/>
          </reference>
        </references>
      </pivotArea>
    </format>
    <format dxfId="7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1"/>
          </reference>
        </references>
      </pivotArea>
    </format>
    <format dxfId="7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86"/>
          </reference>
        </references>
      </pivotArea>
    </format>
    <format dxfId="7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21"/>
          </reference>
          <reference field="17" count="1">
            <x v="68"/>
          </reference>
        </references>
      </pivotArea>
    </format>
    <format dxfId="7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75"/>
          </reference>
        </references>
      </pivotArea>
    </format>
    <format dxfId="7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15"/>
          </reference>
        </references>
      </pivotArea>
    </format>
    <format dxfId="7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25"/>
          </reference>
          <reference field="17" count="1">
            <x v="42"/>
          </reference>
        </references>
      </pivotArea>
    </format>
    <format dxfId="7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26"/>
          </reference>
          <reference field="17" count="1">
            <x v="71"/>
          </reference>
        </references>
      </pivotArea>
    </format>
    <format dxfId="7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0"/>
          </reference>
          <reference field="17" count="1">
            <x v="94"/>
          </reference>
        </references>
      </pivotArea>
    </format>
    <format dxfId="7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1"/>
          </reference>
          <reference field="17" count="1">
            <x v="95"/>
          </reference>
        </references>
      </pivotArea>
    </format>
    <format dxfId="7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3"/>
          </reference>
          <reference field="17" count="1">
            <x v="13"/>
          </reference>
        </references>
      </pivotArea>
    </format>
    <format dxfId="6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5"/>
          </reference>
          <reference field="17" count="1">
            <x v="40"/>
          </reference>
        </references>
      </pivotArea>
    </format>
    <format dxfId="6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6"/>
          </reference>
          <reference field="17" count="1">
            <x v="82"/>
          </reference>
        </references>
      </pivotArea>
    </format>
    <format dxfId="6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7"/>
          </reference>
          <reference field="17" count="1">
            <x v="52"/>
          </reference>
        </references>
      </pivotArea>
    </format>
    <format dxfId="6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105"/>
          </reference>
        </references>
      </pivotArea>
    </format>
    <format dxfId="6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98"/>
          </reference>
        </references>
      </pivotArea>
    </format>
    <format dxfId="6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40"/>
          </reference>
          <reference field="17" count="1">
            <x v="43"/>
          </reference>
        </references>
      </pivotArea>
    </format>
    <format dxfId="6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41"/>
          </reference>
          <reference field="17" count="1">
            <x v="51"/>
          </reference>
        </references>
      </pivotArea>
    </format>
    <format dxfId="6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43"/>
          </reference>
          <reference field="17" count="1">
            <x v="74"/>
          </reference>
        </references>
      </pivotArea>
    </format>
    <format dxfId="6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104"/>
          </reference>
        </references>
      </pivotArea>
    </format>
    <format dxfId="6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93"/>
          </reference>
        </references>
      </pivotArea>
    </format>
    <format dxfId="5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34"/>
          </reference>
        </references>
      </pivotArea>
    </format>
    <format dxfId="5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48"/>
          </reference>
          <reference field="17" count="1">
            <x v="38"/>
          </reference>
        </references>
      </pivotArea>
    </format>
    <format dxfId="5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50"/>
          </reference>
          <reference field="17" count="1">
            <x v="44"/>
          </reference>
        </references>
      </pivotArea>
    </format>
    <format dxfId="5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50"/>
          </reference>
        </references>
      </pivotArea>
    </format>
    <format dxfId="5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54"/>
          </reference>
          <reference field="17" count="1">
            <x v="41"/>
          </reference>
        </references>
      </pivotArea>
    </format>
    <format dxfId="5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77"/>
          </reference>
        </references>
      </pivotArea>
    </format>
    <format dxfId="5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56"/>
          </reference>
          <reference field="17" count="1">
            <x v="70"/>
          </reference>
        </references>
      </pivotArea>
    </format>
    <format dxfId="5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57"/>
          </reference>
          <reference field="17" count="1">
            <x v="69"/>
          </reference>
        </references>
      </pivotArea>
    </format>
    <format dxfId="5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97"/>
          </reference>
        </references>
      </pivotArea>
    </format>
    <format dxfId="5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96"/>
          </reference>
        </references>
      </pivotArea>
    </format>
    <format dxfId="4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8"/>
          </reference>
        </references>
      </pivotArea>
    </format>
    <format dxfId="4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9"/>
          </reference>
        </references>
      </pivotArea>
    </format>
    <format dxfId="4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24"/>
          </reference>
        </references>
      </pivotArea>
    </format>
    <format dxfId="4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3"/>
          </reference>
        </references>
      </pivotArea>
    </format>
    <format dxfId="4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5"/>
          </reference>
          <reference field="17" count="1">
            <x v="6"/>
          </reference>
        </references>
      </pivotArea>
    </format>
    <format dxfId="4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6"/>
          </reference>
          <reference field="17" count="1">
            <x v="5"/>
          </reference>
        </references>
      </pivotArea>
    </format>
    <format dxfId="4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7"/>
          </reference>
          <reference field="17" count="1">
            <x v="4"/>
          </reference>
        </references>
      </pivotArea>
    </format>
    <format dxfId="4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65"/>
          </reference>
        </references>
      </pivotArea>
    </format>
    <format dxfId="4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69"/>
          </reference>
          <reference field="17" count="1">
            <x v="66"/>
          </reference>
        </references>
      </pivotArea>
    </format>
    <format dxfId="4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0"/>
          </reference>
          <reference field="17" count="1">
            <x v="67"/>
          </reference>
        </references>
      </pivotArea>
    </format>
    <format dxfId="3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1"/>
          </reference>
          <reference field="17" count="1">
            <x v="49"/>
          </reference>
        </references>
      </pivotArea>
    </format>
    <format dxfId="3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2"/>
          </reference>
          <reference field="17" count="1">
            <x v="103"/>
          </reference>
        </references>
      </pivotArea>
    </format>
    <format dxfId="3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3"/>
          </reference>
          <reference field="17" count="1">
            <x v="64"/>
          </reference>
        </references>
      </pivotArea>
    </format>
    <format dxfId="3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4"/>
          </reference>
          <reference field="17" count="1">
            <x v="80"/>
          </reference>
        </references>
      </pivotArea>
    </format>
    <format dxfId="3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5"/>
          </reference>
          <reference field="17" count="1">
            <x v="79"/>
          </reference>
        </references>
      </pivotArea>
    </format>
    <format dxfId="3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6"/>
          </reference>
          <reference field="17" count="1">
            <x v="59"/>
          </reference>
        </references>
      </pivotArea>
    </format>
    <format dxfId="3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27"/>
          </reference>
        </references>
      </pivotArea>
    </format>
    <format dxfId="3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82"/>
          </reference>
          <reference field="17" count="1">
            <x v="28"/>
          </reference>
        </references>
      </pivotArea>
    </format>
    <format dxfId="3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88"/>
          </reference>
          <reference field="17" count="1">
            <x v="32"/>
          </reference>
        </references>
      </pivotArea>
    </format>
    <format dxfId="3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89"/>
          </reference>
          <reference field="17" count="1">
            <x v="91"/>
          </reference>
        </references>
      </pivotArea>
    </format>
    <format dxfId="2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1"/>
          </reference>
          <reference field="17" count="1">
            <x v="63"/>
          </reference>
        </references>
      </pivotArea>
    </format>
    <format dxfId="2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2"/>
          </reference>
          <reference field="17" count="1">
            <x v="55"/>
          </reference>
        </references>
      </pivotArea>
    </format>
    <format dxfId="2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3"/>
          </reference>
          <reference field="17" count="1">
            <x v="58"/>
          </reference>
        </references>
      </pivotArea>
    </format>
    <format dxfId="2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4"/>
          </reference>
          <reference field="17" count="1">
            <x v="107"/>
          </reference>
        </references>
      </pivotArea>
    </format>
    <format dxfId="2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5"/>
          </reference>
          <reference field="17" count="1">
            <x v="106"/>
          </reference>
        </references>
      </pivotArea>
    </format>
    <format dxfId="2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6"/>
          </reference>
          <reference field="17" count="1">
            <x v="48"/>
          </reference>
        </references>
      </pivotArea>
    </format>
    <format dxfId="2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7"/>
          </reference>
          <reference field="17" count="1">
            <x v="87"/>
          </reference>
        </references>
      </pivotArea>
    </format>
    <format dxfId="2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8"/>
          </reference>
          <reference field="17" count="1">
            <x v="53"/>
          </reference>
        </references>
      </pivotArea>
    </format>
    <format dxfId="2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99"/>
          </reference>
          <reference field="17" count="1">
            <x v="57"/>
          </reference>
        </references>
      </pivotArea>
    </format>
    <format dxfId="2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0"/>
          </reference>
          <reference field="17" count="1">
            <x v="56"/>
          </reference>
        </references>
      </pivotArea>
    </format>
    <format dxfId="1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1"/>
          </reference>
          <reference field="17" count="1">
            <x v="61"/>
          </reference>
        </references>
      </pivotArea>
    </format>
    <format dxfId="1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2"/>
          </reference>
          <reference field="17" count="1">
            <x v="60"/>
          </reference>
        </references>
      </pivotArea>
    </format>
    <format dxfId="1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3"/>
          </reference>
          <reference field="17" count="1">
            <x v="62"/>
          </reference>
        </references>
      </pivotArea>
    </format>
    <format dxfId="1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4"/>
          </reference>
          <reference field="17" count="1">
            <x v="20"/>
          </reference>
        </references>
      </pivotArea>
    </format>
    <format dxfId="1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5"/>
          </reference>
          <reference field="17" count="1">
            <x v="22"/>
          </reference>
        </references>
      </pivotArea>
    </format>
    <format dxfId="1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6"/>
          </reference>
          <reference field="17" count="1">
            <x v="12"/>
          </reference>
        </references>
      </pivotArea>
    </format>
    <format dxfId="1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2"/>
          </reference>
          <reference field="16" count="1" selected="0">
            <x v="107"/>
          </reference>
          <reference field="17" count="1">
            <x v="21"/>
          </reference>
        </references>
      </pivotArea>
    </format>
    <format dxfId="12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85"/>
          </reference>
        </references>
      </pivotArea>
    </format>
    <format dxfId="11">
      <pivotArea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"/>
          </reference>
          <reference field="17" count="1" selected="0">
            <x v="36"/>
          </reference>
        </references>
      </pivotArea>
    </format>
    <format dxfId="10">
      <pivotArea dataOnly="0" labelOnly="1" outline="0" offset="IV1" fieldPosition="0">
        <references count="2">
          <reference field="4" count="0" selected="0"/>
          <reference field="5" count="1">
            <x v="0"/>
          </reference>
        </references>
      </pivotArea>
    </format>
    <format dxfId="9">
      <pivotArea dataOnly="0" labelOnly="1" outline="0" offset="IV1" fieldPosition="0">
        <references count="3">
          <reference field="4" count="0" selected="0"/>
          <reference field="5" count="1" selected="0">
            <x v="0"/>
          </reference>
          <reference field="7" count="1">
            <x v="0"/>
          </reference>
        </references>
      </pivotArea>
    </format>
    <format dxfId="8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>
            <x v="5"/>
          </reference>
        </references>
      </pivotArea>
    </format>
    <format dxfId="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"/>
          </reference>
          <reference field="17" count="1">
            <x v="36"/>
          </reference>
        </references>
      </pivotArea>
    </format>
    <format dxfId="6">
      <pivotArea dataOnly="0" labelOnly="1" outline="0" offset="IV1" fieldPosition="0">
        <references count="2">
          <reference field="4" count="0" selected="0"/>
          <reference field="5" count="1">
            <x v="1"/>
          </reference>
        </references>
      </pivotArea>
    </format>
    <format dxfId="5">
      <pivotArea dataOnly="0" labelOnly="1" outline="0" offset="IV1" fieldPosition="0">
        <references count="2">
          <reference field="4" count="0" selected="0"/>
          <reference field="5" count="1">
            <x v="2"/>
          </reference>
        </references>
      </pivotArea>
    </format>
    <format dxfId="4">
      <pivotArea dataOnly="0" labelOnly="1" outline="0" offset="IV1" fieldPosition="0">
        <references count="2">
          <reference field="4" count="0" selected="0"/>
          <reference field="5" count="1">
            <x v="3"/>
          </reference>
        </references>
      </pivotArea>
    </format>
    <format dxfId="3">
      <pivotArea dataOnly="0" labelOnly="1" outline="0" offset="IV1" fieldPosition="0">
        <references count="2">
          <reference field="4" count="0" selected="0"/>
          <reference field="5" count="1">
            <x v="4"/>
          </reference>
        </references>
      </pivotArea>
    </format>
    <format dxfId="2">
      <pivotArea dataOnly="0" labelOnly="1" outline="0" offset="IV1" fieldPosition="0">
        <references count="2">
          <reference field="4" count="0" selected="0"/>
          <reference field="5" count="1">
            <x v="5"/>
          </reference>
        </references>
      </pivotArea>
    </format>
    <format dxfId="1">
      <pivotArea dataOnly="0" labelOnly="1" outline="0" offset="IV1" fieldPosition="0">
        <references count="2">
          <reference field="4" count="0" selected="0"/>
          <reference field="5" count="1">
            <x v="6"/>
          </reference>
        </references>
      </pivotArea>
    </format>
    <format dxfId="0">
      <pivotArea dataOnly="0" labelOnly="1" outline="0" fieldPosition="0">
        <references count="2">
          <reference field="4" count="0" selected="0"/>
          <reference field="5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E204" totalsRowShown="0">
  <autoFilter ref="A1:AE204" xr:uid="{00000000-0009-0000-0100-000001000000}"/>
  <tableColumns count="31">
    <tableColumn id="1" xr3:uid="{00000000-0010-0000-0000-000001000000}" name="Счет клиента"/>
    <tableColumn id="2" xr3:uid="{00000000-0010-0000-0000-000002000000}" name="Наименование"/>
    <tableColumn id="3" xr3:uid="{00000000-0010-0000-0000-000003000000}" name="Поздний заказ"/>
    <tableColumn id="4" xr3:uid="{00000000-0010-0000-0000-000004000000}" name="Заказ на продажу"/>
    <tableColumn id="5" xr3:uid="{00000000-0010-0000-0000-000005000000}" name="Запрошенная дата отгрузки"/>
    <tableColumn id="6" xr3:uid="{00000000-0010-0000-0000-000006000000}" name="Внешний номер заказа"/>
    <tableColumn id="7" xr3:uid="{00000000-0010-0000-0000-000007000000}" name="Время отгрузки"/>
    <tableColumn id="8" xr3:uid="{00000000-0010-0000-0000-000008000000}" name="Внешний код клиента"/>
    <tableColumn id="9" xr3:uid="{00000000-0010-0000-0000-000009000000}" name="Запрошенная дата прихода"/>
    <tableColumn id="10" xr3:uid="{00000000-0010-0000-0000-00000A000000}" name="Время прихода"/>
    <tableColumn id="11" xr3:uid="{00000000-0010-0000-0000-00000B000000}" name="Код адреса поставки"/>
    <tableColumn id="12" xr3:uid="{00000000-0010-0000-0000-00000C000000}" name="Сайт"/>
    <tableColumn id="13" xr3:uid="{00000000-0010-0000-0000-00000D000000}" name="Склад"/>
    <tableColumn id="14" xr3:uid="{00000000-0010-0000-0000-00000E000000}" name="ИОСГ"/>
    <tableColumn id="15" xr3:uid="{00000000-0010-0000-0000-00000F000000}" name="Внешний код"/>
    <tableColumn id="16" xr3:uid="{00000000-0010-0000-0000-000010000000}" name="Окончательная"/>
    <tableColumn id="17" xr3:uid="{00000000-0010-0000-0000-000011000000}" name="Код единицы продаж"/>
    <tableColumn id="18" xr3:uid="{00000000-0010-0000-0000-000012000000}" name="Наименование для бланков"/>
    <tableColumn id="19" xr3:uid="{00000000-0010-0000-0000-000013000000}" name="Заказано"/>
    <tableColumn id="20" xr3:uid="{00000000-0010-0000-0000-000014000000}" name="Согласовано"/>
    <tableColumn id="21" xr3:uid="{00000000-0010-0000-0000-000015000000}" name="Отгружено"/>
    <tableColumn id="22" xr3:uid="{00000000-0010-0000-0000-000016000000}" name="Урезание"/>
    <tableColumn id="23" xr3:uid="{00000000-0010-0000-0000-000017000000}" name="ПСУС (урезание/пусто)"/>
    <tableColumn id="24" xr3:uid="{00000000-0010-0000-0000-000018000000}" name="Зона ответственности (урезание/пусто)"/>
    <tableColumn id="25" xr3:uid="{00000000-0010-0000-0000-000019000000}" name="Окончательная (урезание/пусто)"/>
    <tableColumn id="26" xr3:uid="{00000000-0010-0000-0000-00001A000000}" name="Недогруз"/>
    <tableColumn id="27" xr3:uid="{00000000-0010-0000-0000-00001B000000}" name="ПСУС (недогруз)"/>
    <tableColumn id="28" xr3:uid="{00000000-0010-0000-0000-00001C000000}" name="Зона ответственности (недогруз)"/>
    <tableColumn id="29" xr3:uid="{00000000-0010-0000-0000-00001D000000}" name="Окончательная (недогруз)"/>
    <tableColumn id="30" xr3:uid="{00000000-0010-0000-0000-00001E000000}" name="Комментарий"/>
    <tableColumn id="31" xr3:uid="{00000000-0010-0000-0000-00001F000000}" name="Влож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207"/>
  <sheetViews>
    <sheetView tabSelected="1" workbookViewId="0">
      <selection activeCell="J212" sqref="J212"/>
    </sheetView>
  </sheetViews>
  <sheetFormatPr defaultRowHeight="15" x14ac:dyDescent="0.25"/>
  <cols>
    <col min="1" max="1" width="16" customWidth="1"/>
    <col min="2" max="2" width="12.42578125" customWidth="1"/>
    <col min="3" max="3" width="16" customWidth="1"/>
    <col min="4" max="4" width="13.28515625" customWidth="1"/>
    <col min="5" max="5" width="68.28515625" style="12" customWidth="1"/>
    <col min="6" max="6" width="23.7109375" style="5" bestFit="1" customWidth="1"/>
    <col min="7" max="7" width="26.85546875" style="5" bestFit="1" customWidth="1"/>
    <col min="8" max="8" width="24" style="5" bestFit="1" customWidth="1"/>
  </cols>
  <sheetData>
    <row r="3" spans="1:9" x14ac:dyDescent="0.25">
      <c r="A3" s="6" t="s">
        <v>4</v>
      </c>
      <c r="B3" s="6" t="s">
        <v>5</v>
      </c>
      <c r="C3" s="6" t="s">
        <v>7</v>
      </c>
      <c r="D3" s="6" t="s">
        <v>16</v>
      </c>
      <c r="E3" s="10" t="s">
        <v>17</v>
      </c>
      <c r="F3" s="7" t="s">
        <v>288</v>
      </c>
      <c r="G3" s="7" t="s">
        <v>289</v>
      </c>
      <c r="H3" s="7" t="s">
        <v>290</v>
      </c>
    </row>
    <row r="4" spans="1:9" x14ac:dyDescent="0.25">
      <c r="A4" s="8">
        <v>46264</v>
      </c>
      <c r="B4" s="13" t="s">
        <v>35</v>
      </c>
      <c r="C4" s="13" t="s">
        <v>36</v>
      </c>
      <c r="D4" s="13" t="s">
        <v>95</v>
      </c>
      <c r="E4" s="14" t="s">
        <v>96</v>
      </c>
      <c r="F4" s="15">
        <v>88</v>
      </c>
      <c r="G4" s="15">
        <v>88</v>
      </c>
      <c r="H4" s="15"/>
      <c r="I4" s="17">
        <f>SUM(H4:H29)</f>
        <v>-360.4</v>
      </c>
    </row>
    <row r="5" spans="1:9" hidden="1" x14ac:dyDescent="0.25">
      <c r="A5" s="9"/>
      <c r="B5" s="9"/>
      <c r="C5" s="9"/>
      <c r="D5" s="9" t="s">
        <v>44</v>
      </c>
      <c r="E5" s="11" t="s">
        <v>45</v>
      </c>
      <c r="F5" s="7">
        <v>202.5</v>
      </c>
      <c r="G5" s="7">
        <v>202.5</v>
      </c>
      <c r="H5" s="7"/>
    </row>
    <row r="6" spans="1:9" hidden="1" x14ac:dyDescent="0.25">
      <c r="A6" s="9"/>
      <c r="B6" s="9"/>
      <c r="C6" s="9"/>
      <c r="D6" s="9" t="s">
        <v>77</v>
      </c>
      <c r="E6" s="11" t="s">
        <v>78</v>
      </c>
      <c r="F6" s="7">
        <v>15.3</v>
      </c>
      <c r="G6" s="7">
        <v>15.3</v>
      </c>
      <c r="H6" s="7"/>
    </row>
    <row r="7" spans="1:9" hidden="1" x14ac:dyDescent="0.25">
      <c r="A7" s="9"/>
      <c r="B7" s="9"/>
      <c r="C7" s="9"/>
      <c r="D7" s="9" t="s">
        <v>85</v>
      </c>
      <c r="E7" s="11" t="s">
        <v>86</v>
      </c>
      <c r="F7" s="7">
        <v>24</v>
      </c>
      <c r="G7" s="7">
        <v>24</v>
      </c>
      <c r="H7" s="7"/>
    </row>
    <row r="8" spans="1:9" hidden="1" x14ac:dyDescent="0.25">
      <c r="A8" s="9"/>
      <c r="B8" s="9"/>
      <c r="C8" s="9"/>
      <c r="D8" s="9" t="s">
        <v>75</v>
      </c>
      <c r="E8" s="11" t="s">
        <v>76</v>
      </c>
      <c r="F8" s="7">
        <v>108</v>
      </c>
      <c r="G8" s="7"/>
      <c r="H8" s="7">
        <v>-108</v>
      </c>
    </row>
    <row r="9" spans="1:9" hidden="1" x14ac:dyDescent="0.25">
      <c r="A9" s="9"/>
      <c r="B9" s="9"/>
      <c r="C9" s="9"/>
      <c r="D9" s="9" t="s">
        <v>89</v>
      </c>
      <c r="E9" s="11" t="s">
        <v>90</v>
      </c>
      <c r="F9" s="7">
        <v>144</v>
      </c>
      <c r="G9" s="7">
        <v>144</v>
      </c>
      <c r="H9" s="7"/>
    </row>
    <row r="10" spans="1:9" hidden="1" x14ac:dyDescent="0.25">
      <c r="A10" s="9"/>
      <c r="B10" s="9"/>
      <c r="C10" s="9"/>
      <c r="D10" s="9" t="s">
        <v>48</v>
      </c>
      <c r="E10" s="11" t="s">
        <v>49</v>
      </c>
      <c r="F10" s="7">
        <v>13</v>
      </c>
      <c r="G10" s="7"/>
      <c r="H10" s="7">
        <v>-13</v>
      </c>
    </row>
    <row r="11" spans="1:9" hidden="1" x14ac:dyDescent="0.25">
      <c r="A11" s="9"/>
      <c r="B11" s="9"/>
      <c r="C11" s="9"/>
      <c r="D11" s="9" t="s">
        <v>79</v>
      </c>
      <c r="E11" s="11" t="s">
        <v>80</v>
      </c>
      <c r="F11" s="7">
        <v>36</v>
      </c>
      <c r="G11" s="7">
        <v>36</v>
      </c>
      <c r="H11" s="7"/>
    </row>
    <row r="12" spans="1:9" hidden="1" x14ac:dyDescent="0.25">
      <c r="A12" s="9"/>
      <c r="B12" s="9"/>
      <c r="C12" s="9"/>
      <c r="D12" s="9" t="s">
        <v>87</v>
      </c>
      <c r="E12" s="11" t="s">
        <v>88</v>
      </c>
      <c r="F12" s="7">
        <v>31.5</v>
      </c>
      <c r="G12" s="7">
        <v>31.5</v>
      </c>
      <c r="H12" s="7"/>
    </row>
    <row r="13" spans="1:9" hidden="1" x14ac:dyDescent="0.25">
      <c r="A13" s="9"/>
      <c r="B13" s="9"/>
      <c r="C13" s="9"/>
      <c r="D13" s="9" t="s">
        <v>72</v>
      </c>
      <c r="E13" s="11" t="s">
        <v>73</v>
      </c>
      <c r="F13" s="7">
        <v>31.5</v>
      </c>
      <c r="G13" s="7"/>
      <c r="H13" s="7">
        <v>-31.5</v>
      </c>
    </row>
    <row r="14" spans="1:9" hidden="1" x14ac:dyDescent="0.25">
      <c r="A14" s="9"/>
      <c r="B14" s="9"/>
      <c r="C14" s="9"/>
      <c r="D14" s="9" t="s">
        <v>62</v>
      </c>
      <c r="E14" s="11" t="s">
        <v>63</v>
      </c>
      <c r="F14" s="7">
        <v>120</v>
      </c>
      <c r="G14" s="7">
        <v>120</v>
      </c>
      <c r="H14" s="7"/>
    </row>
    <row r="15" spans="1:9" hidden="1" x14ac:dyDescent="0.25">
      <c r="A15" s="9"/>
      <c r="B15" s="9"/>
      <c r="C15" s="9"/>
      <c r="D15" s="9" t="s">
        <v>64</v>
      </c>
      <c r="E15" s="11" t="s">
        <v>65</v>
      </c>
      <c r="F15" s="7">
        <v>72</v>
      </c>
      <c r="G15" s="7"/>
      <c r="H15" s="7">
        <v>-72</v>
      </c>
    </row>
    <row r="16" spans="1:9" hidden="1" x14ac:dyDescent="0.25">
      <c r="A16" s="9"/>
      <c r="B16" s="9"/>
      <c r="C16" s="9"/>
      <c r="D16" s="9" t="s">
        <v>93</v>
      </c>
      <c r="E16" s="11" t="s">
        <v>94</v>
      </c>
      <c r="F16" s="7">
        <v>273.60000000000002</v>
      </c>
      <c r="G16" s="7">
        <v>273.60000000000002</v>
      </c>
      <c r="H16" s="7"/>
    </row>
    <row r="17" spans="1:9" hidden="1" x14ac:dyDescent="0.25">
      <c r="A17" s="9"/>
      <c r="B17" s="9"/>
      <c r="C17" s="9"/>
      <c r="D17" s="9" t="s">
        <v>91</v>
      </c>
      <c r="E17" s="11" t="s">
        <v>92</v>
      </c>
      <c r="F17" s="7">
        <v>91.2</v>
      </c>
      <c r="G17" s="7">
        <v>91.2</v>
      </c>
      <c r="H17" s="7"/>
    </row>
    <row r="18" spans="1:9" hidden="1" x14ac:dyDescent="0.25">
      <c r="A18" s="9"/>
      <c r="B18" s="9"/>
      <c r="C18" s="9"/>
      <c r="D18" s="9" t="s">
        <v>59</v>
      </c>
      <c r="E18" s="11" t="s">
        <v>60</v>
      </c>
      <c r="F18" s="7">
        <v>31.5</v>
      </c>
      <c r="G18" s="7"/>
      <c r="H18" s="7">
        <v>-31.5</v>
      </c>
    </row>
    <row r="19" spans="1:9" hidden="1" x14ac:dyDescent="0.25">
      <c r="A19" s="9"/>
      <c r="B19" s="9"/>
      <c r="C19" s="9"/>
      <c r="D19" s="9" t="s">
        <v>40</v>
      </c>
      <c r="E19" s="11" t="s">
        <v>41</v>
      </c>
      <c r="F19" s="7">
        <v>27</v>
      </c>
      <c r="G19" s="7">
        <v>27</v>
      </c>
      <c r="H19" s="7"/>
    </row>
    <row r="20" spans="1:9" hidden="1" x14ac:dyDescent="0.25">
      <c r="A20" s="9"/>
      <c r="B20" s="9"/>
      <c r="C20" s="9"/>
      <c r="D20" s="9" t="s">
        <v>81</v>
      </c>
      <c r="E20" s="11" t="s">
        <v>82</v>
      </c>
      <c r="F20" s="7">
        <v>10.5</v>
      </c>
      <c r="G20" s="7">
        <v>10.5</v>
      </c>
      <c r="H20" s="7"/>
    </row>
    <row r="21" spans="1:9" hidden="1" x14ac:dyDescent="0.25">
      <c r="A21" s="9"/>
      <c r="B21" s="9"/>
      <c r="C21" s="9"/>
      <c r="D21" s="9" t="s">
        <v>57</v>
      </c>
      <c r="E21" s="11" t="s">
        <v>58</v>
      </c>
      <c r="F21" s="7">
        <v>11.2</v>
      </c>
      <c r="G21" s="7">
        <v>11.2</v>
      </c>
      <c r="H21" s="7"/>
    </row>
    <row r="22" spans="1:9" hidden="1" x14ac:dyDescent="0.25">
      <c r="A22" s="9"/>
      <c r="B22" s="9"/>
      <c r="C22" s="9"/>
      <c r="D22" s="9" t="s">
        <v>68</v>
      </c>
      <c r="E22" s="11" t="s">
        <v>69</v>
      </c>
      <c r="F22" s="7">
        <v>52</v>
      </c>
      <c r="G22" s="7">
        <v>52</v>
      </c>
      <c r="H22" s="7"/>
    </row>
    <row r="23" spans="1:9" hidden="1" x14ac:dyDescent="0.25">
      <c r="A23" s="9"/>
      <c r="B23" s="9"/>
      <c r="C23" s="9"/>
      <c r="D23" s="9" t="s">
        <v>66</v>
      </c>
      <c r="E23" s="11" t="s">
        <v>67</v>
      </c>
      <c r="F23" s="7">
        <v>24</v>
      </c>
      <c r="G23" s="7">
        <v>24</v>
      </c>
      <c r="H23" s="7"/>
    </row>
    <row r="24" spans="1:9" hidden="1" x14ac:dyDescent="0.25">
      <c r="A24" s="9"/>
      <c r="B24" s="9"/>
      <c r="C24" s="9"/>
      <c r="D24" s="9" t="s">
        <v>42</v>
      </c>
      <c r="E24" s="11" t="s">
        <v>43</v>
      </c>
      <c r="F24" s="7">
        <v>36</v>
      </c>
      <c r="G24" s="7">
        <v>36</v>
      </c>
      <c r="H24" s="7"/>
    </row>
    <row r="25" spans="1:9" hidden="1" x14ac:dyDescent="0.25">
      <c r="A25" s="9"/>
      <c r="B25" s="9"/>
      <c r="C25" s="9"/>
      <c r="D25" s="9" t="s">
        <v>52</v>
      </c>
      <c r="E25" s="11" t="s">
        <v>53</v>
      </c>
      <c r="F25" s="7">
        <v>54</v>
      </c>
      <c r="G25" s="7"/>
      <c r="H25" s="7">
        <v>-54</v>
      </c>
    </row>
    <row r="26" spans="1:9" hidden="1" x14ac:dyDescent="0.25">
      <c r="A26" s="9"/>
      <c r="B26" s="9"/>
      <c r="C26" s="9"/>
      <c r="D26" s="9" t="s">
        <v>70</v>
      </c>
      <c r="E26" s="11" t="s">
        <v>71</v>
      </c>
      <c r="F26" s="7">
        <v>50.4</v>
      </c>
      <c r="G26" s="7"/>
      <c r="H26" s="7">
        <v>-50.4</v>
      </c>
    </row>
    <row r="27" spans="1:9" hidden="1" x14ac:dyDescent="0.25">
      <c r="A27" s="9"/>
      <c r="B27" s="9"/>
      <c r="C27" s="9"/>
      <c r="D27" s="9" t="s">
        <v>83</v>
      </c>
      <c r="E27" s="11" t="s">
        <v>84</v>
      </c>
      <c r="F27" s="7">
        <v>120</v>
      </c>
      <c r="G27" s="7">
        <v>120</v>
      </c>
      <c r="H27" s="7"/>
    </row>
    <row r="28" spans="1:9" hidden="1" x14ac:dyDescent="0.25">
      <c r="A28" s="9"/>
      <c r="B28" s="9"/>
      <c r="C28" s="9"/>
      <c r="D28" s="9" t="s">
        <v>46</v>
      </c>
      <c r="E28" s="11" t="s">
        <v>47</v>
      </c>
      <c r="F28" s="7">
        <v>4.4000000000000004</v>
      </c>
      <c r="G28" s="7">
        <v>4.4000000000000004</v>
      </c>
      <c r="H28" s="7"/>
    </row>
    <row r="29" spans="1:9" hidden="1" x14ac:dyDescent="0.25">
      <c r="A29" s="9"/>
      <c r="B29" s="9"/>
      <c r="C29" s="9"/>
      <c r="D29" s="9" t="s">
        <v>55</v>
      </c>
      <c r="E29" s="11" t="s">
        <v>56</v>
      </c>
      <c r="F29" s="7">
        <v>7.2</v>
      </c>
      <c r="G29" s="7">
        <v>7.2</v>
      </c>
      <c r="H29" s="7"/>
    </row>
    <row r="30" spans="1:9" x14ac:dyDescent="0.25">
      <c r="A30" s="9"/>
      <c r="B30" s="13" t="s">
        <v>136</v>
      </c>
      <c r="C30" s="13" t="s">
        <v>36</v>
      </c>
      <c r="D30" s="13" t="s">
        <v>129</v>
      </c>
      <c r="E30" s="14" t="s">
        <v>130</v>
      </c>
      <c r="F30" s="15">
        <v>750</v>
      </c>
      <c r="G30" s="15">
        <v>750</v>
      </c>
      <c r="H30" s="15"/>
      <c r="I30" s="17">
        <f>SUM(H30:H55)</f>
        <v>-529.20000000000005</v>
      </c>
    </row>
    <row r="31" spans="1:9" hidden="1" x14ac:dyDescent="0.25">
      <c r="A31" s="9"/>
      <c r="B31" s="9"/>
      <c r="C31" s="9"/>
      <c r="D31" s="9" t="s">
        <v>153</v>
      </c>
      <c r="E31" s="11" t="s">
        <v>154</v>
      </c>
      <c r="F31" s="7">
        <v>803.4</v>
      </c>
      <c r="G31" s="7">
        <v>803.4</v>
      </c>
      <c r="H31" s="7"/>
    </row>
    <row r="32" spans="1:9" hidden="1" x14ac:dyDescent="0.25">
      <c r="A32" s="9"/>
      <c r="B32" s="9"/>
      <c r="C32" s="9"/>
      <c r="D32" s="9" t="s">
        <v>125</v>
      </c>
      <c r="E32" s="11" t="s">
        <v>126</v>
      </c>
      <c r="F32" s="7">
        <v>108</v>
      </c>
      <c r="G32" s="7">
        <v>108</v>
      </c>
      <c r="H32" s="7"/>
    </row>
    <row r="33" spans="1:8" hidden="1" x14ac:dyDescent="0.25">
      <c r="A33" s="9"/>
      <c r="B33" s="9"/>
      <c r="C33" s="9"/>
      <c r="D33" s="9" t="s">
        <v>139</v>
      </c>
      <c r="E33" s="11" t="s">
        <v>140</v>
      </c>
      <c r="F33" s="7">
        <v>324</v>
      </c>
      <c r="G33" s="7">
        <v>324</v>
      </c>
      <c r="H33" s="7"/>
    </row>
    <row r="34" spans="1:8" hidden="1" x14ac:dyDescent="0.25">
      <c r="A34" s="9"/>
      <c r="B34" s="9"/>
      <c r="C34" s="9"/>
      <c r="D34" s="9" t="s">
        <v>44</v>
      </c>
      <c r="E34" s="11" t="s">
        <v>45</v>
      </c>
      <c r="F34" s="7">
        <v>54</v>
      </c>
      <c r="G34" s="7">
        <v>54</v>
      </c>
      <c r="H34" s="7"/>
    </row>
    <row r="35" spans="1:8" hidden="1" x14ac:dyDescent="0.25">
      <c r="A35" s="9"/>
      <c r="B35" s="9"/>
      <c r="C35" s="9"/>
      <c r="D35" s="9" t="s">
        <v>133</v>
      </c>
      <c r="E35" s="11" t="s">
        <v>134</v>
      </c>
      <c r="F35" s="7">
        <v>1401.3</v>
      </c>
      <c r="G35" s="7">
        <v>1401.3</v>
      </c>
      <c r="H35" s="7"/>
    </row>
    <row r="36" spans="1:8" hidden="1" x14ac:dyDescent="0.25">
      <c r="A36" s="9"/>
      <c r="B36" s="9"/>
      <c r="C36" s="9"/>
      <c r="D36" s="9" t="s">
        <v>77</v>
      </c>
      <c r="E36" s="11" t="s">
        <v>78</v>
      </c>
      <c r="F36" s="7">
        <v>5.0999999999999996</v>
      </c>
      <c r="G36" s="7">
        <v>5.0999999999999996</v>
      </c>
      <c r="H36" s="7"/>
    </row>
    <row r="37" spans="1:8" hidden="1" x14ac:dyDescent="0.25">
      <c r="A37" s="9"/>
      <c r="B37" s="9"/>
      <c r="C37" s="9"/>
      <c r="D37" s="9" t="s">
        <v>123</v>
      </c>
      <c r="E37" s="11" t="s">
        <v>124</v>
      </c>
      <c r="F37" s="7">
        <v>702.24</v>
      </c>
      <c r="G37" s="7">
        <v>702.24</v>
      </c>
      <c r="H37" s="7"/>
    </row>
    <row r="38" spans="1:8" hidden="1" x14ac:dyDescent="0.25">
      <c r="A38" s="9"/>
      <c r="B38" s="9"/>
      <c r="C38" s="9"/>
      <c r="D38" s="9" t="s">
        <v>161</v>
      </c>
      <c r="E38" s="11" t="s">
        <v>162</v>
      </c>
      <c r="F38" s="7">
        <v>501.6</v>
      </c>
      <c r="G38" s="7">
        <v>501.6</v>
      </c>
      <c r="H38" s="7"/>
    </row>
    <row r="39" spans="1:8" hidden="1" x14ac:dyDescent="0.25">
      <c r="A39" s="9"/>
      <c r="B39" s="9"/>
      <c r="C39" s="9"/>
      <c r="D39" s="9" t="s">
        <v>157</v>
      </c>
      <c r="E39" s="11" t="s">
        <v>158</v>
      </c>
      <c r="F39" s="7">
        <v>207</v>
      </c>
      <c r="G39" s="7"/>
      <c r="H39" s="7">
        <v>-207</v>
      </c>
    </row>
    <row r="40" spans="1:8" hidden="1" x14ac:dyDescent="0.25">
      <c r="A40" s="9"/>
      <c r="B40" s="9"/>
      <c r="C40" s="9"/>
      <c r="D40" s="9" t="s">
        <v>159</v>
      </c>
      <c r="E40" s="11" t="s">
        <v>160</v>
      </c>
      <c r="F40" s="7">
        <v>43.2</v>
      </c>
      <c r="G40" s="7">
        <v>43.2</v>
      </c>
      <c r="H40" s="7"/>
    </row>
    <row r="41" spans="1:8" hidden="1" x14ac:dyDescent="0.25">
      <c r="A41" s="9"/>
      <c r="B41" s="9"/>
      <c r="C41" s="9"/>
      <c r="D41" s="9" t="s">
        <v>62</v>
      </c>
      <c r="E41" s="11" t="s">
        <v>63</v>
      </c>
      <c r="F41" s="7">
        <v>96</v>
      </c>
      <c r="G41" s="7"/>
      <c r="H41" s="7">
        <v>-96</v>
      </c>
    </row>
    <row r="42" spans="1:8" hidden="1" x14ac:dyDescent="0.25">
      <c r="A42" s="9"/>
      <c r="B42" s="9"/>
      <c r="C42" s="9"/>
      <c r="D42" s="9" t="s">
        <v>131</v>
      </c>
      <c r="E42" s="11" t="s">
        <v>132</v>
      </c>
      <c r="F42" s="7">
        <v>702.24</v>
      </c>
      <c r="G42" s="7">
        <v>702.24</v>
      </c>
      <c r="H42" s="7"/>
    </row>
    <row r="43" spans="1:8" hidden="1" x14ac:dyDescent="0.25">
      <c r="A43" s="9"/>
      <c r="B43" s="9"/>
      <c r="C43" s="9"/>
      <c r="D43" s="9" t="s">
        <v>165</v>
      </c>
      <c r="E43" s="11" t="s">
        <v>166</v>
      </c>
      <c r="F43" s="7">
        <v>81</v>
      </c>
      <c r="G43" s="7"/>
      <c r="H43" s="7">
        <v>-81</v>
      </c>
    </row>
    <row r="44" spans="1:8" hidden="1" x14ac:dyDescent="0.25">
      <c r="A44" s="9"/>
      <c r="B44" s="9"/>
      <c r="C44" s="9"/>
      <c r="D44" s="9" t="s">
        <v>145</v>
      </c>
      <c r="E44" s="11" t="s">
        <v>146</v>
      </c>
      <c r="F44" s="7">
        <v>42</v>
      </c>
      <c r="G44" s="7">
        <v>42</v>
      </c>
      <c r="H44" s="7"/>
    </row>
    <row r="45" spans="1:8" hidden="1" x14ac:dyDescent="0.25">
      <c r="A45" s="9"/>
      <c r="B45" s="9"/>
      <c r="C45" s="9"/>
      <c r="D45" s="9" t="s">
        <v>163</v>
      </c>
      <c r="E45" s="11" t="s">
        <v>164</v>
      </c>
      <c r="F45" s="7">
        <v>108</v>
      </c>
      <c r="G45" s="7">
        <v>108</v>
      </c>
      <c r="H45" s="7"/>
    </row>
    <row r="46" spans="1:8" hidden="1" x14ac:dyDescent="0.25">
      <c r="A46" s="9"/>
      <c r="B46" s="9"/>
      <c r="C46" s="9"/>
      <c r="D46" s="9" t="s">
        <v>137</v>
      </c>
      <c r="E46" s="11" t="s">
        <v>138</v>
      </c>
      <c r="F46" s="7">
        <v>54</v>
      </c>
      <c r="G46" s="7">
        <v>54</v>
      </c>
      <c r="H46" s="7"/>
    </row>
    <row r="47" spans="1:8" hidden="1" x14ac:dyDescent="0.25">
      <c r="A47" s="9"/>
      <c r="B47" s="9"/>
      <c r="C47" s="9"/>
      <c r="D47" s="9" t="s">
        <v>141</v>
      </c>
      <c r="E47" s="11" t="s">
        <v>142</v>
      </c>
      <c r="F47" s="7">
        <v>43.2</v>
      </c>
      <c r="G47" s="7">
        <v>43.2</v>
      </c>
      <c r="H47" s="7"/>
    </row>
    <row r="48" spans="1:8" hidden="1" x14ac:dyDescent="0.25">
      <c r="A48" s="9"/>
      <c r="B48" s="9"/>
      <c r="C48" s="9"/>
      <c r="D48" s="9" t="s">
        <v>147</v>
      </c>
      <c r="E48" s="11" t="s">
        <v>148</v>
      </c>
      <c r="F48" s="7">
        <v>52.5</v>
      </c>
      <c r="G48" s="7">
        <v>52.5</v>
      </c>
      <c r="H48" s="7"/>
    </row>
    <row r="49" spans="1:9" hidden="1" x14ac:dyDescent="0.25">
      <c r="A49" s="9"/>
      <c r="B49" s="9"/>
      <c r="C49" s="9"/>
      <c r="D49" s="9" t="s">
        <v>103</v>
      </c>
      <c r="E49" s="11" t="s">
        <v>104</v>
      </c>
      <c r="F49" s="7">
        <v>108</v>
      </c>
      <c r="G49" s="7">
        <v>108</v>
      </c>
      <c r="H49" s="7"/>
    </row>
    <row r="50" spans="1:9" hidden="1" x14ac:dyDescent="0.25">
      <c r="A50" s="9"/>
      <c r="B50" s="9"/>
      <c r="C50" s="9"/>
      <c r="D50" s="9" t="s">
        <v>149</v>
      </c>
      <c r="E50" s="11" t="s">
        <v>150</v>
      </c>
      <c r="F50" s="7">
        <v>70.2</v>
      </c>
      <c r="G50" s="7"/>
      <c r="H50" s="7">
        <v>-70.2</v>
      </c>
    </row>
    <row r="51" spans="1:9" hidden="1" x14ac:dyDescent="0.25">
      <c r="A51" s="9"/>
      <c r="B51" s="9"/>
      <c r="C51" s="9"/>
      <c r="D51" s="9" t="s">
        <v>151</v>
      </c>
      <c r="E51" s="11" t="s">
        <v>152</v>
      </c>
      <c r="F51" s="7">
        <v>54</v>
      </c>
      <c r="G51" s="7"/>
      <c r="H51" s="7">
        <v>-54</v>
      </c>
    </row>
    <row r="52" spans="1:9" hidden="1" x14ac:dyDescent="0.25">
      <c r="A52" s="9"/>
      <c r="B52" s="9"/>
      <c r="C52" s="9"/>
      <c r="D52" s="9" t="s">
        <v>116</v>
      </c>
      <c r="E52" s="11" t="s">
        <v>117</v>
      </c>
      <c r="F52" s="7">
        <v>1500</v>
      </c>
      <c r="G52" s="7">
        <v>1500</v>
      </c>
      <c r="H52" s="7"/>
    </row>
    <row r="53" spans="1:9" hidden="1" x14ac:dyDescent="0.25">
      <c r="A53" s="9"/>
      <c r="B53" s="9"/>
      <c r="C53" s="9"/>
      <c r="D53" s="9" t="s">
        <v>114</v>
      </c>
      <c r="E53" s="11" t="s">
        <v>115</v>
      </c>
      <c r="F53" s="7">
        <v>1500</v>
      </c>
      <c r="G53" s="7">
        <v>1500</v>
      </c>
      <c r="H53" s="7"/>
    </row>
    <row r="54" spans="1:9" hidden="1" x14ac:dyDescent="0.25">
      <c r="A54" s="9"/>
      <c r="B54" s="9"/>
      <c r="C54" s="9"/>
      <c r="D54" s="9" t="s">
        <v>155</v>
      </c>
      <c r="E54" s="11" t="s">
        <v>156</v>
      </c>
      <c r="F54" s="7">
        <v>750</v>
      </c>
      <c r="G54" s="7">
        <v>750</v>
      </c>
      <c r="H54" s="7"/>
    </row>
    <row r="55" spans="1:9" hidden="1" x14ac:dyDescent="0.25">
      <c r="A55" s="9"/>
      <c r="B55" s="9"/>
      <c r="C55" s="9"/>
      <c r="D55" s="9" t="s">
        <v>143</v>
      </c>
      <c r="E55" s="11" t="s">
        <v>144</v>
      </c>
      <c r="F55" s="7">
        <v>21</v>
      </c>
      <c r="G55" s="7"/>
      <c r="H55" s="7">
        <v>-21</v>
      </c>
    </row>
    <row r="56" spans="1:9" x14ac:dyDescent="0.25">
      <c r="A56" s="9"/>
      <c r="B56" s="13" t="s">
        <v>128</v>
      </c>
      <c r="C56" s="13" t="s">
        <v>101</v>
      </c>
      <c r="D56" s="13" t="s">
        <v>129</v>
      </c>
      <c r="E56" s="14" t="s">
        <v>130</v>
      </c>
      <c r="F56" s="15">
        <v>300</v>
      </c>
      <c r="G56" s="15">
        <v>300</v>
      </c>
      <c r="H56" s="15"/>
      <c r="I56" s="18">
        <v>0</v>
      </c>
    </row>
    <row r="57" spans="1:9" hidden="1" x14ac:dyDescent="0.25">
      <c r="A57" s="9"/>
      <c r="B57" s="9"/>
      <c r="C57" s="9"/>
      <c r="D57" s="9" t="s">
        <v>133</v>
      </c>
      <c r="E57" s="11" t="s">
        <v>134</v>
      </c>
      <c r="F57" s="7">
        <v>251.1</v>
      </c>
      <c r="G57" s="7">
        <v>251.1</v>
      </c>
      <c r="H57" s="7"/>
    </row>
    <row r="58" spans="1:9" hidden="1" x14ac:dyDescent="0.25">
      <c r="A58" s="9"/>
      <c r="B58" s="9"/>
      <c r="C58" s="9"/>
      <c r="D58" s="9" t="s">
        <v>123</v>
      </c>
      <c r="E58" s="11" t="s">
        <v>124</v>
      </c>
      <c r="F58" s="7">
        <v>285.12</v>
      </c>
      <c r="G58" s="7">
        <v>285.12</v>
      </c>
      <c r="H58" s="7"/>
    </row>
    <row r="59" spans="1:9" hidden="1" x14ac:dyDescent="0.25">
      <c r="A59" s="9"/>
      <c r="B59" s="9"/>
      <c r="C59" s="9"/>
      <c r="D59" s="9" t="s">
        <v>131</v>
      </c>
      <c r="E59" s="11" t="s">
        <v>132</v>
      </c>
      <c r="F59" s="7">
        <v>401.28</v>
      </c>
      <c r="G59" s="7">
        <v>401.28</v>
      </c>
      <c r="H59" s="7"/>
    </row>
    <row r="60" spans="1:9" hidden="1" x14ac:dyDescent="0.25">
      <c r="A60" s="9"/>
      <c r="B60" s="9"/>
      <c r="C60" s="9"/>
      <c r="D60" s="9" t="s">
        <v>114</v>
      </c>
      <c r="E60" s="11" t="s">
        <v>115</v>
      </c>
      <c r="F60" s="7">
        <v>300</v>
      </c>
      <c r="G60" s="7">
        <v>300</v>
      </c>
      <c r="H60" s="7"/>
    </row>
    <row r="61" spans="1:9" x14ac:dyDescent="0.25">
      <c r="A61" s="9"/>
      <c r="B61" s="13" t="s">
        <v>268</v>
      </c>
      <c r="C61" s="13" t="s">
        <v>171</v>
      </c>
      <c r="D61" s="13" t="s">
        <v>153</v>
      </c>
      <c r="E61" s="14" t="s">
        <v>154</v>
      </c>
      <c r="F61" s="15">
        <v>62.4</v>
      </c>
      <c r="G61" s="15">
        <v>62.4</v>
      </c>
      <c r="H61" s="15"/>
      <c r="I61" s="17">
        <f>SUM(H61:H72)</f>
        <v>-72</v>
      </c>
    </row>
    <row r="62" spans="1:9" hidden="1" x14ac:dyDescent="0.25">
      <c r="A62" s="9"/>
      <c r="B62" s="9"/>
      <c r="C62" s="9"/>
      <c r="D62" s="9" t="s">
        <v>269</v>
      </c>
      <c r="E62" s="11" t="s">
        <v>270</v>
      </c>
      <c r="F62" s="7">
        <v>67.2</v>
      </c>
      <c r="G62" s="7">
        <v>67.2</v>
      </c>
      <c r="H62" s="7"/>
    </row>
    <row r="63" spans="1:9" hidden="1" x14ac:dyDescent="0.25">
      <c r="A63" s="9"/>
      <c r="B63" s="9"/>
      <c r="C63" s="9"/>
      <c r="D63" s="9" t="s">
        <v>271</v>
      </c>
      <c r="E63" s="11" t="s">
        <v>272</v>
      </c>
      <c r="F63" s="7">
        <v>84.48</v>
      </c>
      <c r="G63" s="7">
        <v>84.48</v>
      </c>
      <c r="H63" s="7"/>
    </row>
    <row r="64" spans="1:9" hidden="1" x14ac:dyDescent="0.25">
      <c r="A64" s="9"/>
      <c r="B64" s="9"/>
      <c r="C64" s="9"/>
      <c r="D64" s="9" t="s">
        <v>118</v>
      </c>
      <c r="E64" s="11" t="s">
        <v>119</v>
      </c>
      <c r="F64" s="7">
        <v>144</v>
      </c>
      <c r="G64" s="7">
        <v>144</v>
      </c>
      <c r="H64" s="7"/>
    </row>
    <row r="65" spans="1:9" hidden="1" x14ac:dyDescent="0.25">
      <c r="A65" s="9"/>
      <c r="B65" s="9"/>
      <c r="C65" s="9"/>
      <c r="D65" s="9" t="s">
        <v>161</v>
      </c>
      <c r="E65" s="11" t="s">
        <v>162</v>
      </c>
      <c r="F65" s="7">
        <v>42.24</v>
      </c>
      <c r="G65" s="7">
        <v>42.24</v>
      </c>
      <c r="H65" s="7"/>
    </row>
    <row r="66" spans="1:9" hidden="1" x14ac:dyDescent="0.25">
      <c r="A66" s="9"/>
      <c r="B66" s="9"/>
      <c r="C66" s="9"/>
      <c r="D66" s="9" t="s">
        <v>121</v>
      </c>
      <c r="E66" s="11" t="s">
        <v>122</v>
      </c>
      <c r="F66" s="7">
        <v>33.6</v>
      </c>
      <c r="G66" s="7">
        <v>33.6</v>
      </c>
      <c r="H66" s="7"/>
    </row>
    <row r="67" spans="1:9" hidden="1" x14ac:dyDescent="0.25">
      <c r="A67" s="9"/>
      <c r="B67" s="9"/>
      <c r="C67" s="9"/>
      <c r="D67" s="9" t="s">
        <v>157</v>
      </c>
      <c r="E67" s="11" t="s">
        <v>158</v>
      </c>
      <c r="F67" s="7">
        <v>72</v>
      </c>
      <c r="G67" s="7"/>
      <c r="H67" s="7">
        <v>-72</v>
      </c>
    </row>
    <row r="68" spans="1:9" hidden="1" x14ac:dyDescent="0.25">
      <c r="A68" s="9"/>
      <c r="B68" s="9"/>
      <c r="C68" s="9"/>
      <c r="D68" s="9" t="s">
        <v>131</v>
      </c>
      <c r="E68" s="11" t="s">
        <v>132</v>
      </c>
      <c r="F68" s="7">
        <v>42.24</v>
      </c>
      <c r="G68" s="7">
        <v>42.24</v>
      </c>
      <c r="H68" s="7"/>
    </row>
    <row r="69" spans="1:9" hidden="1" x14ac:dyDescent="0.25">
      <c r="A69" s="9"/>
      <c r="B69" s="9"/>
      <c r="C69" s="9"/>
      <c r="D69" s="9" t="s">
        <v>181</v>
      </c>
      <c r="E69" s="11" t="s">
        <v>182</v>
      </c>
      <c r="F69" s="7">
        <v>62.4</v>
      </c>
      <c r="G69" s="7">
        <v>62.4</v>
      </c>
      <c r="H69" s="7"/>
    </row>
    <row r="70" spans="1:9" hidden="1" x14ac:dyDescent="0.25">
      <c r="A70" s="9"/>
      <c r="B70" s="9"/>
      <c r="C70" s="9"/>
      <c r="D70" s="9" t="s">
        <v>103</v>
      </c>
      <c r="E70" s="11" t="s">
        <v>104</v>
      </c>
      <c r="F70" s="7">
        <v>86.4</v>
      </c>
      <c r="G70" s="7">
        <v>86.4</v>
      </c>
      <c r="H70" s="7"/>
    </row>
    <row r="71" spans="1:9" hidden="1" x14ac:dyDescent="0.25">
      <c r="A71" s="9"/>
      <c r="B71" s="9"/>
      <c r="C71" s="9"/>
      <c r="D71" s="9" t="s">
        <v>116</v>
      </c>
      <c r="E71" s="11" t="s">
        <v>117</v>
      </c>
      <c r="F71" s="7">
        <v>120</v>
      </c>
      <c r="G71" s="7">
        <v>120</v>
      </c>
      <c r="H71" s="7"/>
    </row>
    <row r="72" spans="1:9" hidden="1" x14ac:dyDescent="0.25">
      <c r="A72" s="9"/>
      <c r="B72" s="9"/>
      <c r="C72" s="9"/>
      <c r="D72" s="9" t="s">
        <v>114</v>
      </c>
      <c r="E72" s="11" t="s">
        <v>115</v>
      </c>
      <c r="F72" s="7">
        <v>120</v>
      </c>
      <c r="G72" s="7">
        <v>120</v>
      </c>
      <c r="H72" s="7"/>
    </row>
    <row r="73" spans="1:9" x14ac:dyDescent="0.25">
      <c r="A73" s="9"/>
      <c r="B73" s="13" t="s">
        <v>100</v>
      </c>
      <c r="C73" s="13" t="s">
        <v>101</v>
      </c>
      <c r="D73" s="13" t="s">
        <v>125</v>
      </c>
      <c r="E73" s="14" t="s">
        <v>126</v>
      </c>
      <c r="F73" s="15">
        <v>259.2</v>
      </c>
      <c r="G73" s="15">
        <v>259.2</v>
      </c>
      <c r="H73" s="15"/>
      <c r="I73" s="17">
        <f>SUM(H73:H87)</f>
        <v>-442.49999999999994</v>
      </c>
    </row>
    <row r="74" spans="1:9" hidden="1" x14ac:dyDescent="0.25">
      <c r="A74" s="9"/>
      <c r="B74" s="9"/>
      <c r="C74" s="9"/>
      <c r="D74" s="9" t="s">
        <v>44</v>
      </c>
      <c r="E74" s="11" t="s">
        <v>45</v>
      </c>
      <c r="F74" s="7">
        <v>226.8</v>
      </c>
      <c r="G74" s="7">
        <v>226.8</v>
      </c>
      <c r="H74" s="7"/>
    </row>
    <row r="75" spans="1:9" hidden="1" x14ac:dyDescent="0.25">
      <c r="A75" s="9"/>
      <c r="B75" s="9"/>
      <c r="C75" s="9"/>
      <c r="D75" s="9" t="s">
        <v>105</v>
      </c>
      <c r="E75" s="11" t="s">
        <v>106</v>
      </c>
      <c r="F75" s="7">
        <v>226.8</v>
      </c>
      <c r="G75" s="7">
        <v>226.8</v>
      </c>
      <c r="H75" s="7"/>
    </row>
    <row r="76" spans="1:9" hidden="1" x14ac:dyDescent="0.25">
      <c r="A76" s="9"/>
      <c r="B76" s="9"/>
      <c r="C76" s="9"/>
      <c r="D76" s="9" t="s">
        <v>123</v>
      </c>
      <c r="E76" s="11" t="s">
        <v>124</v>
      </c>
      <c r="F76" s="7">
        <v>401.28</v>
      </c>
      <c r="G76" s="7">
        <v>401.28</v>
      </c>
      <c r="H76" s="7"/>
    </row>
    <row r="77" spans="1:9" hidden="1" x14ac:dyDescent="0.25">
      <c r="A77" s="9"/>
      <c r="B77" s="9"/>
      <c r="C77" s="9"/>
      <c r="D77" s="9" t="s">
        <v>118</v>
      </c>
      <c r="E77" s="11" t="s">
        <v>119</v>
      </c>
      <c r="F77" s="7">
        <v>504</v>
      </c>
      <c r="G77" s="7">
        <v>504</v>
      </c>
      <c r="H77" s="7"/>
    </row>
    <row r="78" spans="1:9" hidden="1" x14ac:dyDescent="0.25">
      <c r="A78" s="9"/>
      <c r="B78" s="9"/>
      <c r="C78" s="9"/>
      <c r="D78" s="9" t="s">
        <v>121</v>
      </c>
      <c r="E78" s="11" t="s">
        <v>122</v>
      </c>
      <c r="F78" s="7">
        <v>40.799999999999997</v>
      </c>
      <c r="G78" s="7">
        <v>40.799999999999997</v>
      </c>
      <c r="H78" s="7"/>
    </row>
    <row r="79" spans="1:9" hidden="1" x14ac:dyDescent="0.25">
      <c r="A79" s="9"/>
      <c r="B79" s="9"/>
      <c r="C79" s="9"/>
      <c r="D79" s="9" t="s">
        <v>62</v>
      </c>
      <c r="E79" s="11" t="s">
        <v>63</v>
      </c>
      <c r="F79" s="7">
        <v>201.6</v>
      </c>
      <c r="G79" s="7"/>
      <c r="H79" s="7">
        <v>-201.6</v>
      </c>
    </row>
    <row r="80" spans="1:9" hidden="1" x14ac:dyDescent="0.25">
      <c r="A80" s="9"/>
      <c r="B80" s="9"/>
      <c r="C80" s="9"/>
      <c r="D80" s="9" t="s">
        <v>64</v>
      </c>
      <c r="E80" s="11" t="s">
        <v>65</v>
      </c>
      <c r="F80" s="7">
        <v>40.799999999999997</v>
      </c>
      <c r="G80" s="7">
        <v>40.799999999999997</v>
      </c>
      <c r="H80" s="7"/>
    </row>
    <row r="81" spans="1:9" hidden="1" x14ac:dyDescent="0.25">
      <c r="A81" s="9"/>
      <c r="B81" s="9"/>
      <c r="C81" s="9"/>
      <c r="D81" s="9" t="s">
        <v>109</v>
      </c>
      <c r="E81" s="11" t="s">
        <v>110</v>
      </c>
      <c r="F81" s="7">
        <v>52.2</v>
      </c>
      <c r="G81" s="7">
        <v>52.2</v>
      </c>
      <c r="H81" s="7"/>
    </row>
    <row r="82" spans="1:9" hidden="1" x14ac:dyDescent="0.25">
      <c r="A82" s="9"/>
      <c r="B82" s="9"/>
      <c r="C82" s="9"/>
      <c r="D82" s="9" t="s">
        <v>103</v>
      </c>
      <c r="E82" s="11" t="s">
        <v>104</v>
      </c>
      <c r="F82" s="7">
        <v>108</v>
      </c>
      <c r="G82" s="7">
        <v>108</v>
      </c>
      <c r="H82" s="7"/>
    </row>
    <row r="83" spans="1:9" hidden="1" x14ac:dyDescent="0.25">
      <c r="A83" s="9"/>
      <c r="B83" s="9"/>
      <c r="C83" s="9"/>
      <c r="D83" s="9" t="s">
        <v>107</v>
      </c>
      <c r="E83" s="11" t="s">
        <v>108</v>
      </c>
      <c r="F83" s="7">
        <v>205.2</v>
      </c>
      <c r="G83" s="7"/>
      <c r="H83" s="7">
        <v>-205.2</v>
      </c>
    </row>
    <row r="84" spans="1:9" hidden="1" x14ac:dyDescent="0.25">
      <c r="A84" s="9"/>
      <c r="B84" s="9"/>
      <c r="C84" s="9"/>
      <c r="D84" s="9" t="s">
        <v>81</v>
      </c>
      <c r="E84" s="11" t="s">
        <v>82</v>
      </c>
      <c r="F84" s="7">
        <v>35.700000000000003</v>
      </c>
      <c r="G84" s="7">
        <v>35.700000000000003</v>
      </c>
      <c r="H84" s="7"/>
    </row>
    <row r="85" spans="1:9" hidden="1" x14ac:dyDescent="0.25">
      <c r="A85" s="9"/>
      <c r="B85" s="9"/>
      <c r="C85" s="9"/>
      <c r="D85" s="9" t="s">
        <v>111</v>
      </c>
      <c r="E85" s="11" t="s">
        <v>112</v>
      </c>
      <c r="F85" s="7">
        <v>35.700000000000003</v>
      </c>
      <c r="G85" s="7"/>
      <c r="H85" s="7">
        <v>-35.700000000000003</v>
      </c>
    </row>
    <row r="86" spans="1:9" hidden="1" x14ac:dyDescent="0.25">
      <c r="A86" s="9"/>
      <c r="B86" s="9"/>
      <c r="C86" s="9"/>
      <c r="D86" s="9" t="s">
        <v>116</v>
      </c>
      <c r="E86" s="11" t="s">
        <v>117</v>
      </c>
      <c r="F86" s="7">
        <v>510</v>
      </c>
      <c r="G86" s="7">
        <v>510</v>
      </c>
      <c r="H86" s="7"/>
    </row>
    <row r="87" spans="1:9" hidden="1" x14ac:dyDescent="0.25">
      <c r="A87" s="9"/>
      <c r="B87" s="9"/>
      <c r="C87" s="9"/>
      <c r="D87" s="9" t="s">
        <v>114</v>
      </c>
      <c r="E87" s="11" t="s">
        <v>115</v>
      </c>
      <c r="F87" s="7">
        <v>405</v>
      </c>
      <c r="G87" s="7">
        <v>405</v>
      </c>
      <c r="H87" s="7"/>
    </row>
    <row r="88" spans="1:9" x14ac:dyDescent="0.25">
      <c r="A88" s="9"/>
      <c r="B88" s="13" t="s">
        <v>274</v>
      </c>
      <c r="C88" s="13" t="s">
        <v>171</v>
      </c>
      <c r="D88" s="13" t="s">
        <v>129</v>
      </c>
      <c r="E88" s="14" t="s">
        <v>130</v>
      </c>
      <c r="F88" s="15">
        <v>120</v>
      </c>
      <c r="G88" s="15">
        <v>120</v>
      </c>
      <c r="H88" s="15"/>
      <c r="I88" s="17">
        <f>SUM(H88:H129)</f>
        <v>-882.6</v>
      </c>
    </row>
    <row r="89" spans="1:9" hidden="1" x14ac:dyDescent="0.25">
      <c r="A89" s="9"/>
      <c r="B89" s="9"/>
      <c r="C89" s="9"/>
      <c r="D89" s="9" t="s">
        <v>153</v>
      </c>
      <c r="E89" s="11" t="s">
        <v>154</v>
      </c>
      <c r="F89" s="7">
        <v>374.4</v>
      </c>
      <c r="G89" s="7">
        <v>374.4</v>
      </c>
      <c r="H89" s="7"/>
    </row>
    <row r="90" spans="1:9" hidden="1" x14ac:dyDescent="0.25">
      <c r="A90" s="9"/>
      <c r="B90" s="9"/>
      <c r="C90" s="9"/>
      <c r="D90" s="9" t="s">
        <v>125</v>
      </c>
      <c r="E90" s="11" t="s">
        <v>126</v>
      </c>
      <c r="F90" s="7">
        <v>518.4</v>
      </c>
      <c r="G90" s="7">
        <v>518.4</v>
      </c>
      <c r="H90" s="7"/>
    </row>
    <row r="91" spans="1:9" hidden="1" x14ac:dyDescent="0.25">
      <c r="A91" s="9"/>
      <c r="B91" s="9"/>
      <c r="C91" s="9"/>
      <c r="D91" s="9" t="s">
        <v>253</v>
      </c>
      <c r="E91" s="11" t="s">
        <v>254</v>
      </c>
      <c r="F91" s="7">
        <v>268.8</v>
      </c>
      <c r="G91" s="7"/>
      <c r="H91" s="7">
        <v>-268.8</v>
      </c>
    </row>
    <row r="92" spans="1:9" hidden="1" x14ac:dyDescent="0.25">
      <c r="A92" s="9"/>
      <c r="B92" s="9"/>
      <c r="C92" s="9"/>
      <c r="D92" s="9" t="s">
        <v>269</v>
      </c>
      <c r="E92" s="11" t="s">
        <v>270</v>
      </c>
      <c r="F92" s="7">
        <v>67.2</v>
      </c>
      <c r="G92" s="7">
        <v>67.2</v>
      </c>
      <c r="H92" s="7"/>
    </row>
    <row r="93" spans="1:9" hidden="1" x14ac:dyDescent="0.25">
      <c r="A93" s="9"/>
      <c r="B93" s="9"/>
      <c r="C93" s="9"/>
      <c r="D93" s="9" t="s">
        <v>139</v>
      </c>
      <c r="E93" s="11" t="s">
        <v>140</v>
      </c>
      <c r="F93" s="7">
        <v>194.4</v>
      </c>
      <c r="G93" s="7">
        <v>194.4</v>
      </c>
      <c r="H93" s="7"/>
    </row>
    <row r="94" spans="1:9" hidden="1" x14ac:dyDescent="0.25">
      <c r="A94" s="9"/>
      <c r="B94" s="9"/>
      <c r="C94" s="9"/>
      <c r="D94" s="9" t="s">
        <v>44</v>
      </c>
      <c r="E94" s="11" t="s">
        <v>45</v>
      </c>
      <c r="F94" s="7">
        <v>37.799999999999997</v>
      </c>
      <c r="G94" s="7">
        <v>37.799999999999997</v>
      </c>
      <c r="H94" s="7"/>
    </row>
    <row r="95" spans="1:9" hidden="1" x14ac:dyDescent="0.25">
      <c r="A95" s="9"/>
      <c r="B95" s="9"/>
      <c r="C95" s="9"/>
      <c r="D95" s="9" t="s">
        <v>133</v>
      </c>
      <c r="E95" s="11" t="s">
        <v>134</v>
      </c>
      <c r="F95" s="7">
        <v>194.4</v>
      </c>
      <c r="G95" s="7">
        <v>194.4</v>
      </c>
      <c r="H95" s="7"/>
    </row>
    <row r="96" spans="1:9" hidden="1" x14ac:dyDescent="0.25">
      <c r="A96" s="9"/>
      <c r="B96" s="9"/>
      <c r="C96" s="9"/>
      <c r="D96" s="9" t="s">
        <v>281</v>
      </c>
      <c r="E96" s="11" t="s">
        <v>282</v>
      </c>
      <c r="F96" s="7">
        <v>64.8</v>
      </c>
      <c r="G96" s="7">
        <v>64.8</v>
      </c>
      <c r="H96" s="7"/>
    </row>
    <row r="97" spans="1:8" hidden="1" x14ac:dyDescent="0.25">
      <c r="A97" s="9"/>
      <c r="B97" s="9"/>
      <c r="C97" s="9"/>
      <c r="D97" s="9" t="s">
        <v>271</v>
      </c>
      <c r="E97" s="11" t="s">
        <v>272</v>
      </c>
      <c r="F97" s="7">
        <v>211.2</v>
      </c>
      <c r="G97" s="7">
        <v>211.2</v>
      </c>
      <c r="H97" s="7"/>
    </row>
    <row r="98" spans="1:8" hidden="1" x14ac:dyDescent="0.25">
      <c r="A98" s="9"/>
      <c r="B98" s="9"/>
      <c r="C98" s="9"/>
      <c r="D98" s="9" t="s">
        <v>123</v>
      </c>
      <c r="E98" s="11" t="s">
        <v>124</v>
      </c>
      <c r="F98" s="7">
        <v>42.24</v>
      </c>
      <c r="G98" s="7">
        <v>42.24</v>
      </c>
      <c r="H98" s="7"/>
    </row>
    <row r="99" spans="1:8" hidden="1" x14ac:dyDescent="0.25">
      <c r="A99" s="9"/>
      <c r="B99" s="9"/>
      <c r="C99" s="9"/>
      <c r="D99" s="9" t="s">
        <v>118</v>
      </c>
      <c r="E99" s="11" t="s">
        <v>119</v>
      </c>
      <c r="F99" s="7">
        <v>72</v>
      </c>
      <c r="G99" s="7">
        <v>72</v>
      </c>
      <c r="H99" s="7"/>
    </row>
    <row r="100" spans="1:8" hidden="1" x14ac:dyDescent="0.25">
      <c r="A100" s="9"/>
      <c r="B100" s="9"/>
      <c r="C100" s="9"/>
      <c r="D100" s="9" t="s">
        <v>285</v>
      </c>
      <c r="E100" s="11" t="s">
        <v>286</v>
      </c>
      <c r="F100" s="7">
        <v>42.24</v>
      </c>
      <c r="G100" s="7">
        <v>42.24</v>
      </c>
      <c r="H100" s="7"/>
    </row>
    <row r="101" spans="1:8" hidden="1" x14ac:dyDescent="0.25">
      <c r="A101" s="9"/>
      <c r="B101" s="9"/>
      <c r="C101" s="9"/>
      <c r="D101" s="9" t="s">
        <v>263</v>
      </c>
      <c r="E101" s="11" t="s">
        <v>264</v>
      </c>
      <c r="F101" s="7">
        <v>84.48</v>
      </c>
      <c r="G101" s="7">
        <v>84.48</v>
      </c>
      <c r="H101" s="7"/>
    </row>
    <row r="102" spans="1:8" hidden="1" x14ac:dyDescent="0.25">
      <c r="A102" s="9"/>
      <c r="B102" s="9"/>
      <c r="C102" s="9"/>
      <c r="D102" s="9" t="s">
        <v>161</v>
      </c>
      <c r="E102" s="11" t="s">
        <v>162</v>
      </c>
      <c r="F102" s="7">
        <v>84.48</v>
      </c>
      <c r="G102" s="7">
        <v>84.48</v>
      </c>
      <c r="H102" s="7"/>
    </row>
    <row r="103" spans="1:8" hidden="1" x14ac:dyDescent="0.25">
      <c r="A103" s="9"/>
      <c r="B103" s="9"/>
      <c r="C103" s="9"/>
      <c r="D103" s="9" t="s">
        <v>121</v>
      </c>
      <c r="E103" s="11" t="s">
        <v>122</v>
      </c>
      <c r="F103" s="7">
        <v>57.6</v>
      </c>
      <c r="G103" s="7">
        <v>57.6</v>
      </c>
      <c r="H103" s="7"/>
    </row>
    <row r="104" spans="1:8" hidden="1" x14ac:dyDescent="0.25">
      <c r="A104" s="9"/>
      <c r="B104" s="9"/>
      <c r="C104" s="9"/>
      <c r="D104" s="9" t="s">
        <v>157</v>
      </c>
      <c r="E104" s="11" t="s">
        <v>158</v>
      </c>
      <c r="F104" s="7">
        <v>72</v>
      </c>
      <c r="G104" s="7"/>
      <c r="H104" s="7">
        <v>-72</v>
      </c>
    </row>
    <row r="105" spans="1:8" hidden="1" x14ac:dyDescent="0.25">
      <c r="A105" s="9"/>
      <c r="B105" s="9"/>
      <c r="C105" s="9"/>
      <c r="D105" s="9" t="s">
        <v>64</v>
      </c>
      <c r="E105" s="11" t="s">
        <v>65</v>
      </c>
      <c r="F105" s="7">
        <v>86.4</v>
      </c>
      <c r="G105" s="7">
        <v>86.4</v>
      </c>
      <c r="H105" s="7"/>
    </row>
    <row r="106" spans="1:8" hidden="1" x14ac:dyDescent="0.25">
      <c r="A106" s="9"/>
      <c r="B106" s="9"/>
      <c r="C106" s="9"/>
      <c r="D106" s="9" t="s">
        <v>131</v>
      </c>
      <c r="E106" s="11" t="s">
        <v>132</v>
      </c>
      <c r="F106" s="7">
        <v>84.48</v>
      </c>
      <c r="G106" s="7">
        <v>84.48</v>
      </c>
      <c r="H106" s="7"/>
    </row>
    <row r="107" spans="1:8" hidden="1" x14ac:dyDescent="0.25">
      <c r="A107" s="9"/>
      <c r="B107" s="9"/>
      <c r="C107" s="9"/>
      <c r="D107" s="9" t="s">
        <v>215</v>
      </c>
      <c r="E107" s="11" t="s">
        <v>216</v>
      </c>
      <c r="F107" s="7">
        <v>37.799999999999997</v>
      </c>
      <c r="G107" s="7"/>
      <c r="H107" s="7">
        <v>-37.799999999999997</v>
      </c>
    </row>
    <row r="108" spans="1:8" hidden="1" x14ac:dyDescent="0.25">
      <c r="A108" s="9"/>
      <c r="B108" s="9"/>
      <c r="C108" s="9"/>
      <c r="D108" s="9" t="s">
        <v>109</v>
      </c>
      <c r="E108" s="11" t="s">
        <v>110</v>
      </c>
      <c r="F108" s="7">
        <v>139.19999999999999</v>
      </c>
      <c r="G108" s="7">
        <v>139.19999999999999</v>
      </c>
      <c r="H108" s="7"/>
    </row>
    <row r="109" spans="1:8" hidden="1" x14ac:dyDescent="0.25">
      <c r="A109" s="9"/>
      <c r="B109" s="9"/>
      <c r="C109" s="9"/>
      <c r="D109" s="9" t="s">
        <v>145</v>
      </c>
      <c r="E109" s="11" t="s">
        <v>146</v>
      </c>
      <c r="F109" s="7">
        <v>50.4</v>
      </c>
      <c r="G109" s="7">
        <v>50.4</v>
      </c>
      <c r="H109" s="7"/>
    </row>
    <row r="110" spans="1:8" hidden="1" x14ac:dyDescent="0.25">
      <c r="A110" s="9"/>
      <c r="B110" s="9"/>
      <c r="C110" s="9"/>
      <c r="D110" s="9" t="s">
        <v>243</v>
      </c>
      <c r="E110" s="11" t="s">
        <v>244</v>
      </c>
      <c r="F110" s="7">
        <v>57.6</v>
      </c>
      <c r="G110" s="7">
        <v>57.6</v>
      </c>
      <c r="H110" s="7"/>
    </row>
    <row r="111" spans="1:8" hidden="1" x14ac:dyDescent="0.25">
      <c r="A111" s="9"/>
      <c r="B111" s="9"/>
      <c r="C111" s="9"/>
      <c r="D111" s="9" t="s">
        <v>241</v>
      </c>
      <c r="E111" s="11" t="s">
        <v>242</v>
      </c>
      <c r="F111" s="7">
        <v>28.8</v>
      </c>
      <c r="G111" s="7">
        <v>28.8</v>
      </c>
      <c r="H111" s="7"/>
    </row>
    <row r="112" spans="1:8" hidden="1" x14ac:dyDescent="0.25">
      <c r="A112" s="9"/>
      <c r="B112" s="9"/>
      <c r="C112" s="9"/>
      <c r="D112" s="9" t="s">
        <v>137</v>
      </c>
      <c r="E112" s="11" t="s">
        <v>138</v>
      </c>
      <c r="F112" s="7">
        <v>172.8</v>
      </c>
      <c r="G112" s="7">
        <v>172.8</v>
      </c>
      <c r="H112" s="7"/>
    </row>
    <row r="113" spans="1:8" hidden="1" x14ac:dyDescent="0.25">
      <c r="A113" s="9"/>
      <c r="B113" s="9"/>
      <c r="C113" s="9"/>
      <c r="D113" s="9" t="s">
        <v>275</v>
      </c>
      <c r="E113" s="11" t="s">
        <v>276</v>
      </c>
      <c r="F113" s="7">
        <v>172.8</v>
      </c>
      <c r="G113" s="7">
        <v>172.8</v>
      </c>
      <c r="H113" s="7"/>
    </row>
    <row r="114" spans="1:8" hidden="1" x14ac:dyDescent="0.25">
      <c r="A114" s="9"/>
      <c r="B114" s="9"/>
      <c r="C114" s="9"/>
      <c r="D114" s="9" t="s">
        <v>277</v>
      </c>
      <c r="E114" s="11" t="s">
        <v>278</v>
      </c>
      <c r="F114" s="7">
        <v>259.2</v>
      </c>
      <c r="G114" s="7">
        <v>259.2</v>
      </c>
      <c r="H114" s="7"/>
    </row>
    <row r="115" spans="1:8" hidden="1" x14ac:dyDescent="0.25">
      <c r="A115" s="9"/>
      <c r="B115" s="9"/>
      <c r="C115" s="9"/>
      <c r="D115" s="9" t="s">
        <v>181</v>
      </c>
      <c r="E115" s="11" t="s">
        <v>182</v>
      </c>
      <c r="F115" s="7">
        <v>124.8</v>
      </c>
      <c r="G115" s="7">
        <v>124.8</v>
      </c>
      <c r="H115" s="7"/>
    </row>
    <row r="116" spans="1:8" hidden="1" x14ac:dyDescent="0.25">
      <c r="A116" s="9"/>
      <c r="B116" s="9"/>
      <c r="C116" s="9"/>
      <c r="D116" s="9" t="s">
        <v>279</v>
      </c>
      <c r="E116" s="11" t="s">
        <v>280</v>
      </c>
      <c r="F116" s="7">
        <v>115.2</v>
      </c>
      <c r="G116" s="7"/>
      <c r="H116" s="7">
        <v>-115.2</v>
      </c>
    </row>
    <row r="117" spans="1:8" hidden="1" x14ac:dyDescent="0.25">
      <c r="A117" s="9"/>
      <c r="B117" s="9"/>
      <c r="C117" s="9"/>
      <c r="D117" s="9" t="s">
        <v>235</v>
      </c>
      <c r="E117" s="11" t="s">
        <v>236</v>
      </c>
      <c r="F117" s="7">
        <v>57.6</v>
      </c>
      <c r="G117" s="7">
        <v>57.6</v>
      </c>
      <c r="H117" s="7"/>
    </row>
    <row r="118" spans="1:8" hidden="1" x14ac:dyDescent="0.25">
      <c r="A118" s="9"/>
      <c r="B118" s="9"/>
      <c r="C118" s="9"/>
      <c r="D118" s="9" t="s">
        <v>213</v>
      </c>
      <c r="E118" s="11" t="s">
        <v>214</v>
      </c>
      <c r="F118" s="7">
        <v>252</v>
      </c>
      <c r="G118" s="7">
        <v>252</v>
      </c>
      <c r="H118" s="7"/>
    </row>
    <row r="119" spans="1:8" hidden="1" x14ac:dyDescent="0.25">
      <c r="A119" s="9"/>
      <c r="B119" s="9"/>
      <c r="C119" s="9"/>
      <c r="D119" s="9" t="s">
        <v>147</v>
      </c>
      <c r="E119" s="11" t="s">
        <v>148</v>
      </c>
      <c r="F119" s="7">
        <v>75.599999999999994</v>
      </c>
      <c r="G119" s="7">
        <v>75.599999999999994</v>
      </c>
      <c r="H119" s="7"/>
    </row>
    <row r="120" spans="1:8" hidden="1" x14ac:dyDescent="0.25">
      <c r="A120" s="9"/>
      <c r="B120" s="9"/>
      <c r="C120" s="9"/>
      <c r="D120" s="9" t="s">
        <v>103</v>
      </c>
      <c r="E120" s="11" t="s">
        <v>104</v>
      </c>
      <c r="F120" s="7">
        <v>432</v>
      </c>
      <c r="G120" s="7">
        <v>432</v>
      </c>
      <c r="H120" s="7"/>
    </row>
    <row r="121" spans="1:8" hidden="1" x14ac:dyDescent="0.25">
      <c r="A121" s="9"/>
      <c r="B121" s="9"/>
      <c r="C121" s="9"/>
      <c r="D121" s="9" t="s">
        <v>149</v>
      </c>
      <c r="E121" s="11" t="s">
        <v>150</v>
      </c>
      <c r="F121" s="7">
        <v>194.4</v>
      </c>
      <c r="G121" s="7"/>
      <c r="H121" s="7">
        <v>-194.4</v>
      </c>
    </row>
    <row r="122" spans="1:8" hidden="1" x14ac:dyDescent="0.25">
      <c r="A122" s="9"/>
      <c r="B122" s="9"/>
      <c r="C122" s="9"/>
      <c r="D122" s="9" t="s">
        <v>151</v>
      </c>
      <c r="E122" s="11" t="s">
        <v>152</v>
      </c>
      <c r="F122" s="7">
        <v>129.6</v>
      </c>
      <c r="G122" s="7"/>
      <c r="H122" s="7">
        <v>-129.6</v>
      </c>
    </row>
    <row r="123" spans="1:8" hidden="1" x14ac:dyDescent="0.25">
      <c r="A123" s="9"/>
      <c r="B123" s="9"/>
      <c r="C123" s="9"/>
      <c r="D123" s="9" t="s">
        <v>107</v>
      </c>
      <c r="E123" s="11" t="s">
        <v>108</v>
      </c>
      <c r="F123" s="7">
        <v>64.8</v>
      </c>
      <c r="G123" s="7"/>
      <c r="H123" s="7">
        <v>-64.8</v>
      </c>
    </row>
    <row r="124" spans="1:8" hidden="1" x14ac:dyDescent="0.25">
      <c r="A124" s="9"/>
      <c r="B124" s="9"/>
      <c r="C124" s="9"/>
      <c r="D124" s="9" t="s">
        <v>223</v>
      </c>
      <c r="E124" s="11" t="s">
        <v>224</v>
      </c>
      <c r="F124" s="7">
        <v>194.4</v>
      </c>
      <c r="G124" s="7">
        <v>194.4</v>
      </c>
      <c r="H124" s="7"/>
    </row>
    <row r="125" spans="1:8" hidden="1" x14ac:dyDescent="0.25">
      <c r="A125" s="9"/>
      <c r="B125" s="9"/>
      <c r="C125" s="9"/>
      <c r="D125" s="9" t="s">
        <v>116</v>
      </c>
      <c r="E125" s="11" t="s">
        <v>117</v>
      </c>
      <c r="F125" s="7">
        <v>270</v>
      </c>
      <c r="G125" s="7">
        <v>270</v>
      </c>
      <c r="H125" s="7"/>
    </row>
    <row r="126" spans="1:8" hidden="1" x14ac:dyDescent="0.25">
      <c r="A126" s="9"/>
      <c r="B126" s="9"/>
      <c r="C126" s="9"/>
      <c r="D126" s="9" t="s">
        <v>114</v>
      </c>
      <c r="E126" s="11" t="s">
        <v>115</v>
      </c>
      <c r="F126" s="7">
        <v>360</v>
      </c>
      <c r="G126" s="7">
        <v>360</v>
      </c>
      <c r="H126" s="7"/>
    </row>
    <row r="127" spans="1:8" hidden="1" x14ac:dyDescent="0.25">
      <c r="A127" s="9"/>
      <c r="B127" s="9"/>
      <c r="C127" s="9"/>
      <c r="D127" s="9" t="s">
        <v>155</v>
      </c>
      <c r="E127" s="11" t="s">
        <v>156</v>
      </c>
      <c r="F127" s="7">
        <v>240</v>
      </c>
      <c r="G127" s="7">
        <v>240</v>
      </c>
      <c r="H127" s="7"/>
    </row>
    <row r="128" spans="1:8" hidden="1" x14ac:dyDescent="0.25">
      <c r="A128" s="9"/>
      <c r="B128" s="9"/>
      <c r="C128" s="9"/>
      <c r="D128" s="9" t="s">
        <v>283</v>
      </c>
      <c r="E128" s="11" t="s">
        <v>284</v>
      </c>
      <c r="F128" s="7">
        <v>120</v>
      </c>
      <c r="G128" s="7">
        <v>120</v>
      </c>
      <c r="H128" s="7"/>
    </row>
    <row r="129" spans="1:9" hidden="1" x14ac:dyDescent="0.25">
      <c r="A129" s="9"/>
      <c r="B129" s="9"/>
      <c r="C129" s="9"/>
      <c r="D129" s="9" t="s">
        <v>175</v>
      </c>
      <c r="E129" s="11" t="s">
        <v>176</v>
      </c>
      <c r="F129" s="7">
        <v>89.6</v>
      </c>
      <c r="G129" s="7">
        <v>89.6</v>
      </c>
      <c r="H129" s="7"/>
    </row>
    <row r="130" spans="1:9" x14ac:dyDescent="0.25">
      <c r="A130" s="9"/>
      <c r="B130" s="13" t="s">
        <v>170</v>
      </c>
      <c r="C130" s="13" t="s">
        <v>171</v>
      </c>
      <c r="D130" s="13" t="s">
        <v>153</v>
      </c>
      <c r="E130" s="14" t="s">
        <v>154</v>
      </c>
      <c r="F130" s="15">
        <v>1068.5999999999999</v>
      </c>
      <c r="G130" s="15">
        <v>1068.5999999999999</v>
      </c>
      <c r="H130" s="15"/>
      <c r="I130" s="17">
        <f>SUM(H130:H205)</f>
        <v>-1872.6000000000001</v>
      </c>
    </row>
    <row r="131" spans="1:9" hidden="1" x14ac:dyDescent="0.25">
      <c r="A131" s="9"/>
      <c r="B131" s="9"/>
      <c r="C131" s="9"/>
      <c r="D131" s="9" t="s">
        <v>253</v>
      </c>
      <c r="E131" s="11" t="s">
        <v>254</v>
      </c>
      <c r="F131" s="7">
        <v>252</v>
      </c>
      <c r="G131" s="7"/>
      <c r="H131" s="7">
        <v>-252</v>
      </c>
    </row>
    <row r="132" spans="1:9" hidden="1" x14ac:dyDescent="0.25">
      <c r="A132" s="9"/>
      <c r="B132" s="9"/>
      <c r="C132" s="9"/>
      <c r="D132" s="9" t="s">
        <v>139</v>
      </c>
      <c r="E132" s="11" t="s">
        <v>140</v>
      </c>
      <c r="F132" s="7">
        <v>542.70000000000005</v>
      </c>
      <c r="G132" s="7">
        <v>542.70000000000005</v>
      </c>
      <c r="H132" s="7"/>
    </row>
    <row r="133" spans="1:9" hidden="1" x14ac:dyDescent="0.25">
      <c r="A133" s="9"/>
      <c r="B133" s="9"/>
      <c r="C133" s="9"/>
      <c r="D133" s="9" t="s">
        <v>44</v>
      </c>
      <c r="E133" s="11" t="s">
        <v>45</v>
      </c>
      <c r="F133" s="7">
        <v>116.1</v>
      </c>
      <c r="G133" s="7">
        <v>116.1</v>
      </c>
      <c r="H133" s="7"/>
    </row>
    <row r="134" spans="1:9" hidden="1" x14ac:dyDescent="0.25">
      <c r="A134" s="9"/>
      <c r="B134" s="9"/>
      <c r="C134" s="9"/>
      <c r="D134" s="9" t="s">
        <v>105</v>
      </c>
      <c r="E134" s="11" t="s">
        <v>106</v>
      </c>
      <c r="F134" s="7">
        <v>194.4</v>
      </c>
      <c r="G134" s="7">
        <v>194.4</v>
      </c>
      <c r="H134" s="7"/>
    </row>
    <row r="135" spans="1:9" hidden="1" x14ac:dyDescent="0.25">
      <c r="A135" s="9"/>
      <c r="B135" s="9"/>
      <c r="C135" s="9"/>
      <c r="D135" s="9" t="s">
        <v>133</v>
      </c>
      <c r="E135" s="11" t="s">
        <v>134</v>
      </c>
      <c r="F135" s="7">
        <v>461.7</v>
      </c>
      <c r="G135" s="7">
        <v>461.7</v>
      </c>
      <c r="H135" s="7"/>
    </row>
    <row r="136" spans="1:9" hidden="1" x14ac:dyDescent="0.25">
      <c r="A136" s="9"/>
      <c r="B136" s="9"/>
      <c r="C136" s="9"/>
      <c r="D136" s="9" t="s">
        <v>251</v>
      </c>
      <c r="E136" s="11" t="s">
        <v>252</v>
      </c>
      <c r="F136" s="7">
        <v>84</v>
      </c>
      <c r="G136" s="7">
        <v>84</v>
      </c>
      <c r="H136" s="7"/>
    </row>
    <row r="137" spans="1:9" hidden="1" x14ac:dyDescent="0.25">
      <c r="A137" s="9"/>
      <c r="B137" s="9"/>
      <c r="C137" s="9"/>
      <c r="D137" s="9" t="s">
        <v>118</v>
      </c>
      <c r="E137" s="11" t="s">
        <v>119</v>
      </c>
      <c r="F137" s="7">
        <v>1404</v>
      </c>
      <c r="G137" s="7">
        <v>1404</v>
      </c>
      <c r="H137" s="7"/>
    </row>
    <row r="138" spans="1:9" hidden="1" x14ac:dyDescent="0.25">
      <c r="A138" s="9"/>
      <c r="B138" s="9"/>
      <c r="C138" s="9"/>
      <c r="D138" s="9" t="s">
        <v>263</v>
      </c>
      <c r="E138" s="11" t="s">
        <v>264</v>
      </c>
      <c r="F138" s="7">
        <v>15.84</v>
      </c>
      <c r="G138" s="7">
        <v>15.84</v>
      </c>
      <c r="H138" s="7"/>
    </row>
    <row r="139" spans="1:9" hidden="1" x14ac:dyDescent="0.25">
      <c r="A139" s="9"/>
      <c r="B139" s="9"/>
      <c r="C139" s="9"/>
      <c r="D139" s="9" t="s">
        <v>161</v>
      </c>
      <c r="E139" s="11" t="s">
        <v>162</v>
      </c>
      <c r="F139" s="7">
        <v>26.4</v>
      </c>
      <c r="G139" s="7">
        <v>26.4</v>
      </c>
      <c r="H139" s="7"/>
    </row>
    <row r="140" spans="1:9" hidden="1" x14ac:dyDescent="0.25">
      <c r="A140" s="9"/>
      <c r="B140" s="9"/>
      <c r="C140" s="9"/>
      <c r="D140" s="9" t="s">
        <v>121</v>
      </c>
      <c r="E140" s="11" t="s">
        <v>122</v>
      </c>
      <c r="F140" s="7">
        <v>4.8</v>
      </c>
      <c r="G140" s="7">
        <v>4.8</v>
      </c>
      <c r="H140" s="7"/>
    </row>
    <row r="141" spans="1:9" hidden="1" x14ac:dyDescent="0.25">
      <c r="A141" s="9"/>
      <c r="B141" s="9"/>
      <c r="C141" s="9"/>
      <c r="D141" s="9" t="s">
        <v>75</v>
      </c>
      <c r="E141" s="11" t="s">
        <v>76</v>
      </c>
      <c r="F141" s="7">
        <v>16.2</v>
      </c>
      <c r="G141" s="7">
        <v>16.2</v>
      </c>
      <c r="H141" s="7"/>
    </row>
    <row r="142" spans="1:9" hidden="1" x14ac:dyDescent="0.25">
      <c r="A142" s="9"/>
      <c r="B142" s="9"/>
      <c r="C142" s="9"/>
      <c r="D142" s="9" t="s">
        <v>157</v>
      </c>
      <c r="E142" s="11" t="s">
        <v>158</v>
      </c>
      <c r="F142" s="7">
        <v>108</v>
      </c>
      <c r="G142" s="7"/>
      <c r="H142" s="7">
        <v>-108</v>
      </c>
    </row>
    <row r="143" spans="1:9" hidden="1" x14ac:dyDescent="0.25">
      <c r="A143" s="9"/>
      <c r="B143" s="9"/>
      <c r="C143" s="9"/>
      <c r="D143" s="9" t="s">
        <v>183</v>
      </c>
      <c r="E143" s="11" t="s">
        <v>184</v>
      </c>
      <c r="F143" s="7">
        <v>1.7</v>
      </c>
      <c r="G143" s="7">
        <v>1.7</v>
      </c>
      <c r="H143" s="7"/>
    </row>
    <row r="144" spans="1:9" hidden="1" x14ac:dyDescent="0.25">
      <c r="A144" s="9"/>
      <c r="B144" s="9"/>
      <c r="C144" s="9"/>
      <c r="D144" s="9" t="s">
        <v>48</v>
      </c>
      <c r="E144" s="11" t="s">
        <v>49</v>
      </c>
      <c r="F144" s="7">
        <v>2</v>
      </c>
      <c r="G144" s="7"/>
      <c r="H144" s="7">
        <v>-2</v>
      </c>
    </row>
    <row r="145" spans="1:8" hidden="1" x14ac:dyDescent="0.25">
      <c r="A145" s="9"/>
      <c r="B145" s="9"/>
      <c r="C145" s="9"/>
      <c r="D145" s="9" t="s">
        <v>79</v>
      </c>
      <c r="E145" s="11" t="s">
        <v>80</v>
      </c>
      <c r="F145" s="7">
        <v>38</v>
      </c>
      <c r="G145" s="7">
        <v>38</v>
      </c>
      <c r="H145" s="7"/>
    </row>
    <row r="146" spans="1:8" hidden="1" x14ac:dyDescent="0.25">
      <c r="A146" s="9"/>
      <c r="B146" s="9"/>
      <c r="C146" s="9"/>
      <c r="D146" s="9" t="s">
        <v>62</v>
      </c>
      <c r="E146" s="11" t="s">
        <v>63</v>
      </c>
      <c r="F146" s="7">
        <v>1480.8</v>
      </c>
      <c r="G146" s="7">
        <v>1480.8</v>
      </c>
      <c r="H146" s="7"/>
    </row>
    <row r="147" spans="1:8" hidden="1" x14ac:dyDescent="0.25">
      <c r="A147" s="9"/>
      <c r="B147" s="9"/>
      <c r="C147" s="9"/>
      <c r="D147" s="9" t="s">
        <v>64</v>
      </c>
      <c r="E147" s="11" t="s">
        <v>65</v>
      </c>
      <c r="F147" s="7">
        <v>120</v>
      </c>
      <c r="G147" s="7">
        <v>120</v>
      </c>
      <c r="H147" s="7"/>
    </row>
    <row r="148" spans="1:8" hidden="1" x14ac:dyDescent="0.25">
      <c r="A148" s="9"/>
      <c r="B148" s="9"/>
      <c r="C148" s="9"/>
      <c r="D148" s="9" t="s">
        <v>91</v>
      </c>
      <c r="E148" s="11" t="s">
        <v>92</v>
      </c>
      <c r="F148" s="7">
        <v>48</v>
      </c>
      <c r="G148" s="7">
        <v>48</v>
      </c>
      <c r="H148" s="7"/>
    </row>
    <row r="149" spans="1:8" hidden="1" x14ac:dyDescent="0.25">
      <c r="A149" s="9"/>
      <c r="B149" s="9"/>
      <c r="C149" s="9"/>
      <c r="D149" s="9" t="s">
        <v>261</v>
      </c>
      <c r="E149" s="11" t="s">
        <v>262</v>
      </c>
      <c r="F149" s="7">
        <v>38.4</v>
      </c>
      <c r="G149" s="7">
        <v>38.4</v>
      </c>
      <c r="H149" s="7"/>
    </row>
    <row r="150" spans="1:8" hidden="1" x14ac:dyDescent="0.25">
      <c r="A150" s="9"/>
      <c r="B150" s="9"/>
      <c r="C150" s="9"/>
      <c r="D150" s="9" t="s">
        <v>165</v>
      </c>
      <c r="E150" s="11" t="s">
        <v>166</v>
      </c>
      <c r="F150" s="7">
        <v>27</v>
      </c>
      <c r="G150" s="7"/>
      <c r="H150" s="7">
        <v>-27</v>
      </c>
    </row>
    <row r="151" spans="1:8" hidden="1" x14ac:dyDescent="0.25">
      <c r="A151" s="9"/>
      <c r="B151" s="9"/>
      <c r="C151" s="9"/>
      <c r="D151" s="9" t="s">
        <v>215</v>
      </c>
      <c r="E151" s="11" t="s">
        <v>216</v>
      </c>
      <c r="F151" s="7">
        <v>35.700000000000003</v>
      </c>
      <c r="G151" s="7"/>
      <c r="H151" s="7">
        <v>-35.700000000000003</v>
      </c>
    </row>
    <row r="152" spans="1:8" hidden="1" x14ac:dyDescent="0.25">
      <c r="A152" s="9"/>
      <c r="B152" s="9"/>
      <c r="C152" s="9"/>
      <c r="D152" s="9" t="s">
        <v>233</v>
      </c>
      <c r="E152" s="11" t="s">
        <v>234</v>
      </c>
      <c r="F152" s="7">
        <v>55.2</v>
      </c>
      <c r="G152" s="7">
        <v>55.2</v>
      </c>
      <c r="H152" s="7"/>
    </row>
    <row r="153" spans="1:8" hidden="1" x14ac:dyDescent="0.25">
      <c r="A153" s="9"/>
      <c r="B153" s="9"/>
      <c r="C153" s="9"/>
      <c r="D153" s="9" t="s">
        <v>109</v>
      </c>
      <c r="E153" s="11" t="s">
        <v>110</v>
      </c>
      <c r="F153" s="7">
        <v>217.5</v>
      </c>
      <c r="G153" s="7">
        <v>217.5</v>
      </c>
      <c r="H153" s="7"/>
    </row>
    <row r="154" spans="1:8" hidden="1" x14ac:dyDescent="0.25">
      <c r="A154" s="9"/>
      <c r="B154" s="9"/>
      <c r="C154" s="9"/>
      <c r="D154" s="9" t="s">
        <v>187</v>
      </c>
      <c r="E154" s="11" t="s">
        <v>188</v>
      </c>
      <c r="F154" s="7">
        <v>60</v>
      </c>
      <c r="G154" s="7">
        <v>60</v>
      </c>
      <c r="H154" s="7"/>
    </row>
    <row r="155" spans="1:8" hidden="1" x14ac:dyDescent="0.25">
      <c r="A155" s="9"/>
      <c r="B155" s="9"/>
      <c r="C155" s="9"/>
      <c r="D155" s="9" t="s">
        <v>145</v>
      </c>
      <c r="E155" s="11" t="s">
        <v>146</v>
      </c>
      <c r="F155" s="7">
        <v>21</v>
      </c>
      <c r="G155" s="7">
        <v>21</v>
      </c>
      <c r="H155" s="7"/>
    </row>
    <row r="156" spans="1:8" hidden="1" x14ac:dyDescent="0.25">
      <c r="A156" s="9"/>
      <c r="B156" s="9"/>
      <c r="C156" s="9"/>
      <c r="D156" s="9" t="s">
        <v>237</v>
      </c>
      <c r="E156" s="11" t="s">
        <v>238</v>
      </c>
      <c r="F156" s="7">
        <v>33.6</v>
      </c>
      <c r="G156" s="7"/>
      <c r="H156" s="7">
        <v>-33.6</v>
      </c>
    </row>
    <row r="157" spans="1:8" hidden="1" x14ac:dyDescent="0.25">
      <c r="A157" s="9"/>
      <c r="B157" s="9"/>
      <c r="C157" s="9"/>
      <c r="D157" s="9" t="s">
        <v>243</v>
      </c>
      <c r="E157" s="11" t="s">
        <v>244</v>
      </c>
      <c r="F157" s="7">
        <v>69.599999999999994</v>
      </c>
      <c r="G157" s="7">
        <v>69.599999999999994</v>
      </c>
      <c r="H157" s="7"/>
    </row>
    <row r="158" spans="1:8" hidden="1" x14ac:dyDescent="0.25">
      <c r="A158" s="9"/>
      <c r="B158" s="9"/>
      <c r="C158" s="9"/>
      <c r="D158" s="9" t="s">
        <v>241</v>
      </c>
      <c r="E158" s="11" t="s">
        <v>242</v>
      </c>
      <c r="F158" s="7">
        <v>88.8</v>
      </c>
      <c r="G158" s="7">
        <v>88.8</v>
      </c>
      <c r="H158" s="7"/>
    </row>
    <row r="159" spans="1:8" hidden="1" x14ac:dyDescent="0.25">
      <c r="A159" s="9"/>
      <c r="B159" s="9"/>
      <c r="C159" s="9"/>
      <c r="D159" s="9" t="s">
        <v>179</v>
      </c>
      <c r="E159" s="11" t="s">
        <v>180</v>
      </c>
      <c r="F159" s="7">
        <v>72</v>
      </c>
      <c r="G159" s="7">
        <v>72</v>
      </c>
      <c r="H159" s="7"/>
    </row>
    <row r="160" spans="1:8" hidden="1" x14ac:dyDescent="0.25">
      <c r="A160" s="9"/>
      <c r="B160" s="9"/>
      <c r="C160" s="9"/>
      <c r="D160" s="9" t="s">
        <v>185</v>
      </c>
      <c r="E160" s="11" t="s">
        <v>186</v>
      </c>
      <c r="F160" s="7">
        <v>54</v>
      </c>
      <c r="G160" s="7">
        <v>54</v>
      </c>
      <c r="H160" s="7"/>
    </row>
    <row r="161" spans="1:8" hidden="1" x14ac:dyDescent="0.25">
      <c r="A161" s="9"/>
      <c r="B161" s="9"/>
      <c r="C161" s="9"/>
      <c r="D161" s="9" t="s">
        <v>137</v>
      </c>
      <c r="E161" s="11" t="s">
        <v>138</v>
      </c>
      <c r="F161" s="7">
        <v>151.19999999999999</v>
      </c>
      <c r="G161" s="7">
        <v>151.19999999999999</v>
      </c>
      <c r="H161" s="7"/>
    </row>
    <row r="162" spans="1:8" hidden="1" x14ac:dyDescent="0.25">
      <c r="A162" s="9"/>
      <c r="B162" s="9"/>
      <c r="C162" s="9"/>
      <c r="D162" s="9" t="s">
        <v>177</v>
      </c>
      <c r="E162" s="11" t="s">
        <v>178</v>
      </c>
      <c r="F162" s="7">
        <v>36</v>
      </c>
      <c r="G162" s="7">
        <v>36</v>
      </c>
      <c r="H162" s="7"/>
    </row>
    <row r="163" spans="1:8" hidden="1" x14ac:dyDescent="0.25">
      <c r="A163" s="9"/>
      <c r="B163" s="9"/>
      <c r="C163" s="9"/>
      <c r="D163" s="9" t="s">
        <v>141</v>
      </c>
      <c r="E163" s="11" t="s">
        <v>142</v>
      </c>
      <c r="F163" s="7">
        <v>129.6</v>
      </c>
      <c r="G163" s="7">
        <v>129.6</v>
      </c>
      <c r="H163" s="7"/>
    </row>
    <row r="164" spans="1:8" hidden="1" x14ac:dyDescent="0.25">
      <c r="A164" s="9"/>
      <c r="B164" s="9"/>
      <c r="C164" s="9"/>
      <c r="D164" s="9" t="s">
        <v>181</v>
      </c>
      <c r="E164" s="11" t="s">
        <v>182</v>
      </c>
      <c r="F164" s="7">
        <v>109.2</v>
      </c>
      <c r="G164" s="7">
        <v>109.2</v>
      </c>
      <c r="H164" s="7"/>
    </row>
    <row r="165" spans="1:8" hidden="1" x14ac:dyDescent="0.25">
      <c r="A165" s="9"/>
      <c r="B165" s="9"/>
      <c r="C165" s="9"/>
      <c r="D165" s="9" t="s">
        <v>257</v>
      </c>
      <c r="E165" s="11" t="s">
        <v>258</v>
      </c>
      <c r="F165" s="7">
        <v>16</v>
      </c>
      <c r="G165" s="7">
        <v>16</v>
      </c>
      <c r="H165" s="7"/>
    </row>
    <row r="166" spans="1:8" hidden="1" x14ac:dyDescent="0.25">
      <c r="A166" s="9"/>
      <c r="B166" s="9"/>
      <c r="C166" s="9"/>
      <c r="D166" s="9" t="s">
        <v>255</v>
      </c>
      <c r="E166" s="11" t="s">
        <v>256</v>
      </c>
      <c r="F166" s="7">
        <v>26</v>
      </c>
      <c r="G166" s="7">
        <v>26</v>
      </c>
      <c r="H166" s="7"/>
    </row>
    <row r="167" spans="1:8" hidden="1" x14ac:dyDescent="0.25">
      <c r="A167" s="9"/>
      <c r="B167" s="9"/>
      <c r="C167" s="9"/>
      <c r="D167" s="9" t="s">
        <v>235</v>
      </c>
      <c r="E167" s="11" t="s">
        <v>236</v>
      </c>
      <c r="F167" s="7">
        <v>60</v>
      </c>
      <c r="G167" s="7">
        <v>60</v>
      </c>
      <c r="H167" s="7"/>
    </row>
    <row r="168" spans="1:8" hidden="1" x14ac:dyDescent="0.25">
      <c r="A168" s="9"/>
      <c r="B168" s="9"/>
      <c r="C168" s="9"/>
      <c r="D168" s="9" t="s">
        <v>231</v>
      </c>
      <c r="E168" s="11" t="s">
        <v>232</v>
      </c>
      <c r="F168" s="7">
        <v>48.6</v>
      </c>
      <c r="G168" s="7">
        <v>48.6</v>
      </c>
      <c r="H168" s="7"/>
    </row>
    <row r="169" spans="1:8" hidden="1" x14ac:dyDescent="0.25">
      <c r="A169" s="9"/>
      <c r="B169" s="9"/>
      <c r="C169" s="9"/>
      <c r="D169" s="9" t="s">
        <v>213</v>
      </c>
      <c r="E169" s="11" t="s">
        <v>214</v>
      </c>
      <c r="F169" s="7">
        <v>84</v>
      </c>
      <c r="G169" s="7">
        <v>84</v>
      </c>
      <c r="H169" s="7"/>
    </row>
    <row r="170" spans="1:8" hidden="1" x14ac:dyDescent="0.25">
      <c r="A170" s="9"/>
      <c r="B170" s="9"/>
      <c r="C170" s="9"/>
      <c r="D170" s="9" t="s">
        <v>147</v>
      </c>
      <c r="E170" s="11" t="s">
        <v>148</v>
      </c>
      <c r="F170" s="7">
        <v>281.39999999999998</v>
      </c>
      <c r="G170" s="7">
        <v>281.39999999999998</v>
      </c>
      <c r="H170" s="7"/>
    </row>
    <row r="171" spans="1:8" hidden="1" x14ac:dyDescent="0.25">
      <c r="A171" s="9"/>
      <c r="B171" s="9"/>
      <c r="C171" s="9"/>
      <c r="D171" s="9" t="s">
        <v>103</v>
      </c>
      <c r="E171" s="11" t="s">
        <v>104</v>
      </c>
      <c r="F171" s="7">
        <v>151.19999999999999</v>
      </c>
      <c r="G171" s="7">
        <v>151.19999999999999</v>
      </c>
      <c r="H171" s="7"/>
    </row>
    <row r="172" spans="1:8" hidden="1" x14ac:dyDescent="0.25">
      <c r="A172" s="9"/>
      <c r="B172" s="9"/>
      <c r="C172" s="9"/>
      <c r="D172" s="9" t="s">
        <v>149</v>
      </c>
      <c r="E172" s="11" t="s">
        <v>150</v>
      </c>
      <c r="F172" s="7">
        <v>151.19999999999999</v>
      </c>
      <c r="G172" s="7"/>
      <c r="H172" s="7">
        <v>-151.19999999999999</v>
      </c>
    </row>
    <row r="173" spans="1:8" hidden="1" x14ac:dyDescent="0.25">
      <c r="A173" s="9"/>
      <c r="B173" s="9"/>
      <c r="C173" s="9"/>
      <c r="D173" s="9" t="s">
        <v>227</v>
      </c>
      <c r="E173" s="11" t="s">
        <v>228</v>
      </c>
      <c r="F173" s="7">
        <v>45</v>
      </c>
      <c r="G173" s="7"/>
      <c r="H173" s="7">
        <v>-45</v>
      </c>
    </row>
    <row r="174" spans="1:8" hidden="1" x14ac:dyDescent="0.25">
      <c r="A174" s="9"/>
      <c r="B174" s="9"/>
      <c r="C174" s="9"/>
      <c r="D174" s="9" t="s">
        <v>151</v>
      </c>
      <c r="E174" s="11" t="s">
        <v>152</v>
      </c>
      <c r="F174" s="7">
        <v>205.2</v>
      </c>
      <c r="G174" s="7"/>
      <c r="H174" s="7">
        <v>-205.2</v>
      </c>
    </row>
    <row r="175" spans="1:8" hidden="1" x14ac:dyDescent="0.25">
      <c r="A175" s="9"/>
      <c r="B175" s="9"/>
      <c r="C175" s="9"/>
      <c r="D175" s="9" t="s">
        <v>225</v>
      </c>
      <c r="E175" s="11" t="s">
        <v>226</v>
      </c>
      <c r="F175" s="7">
        <v>61.2</v>
      </c>
      <c r="G175" s="7"/>
      <c r="H175" s="7">
        <v>-61.2</v>
      </c>
    </row>
    <row r="176" spans="1:8" hidden="1" x14ac:dyDescent="0.25">
      <c r="A176" s="9"/>
      <c r="B176" s="9"/>
      <c r="C176" s="9"/>
      <c r="D176" s="9" t="s">
        <v>107</v>
      </c>
      <c r="E176" s="11" t="s">
        <v>108</v>
      </c>
      <c r="F176" s="7">
        <v>351</v>
      </c>
      <c r="G176" s="7"/>
      <c r="H176" s="7">
        <v>-351</v>
      </c>
    </row>
    <row r="177" spans="1:8" hidden="1" x14ac:dyDescent="0.25">
      <c r="A177" s="9"/>
      <c r="B177" s="9"/>
      <c r="C177" s="9"/>
      <c r="D177" s="9" t="s">
        <v>223</v>
      </c>
      <c r="E177" s="11" t="s">
        <v>224</v>
      </c>
      <c r="F177" s="7">
        <v>151.19999999999999</v>
      </c>
      <c r="G177" s="7">
        <v>151.19999999999999</v>
      </c>
      <c r="H177" s="7"/>
    </row>
    <row r="178" spans="1:8" hidden="1" x14ac:dyDescent="0.25">
      <c r="A178" s="9"/>
      <c r="B178" s="9"/>
      <c r="C178" s="9"/>
      <c r="D178" s="9" t="s">
        <v>229</v>
      </c>
      <c r="E178" s="11" t="s">
        <v>230</v>
      </c>
      <c r="F178" s="7">
        <v>30.6</v>
      </c>
      <c r="G178" s="7"/>
      <c r="H178" s="7">
        <v>-30.6</v>
      </c>
    </row>
    <row r="179" spans="1:8" hidden="1" x14ac:dyDescent="0.25">
      <c r="A179" s="9"/>
      <c r="B179" s="9"/>
      <c r="C179" s="9"/>
      <c r="D179" s="9" t="s">
        <v>189</v>
      </c>
      <c r="E179" s="11" t="s">
        <v>190</v>
      </c>
      <c r="F179" s="7">
        <v>41.6</v>
      </c>
      <c r="G179" s="7">
        <v>41.6</v>
      </c>
      <c r="H179" s="7"/>
    </row>
    <row r="180" spans="1:8" hidden="1" x14ac:dyDescent="0.25">
      <c r="A180" s="9"/>
      <c r="B180" s="9"/>
      <c r="C180" s="9"/>
      <c r="D180" s="9" t="s">
        <v>195</v>
      </c>
      <c r="E180" s="11" t="s">
        <v>196</v>
      </c>
      <c r="F180" s="7">
        <v>13.2</v>
      </c>
      <c r="G180" s="7"/>
      <c r="H180" s="7">
        <v>-13.2</v>
      </c>
    </row>
    <row r="181" spans="1:8" hidden="1" x14ac:dyDescent="0.25">
      <c r="A181" s="9"/>
      <c r="B181" s="9"/>
      <c r="C181" s="9"/>
      <c r="D181" s="9" t="s">
        <v>191</v>
      </c>
      <c r="E181" s="11" t="s">
        <v>192</v>
      </c>
      <c r="F181" s="7">
        <v>14</v>
      </c>
      <c r="G181" s="7"/>
      <c r="H181" s="7">
        <v>-14</v>
      </c>
    </row>
    <row r="182" spans="1:8" hidden="1" x14ac:dyDescent="0.25">
      <c r="A182" s="9"/>
      <c r="B182" s="9"/>
      <c r="C182" s="9"/>
      <c r="D182" s="9" t="s">
        <v>81</v>
      </c>
      <c r="E182" s="11" t="s">
        <v>82</v>
      </c>
      <c r="F182" s="7">
        <v>46.2</v>
      </c>
      <c r="G182" s="7">
        <v>46.2</v>
      </c>
      <c r="H182" s="7"/>
    </row>
    <row r="183" spans="1:8" hidden="1" x14ac:dyDescent="0.25">
      <c r="A183" s="9"/>
      <c r="B183" s="9"/>
      <c r="C183" s="9"/>
      <c r="D183" s="9" t="s">
        <v>111</v>
      </c>
      <c r="E183" s="11" t="s">
        <v>112</v>
      </c>
      <c r="F183" s="7">
        <v>35.700000000000003</v>
      </c>
      <c r="G183" s="7"/>
      <c r="H183" s="7">
        <v>-35.700000000000003</v>
      </c>
    </row>
    <row r="184" spans="1:8" hidden="1" x14ac:dyDescent="0.25">
      <c r="A184" s="9"/>
      <c r="B184" s="9"/>
      <c r="C184" s="9"/>
      <c r="D184" s="9" t="s">
        <v>57</v>
      </c>
      <c r="E184" s="11" t="s">
        <v>58</v>
      </c>
      <c r="F184" s="7">
        <v>16</v>
      </c>
      <c r="G184" s="7">
        <v>16</v>
      </c>
      <c r="H184" s="7"/>
    </row>
    <row r="185" spans="1:8" hidden="1" x14ac:dyDescent="0.25">
      <c r="A185" s="9"/>
      <c r="B185" s="9"/>
      <c r="C185" s="9"/>
      <c r="D185" s="9" t="s">
        <v>68</v>
      </c>
      <c r="E185" s="11" t="s">
        <v>69</v>
      </c>
      <c r="F185" s="7">
        <v>12</v>
      </c>
      <c r="G185" s="7">
        <v>12</v>
      </c>
      <c r="H185" s="7"/>
    </row>
    <row r="186" spans="1:8" hidden="1" x14ac:dyDescent="0.25">
      <c r="A186" s="9"/>
      <c r="B186" s="9"/>
      <c r="C186" s="9"/>
      <c r="D186" s="9" t="s">
        <v>249</v>
      </c>
      <c r="E186" s="11" t="s">
        <v>250</v>
      </c>
      <c r="F186" s="7">
        <v>54</v>
      </c>
      <c r="G186" s="7">
        <v>54</v>
      </c>
      <c r="H186" s="7"/>
    </row>
    <row r="187" spans="1:8" hidden="1" x14ac:dyDescent="0.25">
      <c r="A187" s="9"/>
      <c r="B187" s="9"/>
      <c r="C187" s="9"/>
      <c r="D187" s="9" t="s">
        <v>175</v>
      </c>
      <c r="E187" s="11" t="s">
        <v>176</v>
      </c>
      <c r="F187" s="7">
        <v>33.6</v>
      </c>
      <c r="G187" s="7">
        <v>33.6</v>
      </c>
      <c r="H187" s="7"/>
    </row>
    <row r="188" spans="1:8" hidden="1" x14ac:dyDescent="0.25">
      <c r="A188" s="9"/>
      <c r="B188" s="9"/>
      <c r="C188" s="9"/>
      <c r="D188" s="9" t="s">
        <v>173</v>
      </c>
      <c r="E188" s="11" t="s">
        <v>174</v>
      </c>
      <c r="F188" s="7">
        <v>32.4</v>
      </c>
      <c r="G188" s="7">
        <v>32.4</v>
      </c>
      <c r="H188" s="7"/>
    </row>
    <row r="189" spans="1:8" hidden="1" x14ac:dyDescent="0.25">
      <c r="A189" s="9"/>
      <c r="B189" s="9"/>
      <c r="C189" s="9"/>
      <c r="D189" s="9" t="s">
        <v>209</v>
      </c>
      <c r="E189" s="11" t="s">
        <v>210</v>
      </c>
      <c r="F189" s="7">
        <v>7.2</v>
      </c>
      <c r="G189" s="7">
        <v>7.2</v>
      </c>
      <c r="H189" s="7"/>
    </row>
    <row r="190" spans="1:8" hidden="1" x14ac:dyDescent="0.25">
      <c r="A190" s="9"/>
      <c r="B190" s="9"/>
      <c r="C190" s="9"/>
      <c r="D190" s="9" t="s">
        <v>203</v>
      </c>
      <c r="E190" s="11" t="s">
        <v>204</v>
      </c>
      <c r="F190" s="7">
        <v>7.2</v>
      </c>
      <c r="G190" s="7"/>
      <c r="H190" s="7">
        <v>-7.2</v>
      </c>
    </row>
    <row r="191" spans="1:8" hidden="1" x14ac:dyDescent="0.25">
      <c r="A191" s="9"/>
      <c r="B191" s="9"/>
      <c r="C191" s="9"/>
      <c r="D191" s="9" t="s">
        <v>217</v>
      </c>
      <c r="E191" s="11" t="s">
        <v>218</v>
      </c>
      <c r="F191" s="7">
        <v>45</v>
      </c>
      <c r="G191" s="7"/>
      <c r="H191" s="7">
        <v>-45</v>
      </c>
    </row>
    <row r="192" spans="1:8" hidden="1" x14ac:dyDescent="0.25">
      <c r="A192" s="9"/>
      <c r="B192" s="9"/>
      <c r="C192" s="9"/>
      <c r="D192" s="9" t="s">
        <v>219</v>
      </c>
      <c r="E192" s="11" t="s">
        <v>220</v>
      </c>
      <c r="F192" s="7">
        <v>5.04</v>
      </c>
      <c r="G192" s="7">
        <v>5.04</v>
      </c>
      <c r="H192" s="7"/>
    </row>
    <row r="193" spans="1:9" hidden="1" x14ac:dyDescent="0.25">
      <c r="A193" s="9"/>
      <c r="B193" s="9"/>
      <c r="C193" s="9"/>
      <c r="D193" s="9" t="s">
        <v>221</v>
      </c>
      <c r="E193" s="11" t="s">
        <v>222</v>
      </c>
      <c r="F193" s="7">
        <v>2.52</v>
      </c>
      <c r="G193" s="7">
        <v>2.52</v>
      </c>
      <c r="H193" s="7"/>
    </row>
    <row r="194" spans="1:9" hidden="1" x14ac:dyDescent="0.25">
      <c r="A194" s="9"/>
      <c r="B194" s="9"/>
      <c r="C194" s="9"/>
      <c r="D194" s="9" t="s">
        <v>239</v>
      </c>
      <c r="E194" s="11" t="s">
        <v>240</v>
      </c>
      <c r="F194" s="7">
        <v>5.4</v>
      </c>
      <c r="G194" s="7">
        <v>5.4</v>
      </c>
      <c r="H194" s="7"/>
    </row>
    <row r="195" spans="1:9" hidden="1" x14ac:dyDescent="0.25">
      <c r="A195" s="9"/>
      <c r="B195" s="9"/>
      <c r="C195" s="9"/>
      <c r="D195" s="9" t="s">
        <v>265</v>
      </c>
      <c r="E195" s="11" t="s">
        <v>266</v>
      </c>
      <c r="F195" s="7">
        <v>30.6</v>
      </c>
      <c r="G195" s="7">
        <v>30.6</v>
      </c>
      <c r="H195" s="7"/>
    </row>
    <row r="196" spans="1:9" hidden="1" x14ac:dyDescent="0.25">
      <c r="A196" s="9"/>
      <c r="B196" s="9"/>
      <c r="C196" s="9"/>
      <c r="D196" s="9" t="s">
        <v>55</v>
      </c>
      <c r="E196" s="11" t="s">
        <v>56</v>
      </c>
      <c r="F196" s="7">
        <v>12</v>
      </c>
      <c r="G196" s="7">
        <v>12</v>
      </c>
      <c r="H196" s="7"/>
    </row>
    <row r="197" spans="1:9" hidden="1" x14ac:dyDescent="0.25">
      <c r="A197" s="9"/>
      <c r="B197" s="9"/>
      <c r="C197" s="9"/>
      <c r="D197" s="9" t="s">
        <v>207</v>
      </c>
      <c r="E197" s="11" t="s">
        <v>208</v>
      </c>
      <c r="F197" s="7">
        <v>53.76</v>
      </c>
      <c r="G197" s="7">
        <v>53.76</v>
      </c>
      <c r="H197" s="7"/>
    </row>
    <row r="198" spans="1:9" hidden="1" x14ac:dyDescent="0.25">
      <c r="A198" s="9"/>
      <c r="B198" s="9"/>
      <c r="C198" s="9"/>
      <c r="D198" s="9" t="s">
        <v>143</v>
      </c>
      <c r="E198" s="11" t="s">
        <v>144</v>
      </c>
      <c r="F198" s="7">
        <v>203</v>
      </c>
      <c r="G198" s="7"/>
      <c r="H198" s="7">
        <v>-203</v>
      </c>
    </row>
    <row r="199" spans="1:9" hidden="1" x14ac:dyDescent="0.25">
      <c r="A199" s="9"/>
      <c r="B199" s="9"/>
      <c r="C199" s="9"/>
      <c r="D199" s="9" t="s">
        <v>211</v>
      </c>
      <c r="E199" s="11" t="s">
        <v>212</v>
      </c>
      <c r="F199" s="7">
        <v>57.12</v>
      </c>
      <c r="G199" s="7">
        <v>57.12</v>
      </c>
      <c r="H199" s="7"/>
    </row>
    <row r="200" spans="1:9" hidden="1" x14ac:dyDescent="0.25">
      <c r="A200" s="9"/>
      <c r="B200" s="9"/>
      <c r="C200" s="9"/>
      <c r="D200" s="9" t="s">
        <v>201</v>
      </c>
      <c r="E200" s="11" t="s">
        <v>202</v>
      </c>
      <c r="F200" s="7">
        <v>252</v>
      </c>
      <c r="G200" s="7"/>
      <c r="H200" s="7">
        <v>-252</v>
      </c>
    </row>
    <row r="201" spans="1:9" hidden="1" x14ac:dyDescent="0.25">
      <c r="A201" s="9"/>
      <c r="B201" s="9"/>
      <c r="C201" s="9"/>
      <c r="D201" s="9" t="s">
        <v>199</v>
      </c>
      <c r="E201" s="11" t="s">
        <v>200</v>
      </c>
      <c r="F201" s="7">
        <v>150.5</v>
      </c>
      <c r="G201" s="7">
        <v>150.5</v>
      </c>
      <c r="H201" s="7"/>
    </row>
    <row r="202" spans="1:9" hidden="1" x14ac:dyDescent="0.25">
      <c r="A202" s="9"/>
      <c r="B202" s="9"/>
      <c r="C202" s="9"/>
      <c r="D202" s="9" t="s">
        <v>245</v>
      </c>
      <c r="E202" s="11" t="s">
        <v>246</v>
      </c>
      <c r="F202" s="7">
        <v>46.8</v>
      </c>
      <c r="G202" s="7">
        <v>46.8</v>
      </c>
      <c r="H202" s="7"/>
    </row>
    <row r="203" spans="1:9" hidden="1" x14ac:dyDescent="0.25">
      <c r="A203" s="9"/>
      <c r="B203" s="9"/>
      <c r="C203" s="9"/>
      <c r="D203" s="9" t="s">
        <v>247</v>
      </c>
      <c r="E203" s="11" t="s">
        <v>248</v>
      </c>
      <c r="F203" s="7">
        <v>148.19999999999999</v>
      </c>
      <c r="G203" s="7">
        <v>148.19999999999999</v>
      </c>
      <c r="H203" s="7"/>
    </row>
    <row r="204" spans="1:9" hidden="1" x14ac:dyDescent="0.25">
      <c r="A204" s="9"/>
      <c r="B204" s="9"/>
      <c r="C204" s="9"/>
      <c r="D204" s="9" t="s">
        <v>259</v>
      </c>
      <c r="E204" s="11" t="s">
        <v>260</v>
      </c>
      <c r="F204" s="7">
        <v>255</v>
      </c>
      <c r="G204" s="7">
        <v>255</v>
      </c>
      <c r="H204" s="7"/>
    </row>
    <row r="205" spans="1:9" hidden="1" x14ac:dyDescent="0.25">
      <c r="A205" s="9"/>
      <c r="B205" s="9"/>
      <c r="C205" s="9"/>
      <c r="D205" s="9" t="s">
        <v>197</v>
      </c>
      <c r="E205" s="11" t="s">
        <v>198</v>
      </c>
      <c r="F205" s="7">
        <v>84</v>
      </c>
      <c r="G205" s="7">
        <v>84</v>
      </c>
      <c r="H205" s="7"/>
    </row>
    <row r="206" spans="1:9" x14ac:dyDescent="0.25">
      <c r="A206" s="9"/>
      <c r="B206" s="13" t="s">
        <v>168</v>
      </c>
      <c r="C206" s="13" t="s">
        <v>36</v>
      </c>
      <c r="D206" s="13" t="s">
        <v>118</v>
      </c>
      <c r="E206" s="14" t="s">
        <v>119</v>
      </c>
      <c r="F206" s="15">
        <v>5004</v>
      </c>
      <c r="G206" s="15">
        <v>5004</v>
      </c>
      <c r="H206" s="15"/>
      <c r="I206" s="16">
        <v>0</v>
      </c>
    </row>
    <row r="207" spans="1:9" x14ac:dyDescent="0.25">
      <c r="A207" s="8" t="s">
        <v>287</v>
      </c>
      <c r="B207" s="9"/>
      <c r="C207" s="9"/>
      <c r="D207" s="9"/>
      <c r="E207" s="11"/>
      <c r="F207" s="7">
        <v>39318.92</v>
      </c>
      <c r="G207" s="7">
        <v>35159.62000000001</v>
      </c>
      <c r="H207" s="7">
        <v>-4159.2999999999993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04"/>
  <sheetViews>
    <sheetView topLeftCell="A2" workbookViewId="0"/>
  </sheetViews>
  <sheetFormatPr defaultRowHeight="15" x14ac:dyDescent="0.25"/>
  <cols>
    <col min="1" max="1" width="16" style="1"/>
    <col min="2" max="2" width="68" style="1"/>
    <col min="3" max="3" width="17" style="1"/>
    <col min="4" max="4" width="20" style="1"/>
    <col min="5" max="5" width="29" style="2"/>
    <col min="6" max="6" width="24" style="1"/>
    <col min="7" max="7" width="18" style="3"/>
    <col min="8" max="8" width="23" style="1"/>
    <col min="9" max="9" width="28" style="2"/>
    <col min="10" max="10" width="17" style="3"/>
    <col min="11" max="11" width="23" style="1"/>
    <col min="12" max="12" width="8" style="1"/>
    <col min="13" max="13" width="9" style="1"/>
    <col min="14" max="14" width="8" style="1"/>
    <col min="15" max="15" width="15" style="1"/>
    <col min="16" max="16" width="17" style="1"/>
    <col min="17" max="17" width="22" style="1"/>
    <col min="18" max="18" width="119" style="1"/>
    <col min="19" max="19" width="13" style="4"/>
    <col min="20" max="20" width="15" style="4"/>
    <col min="21" max="22" width="13" style="4"/>
    <col min="23" max="23" width="25" style="1"/>
    <col min="24" max="24" width="41" style="1"/>
    <col min="25" max="25" width="34" style="1"/>
    <col min="26" max="26" width="12" style="4"/>
    <col min="27" max="27" width="19" style="1"/>
    <col min="28" max="28" width="35" style="1"/>
    <col min="29" max="29" width="28" style="1"/>
    <col min="30" max="30" width="21" style="1"/>
    <col min="31" max="31" width="12" style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34</v>
      </c>
      <c r="E2" s="2">
        <v>46264</v>
      </c>
      <c r="F2" s="1" t="s">
        <v>35</v>
      </c>
      <c r="G2" s="3">
        <v>46264.006944444402</v>
      </c>
      <c r="H2" s="1" t="s">
        <v>36</v>
      </c>
      <c r="I2" s="2">
        <v>46264</v>
      </c>
      <c r="J2" s="3">
        <v>46264.006944444402</v>
      </c>
      <c r="K2" s="1" t="s">
        <v>37</v>
      </c>
      <c r="L2" s="1" t="s">
        <v>38</v>
      </c>
      <c r="M2" s="1" t="s">
        <v>39</v>
      </c>
      <c r="N2" s="1" t="s">
        <v>33</v>
      </c>
      <c r="P2" s="1" t="s">
        <v>33</v>
      </c>
      <c r="Q2" s="1" t="s">
        <v>40</v>
      </c>
      <c r="R2" s="1" t="s">
        <v>41</v>
      </c>
      <c r="S2" s="4">
        <v>27</v>
      </c>
      <c r="T2" s="4">
        <v>27</v>
      </c>
      <c r="U2" s="4">
        <v>27</v>
      </c>
      <c r="Y2" s="1" t="s">
        <v>33</v>
      </c>
      <c r="AC2" s="1" t="s">
        <v>33</v>
      </c>
      <c r="AE2" s="1" t="s">
        <v>33</v>
      </c>
    </row>
    <row r="3" spans="1:31" x14ac:dyDescent="0.25">
      <c r="A3" s="1" t="s">
        <v>31</v>
      </c>
      <c r="B3" s="1" t="s">
        <v>32</v>
      </c>
      <c r="C3" s="1" t="s">
        <v>33</v>
      </c>
      <c r="D3" s="1" t="s">
        <v>34</v>
      </c>
      <c r="E3" s="2">
        <v>46264</v>
      </c>
      <c r="F3" s="1" t="s">
        <v>35</v>
      </c>
      <c r="G3" s="3">
        <v>46264.006944444402</v>
      </c>
      <c r="H3" s="1" t="s">
        <v>36</v>
      </c>
      <c r="I3" s="2">
        <v>46264</v>
      </c>
      <c r="J3" s="3">
        <v>46264.006944444402</v>
      </c>
      <c r="K3" s="1" t="s">
        <v>37</v>
      </c>
      <c r="L3" s="1" t="s">
        <v>38</v>
      </c>
      <c r="M3" s="1" t="s">
        <v>39</v>
      </c>
      <c r="N3" s="1" t="s">
        <v>33</v>
      </c>
      <c r="P3" s="1" t="s">
        <v>33</v>
      </c>
      <c r="Q3" s="1" t="s">
        <v>42</v>
      </c>
      <c r="R3" s="1" t="s">
        <v>43</v>
      </c>
      <c r="S3" s="4">
        <v>36</v>
      </c>
      <c r="T3" s="4">
        <v>36</v>
      </c>
      <c r="U3" s="4">
        <v>36</v>
      </c>
      <c r="Y3" s="1" t="s">
        <v>33</v>
      </c>
      <c r="AC3" s="1" t="s">
        <v>33</v>
      </c>
      <c r="AE3" s="1" t="s">
        <v>33</v>
      </c>
    </row>
    <row r="4" spans="1:31" x14ac:dyDescent="0.25">
      <c r="A4" s="1" t="s">
        <v>31</v>
      </c>
      <c r="B4" s="1" t="s">
        <v>32</v>
      </c>
      <c r="C4" s="1" t="s">
        <v>33</v>
      </c>
      <c r="D4" s="1" t="s">
        <v>34</v>
      </c>
      <c r="E4" s="2">
        <v>46264</v>
      </c>
      <c r="F4" s="1" t="s">
        <v>35</v>
      </c>
      <c r="G4" s="3">
        <v>46264.006944444402</v>
      </c>
      <c r="H4" s="1" t="s">
        <v>36</v>
      </c>
      <c r="I4" s="2">
        <v>46264</v>
      </c>
      <c r="J4" s="3">
        <v>46264.006944444402</v>
      </c>
      <c r="K4" s="1" t="s">
        <v>37</v>
      </c>
      <c r="L4" s="1" t="s">
        <v>38</v>
      </c>
      <c r="M4" s="1" t="s">
        <v>39</v>
      </c>
      <c r="N4" s="1" t="s">
        <v>33</v>
      </c>
      <c r="P4" s="1" t="s">
        <v>33</v>
      </c>
      <c r="Q4" s="1" t="s">
        <v>44</v>
      </c>
      <c r="R4" s="1" t="s">
        <v>45</v>
      </c>
      <c r="S4" s="4">
        <v>202.5</v>
      </c>
      <c r="T4" s="4">
        <v>202.5</v>
      </c>
      <c r="U4" s="4">
        <v>202.5</v>
      </c>
      <c r="Y4" s="1" t="s">
        <v>33</v>
      </c>
      <c r="AC4" s="1" t="s">
        <v>33</v>
      </c>
      <c r="AE4" s="1" t="s">
        <v>33</v>
      </c>
    </row>
    <row r="5" spans="1:31" x14ac:dyDescent="0.25">
      <c r="A5" s="1" t="s">
        <v>31</v>
      </c>
      <c r="B5" s="1" t="s">
        <v>32</v>
      </c>
      <c r="C5" s="1" t="s">
        <v>33</v>
      </c>
      <c r="D5" s="1" t="s">
        <v>34</v>
      </c>
      <c r="E5" s="2">
        <v>46264</v>
      </c>
      <c r="F5" s="1" t="s">
        <v>35</v>
      </c>
      <c r="G5" s="3">
        <v>46264.006944444402</v>
      </c>
      <c r="H5" s="1" t="s">
        <v>36</v>
      </c>
      <c r="I5" s="2">
        <v>46264</v>
      </c>
      <c r="J5" s="3">
        <v>46264.006944444402</v>
      </c>
      <c r="K5" s="1" t="s">
        <v>37</v>
      </c>
      <c r="L5" s="1" t="s">
        <v>38</v>
      </c>
      <c r="M5" s="1" t="s">
        <v>39</v>
      </c>
      <c r="N5" s="1" t="s">
        <v>33</v>
      </c>
      <c r="P5" s="1" t="s">
        <v>33</v>
      </c>
      <c r="Q5" s="1" t="s">
        <v>46</v>
      </c>
      <c r="R5" s="1" t="s">
        <v>47</v>
      </c>
      <c r="S5" s="4">
        <v>4.4000000000000004</v>
      </c>
      <c r="T5" s="4">
        <v>4.4000000000000004</v>
      </c>
      <c r="U5" s="4">
        <v>4.4000000000000004</v>
      </c>
      <c r="Y5" s="1" t="s">
        <v>33</v>
      </c>
      <c r="AC5" s="1" t="s">
        <v>33</v>
      </c>
      <c r="AE5" s="1" t="s">
        <v>33</v>
      </c>
    </row>
    <row r="6" spans="1:31" x14ac:dyDescent="0.25">
      <c r="A6" s="1" t="s">
        <v>31</v>
      </c>
      <c r="B6" s="1" t="s">
        <v>32</v>
      </c>
      <c r="C6" s="1" t="s">
        <v>33</v>
      </c>
      <c r="D6" s="1" t="s">
        <v>34</v>
      </c>
      <c r="E6" s="2">
        <v>46264</v>
      </c>
      <c r="F6" s="1" t="s">
        <v>35</v>
      </c>
      <c r="G6" s="3">
        <v>46264.006944444402</v>
      </c>
      <c r="H6" s="1" t="s">
        <v>36</v>
      </c>
      <c r="I6" s="2">
        <v>46264</v>
      </c>
      <c r="J6" s="3">
        <v>46264.006944444402</v>
      </c>
      <c r="K6" s="1" t="s">
        <v>37</v>
      </c>
      <c r="L6" s="1" t="s">
        <v>38</v>
      </c>
      <c r="M6" s="1" t="s">
        <v>39</v>
      </c>
      <c r="N6" s="1" t="s">
        <v>33</v>
      </c>
      <c r="P6" s="1" t="s">
        <v>33</v>
      </c>
      <c r="Q6" s="1" t="s">
        <v>48</v>
      </c>
      <c r="R6" s="1" t="s">
        <v>49</v>
      </c>
      <c r="S6" s="4">
        <v>13</v>
      </c>
      <c r="V6" s="4">
        <v>-13</v>
      </c>
      <c r="W6" s="1" t="s">
        <v>50</v>
      </c>
      <c r="X6" s="1" t="s">
        <v>51</v>
      </c>
      <c r="Y6" s="1" t="s">
        <v>33</v>
      </c>
      <c r="AC6" s="1" t="s">
        <v>33</v>
      </c>
      <c r="AE6" s="1" t="s">
        <v>33</v>
      </c>
    </row>
    <row r="7" spans="1:31" x14ac:dyDescent="0.25">
      <c r="A7" s="1" t="s">
        <v>31</v>
      </c>
      <c r="B7" s="1" t="s">
        <v>32</v>
      </c>
      <c r="C7" s="1" t="s">
        <v>33</v>
      </c>
      <c r="D7" s="1" t="s">
        <v>34</v>
      </c>
      <c r="E7" s="2">
        <v>46264</v>
      </c>
      <c r="F7" s="1" t="s">
        <v>35</v>
      </c>
      <c r="G7" s="3">
        <v>46264.006944444402</v>
      </c>
      <c r="H7" s="1" t="s">
        <v>36</v>
      </c>
      <c r="I7" s="2">
        <v>46264</v>
      </c>
      <c r="J7" s="3">
        <v>46264.006944444402</v>
      </c>
      <c r="K7" s="1" t="s">
        <v>37</v>
      </c>
      <c r="L7" s="1" t="s">
        <v>38</v>
      </c>
      <c r="M7" s="1" t="s">
        <v>39</v>
      </c>
      <c r="N7" s="1" t="s">
        <v>33</v>
      </c>
      <c r="P7" s="1" t="s">
        <v>33</v>
      </c>
      <c r="Q7" s="1" t="s">
        <v>52</v>
      </c>
      <c r="R7" s="1" t="s">
        <v>53</v>
      </c>
      <c r="S7" s="4">
        <v>54</v>
      </c>
      <c r="V7" s="4">
        <v>-54</v>
      </c>
      <c r="W7" s="1" t="s">
        <v>50</v>
      </c>
      <c r="X7" s="1" t="s">
        <v>51</v>
      </c>
      <c r="Y7" s="1" t="s">
        <v>33</v>
      </c>
      <c r="AC7" s="1" t="s">
        <v>33</v>
      </c>
      <c r="AD7" s="1" t="s">
        <v>54</v>
      </c>
      <c r="AE7" s="1" t="s">
        <v>33</v>
      </c>
    </row>
    <row r="8" spans="1:31" x14ac:dyDescent="0.25">
      <c r="A8" s="1" t="s">
        <v>31</v>
      </c>
      <c r="B8" s="1" t="s">
        <v>32</v>
      </c>
      <c r="C8" s="1" t="s">
        <v>33</v>
      </c>
      <c r="D8" s="1" t="s">
        <v>34</v>
      </c>
      <c r="E8" s="2">
        <v>46264</v>
      </c>
      <c r="F8" s="1" t="s">
        <v>35</v>
      </c>
      <c r="G8" s="3">
        <v>46264.006944444402</v>
      </c>
      <c r="H8" s="1" t="s">
        <v>36</v>
      </c>
      <c r="I8" s="2">
        <v>46264</v>
      </c>
      <c r="J8" s="3">
        <v>46264.006944444402</v>
      </c>
      <c r="K8" s="1" t="s">
        <v>37</v>
      </c>
      <c r="L8" s="1" t="s">
        <v>38</v>
      </c>
      <c r="M8" s="1" t="s">
        <v>39</v>
      </c>
      <c r="N8" s="1" t="s">
        <v>33</v>
      </c>
      <c r="P8" s="1" t="s">
        <v>33</v>
      </c>
      <c r="Q8" s="1" t="s">
        <v>55</v>
      </c>
      <c r="R8" s="1" t="s">
        <v>56</v>
      </c>
      <c r="S8" s="4">
        <v>7.2</v>
      </c>
      <c r="T8" s="4">
        <v>7.2</v>
      </c>
      <c r="U8" s="4">
        <v>7.2</v>
      </c>
      <c r="Y8" s="1" t="s">
        <v>33</v>
      </c>
      <c r="AC8" s="1" t="s">
        <v>33</v>
      </c>
      <c r="AE8" s="1" t="s">
        <v>33</v>
      </c>
    </row>
    <row r="9" spans="1:31" x14ac:dyDescent="0.25">
      <c r="A9" s="1" t="s">
        <v>31</v>
      </c>
      <c r="B9" s="1" t="s">
        <v>32</v>
      </c>
      <c r="C9" s="1" t="s">
        <v>33</v>
      </c>
      <c r="D9" s="1" t="s">
        <v>34</v>
      </c>
      <c r="E9" s="2">
        <v>46264</v>
      </c>
      <c r="F9" s="1" t="s">
        <v>35</v>
      </c>
      <c r="G9" s="3">
        <v>46264.006944444402</v>
      </c>
      <c r="H9" s="1" t="s">
        <v>36</v>
      </c>
      <c r="I9" s="2">
        <v>46264</v>
      </c>
      <c r="J9" s="3">
        <v>46264.006944444402</v>
      </c>
      <c r="K9" s="1" t="s">
        <v>37</v>
      </c>
      <c r="L9" s="1" t="s">
        <v>38</v>
      </c>
      <c r="M9" s="1" t="s">
        <v>39</v>
      </c>
      <c r="N9" s="1" t="s">
        <v>33</v>
      </c>
      <c r="P9" s="1" t="s">
        <v>33</v>
      </c>
      <c r="Q9" s="1" t="s">
        <v>57</v>
      </c>
      <c r="R9" s="1" t="s">
        <v>58</v>
      </c>
      <c r="S9" s="4">
        <v>11.2</v>
      </c>
      <c r="T9" s="4">
        <v>11.2</v>
      </c>
      <c r="U9" s="4">
        <v>11.2</v>
      </c>
      <c r="Y9" s="1" t="s">
        <v>33</v>
      </c>
      <c r="AC9" s="1" t="s">
        <v>33</v>
      </c>
      <c r="AE9" s="1" t="s">
        <v>33</v>
      </c>
    </row>
    <row r="10" spans="1:31" x14ac:dyDescent="0.25">
      <c r="A10" s="1" t="s">
        <v>31</v>
      </c>
      <c r="B10" s="1" t="s">
        <v>32</v>
      </c>
      <c r="C10" s="1" t="s">
        <v>33</v>
      </c>
      <c r="D10" s="1" t="s">
        <v>34</v>
      </c>
      <c r="E10" s="2">
        <v>46264</v>
      </c>
      <c r="F10" s="1" t="s">
        <v>35</v>
      </c>
      <c r="G10" s="3">
        <v>46264.006944444402</v>
      </c>
      <c r="H10" s="1" t="s">
        <v>36</v>
      </c>
      <c r="I10" s="2">
        <v>46264</v>
      </c>
      <c r="J10" s="3">
        <v>46264.006944444402</v>
      </c>
      <c r="K10" s="1" t="s">
        <v>37</v>
      </c>
      <c r="L10" s="1" t="s">
        <v>38</v>
      </c>
      <c r="M10" s="1" t="s">
        <v>39</v>
      </c>
      <c r="N10" s="1" t="s">
        <v>33</v>
      </c>
      <c r="P10" s="1" t="s">
        <v>33</v>
      </c>
      <c r="Q10" s="1" t="s">
        <v>59</v>
      </c>
      <c r="R10" s="1" t="s">
        <v>60</v>
      </c>
      <c r="S10" s="4">
        <v>31.5</v>
      </c>
      <c r="V10" s="4">
        <v>-31.5</v>
      </c>
      <c r="W10" s="1" t="s">
        <v>61</v>
      </c>
      <c r="Y10" s="1" t="s">
        <v>33</v>
      </c>
      <c r="AC10" s="1" t="s">
        <v>33</v>
      </c>
      <c r="AE10" s="1" t="s">
        <v>33</v>
      </c>
    </row>
    <row r="11" spans="1:31" x14ac:dyDescent="0.25">
      <c r="A11" s="1" t="s">
        <v>31</v>
      </c>
      <c r="B11" s="1" t="s">
        <v>32</v>
      </c>
      <c r="C11" s="1" t="s">
        <v>33</v>
      </c>
      <c r="D11" s="1" t="s">
        <v>34</v>
      </c>
      <c r="E11" s="2">
        <v>46264</v>
      </c>
      <c r="F11" s="1" t="s">
        <v>35</v>
      </c>
      <c r="G11" s="3">
        <v>46264.006944444402</v>
      </c>
      <c r="H11" s="1" t="s">
        <v>36</v>
      </c>
      <c r="I11" s="2">
        <v>46264</v>
      </c>
      <c r="J11" s="3">
        <v>46264.006944444402</v>
      </c>
      <c r="K11" s="1" t="s">
        <v>37</v>
      </c>
      <c r="L11" s="1" t="s">
        <v>38</v>
      </c>
      <c r="M11" s="1" t="s">
        <v>39</v>
      </c>
      <c r="N11" s="1" t="s">
        <v>33</v>
      </c>
      <c r="P11" s="1" t="s">
        <v>33</v>
      </c>
      <c r="Q11" s="1" t="s">
        <v>62</v>
      </c>
      <c r="R11" s="1" t="s">
        <v>63</v>
      </c>
      <c r="S11" s="4">
        <v>120</v>
      </c>
      <c r="T11" s="4">
        <v>120</v>
      </c>
      <c r="U11" s="4">
        <v>120</v>
      </c>
      <c r="Y11" s="1" t="s">
        <v>33</v>
      </c>
      <c r="AC11" s="1" t="s">
        <v>33</v>
      </c>
      <c r="AE11" s="1" t="s">
        <v>33</v>
      </c>
    </row>
    <row r="12" spans="1:31" x14ac:dyDescent="0.25">
      <c r="A12" s="1" t="s">
        <v>31</v>
      </c>
      <c r="B12" s="1" t="s">
        <v>32</v>
      </c>
      <c r="C12" s="1" t="s">
        <v>33</v>
      </c>
      <c r="D12" s="1" t="s">
        <v>34</v>
      </c>
      <c r="E12" s="2">
        <v>46264</v>
      </c>
      <c r="F12" s="1" t="s">
        <v>35</v>
      </c>
      <c r="G12" s="3">
        <v>46264.006944444402</v>
      </c>
      <c r="H12" s="1" t="s">
        <v>36</v>
      </c>
      <c r="I12" s="2">
        <v>46264</v>
      </c>
      <c r="J12" s="3">
        <v>46264.006944444402</v>
      </c>
      <c r="K12" s="1" t="s">
        <v>37</v>
      </c>
      <c r="L12" s="1" t="s">
        <v>38</v>
      </c>
      <c r="M12" s="1" t="s">
        <v>39</v>
      </c>
      <c r="N12" s="1" t="s">
        <v>33</v>
      </c>
      <c r="P12" s="1" t="s">
        <v>33</v>
      </c>
      <c r="Q12" s="1" t="s">
        <v>64</v>
      </c>
      <c r="R12" s="1" t="s">
        <v>65</v>
      </c>
      <c r="S12" s="4">
        <v>72</v>
      </c>
      <c r="V12" s="4">
        <v>-72</v>
      </c>
      <c r="W12" s="1" t="s">
        <v>50</v>
      </c>
      <c r="X12" s="1" t="s">
        <v>51</v>
      </c>
      <c r="Y12" s="1" t="s">
        <v>33</v>
      </c>
      <c r="AC12" s="1" t="s">
        <v>33</v>
      </c>
      <c r="AD12" s="1" t="s">
        <v>54</v>
      </c>
      <c r="AE12" s="1" t="s">
        <v>33</v>
      </c>
    </row>
    <row r="13" spans="1:31" x14ac:dyDescent="0.25">
      <c r="A13" s="1" t="s">
        <v>31</v>
      </c>
      <c r="B13" s="1" t="s">
        <v>32</v>
      </c>
      <c r="C13" s="1" t="s">
        <v>33</v>
      </c>
      <c r="D13" s="1" t="s">
        <v>34</v>
      </c>
      <c r="E13" s="2">
        <v>46264</v>
      </c>
      <c r="F13" s="1" t="s">
        <v>35</v>
      </c>
      <c r="G13" s="3">
        <v>46264.006944444402</v>
      </c>
      <c r="H13" s="1" t="s">
        <v>36</v>
      </c>
      <c r="I13" s="2">
        <v>46264</v>
      </c>
      <c r="J13" s="3">
        <v>46264.006944444402</v>
      </c>
      <c r="K13" s="1" t="s">
        <v>37</v>
      </c>
      <c r="L13" s="1" t="s">
        <v>38</v>
      </c>
      <c r="M13" s="1" t="s">
        <v>39</v>
      </c>
      <c r="N13" s="1" t="s">
        <v>33</v>
      </c>
      <c r="P13" s="1" t="s">
        <v>33</v>
      </c>
      <c r="Q13" s="1" t="s">
        <v>66</v>
      </c>
      <c r="R13" s="1" t="s">
        <v>67</v>
      </c>
      <c r="S13" s="4">
        <v>24</v>
      </c>
      <c r="T13" s="4">
        <v>24</v>
      </c>
      <c r="U13" s="4">
        <v>24</v>
      </c>
      <c r="Y13" s="1" t="s">
        <v>33</v>
      </c>
      <c r="AC13" s="1" t="s">
        <v>33</v>
      </c>
      <c r="AE13" s="1" t="s">
        <v>33</v>
      </c>
    </row>
    <row r="14" spans="1:31" x14ac:dyDescent="0.25">
      <c r="A14" s="1" t="s">
        <v>31</v>
      </c>
      <c r="B14" s="1" t="s">
        <v>32</v>
      </c>
      <c r="C14" s="1" t="s">
        <v>33</v>
      </c>
      <c r="D14" s="1" t="s">
        <v>34</v>
      </c>
      <c r="E14" s="2">
        <v>46264</v>
      </c>
      <c r="F14" s="1" t="s">
        <v>35</v>
      </c>
      <c r="G14" s="3">
        <v>46264.006944444402</v>
      </c>
      <c r="H14" s="1" t="s">
        <v>36</v>
      </c>
      <c r="I14" s="2">
        <v>46264</v>
      </c>
      <c r="J14" s="3">
        <v>46264.006944444402</v>
      </c>
      <c r="K14" s="1" t="s">
        <v>37</v>
      </c>
      <c r="L14" s="1" t="s">
        <v>38</v>
      </c>
      <c r="M14" s="1" t="s">
        <v>39</v>
      </c>
      <c r="N14" s="1" t="s">
        <v>33</v>
      </c>
      <c r="P14" s="1" t="s">
        <v>33</v>
      </c>
      <c r="Q14" s="1" t="s">
        <v>68</v>
      </c>
      <c r="R14" s="1" t="s">
        <v>69</v>
      </c>
      <c r="S14" s="4">
        <v>52</v>
      </c>
      <c r="T14" s="4">
        <v>52</v>
      </c>
      <c r="U14" s="4">
        <v>52</v>
      </c>
      <c r="Y14" s="1" t="s">
        <v>33</v>
      </c>
      <c r="AC14" s="1" t="s">
        <v>33</v>
      </c>
      <c r="AE14" s="1" t="s">
        <v>33</v>
      </c>
    </row>
    <row r="15" spans="1:31" x14ac:dyDescent="0.25">
      <c r="A15" s="1" t="s">
        <v>31</v>
      </c>
      <c r="B15" s="1" t="s">
        <v>32</v>
      </c>
      <c r="C15" s="1" t="s">
        <v>33</v>
      </c>
      <c r="D15" s="1" t="s">
        <v>34</v>
      </c>
      <c r="E15" s="2">
        <v>46264</v>
      </c>
      <c r="F15" s="1" t="s">
        <v>35</v>
      </c>
      <c r="G15" s="3">
        <v>46264.006944444402</v>
      </c>
      <c r="H15" s="1" t="s">
        <v>36</v>
      </c>
      <c r="I15" s="2">
        <v>46264</v>
      </c>
      <c r="J15" s="3">
        <v>46264.006944444402</v>
      </c>
      <c r="K15" s="1" t="s">
        <v>37</v>
      </c>
      <c r="L15" s="1" t="s">
        <v>38</v>
      </c>
      <c r="M15" s="1" t="s">
        <v>39</v>
      </c>
      <c r="N15" s="1" t="s">
        <v>33</v>
      </c>
      <c r="P15" s="1" t="s">
        <v>33</v>
      </c>
      <c r="Q15" s="1" t="s">
        <v>70</v>
      </c>
      <c r="R15" s="1" t="s">
        <v>71</v>
      </c>
      <c r="S15" s="4">
        <v>50.4</v>
      </c>
      <c r="V15" s="4">
        <v>-50.4</v>
      </c>
      <c r="W15" s="1" t="s">
        <v>50</v>
      </c>
      <c r="X15" s="1" t="s">
        <v>51</v>
      </c>
      <c r="Y15" s="1" t="s">
        <v>33</v>
      </c>
      <c r="AC15" s="1" t="s">
        <v>33</v>
      </c>
      <c r="AD15" s="1" t="s">
        <v>54</v>
      </c>
      <c r="AE15" s="1" t="s">
        <v>33</v>
      </c>
    </row>
    <row r="16" spans="1:31" x14ac:dyDescent="0.25">
      <c r="A16" s="1" t="s">
        <v>31</v>
      </c>
      <c r="B16" s="1" t="s">
        <v>32</v>
      </c>
      <c r="C16" s="1" t="s">
        <v>33</v>
      </c>
      <c r="D16" s="1" t="s">
        <v>34</v>
      </c>
      <c r="E16" s="2">
        <v>46264</v>
      </c>
      <c r="F16" s="1" t="s">
        <v>35</v>
      </c>
      <c r="G16" s="3">
        <v>46264.006944444402</v>
      </c>
      <c r="H16" s="1" t="s">
        <v>36</v>
      </c>
      <c r="I16" s="2">
        <v>46264</v>
      </c>
      <c r="J16" s="3">
        <v>46264.006944444402</v>
      </c>
      <c r="K16" s="1" t="s">
        <v>37</v>
      </c>
      <c r="L16" s="1" t="s">
        <v>38</v>
      </c>
      <c r="M16" s="1" t="s">
        <v>39</v>
      </c>
      <c r="N16" s="1" t="s">
        <v>33</v>
      </c>
      <c r="P16" s="1" t="s">
        <v>33</v>
      </c>
      <c r="Q16" s="1" t="s">
        <v>72</v>
      </c>
      <c r="R16" s="1" t="s">
        <v>73</v>
      </c>
      <c r="S16" s="4">
        <v>31.5</v>
      </c>
      <c r="V16" s="4">
        <v>-31.5</v>
      </c>
      <c r="W16" s="1" t="s">
        <v>50</v>
      </c>
      <c r="X16" s="1" t="s">
        <v>51</v>
      </c>
      <c r="Y16" s="1" t="s">
        <v>33</v>
      </c>
      <c r="AC16" s="1" t="s">
        <v>33</v>
      </c>
      <c r="AD16" s="1" t="s">
        <v>74</v>
      </c>
      <c r="AE16" s="1" t="s">
        <v>33</v>
      </c>
    </row>
    <row r="17" spans="1:31" x14ac:dyDescent="0.25">
      <c r="A17" s="1" t="s">
        <v>31</v>
      </c>
      <c r="B17" s="1" t="s">
        <v>32</v>
      </c>
      <c r="C17" s="1" t="s">
        <v>33</v>
      </c>
      <c r="D17" s="1" t="s">
        <v>34</v>
      </c>
      <c r="E17" s="2">
        <v>46264</v>
      </c>
      <c r="F17" s="1" t="s">
        <v>35</v>
      </c>
      <c r="G17" s="3">
        <v>46264.006944444402</v>
      </c>
      <c r="H17" s="1" t="s">
        <v>36</v>
      </c>
      <c r="I17" s="2">
        <v>46264</v>
      </c>
      <c r="J17" s="3">
        <v>46264.006944444402</v>
      </c>
      <c r="K17" s="1" t="s">
        <v>37</v>
      </c>
      <c r="L17" s="1" t="s">
        <v>38</v>
      </c>
      <c r="M17" s="1" t="s">
        <v>39</v>
      </c>
      <c r="N17" s="1" t="s">
        <v>33</v>
      </c>
      <c r="P17" s="1" t="s">
        <v>33</v>
      </c>
      <c r="Q17" s="1" t="s">
        <v>75</v>
      </c>
      <c r="R17" s="1" t="s">
        <v>76</v>
      </c>
      <c r="S17" s="4">
        <v>108</v>
      </c>
      <c r="V17" s="4">
        <v>-108</v>
      </c>
      <c r="W17" s="1" t="s">
        <v>50</v>
      </c>
      <c r="X17" s="1" t="s">
        <v>51</v>
      </c>
      <c r="Y17" s="1" t="s">
        <v>33</v>
      </c>
      <c r="AC17" s="1" t="s">
        <v>33</v>
      </c>
      <c r="AD17" s="1" t="s">
        <v>74</v>
      </c>
      <c r="AE17" s="1" t="s">
        <v>33</v>
      </c>
    </row>
    <row r="18" spans="1:31" x14ac:dyDescent="0.25">
      <c r="A18" s="1" t="s">
        <v>31</v>
      </c>
      <c r="B18" s="1" t="s">
        <v>32</v>
      </c>
      <c r="C18" s="1" t="s">
        <v>33</v>
      </c>
      <c r="D18" s="1" t="s">
        <v>34</v>
      </c>
      <c r="E18" s="2">
        <v>46264</v>
      </c>
      <c r="F18" s="1" t="s">
        <v>35</v>
      </c>
      <c r="G18" s="3">
        <v>46264.006944444402</v>
      </c>
      <c r="H18" s="1" t="s">
        <v>36</v>
      </c>
      <c r="I18" s="2">
        <v>46264</v>
      </c>
      <c r="J18" s="3">
        <v>46264.006944444402</v>
      </c>
      <c r="K18" s="1" t="s">
        <v>37</v>
      </c>
      <c r="L18" s="1" t="s">
        <v>38</v>
      </c>
      <c r="M18" s="1" t="s">
        <v>39</v>
      </c>
      <c r="N18" s="1" t="s">
        <v>33</v>
      </c>
      <c r="P18" s="1" t="s">
        <v>33</v>
      </c>
      <c r="Q18" s="1" t="s">
        <v>77</v>
      </c>
      <c r="R18" s="1" t="s">
        <v>78</v>
      </c>
      <c r="S18" s="4">
        <v>15.3</v>
      </c>
      <c r="T18" s="4">
        <v>15.3</v>
      </c>
      <c r="U18" s="4">
        <v>15.3</v>
      </c>
      <c r="Y18" s="1" t="s">
        <v>33</v>
      </c>
      <c r="AC18" s="1" t="s">
        <v>33</v>
      </c>
      <c r="AE18" s="1" t="s">
        <v>33</v>
      </c>
    </row>
    <row r="19" spans="1:31" x14ac:dyDescent="0.25">
      <c r="A19" s="1" t="s">
        <v>31</v>
      </c>
      <c r="B19" s="1" t="s">
        <v>32</v>
      </c>
      <c r="C19" s="1" t="s">
        <v>33</v>
      </c>
      <c r="D19" s="1" t="s">
        <v>34</v>
      </c>
      <c r="E19" s="2">
        <v>46264</v>
      </c>
      <c r="F19" s="1" t="s">
        <v>35</v>
      </c>
      <c r="G19" s="3">
        <v>46264.006944444402</v>
      </c>
      <c r="H19" s="1" t="s">
        <v>36</v>
      </c>
      <c r="I19" s="2">
        <v>46264</v>
      </c>
      <c r="J19" s="3">
        <v>46264.006944444402</v>
      </c>
      <c r="K19" s="1" t="s">
        <v>37</v>
      </c>
      <c r="L19" s="1" t="s">
        <v>38</v>
      </c>
      <c r="M19" s="1" t="s">
        <v>39</v>
      </c>
      <c r="N19" s="1" t="s">
        <v>33</v>
      </c>
      <c r="P19" s="1" t="s">
        <v>33</v>
      </c>
      <c r="Q19" s="1" t="s">
        <v>79</v>
      </c>
      <c r="R19" s="1" t="s">
        <v>80</v>
      </c>
      <c r="S19" s="4">
        <v>36</v>
      </c>
      <c r="T19" s="4">
        <v>36</v>
      </c>
      <c r="U19" s="4">
        <v>36</v>
      </c>
      <c r="Y19" s="1" t="s">
        <v>33</v>
      </c>
      <c r="AC19" s="1" t="s">
        <v>33</v>
      </c>
      <c r="AE19" s="1" t="s">
        <v>33</v>
      </c>
    </row>
    <row r="20" spans="1:31" x14ac:dyDescent="0.25">
      <c r="A20" s="1" t="s">
        <v>31</v>
      </c>
      <c r="B20" s="1" t="s">
        <v>32</v>
      </c>
      <c r="C20" s="1" t="s">
        <v>33</v>
      </c>
      <c r="D20" s="1" t="s">
        <v>34</v>
      </c>
      <c r="E20" s="2">
        <v>46264</v>
      </c>
      <c r="F20" s="1" t="s">
        <v>35</v>
      </c>
      <c r="G20" s="3">
        <v>46264.006944444402</v>
      </c>
      <c r="H20" s="1" t="s">
        <v>36</v>
      </c>
      <c r="I20" s="2">
        <v>46264</v>
      </c>
      <c r="J20" s="3">
        <v>46264.006944444402</v>
      </c>
      <c r="K20" s="1" t="s">
        <v>37</v>
      </c>
      <c r="L20" s="1" t="s">
        <v>38</v>
      </c>
      <c r="M20" s="1" t="s">
        <v>39</v>
      </c>
      <c r="N20" s="1" t="s">
        <v>33</v>
      </c>
      <c r="P20" s="1" t="s">
        <v>33</v>
      </c>
      <c r="Q20" s="1" t="s">
        <v>81</v>
      </c>
      <c r="R20" s="1" t="s">
        <v>82</v>
      </c>
      <c r="S20" s="4">
        <v>10.5</v>
      </c>
      <c r="T20" s="4">
        <v>10.5</v>
      </c>
      <c r="U20" s="4">
        <v>10.5</v>
      </c>
      <c r="Y20" s="1" t="s">
        <v>33</v>
      </c>
      <c r="AC20" s="1" t="s">
        <v>33</v>
      </c>
      <c r="AE20" s="1" t="s">
        <v>33</v>
      </c>
    </row>
    <row r="21" spans="1:31" x14ac:dyDescent="0.25">
      <c r="A21" s="1" t="s">
        <v>31</v>
      </c>
      <c r="B21" s="1" t="s">
        <v>32</v>
      </c>
      <c r="C21" s="1" t="s">
        <v>33</v>
      </c>
      <c r="D21" s="1" t="s">
        <v>34</v>
      </c>
      <c r="E21" s="2">
        <v>46264</v>
      </c>
      <c r="F21" s="1" t="s">
        <v>35</v>
      </c>
      <c r="G21" s="3">
        <v>46264.006944444402</v>
      </c>
      <c r="H21" s="1" t="s">
        <v>36</v>
      </c>
      <c r="I21" s="2">
        <v>46264</v>
      </c>
      <c r="J21" s="3">
        <v>46264.006944444402</v>
      </c>
      <c r="K21" s="1" t="s">
        <v>37</v>
      </c>
      <c r="L21" s="1" t="s">
        <v>38</v>
      </c>
      <c r="M21" s="1" t="s">
        <v>39</v>
      </c>
      <c r="N21" s="1" t="s">
        <v>33</v>
      </c>
      <c r="P21" s="1" t="s">
        <v>33</v>
      </c>
      <c r="Q21" s="1" t="s">
        <v>83</v>
      </c>
      <c r="R21" s="1" t="s">
        <v>84</v>
      </c>
      <c r="S21" s="4">
        <v>120</v>
      </c>
      <c r="T21" s="4">
        <v>120</v>
      </c>
      <c r="U21" s="4">
        <v>120</v>
      </c>
      <c r="Y21" s="1" t="s">
        <v>33</v>
      </c>
      <c r="AC21" s="1" t="s">
        <v>33</v>
      </c>
      <c r="AE21" s="1" t="s">
        <v>33</v>
      </c>
    </row>
    <row r="22" spans="1:31" x14ac:dyDescent="0.25">
      <c r="A22" s="1" t="s">
        <v>31</v>
      </c>
      <c r="B22" s="1" t="s">
        <v>32</v>
      </c>
      <c r="C22" s="1" t="s">
        <v>33</v>
      </c>
      <c r="D22" s="1" t="s">
        <v>34</v>
      </c>
      <c r="E22" s="2">
        <v>46264</v>
      </c>
      <c r="F22" s="1" t="s">
        <v>35</v>
      </c>
      <c r="G22" s="3">
        <v>46264.006944444402</v>
      </c>
      <c r="H22" s="1" t="s">
        <v>36</v>
      </c>
      <c r="I22" s="2">
        <v>46264</v>
      </c>
      <c r="J22" s="3">
        <v>46264.006944444402</v>
      </c>
      <c r="K22" s="1" t="s">
        <v>37</v>
      </c>
      <c r="L22" s="1" t="s">
        <v>38</v>
      </c>
      <c r="M22" s="1" t="s">
        <v>39</v>
      </c>
      <c r="N22" s="1" t="s">
        <v>33</v>
      </c>
      <c r="P22" s="1" t="s">
        <v>33</v>
      </c>
      <c r="Q22" s="1" t="s">
        <v>85</v>
      </c>
      <c r="R22" s="1" t="s">
        <v>86</v>
      </c>
      <c r="S22" s="4">
        <v>24</v>
      </c>
      <c r="T22" s="4">
        <v>24</v>
      </c>
      <c r="U22" s="4">
        <v>24</v>
      </c>
      <c r="Y22" s="1" t="s">
        <v>33</v>
      </c>
      <c r="AC22" s="1" t="s">
        <v>33</v>
      </c>
      <c r="AE22" s="1" t="s">
        <v>33</v>
      </c>
    </row>
    <row r="23" spans="1:31" x14ac:dyDescent="0.25">
      <c r="A23" s="1" t="s">
        <v>31</v>
      </c>
      <c r="B23" s="1" t="s">
        <v>32</v>
      </c>
      <c r="C23" s="1" t="s">
        <v>33</v>
      </c>
      <c r="D23" s="1" t="s">
        <v>34</v>
      </c>
      <c r="E23" s="2">
        <v>46264</v>
      </c>
      <c r="F23" s="1" t="s">
        <v>35</v>
      </c>
      <c r="G23" s="3">
        <v>46264.006944444402</v>
      </c>
      <c r="H23" s="1" t="s">
        <v>36</v>
      </c>
      <c r="I23" s="2">
        <v>46264</v>
      </c>
      <c r="J23" s="3">
        <v>46264.006944444402</v>
      </c>
      <c r="K23" s="1" t="s">
        <v>37</v>
      </c>
      <c r="L23" s="1" t="s">
        <v>38</v>
      </c>
      <c r="M23" s="1" t="s">
        <v>39</v>
      </c>
      <c r="N23" s="1" t="s">
        <v>33</v>
      </c>
      <c r="P23" s="1" t="s">
        <v>33</v>
      </c>
      <c r="Q23" s="1" t="s">
        <v>87</v>
      </c>
      <c r="R23" s="1" t="s">
        <v>88</v>
      </c>
      <c r="S23" s="4">
        <v>31.5</v>
      </c>
      <c r="T23" s="4">
        <v>31.5</v>
      </c>
      <c r="U23" s="4">
        <v>31.5</v>
      </c>
      <c r="Y23" s="1" t="s">
        <v>33</v>
      </c>
      <c r="AC23" s="1" t="s">
        <v>33</v>
      </c>
      <c r="AE23" s="1" t="s">
        <v>33</v>
      </c>
    </row>
    <row r="24" spans="1:31" x14ac:dyDescent="0.25">
      <c r="A24" s="1" t="s">
        <v>31</v>
      </c>
      <c r="B24" s="1" t="s">
        <v>32</v>
      </c>
      <c r="C24" s="1" t="s">
        <v>33</v>
      </c>
      <c r="D24" s="1" t="s">
        <v>34</v>
      </c>
      <c r="E24" s="2">
        <v>46264</v>
      </c>
      <c r="F24" s="1" t="s">
        <v>35</v>
      </c>
      <c r="G24" s="3">
        <v>46264.006944444402</v>
      </c>
      <c r="H24" s="1" t="s">
        <v>36</v>
      </c>
      <c r="I24" s="2">
        <v>46264</v>
      </c>
      <c r="J24" s="3">
        <v>46264.006944444402</v>
      </c>
      <c r="K24" s="1" t="s">
        <v>37</v>
      </c>
      <c r="L24" s="1" t="s">
        <v>38</v>
      </c>
      <c r="M24" s="1" t="s">
        <v>39</v>
      </c>
      <c r="N24" s="1" t="s">
        <v>33</v>
      </c>
      <c r="P24" s="1" t="s">
        <v>33</v>
      </c>
      <c r="Q24" s="1" t="s">
        <v>89</v>
      </c>
      <c r="R24" s="1" t="s">
        <v>90</v>
      </c>
      <c r="S24" s="4">
        <v>144</v>
      </c>
      <c r="T24" s="4">
        <v>144</v>
      </c>
      <c r="U24" s="4">
        <v>144</v>
      </c>
      <c r="Y24" s="1" t="s">
        <v>33</v>
      </c>
      <c r="AC24" s="1" t="s">
        <v>33</v>
      </c>
      <c r="AE24" s="1" t="s">
        <v>33</v>
      </c>
    </row>
    <row r="25" spans="1:31" x14ac:dyDescent="0.25">
      <c r="A25" s="1" t="s">
        <v>31</v>
      </c>
      <c r="B25" s="1" t="s">
        <v>32</v>
      </c>
      <c r="C25" s="1" t="s">
        <v>33</v>
      </c>
      <c r="D25" s="1" t="s">
        <v>34</v>
      </c>
      <c r="E25" s="2">
        <v>46264</v>
      </c>
      <c r="F25" s="1" t="s">
        <v>35</v>
      </c>
      <c r="G25" s="3">
        <v>46264.006944444402</v>
      </c>
      <c r="H25" s="1" t="s">
        <v>36</v>
      </c>
      <c r="I25" s="2">
        <v>46264</v>
      </c>
      <c r="J25" s="3">
        <v>46264.006944444402</v>
      </c>
      <c r="K25" s="1" t="s">
        <v>37</v>
      </c>
      <c r="L25" s="1" t="s">
        <v>38</v>
      </c>
      <c r="M25" s="1" t="s">
        <v>39</v>
      </c>
      <c r="N25" s="1" t="s">
        <v>33</v>
      </c>
      <c r="P25" s="1" t="s">
        <v>33</v>
      </c>
      <c r="Q25" s="1" t="s">
        <v>91</v>
      </c>
      <c r="R25" s="1" t="s">
        <v>92</v>
      </c>
      <c r="S25" s="4">
        <v>91.2</v>
      </c>
      <c r="T25" s="4">
        <v>91.2</v>
      </c>
      <c r="U25" s="4">
        <v>91.2</v>
      </c>
      <c r="Y25" s="1" t="s">
        <v>33</v>
      </c>
      <c r="AC25" s="1" t="s">
        <v>33</v>
      </c>
      <c r="AE25" s="1" t="s">
        <v>33</v>
      </c>
    </row>
    <row r="26" spans="1:31" x14ac:dyDescent="0.25">
      <c r="A26" s="1" t="s">
        <v>31</v>
      </c>
      <c r="B26" s="1" t="s">
        <v>32</v>
      </c>
      <c r="C26" s="1" t="s">
        <v>33</v>
      </c>
      <c r="D26" s="1" t="s">
        <v>34</v>
      </c>
      <c r="E26" s="2">
        <v>46264</v>
      </c>
      <c r="F26" s="1" t="s">
        <v>35</v>
      </c>
      <c r="G26" s="3">
        <v>46264.006944444402</v>
      </c>
      <c r="H26" s="1" t="s">
        <v>36</v>
      </c>
      <c r="I26" s="2">
        <v>46264</v>
      </c>
      <c r="J26" s="3">
        <v>46264.006944444402</v>
      </c>
      <c r="K26" s="1" t="s">
        <v>37</v>
      </c>
      <c r="L26" s="1" t="s">
        <v>38</v>
      </c>
      <c r="M26" s="1" t="s">
        <v>39</v>
      </c>
      <c r="N26" s="1" t="s">
        <v>33</v>
      </c>
      <c r="P26" s="1" t="s">
        <v>33</v>
      </c>
      <c r="Q26" s="1" t="s">
        <v>93</v>
      </c>
      <c r="R26" s="1" t="s">
        <v>94</v>
      </c>
      <c r="S26" s="4">
        <v>273.60000000000002</v>
      </c>
      <c r="T26" s="4">
        <v>273.60000000000002</v>
      </c>
      <c r="U26" s="4">
        <v>273.60000000000002</v>
      </c>
      <c r="Y26" s="1" t="s">
        <v>33</v>
      </c>
      <c r="AC26" s="1" t="s">
        <v>33</v>
      </c>
      <c r="AE26" s="1" t="s">
        <v>33</v>
      </c>
    </row>
    <row r="27" spans="1:31" x14ac:dyDescent="0.25">
      <c r="A27" s="1" t="s">
        <v>31</v>
      </c>
      <c r="B27" s="1" t="s">
        <v>32</v>
      </c>
      <c r="C27" s="1" t="s">
        <v>33</v>
      </c>
      <c r="D27" s="1" t="s">
        <v>34</v>
      </c>
      <c r="E27" s="2">
        <v>46264</v>
      </c>
      <c r="F27" s="1" t="s">
        <v>35</v>
      </c>
      <c r="G27" s="3">
        <v>46264.006944444402</v>
      </c>
      <c r="H27" s="1" t="s">
        <v>36</v>
      </c>
      <c r="I27" s="2">
        <v>46264</v>
      </c>
      <c r="J27" s="3">
        <v>46264.006944444402</v>
      </c>
      <c r="K27" s="1" t="s">
        <v>37</v>
      </c>
      <c r="L27" s="1" t="s">
        <v>38</v>
      </c>
      <c r="M27" s="1" t="s">
        <v>39</v>
      </c>
      <c r="N27" s="1" t="s">
        <v>33</v>
      </c>
      <c r="P27" s="1" t="s">
        <v>33</v>
      </c>
      <c r="Q27" s="1" t="s">
        <v>95</v>
      </c>
      <c r="R27" s="1" t="s">
        <v>96</v>
      </c>
      <c r="S27" s="4">
        <v>88</v>
      </c>
      <c r="T27" s="4">
        <v>88</v>
      </c>
      <c r="U27" s="4">
        <v>88</v>
      </c>
      <c r="Y27" s="1" t="s">
        <v>33</v>
      </c>
      <c r="AC27" s="1" t="s">
        <v>33</v>
      </c>
      <c r="AE27" s="1" t="s">
        <v>33</v>
      </c>
    </row>
    <row r="28" spans="1:31" x14ac:dyDescent="0.25">
      <c r="A28" s="1" t="s">
        <v>97</v>
      </c>
      <c r="B28" s="1" t="s">
        <v>98</v>
      </c>
      <c r="C28" s="1" t="s">
        <v>33</v>
      </c>
      <c r="D28" s="1" t="s">
        <v>99</v>
      </c>
      <c r="E28" s="2">
        <v>46264</v>
      </c>
      <c r="F28" s="1" t="s">
        <v>100</v>
      </c>
      <c r="G28" s="3">
        <v>46264.666666666701</v>
      </c>
      <c r="H28" s="1" t="s">
        <v>101</v>
      </c>
      <c r="I28" s="2">
        <v>46264</v>
      </c>
      <c r="J28" s="3">
        <v>46264.666666666701</v>
      </c>
      <c r="K28" s="1" t="s">
        <v>102</v>
      </c>
      <c r="L28" s="1" t="s">
        <v>38</v>
      </c>
      <c r="M28" s="1" t="s">
        <v>39</v>
      </c>
      <c r="N28" s="1" t="s">
        <v>33</v>
      </c>
      <c r="P28" s="1" t="s">
        <v>33</v>
      </c>
      <c r="Q28" s="1" t="s">
        <v>44</v>
      </c>
      <c r="R28" s="1" t="s">
        <v>45</v>
      </c>
      <c r="S28" s="4">
        <v>226.8</v>
      </c>
      <c r="T28" s="4">
        <v>226.8</v>
      </c>
      <c r="U28" s="4">
        <v>226.8</v>
      </c>
      <c r="Y28" s="1" t="s">
        <v>33</v>
      </c>
      <c r="AC28" s="1" t="s">
        <v>33</v>
      </c>
      <c r="AE28" s="1" t="s">
        <v>33</v>
      </c>
    </row>
    <row r="29" spans="1:31" x14ac:dyDescent="0.25">
      <c r="A29" s="1" t="s">
        <v>97</v>
      </c>
      <c r="B29" s="1" t="s">
        <v>98</v>
      </c>
      <c r="C29" s="1" t="s">
        <v>33</v>
      </c>
      <c r="D29" s="1" t="s">
        <v>99</v>
      </c>
      <c r="E29" s="2">
        <v>46264</v>
      </c>
      <c r="F29" s="1" t="s">
        <v>100</v>
      </c>
      <c r="G29" s="3">
        <v>46264.666666666701</v>
      </c>
      <c r="H29" s="1" t="s">
        <v>101</v>
      </c>
      <c r="I29" s="2">
        <v>46264</v>
      </c>
      <c r="J29" s="3">
        <v>46264.666666666701</v>
      </c>
      <c r="K29" s="1" t="s">
        <v>102</v>
      </c>
      <c r="L29" s="1" t="s">
        <v>38</v>
      </c>
      <c r="M29" s="1" t="s">
        <v>39</v>
      </c>
      <c r="N29" s="1" t="s">
        <v>33</v>
      </c>
      <c r="P29" s="1" t="s">
        <v>33</v>
      </c>
      <c r="Q29" s="1" t="s">
        <v>103</v>
      </c>
      <c r="R29" s="1" t="s">
        <v>104</v>
      </c>
      <c r="S29" s="4">
        <v>108</v>
      </c>
      <c r="T29" s="4">
        <v>108</v>
      </c>
      <c r="U29" s="4">
        <v>108</v>
      </c>
      <c r="Y29" s="1" t="s">
        <v>33</v>
      </c>
      <c r="AC29" s="1" t="s">
        <v>33</v>
      </c>
      <c r="AE29" s="1" t="s">
        <v>33</v>
      </c>
    </row>
    <row r="30" spans="1:31" x14ac:dyDescent="0.25">
      <c r="A30" s="1" t="s">
        <v>97</v>
      </c>
      <c r="B30" s="1" t="s">
        <v>98</v>
      </c>
      <c r="C30" s="1" t="s">
        <v>33</v>
      </c>
      <c r="D30" s="1" t="s">
        <v>99</v>
      </c>
      <c r="E30" s="2">
        <v>46264</v>
      </c>
      <c r="F30" s="1" t="s">
        <v>100</v>
      </c>
      <c r="G30" s="3">
        <v>46264.666666666701</v>
      </c>
      <c r="H30" s="1" t="s">
        <v>101</v>
      </c>
      <c r="I30" s="2">
        <v>46264</v>
      </c>
      <c r="J30" s="3">
        <v>46264.666666666701</v>
      </c>
      <c r="K30" s="1" t="s">
        <v>102</v>
      </c>
      <c r="L30" s="1" t="s">
        <v>38</v>
      </c>
      <c r="M30" s="1" t="s">
        <v>39</v>
      </c>
      <c r="N30" s="1" t="s">
        <v>33</v>
      </c>
      <c r="P30" s="1" t="s">
        <v>33</v>
      </c>
      <c r="Q30" s="1" t="s">
        <v>105</v>
      </c>
      <c r="R30" s="1" t="s">
        <v>106</v>
      </c>
      <c r="S30" s="4">
        <v>226.8</v>
      </c>
      <c r="T30" s="4">
        <v>226.8</v>
      </c>
      <c r="U30" s="4">
        <v>226.8</v>
      </c>
      <c r="Y30" s="1" t="s">
        <v>33</v>
      </c>
      <c r="AC30" s="1" t="s">
        <v>33</v>
      </c>
      <c r="AE30" s="1" t="s">
        <v>33</v>
      </c>
    </row>
    <row r="31" spans="1:31" x14ac:dyDescent="0.25">
      <c r="A31" s="1" t="s">
        <v>97</v>
      </c>
      <c r="B31" s="1" t="s">
        <v>98</v>
      </c>
      <c r="C31" s="1" t="s">
        <v>33</v>
      </c>
      <c r="D31" s="1" t="s">
        <v>99</v>
      </c>
      <c r="E31" s="2">
        <v>46264</v>
      </c>
      <c r="F31" s="1" t="s">
        <v>100</v>
      </c>
      <c r="G31" s="3">
        <v>46264.666666666701</v>
      </c>
      <c r="H31" s="1" t="s">
        <v>101</v>
      </c>
      <c r="I31" s="2">
        <v>46264</v>
      </c>
      <c r="J31" s="3">
        <v>46264.666666666701</v>
      </c>
      <c r="K31" s="1" t="s">
        <v>102</v>
      </c>
      <c r="L31" s="1" t="s">
        <v>38</v>
      </c>
      <c r="M31" s="1" t="s">
        <v>39</v>
      </c>
      <c r="N31" s="1" t="s">
        <v>33</v>
      </c>
      <c r="P31" s="1" t="s">
        <v>33</v>
      </c>
      <c r="Q31" s="1" t="s">
        <v>107</v>
      </c>
      <c r="R31" s="1" t="s">
        <v>108</v>
      </c>
      <c r="S31" s="4">
        <v>205.2</v>
      </c>
      <c r="V31" s="4">
        <v>-205.2</v>
      </c>
      <c r="W31" s="1" t="s">
        <v>50</v>
      </c>
      <c r="X31" s="1" t="s">
        <v>51</v>
      </c>
      <c r="Y31" s="1" t="s">
        <v>33</v>
      </c>
      <c r="AC31" s="1" t="s">
        <v>33</v>
      </c>
      <c r="AE31" s="1" t="s">
        <v>33</v>
      </c>
    </row>
    <row r="32" spans="1:31" x14ac:dyDescent="0.25">
      <c r="A32" s="1" t="s">
        <v>97</v>
      </c>
      <c r="B32" s="1" t="s">
        <v>98</v>
      </c>
      <c r="C32" s="1" t="s">
        <v>33</v>
      </c>
      <c r="D32" s="1" t="s">
        <v>99</v>
      </c>
      <c r="E32" s="2">
        <v>46264</v>
      </c>
      <c r="F32" s="1" t="s">
        <v>100</v>
      </c>
      <c r="G32" s="3">
        <v>46264.666666666701</v>
      </c>
      <c r="H32" s="1" t="s">
        <v>101</v>
      </c>
      <c r="I32" s="2">
        <v>46264</v>
      </c>
      <c r="J32" s="3">
        <v>46264.666666666701</v>
      </c>
      <c r="K32" s="1" t="s">
        <v>102</v>
      </c>
      <c r="L32" s="1" t="s">
        <v>38</v>
      </c>
      <c r="M32" s="1" t="s">
        <v>39</v>
      </c>
      <c r="N32" s="1" t="s">
        <v>33</v>
      </c>
      <c r="P32" s="1" t="s">
        <v>33</v>
      </c>
      <c r="Q32" s="1" t="s">
        <v>109</v>
      </c>
      <c r="R32" s="1" t="s">
        <v>110</v>
      </c>
      <c r="S32" s="4">
        <v>52.2</v>
      </c>
      <c r="T32" s="4">
        <v>52.2</v>
      </c>
      <c r="U32" s="4">
        <v>52.2</v>
      </c>
      <c r="Y32" s="1" t="s">
        <v>33</v>
      </c>
      <c r="AC32" s="1" t="s">
        <v>33</v>
      </c>
      <c r="AE32" s="1" t="s">
        <v>33</v>
      </c>
    </row>
    <row r="33" spans="1:31" x14ac:dyDescent="0.25">
      <c r="A33" s="1" t="s">
        <v>97</v>
      </c>
      <c r="B33" s="1" t="s">
        <v>98</v>
      </c>
      <c r="C33" s="1" t="s">
        <v>33</v>
      </c>
      <c r="D33" s="1" t="s">
        <v>99</v>
      </c>
      <c r="E33" s="2">
        <v>46264</v>
      </c>
      <c r="F33" s="1" t="s">
        <v>100</v>
      </c>
      <c r="G33" s="3">
        <v>46264.666666666701</v>
      </c>
      <c r="H33" s="1" t="s">
        <v>101</v>
      </c>
      <c r="I33" s="2">
        <v>46264</v>
      </c>
      <c r="J33" s="3">
        <v>46264.666666666701</v>
      </c>
      <c r="K33" s="1" t="s">
        <v>102</v>
      </c>
      <c r="L33" s="1" t="s">
        <v>38</v>
      </c>
      <c r="M33" s="1" t="s">
        <v>39</v>
      </c>
      <c r="N33" s="1" t="s">
        <v>33</v>
      </c>
      <c r="P33" s="1" t="s">
        <v>33</v>
      </c>
      <c r="Q33" s="1" t="s">
        <v>62</v>
      </c>
      <c r="R33" s="1" t="s">
        <v>63</v>
      </c>
      <c r="S33" s="4">
        <v>201.6</v>
      </c>
      <c r="V33" s="4">
        <v>-201.6</v>
      </c>
      <c r="W33" s="1" t="s">
        <v>50</v>
      </c>
      <c r="X33" s="1" t="s">
        <v>51</v>
      </c>
      <c r="Y33" s="1" t="s">
        <v>33</v>
      </c>
      <c r="AC33" s="1" t="s">
        <v>33</v>
      </c>
      <c r="AE33" s="1" t="s">
        <v>33</v>
      </c>
    </row>
    <row r="34" spans="1:31" x14ac:dyDescent="0.25">
      <c r="A34" s="1" t="s">
        <v>97</v>
      </c>
      <c r="B34" s="1" t="s">
        <v>98</v>
      </c>
      <c r="C34" s="1" t="s">
        <v>33</v>
      </c>
      <c r="D34" s="1" t="s">
        <v>99</v>
      </c>
      <c r="E34" s="2">
        <v>46264</v>
      </c>
      <c r="F34" s="1" t="s">
        <v>100</v>
      </c>
      <c r="G34" s="3">
        <v>46264.666666666701</v>
      </c>
      <c r="H34" s="1" t="s">
        <v>101</v>
      </c>
      <c r="I34" s="2">
        <v>46264</v>
      </c>
      <c r="J34" s="3">
        <v>46264.666666666701</v>
      </c>
      <c r="K34" s="1" t="s">
        <v>102</v>
      </c>
      <c r="L34" s="1" t="s">
        <v>38</v>
      </c>
      <c r="M34" s="1" t="s">
        <v>39</v>
      </c>
      <c r="N34" s="1" t="s">
        <v>33</v>
      </c>
      <c r="P34" s="1" t="s">
        <v>33</v>
      </c>
      <c r="Q34" s="1" t="s">
        <v>64</v>
      </c>
      <c r="R34" s="1" t="s">
        <v>65</v>
      </c>
      <c r="S34" s="4">
        <v>40.799999999999997</v>
      </c>
      <c r="T34" s="4">
        <v>40.799999999999997</v>
      </c>
      <c r="U34" s="4">
        <v>40.799999999999997</v>
      </c>
      <c r="Y34" s="1" t="s">
        <v>33</v>
      </c>
      <c r="AC34" s="1" t="s">
        <v>33</v>
      </c>
      <c r="AE34" s="1" t="s">
        <v>33</v>
      </c>
    </row>
    <row r="35" spans="1:31" x14ac:dyDescent="0.25">
      <c r="A35" s="1" t="s">
        <v>97</v>
      </c>
      <c r="B35" s="1" t="s">
        <v>98</v>
      </c>
      <c r="C35" s="1" t="s">
        <v>33</v>
      </c>
      <c r="D35" s="1" t="s">
        <v>99</v>
      </c>
      <c r="E35" s="2">
        <v>46264</v>
      </c>
      <c r="F35" s="1" t="s">
        <v>100</v>
      </c>
      <c r="G35" s="3">
        <v>46264.666666666701</v>
      </c>
      <c r="H35" s="1" t="s">
        <v>101</v>
      </c>
      <c r="I35" s="2">
        <v>46264</v>
      </c>
      <c r="J35" s="3">
        <v>46264.666666666701</v>
      </c>
      <c r="K35" s="1" t="s">
        <v>102</v>
      </c>
      <c r="L35" s="1" t="s">
        <v>38</v>
      </c>
      <c r="M35" s="1" t="s">
        <v>39</v>
      </c>
      <c r="N35" s="1" t="s">
        <v>33</v>
      </c>
      <c r="P35" s="1" t="s">
        <v>33</v>
      </c>
      <c r="Q35" s="1" t="s">
        <v>81</v>
      </c>
      <c r="R35" s="1" t="s">
        <v>82</v>
      </c>
      <c r="S35" s="4">
        <v>35.700000000000003</v>
      </c>
      <c r="T35" s="4">
        <v>35.700000000000003</v>
      </c>
      <c r="U35" s="4">
        <v>35.700000000000003</v>
      </c>
      <c r="Y35" s="1" t="s">
        <v>33</v>
      </c>
      <c r="AC35" s="1" t="s">
        <v>33</v>
      </c>
      <c r="AE35" s="1" t="s">
        <v>33</v>
      </c>
    </row>
    <row r="36" spans="1:31" x14ac:dyDescent="0.25">
      <c r="A36" s="1" t="s">
        <v>97</v>
      </c>
      <c r="B36" s="1" t="s">
        <v>98</v>
      </c>
      <c r="C36" s="1" t="s">
        <v>33</v>
      </c>
      <c r="D36" s="1" t="s">
        <v>99</v>
      </c>
      <c r="E36" s="2">
        <v>46264</v>
      </c>
      <c r="F36" s="1" t="s">
        <v>100</v>
      </c>
      <c r="G36" s="3">
        <v>46264.666666666701</v>
      </c>
      <c r="H36" s="1" t="s">
        <v>101</v>
      </c>
      <c r="I36" s="2">
        <v>46264</v>
      </c>
      <c r="J36" s="3">
        <v>46264.666666666701</v>
      </c>
      <c r="K36" s="1" t="s">
        <v>102</v>
      </c>
      <c r="L36" s="1" t="s">
        <v>38</v>
      </c>
      <c r="M36" s="1" t="s">
        <v>39</v>
      </c>
      <c r="N36" s="1" t="s">
        <v>33</v>
      </c>
      <c r="P36" s="1" t="s">
        <v>33</v>
      </c>
      <c r="Q36" s="1" t="s">
        <v>111</v>
      </c>
      <c r="R36" s="1" t="s">
        <v>112</v>
      </c>
      <c r="S36" s="4">
        <v>35.700000000000003</v>
      </c>
      <c r="V36" s="4">
        <v>-35.700000000000003</v>
      </c>
      <c r="W36" s="1" t="s">
        <v>50</v>
      </c>
      <c r="X36" s="1" t="s">
        <v>51</v>
      </c>
      <c r="Y36" s="1" t="s">
        <v>33</v>
      </c>
      <c r="AC36" s="1" t="s">
        <v>33</v>
      </c>
      <c r="AD36" s="1" t="s">
        <v>113</v>
      </c>
      <c r="AE36" s="1" t="s">
        <v>33</v>
      </c>
    </row>
    <row r="37" spans="1:31" x14ac:dyDescent="0.25">
      <c r="A37" s="1" t="s">
        <v>97</v>
      </c>
      <c r="B37" s="1" t="s">
        <v>98</v>
      </c>
      <c r="C37" s="1" t="s">
        <v>33</v>
      </c>
      <c r="D37" s="1" t="s">
        <v>99</v>
      </c>
      <c r="E37" s="2">
        <v>46264</v>
      </c>
      <c r="F37" s="1" t="s">
        <v>100</v>
      </c>
      <c r="G37" s="3">
        <v>46264.666666666701</v>
      </c>
      <c r="H37" s="1" t="s">
        <v>101</v>
      </c>
      <c r="I37" s="2">
        <v>46264</v>
      </c>
      <c r="J37" s="3">
        <v>46264.666666666701</v>
      </c>
      <c r="K37" s="1" t="s">
        <v>102</v>
      </c>
      <c r="L37" s="1" t="s">
        <v>38</v>
      </c>
      <c r="M37" s="1" t="s">
        <v>39</v>
      </c>
      <c r="N37" s="1" t="s">
        <v>33</v>
      </c>
      <c r="P37" s="1" t="s">
        <v>33</v>
      </c>
      <c r="Q37" s="1" t="s">
        <v>114</v>
      </c>
      <c r="R37" s="1" t="s">
        <v>115</v>
      </c>
      <c r="S37" s="4">
        <v>405</v>
      </c>
      <c r="T37" s="4">
        <v>405</v>
      </c>
      <c r="U37" s="4">
        <v>405</v>
      </c>
      <c r="Y37" s="1" t="s">
        <v>33</v>
      </c>
      <c r="AC37" s="1" t="s">
        <v>33</v>
      </c>
      <c r="AE37" s="1" t="s">
        <v>33</v>
      </c>
    </row>
    <row r="38" spans="1:31" x14ac:dyDescent="0.25">
      <c r="A38" s="1" t="s">
        <v>97</v>
      </c>
      <c r="B38" s="1" t="s">
        <v>98</v>
      </c>
      <c r="C38" s="1" t="s">
        <v>33</v>
      </c>
      <c r="D38" s="1" t="s">
        <v>99</v>
      </c>
      <c r="E38" s="2">
        <v>46264</v>
      </c>
      <c r="F38" s="1" t="s">
        <v>100</v>
      </c>
      <c r="G38" s="3">
        <v>46264.666666666701</v>
      </c>
      <c r="H38" s="1" t="s">
        <v>101</v>
      </c>
      <c r="I38" s="2">
        <v>46264</v>
      </c>
      <c r="J38" s="3">
        <v>46264.666666666701</v>
      </c>
      <c r="K38" s="1" t="s">
        <v>102</v>
      </c>
      <c r="L38" s="1" t="s">
        <v>38</v>
      </c>
      <c r="M38" s="1" t="s">
        <v>39</v>
      </c>
      <c r="N38" s="1" t="s">
        <v>33</v>
      </c>
      <c r="P38" s="1" t="s">
        <v>33</v>
      </c>
      <c r="Q38" s="1" t="s">
        <v>116</v>
      </c>
      <c r="R38" s="1" t="s">
        <v>117</v>
      </c>
      <c r="S38" s="4">
        <v>510</v>
      </c>
      <c r="T38" s="4">
        <v>510</v>
      </c>
      <c r="U38" s="4">
        <v>510</v>
      </c>
      <c r="Y38" s="1" t="s">
        <v>33</v>
      </c>
      <c r="AC38" s="1" t="s">
        <v>33</v>
      </c>
      <c r="AE38" s="1" t="s">
        <v>33</v>
      </c>
    </row>
    <row r="39" spans="1:31" x14ac:dyDescent="0.25">
      <c r="A39" s="1" t="s">
        <v>97</v>
      </c>
      <c r="B39" s="1" t="s">
        <v>98</v>
      </c>
      <c r="C39" s="1" t="s">
        <v>33</v>
      </c>
      <c r="D39" s="1" t="s">
        <v>99</v>
      </c>
      <c r="E39" s="2">
        <v>46264</v>
      </c>
      <c r="F39" s="1" t="s">
        <v>100</v>
      </c>
      <c r="G39" s="3">
        <v>46264.666666666701</v>
      </c>
      <c r="H39" s="1" t="s">
        <v>101</v>
      </c>
      <c r="I39" s="2">
        <v>46264</v>
      </c>
      <c r="J39" s="3">
        <v>46264.666666666701</v>
      </c>
      <c r="K39" s="1" t="s">
        <v>102</v>
      </c>
      <c r="L39" s="1" t="s">
        <v>38</v>
      </c>
      <c r="M39" s="1" t="s">
        <v>39</v>
      </c>
      <c r="N39" s="1" t="s">
        <v>33</v>
      </c>
      <c r="P39" s="1" t="s">
        <v>33</v>
      </c>
      <c r="Q39" s="1" t="s">
        <v>118</v>
      </c>
      <c r="R39" s="1" t="s">
        <v>119</v>
      </c>
      <c r="S39" s="4">
        <v>504</v>
      </c>
      <c r="T39" s="4">
        <v>504</v>
      </c>
      <c r="U39" s="4">
        <v>504</v>
      </c>
      <c r="W39" s="1" t="s">
        <v>120</v>
      </c>
      <c r="Y39" s="1" t="s">
        <v>33</v>
      </c>
      <c r="AC39" s="1" t="s">
        <v>33</v>
      </c>
      <c r="AE39" s="1" t="s">
        <v>33</v>
      </c>
    </row>
    <row r="40" spans="1:31" x14ac:dyDescent="0.25">
      <c r="A40" s="1" t="s">
        <v>97</v>
      </c>
      <c r="B40" s="1" t="s">
        <v>98</v>
      </c>
      <c r="C40" s="1" t="s">
        <v>33</v>
      </c>
      <c r="D40" s="1" t="s">
        <v>99</v>
      </c>
      <c r="E40" s="2">
        <v>46264</v>
      </c>
      <c r="F40" s="1" t="s">
        <v>100</v>
      </c>
      <c r="G40" s="3">
        <v>46264.666666666701</v>
      </c>
      <c r="H40" s="1" t="s">
        <v>101</v>
      </c>
      <c r="I40" s="2">
        <v>46264</v>
      </c>
      <c r="J40" s="3">
        <v>46264.666666666701</v>
      </c>
      <c r="K40" s="1" t="s">
        <v>102</v>
      </c>
      <c r="L40" s="1" t="s">
        <v>38</v>
      </c>
      <c r="M40" s="1" t="s">
        <v>39</v>
      </c>
      <c r="N40" s="1" t="s">
        <v>33</v>
      </c>
      <c r="P40" s="1" t="s">
        <v>33</v>
      </c>
      <c r="Q40" s="1" t="s">
        <v>121</v>
      </c>
      <c r="R40" s="1" t="s">
        <v>122</v>
      </c>
      <c r="S40" s="4">
        <v>40.799999999999997</v>
      </c>
      <c r="T40" s="4">
        <v>40.799999999999997</v>
      </c>
      <c r="U40" s="4">
        <v>40.799999999999997</v>
      </c>
      <c r="Y40" s="1" t="s">
        <v>33</v>
      </c>
      <c r="AC40" s="1" t="s">
        <v>33</v>
      </c>
      <c r="AE40" s="1" t="s">
        <v>33</v>
      </c>
    </row>
    <row r="41" spans="1:31" x14ac:dyDescent="0.25">
      <c r="A41" s="1" t="s">
        <v>97</v>
      </c>
      <c r="B41" s="1" t="s">
        <v>98</v>
      </c>
      <c r="C41" s="1" t="s">
        <v>33</v>
      </c>
      <c r="D41" s="1" t="s">
        <v>99</v>
      </c>
      <c r="E41" s="2">
        <v>46264</v>
      </c>
      <c r="F41" s="1" t="s">
        <v>100</v>
      </c>
      <c r="G41" s="3">
        <v>46264.666666666701</v>
      </c>
      <c r="H41" s="1" t="s">
        <v>101</v>
      </c>
      <c r="I41" s="2">
        <v>46264</v>
      </c>
      <c r="J41" s="3">
        <v>46264.666666666701</v>
      </c>
      <c r="K41" s="1" t="s">
        <v>102</v>
      </c>
      <c r="L41" s="1" t="s">
        <v>38</v>
      </c>
      <c r="M41" s="1" t="s">
        <v>39</v>
      </c>
      <c r="N41" s="1" t="s">
        <v>33</v>
      </c>
      <c r="P41" s="1" t="s">
        <v>33</v>
      </c>
      <c r="Q41" s="1" t="s">
        <v>123</v>
      </c>
      <c r="R41" s="1" t="s">
        <v>124</v>
      </c>
      <c r="S41" s="4">
        <v>401.28</v>
      </c>
      <c r="T41" s="4">
        <v>401.28</v>
      </c>
      <c r="U41" s="4">
        <v>401.28</v>
      </c>
      <c r="Y41" s="1" t="s">
        <v>33</v>
      </c>
      <c r="AC41" s="1" t="s">
        <v>33</v>
      </c>
      <c r="AE41" s="1" t="s">
        <v>33</v>
      </c>
    </row>
    <row r="42" spans="1:31" x14ac:dyDescent="0.25">
      <c r="A42" s="1" t="s">
        <v>97</v>
      </c>
      <c r="B42" s="1" t="s">
        <v>98</v>
      </c>
      <c r="C42" s="1" t="s">
        <v>33</v>
      </c>
      <c r="D42" s="1" t="s">
        <v>99</v>
      </c>
      <c r="E42" s="2">
        <v>46264</v>
      </c>
      <c r="F42" s="1" t="s">
        <v>100</v>
      </c>
      <c r="G42" s="3">
        <v>46264.666666666701</v>
      </c>
      <c r="H42" s="1" t="s">
        <v>101</v>
      </c>
      <c r="I42" s="2">
        <v>46264</v>
      </c>
      <c r="J42" s="3">
        <v>46264.666666666701</v>
      </c>
      <c r="K42" s="1" t="s">
        <v>102</v>
      </c>
      <c r="L42" s="1" t="s">
        <v>38</v>
      </c>
      <c r="M42" s="1" t="s">
        <v>39</v>
      </c>
      <c r="N42" s="1" t="s">
        <v>33</v>
      </c>
      <c r="P42" s="1" t="s">
        <v>33</v>
      </c>
      <c r="Q42" s="1" t="s">
        <v>125</v>
      </c>
      <c r="R42" s="1" t="s">
        <v>126</v>
      </c>
      <c r="S42" s="4">
        <v>259.2</v>
      </c>
      <c r="T42" s="4">
        <v>259.2</v>
      </c>
      <c r="U42" s="4">
        <v>259.2</v>
      </c>
      <c r="Y42" s="1" t="s">
        <v>33</v>
      </c>
      <c r="AC42" s="1" t="s">
        <v>33</v>
      </c>
      <c r="AE42" s="1" t="s">
        <v>33</v>
      </c>
    </row>
    <row r="43" spans="1:31" x14ac:dyDescent="0.25">
      <c r="A43" s="1" t="s">
        <v>97</v>
      </c>
      <c r="B43" s="1" t="s">
        <v>98</v>
      </c>
      <c r="C43" s="1" t="s">
        <v>33</v>
      </c>
      <c r="D43" s="1" t="s">
        <v>127</v>
      </c>
      <c r="E43" s="2">
        <v>46264</v>
      </c>
      <c r="F43" s="1" t="s">
        <v>128</v>
      </c>
      <c r="G43" s="3">
        <v>46264.666666666701</v>
      </c>
      <c r="H43" s="1" t="s">
        <v>101</v>
      </c>
      <c r="I43" s="2">
        <v>46264</v>
      </c>
      <c r="J43" s="3">
        <v>46264.666666666701</v>
      </c>
      <c r="K43" s="1" t="s">
        <v>102</v>
      </c>
      <c r="L43" s="1" t="s">
        <v>38</v>
      </c>
      <c r="M43" s="1" t="s">
        <v>39</v>
      </c>
      <c r="N43" s="1" t="s">
        <v>33</v>
      </c>
      <c r="P43" s="1" t="s">
        <v>33</v>
      </c>
      <c r="Q43" s="1" t="s">
        <v>114</v>
      </c>
      <c r="R43" s="1" t="s">
        <v>115</v>
      </c>
      <c r="S43" s="4">
        <v>300</v>
      </c>
      <c r="T43" s="4">
        <v>300</v>
      </c>
      <c r="U43" s="4">
        <v>300</v>
      </c>
      <c r="Y43" s="1" t="s">
        <v>33</v>
      </c>
      <c r="AC43" s="1" t="s">
        <v>33</v>
      </c>
      <c r="AE43" s="1" t="s">
        <v>33</v>
      </c>
    </row>
    <row r="44" spans="1:31" x14ac:dyDescent="0.25">
      <c r="A44" s="1" t="s">
        <v>97</v>
      </c>
      <c r="B44" s="1" t="s">
        <v>98</v>
      </c>
      <c r="C44" s="1" t="s">
        <v>33</v>
      </c>
      <c r="D44" s="1" t="s">
        <v>127</v>
      </c>
      <c r="E44" s="2">
        <v>46264</v>
      </c>
      <c r="F44" s="1" t="s">
        <v>128</v>
      </c>
      <c r="G44" s="3">
        <v>46264.666666666701</v>
      </c>
      <c r="H44" s="1" t="s">
        <v>101</v>
      </c>
      <c r="I44" s="2">
        <v>46264</v>
      </c>
      <c r="J44" s="3">
        <v>46264.666666666701</v>
      </c>
      <c r="K44" s="1" t="s">
        <v>102</v>
      </c>
      <c r="L44" s="1" t="s">
        <v>38</v>
      </c>
      <c r="M44" s="1" t="s">
        <v>39</v>
      </c>
      <c r="N44" s="1" t="s">
        <v>33</v>
      </c>
      <c r="P44" s="1" t="s">
        <v>33</v>
      </c>
      <c r="Q44" s="1" t="s">
        <v>129</v>
      </c>
      <c r="R44" s="1" t="s">
        <v>130</v>
      </c>
      <c r="S44" s="4">
        <v>300</v>
      </c>
      <c r="T44" s="4">
        <v>300</v>
      </c>
      <c r="U44" s="4">
        <v>300</v>
      </c>
      <c r="Y44" s="1" t="s">
        <v>33</v>
      </c>
      <c r="AC44" s="1" t="s">
        <v>33</v>
      </c>
      <c r="AE44" s="1" t="s">
        <v>33</v>
      </c>
    </row>
    <row r="45" spans="1:31" x14ac:dyDescent="0.25">
      <c r="A45" s="1" t="s">
        <v>97</v>
      </c>
      <c r="B45" s="1" t="s">
        <v>98</v>
      </c>
      <c r="C45" s="1" t="s">
        <v>33</v>
      </c>
      <c r="D45" s="1" t="s">
        <v>127</v>
      </c>
      <c r="E45" s="2">
        <v>46264</v>
      </c>
      <c r="F45" s="1" t="s">
        <v>128</v>
      </c>
      <c r="G45" s="3">
        <v>46264.666666666701</v>
      </c>
      <c r="H45" s="1" t="s">
        <v>101</v>
      </c>
      <c r="I45" s="2">
        <v>46264</v>
      </c>
      <c r="J45" s="3">
        <v>46264.666666666701</v>
      </c>
      <c r="K45" s="1" t="s">
        <v>102</v>
      </c>
      <c r="L45" s="1" t="s">
        <v>38</v>
      </c>
      <c r="M45" s="1" t="s">
        <v>39</v>
      </c>
      <c r="N45" s="1" t="s">
        <v>33</v>
      </c>
      <c r="P45" s="1" t="s">
        <v>33</v>
      </c>
      <c r="Q45" s="1" t="s">
        <v>131</v>
      </c>
      <c r="R45" s="1" t="s">
        <v>132</v>
      </c>
      <c r="S45" s="4">
        <v>401.28</v>
      </c>
      <c r="T45" s="4">
        <v>401.28</v>
      </c>
      <c r="U45" s="4">
        <v>401.28</v>
      </c>
      <c r="Y45" s="1" t="s">
        <v>33</v>
      </c>
      <c r="AC45" s="1" t="s">
        <v>33</v>
      </c>
      <c r="AE45" s="1" t="s">
        <v>33</v>
      </c>
    </row>
    <row r="46" spans="1:31" x14ac:dyDescent="0.25">
      <c r="A46" s="1" t="s">
        <v>97</v>
      </c>
      <c r="B46" s="1" t="s">
        <v>98</v>
      </c>
      <c r="C46" s="1" t="s">
        <v>33</v>
      </c>
      <c r="D46" s="1" t="s">
        <v>127</v>
      </c>
      <c r="E46" s="2">
        <v>46264</v>
      </c>
      <c r="F46" s="1" t="s">
        <v>128</v>
      </c>
      <c r="G46" s="3">
        <v>46264.666666666701</v>
      </c>
      <c r="H46" s="1" t="s">
        <v>101</v>
      </c>
      <c r="I46" s="2">
        <v>46264</v>
      </c>
      <c r="J46" s="3">
        <v>46264.666666666701</v>
      </c>
      <c r="K46" s="1" t="s">
        <v>102</v>
      </c>
      <c r="L46" s="1" t="s">
        <v>38</v>
      </c>
      <c r="M46" s="1" t="s">
        <v>39</v>
      </c>
      <c r="N46" s="1" t="s">
        <v>33</v>
      </c>
      <c r="P46" s="1" t="s">
        <v>33</v>
      </c>
      <c r="Q46" s="1" t="s">
        <v>123</v>
      </c>
      <c r="R46" s="1" t="s">
        <v>124</v>
      </c>
      <c r="S46" s="4">
        <v>285.12</v>
      </c>
      <c r="T46" s="4">
        <v>285.12</v>
      </c>
      <c r="U46" s="4">
        <v>285.12</v>
      </c>
      <c r="Y46" s="1" t="s">
        <v>33</v>
      </c>
      <c r="AC46" s="1" t="s">
        <v>33</v>
      </c>
      <c r="AE46" s="1" t="s">
        <v>33</v>
      </c>
    </row>
    <row r="47" spans="1:31" x14ac:dyDescent="0.25">
      <c r="A47" s="1" t="s">
        <v>97</v>
      </c>
      <c r="B47" s="1" t="s">
        <v>98</v>
      </c>
      <c r="C47" s="1" t="s">
        <v>33</v>
      </c>
      <c r="D47" s="1" t="s">
        <v>127</v>
      </c>
      <c r="E47" s="2">
        <v>46264</v>
      </c>
      <c r="F47" s="1" t="s">
        <v>128</v>
      </c>
      <c r="G47" s="3">
        <v>46264.666666666701</v>
      </c>
      <c r="H47" s="1" t="s">
        <v>101</v>
      </c>
      <c r="I47" s="2">
        <v>46264</v>
      </c>
      <c r="J47" s="3">
        <v>46264.666666666701</v>
      </c>
      <c r="K47" s="1" t="s">
        <v>102</v>
      </c>
      <c r="L47" s="1" t="s">
        <v>38</v>
      </c>
      <c r="M47" s="1" t="s">
        <v>39</v>
      </c>
      <c r="N47" s="1" t="s">
        <v>33</v>
      </c>
      <c r="P47" s="1" t="s">
        <v>33</v>
      </c>
      <c r="Q47" s="1" t="s">
        <v>133</v>
      </c>
      <c r="R47" s="1" t="s">
        <v>134</v>
      </c>
      <c r="S47" s="4">
        <v>251.1</v>
      </c>
      <c r="T47" s="4">
        <v>251.1</v>
      </c>
      <c r="U47" s="4">
        <v>251.1</v>
      </c>
      <c r="Y47" s="1" t="s">
        <v>33</v>
      </c>
      <c r="AC47" s="1" t="s">
        <v>33</v>
      </c>
      <c r="AE47" s="1" t="s">
        <v>33</v>
      </c>
    </row>
    <row r="48" spans="1:31" x14ac:dyDescent="0.25">
      <c r="A48" s="1" t="s">
        <v>31</v>
      </c>
      <c r="B48" s="1" t="s">
        <v>32</v>
      </c>
      <c r="C48" s="1" t="s">
        <v>33</v>
      </c>
      <c r="D48" s="1" t="s">
        <v>135</v>
      </c>
      <c r="E48" s="2">
        <v>46264</v>
      </c>
      <c r="F48" s="1" t="s">
        <v>136</v>
      </c>
      <c r="G48" s="3">
        <v>46264.666666666701</v>
      </c>
      <c r="H48" s="1" t="s">
        <v>36</v>
      </c>
      <c r="I48" s="2">
        <v>46264</v>
      </c>
      <c r="J48" s="3">
        <v>46264.666666666701</v>
      </c>
      <c r="K48" s="1" t="s">
        <v>37</v>
      </c>
      <c r="L48" s="1" t="s">
        <v>38</v>
      </c>
      <c r="M48" s="1" t="s">
        <v>39</v>
      </c>
      <c r="N48" s="1" t="s">
        <v>33</v>
      </c>
      <c r="P48" s="1" t="s">
        <v>33</v>
      </c>
      <c r="Q48" s="1" t="s">
        <v>137</v>
      </c>
      <c r="R48" s="1" t="s">
        <v>138</v>
      </c>
      <c r="S48" s="4">
        <v>54</v>
      </c>
      <c r="T48" s="4">
        <v>54</v>
      </c>
      <c r="U48" s="4">
        <v>54</v>
      </c>
      <c r="Y48" s="1" t="s">
        <v>33</v>
      </c>
      <c r="AC48" s="1" t="s">
        <v>33</v>
      </c>
      <c r="AE48" s="1" t="s">
        <v>33</v>
      </c>
    </row>
    <row r="49" spans="1:31" x14ac:dyDescent="0.25">
      <c r="A49" s="1" t="s">
        <v>31</v>
      </c>
      <c r="B49" s="1" t="s">
        <v>32</v>
      </c>
      <c r="C49" s="1" t="s">
        <v>33</v>
      </c>
      <c r="D49" s="1" t="s">
        <v>135</v>
      </c>
      <c r="E49" s="2">
        <v>46264</v>
      </c>
      <c r="F49" s="1" t="s">
        <v>136</v>
      </c>
      <c r="G49" s="3">
        <v>46264.666666666701</v>
      </c>
      <c r="H49" s="1" t="s">
        <v>36</v>
      </c>
      <c r="I49" s="2">
        <v>46264</v>
      </c>
      <c r="J49" s="3">
        <v>46264.666666666701</v>
      </c>
      <c r="K49" s="1" t="s">
        <v>37</v>
      </c>
      <c r="L49" s="1" t="s">
        <v>38</v>
      </c>
      <c r="M49" s="1" t="s">
        <v>39</v>
      </c>
      <c r="N49" s="1" t="s">
        <v>33</v>
      </c>
      <c r="P49" s="1" t="s">
        <v>33</v>
      </c>
      <c r="Q49" s="1" t="s">
        <v>139</v>
      </c>
      <c r="R49" s="1" t="s">
        <v>140</v>
      </c>
      <c r="S49" s="4">
        <v>324</v>
      </c>
      <c r="T49" s="4">
        <v>324</v>
      </c>
      <c r="U49" s="4">
        <v>324</v>
      </c>
      <c r="Y49" s="1" t="s">
        <v>33</v>
      </c>
      <c r="AC49" s="1" t="s">
        <v>33</v>
      </c>
      <c r="AE49" s="1" t="s">
        <v>33</v>
      </c>
    </row>
    <row r="50" spans="1:31" x14ac:dyDescent="0.25">
      <c r="A50" s="1" t="s">
        <v>31</v>
      </c>
      <c r="B50" s="1" t="s">
        <v>32</v>
      </c>
      <c r="C50" s="1" t="s">
        <v>33</v>
      </c>
      <c r="D50" s="1" t="s">
        <v>135</v>
      </c>
      <c r="E50" s="2">
        <v>46264</v>
      </c>
      <c r="F50" s="1" t="s">
        <v>136</v>
      </c>
      <c r="G50" s="3">
        <v>46264.666666666701</v>
      </c>
      <c r="H50" s="1" t="s">
        <v>36</v>
      </c>
      <c r="I50" s="2">
        <v>46264</v>
      </c>
      <c r="J50" s="3">
        <v>46264.666666666701</v>
      </c>
      <c r="K50" s="1" t="s">
        <v>37</v>
      </c>
      <c r="L50" s="1" t="s">
        <v>38</v>
      </c>
      <c r="M50" s="1" t="s">
        <v>39</v>
      </c>
      <c r="N50" s="1" t="s">
        <v>33</v>
      </c>
      <c r="P50" s="1" t="s">
        <v>33</v>
      </c>
      <c r="Q50" s="1" t="s">
        <v>44</v>
      </c>
      <c r="R50" s="1" t="s">
        <v>45</v>
      </c>
      <c r="S50" s="4">
        <v>54</v>
      </c>
      <c r="T50" s="4">
        <v>54</v>
      </c>
      <c r="U50" s="4">
        <v>54</v>
      </c>
      <c r="Y50" s="1" t="s">
        <v>33</v>
      </c>
      <c r="AC50" s="1" t="s">
        <v>33</v>
      </c>
      <c r="AE50" s="1" t="s">
        <v>33</v>
      </c>
    </row>
    <row r="51" spans="1:31" x14ac:dyDescent="0.25">
      <c r="A51" s="1" t="s">
        <v>31</v>
      </c>
      <c r="B51" s="1" t="s">
        <v>32</v>
      </c>
      <c r="C51" s="1" t="s">
        <v>33</v>
      </c>
      <c r="D51" s="1" t="s">
        <v>135</v>
      </c>
      <c r="E51" s="2">
        <v>46264</v>
      </c>
      <c r="F51" s="1" t="s">
        <v>136</v>
      </c>
      <c r="G51" s="3">
        <v>46264.666666666701</v>
      </c>
      <c r="H51" s="1" t="s">
        <v>36</v>
      </c>
      <c r="I51" s="2">
        <v>46264</v>
      </c>
      <c r="J51" s="3">
        <v>46264.666666666701</v>
      </c>
      <c r="K51" s="1" t="s">
        <v>37</v>
      </c>
      <c r="L51" s="1" t="s">
        <v>38</v>
      </c>
      <c r="M51" s="1" t="s">
        <v>39</v>
      </c>
      <c r="N51" s="1" t="s">
        <v>33</v>
      </c>
      <c r="P51" s="1" t="s">
        <v>33</v>
      </c>
      <c r="Q51" s="1" t="s">
        <v>103</v>
      </c>
      <c r="R51" s="1" t="s">
        <v>104</v>
      </c>
      <c r="S51" s="4">
        <v>108</v>
      </c>
      <c r="T51" s="4">
        <v>108</v>
      </c>
      <c r="U51" s="4">
        <v>108</v>
      </c>
      <c r="Y51" s="1" t="s">
        <v>33</v>
      </c>
      <c r="AC51" s="1" t="s">
        <v>33</v>
      </c>
      <c r="AE51" s="1" t="s">
        <v>33</v>
      </c>
    </row>
    <row r="52" spans="1:31" x14ac:dyDescent="0.25">
      <c r="A52" s="1" t="s">
        <v>31</v>
      </c>
      <c r="B52" s="1" t="s">
        <v>32</v>
      </c>
      <c r="C52" s="1" t="s">
        <v>33</v>
      </c>
      <c r="D52" s="1" t="s">
        <v>135</v>
      </c>
      <c r="E52" s="2">
        <v>46264</v>
      </c>
      <c r="F52" s="1" t="s">
        <v>136</v>
      </c>
      <c r="G52" s="3">
        <v>46264.666666666701</v>
      </c>
      <c r="H52" s="1" t="s">
        <v>36</v>
      </c>
      <c r="I52" s="2">
        <v>46264</v>
      </c>
      <c r="J52" s="3">
        <v>46264.666666666701</v>
      </c>
      <c r="K52" s="1" t="s">
        <v>37</v>
      </c>
      <c r="L52" s="1" t="s">
        <v>38</v>
      </c>
      <c r="M52" s="1" t="s">
        <v>39</v>
      </c>
      <c r="N52" s="1" t="s">
        <v>33</v>
      </c>
      <c r="P52" s="1" t="s">
        <v>33</v>
      </c>
      <c r="Q52" s="1" t="s">
        <v>141</v>
      </c>
      <c r="R52" s="1" t="s">
        <v>142</v>
      </c>
      <c r="S52" s="4">
        <v>43.2</v>
      </c>
      <c r="T52" s="4">
        <v>43.2</v>
      </c>
      <c r="U52" s="4">
        <v>43.2</v>
      </c>
      <c r="Y52" s="1" t="s">
        <v>33</v>
      </c>
      <c r="AC52" s="1" t="s">
        <v>33</v>
      </c>
      <c r="AE52" s="1" t="s">
        <v>33</v>
      </c>
    </row>
    <row r="53" spans="1:31" x14ac:dyDescent="0.25">
      <c r="A53" s="1" t="s">
        <v>31</v>
      </c>
      <c r="B53" s="1" t="s">
        <v>32</v>
      </c>
      <c r="C53" s="1" t="s">
        <v>33</v>
      </c>
      <c r="D53" s="1" t="s">
        <v>135</v>
      </c>
      <c r="E53" s="2">
        <v>46264</v>
      </c>
      <c r="F53" s="1" t="s">
        <v>136</v>
      </c>
      <c r="G53" s="3">
        <v>46264.666666666701</v>
      </c>
      <c r="H53" s="1" t="s">
        <v>36</v>
      </c>
      <c r="I53" s="2">
        <v>46264</v>
      </c>
      <c r="J53" s="3">
        <v>46264.666666666701</v>
      </c>
      <c r="K53" s="1" t="s">
        <v>37</v>
      </c>
      <c r="L53" s="1" t="s">
        <v>38</v>
      </c>
      <c r="M53" s="1" t="s">
        <v>39</v>
      </c>
      <c r="N53" s="1" t="s">
        <v>33</v>
      </c>
      <c r="P53" s="1" t="s">
        <v>33</v>
      </c>
      <c r="Q53" s="1" t="s">
        <v>133</v>
      </c>
      <c r="R53" s="1" t="s">
        <v>134</v>
      </c>
      <c r="S53" s="4">
        <v>1401.3</v>
      </c>
      <c r="T53" s="4">
        <v>1401.3</v>
      </c>
      <c r="U53" s="4">
        <v>1401.3</v>
      </c>
      <c r="Y53" s="1" t="s">
        <v>33</v>
      </c>
      <c r="AC53" s="1" t="s">
        <v>33</v>
      </c>
      <c r="AE53" s="1" t="s">
        <v>33</v>
      </c>
    </row>
    <row r="54" spans="1:31" x14ac:dyDescent="0.25">
      <c r="A54" s="1" t="s">
        <v>31</v>
      </c>
      <c r="B54" s="1" t="s">
        <v>32</v>
      </c>
      <c r="C54" s="1" t="s">
        <v>33</v>
      </c>
      <c r="D54" s="1" t="s">
        <v>135</v>
      </c>
      <c r="E54" s="2">
        <v>46264</v>
      </c>
      <c r="F54" s="1" t="s">
        <v>136</v>
      </c>
      <c r="G54" s="3">
        <v>46264.666666666701</v>
      </c>
      <c r="H54" s="1" t="s">
        <v>36</v>
      </c>
      <c r="I54" s="2">
        <v>46264</v>
      </c>
      <c r="J54" s="3">
        <v>46264.666666666701</v>
      </c>
      <c r="K54" s="1" t="s">
        <v>37</v>
      </c>
      <c r="L54" s="1" t="s">
        <v>38</v>
      </c>
      <c r="M54" s="1" t="s">
        <v>39</v>
      </c>
      <c r="N54" s="1" t="s">
        <v>33</v>
      </c>
      <c r="P54" s="1" t="s">
        <v>33</v>
      </c>
      <c r="Q54" s="1" t="s">
        <v>143</v>
      </c>
      <c r="R54" s="1" t="s">
        <v>144</v>
      </c>
      <c r="S54" s="4">
        <v>21</v>
      </c>
      <c r="V54" s="4">
        <v>-21</v>
      </c>
      <c r="W54" s="1" t="s">
        <v>50</v>
      </c>
      <c r="X54" s="1" t="s">
        <v>51</v>
      </c>
      <c r="Y54" s="1" t="s">
        <v>33</v>
      </c>
      <c r="AC54" s="1" t="s">
        <v>33</v>
      </c>
      <c r="AD54" s="1" t="s">
        <v>113</v>
      </c>
      <c r="AE54" s="1" t="s">
        <v>33</v>
      </c>
    </row>
    <row r="55" spans="1:31" x14ac:dyDescent="0.25">
      <c r="A55" s="1" t="s">
        <v>31</v>
      </c>
      <c r="B55" s="1" t="s">
        <v>32</v>
      </c>
      <c r="C55" s="1" t="s">
        <v>33</v>
      </c>
      <c r="D55" s="1" t="s">
        <v>135</v>
      </c>
      <c r="E55" s="2">
        <v>46264</v>
      </c>
      <c r="F55" s="1" t="s">
        <v>136</v>
      </c>
      <c r="G55" s="3">
        <v>46264.666666666701</v>
      </c>
      <c r="H55" s="1" t="s">
        <v>36</v>
      </c>
      <c r="I55" s="2">
        <v>46264</v>
      </c>
      <c r="J55" s="3">
        <v>46264.666666666701</v>
      </c>
      <c r="K55" s="1" t="s">
        <v>37</v>
      </c>
      <c r="L55" s="1" t="s">
        <v>38</v>
      </c>
      <c r="M55" s="1" t="s">
        <v>39</v>
      </c>
      <c r="N55" s="1" t="s">
        <v>33</v>
      </c>
      <c r="P55" s="1" t="s">
        <v>33</v>
      </c>
      <c r="Q55" s="1" t="s">
        <v>145</v>
      </c>
      <c r="R55" s="1" t="s">
        <v>146</v>
      </c>
      <c r="S55" s="4">
        <v>42</v>
      </c>
      <c r="T55" s="4">
        <v>42</v>
      </c>
      <c r="U55" s="4">
        <v>42</v>
      </c>
      <c r="Y55" s="1" t="s">
        <v>33</v>
      </c>
      <c r="AC55" s="1" t="s">
        <v>33</v>
      </c>
      <c r="AE55" s="1" t="s">
        <v>33</v>
      </c>
    </row>
    <row r="56" spans="1:31" x14ac:dyDescent="0.25">
      <c r="A56" s="1" t="s">
        <v>31</v>
      </c>
      <c r="B56" s="1" t="s">
        <v>32</v>
      </c>
      <c r="C56" s="1" t="s">
        <v>33</v>
      </c>
      <c r="D56" s="1" t="s">
        <v>135</v>
      </c>
      <c r="E56" s="2">
        <v>46264</v>
      </c>
      <c r="F56" s="1" t="s">
        <v>136</v>
      </c>
      <c r="G56" s="3">
        <v>46264.666666666701</v>
      </c>
      <c r="H56" s="1" t="s">
        <v>36</v>
      </c>
      <c r="I56" s="2">
        <v>46264</v>
      </c>
      <c r="J56" s="3">
        <v>46264.666666666701</v>
      </c>
      <c r="K56" s="1" t="s">
        <v>37</v>
      </c>
      <c r="L56" s="1" t="s">
        <v>38</v>
      </c>
      <c r="M56" s="1" t="s">
        <v>39</v>
      </c>
      <c r="N56" s="1" t="s">
        <v>33</v>
      </c>
      <c r="P56" s="1" t="s">
        <v>33</v>
      </c>
      <c r="Q56" s="1" t="s">
        <v>147</v>
      </c>
      <c r="R56" s="1" t="s">
        <v>148</v>
      </c>
      <c r="S56" s="4">
        <v>52.5</v>
      </c>
      <c r="T56" s="4">
        <v>52.5</v>
      </c>
      <c r="U56" s="4">
        <v>52.5</v>
      </c>
      <c r="Y56" s="1" t="s">
        <v>33</v>
      </c>
      <c r="AC56" s="1" t="s">
        <v>33</v>
      </c>
      <c r="AE56" s="1" t="s">
        <v>33</v>
      </c>
    </row>
    <row r="57" spans="1:31" x14ac:dyDescent="0.25">
      <c r="A57" s="1" t="s">
        <v>31</v>
      </c>
      <c r="B57" s="1" t="s">
        <v>32</v>
      </c>
      <c r="C57" s="1" t="s">
        <v>33</v>
      </c>
      <c r="D57" s="1" t="s">
        <v>135</v>
      </c>
      <c r="E57" s="2">
        <v>46264</v>
      </c>
      <c r="F57" s="1" t="s">
        <v>136</v>
      </c>
      <c r="G57" s="3">
        <v>46264.666666666701</v>
      </c>
      <c r="H57" s="1" t="s">
        <v>36</v>
      </c>
      <c r="I57" s="2">
        <v>46264</v>
      </c>
      <c r="J57" s="3">
        <v>46264.666666666701</v>
      </c>
      <c r="K57" s="1" t="s">
        <v>37</v>
      </c>
      <c r="L57" s="1" t="s">
        <v>38</v>
      </c>
      <c r="M57" s="1" t="s">
        <v>39</v>
      </c>
      <c r="N57" s="1" t="s">
        <v>33</v>
      </c>
      <c r="P57" s="1" t="s">
        <v>33</v>
      </c>
      <c r="Q57" s="1" t="s">
        <v>149</v>
      </c>
      <c r="R57" s="1" t="s">
        <v>150</v>
      </c>
      <c r="S57" s="4">
        <v>70.2</v>
      </c>
      <c r="V57" s="4">
        <v>-70.2</v>
      </c>
      <c r="W57" s="1" t="s">
        <v>50</v>
      </c>
      <c r="X57" s="1" t="s">
        <v>51</v>
      </c>
      <c r="Y57" s="1" t="s">
        <v>33</v>
      </c>
      <c r="AC57" s="1" t="s">
        <v>33</v>
      </c>
      <c r="AE57" s="1" t="s">
        <v>33</v>
      </c>
    </row>
    <row r="58" spans="1:31" x14ac:dyDescent="0.25">
      <c r="A58" s="1" t="s">
        <v>31</v>
      </c>
      <c r="B58" s="1" t="s">
        <v>32</v>
      </c>
      <c r="C58" s="1" t="s">
        <v>33</v>
      </c>
      <c r="D58" s="1" t="s">
        <v>135</v>
      </c>
      <c r="E58" s="2">
        <v>46264</v>
      </c>
      <c r="F58" s="1" t="s">
        <v>136</v>
      </c>
      <c r="G58" s="3">
        <v>46264.666666666701</v>
      </c>
      <c r="H58" s="1" t="s">
        <v>36</v>
      </c>
      <c r="I58" s="2">
        <v>46264</v>
      </c>
      <c r="J58" s="3">
        <v>46264.666666666701</v>
      </c>
      <c r="K58" s="1" t="s">
        <v>37</v>
      </c>
      <c r="L58" s="1" t="s">
        <v>38</v>
      </c>
      <c r="M58" s="1" t="s">
        <v>39</v>
      </c>
      <c r="N58" s="1" t="s">
        <v>33</v>
      </c>
      <c r="P58" s="1" t="s">
        <v>33</v>
      </c>
      <c r="Q58" s="1" t="s">
        <v>151</v>
      </c>
      <c r="R58" s="1" t="s">
        <v>152</v>
      </c>
      <c r="S58" s="4">
        <v>54</v>
      </c>
      <c r="V58" s="4">
        <v>-54</v>
      </c>
      <c r="W58" s="1" t="s">
        <v>50</v>
      </c>
      <c r="X58" s="1" t="s">
        <v>51</v>
      </c>
      <c r="Y58" s="1" t="s">
        <v>33</v>
      </c>
      <c r="AC58" s="1" t="s">
        <v>33</v>
      </c>
      <c r="AD58" s="1" t="s">
        <v>113</v>
      </c>
      <c r="AE58" s="1" t="s">
        <v>33</v>
      </c>
    </row>
    <row r="59" spans="1:31" x14ac:dyDescent="0.25">
      <c r="A59" s="1" t="s">
        <v>31</v>
      </c>
      <c r="B59" s="1" t="s">
        <v>32</v>
      </c>
      <c r="C59" s="1" t="s">
        <v>33</v>
      </c>
      <c r="D59" s="1" t="s">
        <v>135</v>
      </c>
      <c r="E59" s="2">
        <v>46264</v>
      </c>
      <c r="F59" s="1" t="s">
        <v>136</v>
      </c>
      <c r="G59" s="3">
        <v>46264.666666666701</v>
      </c>
      <c r="H59" s="1" t="s">
        <v>36</v>
      </c>
      <c r="I59" s="2">
        <v>46264</v>
      </c>
      <c r="J59" s="3">
        <v>46264.666666666701</v>
      </c>
      <c r="K59" s="1" t="s">
        <v>37</v>
      </c>
      <c r="L59" s="1" t="s">
        <v>38</v>
      </c>
      <c r="M59" s="1" t="s">
        <v>39</v>
      </c>
      <c r="N59" s="1" t="s">
        <v>33</v>
      </c>
      <c r="P59" s="1" t="s">
        <v>33</v>
      </c>
      <c r="Q59" s="1" t="s">
        <v>62</v>
      </c>
      <c r="R59" s="1" t="s">
        <v>63</v>
      </c>
      <c r="S59" s="4">
        <v>96</v>
      </c>
      <c r="V59" s="4">
        <v>-96</v>
      </c>
      <c r="W59" s="1" t="s">
        <v>50</v>
      </c>
      <c r="X59" s="1" t="s">
        <v>51</v>
      </c>
      <c r="Y59" s="1" t="s">
        <v>33</v>
      </c>
      <c r="AC59" s="1" t="s">
        <v>33</v>
      </c>
      <c r="AE59" s="1" t="s">
        <v>33</v>
      </c>
    </row>
    <row r="60" spans="1:31" x14ac:dyDescent="0.25">
      <c r="A60" s="1" t="s">
        <v>31</v>
      </c>
      <c r="B60" s="1" t="s">
        <v>32</v>
      </c>
      <c r="C60" s="1" t="s">
        <v>33</v>
      </c>
      <c r="D60" s="1" t="s">
        <v>135</v>
      </c>
      <c r="E60" s="2">
        <v>46264</v>
      </c>
      <c r="F60" s="1" t="s">
        <v>136</v>
      </c>
      <c r="G60" s="3">
        <v>46264.666666666701</v>
      </c>
      <c r="H60" s="1" t="s">
        <v>36</v>
      </c>
      <c r="I60" s="2">
        <v>46264</v>
      </c>
      <c r="J60" s="3">
        <v>46264.666666666701</v>
      </c>
      <c r="K60" s="1" t="s">
        <v>37</v>
      </c>
      <c r="L60" s="1" t="s">
        <v>38</v>
      </c>
      <c r="M60" s="1" t="s">
        <v>39</v>
      </c>
      <c r="N60" s="1" t="s">
        <v>33</v>
      </c>
      <c r="P60" s="1" t="s">
        <v>33</v>
      </c>
      <c r="Q60" s="1" t="s">
        <v>153</v>
      </c>
      <c r="R60" s="1" t="s">
        <v>154</v>
      </c>
      <c r="S60" s="4">
        <v>803.4</v>
      </c>
      <c r="T60" s="4">
        <v>803.4</v>
      </c>
      <c r="U60" s="4">
        <v>803.4</v>
      </c>
      <c r="Y60" s="1" t="s">
        <v>33</v>
      </c>
      <c r="AC60" s="1" t="s">
        <v>33</v>
      </c>
      <c r="AE60" s="1" t="s">
        <v>33</v>
      </c>
    </row>
    <row r="61" spans="1:31" x14ac:dyDescent="0.25">
      <c r="A61" s="1" t="s">
        <v>31</v>
      </c>
      <c r="B61" s="1" t="s">
        <v>32</v>
      </c>
      <c r="C61" s="1" t="s">
        <v>33</v>
      </c>
      <c r="D61" s="1" t="s">
        <v>135</v>
      </c>
      <c r="E61" s="2">
        <v>46264</v>
      </c>
      <c r="F61" s="1" t="s">
        <v>136</v>
      </c>
      <c r="G61" s="3">
        <v>46264.666666666701</v>
      </c>
      <c r="H61" s="1" t="s">
        <v>36</v>
      </c>
      <c r="I61" s="2">
        <v>46264</v>
      </c>
      <c r="J61" s="3">
        <v>46264.666666666701</v>
      </c>
      <c r="K61" s="1" t="s">
        <v>37</v>
      </c>
      <c r="L61" s="1" t="s">
        <v>38</v>
      </c>
      <c r="M61" s="1" t="s">
        <v>39</v>
      </c>
      <c r="N61" s="1" t="s">
        <v>33</v>
      </c>
      <c r="P61" s="1" t="s">
        <v>33</v>
      </c>
      <c r="Q61" s="1" t="s">
        <v>77</v>
      </c>
      <c r="R61" s="1" t="s">
        <v>78</v>
      </c>
      <c r="S61" s="4">
        <v>5.0999999999999996</v>
      </c>
      <c r="T61" s="4">
        <v>5.0999999999999996</v>
      </c>
      <c r="U61" s="4">
        <v>5.0999999999999996</v>
      </c>
      <c r="Y61" s="1" t="s">
        <v>33</v>
      </c>
      <c r="AC61" s="1" t="s">
        <v>33</v>
      </c>
      <c r="AE61" s="1" t="s">
        <v>33</v>
      </c>
    </row>
    <row r="62" spans="1:31" x14ac:dyDescent="0.25">
      <c r="A62" s="1" t="s">
        <v>31</v>
      </c>
      <c r="B62" s="1" t="s">
        <v>32</v>
      </c>
      <c r="C62" s="1" t="s">
        <v>33</v>
      </c>
      <c r="D62" s="1" t="s">
        <v>135</v>
      </c>
      <c r="E62" s="2">
        <v>46264</v>
      </c>
      <c r="F62" s="1" t="s">
        <v>136</v>
      </c>
      <c r="G62" s="3">
        <v>46264.666666666701</v>
      </c>
      <c r="H62" s="1" t="s">
        <v>36</v>
      </c>
      <c r="I62" s="2">
        <v>46264</v>
      </c>
      <c r="J62" s="3">
        <v>46264.666666666701</v>
      </c>
      <c r="K62" s="1" t="s">
        <v>37</v>
      </c>
      <c r="L62" s="1" t="s">
        <v>38</v>
      </c>
      <c r="M62" s="1" t="s">
        <v>39</v>
      </c>
      <c r="N62" s="1" t="s">
        <v>33</v>
      </c>
      <c r="P62" s="1" t="s">
        <v>33</v>
      </c>
      <c r="Q62" s="1" t="s">
        <v>114</v>
      </c>
      <c r="R62" s="1" t="s">
        <v>115</v>
      </c>
      <c r="S62" s="4">
        <v>1500</v>
      </c>
      <c r="T62" s="4">
        <v>1500</v>
      </c>
      <c r="U62" s="4">
        <v>1500</v>
      </c>
      <c r="Y62" s="1" t="s">
        <v>33</v>
      </c>
      <c r="AC62" s="1" t="s">
        <v>33</v>
      </c>
      <c r="AE62" s="1" t="s">
        <v>33</v>
      </c>
    </row>
    <row r="63" spans="1:31" x14ac:dyDescent="0.25">
      <c r="A63" s="1" t="s">
        <v>31</v>
      </c>
      <c r="B63" s="1" t="s">
        <v>32</v>
      </c>
      <c r="C63" s="1" t="s">
        <v>33</v>
      </c>
      <c r="D63" s="1" t="s">
        <v>135</v>
      </c>
      <c r="E63" s="2">
        <v>46264</v>
      </c>
      <c r="F63" s="1" t="s">
        <v>136</v>
      </c>
      <c r="G63" s="3">
        <v>46264.666666666701</v>
      </c>
      <c r="H63" s="1" t="s">
        <v>36</v>
      </c>
      <c r="I63" s="2">
        <v>46264</v>
      </c>
      <c r="J63" s="3">
        <v>46264.666666666701</v>
      </c>
      <c r="K63" s="1" t="s">
        <v>37</v>
      </c>
      <c r="L63" s="1" t="s">
        <v>38</v>
      </c>
      <c r="M63" s="1" t="s">
        <v>39</v>
      </c>
      <c r="N63" s="1" t="s">
        <v>33</v>
      </c>
      <c r="P63" s="1" t="s">
        <v>33</v>
      </c>
      <c r="Q63" s="1" t="s">
        <v>155</v>
      </c>
      <c r="R63" s="1" t="s">
        <v>156</v>
      </c>
      <c r="S63" s="4">
        <v>750</v>
      </c>
      <c r="T63" s="4">
        <v>750</v>
      </c>
      <c r="U63" s="4">
        <v>750</v>
      </c>
      <c r="Y63" s="1" t="s">
        <v>33</v>
      </c>
      <c r="AC63" s="1" t="s">
        <v>33</v>
      </c>
      <c r="AE63" s="1" t="s">
        <v>33</v>
      </c>
    </row>
    <row r="64" spans="1:31" x14ac:dyDescent="0.25">
      <c r="A64" s="1" t="s">
        <v>31</v>
      </c>
      <c r="B64" s="1" t="s">
        <v>32</v>
      </c>
      <c r="C64" s="1" t="s">
        <v>33</v>
      </c>
      <c r="D64" s="1" t="s">
        <v>135</v>
      </c>
      <c r="E64" s="2">
        <v>46264</v>
      </c>
      <c r="F64" s="1" t="s">
        <v>136</v>
      </c>
      <c r="G64" s="3">
        <v>46264.666666666701</v>
      </c>
      <c r="H64" s="1" t="s">
        <v>36</v>
      </c>
      <c r="I64" s="2">
        <v>46264</v>
      </c>
      <c r="J64" s="3">
        <v>46264.666666666701</v>
      </c>
      <c r="K64" s="1" t="s">
        <v>37</v>
      </c>
      <c r="L64" s="1" t="s">
        <v>38</v>
      </c>
      <c r="M64" s="1" t="s">
        <v>39</v>
      </c>
      <c r="N64" s="1" t="s">
        <v>33</v>
      </c>
      <c r="P64" s="1" t="s">
        <v>33</v>
      </c>
      <c r="Q64" s="1" t="s">
        <v>116</v>
      </c>
      <c r="R64" s="1" t="s">
        <v>117</v>
      </c>
      <c r="S64" s="4">
        <v>1500</v>
      </c>
      <c r="T64" s="4">
        <v>1500</v>
      </c>
      <c r="U64" s="4">
        <v>1500</v>
      </c>
      <c r="Y64" s="1" t="s">
        <v>33</v>
      </c>
      <c r="AC64" s="1" t="s">
        <v>33</v>
      </c>
      <c r="AE64" s="1" t="s">
        <v>33</v>
      </c>
    </row>
    <row r="65" spans="1:31" x14ac:dyDescent="0.25">
      <c r="A65" s="1" t="s">
        <v>31</v>
      </c>
      <c r="B65" s="1" t="s">
        <v>32</v>
      </c>
      <c r="C65" s="1" t="s">
        <v>33</v>
      </c>
      <c r="D65" s="1" t="s">
        <v>135</v>
      </c>
      <c r="E65" s="2">
        <v>46264</v>
      </c>
      <c r="F65" s="1" t="s">
        <v>136</v>
      </c>
      <c r="G65" s="3">
        <v>46264.666666666701</v>
      </c>
      <c r="H65" s="1" t="s">
        <v>36</v>
      </c>
      <c r="I65" s="2">
        <v>46264</v>
      </c>
      <c r="J65" s="3">
        <v>46264.666666666701</v>
      </c>
      <c r="K65" s="1" t="s">
        <v>37</v>
      </c>
      <c r="L65" s="1" t="s">
        <v>38</v>
      </c>
      <c r="M65" s="1" t="s">
        <v>39</v>
      </c>
      <c r="N65" s="1" t="s">
        <v>33</v>
      </c>
      <c r="P65" s="1" t="s">
        <v>33</v>
      </c>
      <c r="Q65" s="1" t="s">
        <v>129</v>
      </c>
      <c r="R65" s="1" t="s">
        <v>130</v>
      </c>
      <c r="S65" s="4">
        <v>750</v>
      </c>
      <c r="T65" s="4">
        <v>750</v>
      </c>
      <c r="U65" s="4">
        <v>750</v>
      </c>
      <c r="Y65" s="1" t="s">
        <v>33</v>
      </c>
      <c r="AC65" s="1" t="s">
        <v>33</v>
      </c>
      <c r="AE65" s="1" t="s">
        <v>33</v>
      </c>
    </row>
    <row r="66" spans="1:31" x14ac:dyDescent="0.25">
      <c r="A66" s="1" t="s">
        <v>31</v>
      </c>
      <c r="B66" s="1" t="s">
        <v>32</v>
      </c>
      <c r="C66" s="1" t="s">
        <v>33</v>
      </c>
      <c r="D66" s="1" t="s">
        <v>135</v>
      </c>
      <c r="E66" s="2">
        <v>46264</v>
      </c>
      <c r="F66" s="1" t="s">
        <v>136</v>
      </c>
      <c r="G66" s="3">
        <v>46264.666666666701</v>
      </c>
      <c r="H66" s="1" t="s">
        <v>36</v>
      </c>
      <c r="I66" s="2">
        <v>46264</v>
      </c>
      <c r="J66" s="3">
        <v>46264.666666666701</v>
      </c>
      <c r="K66" s="1" t="s">
        <v>37</v>
      </c>
      <c r="L66" s="1" t="s">
        <v>38</v>
      </c>
      <c r="M66" s="1" t="s">
        <v>39</v>
      </c>
      <c r="N66" s="1" t="s">
        <v>33</v>
      </c>
      <c r="P66" s="1" t="s">
        <v>33</v>
      </c>
      <c r="Q66" s="1" t="s">
        <v>157</v>
      </c>
      <c r="R66" s="1" t="s">
        <v>158</v>
      </c>
      <c r="S66" s="4">
        <v>207</v>
      </c>
      <c r="V66" s="4">
        <v>-207</v>
      </c>
      <c r="W66" s="1" t="s">
        <v>50</v>
      </c>
      <c r="X66" s="1" t="s">
        <v>51</v>
      </c>
      <c r="Y66" s="1" t="s">
        <v>33</v>
      </c>
      <c r="AC66" s="1" t="s">
        <v>33</v>
      </c>
      <c r="AD66" s="1" t="s">
        <v>113</v>
      </c>
      <c r="AE66" s="1" t="s">
        <v>33</v>
      </c>
    </row>
    <row r="67" spans="1:31" x14ac:dyDescent="0.25">
      <c r="A67" s="1" t="s">
        <v>31</v>
      </c>
      <c r="B67" s="1" t="s">
        <v>32</v>
      </c>
      <c r="C67" s="1" t="s">
        <v>33</v>
      </c>
      <c r="D67" s="1" t="s">
        <v>135</v>
      </c>
      <c r="E67" s="2">
        <v>46264</v>
      </c>
      <c r="F67" s="1" t="s">
        <v>136</v>
      </c>
      <c r="G67" s="3">
        <v>46264.666666666701</v>
      </c>
      <c r="H67" s="1" t="s">
        <v>36</v>
      </c>
      <c r="I67" s="2">
        <v>46264</v>
      </c>
      <c r="J67" s="3">
        <v>46264.666666666701</v>
      </c>
      <c r="K67" s="1" t="s">
        <v>37</v>
      </c>
      <c r="L67" s="1" t="s">
        <v>38</v>
      </c>
      <c r="M67" s="1" t="s">
        <v>39</v>
      </c>
      <c r="N67" s="1" t="s">
        <v>33</v>
      </c>
      <c r="P67" s="1" t="s">
        <v>33</v>
      </c>
      <c r="Q67" s="1" t="s">
        <v>159</v>
      </c>
      <c r="R67" s="1" t="s">
        <v>160</v>
      </c>
      <c r="S67" s="4">
        <v>43.2</v>
      </c>
      <c r="T67" s="4">
        <v>43.2</v>
      </c>
      <c r="U67" s="4">
        <v>43.2</v>
      </c>
      <c r="Y67" s="1" t="s">
        <v>33</v>
      </c>
      <c r="AC67" s="1" t="s">
        <v>33</v>
      </c>
      <c r="AE67" s="1" t="s">
        <v>33</v>
      </c>
    </row>
    <row r="68" spans="1:31" x14ac:dyDescent="0.25">
      <c r="A68" s="1" t="s">
        <v>31</v>
      </c>
      <c r="B68" s="1" t="s">
        <v>32</v>
      </c>
      <c r="C68" s="1" t="s">
        <v>33</v>
      </c>
      <c r="D68" s="1" t="s">
        <v>135</v>
      </c>
      <c r="E68" s="2">
        <v>46264</v>
      </c>
      <c r="F68" s="1" t="s">
        <v>136</v>
      </c>
      <c r="G68" s="3">
        <v>46264.666666666701</v>
      </c>
      <c r="H68" s="1" t="s">
        <v>36</v>
      </c>
      <c r="I68" s="2">
        <v>46264</v>
      </c>
      <c r="J68" s="3">
        <v>46264.666666666701</v>
      </c>
      <c r="K68" s="1" t="s">
        <v>37</v>
      </c>
      <c r="L68" s="1" t="s">
        <v>38</v>
      </c>
      <c r="M68" s="1" t="s">
        <v>39</v>
      </c>
      <c r="N68" s="1" t="s">
        <v>33</v>
      </c>
      <c r="P68" s="1" t="s">
        <v>33</v>
      </c>
      <c r="Q68" s="1" t="s">
        <v>131</v>
      </c>
      <c r="R68" s="1" t="s">
        <v>132</v>
      </c>
      <c r="S68" s="4">
        <v>702.24</v>
      </c>
      <c r="T68" s="4">
        <v>702.24</v>
      </c>
      <c r="U68" s="4">
        <v>702.24</v>
      </c>
      <c r="Y68" s="1" t="s">
        <v>33</v>
      </c>
      <c r="AC68" s="1" t="s">
        <v>33</v>
      </c>
      <c r="AE68" s="1" t="s">
        <v>33</v>
      </c>
    </row>
    <row r="69" spans="1:31" x14ac:dyDescent="0.25">
      <c r="A69" s="1" t="s">
        <v>31</v>
      </c>
      <c r="B69" s="1" t="s">
        <v>32</v>
      </c>
      <c r="C69" s="1" t="s">
        <v>33</v>
      </c>
      <c r="D69" s="1" t="s">
        <v>135</v>
      </c>
      <c r="E69" s="2">
        <v>46264</v>
      </c>
      <c r="F69" s="1" t="s">
        <v>136</v>
      </c>
      <c r="G69" s="3">
        <v>46264.666666666701</v>
      </c>
      <c r="H69" s="1" t="s">
        <v>36</v>
      </c>
      <c r="I69" s="2">
        <v>46264</v>
      </c>
      <c r="J69" s="3">
        <v>46264.666666666701</v>
      </c>
      <c r="K69" s="1" t="s">
        <v>37</v>
      </c>
      <c r="L69" s="1" t="s">
        <v>38</v>
      </c>
      <c r="M69" s="1" t="s">
        <v>39</v>
      </c>
      <c r="N69" s="1" t="s">
        <v>33</v>
      </c>
      <c r="P69" s="1" t="s">
        <v>33</v>
      </c>
      <c r="Q69" s="1" t="s">
        <v>123</v>
      </c>
      <c r="R69" s="1" t="s">
        <v>124</v>
      </c>
      <c r="S69" s="4">
        <v>702.24</v>
      </c>
      <c r="T69" s="4">
        <v>702.24</v>
      </c>
      <c r="U69" s="4">
        <v>702.24</v>
      </c>
      <c r="Y69" s="1" t="s">
        <v>33</v>
      </c>
      <c r="AC69" s="1" t="s">
        <v>33</v>
      </c>
      <c r="AE69" s="1" t="s">
        <v>33</v>
      </c>
    </row>
    <row r="70" spans="1:31" x14ac:dyDescent="0.25">
      <c r="A70" s="1" t="s">
        <v>31</v>
      </c>
      <c r="B70" s="1" t="s">
        <v>32</v>
      </c>
      <c r="C70" s="1" t="s">
        <v>33</v>
      </c>
      <c r="D70" s="1" t="s">
        <v>135</v>
      </c>
      <c r="E70" s="2">
        <v>46264</v>
      </c>
      <c r="F70" s="1" t="s">
        <v>136</v>
      </c>
      <c r="G70" s="3">
        <v>46264.666666666701</v>
      </c>
      <c r="H70" s="1" t="s">
        <v>36</v>
      </c>
      <c r="I70" s="2">
        <v>46264</v>
      </c>
      <c r="J70" s="3">
        <v>46264.666666666701</v>
      </c>
      <c r="K70" s="1" t="s">
        <v>37</v>
      </c>
      <c r="L70" s="1" t="s">
        <v>38</v>
      </c>
      <c r="M70" s="1" t="s">
        <v>39</v>
      </c>
      <c r="N70" s="1" t="s">
        <v>33</v>
      </c>
      <c r="P70" s="1" t="s">
        <v>33</v>
      </c>
      <c r="Q70" s="1" t="s">
        <v>161</v>
      </c>
      <c r="R70" s="1" t="s">
        <v>162</v>
      </c>
      <c r="S70" s="4">
        <v>501.6</v>
      </c>
      <c r="T70" s="4">
        <v>501.6</v>
      </c>
      <c r="U70" s="4">
        <v>501.6</v>
      </c>
      <c r="Y70" s="1" t="s">
        <v>33</v>
      </c>
      <c r="AC70" s="1" t="s">
        <v>33</v>
      </c>
      <c r="AE70" s="1" t="s">
        <v>33</v>
      </c>
    </row>
    <row r="71" spans="1:31" x14ac:dyDescent="0.25">
      <c r="A71" s="1" t="s">
        <v>31</v>
      </c>
      <c r="B71" s="1" t="s">
        <v>32</v>
      </c>
      <c r="C71" s="1" t="s">
        <v>33</v>
      </c>
      <c r="D71" s="1" t="s">
        <v>135</v>
      </c>
      <c r="E71" s="2">
        <v>46264</v>
      </c>
      <c r="F71" s="1" t="s">
        <v>136</v>
      </c>
      <c r="G71" s="3">
        <v>46264.666666666701</v>
      </c>
      <c r="H71" s="1" t="s">
        <v>36</v>
      </c>
      <c r="I71" s="2">
        <v>46264</v>
      </c>
      <c r="J71" s="3">
        <v>46264.666666666701</v>
      </c>
      <c r="K71" s="1" t="s">
        <v>37</v>
      </c>
      <c r="L71" s="1" t="s">
        <v>38</v>
      </c>
      <c r="M71" s="1" t="s">
        <v>39</v>
      </c>
      <c r="N71" s="1" t="s">
        <v>33</v>
      </c>
      <c r="P71" s="1" t="s">
        <v>33</v>
      </c>
      <c r="Q71" s="1" t="s">
        <v>163</v>
      </c>
      <c r="R71" s="1" t="s">
        <v>164</v>
      </c>
      <c r="S71" s="4">
        <v>108</v>
      </c>
      <c r="T71" s="4">
        <v>108</v>
      </c>
      <c r="U71" s="4">
        <v>108</v>
      </c>
      <c r="Y71" s="1" t="s">
        <v>33</v>
      </c>
      <c r="AC71" s="1" t="s">
        <v>33</v>
      </c>
      <c r="AE71" s="1" t="s">
        <v>33</v>
      </c>
    </row>
    <row r="72" spans="1:31" x14ac:dyDescent="0.25">
      <c r="A72" s="1" t="s">
        <v>31</v>
      </c>
      <c r="B72" s="1" t="s">
        <v>32</v>
      </c>
      <c r="C72" s="1" t="s">
        <v>33</v>
      </c>
      <c r="D72" s="1" t="s">
        <v>135</v>
      </c>
      <c r="E72" s="2">
        <v>46264</v>
      </c>
      <c r="F72" s="1" t="s">
        <v>136</v>
      </c>
      <c r="G72" s="3">
        <v>46264.666666666701</v>
      </c>
      <c r="H72" s="1" t="s">
        <v>36</v>
      </c>
      <c r="I72" s="2">
        <v>46264</v>
      </c>
      <c r="J72" s="3">
        <v>46264.666666666701</v>
      </c>
      <c r="K72" s="1" t="s">
        <v>37</v>
      </c>
      <c r="L72" s="1" t="s">
        <v>38</v>
      </c>
      <c r="M72" s="1" t="s">
        <v>39</v>
      </c>
      <c r="N72" s="1" t="s">
        <v>33</v>
      </c>
      <c r="P72" s="1" t="s">
        <v>33</v>
      </c>
      <c r="Q72" s="1" t="s">
        <v>165</v>
      </c>
      <c r="R72" s="1" t="s">
        <v>166</v>
      </c>
      <c r="S72" s="4">
        <v>81</v>
      </c>
      <c r="V72" s="4">
        <v>-81</v>
      </c>
      <c r="W72" s="1" t="s">
        <v>61</v>
      </c>
      <c r="Y72" s="1" t="s">
        <v>33</v>
      </c>
      <c r="AC72" s="1" t="s">
        <v>33</v>
      </c>
      <c r="AE72" s="1" t="s">
        <v>33</v>
      </c>
    </row>
    <row r="73" spans="1:31" x14ac:dyDescent="0.25">
      <c r="A73" s="1" t="s">
        <v>31</v>
      </c>
      <c r="B73" s="1" t="s">
        <v>32</v>
      </c>
      <c r="C73" s="1" t="s">
        <v>33</v>
      </c>
      <c r="D73" s="1" t="s">
        <v>135</v>
      </c>
      <c r="E73" s="2">
        <v>46264</v>
      </c>
      <c r="F73" s="1" t="s">
        <v>136</v>
      </c>
      <c r="G73" s="3">
        <v>46264.666666666701</v>
      </c>
      <c r="H73" s="1" t="s">
        <v>36</v>
      </c>
      <c r="I73" s="2">
        <v>46264</v>
      </c>
      <c r="J73" s="3">
        <v>46264.666666666701</v>
      </c>
      <c r="K73" s="1" t="s">
        <v>37</v>
      </c>
      <c r="L73" s="1" t="s">
        <v>38</v>
      </c>
      <c r="M73" s="1" t="s">
        <v>39</v>
      </c>
      <c r="N73" s="1" t="s">
        <v>33</v>
      </c>
      <c r="P73" s="1" t="s">
        <v>33</v>
      </c>
      <c r="Q73" s="1" t="s">
        <v>125</v>
      </c>
      <c r="R73" s="1" t="s">
        <v>126</v>
      </c>
      <c r="S73" s="4">
        <v>108</v>
      </c>
      <c r="T73" s="4">
        <v>108</v>
      </c>
      <c r="U73" s="4">
        <v>108</v>
      </c>
      <c r="Y73" s="1" t="s">
        <v>33</v>
      </c>
      <c r="AC73" s="1" t="s">
        <v>33</v>
      </c>
      <c r="AE73" s="1" t="s">
        <v>33</v>
      </c>
    </row>
    <row r="74" spans="1:31" x14ac:dyDescent="0.25">
      <c r="A74" s="1" t="s">
        <v>31</v>
      </c>
      <c r="B74" s="1" t="s">
        <v>32</v>
      </c>
      <c r="C74" s="1" t="s">
        <v>33</v>
      </c>
      <c r="D74" s="1" t="s">
        <v>167</v>
      </c>
      <c r="E74" s="2">
        <v>46264</v>
      </c>
      <c r="F74" s="1" t="s">
        <v>168</v>
      </c>
      <c r="G74" s="3">
        <v>46264.666666666701</v>
      </c>
      <c r="H74" s="1" t="s">
        <v>36</v>
      </c>
      <c r="I74" s="2">
        <v>46264</v>
      </c>
      <c r="J74" s="3">
        <v>46264.666666666701</v>
      </c>
      <c r="K74" s="1" t="s">
        <v>37</v>
      </c>
      <c r="L74" s="1" t="s">
        <v>38</v>
      </c>
      <c r="M74" s="1" t="s">
        <v>39</v>
      </c>
      <c r="N74" s="1" t="s">
        <v>33</v>
      </c>
      <c r="P74" s="1" t="s">
        <v>33</v>
      </c>
      <c r="Q74" s="1" t="s">
        <v>118</v>
      </c>
      <c r="R74" s="1" t="s">
        <v>119</v>
      </c>
      <c r="S74" s="4">
        <v>5004</v>
      </c>
      <c r="T74" s="4">
        <v>5004</v>
      </c>
      <c r="U74" s="4">
        <v>5004</v>
      </c>
      <c r="W74" s="1" t="s">
        <v>120</v>
      </c>
      <c r="Y74" s="1" t="s">
        <v>33</v>
      </c>
      <c r="AC74" s="1" t="s">
        <v>33</v>
      </c>
      <c r="AE74" s="1" t="s">
        <v>33</v>
      </c>
    </row>
    <row r="75" spans="1:31" x14ac:dyDescent="0.25">
      <c r="A75" s="1" t="s">
        <v>97</v>
      </c>
      <c r="B75" s="1" t="s">
        <v>98</v>
      </c>
      <c r="C75" s="1" t="s">
        <v>33</v>
      </c>
      <c r="D75" s="1" t="s">
        <v>169</v>
      </c>
      <c r="E75" s="2">
        <v>46264</v>
      </c>
      <c r="F75" s="1" t="s">
        <v>170</v>
      </c>
      <c r="G75" s="3">
        <v>46264.666666666701</v>
      </c>
      <c r="H75" s="1" t="s">
        <v>171</v>
      </c>
      <c r="I75" s="2">
        <v>46264</v>
      </c>
      <c r="J75" s="3">
        <v>46264.666666666701</v>
      </c>
      <c r="K75" s="1" t="s">
        <v>172</v>
      </c>
      <c r="L75" s="1" t="s">
        <v>38</v>
      </c>
      <c r="M75" s="1" t="s">
        <v>39</v>
      </c>
      <c r="N75" s="1" t="s">
        <v>33</v>
      </c>
      <c r="P75" s="1" t="s">
        <v>33</v>
      </c>
      <c r="Q75" s="1" t="s">
        <v>173</v>
      </c>
      <c r="R75" s="1" t="s">
        <v>174</v>
      </c>
      <c r="S75" s="4">
        <v>32.4</v>
      </c>
      <c r="T75" s="4">
        <v>32.4</v>
      </c>
      <c r="U75" s="4">
        <v>32.4</v>
      </c>
      <c r="Y75" s="1" t="s">
        <v>33</v>
      </c>
      <c r="AC75" s="1" t="s">
        <v>33</v>
      </c>
      <c r="AE75" s="1" t="s">
        <v>33</v>
      </c>
    </row>
    <row r="76" spans="1:31" x14ac:dyDescent="0.25">
      <c r="A76" s="1" t="s">
        <v>97</v>
      </c>
      <c r="B76" s="1" t="s">
        <v>98</v>
      </c>
      <c r="C76" s="1" t="s">
        <v>33</v>
      </c>
      <c r="D76" s="1" t="s">
        <v>169</v>
      </c>
      <c r="E76" s="2">
        <v>46264</v>
      </c>
      <c r="F76" s="1" t="s">
        <v>170</v>
      </c>
      <c r="G76" s="3">
        <v>46264.666666666701</v>
      </c>
      <c r="H76" s="1" t="s">
        <v>171</v>
      </c>
      <c r="I76" s="2">
        <v>46264</v>
      </c>
      <c r="J76" s="3">
        <v>46264.666666666701</v>
      </c>
      <c r="K76" s="1" t="s">
        <v>172</v>
      </c>
      <c r="L76" s="1" t="s">
        <v>38</v>
      </c>
      <c r="M76" s="1" t="s">
        <v>39</v>
      </c>
      <c r="N76" s="1" t="s">
        <v>33</v>
      </c>
      <c r="P76" s="1" t="s">
        <v>33</v>
      </c>
      <c r="Q76" s="1" t="s">
        <v>175</v>
      </c>
      <c r="R76" s="1" t="s">
        <v>176</v>
      </c>
      <c r="S76" s="4">
        <v>33.6</v>
      </c>
      <c r="T76" s="4">
        <v>33.6</v>
      </c>
      <c r="U76" s="4">
        <v>33.6</v>
      </c>
      <c r="Y76" s="1" t="s">
        <v>33</v>
      </c>
      <c r="AC76" s="1" t="s">
        <v>33</v>
      </c>
      <c r="AE76" s="1" t="s">
        <v>33</v>
      </c>
    </row>
    <row r="77" spans="1:31" x14ac:dyDescent="0.25">
      <c r="A77" s="1" t="s">
        <v>97</v>
      </c>
      <c r="B77" s="1" t="s">
        <v>98</v>
      </c>
      <c r="C77" s="1" t="s">
        <v>33</v>
      </c>
      <c r="D77" s="1" t="s">
        <v>169</v>
      </c>
      <c r="E77" s="2">
        <v>46264</v>
      </c>
      <c r="F77" s="1" t="s">
        <v>170</v>
      </c>
      <c r="G77" s="3">
        <v>46264.666666666701</v>
      </c>
      <c r="H77" s="1" t="s">
        <v>171</v>
      </c>
      <c r="I77" s="2">
        <v>46264</v>
      </c>
      <c r="J77" s="3">
        <v>46264.666666666701</v>
      </c>
      <c r="K77" s="1" t="s">
        <v>172</v>
      </c>
      <c r="L77" s="1" t="s">
        <v>38</v>
      </c>
      <c r="M77" s="1" t="s">
        <v>39</v>
      </c>
      <c r="N77" s="1" t="s">
        <v>33</v>
      </c>
      <c r="P77" s="1" t="s">
        <v>33</v>
      </c>
      <c r="Q77" s="1" t="s">
        <v>177</v>
      </c>
      <c r="R77" s="1" t="s">
        <v>178</v>
      </c>
      <c r="S77" s="4">
        <v>36</v>
      </c>
      <c r="T77" s="4">
        <v>36</v>
      </c>
      <c r="U77" s="4">
        <v>36</v>
      </c>
      <c r="Y77" s="1" t="s">
        <v>33</v>
      </c>
      <c r="AC77" s="1" t="s">
        <v>33</v>
      </c>
      <c r="AE77" s="1" t="s">
        <v>33</v>
      </c>
    </row>
    <row r="78" spans="1:31" x14ac:dyDescent="0.25">
      <c r="A78" s="1" t="s">
        <v>97</v>
      </c>
      <c r="B78" s="1" t="s">
        <v>98</v>
      </c>
      <c r="C78" s="1" t="s">
        <v>33</v>
      </c>
      <c r="D78" s="1" t="s">
        <v>169</v>
      </c>
      <c r="E78" s="2">
        <v>46264</v>
      </c>
      <c r="F78" s="1" t="s">
        <v>170</v>
      </c>
      <c r="G78" s="3">
        <v>46264.666666666701</v>
      </c>
      <c r="H78" s="1" t="s">
        <v>171</v>
      </c>
      <c r="I78" s="2">
        <v>46264</v>
      </c>
      <c r="J78" s="3">
        <v>46264.666666666701</v>
      </c>
      <c r="K78" s="1" t="s">
        <v>172</v>
      </c>
      <c r="L78" s="1" t="s">
        <v>38</v>
      </c>
      <c r="M78" s="1" t="s">
        <v>39</v>
      </c>
      <c r="N78" s="1" t="s">
        <v>33</v>
      </c>
      <c r="P78" s="1" t="s">
        <v>33</v>
      </c>
      <c r="Q78" s="1" t="s">
        <v>179</v>
      </c>
      <c r="R78" s="1" t="s">
        <v>180</v>
      </c>
      <c r="S78" s="4">
        <v>72</v>
      </c>
      <c r="T78" s="4">
        <v>72</v>
      </c>
      <c r="U78" s="4">
        <v>72</v>
      </c>
      <c r="Y78" s="1" t="s">
        <v>33</v>
      </c>
      <c r="AC78" s="1" t="s">
        <v>33</v>
      </c>
      <c r="AE78" s="1" t="s">
        <v>33</v>
      </c>
    </row>
    <row r="79" spans="1:31" x14ac:dyDescent="0.25">
      <c r="A79" s="1" t="s">
        <v>97</v>
      </c>
      <c r="B79" s="1" t="s">
        <v>98</v>
      </c>
      <c r="C79" s="1" t="s">
        <v>33</v>
      </c>
      <c r="D79" s="1" t="s">
        <v>169</v>
      </c>
      <c r="E79" s="2">
        <v>46264</v>
      </c>
      <c r="F79" s="1" t="s">
        <v>170</v>
      </c>
      <c r="G79" s="3">
        <v>46264.666666666701</v>
      </c>
      <c r="H79" s="1" t="s">
        <v>171</v>
      </c>
      <c r="I79" s="2">
        <v>46264</v>
      </c>
      <c r="J79" s="3">
        <v>46264.666666666701</v>
      </c>
      <c r="K79" s="1" t="s">
        <v>172</v>
      </c>
      <c r="L79" s="1" t="s">
        <v>38</v>
      </c>
      <c r="M79" s="1" t="s">
        <v>39</v>
      </c>
      <c r="N79" s="1" t="s">
        <v>33</v>
      </c>
      <c r="P79" s="1" t="s">
        <v>33</v>
      </c>
      <c r="Q79" s="1" t="s">
        <v>137</v>
      </c>
      <c r="R79" s="1" t="s">
        <v>138</v>
      </c>
      <c r="S79" s="4">
        <v>151.19999999999999</v>
      </c>
      <c r="T79" s="4">
        <v>151.19999999999999</v>
      </c>
      <c r="U79" s="4">
        <v>151.19999999999999</v>
      </c>
      <c r="Y79" s="1" t="s">
        <v>33</v>
      </c>
      <c r="AC79" s="1" t="s">
        <v>33</v>
      </c>
      <c r="AE79" s="1" t="s">
        <v>33</v>
      </c>
    </row>
    <row r="80" spans="1:31" x14ac:dyDescent="0.25">
      <c r="A80" s="1" t="s">
        <v>97</v>
      </c>
      <c r="B80" s="1" t="s">
        <v>98</v>
      </c>
      <c r="C80" s="1" t="s">
        <v>33</v>
      </c>
      <c r="D80" s="1" t="s">
        <v>169</v>
      </c>
      <c r="E80" s="2">
        <v>46264</v>
      </c>
      <c r="F80" s="1" t="s">
        <v>170</v>
      </c>
      <c r="G80" s="3">
        <v>46264.666666666701</v>
      </c>
      <c r="H80" s="1" t="s">
        <v>171</v>
      </c>
      <c r="I80" s="2">
        <v>46264</v>
      </c>
      <c r="J80" s="3">
        <v>46264.666666666701</v>
      </c>
      <c r="K80" s="1" t="s">
        <v>172</v>
      </c>
      <c r="L80" s="1" t="s">
        <v>38</v>
      </c>
      <c r="M80" s="1" t="s">
        <v>39</v>
      </c>
      <c r="N80" s="1" t="s">
        <v>33</v>
      </c>
      <c r="P80" s="1" t="s">
        <v>33</v>
      </c>
      <c r="Q80" s="1" t="s">
        <v>181</v>
      </c>
      <c r="R80" s="1" t="s">
        <v>182</v>
      </c>
      <c r="S80" s="4">
        <v>109.2</v>
      </c>
      <c r="T80" s="4">
        <v>109.2</v>
      </c>
      <c r="U80" s="4">
        <v>109.2</v>
      </c>
      <c r="Y80" s="1" t="s">
        <v>33</v>
      </c>
      <c r="AC80" s="1" t="s">
        <v>33</v>
      </c>
      <c r="AE80" s="1" t="s">
        <v>33</v>
      </c>
    </row>
    <row r="81" spans="1:31" x14ac:dyDescent="0.25">
      <c r="A81" s="1" t="s">
        <v>97</v>
      </c>
      <c r="B81" s="1" t="s">
        <v>98</v>
      </c>
      <c r="C81" s="1" t="s">
        <v>33</v>
      </c>
      <c r="D81" s="1" t="s">
        <v>169</v>
      </c>
      <c r="E81" s="2">
        <v>46264</v>
      </c>
      <c r="F81" s="1" t="s">
        <v>170</v>
      </c>
      <c r="G81" s="3">
        <v>46264.666666666701</v>
      </c>
      <c r="H81" s="1" t="s">
        <v>171</v>
      </c>
      <c r="I81" s="2">
        <v>46264</v>
      </c>
      <c r="J81" s="3">
        <v>46264.666666666701</v>
      </c>
      <c r="K81" s="1" t="s">
        <v>172</v>
      </c>
      <c r="L81" s="1" t="s">
        <v>38</v>
      </c>
      <c r="M81" s="1" t="s">
        <v>39</v>
      </c>
      <c r="N81" s="1" t="s">
        <v>33</v>
      </c>
      <c r="P81" s="1" t="s">
        <v>33</v>
      </c>
      <c r="Q81" s="1" t="s">
        <v>183</v>
      </c>
      <c r="R81" s="1" t="s">
        <v>184</v>
      </c>
      <c r="S81" s="4">
        <v>1.7</v>
      </c>
      <c r="T81" s="4">
        <v>1.7</v>
      </c>
      <c r="U81" s="4">
        <v>1.7</v>
      </c>
      <c r="Y81" s="1" t="s">
        <v>33</v>
      </c>
      <c r="AC81" s="1" t="s">
        <v>33</v>
      </c>
      <c r="AE81" s="1" t="s">
        <v>33</v>
      </c>
    </row>
    <row r="82" spans="1:31" x14ac:dyDescent="0.25">
      <c r="A82" s="1" t="s">
        <v>97</v>
      </c>
      <c r="B82" s="1" t="s">
        <v>98</v>
      </c>
      <c r="C82" s="1" t="s">
        <v>33</v>
      </c>
      <c r="D82" s="1" t="s">
        <v>169</v>
      </c>
      <c r="E82" s="2">
        <v>46264</v>
      </c>
      <c r="F82" s="1" t="s">
        <v>170</v>
      </c>
      <c r="G82" s="3">
        <v>46264.666666666701</v>
      </c>
      <c r="H82" s="1" t="s">
        <v>171</v>
      </c>
      <c r="I82" s="2">
        <v>46264</v>
      </c>
      <c r="J82" s="3">
        <v>46264.666666666701</v>
      </c>
      <c r="K82" s="1" t="s">
        <v>172</v>
      </c>
      <c r="L82" s="1" t="s">
        <v>38</v>
      </c>
      <c r="M82" s="1" t="s">
        <v>39</v>
      </c>
      <c r="N82" s="1" t="s">
        <v>33</v>
      </c>
      <c r="P82" s="1" t="s">
        <v>33</v>
      </c>
      <c r="Q82" s="1" t="s">
        <v>185</v>
      </c>
      <c r="R82" s="1" t="s">
        <v>186</v>
      </c>
      <c r="S82" s="4">
        <v>54</v>
      </c>
      <c r="T82" s="4">
        <v>54</v>
      </c>
      <c r="U82" s="4">
        <v>54</v>
      </c>
      <c r="Y82" s="1" t="s">
        <v>33</v>
      </c>
      <c r="AC82" s="1" t="s">
        <v>33</v>
      </c>
      <c r="AE82" s="1" t="s">
        <v>33</v>
      </c>
    </row>
    <row r="83" spans="1:31" x14ac:dyDescent="0.25">
      <c r="A83" s="1" t="s">
        <v>97</v>
      </c>
      <c r="B83" s="1" t="s">
        <v>98</v>
      </c>
      <c r="C83" s="1" t="s">
        <v>33</v>
      </c>
      <c r="D83" s="1" t="s">
        <v>169</v>
      </c>
      <c r="E83" s="2">
        <v>46264</v>
      </c>
      <c r="F83" s="1" t="s">
        <v>170</v>
      </c>
      <c r="G83" s="3">
        <v>46264.666666666701</v>
      </c>
      <c r="H83" s="1" t="s">
        <v>171</v>
      </c>
      <c r="I83" s="2">
        <v>46264</v>
      </c>
      <c r="J83" s="3">
        <v>46264.666666666701</v>
      </c>
      <c r="K83" s="1" t="s">
        <v>172</v>
      </c>
      <c r="L83" s="1" t="s">
        <v>38</v>
      </c>
      <c r="M83" s="1" t="s">
        <v>39</v>
      </c>
      <c r="N83" s="1" t="s">
        <v>33</v>
      </c>
      <c r="P83" s="1" t="s">
        <v>33</v>
      </c>
      <c r="Q83" s="1" t="s">
        <v>139</v>
      </c>
      <c r="R83" s="1" t="s">
        <v>140</v>
      </c>
      <c r="S83" s="4">
        <v>542.70000000000005</v>
      </c>
      <c r="T83" s="4">
        <v>542.70000000000005</v>
      </c>
      <c r="U83" s="4">
        <v>542.70000000000005</v>
      </c>
      <c r="Y83" s="1" t="s">
        <v>33</v>
      </c>
      <c r="AC83" s="1" t="s">
        <v>33</v>
      </c>
      <c r="AE83" s="1" t="s">
        <v>33</v>
      </c>
    </row>
    <row r="84" spans="1:31" x14ac:dyDescent="0.25">
      <c r="A84" s="1" t="s">
        <v>97</v>
      </c>
      <c r="B84" s="1" t="s">
        <v>98</v>
      </c>
      <c r="C84" s="1" t="s">
        <v>33</v>
      </c>
      <c r="D84" s="1" t="s">
        <v>169</v>
      </c>
      <c r="E84" s="2">
        <v>46264</v>
      </c>
      <c r="F84" s="1" t="s">
        <v>170</v>
      </c>
      <c r="G84" s="3">
        <v>46264.666666666701</v>
      </c>
      <c r="H84" s="1" t="s">
        <v>171</v>
      </c>
      <c r="I84" s="2">
        <v>46264</v>
      </c>
      <c r="J84" s="3">
        <v>46264.666666666701</v>
      </c>
      <c r="K84" s="1" t="s">
        <v>172</v>
      </c>
      <c r="L84" s="1" t="s">
        <v>38</v>
      </c>
      <c r="M84" s="1" t="s">
        <v>39</v>
      </c>
      <c r="N84" s="1" t="s">
        <v>33</v>
      </c>
      <c r="P84" s="1" t="s">
        <v>33</v>
      </c>
      <c r="Q84" s="1" t="s">
        <v>44</v>
      </c>
      <c r="R84" s="1" t="s">
        <v>45</v>
      </c>
      <c r="S84" s="4">
        <v>116.1</v>
      </c>
      <c r="T84" s="4">
        <v>116.1</v>
      </c>
      <c r="U84" s="4">
        <v>116.1</v>
      </c>
      <c r="Y84" s="1" t="s">
        <v>33</v>
      </c>
      <c r="AC84" s="1" t="s">
        <v>33</v>
      </c>
      <c r="AE84" s="1" t="s">
        <v>33</v>
      </c>
    </row>
    <row r="85" spans="1:31" x14ac:dyDescent="0.25">
      <c r="A85" s="1" t="s">
        <v>97</v>
      </c>
      <c r="B85" s="1" t="s">
        <v>98</v>
      </c>
      <c r="C85" s="1" t="s">
        <v>33</v>
      </c>
      <c r="D85" s="1" t="s">
        <v>169</v>
      </c>
      <c r="E85" s="2">
        <v>46264</v>
      </c>
      <c r="F85" s="1" t="s">
        <v>170</v>
      </c>
      <c r="G85" s="3">
        <v>46264.666666666701</v>
      </c>
      <c r="H85" s="1" t="s">
        <v>171</v>
      </c>
      <c r="I85" s="2">
        <v>46264</v>
      </c>
      <c r="J85" s="3">
        <v>46264.666666666701</v>
      </c>
      <c r="K85" s="1" t="s">
        <v>172</v>
      </c>
      <c r="L85" s="1" t="s">
        <v>38</v>
      </c>
      <c r="M85" s="1" t="s">
        <v>39</v>
      </c>
      <c r="N85" s="1" t="s">
        <v>33</v>
      </c>
      <c r="P85" s="1" t="s">
        <v>33</v>
      </c>
      <c r="Q85" s="1" t="s">
        <v>103</v>
      </c>
      <c r="R85" s="1" t="s">
        <v>104</v>
      </c>
      <c r="S85" s="4">
        <v>151.19999999999999</v>
      </c>
      <c r="T85" s="4">
        <v>151.19999999999999</v>
      </c>
      <c r="U85" s="4">
        <v>151.19999999999999</v>
      </c>
      <c r="Y85" s="1" t="s">
        <v>33</v>
      </c>
      <c r="AC85" s="1" t="s">
        <v>33</v>
      </c>
      <c r="AE85" s="1" t="s">
        <v>33</v>
      </c>
    </row>
    <row r="86" spans="1:31" x14ac:dyDescent="0.25">
      <c r="A86" s="1" t="s">
        <v>97</v>
      </c>
      <c r="B86" s="1" t="s">
        <v>98</v>
      </c>
      <c r="C86" s="1" t="s">
        <v>33</v>
      </c>
      <c r="D86" s="1" t="s">
        <v>169</v>
      </c>
      <c r="E86" s="2">
        <v>46264</v>
      </c>
      <c r="F86" s="1" t="s">
        <v>170</v>
      </c>
      <c r="G86" s="3">
        <v>46264.666666666701</v>
      </c>
      <c r="H86" s="1" t="s">
        <v>171</v>
      </c>
      <c r="I86" s="2">
        <v>46264</v>
      </c>
      <c r="J86" s="3">
        <v>46264.666666666701</v>
      </c>
      <c r="K86" s="1" t="s">
        <v>172</v>
      </c>
      <c r="L86" s="1" t="s">
        <v>38</v>
      </c>
      <c r="M86" s="1" t="s">
        <v>39</v>
      </c>
      <c r="N86" s="1" t="s">
        <v>33</v>
      </c>
      <c r="P86" s="1" t="s">
        <v>33</v>
      </c>
      <c r="Q86" s="1" t="s">
        <v>141</v>
      </c>
      <c r="R86" s="1" t="s">
        <v>142</v>
      </c>
      <c r="S86" s="4">
        <v>129.6</v>
      </c>
      <c r="T86" s="4">
        <v>129.6</v>
      </c>
      <c r="U86" s="4">
        <v>129.6</v>
      </c>
      <c r="Y86" s="1" t="s">
        <v>33</v>
      </c>
      <c r="AC86" s="1" t="s">
        <v>33</v>
      </c>
      <c r="AE86" s="1" t="s">
        <v>33</v>
      </c>
    </row>
    <row r="87" spans="1:31" x14ac:dyDescent="0.25">
      <c r="A87" s="1" t="s">
        <v>97</v>
      </c>
      <c r="B87" s="1" t="s">
        <v>98</v>
      </c>
      <c r="C87" s="1" t="s">
        <v>33</v>
      </c>
      <c r="D87" s="1" t="s">
        <v>169</v>
      </c>
      <c r="E87" s="2">
        <v>46264</v>
      </c>
      <c r="F87" s="1" t="s">
        <v>170</v>
      </c>
      <c r="G87" s="3">
        <v>46264.666666666701</v>
      </c>
      <c r="H87" s="1" t="s">
        <v>171</v>
      </c>
      <c r="I87" s="2">
        <v>46264</v>
      </c>
      <c r="J87" s="3">
        <v>46264.666666666701</v>
      </c>
      <c r="K87" s="1" t="s">
        <v>172</v>
      </c>
      <c r="L87" s="1" t="s">
        <v>38</v>
      </c>
      <c r="M87" s="1" t="s">
        <v>39</v>
      </c>
      <c r="N87" s="1" t="s">
        <v>33</v>
      </c>
      <c r="P87" s="1" t="s">
        <v>33</v>
      </c>
      <c r="Q87" s="1" t="s">
        <v>48</v>
      </c>
      <c r="R87" s="1" t="s">
        <v>49</v>
      </c>
      <c r="S87" s="4">
        <v>2</v>
      </c>
      <c r="V87" s="4">
        <v>-2</v>
      </c>
      <c r="W87" s="1" t="s">
        <v>61</v>
      </c>
      <c r="Y87" s="1" t="s">
        <v>33</v>
      </c>
      <c r="AC87" s="1" t="s">
        <v>33</v>
      </c>
      <c r="AE87" s="1" t="s">
        <v>33</v>
      </c>
    </row>
    <row r="88" spans="1:31" x14ac:dyDescent="0.25">
      <c r="A88" s="1" t="s">
        <v>97</v>
      </c>
      <c r="B88" s="1" t="s">
        <v>98</v>
      </c>
      <c r="C88" s="1" t="s">
        <v>33</v>
      </c>
      <c r="D88" s="1" t="s">
        <v>169</v>
      </c>
      <c r="E88" s="2">
        <v>46264</v>
      </c>
      <c r="F88" s="1" t="s">
        <v>170</v>
      </c>
      <c r="G88" s="3">
        <v>46264.666666666701</v>
      </c>
      <c r="H88" s="1" t="s">
        <v>171</v>
      </c>
      <c r="I88" s="2">
        <v>46264</v>
      </c>
      <c r="J88" s="3">
        <v>46264.666666666701</v>
      </c>
      <c r="K88" s="1" t="s">
        <v>172</v>
      </c>
      <c r="L88" s="1" t="s">
        <v>38</v>
      </c>
      <c r="M88" s="1" t="s">
        <v>39</v>
      </c>
      <c r="N88" s="1" t="s">
        <v>33</v>
      </c>
      <c r="P88" s="1" t="s">
        <v>33</v>
      </c>
      <c r="Q88" s="1" t="s">
        <v>187</v>
      </c>
      <c r="R88" s="1" t="s">
        <v>188</v>
      </c>
      <c r="S88" s="4">
        <v>60</v>
      </c>
      <c r="T88" s="4">
        <v>60</v>
      </c>
      <c r="U88" s="4">
        <v>60</v>
      </c>
      <c r="Y88" s="1" t="s">
        <v>33</v>
      </c>
      <c r="AC88" s="1" t="s">
        <v>33</v>
      </c>
      <c r="AE88" s="1" t="s">
        <v>33</v>
      </c>
    </row>
    <row r="89" spans="1:31" x14ac:dyDescent="0.25">
      <c r="A89" s="1" t="s">
        <v>97</v>
      </c>
      <c r="B89" s="1" t="s">
        <v>98</v>
      </c>
      <c r="C89" s="1" t="s">
        <v>33</v>
      </c>
      <c r="D89" s="1" t="s">
        <v>169</v>
      </c>
      <c r="E89" s="2">
        <v>46264</v>
      </c>
      <c r="F89" s="1" t="s">
        <v>170</v>
      </c>
      <c r="G89" s="3">
        <v>46264.666666666701</v>
      </c>
      <c r="H89" s="1" t="s">
        <v>171</v>
      </c>
      <c r="I89" s="2">
        <v>46264</v>
      </c>
      <c r="J89" s="3">
        <v>46264.666666666701</v>
      </c>
      <c r="K89" s="1" t="s">
        <v>172</v>
      </c>
      <c r="L89" s="1" t="s">
        <v>38</v>
      </c>
      <c r="M89" s="1" t="s">
        <v>39</v>
      </c>
      <c r="N89" s="1" t="s">
        <v>33</v>
      </c>
      <c r="P89" s="1" t="s">
        <v>33</v>
      </c>
      <c r="Q89" s="1" t="s">
        <v>133</v>
      </c>
      <c r="R89" s="1" t="s">
        <v>134</v>
      </c>
      <c r="S89" s="4">
        <v>461.7</v>
      </c>
      <c r="T89" s="4">
        <v>461.7</v>
      </c>
      <c r="U89" s="4">
        <v>461.7</v>
      </c>
      <c r="Y89" s="1" t="s">
        <v>33</v>
      </c>
      <c r="AC89" s="1" t="s">
        <v>33</v>
      </c>
      <c r="AE89" s="1" t="s">
        <v>33</v>
      </c>
    </row>
    <row r="90" spans="1:31" x14ac:dyDescent="0.25">
      <c r="A90" s="1" t="s">
        <v>97</v>
      </c>
      <c r="B90" s="1" t="s">
        <v>98</v>
      </c>
      <c r="C90" s="1" t="s">
        <v>33</v>
      </c>
      <c r="D90" s="1" t="s">
        <v>169</v>
      </c>
      <c r="E90" s="2">
        <v>46264</v>
      </c>
      <c r="F90" s="1" t="s">
        <v>170</v>
      </c>
      <c r="G90" s="3">
        <v>46264.666666666701</v>
      </c>
      <c r="H90" s="1" t="s">
        <v>171</v>
      </c>
      <c r="I90" s="2">
        <v>46264</v>
      </c>
      <c r="J90" s="3">
        <v>46264.666666666701</v>
      </c>
      <c r="K90" s="1" t="s">
        <v>172</v>
      </c>
      <c r="L90" s="1" t="s">
        <v>38</v>
      </c>
      <c r="M90" s="1" t="s">
        <v>39</v>
      </c>
      <c r="N90" s="1" t="s">
        <v>33</v>
      </c>
      <c r="P90" s="1" t="s">
        <v>33</v>
      </c>
      <c r="Q90" s="1" t="s">
        <v>105</v>
      </c>
      <c r="R90" s="1" t="s">
        <v>106</v>
      </c>
      <c r="S90" s="4">
        <v>194.4</v>
      </c>
      <c r="T90" s="4">
        <v>194.4</v>
      </c>
      <c r="U90" s="4">
        <v>194.4</v>
      </c>
      <c r="Y90" s="1" t="s">
        <v>33</v>
      </c>
      <c r="AC90" s="1" t="s">
        <v>33</v>
      </c>
      <c r="AE90" s="1" t="s">
        <v>33</v>
      </c>
    </row>
    <row r="91" spans="1:31" x14ac:dyDescent="0.25">
      <c r="A91" s="1" t="s">
        <v>97</v>
      </c>
      <c r="B91" s="1" t="s">
        <v>98</v>
      </c>
      <c r="C91" s="1" t="s">
        <v>33</v>
      </c>
      <c r="D91" s="1" t="s">
        <v>169</v>
      </c>
      <c r="E91" s="2">
        <v>46264</v>
      </c>
      <c r="F91" s="1" t="s">
        <v>170</v>
      </c>
      <c r="G91" s="3">
        <v>46264.666666666701</v>
      </c>
      <c r="H91" s="1" t="s">
        <v>171</v>
      </c>
      <c r="I91" s="2">
        <v>46264</v>
      </c>
      <c r="J91" s="3">
        <v>46264.666666666701</v>
      </c>
      <c r="K91" s="1" t="s">
        <v>172</v>
      </c>
      <c r="L91" s="1" t="s">
        <v>38</v>
      </c>
      <c r="M91" s="1" t="s">
        <v>39</v>
      </c>
      <c r="N91" s="1" t="s">
        <v>33</v>
      </c>
      <c r="P91" s="1" t="s">
        <v>33</v>
      </c>
      <c r="Q91" s="1" t="s">
        <v>189</v>
      </c>
      <c r="R91" s="1" t="s">
        <v>190</v>
      </c>
      <c r="S91" s="4">
        <v>41.6</v>
      </c>
      <c r="T91" s="4">
        <v>41.6</v>
      </c>
      <c r="U91" s="4">
        <v>41.6</v>
      </c>
      <c r="Y91" s="1" t="s">
        <v>33</v>
      </c>
      <c r="AC91" s="1" t="s">
        <v>33</v>
      </c>
      <c r="AE91" s="1" t="s">
        <v>33</v>
      </c>
    </row>
    <row r="92" spans="1:31" x14ac:dyDescent="0.25">
      <c r="A92" s="1" t="s">
        <v>97</v>
      </c>
      <c r="B92" s="1" t="s">
        <v>98</v>
      </c>
      <c r="C92" s="1" t="s">
        <v>33</v>
      </c>
      <c r="D92" s="1" t="s">
        <v>169</v>
      </c>
      <c r="E92" s="2">
        <v>46264</v>
      </c>
      <c r="F92" s="1" t="s">
        <v>170</v>
      </c>
      <c r="G92" s="3">
        <v>46264.666666666701</v>
      </c>
      <c r="H92" s="1" t="s">
        <v>171</v>
      </c>
      <c r="I92" s="2">
        <v>46264</v>
      </c>
      <c r="J92" s="3">
        <v>46264.666666666701</v>
      </c>
      <c r="K92" s="1" t="s">
        <v>172</v>
      </c>
      <c r="L92" s="1" t="s">
        <v>38</v>
      </c>
      <c r="M92" s="1" t="s">
        <v>39</v>
      </c>
      <c r="N92" s="1" t="s">
        <v>33</v>
      </c>
      <c r="P92" s="1" t="s">
        <v>33</v>
      </c>
      <c r="Q92" s="1" t="s">
        <v>191</v>
      </c>
      <c r="R92" s="1" t="s">
        <v>192</v>
      </c>
      <c r="S92" s="4">
        <v>14</v>
      </c>
      <c r="V92" s="4">
        <v>-14</v>
      </c>
      <c r="W92" s="1" t="s">
        <v>193</v>
      </c>
      <c r="X92" s="1" t="s">
        <v>194</v>
      </c>
      <c r="Y92" s="1" t="s">
        <v>33</v>
      </c>
      <c r="AC92" s="1" t="s">
        <v>33</v>
      </c>
      <c r="AE92" s="1" t="s">
        <v>33</v>
      </c>
    </row>
    <row r="93" spans="1:31" x14ac:dyDescent="0.25">
      <c r="A93" s="1" t="s">
        <v>97</v>
      </c>
      <c r="B93" s="1" t="s">
        <v>98</v>
      </c>
      <c r="C93" s="1" t="s">
        <v>33</v>
      </c>
      <c r="D93" s="1" t="s">
        <v>169</v>
      </c>
      <c r="E93" s="2">
        <v>46264</v>
      </c>
      <c r="F93" s="1" t="s">
        <v>170</v>
      </c>
      <c r="G93" s="3">
        <v>46264.666666666701</v>
      </c>
      <c r="H93" s="1" t="s">
        <v>171</v>
      </c>
      <c r="I93" s="2">
        <v>46264</v>
      </c>
      <c r="J93" s="3">
        <v>46264.666666666701</v>
      </c>
      <c r="K93" s="1" t="s">
        <v>172</v>
      </c>
      <c r="L93" s="1" t="s">
        <v>38</v>
      </c>
      <c r="M93" s="1" t="s">
        <v>39</v>
      </c>
      <c r="N93" s="1" t="s">
        <v>33</v>
      </c>
      <c r="P93" s="1" t="s">
        <v>33</v>
      </c>
      <c r="Q93" s="1" t="s">
        <v>195</v>
      </c>
      <c r="R93" s="1" t="s">
        <v>196</v>
      </c>
      <c r="S93" s="4">
        <v>13.2</v>
      </c>
      <c r="V93" s="4">
        <v>-13.2</v>
      </c>
      <c r="W93" s="1" t="s">
        <v>193</v>
      </c>
      <c r="X93" s="1" t="s">
        <v>194</v>
      </c>
      <c r="Y93" s="1" t="s">
        <v>33</v>
      </c>
      <c r="AC93" s="1" t="s">
        <v>33</v>
      </c>
      <c r="AE93" s="1" t="s">
        <v>33</v>
      </c>
    </row>
    <row r="94" spans="1:31" x14ac:dyDescent="0.25">
      <c r="A94" s="1" t="s">
        <v>97</v>
      </c>
      <c r="B94" s="1" t="s">
        <v>98</v>
      </c>
      <c r="C94" s="1" t="s">
        <v>33</v>
      </c>
      <c r="D94" s="1" t="s">
        <v>169</v>
      </c>
      <c r="E94" s="2">
        <v>46264</v>
      </c>
      <c r="F94" s="1" t="s">
        <v>170</v>
      </c>
      <c r="G94" s="3">
        <v>46264.666666666701</v>
      </c>
      <c r="H94" s="1" t="s">
        <v>171</v>
      </c>
      <c r="I94" s="2">
        <v>46264</v>
      </c>
      <c r="J94" s="3">
        <v>46264.666666666701</v>
      </c>
      <c r="K94" s="1" t="s">
        <v>172</v>
      </c>
      <c r="L94" s="1" t="s">
        <v>38</v>
      </c>
      <c r="M94" s="1" t="s">
        <v>39</v>
      </c>
      <c r="N94" s="1" t="s">
        <v>33</v>
      </c>
      <c r="P94" s="1" t="s">
        <v>33</v>
      </c>
      <c r="Q94" s="1" t="s">
        <v>197</v>
      </c>
      <c r="R94" s="1" t="s">
        <v>198</v>
      </c>
      <c r="S94" s="4">
        <v>84</v>
      </c>
      <c r="T94" s="4">
        <v>84</v>
      </c>
      <c r="U94" s="4">
        <v>84</v>
      </c>
      <c r="Y94" s="1" t="s">
        <v>33</v>
      </c>
      <c r="AC94" s="1" t="s">
        <v>33</v>
      </c>
      <c r="AE94" s="1" t="s">
        <v>33</v>
      </c>
    </row>
    <row r="95" spans="1:31" x14ac:dyDescent="0.25">
      <c r="A95" s="1" t="s">
        <v>97</v>
      </c>
      <c r="B95" s="1" t="s">
        <v>98</v>
      </c>
      <c r="C95" s="1" t="s">
        <v>33</v>
      </c>
      <c r="D95" s="1" t="s">
        <v>169</v>
      </c>
      <c r="E95" s="2">
        <v>46264</v>
      </c>
      <c r="F95" s="1" t="s">
        <v>170</v>
      </c>
      <c r="G95" s="3">
        <v>46264.666666666701</v>
      </c>
      <c r="H95" s="1" t="s">
        <v>171</v>
      </c>
      <c r="I95" s="2">
        <v>46264</v>
      </c>
      <c r="J95" s="3">
        <v>46264.666666666701</v>
      </c>
      <c r="K95" s="1" t="s">
        <v>172</v>
      </c>
      <c r="L95" s="1" t="s">
        <v>38</v>
      </c>
      <c r="M95" s="1" t="s">
        <v>39</v>
      </c>
      <c r="N95" s="1" t="s">
        <v>33</v>
      </c>
      <c r="P95" s="1" t="s">
        <v>33</v>
      </c>
      <c r="Q95" s="1" t="s">
        <v>143</v>
      </c>
      <c r="R95" s="1" t="s">
        <v>144</v>
      </c>
      <c r="S95" s="4">
        <v>203</v>
      </c>
      <c r="V95" s="4">
        <v>-203</v>
      </c>
      <c r="W95" s="1" t="s">
        <v>50</v>
      </c>
      <c r="X95" s="1" t="s">
        <v>51</v>
      </c>
      <c r="Y95" s="1" t="s">
        <v>33</v>
      </c>
      <c r="AC95" s="1" t="s">
        <v>33</v>
      </c>
      <c r="AD95" s="1" t="s">
        <v>113</v>
      </c>
      <c r="AE95" s="1" t="s">
        <v>33</v>
      </c>
    </row>
    <row r="96" spans="1:31" x14ac:dyDescent="0.25">
      <c r="A96" s="1" t="s">
        <v>97</v>
      </c>
      <c r="B96" s="1" t="s">
        <v>98</v>
      </c>
      <c r="C96" s="1" t="s">
        <v>33</v>
      </c>
      <c r="D96" s="1" t="s">
        <v>169</v>
      </c>
      <c r="E96" s="2">
        <v>46264</v>
      </c>
      <c r="F96" s="1" t="s">
        <v>170</v>
      </c>
      <c r="G96" s="3">
        <v>46264.666666666701</v>
      </c>
      <c r="H96" s="1" t="s">
        <v>171</v>
      </c>
      <c r="I96" s="2">
        <v>46264</v>
      </c>
      <c r="J96" s="3">
        <v>46264.666666666701</v>
      </c>
      <c r="K96" s="1" t="s">
        <v>172</v>
      </c>
      <c r="L96" s="1" t="s">
        <v>38</v>
      </c>
      <c r="M96" s="1" t="s">
        <v>39</v>
      </c>
      <c r="N96" s="1" t="s">
        <v>33</v>
      </c>
      <c r="P96" s="1" t="s">
        <v>33</v>
      </c>
      <c r="Q96" s="1" t="s">
        <v>199</v>
      </c>
      <c r="R96" s="1" t="s">
        <v>200</v>
      </c>
      <c r="S96" s="4">
        <v>150.5</v>
      </c>
      <c r="T96" s="4">
        <v>150.5</v>
      </c>
      <c r="U96" s="4">
        <v>150.5</v>
      </c>
      <c r="Y96" s="1" t="s">
        <v>33</v>
      </c>
      <c r="AC96" s="1" t="s">
        <v>33</v>
      </c>
      <c r="AE96" s="1" t="s">
        <v>33</v>
      </c>
    </row>
    <row r="97" spans="1:31" x14ac:dyDescent="0.25">
      <c r="A97" s="1" t="s">
        <v>97</v>
      </c>
      <c r="B97" s="1" t="s">
        <v>98</v>
      </c>
      <c r="C97" s="1" t="s">
        <v>33</v>
      </c>
      <c r="D97" s="1" t="s">
        <v>169</v>
      </c>
      <c r="E97" s="2">
        <v>46264</v>
      </c>
      <c r="F97" s="1" t="s">
        <v>170</v>
      </c>
      <c r="G97" s="3">
        <v>46264.666666666701</v>
      </c>
      <c r="H97" s="1" t="s">
        <v>171</v>
      </c>
      <c r="I97" s="2">
        <v>46264</v>
      </c>
      <c r="J97" s="3">
        <v>46264.666666666701</v>
      </c>
      <c r="K97" s="1" t="s">
        <v>172</v>
      </c>
      <c r="L97" s="1" t="s">
        <v>38</v>
      </c>
      <c r="M97" s="1" t="s">
        <v>39</v>
      </c>
      <c r="N97" s="1" t="s">
        <v>33</v>
      </c>
      <c r="P97" s="1" t="s">
        <v>33</v>
      </c>
      <c r="Q97" s="1" t="s">
        <v>201</v>
      </c>
      <c r="R97" s="1" t="s">
        <v>202</v>
      </c>
      <c r="S97" s="4">
        <v>252</v>
      </c>
      <c r="V97" s="4">
        <v>-252</v>
      </c>
      <c r="W97" s="1" t="s">
        <v>50</v>
      </c>
      <c r="X97" s="1" t="s">
        <v>51</v>
      </c>
      <c r="Y97" s="1" t="s">
        <v>33</v>
      </c>
      <c r="AC97" s="1" t="s">
        <v>33</v>
      </c>
      <c r="AE97" s="1" t="s">
        <v>33</v>
      </c>
    </row>
    <row r="98" spans="1:31" x14ac:dyDescent="0.25">
      <c r="A98" s="1" t="s">
        <v>97</v>
      </c>
      <c r="B98" s="1" t="s">
        <v>98</v>
      </c>
      <c r="C98" s="1" t="s">
        <v>33</v>
      </c>
      <c r="D98" s="1" t="s">
        <v>169</v>
      </c>
      <c r="E98" s="2">
        <v>46264</v>
      </c>
      <c r="F98" s="1" t="s">
        <v>170</v>
      </c>
      <c r="G98" s="3">
        <v>46264.666666666701</v>
      </c>
      <c r="H98" s="1" t="s">
        <v>171</v>
      </c>
      <c r="I98" s="2">
        <v>46264</v>
      </c>
      <c r="J98" s="3">
        <v>46264.666666666701</v>
      </c>
      <c r="K98" s="1" t="s">
        <v>172</v>
      </c>
      <c r="L98" s="1" t="s">
        <v>38</v>
      </c>
      <c r="M98" s="1" t="s">
        <v>39</v>
      </c>
      <c r="N98" s="1" t="s">
        <v>33</v>
      </c>
      <c r="P98" s="1" t="s">
        <v>33</v>
      </c>
      <c r="Q98" s="1" t="s">
        <v>203</v>
      </c>
      <c r="R98" s="1" t="s">
        <v>204</v>
      </c>
      <c r="S98" s="4">
        <v>7.2</v>
      </c>
      <c r="V98" s="4">
        <v>-7.2</v>
      </c>
      <c r="W98" s="1" t="s">
        <v>205</v>
      </c>
      <c r="Y98" s="1" t="s">
        <v>33</v>
      </c>
      <c r="AC98" s="1" t="s">
        <v>33</v>
      </c>
      <c r="AD98" s="1" t="s">
        <v>206</v>
      </c>
      <c r="AE98" s="1" t="s">
        <v>33</v>
      </c>
    </row>
    <row r="99" spans="1:31" x14ac:dyDescent="0.25">
      <c r="A99" s="1" t="s">
        <v>97</v>
      </c>
      <c r="B99" s="1" t="s">
        <v>98</v>
      </c>
      <c r="C99" s="1" t="s">
        <v>33</v>
      </c>
      <c r="D99" s="1" t="s">
        <v>169</v>
      </c>
      <c r="E99" s="2">
        <v>46264</v>
      </c>
      <c r="F99" s="1" t="s">
        <v>170</v>
      </c>
      <c r="G99" s="3">
        <v>46264.666666666701</v>
      </c>
      <c r="H99" s="1" t="s">
        <v>171</v>
      </c>
      <c r="I99" s="2">
        <v>46264</v>
      </c>
      <c r="J99" s="3">
        <v>46264.666666666701</v>
      </c>
      <c r="K99" s="1" t="s">
        <v>172</v>
      </c>
      <c r="L99" s="1" t="s">
        <v>38</v>
      </c>
      <c r="M99" s="1" t="s">
        <v>39</v>
      </c>
      <c r="N99" s="1" t="s">
        <v>33</v>
      </c>
      <c r="P99" s="1" t="s">
        <v>33</v>
      </c>
      <c r="Q99" s="1" t="s">
        <v>207</v>
      </c>
      <c r="R99" s="1" t="s">
        <v>208</v>
      </c>
      <c r="S99" s="4">
        <v>53.76</v>
      </c>
      <c r="T99" s="4">
        <v>53.76</v>
      </c>
      <c r="U99" s="4">
        <v>53.76</v>
      </c>
      <c r="Y99" s="1" t="s">
        <v>33</v>
      </c>
      <c r="AC99" s="1" t="s">
        <v>33</v>
      </c>
      <c r="AE99" s="1" t="s">
        <v>33</v>
      </c>
    </row>
    <row r="100" spans="1:31" x14ac:dyDescent="0.25">
      <c r="A100" s="1" t="s">
        <v>97</v>
      </c>
      <c r="B100" s="1" t="s">
        <v>98</v>
      </c>
      <c r="C100" s="1" t="s">
        <v>33</v>
      </c>
      <c r="D100" s="1" t="s">
        <v>169</v>
      </c>
      <c r="E100" s="2">
        <v>46264</v>
      </c>
      <c r="F100" s="1" t="s">
        <v>170</v>
      </c>
      <c r="G100" s="3">
        <v>46264.666666666701</v>
      </c>
      <c r="H100" s="1" t="s">
        <v>171</v>
      </c>
      <c r="I100" s="2">
        <v>46264</v>
      </c>
      <c r="J100" s="3">
        <v>46264.666666666701</v>
      </c>
      <c r="K100" s="1" t="s">
        <v>172</v>
      </c>
      <c r="L100" s="1" t="s">
        <v>38</v>
      </c>
      <c r="M100" s="1" t="s">
        <v>39</v>
      </c>
      <c r="N100" s="1" t="s">
        <v>33</v>
      </c>
      <c r="P100" s="1" t="s">
        <v>33</v>
      </c>
      <c r="Q100" s="1" t="s">
        <v>209</v>
      </c>
      <c r="R100" s="1" t="s">
        <v>210</v>
      </c>
      <c r="S100" s="4">
        <v>7.2</v>
      </c>
      <c r="T100" s="4">
        <v>7.2</v>
      </c>
      <c r="U100" s="4">
        <v>7.2</v>
      </c>
      <c r="Y100" s="1" t="s">
        <v>33</v>
      </c>
      <c r="AC100" s="1" t="s">
        <v>33</v>
      </c>
      <c r="AE100" s="1" t="s">
        <v>33</v>
      </c>
    </row>
    <row r="101" spans="1:31" x14ac:dyDescent="0.25">
      <c r="A101" s="1" t="s">
        <v>97</v>
      </c>
      <c r="B101" s="1" t="s">
        <v>98</v>
      </c>
      <c r="C101" s="1" t="s">
        <v>33</v>
      </c>
      <c r="D101" s="1" t="s">
        <v>169</v>
      </c>
      <c r="E101" s="2">
        <v>46264</v>
      </c>
      <c r="F101" s="1" t="s">
        <v>170</v>
      </c>
      <c r="G101" s="3">
        <v>46264.666666666701</v>
      </c>
      <c r="H101" s="1" t="s">
        <v>171</v>
      </c>
      <c r="I101" s="2">
        <v>46264</v>
      </c>
      <c r="J101" s="3">
        <v>46264.666666666701</v>
      </c>
      <c r="K101" s="1" t="s">
        <v>172</v>
      </c>
      <c r="L101" s="1" t="s">
        <v>38</v>
      </c>
      <c r="M101" s="1" t="s">
        <v>39</v>
      </c>
      <c r="N101" s="1" t="s">
        <v>33</v>
      </c>
      <c r="P101" s="1" t="s">
        <v>33</v>
      </c>
      <c r="Q101" s="1" t="s">
        <v>211</v>
      </c>
      <c r="R101" s="1" t="s">
        <v>212</v>
      </c>
      <c r="S101" s="4">
        <v>57.12</v>
      </c>
      <c r="T101" s="4">
        <v>57.12</v>
      </c>
      <c r="U101" s="4">
        <v>57.12</v>
      </c>
      <c r="Y101" s="1" t="s">
        <v>33</v>
      </c>
      <c r="AC101" s="1" t="s">
        <v>33</v>
      </c>
      <c r="AE101" s="1" t="s">
        <v>33</v>
      </c>
    </row>
    <row r="102" spans="1:31" x14ac:dyDescent="0.25">
      <c r="A102" s="1" t="s">
        <v>97</v>
      </c>
      <c r="B102" s="1" t="s">
        <v>98</v>
      </c>
      <c r="C102" s="1" t="s">
        <v>33</v>
      </c>
      <c r="D102" s="1" t="s">
        <v>169</v>
      </c>
      <c r="E102" s="2">
        <v>46264</v>
      </c>
      <c r="F102" s="1" t="s">
        <v>170</v>
      </c>
      <c r="G102" s="3">
        <v>46264.666666666701</v>
      </c>
      <c r="H102" s="1" t="s">
        <v>171</v>
      </c>
      <c r="I102" s="2">
        <v>46264</v>
      </c>
      <c r="J102" s="3">
        <v>46264.666666666701</v>
      </c>
      <c r="K102" s="1" t="s">
        <v>172</v>
      </c>
      <c r="L102" s="1" t="s">
        <v>38</v>
      </c>
      <c r="M102" s="1" t="s">
        <v>39</v>
      </c>
      <c r="N102" s="1" t="s">
        <v>33</v>
      </c>
      <c r="P102" s="1" t="s">
        <v>33</v>
      </c>
      <c r="Q102" s="1" t="s">
        <v>145</v>
      </c>
      <c r="R102" s="1" t="s">
        <v>146</v>
      </c>
      <c r="S102" s="4">
        <v>21</v>
      </c>
      <c r="T102" s="4">
        <v>21</v>
      </c>
      <c r="U102" s="4">
        <v>21</v>
      </c>
      <c r="Y102" s="1" t="s">
        <v>33</v>
      </c>
      <c r="AC102" s="1" t="s">
        <v>33</v>
      </c>
      <c r="AE102" s="1" t="s">
        <v>33</v>
      </c>
    </row>
    <row r="103" spans="1:31" x14ac:dyDescent="0.25">
      <c r="A103" s="1" t="s">
        <v>97</v>
      </c>
      <c r="B103" s="1" t="s">
        <v>98</v>
      </c>
      <c r="C103" s="1" t="s">
        <v>33</v>
      </c>
      <c r="D103" s="1" t="s">
        <v>169</v>
      </c>
      <c r="E103" s="2">
        <v>46264</v>
      </c>
      <c r="F103" s="1" t="s">
        <v>170</v>
      </c>
      <c r="G103" s="3">
        <v>46264.666666666701</v>
      </c>
      <c r="H103" s="1" t="s">
        <v>171</v>
      </c>
      <c r="I103" s="2">
        <v>46264</v>
      </c>
      <c r="J103" s="3">
        <v>46264.666666666701</v>
      </c>
      <c r="K103" s="1" t="s">
        <v>172</v>
      </c>
      <c r="L103" s="1" t="s">
        <v>38</v>
      </c>
      <c r="M103" s="1" t="s">
        <v>39</v>
      </c>
      <c r="N103" s="1" t="s">
        <v>33</v>
      </c>
      <c r="P103" s="1" t="s">
        <v>33</v>
      </c>
      <c r="Q103" s="1" t="s">
        <v>213</v>
      </c>
      <c r="R103" s="1" t="s">
        <v>214</v>
      </c>
      <c r="S103" s="4">
        <v>84</v>
      </c>
      <c r="T103" s="4">
        <v>84</v>
      </c>
      <c r="U103" s="4">
        <v>84</v>
      </c>
      <c r="Y103" s="1" t="s">
        <v>33</v>
      </c>
      <c r="AC103" s="1" t="s">
        <v>33</v>
      </c>
      <c r="AE103" s="1" t="s">
        <v>33</v>
      </c>
    </row>
    <row r="104" spans="1:31" x14ac:dyDescent="0.25">
      <c r="A104" s="1" t="s">
        <v>97</v>
      </c>
      <c r="B104" s="1" t="s">
        <v>98</v>
      </c>
      <c r="C104" s="1" t="s">
        <v>33</v>
      </c>
      <c r="D104" s="1" t="s">
        <v>169</v>
      </c>
      <c r="E104" s="2">
        <v>46264</v>
      </c>
      <c r="F104" s="1" t="s">
        <v>170</v>
      </c>
      <c r="G104" s="3">
        <v>46264.666666666701</v>
      </c>
      <c r="H104" s="1" t="s">
        <v>171</v>
      </c>
      <c r="I104" s="2">
        <v>46264</v>
      </c>
      <c r="J104" s="3">
        <v>46264.666666666701</v>
      </c>
      <c r="K104" s="1" t="s">
        <v>172</v>
      </c>
      <c r="L104" s="1" t="s">
        <v>38</v>
      </c>
      <c r="M104" s="1" t="s">
        <v>39</v>
      </c>
      <c r="N104" s="1" t="s">
        <v>33</v>
      </c>
      <c r="P104" s="1" t="s">
        <v>33</v>
      </c>
      <c r="Q104" s="1" t="s">
        <v>55</v>
      </c>
      <c r="R104" s="1" t="s">
        <v>56</v>
      </c>
      <c r="S104" s="4">
        <v>12</v>
      </c>
      <c r="T104" s="4">
        <v>12</v>
      </c>
      <c r="U104" s="4">
        <v>12</v>
      </c>
      <c r="Y104" s="1" t="s">
        <v>33</v>
      </c>
      <c r="AC104" s="1" t="s">
        <v>33</v>
      </c>
      <c r="AE104" s="1" t="s">
        <v>33</v>
      </c>
    </row>
    <row r="105" spans="1:31" x14ac:dyDescent="0.25">
      <c r="A105" s="1" t="s">
        <v>97</v>
      </c>
      <c r="B105" s="1" t="s">
        <v>98</v>
      </c>
      <c r="C105" s="1" t="s">
        <v>33</v>
      </c>
      <c r="D105" s="1" t="s">
        <v>169</v>
      </c>
      <c r="E105" s="2">
        <v>46264</v>
      </c>
      <c r="F105" s="1" t="s">
        <v>170</v>
      </c>
      <c r="G105" s="3">
        <v>46264.666666666701</v>
      </c>
      <c r="H105" s="1" t="s">
        <v>171</v>
      </c>
      <c r="I105" s="2">
        <v>46264</v>
      </c>
      <c r="J105" s="3">
        <v>46264.666666666701</v>
      </c>
      <c r="K105" s="1" t="s">
        <v>172</v>
      </c>
      <c r="L105" s="1" t="s">
        <v>38</v>
      </c>
      <c r="M105" s="1" t="s">
        <v>39</v>
      </c>
      <c r="N105" s="1" t="s">
        <v>33</v>
      </c>
      <c r="P105" s="1" t="s">
        <v>33</v>
      </c>
      <c r="Q105" s="1" t="s">
        <v>215</v>
      </c>
      <c r="R105" s="1" t="s">
        <v>216</v>
      </c>
      <c r="S105" s="4">
        <v>35.700000000000003</v>
      </c>
      <c r="V105" s="4">
        <v>-35.700000000000003</v>
      </c>
      <c r="W105" s="1" t="s">
        <v>50</v>
      </c>
      <c r="X105" s="1" t="s">
        <v>51</v>
      </c>
      <c r="Y105" s="1" t="s">
        <v>33</v>
      </c>
      <c r="AC105" s="1" t="s">
        <v>33</v>
      </c>
      <c r="AD105" s="1" t="s">
        <v>113</v>
      </c>
      <c r="AE105" s="1" t="s">
        <v>33</v>
      </c>
    </row>
    <row r="106" spans="1:31" x14ac:dyDescent="0.25">
      <c r="A106" s="1" t="s">
        <v>97</v>
      </c>
      <c r="B106" s="1" t="s">
        <v>98</v>
      </c>
      <c r="C106" s="1" t="s">
        <v>33</v>
      </c>
      <c r="D106" s="1" t="s">
        <v>169</v>
      </c>
      <c r="E106" s="2">
        <v>46264</v>
      </c>
      <c r="F106" s="1" t="s">
        <v>170</v>
      </c>
      <c r="G106" s="3">
        <v>46264.666666666701</v>
      </c>
      <c r="H106" s="1" t="s">
        <v>171</v>
      </c>
      <c r="I106" s="2">
        <v>46264</v>
      </c>
      <c r="J106" s="3">
        <v>46264.666666666701</v>
      </c>
      <c r="K106" s="1" t="s">
        <v>172</v>
      </c>
      <c r="L106" s="1" t="s">
        <v>38</v>
      </c>
      <c r="M106" s="1" t="s">
        <v>39</v>
      </c>
      <c r="N106" s="1" t="s">
        <v>33</v>
      </c>
      <c r="P106" s="1" t="s">
        <v>33</v>
      </c>
      <c r="Q106" s="1" t="s">
        <v>217</v>
      </c>
      <c r="R106" s="1" t="s">
        <v>218</v>
      </c>
      <c r="S106" s="4">
        <v>45</v>
      </c>
      <c r="V106" s="4">
        <v>-45</v>
      </c>
      <c r="W106" s="1" t="s">
        <v>61</v>
      </c>
      <c r="Y106" s="1" t="s">
        <v>33</v>
      </c>
      <c r="AC106" s="1" t="s">
        <v>33</v>
      </c>
      <c r="AE106" s="1" t="s">
        <v>33</v>
      </c>
    </row>
    <row r="107" spans="1:31" x14ac:dyDescent="0.25">
      <c r="A107" s="1" t="s">
        <v>97</v>
      </c>
      <c r="B107" s="1" t="s">
        <v>98</v>
      </c>
      <c r="C107" s="1" t="s">
        <v>33</v>
      </c>
      <c r="D107" s="1" t="s">
        <v>169</v>
      </c>
      <c r="E107" s="2">
        <v>46264</v>
      </c>
      <c r="F107" s="1" t="s">
        <v>170</v>
      </c>
      <c r="G107" s="3">
        <v>46264.666666666701</v>
      </c>
      <c r="H107" s="1" t="s">
        <v>171</v>
      </c>
      <c r="I107" s="2">
        <v>46264</v>
      </c>
      <c r="J107" s="3">
        <v>46264.666666666701</v>
      </c>
      <c r="K107" s="1" t="s">
        <v>172</v>
      </c>
      <c r="L107" s="1" t="s">
        <v>38</v>
      </c>
      <c r="M107" s="1" t="s">
        <v>39</v>
      </c>
      <c r="N107" s="1" t="s">
        <v>33</v>
      </c>
      <c r="P107" s="1" t="s">
        <v>33</v>
      </c>
      <c r="Q107" s="1" t="s">
        <v>57</v>
      </c>
      <c r="R107" s="1" t="s">
        <v>58</v>
      </c>
      <c r="S107" s="4">
        <v>16</v>
      </c>
      <c r="T107" s="4">
        <v>16</v>
      </c>
      <c r="U107" s="4">
        <v>16</v>
      </c>
      <c r="Y107" s="1" t="s">
        <v>33</v>
      </c>
      <c r="AC107" s="1" t="s">
        <v>33</v>
      </c>
      <c r="AE107" s="1" t="s">
        <v>33</v>
      </c>
    </row>
    <row r="108" spans="1:31" x14ac:dyDescent="0.25">
      <c r="A108" s="1" t="s">
        <v>97</v>
      </c>
      <c r="B108" s="1" t="s">
        <v>98</v>
      </c>
      <c r="C108" s="1" t="s">
        <v>33</v>
      </c>
      <c r="D108" s="1" t="s">
        <v>169</v>
      </c>
      <c r="E108" s="2">
        <v>46264</v>
      </c>
      <c r="F108" s="1" t="s">
        <v>170</v>
      </c>
      <c r="G108" s="3">
        <v>46264.666666666701</v>
      </c>
      <c r="H108" s="1" t="s">
        <v>171</v>
      </c>
      <c r="I108" s="2">
        <v>46264</v>
      </c>
      <c r="J108" s="3">
        <v>46264.666666666701</v>
      </c>
      <c r="K108" s="1" t="s">
        <v>172</v>
      </c>
      <c r="L108" s="1" t="s">
        <v>38</v>
      </c>
      <c r="M108" s="1" t="s">
        <v>39</v>
      </c>
      <c r="N108" s="1" t="s">
        <v>33</v>
      </c>
      <c r="P108" s="1" t="s">
        <v>33</v>
      </c>
      <c r="Q108" s="1" t="s">
        <v>147</v>
      </c>
      <c r="R108" s="1" t="s">
        <v>148</v>
      </c>
      <c r="S108" s="4">
        <v>281.39999999999998</v>
      </c>
      <c r="T108" s="4">
        <v>281.39999999999998</v>
      </c>
      <c r="U108" s="4">
        <v>281.39999999999998</v>
      </c>
      <c r="Y108" s="1" t="s">
        <v>33</v>
      </c>
      <c r="AC108" s="1" t="s">
        <v>33</v>
      </c>
      <c r="AE108" s="1" t="s">
        <v>33</v>
      </c>
    </row>
    <row r="109" spans="1:31" x14ac:dyDescent="0.25">
      <c r="A109" s="1" t="s">
        <v>97</v>
      </c>
      <c r="B109" s="1" t="s">
        <v>98</v>
      </c>
      <c r="C109" s="1" t="s">
        <v>33</v>
      </c>
      <c r="D109" s="1" t="s">
        <v>169</v>
      </c>
      <c r="E109" s="2">
        <v>46264</v>
      </c>
      <c r="F109" s="1" t="s">
        <v>170</v>
      </c>
      <c r="G109" s="3">
        <v>46264.666666666701</v>
      </c>
      <c r="H109" s="1" t="s">
        <v>171</v>
      </c>
      <c r="I109" s="2">
        <v>46264</v>
      </c>
      <c r="J109" s="3">
        <v>46264.666666666701</v>
      </c>
      <c r="K109" s="1" t="s">
        <v>172</v>
      </c>
      <c r="L109" s="1" t="s">
        <v>38</v>
      </c>
      <c r="M109" s="1" t="s">
        <v>39</v>
      </c>
      <c r="N109" s="1" t="s">
        <v>33</v>
      </c>
      <c r="P109" s="1" t="s">
        <v>33</v>
      </c>
      <c r="Q109" s="1" t="s">
        <v>219</v>
      </c>
      <c r="R109" s="1" t="s">
        <v>220</v>
      </c>
      <c r="S109" s="4">
        <v>5.04</v>
      </c>
      <c r="T109" s="4">
        <v>5.04</v>
      </c>
      <c r="U109" s="4">
        <v>5.04</v>
      </c>
      <c r="Y109" s="1" t="s">
        <v>33</v>
      </c>
      <c r="AC109" s="1" t="s">
        <v>33</v>
      </c>
      <c r="AE109" s="1" t="s">
        <v>33</v>
      </c>
    </row>
    <row r="110" spans="1:31" x14ac:dyDescent="0.25">
      <c r="A110" s="1" t="s">
        <v>97</v>
      </c>
      <c r="B110" s="1" t="s">
        <v>98</v>
      </c>
      <c r="C110" s="1" t="s">
        <v>33</v>
      </c>
      <c r="D110" s="1" t="s">
        <v>169</v>
      </c>
      <c r="E110" s="2">
        <v>46264</v>
      </c>
      <c r="F110" s="1" t="s">
        <v>170</v>
      </c>
      <c r="G110" s="3">
        <v>46264.666666666701</v>
      </c>
      <c r="H110" s="1" t="s">
        <v>171</v>
      </c>
      <c r="I110" s="2">
        <v>46264</v>
      </c>
      <c r="J110" s="3">
        <v>46264.666666666701</v>
      </c>
      <c r="K110" s="1" t="s">
        <v>172</v>
      </c>
      <c r="L110" s="1" t="s">
        <v>38</v>
      </c>
      <c r="M110" s="1" t="s">
        <v>39</v>
      </c>
      <c r="N110" s="1" t="s">
        <v>33</v>
      </c>
      <c r="P110" s="1" t="s">
        <v>33</v>
      </c>
      <c r="Q110" s="1" t="s">
        <v>221</v>
      </c>
      <c r="R110" s="1" t="s">
        <v>222</v>
      </c>
      <c r="S110" s="4">
        <v>2.52</v>
      </c>
      <c r="T110" s="4">
        <v>2.52</v>
      </c>
      <c r="U110" s="4">
        <v>2.52</v>
      </c>
      <c r="Y110" s="1" t="s">
        <v>33</v>
      </c>
      <c r="AC110" s="1" t="s">
        <v>33</v>
      </c>
      <c r="AE110" s="1" t="s">
        <v>33</v>
      </c>
    </row>
    <row r="111" spans="1:31" x14ac:dyDescent="0.25">
      <c r="A111" s="1" t="s">
        <v>97</v>
      </c>
      <c r="B111" s="1" t="s">
        <v>98</v>
      </c>
      <c r="C111" s="1" t="s">
        <v>33</v>
      </c>
      <c r="D111" s="1" t="s">
        <v>169</v>
      </c>
      <c r="E111" s="2">
        <v>46264</v>
      </c>
      <c r="F111" s="1" t="s">
        <v>170</v>
      </c>
      <c r="G111" s="3">
        <v>46264.666666666701</v>
      </c>
      <c r="H111" s="1" t="s">
        <v>171</v>
      </c>
      <c r="I111" s="2">
        <v>46264</v>
      </c>
      <c r="J111" s="3">
        <v>46264.666666666701</v>
      </c>
      <c r="K111" s="1" t="s">
        <v>172</v>
      </c>
      <c r="L111" s="1" t="s">
        <v>38</v>
      </c>
      <c r="M111" s="1" t="s">
        <v>39</v>
      </c>
      <c r="N111" s="1" t="s">
        <v>33</v>
      </c>
      <c r="P111" s="1" t="s">
        <v>33</v>
      </c>
      <c r="Q111" s="1" t="s">
        <v>149</v>
      </c>
      <c r="R111" s="1" t="s">
        <v>150</v>
      </c>
      <c r="S111" s="4">
        <v>151.19999999999999</v>
      </c>
      <c r="V111" s="4">
        <v>-151.19999999999999</v>
      </c>
      <c r="W111" s="1" t="s">
        <v>50</v>
      </c>
      <c r="X111" s="1" t="s">
        <v>51</v>
      </c>
      <c r="Y111" s="1" t="s">
        <v>33</v>
      </c>
      <c r="AC111" s="1" t="s">
        <v>33</v>
      </c>
      <c r="AE111" s="1" t="s">
        <v>33</v>
      </c>
    </row>
    <row r="112" spans="1:31" x14ac:dyDescent="0.25">
      <c r="A112" s="1" t="s">
        <v>97</v>
      </c>
      <c r="B112" s="1" t="s">
        <v>98</v>
      </c>
      <c r="C112" s="1" t="s">
        <v>33</v>
      </c>
      <c r="D112" s="1" t="s">
        <v>169</v>
      </c>
      <c r="E112" s="2">
        <v>46264</v>
      </c>
      <c r="F112" s="1" t="s">
        <v>170</v>
      </c>
      <c r="G112" s="3">
        <v>46264.666666666701</v>
      </c>
      <c r="H112" s="1" t="s">
        <v>171</v>
      </c>
      <c r="I112" s="2">
        <v>46264</v>
      </c>
      <c r="J112" s="3">
        <v>46264.666666666701</v>
      </c>
      <c r="K112" s="1" t="s">
        <v>172</v>
      </c>
      <c r="L112" s="1" t="s">
        <v>38</v>
      </c>
      <c r="M112" s="1" t="s">
        <v>39</v>
      </c>
      <c r="N112" s="1" t="s">
        <v>33</v>
      </c>
      <c r="P112" s="1" t="s">
        <v>33</v>
      </c>
      <c r="Q112" s="1" t="s">
        <v>151</v>
      </c>
      <c r="R112" s="1" t="s">
        <v>152</v>
      </c>
      <c r="S112" s="4">
        <v>205.2</v>
      </c>
      <c r="V112" s="4">
        <v>-205.2</v>
      </c>
      <c r="W112" s="1" t="s">
        <v>50</v>
      </c>
      <c r="X112" s="1" t="s">
        <v>51</v>
      </c>
      <c r="Y112" s="1" t="s">
        <v>33</v>
      </c>
      <c r="AC112" s="1" t="s">
        <v>33</v>
      </c>
      <c r="AD112" s="1" t="s">
        <v>113</v>
      </c>
      <c r="AE112" s="1" t="s">
        <v>33</v>
      </c>
    </row>
    <row r="113" spans="1:31" x14ac:dyDescent="0.25">
      <c r="A113" s="1" t="s">
        <v>97</v>
      </c>
      <c r="B113" s="1" t="s">
        <v>98</v>
      </c>
      <c r="C113" s="1" t="s">
        <v>33</v>
      </c>
      <c r="D113" s="1" t="s">
        <v>169</v>
      </c>
      <c r="E113" s="2">
        <v>46264</v>
      </c>
      <c r="F113" s="1" t="s">
        <v>170</v>
      </c>
      <c r="G113" s="3">
        <v>46264.666666666701</v>
      </c>
      <c r="H113" s="1" t="s">
        <v>171</v>
      </c>
      <c r="I113" s="2">
        <v>46264</v>
      </c>
      <c r="J113" s="3">
        <v>46264.666666666701</v>
      </c>
      <c r="K113" s="1" t="s">
        <v>172</v>
      </c>
      <c r="L113" s="1" t="s">
        <v>38</v>
      </c>
      <c r="M113" s="1" t="s">
        <v>39</v>
      </c>
      <c r="N113" s="1" t="s">
        <v>33</v>
      </c>
      <c r="P113" s="1" t="s">
        <v>33</v>
      </c>
      <c r="Q113" s="1" t="s">
        <v>107</v>
      </c>
      <c r="R113" s="1" t="s">
        <v>108</v>
      </c>
      <c r="S113" s="4">
        <v>351</v>
      </c>
      <c r="V113" s="4">
        <v>-351</v>
      </c>
      <c r="W113" s="1" t="s">
        <v>50</v>
      </c>
      <c r="X113" s="1" t="s">
        <v>51</v>
      </c>
      <c r="Y113" s="1" t="s">
        <v>33</v>
      </c>
      <c r="AC113" s="1" t="s">
        <v>33</v>
      </c>
      <c r="AE113" s="1" t="s">
        <v>33</v>
      </c>
    </row>
    <row r="114" spans="1:31" x14ac:dyDescent="0.25">
      <c r="A114" s="1" t="s">
        <v>97</v>
      </c>
      <c r="B114" s="1" t="s">
        <v>98</v>
      </c>
      <c r="C114" s="1" t="s">
        <v>33</v>
      </c>
      <c r="D114" s="1" t="s">
        <v>169</v>
      </c>
      <c r="E114" s="2">
        <v>46264</v>
      </c>
      <c r="F114" s="1" t="s">
        <v>170</v>
      </c>
      <c r="G114" s="3">
        <v>46264.666666666701</v>
      </c>
      <c r="H114" s="1" t="s">
        <v>171</v>
      </c>
      <c r="I114" s="2">
        <v>46264</v>
      </c>
      <c r="J114" s="3">
        <v>46264.666666666701</v>
      </c>
      <c r="K114" s="1" t="s">
        <v>172</v>
      </c>
      <c r="L114" s="1" t="s">
        <v>38</v>
      </c>
      <c r="M114" s="1" t="s">
        <v>39</v>
      </c>
      <c r="N114" s="1" t="s">
        <v>33</v>
      </c>
      <c r="P114" s="1" t="s">
        <v>33</v>
      </c>
      <c r="Q114" s="1" t="s">
        <v>223</v>
      </c>
      <c r="R114" s="1" t="s">
        <v>224</v>
      </c>
      <c r="S114" s="4">
        <v>151.19999999999999</v>
      </c>
      <c r="T114" s="4">
        <v>151.19999999999999</v>
      </c>
      <c r="U114" s="4">
        <v>151.19999999999999</v>
      </c>
      <c r="Y114" s="1" t="s">
        <v>33</v>
      </c>
      <c r="AC114" s="1" t="s">
        <v>33</v>
      </c>
      <c r="AE114" s="1" t="s">
        <v>33</v>
      </c>
    </row>
    <row r="115" spans="1:31" x14ac:dyDescent="0.25">
      <c r="A115" s="1" t="s">
        <v>97</v>
      </c>
      <c r="B115" s="1" t="s">
        <v>98</v>
      </c>
      <c r="C115" s="1" t="s">
        <v>33</v>
      </c>
      <c r="D115" s="1" t="s">
        <v>169</v>
      </c>
      <c r="E115" s="2">
        <v>46264</v>
      </c>
      <c r="F115" s="1" t="s">
        <v>170</v>
      </c>
      <c r="G115" s="3">
        <v>46264.666666666701</v>
      </c>
      <c r="H115" s="1" t="s">
        <v>171</v>
      </c>
      <c r="I115" s="2">
        <v>46264</v>
      </c>
      <c r="J115" s="3">
        <v>46264.666666666701</v>
      </c>
      <c r="K115" s="1" t="s">
        <v>172</v>
      </c>
      <c r="L115" s="1" t="s">
        <v>38</v>
      </c>
      <c r="M115" s="1" t="s">
        <v>39</v>
      </c>
      <c r="N115" s="1" t="s">
        <v>33</v>
      </c>
      <c r="P115" s="1" t="s">
        <v>33</v>
      </c>
      <c r="Q115" s="1" t="s">
        <v>225</v>
      </c>
      <c r="R115" s="1" t="s">
        <v>226</v>
      </c>
      <c r="S115" s="4">
        <v>61.2</v>
      </c>
      <c r="V115" s="4">
        <v>-61.2</v>
      </c>
      <c r="W115" s="1" t="s">
        <v>50</v>
      </c>
      <c r="X115" s="1" t="s">
        <v>51</v>
      </c>
      <c r="Y115" s="1" t="s">
        <v>33</v>
      </c>
      <c r="AC115" s="1" t="s">
        <v>33</v>
      </c>
      <c r="AE115" s="1" t="s">
        <v>33</v>
      </c>
    </row>
    <row r="116" spans="1:31" x14ac:dyDescent="0.25">
      <c r="A116" s="1" t="s">
        <v>97</v>
      </c>
      <c r="B116" s="1" t="s">
        <v>98</v>
      </c>
      <c r="C116" s="1" t="s">
        <v>33</v>
      </c>
      <c r="D116" s="1" t="s">
        <v>169</v>
      </c>
      <c r="E116" s="2">
        <v>46264</v>
      </c>
      <c r="F116" s="1" t="s">
        <v>170</v>
      </c>
      <c r="G116" s="3">
        <v>46264.666666666701</v>
      </c>
      <c r="H116" s="1" t="s">
        <v>171</v>
      </c>
      <c r="I116" s="2">
        <v>46264</v>
      </c>
      <c r="J116" s="3">
        <v>46264.666666666701</v>
      </c>
      <c r="K116" s="1" t="s">
        <v>172</v>
      </c>
      <c r="L116" s="1" t="s">
        <v>38</v>
      </c>
      <c r="M116" s="1" t="s">
        <v>39</v>
      </c>
      <c r="N116" s="1" t="s">
        <v>33</v>
      </c>
      <c r="P116" s="1" t="s">
        <v>33</v>
      </c>
      <c r="Q116" s="1" t="s">
        <v>227</v>
      </c>
      <c r="R116" s="1" t="s">
        <v>228</v>
      </c>
      <c r="S116" s="4">
        <v>45</v>
      </c>
      <c r="V116" s="4">
        <v>-45</v>
      </c>
      <c r="W116" s="1" t="s">
        <v>50</v>
      </c>
      <c r="X116" s="1" t="s">
        <v>51</v>
      </c>
      <c r="Y116" s="1" t="s">
        <v>33</v>
      </c>
      <c r="AC116" s="1" t="s">
        <v>33</v>
      </c>
      <c r="AD116" s="1" t="s">
        <v>113</v>
      </c>
      <c r="AE116" s="1" t="s">
        <v>33</v>
      </c>
    </row>
    <row r="117" spans="1:31" x14ac:dyDescent="0.25">
      <c r="A117" s="1" t="s">
        <v>97</v>
      </c>
      <c r="B117" s="1" t="s">
        <v>98</v>
      </c>
      <c r="C117" s="1" t="s">
        <v>33</v>
      </c>
      <c r="D117" s="1" t="s">
        <v>169</v>
      </c>
      <c r="E117" s="2">
        <v>46264</v>
      </c>
      <c r="F117" s="1" t="s">
        <v>170</v>
      </c>
      <c r="G117" s="3">
        <v>46264.666666666701</v>
      </c>
      <c r="H117" s="1" t="s">
        <v>171</v>
      </c>
      <c r="I117" s="2">
        <v>46264</v>
      </c>
      <c r="J117" s="3">
        <v>46264.666666666701</v>
      </c>
      <c r="K117" s="1" t="s">
        <v>172</v>
      </c>
      <c r="L117" s="1" t="s">
        <v>38</v>
      </c>
      <c r="M117" s="1" t="s">
        <v>39</v>
      </c>
      <c r="N117" s="1" t="s">
        <v>33</v>
      </c>
      <c r="P117" s="1" t="s">
        <v>33</v>
      </c>
      <c r="Q117" s="1" t="s">
        <v>229</v>
      </c>
      <c r="R117" s="1" t="s">
        <v>230</v>
      </c>
      <c r="S117" s="4">
        <v>30.6</v>
      </c>
      <c r="V117" s="4">
        <v>-30.6</v>
      </c>
      <c r="W117" s="1" t="s">
        <v>50</v>
      </c>
      <c r="X117" s="1" t="s">
        <v>51</v>
      </c>
      <c r="Y117" s="1" t="s">
        <v>33</v>
      </c>
      <c r="AC117" s="1" t="s">
        <v>33</v>
      </c>
      <c r="AD117" s="1" t="s">
        <v>113</v>
      </c>
      <c r="AE117" s="1" t="s">
        <v>33</v>
      </c>
    </row>
    <row r="118" spans="1:31" x14ac:dyDescent="0.25">
      <c r="A118" s="1" t="s">
        <v>97</v>
      </c>
      <c r="B118" s="1" t="s">
        <v>98</v>
      </c>
      <c r="C118" s="1" t="s">
        <v>33</v>
      </c>
      <c r="D118" s="1" t="s">
        <v>169</v>
      </c>
      <c r="E118" s="2">
        <v>46264</v>
      </c>
      <c r="F118" s="1" t="s">
        <v>170</v>
      </c>
      <c r="G118" s="3">
        <v>46264.666666666701</v>
      </c>
      <c r="H118" s="1" t="s">
        <v>171</v>
      </c>
      <c r="I118" s="2">
        <v>46264</v>
      </c>
      <c r="J118" s="3">
        <v>46264.666666666701</v>
      </c>
      <c r="K118" s="1" t="s">
        <v>172</v>
      </c>
      <c r="L118" s="1" t="s">
        <v>38</v>
      </c>
      <c r="M118" s="1" t="s">
        <v>39</v>
      </c>
      <c r="N118" s="1" t="s">
        <v>33</v>
      </c>
      <c r="P118" s="1" t="s">
        <v>33</v>
      </c>
      <c r="Q118" s="1" t="s">
        <v>231</v>
      </c>
      <c r="R118" s="1" t="s">
        <v>232</v>
      </c>
      <c r="S118" s="4">
        <v>48.6</v>
      </c>
      <c r="T118" s="4">
        <v>48.6</v>
      </c>
      <c r="U118" s="4">
        <v>48.6</v>
      </c>
      <c r="Y118" s="1" t="s">
        <v>33</v>
      </c>
      <c r="AC118" s="1" t="s">
        <v>33</v>
      </c>
      <c r="AE118" s="1" t="s">
        <v>33</v>
      </c>
    </row>
    <row r="119" spans="1:31" x14ac:dyDescent="0.25">
      <c r="A119" s="1" t="s">
        <v>97</v>
      </c>
      <c r="B119" s="1" t="s">
        <v>98</v>
      </c>
      <c r="C119" s="1" t="s">
        <v>33</v>
      </c>
      <c r="D119" s="1" t="s">
        <v>169</v>
      </c>
      <c r="E119" s="2">
        <v>46264</v>
      </c>
      <c r="F119" s="1" t="s">
        <v>170</v>
      </c>
      <c r="G119" s="3">
        <v>46264.666666666701</v>
      </c>
      <c r="H119" s="1" t="s">
        <v>171</v>
      </c>
      <c r="I119" s="2">
        <v>46264</v>
      </c>
      <c r="J119" s="3">
        <v>46264.666666666701</v>
      </c>
      <c r="K119" s="1" t="s">
        <v>172</v>
      </c>
      <c r="L119" s="1" t="s">
        <v>38</v>
      </c>
      <c r="M119" s="1" t="s">
        <v>39</v>
      </c>
      <c r="N119" s="1" t="s">
        <v>33</v>
      </c>
      <c r="P119" s="1" t="s">
        <v>33</v>
      </c>
      <c r="Q119" s="1" t="s">
        <v>109</v>
      </c>
      <c r="R119" s="1" t="s">
        <v>110</v>
      </c>
      <c r="S119" s="4">
        <v>217.5</v>
      </c>
      <c r="T119" s="4">
        <v>217.5</v>
      </c>
      <c r="U119" s="4">
        <v>217.5</v>
      </c>
      <c r="Y119" s="1" t="s">
        <v>33</v>
      </c>
      <c r="AC119" s="1" t="s">
        <v>33</v>
      </c>
      <c r="AE119" s="1" t="s">
        <v>33</v>
      </c>
    </row>
    <row r="120" spans="1:31" x14ac:dyDescent="0.25">
      <c r="A120" s="1" t="s">
        <v>97</v>
      </c>
      <c r="B120" s="1" t="s">
        <v>98</v>
      </c>
      <c r="C120" s="1" t="s">
        <v>33</v>
      </c>
      <c r="D120" s="1" t="s">
        <v>169</v>
      </c>
      <c r="E120" s="2">
        <v>46264</v>
      </c>
      <c r="F120" s="1" t="s">
        <v>170</v>
      </c>
      <c r="G120" s="3">
        <v>46264.666666666701</v>
      </c>
      <c r="H120" s="1" t="s">
        <v>171</v>
      </c>
      <c r="I120" s="2">
        <v>46264</v>
      </c>
      <c r="J120" s="3">
        <v>46264.666666666701</v>
      </c>
      <c r="K120" s="1" t="s">
        <v>172</v>
      </c>
      <c r="L120" s="1" t="s">
        <v>38</v>
      </c>
      <c r="M120" s="1" t="s">
        <v>39</v>
      </c>
      <c r="N120" s="1" t="s">
        <v>33</v>
      </c>
      <c r="P120" s="1" t="s">
        <v>33</v>
      </c>
      <c r="Q120" s="1" t="s">
        <v>62</v>
      </c>
      <c r="R120" s="1" t="s">
        <v>63</v>
      </c>
      <c r="S120" s="4">
        <v>1480.8</v>
      </c>
      <c r="T120" s="4">
        <v>1480.8</v>
      </c>
      <c r="U120" s="4">
        <v>1480.8</v>
      </c>
      <c r="Y120" s="1" t="s">
        <v>33</v>
      </c>
      <c r="AC120" s="1" t="s">
        <v>33</v>
      </c>
      <c r="AE120" s="1" t="s">
        <v>33</v>
      </c>
    </row>
    <row r="121" spans="1:31" x14ac:dyDescent="0.25">
      <c r="A121" s="1" t="s">
        <v>97</v>
      </c>
      <c r="B121" s="1" t="s">
        <v>98</v>
      </c>
      <c r="C121" s="1" t="s">
        <v>33</v>
      </c>
      <c r="D121" s="1" t="s">
        <v>169</v>
      </c>
      <c r="E121" s="2">
        <v>46264</v>
      </c>
      <c r="F121" s="1" t="s">
        <v>170</v>
      </c>
      <c r="G121" s="3">
        <v>46264.666666666701</v>
      </c>
      <c r="H121" s="1" t="s">
        <v>171</v>
      </c>
      <c r="I121" s="2">
        <v>46264</v>
      </c>
      <c r="J121" s="3">
        <v>46264.666666666701</v>
      </c>
      <c r="K121" s="1" t="s">
        <v>172</v>
      </c>
      <c r="L121" s="1" t="s">
        <v>38</v>
      </c>
      <c r="M121" s="1" t="s">
        <v>39</v>
      </c>
      <c r="N121" s="1" t="s">
        <v>33</v>
      </c>
      <c r="P121" s="1" t="s">
        <v>33</v>
      </c>
      <c r="Q121" s="1" t="s">
        <v>64</v>
      </c>
      <c r="R121" s="1" t="s">
        <v>65</v>
      </c>
      <c r="S121" s="4">
        <v>120</v>
      </c>
      <c r="T121" s="4">
        <v>120</v>
      </c>
      <c r="U121" s="4">
        <v>120</v>
      </c>
      <c r="Y121" s="1" t="s">
        <v>33</v>
      </c>
      <c r="AC121" s="1" t="s">
        <v>33</v>
      </c>
      <c r="AE121" s="1" t="s">
        <v>33</v>
      </c>
    </row>
    <row r="122" spans="1:31" x14ac:dyDescent="0.25">
      <c r="A122" s="1" t="s">
        <v>97</v>
      </c>
      <c r="B122" s="1" t="s">
        <v>98</v>
      </c>
      <c r="C122" s="1" t="s">
        <v>33</v>
      </c>
      <c r="D122" s="1" t="s">
        <v>169</v>
      </c>
      <c r="E122" s="2">
        <v>46264</v>
      </c>
      <c r="F122" s="1" t="s">
        <v>170</v>
      </c>
      <c r="G122" s="3">
        <v>46264.666666666701</v>
      </c>
      <c r="H122" s="1" t="s">
        <v>171</v>
      </c>
      <c r="I122" s="2">
        <v>46264</v>
      </c>
      <c r="J122" s="3">
        <v>46264.666666666701</v>
      </c>
      <c r="K122" s="1" t="s">
        <v>172</v>
      </c>
      <c r="L122" s="1" t="s">
        <v>38</v>
      </c>
      <c r="M122" s="1" t="s">
        <v>39</v>
      </c>
      <c r="N122" s="1" t="s">
        <v>33</v>
      </c>
      <c r="P122" s="1" t="s">
        <v>33</v>
      </c>
      <c r="Q122" s="1" t="s">
        <v>233</v>
      </c>
      <c r="R122" s="1" t="s">
        <v>234</v>
      </c>
      <c r="S122" s="4">
        <v>55.2</v>
      </c>
      <c r="T122" s="4">
        <v>55.2</v>
      </c>
      <c r="U122" s="4">
        <v>55.2</v>
      </c>
      <c r="Y122" s="1" t="s">
        <v>33</v>
      </c>
      <c r="AC122" s="1" t="s">
        <v>33</v>
      </c>
      <c r="AE122" s="1" t="s">
        <v>33</v>
      </c>
    </row>
    <row r="123" spans="1:31" x14ac:dyDescent="0.25">
      <c r="A123" s="1" t="s">
        <v>97</v>
      </c>
      <c r="B123" s="1" t="s">
        <v>98</v>
      </c>
      <c r="C123" s="1" t="s">
        <v>33</v>
      </c>
      <c r="D123" s="1" t="s">
        <v>169</v>
      </c>
      <c r="E123" s="2">
        <v>46264</v>
      </c>
      <c r="F123" s="1" t="s">
        <v>170</v>
      </c>
      <c r="G123" s="3">
        <v>46264.666666666701</v>
      </c>
      <c r="H123" s="1" t="s">
        <v>171</v>
      </c>
      <c r="I123" s="2">
        <v>46264</v>
      </c>
      <c r="J123" s="3">
        <v>46264.666666666701</v>
      </c>
      <c r="K123" s="1" t="s">
        <v>172</v>
      </c>
      <c r="L123" s="1" t="s">
        <v>38</v>
      </c>
      <c r="M123" s="1" t="s">
        <v>39</v>
      </c>
      <c r="N123" s="1" t="s">
        <v>33</v>
      </c>
      <c r="P123" s="1" t="s">
        <v>33</v>
      </c>
      <c r="Q123" s="1" t="s">
        <v>235</v>
      </c>
      <c r="R123" s="1" t="s">
        <v>236</v>
      </c>
      <c r="S123" s="4">
        <v>60</v>
      </c>
      <c r="T123" s="4">
        <v>60</v>
      </c>
      <c r="U123" s="4">
        <v>60</v>
      </c>
      <c r="Y123" s="1" t="s">
        <v>33</v>
      </c>
      <c r="AC123" s="1" t="s">
        <v>33</v>
      </c>
      <c r="AE123" s="1" t="s">
        <v>33</v>
      </c>
    </row>
    <row r="124" spans="1:31" x14ac:dyDescent="0.25">
      <c r="A124" s="1" t="s">
        <v>97</v>
      </c>
      <c r="B124" s="1" t="s">
        <v>98</v>
      </c>
      <c r="C124" s="1" t="s">
        <v>33</v>
      </c>
      <c r="D124" s="1" t="s">
        <v>169</v>
      </c>
      <c r="E124" s="2">
        <v>46264</v>
      </c>
      <c r="F124" s="1" t="s">
        <v>170</v>
      </c>
      <c r="G124" s="3">
        <v>46264.666666666701</v>
      </c>
      <c r="H124" s="1" t="s">
        <v>171</v>
      </c>
      <c r="I124" s="2">
        <v>46264</v>
      </c>
      <c r="J124" s="3">
        <v>46264.666666666701</v>
      </c>
      <c r="K124" s="1" t="s">
        <v>172</v>
      </c>
      <c r="L124" s="1" t="s">
        <v>38</v>
      </c>
      <c r="M124" s="1" t="s">
        <v>39</v>
      </c>
      <c r="N124" s="1" t="s">
        <v>33</v>
      </c>
      <c r="P124" s="1" t="s">
        <v>33</v>
      </c>
      <c r="Q124" s="1" t="s">
        <v>237</v>
      </c>
      <c r="R124" s="1" t="s">
        <v>238</v>
      </c>
      <c r="S124" s="4">
        <v>33.6</v>
      </c>
      <c r="V124" s="4">
        <v>-33.6</v>
      </c>
      <c r="W124" s="1" t="s">
        <v>61</v>
      </c>
      <c r="Y124" s="1" t="s">
        <v>33</v>
      </c>
      <c r="AC124" s="1" t="s">
        <v>33</v>
      </c>
      <c r="AE124" s="1" t="s">
        <v>33</v>
      </c>
    </row>
    <row r="125" spans="1:31" x14ac:dyDescent="0.25">
      <c r="A125" s="1" t="s">
        <v>97</v>
      </c>
      <c r="B125" s="1" t="s">
        <v>98</v>
      </c>
      <c r="C125" s="1" t="s">
        <v>33</v>
      </c>
      <c r="D125" s="1" t="s">
        <v>169</v>
      </c>
      <c r="E125" s="2">
        <v>46264</v>
      </c>
      <c r="F125" s="1" t="s">
        <v>170</v>
      </c>
      <c r="G125" s="3">
        <v>46264.666666666701</v>
      </c>
      <c r="H125" s="1" t="s">
        <v>171</v>
      </c>
      <c r="I125" s="2">
        <v>46264</v>
      </c>
      <c r="J125" s="3">
        <v>46264.666666666701</v>
      </c>
      <c r="K125" s="1" t="s">
        <v>172</v>
      </c>
      <c r="L125" s="1" t="s">
        <v>38</v>
      </c>
      <c r="M125" s="1" t="s">
        <v>39</v>
      </c>
      <c r="N125" s="1" t="s">
        <v>33</v>
      </c>
      <c r="P125" s="1" t="s">
        <v>33</v>
      </c>
      <c r="Q125" s="1" t="s">
        <v>68</v>
      </c>
      <c r="R125" s="1" t="s">
        <v>69</v>
      </c>
      <c r="S125" s="4">
        <v>12</v>
      </c>
      <c r="T125" s="4">
        <v>12</v>
      </c>
      <c r="U125" s="4">
        <v>12</v>
      </c>
      <c r="Y125" s="1" t="s">
        <v>33</v>
      </c>
      <c r="AC125" s="1" t="s">
        <v>33</v>
      </c>
      <c r="AE125" s="1" t="s">
        <v>33</v>
      </c>
    </row>
    <row r="126" spans="1:31" x14ac:dyDescent="0.25">
      <c r="A126" s="1" t="s">
        <v>97</v>
      </c>
      <c r="B126" s="1" t="s">
        <v>98</v>
      </c>
      <c r="C126" s="1" t="s">
        <v>33</v>
      </c>
      <c r="D126" s="1" t="s">
        <v>169</v>
      </c>
      <c r="E126" s="2">
        <v>46264</v>
      </c>
      <c r="F126" s="1" t="s">
        <v>170</v>
      </c>
      <c r="G126" s="3">
        <v>46264.666666666701</v>
      </c>
      <c r="H126" s="1" t="s">
        <v>171</v>
      </c>
      <c r="I126" s="2">
        <v>46264</v>
      </c>
      <c r="J126" s="3">
        <v>46264.666666666701</v>
      </c>
      <c r="K126" s="1" t="s">
        <v>172</v>
      </c>
      <c r="L126" s="1" t="s">
        <v>38</v>
      </c>
      <c r="M126" s="1" t="s">
        <v>39</v>
      </c>
      <c r="N126" s="1" t="s">
        <v>33</v>
      </c>
      <c r="P126" s="1" t="s">
        <v>33</v>
      </c>
      <c r="Q126" s="1" t="s">
        <v>239</v>
      </c>
      <c r="R126" s="1" t="s">
        <v>240</v>
      </c>
      <c r="S126" s="4">
        <v>5.4</v>
      </c>
      <c r="T126" s="4">
        <v>5.4</v>
      </c>
      <c r="U126" s="4">
        <v>5.4</v>
      </c>
      <c r="Y126" s="1" t="s">
        <v>33</v>
      </c>
      <c r="AC126" s="1" t="s">
        <v>33</v>
      </c>
      <c r="AE126" s="1" t="s">
        <v>33</v>
      </c>
    </row>
    <row r="127" spans="1:31" x14ac:dyDescent="0.25">
      <c r="A127" s="1" t="s">
        <v>97</v>
      </c>
      <c r="B127" s="1" t="s">
        <v>98</v>
      </c>
      <c r="C127" s="1" t="s">
        <v>33</v>
      </c>
      <c r="D127" s="1" t="s">
        <v>169</v>
      </c>
      <c r="E127" s="2">
        <v>46264</v>
      </c>
      <c r="F127" s="1" t="s">
        <v>170</v>
      </c>
      <c r="G127" s="3">
        <v>46264.666666666701</v>
      </c>
      <c r="H127" s="1" t="s">
        <v>171</v>
      </c>
      <c r="I127" s="2">
        <v>46264</v>
      </c>
      <c r="J127" s="3">
        <v>46264.666666666701</v>
      </c>
      <c r="K127" s="1" t="s">
        <v>172</v>
      </c>
      <c r="L127" s="1" t="s">
        <v>38</v>
      </c>
      <c r="M127" s="1" t="s">
        <v>39</v>
      </c>
      <c r="N127" s="1" t="s">
        <v>33</v>
      </c>
      <c r="P127" s="1" t="s">
        <v>33</v>
      </c>
      <c r="Q127" s="1" t="s">
        <v>241</v>
      </c>
      <c r="R127" s="1" t="s">
        <v>242</v>
      </c>
      <c r="S127" s="4">
        <v>88.8</v>
      </c>
      <c r="T127" s="4">
        <v>88.8</v>
      </c>
      <c r="U127" s="4">
        <v>88.8</v>
      </c>
      <c r="Y127" s="1" t="s">
        <v>33</v>
      </c>
      <c r="AC127" s="1" t="s">
        <v>33</v>
      </c>
      <c r="AE127" s="1" t="s">
        <v>33</v>
      </c>
    </row>
    <row r="128" spans="1:31" x14ac:dyDescent="0.25">
      <c r="A128" s="1" t="s">
        <v>97</v>
      </c>
      <c r="B128" s="1" t="s">
        <v>98</v>
      </c>
      <c r="C128" s="1" t="s">
        <v>33</v>
      </c>
      <c r="D128" s="1" t="s">
        <v>169</v>
      </c>
      <c r="E128" s="2">
        <v>46264</v>
      </c>
      <c r="F128" s="1" t="s">
        <v>170</v>
      </c>
      <c r="G128" s="3">
        <v>46264.666666666701</v>
      </c>
      <c r="H128" s="1" t="s">
        <v>171</v>
      </c>
      <c r="I128" s="2">
        <v>46264</v>
      </c>
      <c r="J128" s="3">
        <v>46264.666666666701</v>
      </c>
      <c r="K128" s="1" t="s">
        <v>172</v>
      </c>
      <c r="L128" s="1" t="s">
        <v>38</v>
      </c>
      <c r="M128" s="1" t="s">
        <v>39</v>
      </c>
      <c r="N128" s="1" t="s">
        <v>33</v>
      </c>
      <c r="P128" s="1" t="s">
        <v>33</v>
      </c>
      <c r="Q128" s="1" t="s">
        <v>243</v>
      </c>
      <c r="R128" s="1" t="s">
        <v>244</v>
      </c>
      <c r="S128" s="4">
        <v>69.599999999999994</v>
      </c>
      <c r="T128" s="4">
        <v>69.599999999999994</v>
      </c>
      <c r="U128" s="4">
        <v>69.599999999999994</v>
      </c>
      <c r="Y128" s="1" t="s">
        <v>33</v>
      </c>
      <c r="AC128" s="1" t="s">
        <v>33</v>
      </c>
      <c r="AE128" s="1" t="s">
        <v>33</v>
      </c>
    </row>
    <row r="129" spans="1:31" x14ac:dyDescent="0.25">
      <c r="A129" s="1" t="s">
        <v>97</v>
      </c>
      <c r="B129" s="1" t="s">
        <v>98</v>
      </c>
      <c r="C129" s="1" t="s">
        <v>33</v>
      </c>
      <c r="D129" s="1" t="s">
        <v>169</v>
      </c>
      <c r="E129" s="2">
        <v>46264</v>
      </c>
      <c r="F129" s="1" t="s">
        <v>170</v>
      </c>
      <c r="G129" s="3">
        <v>46264.666666666701</v>
      </c>
      <c r="H129" s="1" t="s">
        <v>171</v>
      </c>
      <c r="I129" s="2">
        <v>46264</v>
      </c>
      <c r="J129" s="3">
        <v>46264.666666666701</v>
      </c>
      <c r="K129" s="1" t="s">
        <v>172</v>
      </c>
      <c r="L129" s="1" t="s">
        <v>38</v>
      </c>
      <c r="M129" s="1" t="s">
        <v>39</v>
      </c>
      <c r="N129" s="1" t="s">
        <v>33</v>
      </c>
      <c r="P129" s="1" t="s">
        <v>33</v>
      </c>
      <c r="Q129" s="1" t="s">
        <v>245</v>
      </c>
      <c r="R129" s="1" t="s">
        <v>246</v>
      </c>
      <c r="S129" s="4">
        <v>46.8</v>
      </c>
      <c r="T129" s="4">
        <v>46.8</v>
      </c>
      <c r="U129" s="4">
        <v>46.8</v>
      </c>
      <c r="Y129" s="1" t="s">
        <v>33</v>
      </c>
      <c r="AC129" s="1" t="s">
        <v>33</v>
      </c>
      <c r="AE129" s="1" t="s">
        <v>33</v>
      </c>
    </row>
    <row r="130" spans="1:31" x14ac:dyDescent="0.25">
      <c r="A130" s="1" t="s">
        <v>97</v>
      </c>
      <c r="B130" s="1" t="s">
        <v>98</v>
      </c>
      <c r="C130" s="1" t="s">
        <v>33</v>
      </c>
      <c r="D130" s="1" t="s">
        <v>169</v>
      </c>
      <c r="E130" s="2">
        <v>46264</v>
      </c>
      <c r="F130" s="1" t="s">
        <v>170</v>
      </c>
      <c r="G130" s="3">
        <v>46264.666666666701</v>
      </c>
      <c r="H130" s="1" t="s">
        <v>171</v>
      </c>
      <c r="I130" s="2">
        <v>46264</v>
      </c>
      <c r="J130" s="3">
        <v>46264.666666666701</v>
      </c>
      <c r="K130" s="1" t="s">
        <v>172</v>
      </c>
      <c r="L130" s="1" t="s">
        <v>38</v>
      </c>
      <c r="M130" s="1" t="s">
        <v>39</v>
      </c>
      <c r="N130" s="1" t="s">
        <v>33</v>
      </c>
      <c r="P130" s="1" t="s">
        <v>33</v>
      </c>
      <c r="Q130" s="1" t="s">
        <v>247</v>
      </c>
      <c r="R130" s="1" t="s">
        <v>248</v>
      </c>
      <c r="S130" s="4">
        <v>148.19999999999999</v>
      </c>
      <c r="T130" s="4">
        <v>148.19999999999999</v>
      </c>
      <c r="U130" s="4">
        <v>148.19999999999999</v>
      </c>
      <c r="Y130" s="1" t="s">
        <v>33</v>
      </c>
      <c r="AC130" s="1" t="s">
        <v>33</v>
      </c>
      <c r="AE130" s="1" t="s">
        <v>33</v>
      </c>
    </row>
    <row r="131" spans="1:31" x14ac:dyDescent="0.25">
      <c r="A131" s="1" t="s">
        <v>97</v>
      </c>
      <c r="B131" s="1" t="s">
        <v>98</v>
      </c>
      <c r="C131" s="1" t="s">
        <v>33</v>
      </c>
      <c r="D131" s="1" t="s">
        <v>169</v>
      </c>
      <c r="E131" s="2">
        <v>46264</v>
      </c>
      <c r="F131" s="1" t="s">
        <v>170</v>
      </c>
      <c r="G131" s="3">
        <v>46264.666666666701</v>
      </c>
      <c r="H131" s="1" t="s">
        <v>171</v>
      </c>
      <c r="I131" s="2">
        <v>46264</v>
      </c>
      <c r="J131" s="3">
        <v>46264.666666666701</v>
      </c>
      <c r="K131" s="1" t="s">
        <v>172</v>
      </c>
      <c r="L131" s="1" t="s">
        <v>38</v>
      </c>
      <c r="M131" s="1" t="s">
        <v>39</v>
      </c>
      <c r="N131" s="1" t="s">
        <v>33</v>
      </c>
      <c r="P131" s="1" t="s">
        <v>33</v>
      </c>
      <c r="Q131" s="1" t="s">
        <v>249</v>
      </c>
      <c r="R131" s="1" t="s">
        <v>250</v>
      </c>
      <c r="S131" s="4">
        <v>54</v>
      </c>
      <c r="T131" s="4">
        <v>54</v>
      </c>
      <c r="U131" s="4">
        <v>54</v>
      </c>
      <c r="Y131" s="1" t="s">
        <v>33</v>
      </c>
      <c r="AC131" s="1" t="s">
        <v>33</v>
      </c>
      <c r="AE131" s="1" t="s">
        <v>33</v>
      </c>
    </row>
    <row r="132" spans="1:31" x14ac:dyDescent="0.25">
      <c r="A132" s="1" t="s">
        <v>97</v>
      </c>
      <c r="B132" s="1" t="s">
        <v>98</v>
      </c>
      <c r="C132" s="1" t="s">
        <v>33</v>
      </c>
      <c r="D132" s="1" t="s">
        <v>169</v>
      </c>
      <c r="E132" s="2">
        <v>46264</v>
      </c>
      <c r="F132" s="1" t="s">
        <v>170</v>
      </c>
      <c r="G132" s="3">
        <v>46264.666666666701</v>
      </c>
      <c r="H132" s="1" t="s">
        <v>171</v>
      </c>
      <c r="I132" s="2">
        <v>46264</v>
      </c>
      <c r="J132" s="3">
        <v>46264.666666666701</v>
      </c>
      <c r="K132" s="1" t="s">
        <v>172</v>
      </c>
      <c r="L132" s="1" t="s">
        <v>38</v>
      </c>
      <c r="M132" s="1" t="s">
        <v>39</v>
      </c>
      <c r="N132" s="1" t="s">
        <v>33</v>
      </c>
      <c r="P132" s="1" t="s">
        <v>33</v>
      </c>
      <c r="Q132" s="1" t="s">
        <v>251</v>
      </c>
      <c r="R132" s="1" t="s">
        <v>252</v>
      </c>
      <c r="S132" s="4">
        <v>84</v>
      </c>
      <c r="T132" s="4">
        <v>84</v>
      </c>
      <c r="U132" s="4">
        <v>84</v>
      </c>
      <c r="Y132" s="1" t="s">
        <v>33</v>
      </c>
      <c r="AC132" s="1" t="s">
        <v>33</v>
      </c>
      <c r="AE132" s="1" t="s">
        <v>33</v>
      </c>
    </row>
    <row r="133" spans="1:31" x14ac:dyDescent="0.25">
      <c r="A133" s="1" t="s">
        <v>97</v>
      </c>
      <c r="B133" s="1" t="s">
        <v>98</v>
      </c>
      <c r="C133" s="1" t="s">
        <v>33</v>
      </c>
      <c r="D133" s="1" t="s">
        <v>169</v>
      </c>
      <c r="E133" s="2">
        <v>46264</v>
      </c>
      <c r="F133" s="1" t="s">
        <v>170</v>
      </c>
      <c r="G133" s="3">
        <v>46264.666666666701</v>
      </c>
      <c r="H133" s="1" t="s">
        <v>171</v>
      </c>
      <c r="I133" s="2">
        <v>46264</v>
      </c>
      <c r="J133" s="3">
        <v>46264.666666666701</v>
      </c>
      <c r="K133" s="1" t="s">
        <v>172</v>
      </c>
      <c r="L133" s="1" t="s">
        <v>38</v>
      </c>
      <c r="M133" s="1" t="s">
        <v>39</v>
      </c>
      <c r="N133" s="1" t="s">
        <v>33</v>
      </c>
      <c r="P133" s="1" t="s">
        <v>33</v>
      </c>
      <c r="Q133" s="1" t="s">
        <v>75</v>
      </c>
      <c r="R133" s="1" t="s">
        <v>76</v>
      </c>
      <c r="S133" s="4">
        <v>16.2</v>
      </c>
      <c r="T133" s="4">
        <v>16.2</v>
      </c>
      <c r="U133" s="4">
        <v>16.2</v>
      </c>
      <c r="Y133" s="1" t="s">
        <v>33</v>
      </c>
      <c r="AC133" s="1" t="s">
        <v>33</v>
      </c>
      <c r="AE133" s="1" t="s">
        <v>33</v>
      </c>
    </row>
    <row r="134" spans="1:31" x14ac:dyDescent="0.25">
      <c r="A134" s="1" t="s">
        <v>97</v>
      </c>
      <c r="B134" s="1" t="s">
        <v>98</v>
      </c>
      <c r="C134" s="1" t="s">
        <v>33</v>
      </c>
      <c r="D134" s="1" t="s">
        <v>169</v>
      </c>
      <c r="E134" s="2">
        <v>46264</v>
      </c>
      <c r="F134" s="1" t="s">
        <v>170</v>
      </c>
      <c r="G134" s="3">
        <v>46264.666666666701</v>
      </c>
      <c r="H134" s="1" t="s">
        <v>171</v>
      </c>
      <c r="I134" s="2">
        <v>46264</v>
      </c>
      <c r="J134" s="3">
        <v>46264.666666666701</v>
      </c>
      <c r="K134" s="1" t="s">
        <v>172</v>
      </c>
      <c r="L134" s="1" t="s">
        <v>38</v>
      </c>
      <c r="M134" s="1" t="s">
        <v>39</v>
      </c>
      <c r="N134" s="1" t="s">
        <v>33</v>
      </c>
      <c r="P134" s="1" t="s">
        <v>33</v>
      </c>
      <c r="Q134" s="1" t="s">
        <v>253</v>
      </c>
      <c r="R134" s="1" t="s">
        <v>254</v>
      </c>
      <c r="S134" s="4">
        <v>252</v>
      </c>
      <c r="V134" s="4">
        <v>-252</v>
      </c>
      <c r="W134" s="1" t="s">
        <v>50</v>
      </c>
      <c r="X134" s="1" t="s">
        <v>51</v>
      </c>
      <c r="Y134" s="1" t="s">
        <v>33</v>
      </c>
      <c r="AC134" s="1" t="s">
        <v>33</v>
      </c>
      <c r="AD134" s="1" t="s">
        <v>113</v>
      </c>
      <c r="AE134" s="1" t="s">
        <v>33</v>
      </c>
    </row>
    <row r="135" spans="1:31" x14ac:dyDescent="0.25">
      <c r="A135" s="1" t="s">
        <v>97</v>
      </c>
      <c r="B135" s="1" t="s">
        <v>98</v>
      </c>
      <c r="C135" s="1" t="s">
        <v>33</v>
      </c>
      <c r="D135" s="1" t="s">
        <v>169</v>
      </c>
      <c r="E135" s="2">
        <v>46264</v>
      </c>
      <c r="F135" s="1" t="s">
        <v>170</v>
      </c>
      <c r="G135" s="3">
        <v>46264.666666666701</v>
      </c>
      <c r="H135" s="1" t="s">
        <v>171</v>
      </c>
      <c r="I135" s="2">
        <v>46264</v>
      </c>
      <c r="J135" s="3">
        <v>46264.666666666701</v>
      </c>
      <c r="K135" s="1" t="s">
        <v>172</v>
      </c>
      <c r="L135" s="1" t="s">
        <v>38</v>
      </c>
      <c r="M135" s="1" t="s">
        <v>39</v>
      </c>
      <c r="N135" s="1" t="s">
        <v>33</v>
      </c>
      <c r="P135" s="1" t="s">
        <v>33</v>
      </c>
      <c r="Q135" s="1" t="s">
        <v>153</v>
      </c>
      <c r="R135" s="1" t="s">
        <v>154</v>
      </c>
      <c r="S135" s="4">
        <v>1068.5999999999999</v>
      </c>
      <c r="T135" s="4">
        <v>1068.5999999999999</v>
      </c>
      <c r="U135" s="4">
        <v>1068.5999999999999</v>
      </c>
      <c r="Y135" s="1" t="s">
        <v>33</v>
      </c>
      <c r="AC135" s="1" t="s">
        <v>33</v>
      </c>
      <c r="AE135" s="1" t="s">
        <v>33</v>
      </c>
    </row>
    <row r="136" spans="1:31" x14ac:dyDescent="0.25">
      <c r="A136" s="1" t="s">
        <v>97</v>
      </c>
      <c r="B136" s="1" t="s">
        <v>98</v>
      </c>
      <c r="C136" s="1" t="s">
        <v>33</v>
      </c>
      <c r="D136" s="1" t="s">
        <v>169</v>
      </c>
      <c r="E136" s="2">
        <v>46264</v>
      </c>
      <c r="F136" s="1" t="s">
        <v>170</v>
      </c>
      <c r="G136" s="3">
        <v>46264.666666666701</v>
      </c>
      <c r="H136" s="1" t="s">
        <v>171</v>
      </c>
      <c r="I136" s="2">
        <v>46264</v>
      </c>
      <c r="J136" s="3">
        <v>46264.666666666701</v>
      </c>
      <c r="K136" s="1" t="s">
        <v>172</v>
      </c>
      <c r="L136" s="1" t="s">
        <v>38</v>
      </c>
      <c r="M136" s="1" t="s">
        <v>39</v>
      </c>
      <c r="N136" s="1" t="s">
        <v>33</v>
      </c>
      <c r="P136" s="1" t="s">
        <v>33</v>
      </c>
      <c r="Q136" s="1" t="s">
        <v>255</v>
      </c>
      <c r="R136" s="1" t="s">
        <v>256</v>
      </c>
      <c r="S136" s="4">
        <v>26</v>
      </c>
      <c r="T136" s="4">
        <v>26</v>
      </c>
      <c r="U136" s="4">
        <v>26</v>
      </c>
      <c r="Y136" s="1" t="s">
        <v>33</v>
      </c>
      <c r="AC136" s="1" t="s">
        <v>33</v>
      </c>
      <c r="AE136" s="1" t="s">
        <v>33</v>
      </c>
    </row>
    <row r="137" spans="1:31" x14ac:dyDescent="0.25">
      <c r="A137" s="1" t="s">
        <v>97</v>
      </c>
      <c r="B137" s="1" t="s">
        <v>98</v>
      </c>
      <c r="C137" s="1" t="s">
        <v>33</v>
      </c>
      <c r="D137" s="1" t="s">
        <v>169</v>
      </c>
      <c r="E137" s="2">
        <v>46264</v>
      </c>
      <c r="F137" s="1" t="s">
        <v>170</v>
      </c>
      <c r="G137" s="3">
        <v>46264.666666666701</v>
      </c>
      <c r="H137" s="1" t="s">
        <v>171</v>
      </c>
      <c r="I137" s="2">
        <v>46264</v>
      </c>
      <c r="J137" s="3">
        <v>46264.666666666701</v>
      </c>
      <c r="K137" s="1" t="s">
        <v>172</v>
      </c>
      <c r="L137" s="1" t="s">
        <v>38</v>
      </c>
      <c r="M137" s="1" t="s">
        <v>39</v>
      </c>
      <c r="N137" s="1" t="s">
        <v>33</v>
      </c>
      <c r="P137" s="1" t="s">
        <v>33</v>
      </c>
      <c r="Q137" s="1" t="s">
        <v>257</v>
      </c>
      <c r="R137" s="1" t="s">
        <v>258</v>
      </c>
      <c r="S137" s="4">
        <v>16</v>
      </c>
      <c r="T137" s="4">
        <v>16</v>
      </c>
      <c r="U137" s="4">
        <v>16</v>
      </c>
      <c r="Y137" s="1" t="s">
        <v>33</v>
      </c>
      <c r="AC137" s="1" t="s">
        <v>33</v>
      </c>
      <c r="AE137" s="1" t="s">
        <v>33</v>
      </c>
    </row>
    <row r="138" spans="1:31" x14ac:dyDescent="0.25">
      <c r="A138" s="1" t="s">
        <v>97</v>
      </c>
      <c r="B138" s="1" t="s">
        <v>98</v>
      </c>
      <c r="C138" s="1" t="s">
        <v>33</v>
      </c>
      <c r="D138" s="1" t="s">
        <v>169</v>
      </c>
      <c r="E138" s="2">
        <v>46264</v>
      </c>
      <c r="F138" s="1" t="s">
        <v>170</v>
      </c>
      <c r="G138" s="3">
        <v>46264.666666666701</v>
      </c>
      <c r="H138" s="1" t="s">
        <v>171</v>
      </c>
      <c r="I138" s="2">
        <v>46264</v>
      </c>
      <c r="J138" s="3">
        <v>46264.666666666701</v>
      </c>
      <c r="K138" s="1" t="s">
        <v>172</v>
      </c>
      <c r="L138" s="1" t="s">
        <v>38</v>
      </c>
      <c r="M138" s="1" t="s">
        <v>39</v>
      </c>
      <c r="N138" s="1" t="s">
        <v>33</v>
      </c>
      <c r="P138" s="1" t="s">
        <v>33</v>
      </c>
      <c r="Q138" s="1" t="s">
        <v>79</v>
      </c>
      <c r="R138" s="1" t="s">
        <v>80</v>
      </c>
      <c r="S138" s="4">
        <v>38</v>
      </c>
      <c r="T138" s="4">
        <v>38</v>
      </c>
      <c r="U138" s="4">
        <v>38</v>
      </c>
      <c r="Y138" s="1" t="s">
        <v>33</v>
      </c>
      <c r="AC138" s="1" t="s">
        <v>33</v>
      </c>
      <c r="AE138" s="1" t="s">
        <v>33</v>
      </c>
    </row>
    <row r="139" spans="1:31" x14ac:dyDescent="0.25">
      <c r="A139" s="1" t="s">
        <v>97</v>
      </c>
      <c r="B139" s="1" t="s">
        <v>98</v>
      </c>
      <c r="C139" s="1" t="s">
        <v>33</v>
      </c>
      <c r="D139" s="1" t="s">
        <v>169</v>
      </c>
      <c r="E139" s="2">
        <v>46264</v>
      </c>
      <c r="F139" s="1" t="s">
        <v>170</v>
      </c>
      <c r="G139" s="3">
        <v>46264.666666666701</v>
      </c>
      <c r="H139" s="1" t="s">
        <v>171</v>
      </c>
      <c r="I139" s="2">
        <v>46264</v>
      </c>
      <c r="J139" s="3">
        <v>46264.666666666701</v>
      </c>
      <c r="K139" s="1" t="s">
        <v>172</v>
      </c>
      <c r="L139" s="1" t="s">
        <v>38</v>
      </c>
      <c r="M139" s="1" t="s">
        <v>39</v>
      </c>
      <c r="N139" s="1" t="s">
        <v>33</v>
      </c>
      <c r="P139" s="1" t="s">
        <v>33</v>
      </c>
      <c r="Q139" s="1" t="s">
        <v>81</v>
      </c>
      <c r="R139" s="1" t="s">
        <v>82</v>
      </c>
      <c r="S139" s="4">
        <v>46.2</v>
      </c>
      <c r="T139" s="4">
        <v>46.2</v>
      </c>
      <c r="U139" s="4">
        <v>46.2</v>
      </c>
      <c r="Y139" s="1" t="s">
        <v>33</v>
      </c>
      <c r="AC139" s="1" t="s">
        <v>33</v>
      </c>
      <c r="AE139" s="1" t="s">
        <v>33</v>
      </c>
    </row>
    <row r="140" spans="1:31" x14ac:dyDescent="0.25">
      <c r="A140" s="1" t="s">
        <v>97</v>
      </c>
      <c r="B140" s="1" t="s">
        <v>98</v>
      </c>
      <c r="C140" s="1" t="s">
        <v>33</v>
      </c>
      <c r="D140" s="1" t="s">
        <v>169</v>
      </c>
      <c r="E140" s="2">
        <v>46264</v>
      </c>
      <c r="F140" s="1" t="s">
        <v>170</v>
      </c>
      <c r="G140" s="3">
        <v>46264.666666666701</v>
      </c>
      <c r="H140" s="1" t="s">
        <v>171</v>
      </c>
      <c r="I140" s="2">
        <v>46264</v>
      </c>
      <c r="J140" s="3">
        <v>46264.666666666701</v>
      </c>
      <c r="K140" s="1" t="s">
        <v>172</v>
      </c>
      <c r="L140" s="1" t="s">
        <v>38</v>
      </c>
      <c r="M140" s="1" t="s">
        <v>39</v>
      </c>
      <c r="N140" s="1" t="s">
        <v>33</v>
      </c>
      <c r="P140" s="1" t="s">
        <v>33</v>
      </c>
      <c r="Q140" s="1" t="s">
        <v>111</v>
      </c>
      <c r="R140" s="1" t="s">
        <v>112</v>
      </c>
      <c r="S140" s="4">
        <v>35.700000000000003</v>
      </c>
      <c r="V140" s="4">
        <v>-35.700000000000003</v>
      </c>
      <c r="W140" s="1" t="s">
        <v>50</v>
      </c>
      <c r="X140" s="1" t="s">
        <v>51</v>
      </c>
      <c r="Y140" s="1" t="s">
        <v>33</v>
      </c>
      <c r="AC140" s="1" t="s">
        <v>33</v>
      </c>
      <c r="AD140" s="1" t="s">
        <v>113</v>
      </c>
      <c r="AE140" s="1" t="s">
        <v>33</v>
      </c>
    </row>
    <row r="141" spans="1:31" x14ac:dyDescent="0.25">
      <c r="A141" s="1" t="s">
        <v>97</v>
      </c>
      <c r="B141" s="1" t="s">
        <v>98</v>
      </c>
      <c r="C141" s="1" t="s">
        <v>33</v>
      </c>
      <c r="D141" s="1" t="s">
        <v>169</v>
      </c>
      <c r="E141" s="2">
        <v>46264</v>
      </c>
      <c r="F141" s="1" t="s">
        <v>170</v>
      </c>
      <c r="G141" s="3">
        <v>46264.666666666701</v>
      </c>
      <c r="H141" s="1" t="s">
        <v>171</v>
      </c>
      <c r="I141" s="2">
        <v>46264</v>
      </c>
      <c r="J141" s="3">
        <v>46264.666666666701</v>
      </c>
      <c r="K141" s="1" t="s">
        <v>172</v>
      </c>
      <c r="L141" s="1" t="s">
        <v>38</v>
      </c>
      <c r="M141" s="1" t="s">
        <v>39</v>
      </c>
      <c r="N141" s="1" t="s">
        <v>33</v>
      </c>
      <c r="P141" s="1" t="s">
        <v>33</v>
      </c>
      <c r="Q141" s="1" t="s">
        <v>259</v>
      </c>
      <c r="R141" s="1" t="s">
        <v>260</v>
      </c>
      <c r="S141" s="4">
        <v>255</v>
      </c>
      <c r="T141" s="4">
        <v>255</v>
      </c>
      <c r="U141" s="4">
        <v>255</v>
      </c>
      <c r="Y141" s="1" t="s">
        <v>33</v>
      </c>
      <c r="AC141" s="1" t="s">
        <v>33</v>
      </c>
      <c r="AE141" s="1" t="s">
        <v>33</v>
      </c>
    </row>
    <row r="142" spans="1:31" x14ac:dyDescent="0.25">
      <c r="A142" s="1" t="s">
        <v>97</v>
      </c>
      <c r="B142" s="1" t="s">
        <v>98</v>
      </c>
      <c r="C142" s="1" t="s">
        <v>33</v>
      </c>
      <c r="D142" s="1" t="s">
        <v>169</v>
      </c>
      <c r="E142" s="2">
        <v>46264</v>
      </c>
      <c r="F142" s="1" t="s">
        <v>170</v>
      </c>
      <c r="G142" s="3">
        <v>46264.666666666701</v>
      </c>
      <c r="H142" s="1" t="s">
        <v>171</v>
      </c>
      <c r="I142" s="2">
        <v>46264</v>
      </c>
      <c r="J142" s="3">
        <v>46264.666666666701</v>
      </c>
      <c r="K142" s="1" t="s">
        <v>172</v>
      </c>
      <c r="L142" s="1" t="s">
        <v>38</v>
      </c>
      <c r="M142" s="1" t="s">
        <v>39</v>
      </c>
      <c r="N142" s="1" t="s">
        <v>33</v>
      </c>
      <c r="P142" s="1" t="s">
        <v>33</v>
      </c>
      <c r="Q142" s="1" t="s">
        <v>157</v>
      </c>
      <c r="R142" s="1" t="s">
        <v>158</v>
      </c>
      <c r="S142" s="4">
        <v>108</v>
      </c>
      <c r="V142" s="4">
        <v>-108</v>
      </c>
      <c r="W142" s="1" t="s">
        <v>50</v>
      </c>
      <c r="X142" s="1" t="s">
        <v>51</v>
      </c>
      <c r="Y142" s="1" t="s">
        <v>33</v>
      </c>
      <c r="AC142" s="1" t="s">
        <v>33</v>
      </c>
      <c r="AD142" s="1" t="s">
        <v>113</v>
      </c>
      <c r="AE142" s="1" t="s">
        <v>33</v>
      </c>
    </row>
    <row r="143" spans="1:31" x14ac:dyDescent="0.25">
      <c r="A143" s="1" t="s">
        <v>97</v>
      </c>
      <c r="B143" s="1" t="s">
        <v>98</v>
      </c>
      <c r="C143" s="1" t="s">
        <v>33</v>
      </c>
      <c r="D143" s="1" t="s">
        <v>169</v>
      </c>
      <c r="E143" s="2">
        <v>46264</v>
      </c>
      <c r="F143" s="1" t="s">
        <v>170</v>
      </c>
      <c r="G143" s="3">
        <v>46264.666666666701</v>
      </c>
      <c r="H143" s="1" t="s">
        <v>171</v>
      </c>
      <c r="I143" s="2">
        <v>46264</v>
      </c>
      <c r="J143" s="3">
        <v>46264.666666666701</v>
      </c>
      <c r="K143" s="1" t="s">
        <v>172</v>
      </c>
      <c r="L143" s="1" t="s">
        <v>38</v>
      </c>
      <c r="M143" s="1" t="s">
        <v>39</v>
      </c>
      <c r="N143" s="1" t="s">
        <v>33</v>
      </c>
      <c r="P143" s="1" t="s">
        <v>33</v>
      </c>
      <c r="Q143" s="1" t="s">
        <v>118</v>
      </c>
      <c r="R143" s="1" t="s">
        <v>119</v>
      </c>
      <c r="S143" s="4">
        <v>1404</v>
      </c>
      <c r="T143" s="4">
        <v>1404</v>
      </c>
      <c r="U143" s="4">
        <v>1404</v>
      </c>
      <c r="W143" s="1" t="s">
        <v>120</v>
      </c>
      <c r="Y143" s="1" t="s">
        <v>33</v>
      </c>
      <c r="AC143" s="1" t="s">
        <v>33</v>
      </c>
      <c r="AE143" s="1" t="s">
        <v>33</v>
      </c>
    </row>
    <row r="144" spans="1:31" x14ac:dyDescent="0.25">
      <c r="A144" s="1" t="s">
        <v>97</v>
      </c>
      <c r="B144" s="1" t="s">
        <v>98</v>
      </c>
      <c r="C144" s="1" t="s">
        <v>33</v>
      </c>
      <c r="D144" s="1" t="s">
        <v>169</v>
      </c>
      <c r="E144" s="2">
        <v>46264</v>
      </c>
      <c r="F144" s="1" t="s">
        <v>170</v>
      </c>
      <c r="G144" s="3">
        <v>46264.666666666701</v>
      </c>
      <c r="H144" s="1" t="s">
        <v>171</v>
      </c>
      <c r="I144" s="2">
        <v>46264</v>
      </c>
      <c r="J144" s="3">
        <v>46264.666666666701</v>
      </c>
      <c r="K144" s="1" t="s">
        <v>172</v>
      </c>
      <c r="L144" s="1" t="s">
        <v>38</v>
      </c>
      <c r="M144" s="1" t="s">
        <v>39</v>
      </c>
      <c r="N144" s="1" t="s">
        <v>33</v>
      </c>
      <c r="P144" s="1" t="s">
        <v>33</v>
      </c>
      <c r="Q144" s="1" t="s">
        <v>121</v>
      </c>
      <c r="R144" s="1" t="s">
        <v>122</v>
      </c>
      <c r="S144" s="4">
        <v>4.8</v>
      </c>
      <c r="T144" s="4">
        <v>4.8</v>
      </c>
      <c r="U144" s="4">
        <v>4.8</v>
      </c>
      <c r="Y144" s="1" t="s">
        <v>33</v>
      </c>
      <c r="AC144" s="1" t="s">
        <v>33</v>
      </c>
      <c r="AE144" s="1" t="s">
        <v>33</v>
      </c>
    </row>
    <row r="145" spans="1:31" x14ac:dyDescent="0.25">
      <c r="A145" s="1" t="s">
        <v>97</v>
      </c>
      <c r="B145" s="1" t="s">
        <v>98</v>
      </c>
      <c r="C145" s="1" t="s">
        <v>33</v>
      </c>
      <c r="D145" s="1" t="s">
        <v>169</v>
      </c>
      <c r="E145" s="2">
        <v>46264</v>
      </c>
      <c r="F145" s="1" t="s">
        <v>170</v>
      </c>
      <c r="G145" s="3">
        <v>46264.666666666701</v>
      </c>
      <c r="H145" s="1" t="s">
        <v>171</v>
      </c>
      <c r="I145" s="2">
        <v>46264</v>
      </c>
      <c r="J145" s="3">
        <v>46264.666666666701</v>
      </c>
      <c r="K145" s="1" t="s">
        <v>172</v>
      </c>
      <c r="L145" s="1" t="s">
        <v>38</v>
      </c>
      <c r="M145" s="1" t="s">
        <v>39</v>
      </c>
      <c r="N145" s="1" t="s">
        <v>33</v>
      </c>
      <c r="P145" s="1" t="s">
        <v>33</v>
      </c>
      <c r="Q145" s="1" t="s">
        <v>91</v>
      </c>
      <c r="R145" s="1" t="s">
        <v>92</v>
      </c>
      <c r="S145" s="4">
        <v>48</v>
      </c>
      <c r="T145" s="4">
        <v>48</v>
      </c>
      <c r="U145" s="4">
        <v>48</v>
      </c>
      <c r="Y145" s="1" t="s">
        <v>33</v>
      </c>
      <c r="AC145" s="1" t="s">
        <v>33</v>
      </c>
      <c r="AE145" s="1" t="s">
        <v>33</v>
      </c>
    </row>
    <row r="146" spans="1:31" x14ac:dyDescent="0.25">
      <c r="A146" s="1" t="s">
        <v>97</v>
      </c>
      <c r="B146" s="1" t="s">
        <v>98</v>
      </c>
      <c r="C146" s="1" t="s">
        <v>33</v>
      </c>
      <c r="D146" s="1" t="s">
        <v>169</v>
      </c>
      <c r="E146" s="2">
        <v>46264</v>
      </c>
      <c r="F146" s="1" t="s">
        <v>170</v>
      </c>
      <c r="G146" s="3">
        <v>46264.666666666701</v>
      </c>
      <c r="H146" s="1" t="s">
        <v>171</v>
      </c>
      <c r="I146" s="2">
        <v>46264</v>
      </c>
      <c r="J146" s="3">
        <v>46264.666666666701</v>
      </c>
      <c r="K146" s="1" t="s">
        <v>172</v>
      </c>
      <c r="L146" s="1" t="s">
        <v>38</v>
      </c>
      <c r="M146" s="1" t="s">
        <v>39</v>
      </c>
      <c r="N146" s="1" t="s">
        <v>33</v>
      </c>
      <c r="P146" s="1" t="s">
        <v>33</v>
      </c>
      <c r="Q146" s="1" t="s">
        <v>261</v>
      </c>
      <c r="R146" s="1" t="s">
        <v>262</v>
      </c>
      <c r="S146" s="4">
        <v>38.4</v>
      </c>
      <c r="T146" s="4">
        <v>38.4</v>
      </c>
      <c r="U146" s="4">
        <v>38.4</v>
      </c>
      <c r="Y146" s="1" t="s">
        <v>33</v>
      </c>
      <c r="AC146" s="1" t="s">
        <v>33</v>
      </c>
      <c r="AE146" s="1" t="s">
        <v>33</v>
      </c>
    </row>
    <row r="147" spans="1:31" x14ac:dyDescent="0.25">
      <c r="A147" s="1" t="s">
        <v>97</v>
      </c>
      <c r="B147" s="1" t="s">
        <v>98</v>
      </c>
      <c r="C147" s="1" t="s">
        <v>33</v>
      </c>
      <c r="D147" s="1" t="s">
        <v>169</v>
      </c>
      <c r="E147" s="2">
        <v>46264</v>
      </c>
      <c r="F147" s="1" t="s">
        <v>170</v>
      </c>
      <c r="G147" s="3">
        <v>46264.666666666701</v>
      </c>
      <c r="H147" s="1" t="s">
        <v>171</v>
      </c>
      <c r="I147" s="2">
        <v>46264</v>
      </c>
      <c r="J147" s="3">
        <v>46264.666666666701</v>
      </c>
      <c r="K147" s="1" t="s">
        <v>172</v>
      </c>
      <c r="L147" s="1" t="s">
        <v>38</v>
      </c>
      <c r="M147" s="1" t="s">
        <v>39</v>
      </c>
      <c r="N147" s="1" t="s">
        <v>33</v>
      </c>
      <c r="P147" s="1" t="s">
        <v>33</v>
      </c>
      <c r="Q147" s="1" t="s">
        <v>161</v>
      </c>
      <c r="R147" s="1" t="s">
        <v>162</v>
      </c>
      <c r="S147" s="4">
        <v>26.4</v>
      </c>
      <c r="T147" s="4">
        <v>26.4</v>
      </c>
      <c r="U147" s="4">
        <v>26.4</v>
      </c>
      <c r="Y147" s="1" t="s">
        <v>33</v>
      </c>
      <c r="AC147" s="1" t="s">
        <v>33</v>
      </c>
      <c r="AE147" s="1" t="s">
        <v>33</v>
      </c>
    </row>
    <row r="148" spans="1:31" x14ac:dyDescent="0.25">
      <c r="A148" s="1" t="s">
        <v>97</v>
      </c>
      <c r="B148" s="1" t="s">
        <v>98</v>
      </c>
      <c r="C148" s="1" t="s">
        <v>33</v>
      </c>
      <c r="D148" s="1" t="s">
        <v>169</v>
      </c>
      <c r="E148" s="2">
        <v>46264</v>
      </c>
      <c r="F148" s="1" t="s">
        <v>170</v>
      </c>
      <c r="G148" s="3">
        <v>46264.666666666701</v>
      </c>
      <c r="H148" s="1" t="s">
        <v>171</v>
      </c>
      <c r="I148" s="2">
        <v>46264</v>
      </c>
      <c r="J148" s="3">
        <v>46264.666666666701</v>
      </c>
      <c r="K148" s="1" t="s">
        <v>172</v>
      </c>
      <c r="L148" s="1" t="s">
        <v>38</v>
      </c>
      <c r="M148" s="1" t="s">
        <v>39</v>
      </c>
      <c r="N148" s="1" t="s">
        <v>33</v>
      </c>
      <c r="P148" s="1" t="s">
        <v>33</v>
      </c>
      <c r="Q148" s="1" t="s">
        <v>263</v>
      </c>
      <c r="R148" s="1" t="s">
        <v>264</v>
      </c>
      <c r="S148" s="4">
        <v>15.84</v>
      </c>
      <c r="T148" s="4">
        <v>15.84</v>
      </c>
      <c r="U148" s="4">
        <v>15.84</v>
      </c>
      <c r="Y148" s="1" t="s">
        <v>33</v>
      </c>
      <c r="AC148" s="1" t="s">
        <v>33</v>
      </c>
      <c r="AE148" s="1" t="s">
        <v>33</v>
      </c>
    </row>
    <row r="149" spans="1:31" x14ac:dyDescent="0.25">
      <c r="A149" s="1" t="s">
        <v>97</v>
      </c>
      <c r="B149" s="1" t="s">
        <v>98</v>
      </c>
      <c r="C149" s="1" t="s">
        <v>33</v>
      </c>
      <c r="D149" s="1" t="s">
        <v>169</v>
      </c>
      <c r="E149" s="2">
        <v>46264</v>
      </c>
      <c r="F149" s="1" t="s">
        <v>170</v>
      </c>
      <c r="G149" s="3">
        <v>46264.666666666701</v>
      </c>
      <c r="H149" s="1" t="s">
        <v>171</v>
      </c>
      <c r="I149" s="2">
        <v>46264</v>
      </c>
      <c r="J149" s="3">
        <v>46264.666666666701</v>
      </c>
      <c r="K149" s="1" t="s">
        <v>172</v>
      </c>
      <c r="L149" s="1" t="s">
        <v>38</v>
      </c>
      <c r="M149" s="1" t="s">
        <v>39</v>
      </c>
      <c r="N149" s="1" t="s">
        <v>33</v>
      </c>
      <c r="P149" s="1" t="s">
        <v>33</v>
      </c>
      <c r="Q149" s="1" t="s">
        <v>165</v>
      </c>
      <c r="R149" s="1" t="s">
        <v>166</v>
      </c>
      <c r="S149" s="4">
        <v>27</v>
      </c>
      <c r="V149" s="4">
        <v>-27</v>
      </c>
      <c r="W149" s="1" t="s">
        <v>61</v>
      </c>
      <c r="Y149" s="1" t="s">
        <v>33</v>
      </c>
      <c r="AC149" s="1" t="s">
        <v>33</v>
      </c>
      <c r="AE149" s="1" t="s">
        <v>33</v>
      </c>
    </row>
    <row r="150" spans="1:31" x14ac:dyDescent="0.25">
      <c r="A150" s="1" t="s">
        <v>97</v>
      </c>
      <c r="B150" s="1" t="s">
        <v>98</v>
      </c>
      <c r="C150" s="1" t="s">
        <v>33</v>
      </c>
      <c r="D150" s="1" t="s">
        <v>169</v>
      </c>
      <c r="E150" s="2">
        <v>46264</v>
      </c>
      <c r="F150" s="1" t="s">
        <v>170</v>
      </c>
      <c r="G150" s="3">
        <v>46264.666666666701</v>
      </c>
      <c r="H150" s="1" t="s">
        <v>171</v>
      </c>
      <c r="I150" s="2">
        <v>46264</v>
      </c>
      <c r="J150" s="3">
        <v>46264.666666666701</v>
      </c>
      <c r="K150" s="1" t="s">
        <v>172</v>
      </c>
      <c r="L150" s="1" t="s">
        <v>38</v>
      </c>
      <c r="M150" s="1" t="s">
        <v>39</v>
      </c>
      <c r="N150" s="1" t="s">
        <v>33</v>
      </c>
      <c r="P150" s="1" t="s">
        <v>33</v>
      </c>
      <c r="Q150" s="1" t="s">
        <v>265</v>
      </c>
      <c r="R150" s="1" t="s">
        <v>266</v>
      </c>
      <c r="S150" s="4">
        <v>30.6</v>
      </c>
      <c r="T150" s="4">
        <v>30.6</v>
      </c>
      <c r="U150" s="4">
        <v>30.6</v>
      </c>
      <c r="Y150" s="1" t="s">
        <v>33</v>
      </c>
      <c r="AC150" s="1" t="s">
        <v>33</v>
      </c>
      <c r="AE150" s="1" t="s">
        <v>33</v>
      </c>
    </row>
    <row r="151" spans="1:31" x14ac:dyDescent="0.25">
      <c r="A151" s="1" t="s">
        <v>97</v>
      </c>
      <c r="B151" s="1" t="s">
        <v>98</v>
      </c>
      <c r="C151" s="1" t="s">
        <v>33</v>
      </c>
      <c r="D151" s="1" t="s">
        <v>267</v>
      </c>
      <c r="E151" s="2">
        <v>46264</v>
      </c>
      <c r="F151" s="1" t="s">
        <v>268</v>
      </c>
      <c r="G151" s="3">
        <v>46264.666666666701</v>
      </c>
      <c r="H151" s="1" t="s">
        <v>171</v>
      </c>
      <c r="I151" s="2">
        <v>46264</v>
      </c>
      <c r="J151" s="3">
        <v>46264.666666666701</v>
      </c>
      <c r="K151" s="1" t="s">
        <v>172</v>
      </c>
      <c r="L151" s="1" t="s">
        <v>38</v>
      </c>
      <c r="M151" s="1" t="s">
        <v>39</v>
      </c>
      <c r="N151" s="1" t="s">
        <v>33</v>
      </c>
      <c r="P151" s="1" t="s">
        <v>33</v>
      </c>
      <c r="Q151" s="1" t="s">
        <v>103</v>
      </c>
      <c r="R151" s="1" t="s">
        <v>104</v>
      </c>
      <c r="S151" s="4">
        <v>86.4</v>
      </c>
      <c r="T151" s="4">
        <v>86.4</v>
      </c>
      <c r="U151" s="4">
        <v>86.4</v>
      </c>
      <c r="Y151" s="1" t="s">
        <v>33</v>
      </c>
      <c r="AC151" s="1" t="s">
        <v>33</v>
      </c>
      <c r="AE151" s="1" t="s">
        <v>33</v>
      </c>
    </row>
    <row r="152" spans="1:31" x14ac:dyDescent="0.25">
      <c r="A152" s="1" t="s">
        <v>97</v>
      </c>
      <c r="B152" s="1" t="s">
        <v>98</v>
      </c>
      <c r="C152" s="1" t="s">
        <v>33</v>
      </c>
      <c r="D152" s="1" t="s">
        <v>267</v>
      </c>
      <c r="E152" s="2">
        <v>46264</v>
      </c>
      <c r="F152" s="1" t="s">
        <v>268</v>
      </c>
      <c r="G152" s="3">
        <v>46264.666666666701</v>
      </c>
      <c r="H152" s="1" t="s">
        <v>171</v>
      </c>
      <c r="I152" s="2">
        <v>46264</v>
      </c>
      <c r="J152" s="3">
        <v>46264.666666666701</v>
      </c>
      <c r="K152" s="1" t="s">
        <v>172</v>
      </c>
      <c r="L152" s="1" t="s">
        <v>38</v>
      </c>
      <c r="M152" s="1" t="s">
        <v>39</v>
      </c>
      <c r="N152" s="1" t="s">
        <v>33</v>
      </c>
      <c r="P152" s="1" t="s">
        <v>33</v>
      </c>
      <c r="Q152" s="1" t="s">
        <v>153</v>
      </c>
      <c r="R152" s="1" t="s">
        <v>154</v>
      </c>
      <c r="S152" s="4">
        <v>62.4</v>
      </c>
      <c r="T152" s="4">
        <v>62.4</v>
      </c>
      <c r="U152" s="4">
        <v>62.4</v>
      </c>
      <c r="Y152" s="1" t="s">
        <v>33</v>
      </c>
      <c r="AC152" s="1" t="s">
        <v>33</v>
      </c>
      <c r="AE152" s="1" t="s">
        <v>33</v>
      </c>
    </row>
    <row r="153" spans="1:31" x14ac:dyDescent="0.25">
      <c r="A153" s="1" t="s">
        <v>97</v>
      </c>
      <c r="B153" s="1" t="s">
        <v>98</v>
      </c>
      <c r="C153" s="1" t="s">
        <v>33</v>
      </c>
      <c r="D153" s="1" t="s">
        <v>267</v>
      </c>
      <c r="E153" s="2">
        <v>46264</v>
      </c>
      <c r="F153" s="1" t="s">
        <v>268</v>
      </c>
      <c r="G153" s="3">
        <v>46264.666666666701</v>
      </c>
      <c r="H153" s="1" t="s">
        <v>171</v>
      </c>
      <c r="I153" s="2">
        <v>46264</v>
      </c>
      <c r="J153" s="3">
        <v>46264.666666666701</v>
      </c>
      <c r="K153" s="1" t="s">
        <v>172</v>
      </c>
      <c r="L153" s="1" t="s">
        <v>38</v>
      </c>
      <c r="M153" s="1" t="s">
        <v>39</v>
      </c>
      <c r="N153" s="1" t="s">
        <v>33</v>
      </c>
      <c r="P153" s="1" t="s">
        <v>33</v>
      </c>
      <c r="Q153" s="1" t="s">
        <v>269</v>
      </c>
      <c r="R153" s="1" t="s">
        <v>270</v>
      </c>
      <c r="S153" s="4">
        <v>67.2</v>
      </c>
      <c r="T153" s="4">
        <v>67.2</v>
      </c>
      <c r="U153" s="4">
        <v>67.2</v>
      </c>
      <c r="Y153" s="1" t="s">
        <v>33</v>
      </c>
      <c r="AC153" s="1" t="s">
        <v>33</v>
      </c>
      <c r="AE153" s="1" t="s">
        <v>33</v>
      </c>
    </row>
    <row r="154" spans="1:31" x14ac:dyDescent="0.25">
      <c r="A154" s="1" t="s">
        <v>97</v>
      </c>
      <c r="B154" s="1" t="s">
        <v>98</v>
      </c>
      <c r="C154" s="1" t="s">
        <v>33</v>
      </c>
      <c r="D154" s="1" t="s">
        <v>267</v>
      </c>
      <c r="E154" s="2">
        <v>46264</v>
      </c>
      <c r="F154" s="1" t="s">
        <v>268</v>
      </c>
      <c r="G154" s="3">
        <v>46264.666666666701</v>
      </c>
      <c r="H154" s="1" t="s">
        <v>171</v>
      </c>
      <c r="I154" s="2">
        <v>46264</v>
      </c>
      <c r="J154" s="3">
        <v>46264.666666666701</v>
      </c>
      <c r="K154" s="1" t="s">
        <v>172</v>
      </c>
      <c r="L154" s="1" t="s">
        <v>38</v>
      </c>
      <c r="M154" s="1" t="s">
        <v>39</v>
      </c>
      <c r="N154" s="1" t="s">
        <v>33</v>
      </c>
      <c r="P154" s="1" t="s">
        <v>33</v>
      </c>
      <c r="Q154" s="1" t="s">
        <v>114</v>
      </c>
      <c r="R154" s="1" t="s">
        <v>115</v>
      </c>
      <c r="S154" s="4">
        <v>120</v>
      </c>
      <c r="T154" s="4">
        <v>120</v>
      </c>
      <c r="U154" s="4">
        <v>120</v>
      </c>
      <c r="Y154" s="1" t="s">
        <v>33</v>
      </c>
      <c r="AC154" s="1" t="s">
        <v>33</v>
      </c>
      <c r="AE154" s="1" t="s">
        <v>33</v>
      </c>
    </row>
    <row r="155" spans="1:31" x14ac:dyDescent="0.25">
      <c r="A155" s="1" t="s">
        <v>97</v>
      </c>
      <c r="B155" s="1" t="s">
        <v>98</v>
      </c>
      <c r="C155" s="1" t="s">
        <v>33</v>
      </c>
      <c r="D155" s="1" t="s">
        <v>267</v>
      </c>
      <c r="E155" s="2">
        <v>46264</v>
      </c>
      <c r="F155" s="1" t="s">
        <v>268</v>
      </c>
      <c r="G155" s="3">
        <v>46264.666666666701</v>
      </c>
      <c r="H155" s="1" t="s">
        <v>171</v>
      </c>
      <c r="I155" s="2">
        <v>46264</v>
      </c>
      <c r="J155" s="3">
        <v>46264.666666666701</v>
      </c>
      <c r="K155" s="1" t="s">
        <v>172</v>
      </c>
      <c r="L155" s="1" t="s">
        <v>38</v>
      </c>
      <c r="M155" s="1" t="s">
        <v>39</v>
      </c>
      <c r="N155" s="1" t="s">
        <v>33</v>
      </c>
      <c r="P155" s="1" t="s">
        <v>33</v>
      </c>
      <c r="Q155" s="1" t="s">
        <v>116</v>
      </c>
      <c r="R155" s="1" t="s">
        <v>117</v>
      </c>
      <c r="S155" s="4">
        <v>120</v>
      </c>
      <c r="T155" s="4">
        <v>120</v>
      </c>
      <c r="U155" s="4">
        <v>120</v>
      </c>
      <c r="Y155" s="1" t="s">
        <v>33</v>
      </c>
      <c r="AC155" s="1" t="s">
        <v>33</v>
      </c>
      <c r="AE155" s="1" t="s">
        <v>33</v>
      </c>
    </row>
    <row r="156" spans="1:31" x14ac:dyDescent="0.25">
      <c r="A156" s="1" t="s">
        <v>97</v>
      </c>
      <c r="B156" s="1" t="s">
        <v>98</v>
      </c>
      <c r="C156" s="1" t="s">
        <v>33</v>
      </c>
      <c r="D156" s="1" t="s">
        <v>267</v>
      </c>
      <c r="E156" s="2">
        <v>46264</v>
      </c>
      <c r="F156" s="1" t="s">
        <v>268</v>
      </c>
      <c r="G156" s="3">
        <v>46264.666666666701</v>
      </c>
      <c r="H156" s="1" t="s">
        <v>171</v>
      </c>
      <c r="I156" s="2">
        <v>46264</v>
      </c>
      <c r="J156" s="3">
        <v>46264.666666666701</v>
      </c>
      <c r="K156" s="1" t="s">
        <v>172</v>
      </c>
      <c r="L156" s="1" t="s">
        <v>38</v>
      </c>
      <c r="M156" s="1" t="s">
        <v>39</v>
      </c>
      <c r="N156" s="1" t="s">
        <v>33</v>
      </c>
      <c r="P156" s="1" t="s">
        <v>33</v>
      </c>
      <c r="Q156" s="1" t="s">
        <v>157</v>
      </c>
      <c r="R156" s="1" t="s">
        <v>158</v>
      </c>
      <c r="S156" s="4">
        <v>72</v>
      </c>
      <c r="V156" s="4">
        <v>-72</v>
      </c>
      <c r="W156" s="1" t="s">
        <v>50</v>
      </c>
      <c r="X156" s="1" t="s">
        <v>51</v>
      </c>
      <c r="Y156" s="1" t="s">
        <v>33</v>
      </c>
      <c r="AC156" s="1" t="s">
        <v>33</v>
      </c>
      <c r="AD156" s="1" t="s">
        <v>113</v>
      </c>
      <c r="AE156" s="1" t="s">
        <v>33</v>
      </c>
    </row>
    <row r="157" spans="1:31" x14ac:dyDescent="0.25">
      <c r="A157" s="1" t="s">
        <v>97</v>
      </c>
      <c r="B157" s="1" t="s">
        <v>98</v>
      </c>
      <c r="C157" s="1" t="s">
        <v>33</v>
      </c>
      <c r="D157" s="1" t="s">
        <v>267</v>
      </c>
      <c r="E157" s="2">
        <v>46264</v>
      </c>
      <c r="F157" s="1" t="s">
        <v>268</v>
      </c>
      <c r="G157" s="3">
        <v>46264.666666666701</v>
      </c>
      <c r="H157" s="1" t="s">
        <v>171</v>
      </c>
      <c r="I157" s="2">
        <v>46264</v>
      </c>
      <c r="J157" s="3">
        <v>46264.666666666701</v>
      </c>
      <c r="K157" s="1" t="s">
        <v>172</v>
      </c>
      <c r="L157" s="1" t="s">
        <v>38</v>
      </c>
      <c r="M157" s="1" t="s">
        <v>39</v>
      </c>
      <c r="N157" s="1" t="s">
        <v>33</v>
      </c>
      <c r="P157" s="1" t="s">
        <v>33</v>
      </c>
      <c r="Q157" s="1" t="s">
        <v>118</v>
      </c>
      <c r="R157" s="1" t="s">
        <v>119</v>
      </c>
      <c r="S157" s="4">
        <v>144</v>
      </c>
      <c r="T157" s="4">
        <v>144</v>
      </c>
      <c r="U157" s="4">
        <v>144</v>
      </c>
      <c r="W157" s="1" t="s">
        <v>120</v>
      </c>
      <c r="Y157" s="1" t="s">
        <v>33</v>
      </c>
      <c r="AC157" s="1" t="s">
        <v>33</v>
      </c>
      <c r="AE157" s="1" t="s">
        <v>33</v>
      </c>
    </row>
    <row r="158" spans="1:31" x14ac:dyDescent="0.25">
      <c r="A158" s="1" t="s">
        <v>97</v>
      </c>
      <c r="B158" s="1" t="s">
        <v>98</v>
      </c>
      <c r="C158" s="1" t="s">
        <v>33</v>
      </c>
      <c r="D158" s="1" t="s">
        <v>267</v>
      </c>
      <c r="E158" s="2">
        <v>46264</v>
      </c>
      <c r="F158" s="1" t="s">
        <v>268</v>
      </c>
      <c r="G158" s="3">
        <v>46264.666666666701</v>
      </c>
      <c r="H158" s="1" t="s">
        <v>171</v>
      </c>
      <c r="I158" s="2">
        <v>46264</v>
      </c>
      <c r="J158" s="3">
        <v>46264.666666666701</v>
      </c>
      <c r="K158" s="1" t="s">
        <v>172</v>
      </c>
      <c r="L158" s="1" t="s">
        <v>38</v>
      </c>
      <c r="M158" s="1" t="s">
        <v>39</v>
      </c>
      <c r="N158" s="1" t="s">
        <v>33</v>
      </c>
      <c r="P158" s="1" t="s">
        <v>33</v>
      </c>
      <c r="Q158" s="1" t="s">
        <v>121</v>
      </c>
      <c r="R158" s="1" t="s">
        <v>122</v>
      </c>
      <c r="S158" s="4">
        <v>33.6</v>
      </c>
      <c r="T158" s="4">
        <v>33.6</v>
      </c>
      <c r="U158" s="4">
        <v>33.6</v>
      </c>
      <c r="Y158" s="1" t="s">
        <v>33</v>
      </c>
      <c r="AC158" s="1" t="s">
        <v>33</v>
      </c>
      <c r="AE158" s="1" t="s">
        <v>33</v>
      </c>
    </row>
    <row r="159" spans="1:31" x14ac:dyDescent="0.25">
      <c r="A159" s="1" t="s">
        <v>97</v>
      </c>
      <c r="B159" s="1" t="s">
        <v>98</v>
      </c>
      <c r="C159" s="1" t="s">
        <v>33</v>
      </c>
      <c r="D159" s="1" t="s">
        <v>267</v>
      </c>
      <c r="E159" s="2">
        <v>46264</v>
      </c>
      <c r="F159" s="1" t="s">
        <v>268</v>
      </c>
      <c r="G159" s="3">
        <v>46264.666666666701</v>
      </c>
      <c r="H159" s="1" t="s">
        <v>171</v>
      </c>
      <c r="I159" s="2">
        <v>46264</v>
      </c>
      <c r="J159" s="3">
        <v>46264.666666666701</v>
      </c>
      <c r="K159" s="1" t="s">
        <v>172</v>
      </c>
      <c r="L159" s="1" t="s">
        <v>38</v>
      </c>
      <c r="M159" s="1" t="s">
        <v>39</v>
      </c>
      <c r="N159" s="1" t="s">
        <v>33</v>
      </c>
      <c r="P159" s="1" t="s">
        <v>33</v>
      </c>
      <c r="Q159" s="1" t="s">
        <v>131</v>
      </c>
      <c r="R159" s="1" t="s">
        <v>132</v>
      </c>
      <c r="S159" s="4">
        <v>42.24</v>
      </c>
      <c r="T159" s="4">
        <v>42.24</v>
      </c>
      <c r="U159" s="4">
        <v>42.24</v>
      </c>
      <c r="Y159" s="1" t="s">
        <v>33</v>
      </c>
      <c r="AC159" s="1" t="s">
        <v>33</v>
      </c>
      <c r="AE159" s="1" t="s">
        <v>33</v>
      </c>
    </row>
    <row r="160" spans="1:31" x14ac:dyDescent="0.25">
      <c r="A160" s="1" t="s">
        <v>97</v>
      </c>
      <c r="B160" s="1" t="s">
        <v>98</v>
      </c>
      <c r="C160" s="1" t="s">
        <v>33</v>
      </c>
      <c r="D160" s="1" t="s">
        <v>267</v>
      </c>
      <c r="E160" s="2">
        <v>46264</v>
      </c>
      <c r="F160" s="1" t="s">
        <v>268</v>
      </c>
      <c r="G160" s="3">
        <v>46264.666666666701</v>
      </c>
      <c r="H160" s="1" t="s">
        <v>171</v>
      </c>
      <c r="I160" s="2">
        <v>46264</v>
      </c>
      <c r="J160" s="3">
        <v>46264.666666666701</v>
      </c>
      <c r="K160" s="1" t="s">
        <v>172</v>
      </c>
      <c r="L160" s="1" t="s">
        <v>38</v>
      </c>
      <c r="M160" s="1" t="s">
        <v>39</v>
      </c>
      <c r="N160" s="1" t="s">
        <v>33</v>
      </c>
      <c r="P160" s="1" t="s">
        <v>33</v>
      </c>
      <c r="Q160" s="1" t="s">
        <v>271</v>
      </c>
      <c r="R160" s="1" t="s">
        <v>272</v>
      </c>
      <c r="S160" s="4">
        <v>84.48</v>
      </c>
      <c r="T160" s="4">
        <v>84.48</v>
      </c>
      <c r="U160" s="4">
        <v>84.48</v>
      </c>
      <c r="Y160" s="1" t="s">
        <v>33</v>
      </c>
      <c r="AC160" s="1" t="s">
        <v>33</v>
      </c>
      <c r="AE160" s="1" t="s">
        <v>33</v>
      </c>
    </row>
    <row r="161" spans="1:31" x14ac:dyDescent="0.25">
      <c r="A161" s="1" t="s">
        <v>97</v>
      </c>
      <c r="B161" s="1" t="s">
        <v>98</v>
      </c>
      <c r="C161" s="1" t="s">
        <v>33</v>
      </c>
      <c r="D161" s="1" t="s">
        <v>267</v>
      </c>
      <c r="E161" s="2">
        <v>46264</v>
      </c>
      <c r="F161" s="1" t="s">
        <v>268</v>
      </c>
      <c r="G161" s="3">
        <v>46264.666666666701</v>
      </c>
      <c r="H161" s="1" t="s">
        <v>171</v>
      </c>
      <c r="I161" s="2">
        <v>46264</v>
      </c>
      <c r="J161" s="3">
        <v>46264.666666666701</v>
      </c>
      <c r="K161" s="1" t="s">
        <v>172</v>
      </c>
      <c r="L161" s="1" t="s">
        <v>38</v>
      </c>
      <c r="M161" s="1" t="s">
        <v>39</v>
      </c>
      <c r="N161" s="1" t="s">
        <v>33</v>
      </c>
      <c r="P161" s="1" t="s">
        <v>33</v>
      </c>
      <c r="Q161" s="1" t="s">
        <v>161</v>
      </c>
      <c r="R161" s="1" t="s">
        <v>162</v>
      </c>
      <c r="S161" s="4">
        <v>42.24</v>
      </c>
      <c r="T161" s="4">
        <v>42.24</v>
      </c>
      <c r="U161" s="4">
        <v>42.24</v>
      </c>
      <c r="Y161" s="1" t="s">
        <v>33</v>
      </c>
      <c r="AC161" s="1" t="s">
        <v>33</v>
      </c>
      <c r="AE161" s="1" t="s">
        <v>33</v>
      </c>
    </row>
    <row r="162" spans="1:31" x14ac:dyDescent="0.25">
      <c r="A162" s="1" t="s">
        <v>97</v>
      </c>
      <c r="B162" s="1" t="s">
        <v>98</v>
      </c>
      <c r="C162" s="1" t="s">
        <v>33</v>
      </c>
      <c r="D162" s="1" t="s">
        <v>267</v>
      </c>
      <c r="E162" s="2">
        <v>46264</v>
      </c>
      <c r="F162" s="1" t="s">
        <v>268</v>
      </c>
      <c r="G162" s="3">
        <v>46264.666666666701</v>
      </c>
      <c r="H162" s="1" t="s">
        <v>171</v>
      </c>
      <c r="I162" s="2">
        <v>46264</v>
      </c>
      <c r="J162" s="3">
        <v>46264.666666666701</v>
      </c>
      <c r="K162" s="1" t="s">
        <v>172</v>
      </c>
      <c r="L162" s="1" t="s">
        <v>38</v>
      </c>
      <c r="M162" s="1" t="s">
        <v>39</v>
      </c>
      <c r="N162" s="1" t="s">
        <v>33</v>
      </c>
      <c r="P162" s="1" t="s">
        <v>33</v>
      </c>
      <c r="Q162" s="1" t="s">
        <v>181</v>
      </c>
      <c r="R162" s="1" t="s">
        <v>182</v>
      </c>
      <c r="S162" s="4">
        <v>62.4</v>
      </c>
      <c r="T162" s="4">
        <v>62.4</v>
      </c>
      <c r="U162" s="4">
        <v>62.4</v>
      </c>
      <c r="Y162" s="1" t="s">
        <v>33</v>
      </c>
      <c r="AC162" s="1" t="s">
        <v>33</v>
      </c>
      <c r="AE162" s="1" t="s">
        <v>33</v>
      </c>
    </row>
    <row r="163" spans="1:31" x14ac:dyDescent="0.25">
      <c r="A163" s="1" t="s">
        <v>97</v>
      </c>
      <c r="B163" s="1" t="s">
        <v>98</v>
      </c>
      <c r="C163" s="1" t="s">
        <v>33</v>
      </c>
      <c r="D163" s="1" t="s">
        <v>273</v>
      </c>
      <c r="E163" s="2">
        <v>46264</v>
      </c>
      <c r="F163" s="1" t="s">
        <v>274</v>
      </c>
      <c r="G163" s="3">
        <v>46264.666666666701</v>
      </c>
      <c r="H163" s="1" t="s">
        <v>171</v>
      </c>
      <c r="I163" s="2">
        <v>46264</v>
      </c>
      <c r="J163" s="3">
        <v>46264.666666666701</v>
      </c>
      <c r="K163" s="1" t="s">
        <v>172</v>
      </c>
      <c r="L163" s="1" t="s">
        <v>38</v>
      </c>
      <c r="M163" s="1" t="s">
        <v>39</v>
      </c>
      <c r="N163" s="1" t="s">
        <v>33</v>
      </c>
      <c r="P163" s="1" t="s">
        <v>33</v>
      </c>
      <c r="Q163" s="1" t="s">
        <v>175</v>
      </c>
      <c r="R163" s="1" t="s">
        <v>176</v>
      </c>
      <c r="S163" s="4">
        <v>89.6</v>
      </c>
      <c r="T163" s="4">
        <v>89.6</v>
      </c>
      <c r="U163" s="4">
        <v>89.6</v>
      </c>
      <c r="Y163" s="1" t="s">
        <v>33</v>
      </c>
      <c r="AC163" s="1" t="s">
        <v>33</v>
      </c>
      <c r="AE163" s="1" t="s">
        <v>33</v>
      </c>
    </row>
    <row r="164" spans="1:31" x14ac:dyDescent="0.25">
      <c r="A164" s="1" t="s">
        <v>97</v>
      </c>
      <c r="B164" s="1" t="s">
        <v>98</v>
      </c>
      <c r="C164" s="1" t="s">
        <v>33</v>
      </c>
      <c r="D164" s="1" t="s">
        <v>273</v>
      </c>
      <c r="E164" s="2">
        <v>46264</v>
      </c>
      <c r="F164" s="1" t="s">
        <v>274</v>
      </c>
      <c r="G164" s="3">
        <v>46264.666666666701</v>
      </c>
      <c r="H164" s="1" t="s">
        <v>171</v>
      </c>
      <c r="I164" s="2">
        <v>46264</v>
      </c>
      <c r="J164" s="3">
        <v>46264.666666666701</v>
      </c>
      <c r="K164" s="1" t="s">
        <v>172</v>
      </c>
      <c r="L164" s="1" t="s">
        <v>38</v>
      </c>
      <c r="M164" s="1" t="s">
        <v>39</v>
      </c>
      <c r="N164" s="1" t="s">
        <v>33</v>
      </c>
      <c r="P164" s="1" t="s">
        <v>33</v>
      </c>
      <c r="Q164" s="1" t="s">
        <v>275</v>
      </c>
      <c r="R164" s="1" t="s">
        <v>276</v>
      </c>
      <c r="S164" s="4">
        <v>172.8</v>
      </c>
      <c r="T164" s="4">
        <v>172.8</v>
      </c>
      <c r="U164" s="4">
        <v>172.8</v>
      </c>
      <c r="Y164" s="1" t="s">
        <v>33</v>
      </c>
      <c r="AC164" s="1" t="s">
        <v>33</v>
      </c>
      <c r="AE164" s="1" t="s">
        <v>33</v>
      </c>
    </row>
    <row r="165" spans="1:31" x14ac:dyDescent="0.25">
      <c r="A165" s="1" t="s">
        <v>97</v>
      </c>
      <c r="B165" s="1" t="s">
        <v>98</v>
      </c>
      <c r="C165" s="1" t="s">
        <v>33</v>
      </c>
      <c r="D165" s="1" t="s">
        <v>273</v>
      </c>
      <c r="E165" s="2">
        <v>46264</v>
      </c>
      <c r="F165" s="1" t="s">
        <v>274</v>
      </c>
      <c r="G165" s="3">
        <v>46264.666666666701</v>
      </c>
      <c r="H165" s="1" t="s">
        <v>171</v>
      </c>
      <c r="I165" s="2">
        <v>46264</v>
      </c>
      <c r="J165" s="3">
        <v>46264.666666666701</v>
      </c>
      <c r="K165" s="1" t="s">
        <v>172</v>
      </c>
      <c r="L165" s="1" t="s">
        <v>38</v>
      </c>
      <c r="M165" s="1" t="s">
        <v>39</v>
      </c>
      <c r="N165" s="1" t="s">
        <v>33</v>
      </c>
      <c r="P165" s="1" t="s">
        <v>33</v>
      </c>
      <c r="Q165" s="1" t="s">
        <v>137</v>
      </c>
      <c r="R165" s="1" t="s">
        <v>138</v>
      </c>
      <c r="S165" s="4">
        <v>172.8</v>
      </c>
      <c r="T165" s="4">
        <v>172.8</v>
      </c>
      <c r="U165" s="4">
        <v>172.8</v>
      </c>
      <c r="Y165" s="1" t="s">
        <v>33</v>
      </c>
      <c r="AC165" s="1" t="s">
        <v>33</v>
      </c>
      <c r="AE165" s="1" t="s">
        <v>33</v>
      </c>
    </row>
    <row r="166" spans="1:31" x14ac:dyDescent="0.25">
      <c r="A166" s="1" t="s">
        <v>97</v>
      </c>
      <c r="B166" s="1" t="s">
        <v>98</v>
      </c>
      <c r="C166" s="1" t="s">
        <v>33</v>
      </c>
      <c r="D166" s="1" t="s">
        <v>273</v>
      </c>
      <c r="E166" s="2">
        <v>46264</v>
      </c>
      <c r="F166" s="1" t="s">
        <v>274</v>
      </c>
      <c r="G166" s="3">
        <v>46264.666666666701</v>
      </c>
      <c r="H166" s="1" t="s">
        <v>171</v>
      </c>
      <c r="I166" s="2">
        <v>46264</v>
      </c>
      <c r="J166" s="3">
        <v>46264.666666666701</v>
      </c>
      <c r="K166" s="1" t="s">
        <v>172</v>
      </c>
      <c r="L166" s="1" t="s">
        <v>38</v>
      </c>
      <c r="M166" s="1" t="s">
        <v>39</v>
      </c>
      <c r="N166" s="1" t="s">
        <v>33</v>
      </c>
      <c r="P166" s="1" t="s">
        <v>33</v>
      </c>
      <c r="Q166" s="1" t="s">
        <v>181</v>
      </c>
      <c r="R166" s="1" t="s">
        <v>182</v>
      </c>
      <c r="S166" s="4">
        <v>124.8</v>
      </c>
      <c r="T166" s="4">
        <v>124.8</v>
      </c>
      <c r="U166" s="4">
        <v>124.8</v>
      </c>
      <c r="Y166" s="1" t="s">
        <v>33</v>
      </c>
      <c r="AC166" s="1" t="s">
        <v>33</v>
      </c>
      <c r="AE166" s="1" t="s">
        <v>33</v>
      </c>
    </row>
    <row r="167" spans="1:31" x14ac:dyDescent="0.25">
      <c r="A167" s="1" t="s">
        <v>97</v>
      </c>
      <c r="B167" s="1" t="s">
        <v>98</v>
      </c>
      <c r="C167" s="1" t="s">
        <v>33</v>
      </c>
      <c r="D167" s="1" t="s">
        <v>273</v>
      </c>
      <c r="E167" s="2">
        <v>46264</v>
      </c>
      <c r="F167" s="1" t="s">
        <v>274</v>
      </c>
      <c r="G167" s="3">
        <v>46264.666666666701</v>
      </c>
      <c r="H167" s="1" t="s">
        <v>171</v>
      </c>
      <c r="I167" s="2">
        <v>46264</v>
      </c>
      <c r="J167" s="3">
        <v>46264.666666666701</v>
      </c>
      <c r="K167" s="1" t="s">
        <v>172</v>
      </c>
      <c r="L167" s="1" t="s">
        <v>38</v>
      </c>
      <c r="M167" s="1" t="s">
        <v>39</v>
      </c>
      <c r="N167" s="1" t="s">
        <v>33</v>
      </c>
      <c r="P167" s="1" t="s">
        <v>33</v>
      </c>
      <c r="Q167" s="1" t="s">
        <v>277</v>
      </c>
      <c r="R167" s="1" t="s">
        <v>278</v>
      </c>
      <c r="S167" s="4">
        <v>259.2</v>
      </c>
      <c r="T167" s="4">
        <v>259.2</v>
      </c>
      <c r="U167" s="4">
        <v>259.2</v>
      </c>
      <c r="Y167" s="1" t="s">
        <v>33</v>
      </c>
      <c r="AC167" s="1" t="s">
        <v>33</v>
      </c>
      <c r="AE167" s="1" t="s">
        <v>33</v>
      </c>
    </row>
    <row r="168" spans="1:31" x14ac:dyDescent="0.25">
      <c r="A168" s="1" t="s">
        <v>97</v>
      </c>
      <c r="B168" s="1" t="s">
        <v>98</v>
      </c>
      <c r="C168" s="1" t="s">
        <v>33</v>
      </c>
      <c r="D168" s="1" t="s">
        <v>273</v>
      </c>
      <c r="E168" s="2">
        <v>46264</v>
      </c>
      <c r="F168" s="1" t="s">
        <v>274</v>
      </c>
      <c r="G168" s="3">
        <v>46264.666666666701</v>
      </c>
      <c r="H168" s="1" t="s">
        <v>171</v>
      </c>
      <c r="I168" s="2">
        <v>46264</v>
      </c>
      <c r="J168" s="3">
        <v>46264.666666666701</v>
      </c>
      <c r="K168" s="1" t="s">
        <v>172</v>
      </c>
      <c r="L168" s="1" t="s">
        <v>38</v>
      </c>
      <c r="M168" s="1" t="s">
        <v>39</v>
      </c>
      <c r="N168" s="1" t="s">
        <v>33</v>
      </c>
      <c r="P168" s="1" t="s">
        <v>33</v>
      </c>
      <c r="Q168" s="1" t="s">
        <v>139</v>
      </c>
      <c r="R168" s="1" t="s">
        <v>140</v>
      </c>
      <c r="S168" s="4">
        <v>194.4</v>
      </c>
      <c r="T168" s="4">
        <v>194.4</v>
      </c>
      <c r="U168" s="4">
        <v>194.4</v>
      </c>
      <c r="Y168" s="1" t="s">
        <v>33</v>
      </c>
      <c r="AC168" s="1" t="s">
        <v>33</v>
      </c>
      <c r="AE168" s="1" t="s">
        <v>33</v>
      </c>
    </row>
    <row r="169" spans="1:31" x14ac:dyDescent="0.25">
      <c r="A169" s="1" t="s">
        <v>97</v>
      </c>
      <c r="B169" s="1" t="s">
        <v>98</v>
      </c>
      <c r="C169" s="1" t="s">
        <v>33</v>
      </c>
      <c r="D169" s="1" t="s">
        <v>273</v>
      </c>
      <c r="E169" s="2">
        <v>46264</v>
      </c>
      <c r="F169" s="1" t="s">
        <v>274</v>
      </c>
      <c r="G169" s="3">
        <v>46264.666666666701</v>
      </c>
      <c r="H169" s="1" t="s">
        <v>171</v>
      </c>
      <c r="I169" s="2">
        <v>46264</v>
      </c>
      <c r="J169" s="3">
        <v>46264.666666666701</v>
      </c>
      <c r="K169" s="1" t="s">
        <v>172</v>
      </c>
      <c r="L169" s="1" t="s">
        <v>38</v>
      </c>
      <c r="M169" s="1" t="s">
        <v>39</v>
      </c>
      <c r="N169" s="1" t="s">
        <v>33</v>
      </c>
      <c r="P169" s="1" t="s">
        <v>33</v>
      </c>
      <c r="Q169" s="1" t="s">
        <v>44</v>
      </c>
      <c r="R169" s="1" t="s">
        <v>45</v>
      </c>
      <c r="S169" s="4">
        <v>37.799999999999997</v>
      </c>
      <c r="T169" s="4">
        <v>37.799999999999997</v>
      </c>
      <c r="U169" s="4">
        <v>37.799999999999997</v>
      </c>
      <c r="Y169" s="1" t="s">
        <v>33</v>
      </c>
      <c r="AC169" s="1" t="s">
        <v>33</v>
      </c>
      <c r="AE169" s="1" t="s">
        <v>33</v>
      </c>
    </row>
    <row r="170" spans="1:31" x14ac:dyDescent="0.25">
      <c r="A170" s="1" t="s">
        <v>97</v>
      </c>
      <c r="B170" s="1" t="s">
        <v>98</v>
      </c>
      <c r="C170" s="1" t="s">
        <v>33</v>
      </c>
      <c r="D170" s="1" t="s">
        <v>273</v>
      </c>
      <c r="E170" s="2">
        <v>46264</v>
      </c>
      <c r="F170" s="1" t="s">
        <v>274</v>
      </c>
      <c r="G170" s="3">
        <v>46264.666666666701</v>
      </c>
      <c r="H170" s="1" t="s">
        <v>171</v>
      </c>
      <c r="I170" s="2">
        <v>46264</v>
      </c>
      <c r="J170" s="3">
        <v>46264.666666666701</v>
      </c>
      <c r="K170" s="1" t="s">
        <v>172</v>
      </c>
      <c r="L170" s="1" t="s">
        <v>38</v>
      </c>
      <c r="M170" s="1" t="s">
        <v>39</v>
      </c>
      <c r="N170" s="1" t="s">
        <v>33</v>
      </c>
      <c r="P170" s="1" t="s">
        <v>33</v>
      </c>
      <c r="Q170" s="1" t="s">
        <v>103</v>
      </c>
      <c r="R170" s="1" t="s">
        <v>104</v>
      </c>
      <c r="S170" s="4">
        <v>432</v>
      </c>
      <c r="T170" s="4">
        <v>432</v>
      </c>
      <c r="U170" s="4">
        <v>432</v>
      </c>
      <c r="Y170" s="1" t="s">
        <v>33</v>
      </c>
      <c r="AC170" s="1" t="s">
        <v>33</v>
      </c>
      <c r="AE170" s="1" t="s">
        <v>33</v>
      </c>
    </row>
    <row r="171" spans="1:31" x14ac:dyDescent="0.25">
      <c r="A171" s="1" t="s">
        <v>97</v>
      </c>
      <c r="B171" s="1" t="s">
        <v>98</v>
      </c>
      <c r="C171" s="1" t="s">
        <v>33</v>
      </c>
      <c r="D171" s="1" t="s">
        <v>273</v>
      </c>
      <c r="E171" s="2">
        <v>46264</v>
      </c>
      <c r="F171" s="1" t="s">
        <v>274</v>
      </c>
      <c r="G171" s="3">
        <v>46264.666666666701</v>
      </c>
      <c r="H171" s="1" t="s">
        <v>171</v>
      </c>
      <c r="I171" s="2">
        <v>46264</v>
      </c>
      <c r="J171" s="3">
        <v>46264.666666666701</v>
      </c>
      <c r="K171" s="1" t="s">
        <v>172</v>
      </c>
      <c r="L171" s="1" t="s">
        <v>38</v>
      </c>
      <c r="M171" s="1" t="s">
        <v>39</v>
      </c>
      <c r="N171" s="1" t="s">
        <v>33</v>
      </c>
      <c r="P171" s="1" t="s">
        <v>33</v>
      </c>
      <c r="Q171" s="1" t="s">
        <v>133</v>
      </c>
      <c r="R171" s="1" t="s">
        <v>134</v>
      </c>
      <c r="S171" s="4">
        <v>194.4</v>
      </c>
      <c r="T171" s="4">
        <v>194.4</v>
      </c>
      <c r="U171" s="4">
        <v>194.4</v>
      </c>
      <c r="Y171" s="1" t="s">
        <v>33</v>
      </c>
      <c r="AC171" s="1" t="s">
        <v>33</v>
      </c>
      <c r="AE171" s="1" t="s">
        <v>33</v>
      </c>
    </row>
    <row r="172" spans="1:31" x14ac:dyDescent="0.25">
      <c r="A172" s="1" t="s">
        <v>97</v>
      </c>
      <c r="B172" s="1" t="s">
        <v>98</v>
      </c>
      <c r="C172" s="1" t="s">
        <v>33</v>
      </c>
      <c r="D172" s="1" t="s">
        <v>273</v>
      </c>
      <c r="E172" s="2">
        <v>46264</v>
      </c>
      <c r="F172" s="1" t="s">
        <v>274</v>
      </c>
      <c r="G172" s="3">
        <v>46264.666666666701</v>
      </c>
      <c r="H172" s="1" t="s">
        <v>171</v>
      </c>
      <c r="I172" s="2">
        <v>46264</v>
      </c>
      <c r="J172" s="3">
        <v>46264.666666666701</v>
      </c>
      <c r="K172" s="1" t="s">
        <v>172</v>
      </c>
      <c r="L172" s="1" t="s">
        <v>38</v>
      </c>
      <c r="M172" s="1" t="s">
        <v>39</v>
      </c>
      <c r="N172" s="1" t="s">
        <v>33</v>
      </c>
      <c r="P172" s="1" t="s">
        <v>33</v>
      </c>
      <c r="Q172" s="1" t="s">
        <v>145</v>
      </c>
      <c r="R172" s="1" t="s">
        <v>146</v>
      </c>
      <c r="S172" s="4">
        <v>50.4</v>
      </c>
      <c r="T172" s="4">
        <v>50.4</v>
      </c>
      <c r="U172" s="4">
        <v>50.4</v>
      </c>
      <c r="Y172" s="1" t="s">
        <v>33</v>
      </c>
      <c r="AC172" s="1" t="s">
        <v>33</v>
      </c>
      <c r="AE172" s="1" t="s">
        <v>33</v>
      </c>
    </row>
    <row r="173" spans="1:31" x14ac:dyDescent="0.25">
      <c r="A173" s="1" t="s">
        <v>97</v>
      </c>
      <c r="B173" s="1" t="s">
        <v>98</v>
      </c>
      <c r="C173" s="1" t="s">
        <v>33</v>
      </c>
      <c r="D173" s="1" t="s">
        <v>273</v>
      </c>
      <c r="E173" s="2">
        <v>46264</v>
      </c>
      <c r="F173" s="1" t="s">
        <v>274</v>
      </c>
      <c r="G173" s="3">
        <v>46264.666666666701</v>
      </c>
      <c r="H173" s="1" t="s">
        <v>171</v>
      </c>
      <c r="I173" s="2">
        <v>46264</v>
      </c>
      <c r="J173" s="3">
        <v>46264.666666666701</v>
      </c>
      <c r="K173" s="1" t="s">
        <v>172</v>
      </c>
      <c r="L173" s="1" t="s">
        <v>38</v>
      </c>
      <c r="M173" s="1" t="s">
        <v>39</v>
      </c>
      <c r="N173" s="1" t="s">
        <v>33</v>
      </c>
      <c r="P173" s="1" t="s">
        <v>33</v>
      </c>
      <c r="Q173" s="1" t="s">
        <v>213</v>
      </c>
      <c r="R173" s="1" t="s">
        <v>214</v>
      </c>
      <c r="S173" s="4">
        <v>252</v>
      </c>
      <c r="T173" s="4">
        <v>252</v>
      </c>
      <c r="U173" s="4">
        <v>252</v>
      </c>
      <c r="Y173" s="1" t="s">
        <v>33</v>
      </c>
      <c r="AC173" s="1" t="s">
        <v>33</v>
      </c>
      <c r="AE173" s="1" t="s">
        <v>33</v>
      </c>
    </row>
    <row r="174" spans="1:31" x14ac:dyDescent="0.25">
      <c r="A174" s="1" t="s">
        <v>97</v>
      </c>
      <c r="B174" s="1" t="s">
        <v>98</v>
      </c>
      <c r="C174" s="1" t="s">
        <v>33</v>
      </c>
      <c r="D174" s="1" t="s">
        <v>273</v>
      </c>
      <c r="E174" s="2">
        <v>46264</v>
      </c>
      <c r="F174" s="1" t="s">
        <v>274</v>
      </c>
      <c r="G174" s="3">
        <v>46264.666666666701</v>
      </c>
      <c r="H174" s="1" t="s">
        <v>171</v>
      </c>
      <c r="I174" s="2">
        <v>46264</v>
      </c>
      <c r="J174" s="3">
        <v>46264.666666666701</v>
      </c>
      <c r="K174" s="1" t="s">
        <v>172</v>
      </c>
      <c r="L174" s="1" t="s">
        <v>38</v>
      </c>
      <c r="M174" s="1" t="s">
        <v>39</v>
      </c>
      <c r="N174" s="1" t="s">
        <v>33</v>
      </c>
      <c r="P174" s="1" t="s">
        <v>33</v>
      </c>
      <c r="Q174" s="1" t="s">
        <v>215</v>
      </c>
      <c r="R174" s="1" t="s">
        <v>216</v>
      </c>
      <c r="S174" s="4">
        <v>37.799999999999997</v>
      </c>
      <c r="V174" s="4">
        <v>-37.799999999999997</v>
      </c>
      <c r="W174" s="1" t="s">
        <v>50</v>
      </c>
      <c r="X174" s="1" t="s">
        <v>51</v>
      </c>
      <c r="Y174" s="1" t="s">
        <v>33</v>
      </c>
      <c r="AC174" s="1" t="s">
        <v>33</v>
      </c>
      <c r="AD174" s="1" t="s">
        <v>113</v>
      </c>
      <c r="AE174" s="1" t="s">
        <v>33</v>
      </c>
    </row>
    <row r="175" spans="1:31" x14ac:dyDescent="0.25">
      <c r="A175" s="1" t="s">
        <v>97</v>
      </c>
      <c r="B175" s="1" t="s">
        <v>98</v>
      </c>
      <c r="C175" s="1" t="s">
        <v>33</v>
      </c>
      <c r="D175" s="1" t="s">
        <v>273</v>
      </c>
      <c r="E175" s="2">
        <v>46264</v>
      </c>
      <c r="F175" s="1" t="s">
        <v>274</v>
      </c>
      <c r="G175" s="3">
        <v>46264.666666666701</v>
      </c>
      <c r="H175" s="1" t="s">
        <v>171</v>
      </c>
      <c r="I175" s="2">
        <v>46264</v>
      </c>
      <c r="J175" s="3">
        <v>46264.666666666701</v>
      </c>
      <c r="K175" s="1" t="s">
        <v>172</v>
      </c>
      <c r="L175" s="1" t="s">
        <v>38</v>
      </c>
      <c r="M175" s="1" t="s">
        <v>39</v>
      </c>
      <c r="N175" s="1" t="s">
        <v>33</v>
      </c>
      <c r="P175" s="1" t="s">
        <v>33</v>
      </c>
      <c r="Q175" s="1" t="s">
        <v>147</v>
      </c>
      <c r="R175" s="1" t="s">
        <v>148</v>
      </c>
      <c r="S175" s="4">
        <v>75.599999999999994</v>
      </c>
      <c r="T175" s="4">
        <v>75.599999999999994</v>
      </c>
      <c r="U175" s="4">
        <v>75.599999999999994</v>
      </c>
      <c r="Y175" s="1" t="s">
        <v>33</v>
      </c>
      <c r="AC175" s="1" t="s">
        <v>33</v>
      </c>
      <c r="AE175" s="1" t="s">
        <v>33</v>
      </c>
    </row>
    <row r="176" spans="1:31" x14ac:dyDescent="0.25">
      <c r="A176" s="1" t="s">
        <v>97</v>
      </c>
      <c r="B176" s="1" t="s">
        <v>98</v>
      </c>
      <c r="C176" s="1" t="s">
        <v>33</v>
      </c>
      <c r="D176" s="1" t="s">
        <v>273</v>
      </c>
      <c r="E176" s="2">
        <v>46264</v>
      </c>
      <c r="F176" s="1" t="s">
        <v>274</v>
      </c>
      <c r="G176" s="3">
        <v>46264.666666666701</v>
      </c>
      <c r="H176" s="1" t="s">
        <v>171</v>
      </c>
      <c r="I176" s="2">
        <v>46264</v>
      </c>
      <c r="J176" s="3">
        <v>46264.666666666701</v>
      </c>
      <c r="K176" s="1" t="s">
        <v>172</v>
      </c>
      <c r="L176" s="1" t="s">
        <v>38</v>
      </c>
      <c r="M176" s="1" t="s">
        <v>39</v>
      </c>
      <c r="N176" s="1" t="s">
        <v>33</v>
      </c>
      <c r="P176" s="1" t="s">
        <v>33</v>
      </c>
      <c r="Q176" s="1" t="s">
        <v>149</v>
      </c>
      <c r="R176" s="1" t="s">
        <v>150</v>
      </c>
      <c r="S176" s="4">
        <v>194.4</v>
      </c>
      <c r="V176" s="4">
        <v>-194.4</v>
      </c>
      <c r="W176" s="1" t="s">
        <v>50</v>
      </c>
      <c r="X176" s="1" t="s">
        <v>51</v>
      </c>
      <c r="Y176" s="1" t="s">
        <v>33</v>
      </c>
      <c r="AC176" s="1" t="s">
        <v>33</v>
      </c>
      <c r="AE176" s="1" t="s">
        <v>33</v>
      </c>
    </row>
    <row r="177" spans="1:31" x14ac:dyDescent="0.25">
      <c r="A177" s="1" t="s">
        <v>97</v>
      </c>
      <c r="B177" s="1" t="s">
        <v>98</v>
      </c>
      <c r="C177" s="1" t="s">
        <v>33</v>
      </c>
      <c r="D177" s="1" t="s">
        <v>273</v>
      </c>
      <c r="E177" s="2">
        <v>46264</v>
      </c>
      <c r="F177" s="1" t="s">
        <v>274</v>
      </c>
      <c r="G177" s="3">
        <v>46264.666666666701</v>
      </c>
      <c r="H177" s="1" t="s">
        <v>171</v>
      </c>
      <c r="I177" s="2">
        <v>46264</v>
      </c>
      <c r="J177" s="3">
        <v>46264.666666666701</v>
      </c>
      <c r="K177" s="1" t="s">
        <v>172</v>
      </c>
      <c r="L177" s="1" t="s">
        <v>38</v>
      </c>
      <c r="M177" s="1" t="s">
        <v>39</v>
      </c>
      <c r="N177" s="1" t="s">
        <v>33</v>
      </c>
      <c r="P177" s="1" t="s">
        <v>33</v>
      </c>
      <c r="Q177" s="1" t="s">
        <v>151</v>
      </c>
      <c r="R177" s="1" t="s">
        <v>152</v>
      </c>
      <c r="S177" s="4">
        <v>129.6</v>
      </c>
      <c r="V177" s="4">
        <v>-129.6</v>
      </c>
      <c r="W177" s="1" t="s">
        <v>50</v>
      </c>
      <c r="X177" s="1" t="s">
        <v>51</v>
      </c>
      <c r="Y177" s="1" t="s">
        <v>33</v>
      </c>
      <c r="AC177" s="1" t="s">
        <v>33</v>
      </c>
      <c r="AD177" s="1" t="s">
        <v>113</v>
      </c>
      <c r="AE177" s="1" t="s">
        <v>33</v>
      </c>
    </row>
    <row r="178" spans="1:31" x14ac:dyDescent="0.25">
      <c r="A178" s="1" t="s">
        <v>97</v>
      </c>
      <c r="B178" s="1" t="s">
        <v>98</v>
      </c>
      <c r="C178" s="1" t="s">
        <v>33</v>
      </c>
      <c r="D178" s="1" t="s">
        <v>273</v>
      </c>
      <c r="E178" s="2">
        <v>46264</v>
      </c>
      <c r="F178" s="1" t="s">
        <v>274</v>
      </c>
      <c r="G178" s="3">
        <v>46264.666666666701</v>
      </c>
      <c r="H178" s="1" t="s">
        <v>171</v>
      </c>
      <c r="I178" s="2">
        <v>46264</v>
      </c>
      <c r="J178" s="3">
        <v>46264.666666666701</v>
      </c>
      <c r="K178" s="1" t="s">
        <v>172</v>
      </c>
      <c r="L178" s="1" t="s">
        <v>38</v>
      </c>
      <c r="M178" s="1" t="s">
        <v>39</v>
      </c>
      <c r="N178" s="1" t="s">
        <v>33</v>
      </c>
      <c r="P178" s="1" t="s">
        <v>33</v>
      </c>
      <c r="Q178" s="1" t="s">
        <v>107</v>
      </c>
      <c r="R178" s="1" t="s">
        <v>108</v>
      </c>
      <c r="S178" s="4">
        <v>64.8</v>
      </c>
      <c r="V178" s="4">
        <v>-64.8</v>
      </c>
      <c r="W178" s="1" t="s">
        <v>50</v>
      </c>
      <c r="X178" s="1" t="s">
        <v>51</v>
      </c>
      <c r="Y178" s="1" t="s">
        <v>33</v>
      </c>
      <c r="AC178" s="1" t="s">
        <v>33</v>
      </c>
      <c r="AE178" s="1" t="s">
        <v>33</v>
      </c>
    </row>
    <row r="179" spans="1:31" x14ac:dyDescent="0.25">
      <c r="A179" s="1" t="s">
        <v>97</v>
      </c>
      <c r="B179" s="1" t="s">
        <v>98</v>
      </c>
      <c r="C179" s="1" t="s">
        <v>33</v>
      </c>
      <c r="D179" s="1" t="s">
        <v>273</v>
      </c>
      <c r="E179" s="2">
        <v>46264</v>
      </c>
      <c r="F179" s="1" t="s">
        <v>274</v>
      </c>
      <c r="G179" s="3">
        <v>46264.666666666701</v>
      </c>
      <c r="H179" s="1" t="s">
        <v>171</v>
      </c>
      <c r="I179" s="2">
        <v>46264</v>
      </c>
      <c r="J179" s="3">
        <v>46264.666666666701</v>
      </c>
      <c r="K179" s="1" t="s">
        <v>172</v>
      </c>
      <c r="L179" s="1" t="s">
        <v>38</v>
      </c>
      <c r="M179" s="1" t="s">
        <v>39</v>
      </c>
      <c r="N179" s="1" t="s">
        <v>33</v>
      </c>
      <c r="P179" s="1" t="s">
        <v>33</v>
      </c>
      <c r="Q179" s="1" t="s">
        <v>223</v>
      </c>
      <c r="R179" s="1" t="s">
        <v>224</v>
      </c>
      <c r="S179" s="4">
        <v>194.4</v>
      </c>
      <c r="T179" s="4">
        <v>194.4</v>
      </c>
      <c r="U179" s="4">
        <v>194.4</v>
      </c>
      <c r="Y179" s="1" t="s">
        <v>33</v>
      </c>
      <c r="AC179" s="1" t="s">
        <v>33</v>
      </c>
      <c r="AE179" s="1" t="s">
        <v>33</v>
      </c>
    </row>
    <row r="180" spans="1:31" x14ac:dyDescent="0.25">
      <c r="A180" s="1" t="s">
        <v>97</v>
      </c>
      <c r="B180" s="1" t="s">
        <v>98</v>
      </c>
      <c r="C180" s="1" t="s">
        <v>33</v>
      </c>
      <c r="D180" s="1" t="s">
        <v>273</v>
      </c>
      <c r="E180" s="2">
        <v>46264</v>
      </c>
      <c r="F180" s="1" t="s">
        <v>274</v>
      </c>
      <c r="G180" s="3">
        <v>46264.666666666701</v>
      </c>
      <c r="H180" s="1" t="s">
        <v>171</v>
      </c>
      <c r="I180" s="2">
        <v>46264</v>
      </c>
      <c r="J180" s="3">
        <v>46264.666666666701</v>
      </c>
      <c r="K180" s="1" t="s">
        <v>172</v>
      </c>
      <c r="L180" s="1" t="s">
        <v>38</v>
      </c>
      <c r="M180" s="1" t="s">
        <v>39</v>
      </c>
      <c r="N180" s="1" t="s">
        <v>33</v>
      </c>
      <c r="P180" s="1" t="s">
        <v>33</v>
      </c>
      <c r="Q180" s="1" t="s">
        <v>109</v>
      </c>
      <c r="R180" s="1" t="s">
        <v>110</v>
      </c>
      <c r="S180" s="4">
        <v>139.19999999999999</v>
      </c>
      <c r="T180" s="4">
        <v>139.19999999999999</v>
      </c>
      <c r="U180" s="4">
        <v>139.19999999999999</v>
      </c>
      <c r="Y180" s="1" t="s">
        <v>33</v>
      </c>
      <c r="AC180" s="1" t="s">
        <v>33</v>
      </c>
      <c r="AE180" s="1" t="s">
        <v>33</v>
      </c>
    </row>
    <row r="181" spans="1:31" x14ac:dyDescent="0.25">
      <c r="A181" s="1" t="s">
        <v>97</v>
      </c>
      <c r="B181" s="1" t="s">
        <v>98</v>
      </c>
      <c r="C181" s="1" t="s">
        <v>33</v>
      </c>
      <c r="D181" s="1" t="s">
        <v>273</v>
      </c>
      <c r="E181" s="2">
        <v>46264</v>
      </c>
      <c r="F181" s="1" t="s">
        <v>274</v>
      </c>
      <c r="G181" s="3">
        <v>46264.666666666701</v>
      </c>
      <c r="H181" s="1" t="s">
        <v>171</v>
      </c>
      <c r="I181" s="2">
        <v>46264</v>
      </c>
      <c r="J181" s="3">
        <v>46264.666666666701</v>
      </c>
      <c r="K181" s="1" t="s">
        <v>172</v>
      </c>
      <c r="L181" s="1" t="s">
        <v>38</v>
      </c>
      <c r="M181" s="1" t="s">
        <v>39</v>
      </c>
      <c r="N181" s="1" t="s">
        <v>33</v>
      </c>
      <c r="P181" s="1" t="s">
        <v>33</v>
      </c>
      <c r="Q181" s="1" t="s">
        <v>279</v>
      </c>
      <c r="R181" s="1" t="s">
        <v>280</v>
      </c>
      <c r="S181" s="4">
        <v>115.2</v>
      </c>
      <c r="V181" s="4">
        <v>-115.2</v>
      </c>
      <c r="W181" s="1" t="s">
        <v>50</v>
      </c>
      <c r="X181" s="1" t="s">
        <v>51</v>
      </c>
      <c r="Y181" s="1" t="s">
        <v>33</v>
      </c>
      <c r="AC181" s="1" t="s">
        <v>33</v>
      </c>
      <c r="AE181" s="1" t="s">
        <v>33</v>
      </c>
    </row>
    <row r="182" spans="1:31" x14ac:dyDescent="0.25">
      <c r="A182" s="1" t="s">
        <v>97</v>
      </c>
      <c r="B182" s="1" t="s">
        <v>98</v>
      </c>
      <c r="C182" s="1" t="s">
        <v>33</v>
      </c>
      <c r="D182" s="1" t="s">
        <v>273</v>
      </c>
      <c r="E182" s="2">
        <v>46264</v>
      </c>
      <c r="F182" s="1" t="s">
        <v>274</v>
      </c>
      <c r="G182" s="3">
        <v>46264.666666666701</v>
      </c>
      <c r="H182" s="1" t="s">
        <v>171</v>
      </c>
      <c r="I182" s="2">
        <v>46264</v>
      </c>
      <c r="J182" s="3">
        <v>46264.666666666701</v>
      </c>
      <c r="K182" s="1" t="s">
        <v>172</v>
      </c>
      <c r="L182" s="1" t="s">
        <v>38</v>
      </c>
      <c r="M182" s="1" t="s">
        <v>39</v>
      </c>
      <c r="N182" s="1" t="s">
        <v>33</v>
      </c>
      <c r="P182" s="1" t="s">
        <v>33</v>
      </c>
      <c r="Q182" s="1" t="s">
        <v>64</v>
      </c>
      <c r="R182" s="1" t="s">
        <v>65</v>
      </c>
      <c r="S182" s="4">
        <v>86.4</v>
      </c>
      <c r="T182" s="4">
        <v>86.4</v>
      </c>
      <c r="U182" s="4">
        <v>86.4</v>
      </c>
      <c r="Y182" s="1" t="s">
        <v>33</v>
      </c>
      <c r="AC182" s="1" t="s">
        <v>33</v>
      </c>
      <c r="AE182" s="1" t="s">
        <v>33</v>
      </c>
    </row>
    <row r="183" spans="1:31" x14ac:dyDescent="0.25">
      <c r="A183" s="1" t="s">
        <v>97</v>
      </c>
      <c r="B183" s="1" t="s">
        <v>98</v>
      </c>
      <c r="C183" s="1" t="s">
        <v>33</v>
      </c>
      <c r="D183" s="1" t="s">
        <v>273</v>
      </c>
      <c r="E183" s="2">
        <v>46264</v>
      </c>
      <c r="F183" s="1" t="s">
        <v>274</v>
      </c>
      <c r="G183" s="3">
        <v>46264.666666666701</v>
      </c>
      <c r="H183" s="1" t="s">
        <v>171</v>
      </c>
      <c r="I183" s="2">
        <v>46264</v>
      </c>
      <c r="J183" s="3">
        <v>46264.666666666701</v>
      </c>
      <c r="K183" s="1" t="s">
        <v>172</v>
      </c>
      <c r="L183" s="1" t="s">
        <v>38</v>
      </c>
      <c r="M183" s="1" t="s">
        <v>39</v>
      </c>
      <c r="N183" s="1" t="s">
        <v>33</v>
      </c>
      <c r="P183" s="1" t="s">
        <v>33</v>
      </c>
      <c r="Q183" s="1" t="s">
        <v>235</v>
      </c>
      <c r="R183" s="1" t="s">
        <v>236</v>
      </c>
      <c r="S183" s="4">
        <v>57.6</v>
      </c>
      <c r="T183" s="4">
        <v>57.6</v>
      </c>
      <c r="U183" s="4">
        <v>57.6</v>
      </c>
      <c r="Y183" s="1" t="s">
        <v>33</v>
      </c>
      <c r="AC183" s="1" t="s">
        <v>33</v>
      </c>
      <c r="AE183" s="1" t="s">
        <v>33</v>
      </c>
    </row>
    <row r="184" spans="1:31" x14ac:dyDescent="0.25">
      <c r="A184" s="1" t="s">
        <v>97</v>
      </c>
      <c r="B184" s="1" t="s">
        <v>98</v>
      </c>
      <c r="C184" s="1" t="s">
        <v>33</v>
      </c>
      <c r="D184" s="1" t="s">
        <v>273</v>
      </c>
      <c r="E184" s="2">
        <v>46264</v>
      </c>
      <c r="F184" s="1" t="s">
        <v>274</v>
      </c>
      <c r="G184" s="3">
        <v>46264.666666666701</v>
      </c>
      <c r="H184" s="1" t="s">
        <v>171</v>
      </c>
      <c r="I184" s="2">
        <v>46264</v>
      </c>
      <c r="J184" s="3">
        <v>46264.666666666701</v>
      </c>
      <c r="K184" s="1" t="s">
        <v>172</v>
      </c>
      <c r="L184" s="1" t="s">
        <v>38</v>
      </c>
      <c r="M184" s="1" t="s">
        <v>39</v>
      </c>
      <c r="N184" s="1" t="s">
        <v>33</v>
      </c>
      <c r="P184" s="1" t="s">
        <v>33</v>
      </c>
      <c r="Q184" s="1" t="s">
        <v>241</v>
      </c>
      <c r="R184" s="1" t="s">
        <v>242</v>
      </c>
      <c r="S184" s="4">
        <v>28.8</v>
      </c>
      <c r="T184" s="4">
        <v>28.8</v>
      </c>
      <c r="U184" s="4">
        <v>28.8</v>
      </c>
      <c r="Y184" s="1" t="s">
        <v>33</v>
      </c>
      <c r="AC184" s="1" t="s">
        <v>33</v>
      </c>
      <c r="AE184" s="1" t="s">
        <v>33</v>
      </c>
    </row>
    <row r="185" spans="1:31" x14ac:dyDescent="0.25">
      <c r="A185" s="1" t="s">
        <v>97</v>
      </c>
      <c r="B185" s="1" t="s">
        <v>98</v>
      </c>
      <c r="C185" s="1" t="s">
        <v>33</v>
      </c>
      <c r="D185" s="1" t="s">
        <v>273</v>
      </c>
      <c r="E185" s="2">
        <v>46264</v>
      </c>
      <c r="F185" s="1" t="s">
        <v>274</v>
      </c>
      <c r="G185" s="3">
        <v>46264.666666666701</v>
      </c>
      <c r="H185" s="1" t="s">
        <v>171</v>
      </c>
      <c r="I185" s="2">
        <v>46264</v>
      </c>
      <c r="J185" s="3">
        <v>46264.666666666701</v>
      </c>
      <c r="K185" s="1" t="s">
        <v>172</v>
      </c>
      <c r="L185" s="1" t="s">
        <v>38</v>
      </c>
      <c r="M185" s="1" t="s">
        <v>39</v>
      </c>
      <c r="N185" s="1" t="s">
        <v>33</v>
      </c>
      <c r="P185" s="1" t="s">
        <v>33</v>
      </c>
      <c r="Q185" s="1" t="s">
        <v>243</v>
      </c>
      <c r="R185" s="1" t="s">
        <v>244</v>
      </c>
      <c r="S185" s="4">
        <v>57.6</v>
      </c>
      <c r="T185" s="4">
        <v>57.6</v>
      </c>
      <c r="U185" s="4">
        <v>57.6</v>
      </c>
      <c r="Y185" s="1" t="s">
        <v>33</v>
      </c>
      <c r="AC185" s="1" t="s">
        <v>33</v>
      </c>
      <c r="AE185" s="1" t="s">
        <v>33</v>
      </c>
    </row>
    <row r="186" spans="1:31" x14ac:dyDescent="0.25">
      <c r="A186" s="1" t="s">
        <v>97</v>
      </c>
      <c r="B186" s="1" t="s">
        <v>98</v>
      </c>
      <c r="C186" s="1" t="s">
        <v>33</v>
      </c>
      <c r="D186" s="1" t="s">
        <v>273</v>
      </c>
      <c r="E186" s="2">
        <v>46264</v>
      </c>
      <c r="F186" s="1" t="s">
        <v>274</v>
      </c>
      <c r="G186" s="3">
        <v>46264.666666666701</v>
      </c>
      <c r="H186" s="1" t="s">
        <v>171</v>
      </c>
      <c r="I186" s="2">
        <v>46264</v>
      </c>
      <c r="J186" s="3">
        <v>46264.666666666701</v>
      </c>
      <c r="K186" s="1" t="s">
        <v>172</v>
      </c>
      <c r="L186" s="1" t="s">
        <v>38</v>
      </c>
      <c r="M186" s="1" t="s">
        <v>39</v>
      </c>
      <c r="N186" s="1" t="s">
        <v>33</v>
      </c>
      <c r="P186" s="1" t="s">
        <v>33</v>
      </c>
      <c r="Q186" s="1" t="s">
        <v>253</v>
      </c>
      <c r="R186" s="1" t="s">
        <v>254</v>
      </c>
      <c r="S186" s="4">
        <v>268.8</v>
      </c>
      <c r="V186" s="4">
        <v>-268.8</v>
      </c>
      <c r="W186" s="1" t="s">
        <v>50</v>
      </c>
      <c r="X186" s="1" t="s">
        <v>51</v>
      </c>
      <c r="Y186" s="1" t="s">
        <v>33</v>
      </c>
      <c r="AC186" s="1" t="s">
        <v>33</v>
      </c>
      <c r="AD186" s="1" t="s">
        <v>113</v>
      </c>
      <c r="AE186" s="1" t="s">
        <v>33</v>
      </c>
    </row>
    <row r="187" spans="1:31" x14ac:dyDescent="0.25">
      <c r="A187" s="1" t="s">
        <v>97</v>
      </c>
      <c r="B187" s="1" t="s">
        <v>98</v>
      </c>
      <c r="C187" s="1" t="s">
        <v>33</v>
      </c>
      <c r="D187" s="1" t="s">
        <v>273</v>
      </c>
      <c r="E187" s="2">
        <v>46264</v>
      </c>
      <c r="F187" s="1" t="s">
        <v>274</v>
      </c>
      <c r="G187" s="3">
        <v>46264.666666666701</v>
      </c>
      <c r="H187" s="1" t="s">
        <v>171</v>
      </c>
      <c r="I187" s="2">
        <v>46264</v>
      </c>
      <c r="J187" s="3">
        <v>46264.666666666701</v>
      </c>
      <c r="K187" s="1" t="s">
        <v>172</v>
      </c>
      <c r="L187" s="1" t="s">
        <v>38</v>
      </c>
      <c r="M187" s="1" t="s">
        <v>39</v>
      </c>
      <c r="N187" s="1" t="s">
        <v>33</v>
      </c>
      <c r="P187" s="1" t="s">
        <v>33</v>
      </c>
      <c r="Q187" s="1" t="s">
        <v>153</v>
      </c>
      <c r="R187" s="1" t="s">
        <v>154</v>
      </c>
      <c r="S187" s="4">
        <v>374.4</v>
      </c>
      <c r="T187" s="4">
        <v>374.4</v>
      </c>
      <c r="U187" s="4">
        <v>374.4</v>
      </c>
      <c r="Y187" s="1" t="s">
        <v>33</v>
      </c>
      <c r="AC187" s="1" t="s">
        <v>33</v>
      </c>
      <c r="AE187" s="1" t="s">
        <v>33</v>
      </c>
    </row>
    <row r="188" spans="1:31" x14ac:dyDescent="0.25">
      <c r="A188" s="1" t="s">
        <v>97</v>
      </c>
      <c r="B188" s="1" t="s">
        <v>98</v>
      </c>
      <c r="C188" s="1" t="s">
        <v>33</v>
      </c>
      <c r="D188" s="1" t="s">
        <v>273</v>
      </c>
      <c r="E188" s="2">
        <v>46264</v>
      </c>
      <c r="F188" s="1" t="s">
        <v>274</v>
      </c>
      <c r="G188" s="3">
        <v>46264.666666666701</v>
      </c>
      <c r="H188" s="1" t="s">
        <v>171</v>
      </c>
      <c r="I188" s="2">
        <v>46264</v>
      </c>
      <c r="J188" s="3">
        <v>46264.666666666701</v>
      </c>
      <c r="K188" s="1" t="s">
        <v>172</v>
      </c>
      <c r="L188" s="1" t="s">
        <v>38</v>
      </c>
      <c r="M188" s="1" t="s">
        <v>39</v>
      </c>
      <c r="N188" s="1" t="s">
        <v>33</v>
      </c>
      <c r="P188" s="1" t="s">
        <v>33</v>
      </c>
      <c r="Q188" s="1" t="s">
        <v>269</v>
      </c>
      <c r="R188" s="1" t="s">
        <v>270</v>
      </c>
      <c r="S188" s="4">
        <v>67.2</v>
      </c>
      <c r="T188" s="4">
        <v>67.2</v>
      </c>
      <c r="U188" s="4">
        <v>67.2</v>
      </c>
      <c r="Y188" s="1" t="s">
        <v>33</v>
      </c>
      <c r="AC188" s="1" t="s">
        <v>33</v>
      </c>
      <c r="AE188" s="1" t="s">
        <v>33</v>
      </c>
    </row>
    <row r="189" spans="1:31" x14ac:dyDescent="0.25">
      <c r="A189" s="1" t="s">
        <v>97</v>
      </c>
      <c r="B189" s="1" t="s">
        <v>98</v>
      </c>
      <c r="C189" s="1" t="s">
        <v>33</v>
      </c>
      <c r="D189" s="1" t="s">
        <v>273</v>
      </c>
      <c r="E189" s="2">
        <v>46264</v>
      </c>
      <c r="F189" s="1" t="s">
        <v>274</v>
      </c>
      <c r="G189" s="3">
        <v>46264.666666666701</v>
      </c>
      <c r="H189" s="1" t="s">
        <v>171</v>
      </c>
      <c r="I189" s="2">
        <v>46264</v>
      </c>
      <c r="J189" s="3">
        <v>46264.666666666701</v>
      </c>
      <c r="K189" s="1" t="s">
        <v>172</v>
      </c>
      <c r="L189" s="1" t="s">
        <v>38</v>
      </c>
      <c r="M189" s="1" t="s">
        <v>39</v>
      </c>
      <c r="N189" s="1" t="s">
        <v>33</v>
      </c>
      <c r="P189" s="1" t="s">
        <v>33</v>
      </c>
      <c r="Q189" s="1" t="s">
        <v>281</v>
      </c>
      <c r="R189" s="1" t="s">
        <v>282</v>
      </c>
      <c r="S189" s="4">
        <v>64.8</v>
      </c>
      <c r="T189" s="4">
        <v>64.8</v>
      </c>
      <c r="U189" s="4">
        <v>64.8</v>
      </c>
      <c r="W189" s="1" t="s">
        <v>120</v>
      </c>
      <c r="Y189" s="1" t="s">
        <v>33</v>
      </c>
      <c r="AC189" s="1" t="s">
        <v>33</v>
      </c>
      <c r="AE189" s="1" t="s">
        <v>33</v>
      </c>
    </row>
    <row r="190" spans="1:31" x14ac:dyDescent="0.25">
      <c r="A190" s="1" t="s">
        <v>97</v>
      </c>
      <c r="B190" s="1" t="s">
        <v>98</v>
      </c>
      <c r="C190" s="1" t="s">
        <v>33</v>
      </c>
      <c r="D190" s="1" t="s">
        <v>273</v>
      </c>
      <c r="E190" s="2">
        <v>46264</v>
      </c>
      <c r="F190" s="1" t="s">
        <v>274</v>
      </c>
      <c r="G190" s="3">
        <v>46264.666666666701</v>
      </c>
      <c r="H190" s="1" t="s">
        <v>171</v>
      </c>
      <c r="I190" s="2">
        <v>46264</v>
      </c>
      <c r="J190" s="3">
        <v>46264.666666666701</v>
      </c>
      <c r="K190" s="1" t="s">
        <v>172</v>
      </c>
      <c r="L190" s="1" t="s">
        <v>38</v>
      </c>
      <c r="M190" s="1" t="s">
        <v>39</v>
      </c>
      <c r="N190" s="1" t="s">
        <v>33</v>
      </c>
      <c r="P190" s="1" t="s">
        <v>33</v>
      </c>
      <c r="Q190" s="1" t="s">
        <v>114</v>
      </c>
      <c r="R190" s="1" t="s">
        <v>115</v>
      </c>
      <c r="S190" s="4">
        <v>360</v>
      </c>
      <c r="T190" s="4">
        <v>360</v>
      </c>
      <c r="U190" s="4">
        <v>360</v>
      </c>
      <c r="Y190" s="1" t="s">
        <v>33</v>
      </c>
      <c r="AC190" s="1" t="s">
        <v>33</v>
      </c>
      <c r="AE190" s="1" t="s">
        <v>33</v>
      </c>
    </row>
    <row r="191" spans="1:31" x14ac:dyDescent="0.25">
      <c r="A191" s="1" t="s">
        <v>97</v>
      </c>
      <c r="B191" s="1" t="s">
        <v>98</v>
      </c>
      <c r="C191" s="1" t="s">
        <v>33</v>
      </c>
      <c r="D191" s="1" t="s">
        <v>273</v>
      </c>
      <c r="E191" s="2">
        <v>46264</v>
      </c>
      <c r="F191" s="1" t="s">
        <v>274</v>
      </c>
      <c r="G191" s="3">
        <v>46264.666666666701</v>
      </c>
      <c r="H191" s="1" t="s">
        <v>171</v>
      </c>
      <c r="I191" s="2">
        <v>46264</v>
      </c>
      <c r="J191" s="3">
        <v>46264.666666666701</v>
      </c>
      <c r="K191" s="1" t="s">
        <v>172</v>
      </c>
      <c r="L191" s="1" t="s">
        <v>38</v>
      </c>
      <c r="M191" s="1" t="s">
        <v>39</v>
      </c>
      <c r="N191" s="1" t="s">
        <v>33</v>
      </c>
      <c r="P191" s="1" t="s">
        <v>33</v>
      </c>
      <c r="Q191" s="1" t="s">
        <v>155</v>
      </c>
      <c r="R191" s="1" t="s">
        <v>156</v>
      </c>
      <c r="S191" s="4">
        <v>240</v>
      </c>
      <c r="T191" s="4">
        <v>240</v>
      </c>
      <c r="U191" s="4">
        <v>240</v>
      </c>
      <c r="Y191" s="1" t="s">
        <v>33</v>
      </c>
      <c r="AC191" s="1" t="s">
        <v>33</v>
      </c>
      <c r="AE191" s="1" t="s">
        <v>33</v>
      </c>
    </row>
    <row r="192" spans="1:31" x14ac:dyDescent="0.25">
      <c r="A192" s="1" t="s">
        <v>97</v>
      </c>
      <c r="B192" s="1" t="s">
        <v>98</v>
      </c>
      <c r="C192" s="1" t="s">
        <v>33</v>
      </c>
      <c r="D192" s="1" t="s">
        <v>273</v>
      </c>
      <c r="E192" s="2">
        <v>46264</v>
      </c>
      <c r="F192" s="1" t="s">
        <v>274</v>
      </c>
      <c r="G192" s="3">
        <v>46264.666666666701</v>
      </c>
      <c r="H192" s="1" t="s">
        <v>171</v>
      </c>
      <c r="I192" s="2">
        <v>46264</v>
      </c>
      <c r="J192" s="3">
        <v>46264.666666666701</v>
      </c>
      <c r="K192" s="1" t="s">
        <v>172</v>
      </c>
      <c r="L192" s="1" t="s">
        <v>38</v>
      </c>
      <c r="M192" s="1" t="s">
        <v>39</v>
      </c>
      <c r="N192" s="1" t="s">
        <v>33</v>
      </c>
      <c r="P192" s="1" t="s">
        <v>33</v>
      </c>
      <c r="Q192" s="1" t="s">
        <v>116</v>
      </c>
      <c r="R192" s="1" t="s">
        <v>117</v>
      </c>
      <c r="S192" s="4">
        <v>270</v>
      </c>
      <c r="T192" s="4">
        <v>270</v>
      </c>
      <c r="U192" s="4">
        <v>270</v>
      </c>
      <c r="Y192" s="1" t="s">
        <v>33</v>
      </c>
      <c r="AC192" s="1" t="s">
        <v>33</v>
      </c>
      <c r="AE192" s="1" t="s">
        <v>33</v>
      </c>
    </row>
    <row r="193" spans="1:31" x14ac:dyDescent="0.25">
      <c r="A193" s="1" t="s">
        <v>97</v>
      </c>
      <c r="B193" s="1" t="s">
        <v>98</v>
      </c>
      <c r="C193" s="1" t="s">
        <v>33</v>
      </c>
      <c r="D193" s="1" t="s">
        <v>273</v>
      </c>
      <c r="E193" s="2">
        <v>46264</v>
      </c>
      <c r="F193" s="1" t="s">
        <v>274</v>
      </c>
      <c r="G193" s="3">
        <v>46264.666666666701</v>
      </c>
      <c r="H193" s="1" t="s">
        <v>171</v>
      </c>
      <c r="I193" s="2">
        <v>46264</v>
      </c>
      <c r="J193" s="3">
        <v>46264.666666666701</v>
      </c>
      <c r="K193" s="1" t="s">
        <v>172</v>
      </c>
      <c r="L193" s="1" t="s">
        <v>38</v>
      </c>
      <c r="M193" s="1" t="s">
        <v>39</v>
      </c>
      <c r="N193" s="1" t="s">
        <v>33</v>
      </c>
      <c r="P193" s="1" t="s">
        <v>33</v>
      </c>
      <c r="Q193" s="1" t="s">
        <v>129</v>
      </c>
      <c r="R193" s="1" t="s">
        <v>130</v>
      </c>
      <c r="S193" s="4">
        <v>120</v>
      </c>
      <c r="T193" s="4">
        <v>120</v>
      </c>
      <c r="U193" s="4">
        <v>120</v>
      </c>
      <c r="Y193" s="1" t="s">
        <v>33</v>
      </c>
      <c r="AC193" s="1" t="s">
        <v>33</v>
      </c>
      <c r="AE193" s="1" t="s">
        <v>33</v>
      </c>
    </row>
    <row r="194" spans="1:31" x14ac:dyDescent="0.25">
      <c r="A194" s="1" t="s">
        <v>97</v>
      </c>
      <c r="B194" s="1" t="s">
        <v>98</v>
      </c>
      <c r="C194" s="1" t="s">
        <v>33</v>
      </c>
      <c r="D194" s="1" t="s">
        <v>273</v>
      </c>
      <c r="E194" s="2">
        <v>46264</v>
      </c>
      <c r="F194" s="1" t="s">
        <v>274</v>
      </c>
      <c r="G194" s="3">
        <v>46264.666666666701</v>
      </c>
      <c r="H194" s="1" t="s">
        <v>171</v>
      </c>
      <c r="I194" s="2">
        <v>46264</v>
      </c>
      <c r="J194" s="3">
        <v>46264.666666666701</v>
      </c>
      <c r="K194" s="1" t="s">
        <v>172</v>
      </c>
      <c r="L194" s="1" t="s">
        <v>38</v>
      </c>
      <c r="M194" s="1" t="s">
        <v>39</v>
      </c>
      <c r="N194" s="1" t="s">
        <v>33</v>
      </c>
      <c r="P194" s="1" t="s">
        <v>33</v>
      </c>
      <c r="Q194" s="1" t="s">
        <v>157</v>
      </c>
      <c r="R194" s="1" t="s">
        <v>158</v>
      </c>
      <c r="S194" s="4">
        <v>72</v>
      </c>
      <c r="V194" s="4">
        <v>-72</v>
      </c>
      <c r="W194" s="1" t="s">
        <v>50</v>
      </c>
      <c r="X194" s="1" t="s">
        <v>51</v>
      </c>
      <c r="Y194" s="1" t="s">
        <v>33</v>
      </c>
      <c r="AC194" s="1" t="s">
        <v>33</v>
      </c>
      <c r="AD194" s="1" t="s">
        <v>113</v>
      </c>
      <c r="AE194" s="1" t="s">
        <v>33</v>
      </c>
    </row>
    <row r="195" spans="1:31" x14ac:dyDescent="0.25">
      <c r="A195" s="1" t="s">
        <v>97</v>
      </c>
      <c r="B195" s="1" t="s">
        <v>98</v>
      </c>
      <c r="C195" s="1" t="s">
        <v>33</v>
      </c>
      <c r="D195" s="1" t="s">
        <v>273</v>
      </c>
      <c r="E195" s="2">
        <v>46264</v>
      </c>
      <c r="F195" s="1" t="s">
        <v>274</v>
      </c>
      <c r="G195" s="3">
        <v>46264.666666666701</v>
      </c>
      <c r="H195" s="1" t="s">
        <v>171</v>
      </c>
      <c r="I195" s="2">
        <v>46264</v>
      </c>
      <c r="J195" s="3">
        <v>46264.666666666701</v>
      </c>
      <c r="K195" s="1" t="s">
        <v>172</v>
      </c>
      <c r="L195" s="1" t="s">
        <v>38</v>
      </c>
      <c r="M195" s="1" t="s">
        <v>39</v>
      </c>
      <c r="N195" s="1" t="s">
        <v>33</v>
      </c>
      <c r="P195" s="1" t="s">
        <v>33</v>
      </c>
      <c r="Q195" s="1" t="s">
        <v>283</v>
      </c>
      <c r="R195" s="1" t="s">
        <v>284</v>
      </c>
      <c r="S195" s="4">
        <v>120</v>
      </c>
      <c r="T195" s="4">
        <v>120</v>
      </c>
      <c r="U195" s="4">
        <v>120</v>
      </c>
      <c r="Y195" s="1" t="s">
        <v>33</v>
      </c>
      <c r="AC195" s="1" t="s">
        <v>33</v>
      </c>
      <c r="AE195" s="1" t="s">
        <v>33</v>
      </c>
    </row>
    <row r="196" spans="1:31" x14ac:dyDescent="0.25">
      <c r="A196" s="1" t="s">
        <v>97</v>
      </c>
      <c r="B196" s="1" t="s">
        <v>98</v>
      </c>
      <c r="C196" s="1" t="s">
        <v>33</v>
      </c>
      <c r="D196" s="1" t="s">
        <v>273</v>
      </c>
      <c r="E196" s="2">
        <v>46264</v>
      </c>
      <c r="F196" s="1" t="s">
        <v>274</v>
      </c>
      <c r="G196" s="3">
        <v>46264.666666666701</v>
      </c>
      <c r="H196" s="1" t="s">
        <v>171</v>
      </c>
      <c r="I196" s="2">
        <v>46264</v>
      </c>
      <c r="J196" s="3">
        <v>46264.666666666701</v>
      </c>
      <c r="K196" s="1" t="s">
        <v>172</v>
      </c>
      <c r="L196" s="1" t="s">
        <v>38</v>
      </c>
      <c r="M196" s="1" t="s">
        <v>39</v>
      </c>
      <c r="N196" s="1" t="s">
        <v>33</v>
      </c>
      <c r="P196" s="1" t="s">
        <v>33</v>
      </c>
      <c r="Q196" s="1" t="s">
        <v>118</v>
      </c>
      <c r="R196" s="1" t="s">
        <v>119</v>
      </c>
      <c r="S196" s="4">
        <v>72</v>
      </c>
      <c r="T196" s="4">
        <v>72</v>
      </c>
      <c r="U196" s="4">
        <v>72</v>
      </c>
      <c r="W196" s="1" t="s">
        <v>120</v>
      </c>
      <c r="Y196" s="1" t="s">
        <v>33</v>
      </c>
      <c r="AC196" s="1" t="s">
        <v>33</v>
      </c>
      <c r="AE196" s="1" t="s">
        <v>33</v>
      </c>
    </row>
    <row r="197" spans="1:31" x14ac:dyDescent="0.25">
      <c r="A197" s="1" t="s">
        <v>97</v>
      </c>
      <c r="B197" s="1" t="s">
        <v>98</v>
      </c>
      <c r="C197" s="1" t="s">
        <v>33</v>
      </c>
      <c r="D197" s="1" t="s">
        <v>273</v>
      </c>
      <c r="E197" s="2">
        <v>46264</v>
      </c>
      <c r="F197" s="1" t="s">
        <v>274</v>
      </c>
      <c r="G197" s="3">
        <v>46264.666666666701</v>
      </c>
      <c r="H197" s="1" t="s">
        <v>171</v>
      </c>
      <c r="I197" s="2">
        <v>46264</v>
      </c>
      <c r="J197" s="3">
        <v>46264.666666666701</v>
      </c>
      <c r="K197" s="1" t="s">
        <v>172</v>
      </c>
      <c r="L197" s="1" t="s">
        <v>38</v>
      </c>
      <c r="M197" s="1" t="s">
        <v>39</v>
      </c>
      <c r="N197" s="1" t="s">
        <v>33</v>
      </c>
      <c r="P197" s="1" t="s">
        <v>33</v>
      </c>
      <c r="Q197" s="1" t="s">
        <v>121</v>
      </c>
      <c r="R197" s="1" t="s">
        <v>122</v>
      </c>
      <c r="S197" s="4">
        <v>57.6</v>
      </c>
      <c r="T197" s="4">
        <v>57.6</v>
      </c>
      <c r="U197" s="4">
        <v>57.6</v>
      </c>
      <c r="Y197" s="1" t="s">
        <v>33</v>
      </c>
      <c r="AC197" s="1" t="s">
        <v>33</v>
      </c>
      <c r="AE197" s="1" t="s">
        <v>33</v>
      </c>
    </row>
    <row r="198" spans="1:31" x14ac:dyDescent="0.25">
      <c r="A198" s="1" t="s">
        <v>97</v>
      </c>
      <c r="B198" s="1" t="s">
        <v>98</v>
      </c>
      <c r="C198" s="1" t="s">
        <v>33</v>
      </c>
      <c r="D198" s="1" t="s">
        <v>273</v>
      </c>
      <c r="E198" s="2">
        <v>46264</v>
      </c>
      <c r="F198" s="1" t="s">
        <v>274</v>
      </c>
      <c r="G198" s="3">
        <v>46264.666666666701</v>
      </c>
      <c r="H198" s="1" t="s">
        <v>171</v>
      </c>
      <c r="I198" s="2">
        <v>46264</v>
      </c>
      <c r="J198" s="3">
        <v>46264.666666666701</v>
      </c>
      <c r="K198" s="1" t="s">
        <v>172</v>
      </c>
      <c r="L198" s="1" t="s">
        <v>38</v>
      </c>
      <c r="M198" s="1" t="s">
        <v>39</v>
      </c>
      <c r="N198" s="1" t="s">
        <v>33</v>
      </c>
      <c r="P198" s="1" t="s">
        <v>33</v>
      </c>
      <c r="Q198" s="1" t="s">
        <v>131</v>
      </c>
      <c r="R198" s="1" t="s">
        <v>132</v>
      </c>
      <c r="S198" s="4">
        <v>84.48</v>
      </c>
      <c r="T198" s="4">
        <v>84.48</v>
      </c>
      <c r="U198" s="4">
        <v>84.48</v>
      </c>
      <c r="Y198" s="1" t="s">
        <v>33</v>
      </c>
      <c r="AC198" s="1" t="s">
        <v>33</v>
      </c>
      <c r="AE198" s="1" t="s">
        <v>33</v>
      </c>
    </row>
    <row r="199" spans="1:31" x14ac:dyDescent="0.25">
      <c r="A199" s="1" t="s">
        <v>97</v>
      </c>
      <c r="B199" s="1" t="s">
        <v>98</v>
      </c>
      <c r="C199" s="1" t="s">
        <v>33</v>
      </c>
      <c r="D199" s="1" t="s">
        <v>273</v>
      </c>
      <c r="E199" s="2">
        <v>46264</v>
      </c>
      <c r="F199" s="1" t="s">
        <v>274</v>
      </c>
      <c r="G199" s="3">
        <v>46264.666666666701</v>
      </c>
      <c r="H199" s="1" t="s">
        <v>171</v>
      </c>
      <c r="I199" s="2">
        <v>46264</v>
      </c>
      <c r="J199" s="3">
        <v>46264.666666666701</v>
      </c>
      <c r="K199" s="1" t="s">
        <v>172</v>
      </c>
      <c r="L199" s="1" t="s">
        <v>38</v>
      </c>
      <c r="M199" s="1" t="s">
        <v>39</v>
      </c>
      <c r="N199" s="1" t="s">
        <v>33</v>
      </c>
      <c r="P199" s="1" t="s">
        <v>33</v>
      </c>
      <c r="Q199" s="1" t="s">
        <v>271</v>
      </c>
      <c r="R199" s="1" t="s">
        <v>272</v>
      </c>
      <c r="S199" s="4">
        <v>211.2</v>
      </c>
      <c r="T199" s="4">
        <v>211.2</v>
      </c>
      <c r="U199" s="4">
        <v>211.2</v>
      </c>
      <c r="Y199" s="1" t="s">
        <v>33</v>
      </c>
      <c r="AC199" s="1" t="s">
        <v>33</v>
      </c>
      <c r="AE199" s="1" t="s">
        <v>33</v>
      </c>
    </row>
    <row r="200" spans="1:31" x14ac:dyDescent="0.25">
      <c r="A200" s="1" t="s">
        <v>97</v>
      </c>
      <c r="B200" s="1" t="s">
        <v>98</v>
      </c>
      <c r="C200" s="1" t="s">
        <v>33</v>
      </c>
      <c r="D200" s="1" t="s">
        <v>273</v>
      </c>
      <c r="E200" s="2">
        <v>46264</v>
      </c>
      <c r="F200" s="1" t="s">
        <v>274</v>
      </c>
      <c r="G200" s="3">
        <v>46264.666666666701</v>
      </c>
      <c r="H200" s="1" t="s">
        <v>171</v>
      </c>
      <c r="I200" s="2">
        <v>46264</v>
      </c>
      <c r="J200" s="3">
        <v>46264.666666666701</v>
      </c>
      <c r="K200" s="1" t="s">
        <v>172</v>
      </c>
      <c r="L200" s="1" t="s">
        <v>38</v>
      </c>
      <c r="M200" s="1" t="s">
        <v>39</v>
      </c>
      <c r="N200" s="1" t="s">
        <v>33</v>
      </c>
      <c r="P200" s="1" t="s">
        <v>33</v>
      </c>
      <c r="Q200" s="1" t="s">
        <v>123</v>
      </c>
      <c r="R200" s="1" t="s">
        <v>124</v>
      </c>
      <c r="S200" s="4">
        <v>42.24</v>
      </c>
      <c r="T200" s="4">
        <v>42.24</v>
      </c>
      <c r="U200" s="4">
        <v>42.24</v>
      </c>
      <c r="Y200" s="1" t="s">
        <v>33</v>
      </c>
      <c r="AC200" s="1" t="s">
        <v>33</v>
      </c>
      <c r="AE200" s="1" t="s">
        <v>33</v>
      </c>
    </row>
    <row r="201" spans="1:31" x14ac:dyDescent="0.25">
      <c r="A201" s="1" t="s">
        <v>97</v>
      </c>
      <c r="B201" s="1" t="s">
        <v>98</v>
      </c>
      <c r="C201" s="1" t="s">
        <v>33</v>
      </c>
      <c r="D201" s="1" t="s">
        <v>273</v>
      </c>
      <c r="E201" s="2">
        <v>46264</v>
      </c>
      <c r="F201" s="1" t="s">
        <v>274</v>
      </c>
      <c r="G201" s="3">
        <v>46264.666666666701</v>
      </c>
      <c r="H201" s="1" t="s">
        <v>171</v>
      </c>
      <c r="I201" s="2">
        <v>46264</v>
      </c>
      <c r="J201" s="3">
        <v>46264.666666666701</v>
      </c>
      <c r="K201" s="1" t="s">
        <v>172</v>
      </c>
      <c r="L201" s="1" t="s">
        <v>38</v>
      </c>
      <c r="M201" s="1" t="s">
        <v>39</v>
      </c>
      <c r="N201" s="1" t="s">
        <v>33</v>
      </c>
      <c r="P201" s="1" t="s">
        <v>33</v>
      </c>
      <c r="Q201" s="1" t="s">
        <v>285</v>
      </c>
      <c r="R201" s="1" t="s">
        <v>286</v>
      </c>
      <c r="S201" s="4">
        <v>42.24</v>
      </c>
      <c r="T201" s="4">
        <v>42.24</v>
      </c>
      <c r="U201" s="4">
        <v>42.24</v>
      </c>
      <c r="Y201" s="1" t="s">
        <v>33</v>
      </c>
      <c r="AC201" s="1" t="s">
        <v>33</v>
      </c>
      <c r="AE201" s="1" t="s">
        <v>33</v>
      </c>
    </row>
    <row r="202" spans="1:31" x14ac:dyDescent="0.25">
      <c r="A202" s="1" t="s">
        <v>97</v>
      </c>
      <c r="B202" s="1" t="s">
        <v>98</v>
      </c>
      <c r="C202" s="1" t="s">
        <v>33</v>
      </c>
      <c r="D202" s="1" t="s">
        <v>273</v>
      </c>
      <c r="E202" s="2">
        <v>46264</v>
      </c>
      <c r="F202" s="1" t="s">
        <v>274</v>
      </c>
      <c r="G202" s="3">
        <v>46264.666666666701</v>
      </c>
      <c r="H202" s="1" t="s">
        <v>171</v>
      </c>
      <c r="I202" s="2">
        <v>46264</v>
      </c>
      <c r="J202" s="3">
        <v>46264.666666666701</v>
      </c>
      <c r="K202" s="1" t="s">
        <v>172</v>
      </c>
      <c r="L202" s="1" t="s">
        <v>38</v>
      </c>
      <c r="M202" s="1" t="s">
        <v>39</v>
      </c>
      <c r="N202" s="1" t="s">
        <v>33</v>
      </c>
      <c r="P202" s="1" t="s">
        <v>33</v>
      </c>
      <c r="Q202" s="1" t="s">
        <v>161</v>
      </c>
      <c r="R202" s="1" t="s">
        <v>162</v>
      </c>
      <c r="S202" s="4">
        <v>84.48</v>
      </c>
      <c r="T202" s="4">
        <v>84.48</v>
      </c>
      <c r="U202" s="4">
        <v>84.48</v>
      </c>
      <c r="Y202" s="1" t="s">
        <v>33</v>
      </c>
      <c r="AC202" s="1" t="s">
        <v>33</v>
      </c>
      <c r="AE202" s="1" t="s">
        <v>33</v>
      </c>
    </row>
    <row r="203" spans="1:31" x14ac:dyDescent="0.25">
      <c r="A203" s="1" t="s">
        <v>97</v>
      </c>
      <c r="B203" s="1" t="s">
        <v>98</v>
      </c>
      <c r="C203" s="1" t="s">
        <v>33</v>
      </c>
      <c r="D203" s="1" t="s">
        <v>273</v>
      </c>
      <c r="E203" s="2">
        <v>46264</v>
      </c>
      <c r="F203" s="1" t="s">
        <v>274</v>
      </c>
      <c r="G203" s="3">
        <v>46264.666666666701</v>
      </c>
      <c r="H203" s="1" t="s">
        <v>171</v>
      </c>
      <c r="I203" s="2">
        <v>46264</v>
      </c>
      <c r="J203" s="3">
        <v>46264.666666666701</v>
      </c>
      <c r="K203" s="1" t="s">
        <v>172</v>
      </c>
      <c r="L203" s="1" t="s">
        <v>38</v>
      </c>
      <c r="M203" s="1" t="s">
        <v>39</v>
      </c>
      <c r="N203" s="1" t="s">
        <v>33</v>
      </c>
      <c r="P203" s="1" t="s">
        <v>33</v>
      </c>
      <c r="Q203" s="1" t="s">
        <v>263</v>
      </c>
      <c r="R203" s="1" t="s">
        <v>264</v>
      </c>
      <c r="S203" s="4">
        <v>84.48</v>
      </c>
      <c r="T203" s="4">
        <v>84.48</v>
      </c>
      <c r="U203" s="4">
        <v>84.48</v>
      </c>
      <c r="Y203" s="1" t="s">
        <v>33</v>
      </c>
      <c r="AC203" s="1" t="s">
        <v>33</v>
      </c>
      <c r="AE203" s="1" t="s">
        <v>33</v>
      </c>
    </row>
    <row r="204" spans="1:31" x14ac:dyDescent="0.25">
      <c r="A204" s="1" t="s">
        <v>97</v>
      </c>
      <c r="B204" s="1" t="s">
        <v>98</v>
      </c>
      <c r="C204" s="1" t="s">
        <v>33</v>
      </c>
      <c r="D204" s="1" t="s">
        <v>273</v>
      </c>
      <c r="E204" s="2">
        <v>46264</v>
      </c>
      <c r="F204" s="1" t="s">
        <v>274</v>
      </c>
      <c r="G204" s="3">
        <v>46264.666666666701</v>
      </c>
      <c r="H204" s="1" t="s">
        <v>171</v>
      </c>
      <c r="I204" s="2">
        <v>46264</v>
      </c>
      <c r="J204" s="3">
        <v>46264.666666666701</v>
      </c>
      <c r="K204" s="1" t="s">
        <v>172</v>
      </c>
      <c r="L204" s="1" t="s">
        <v>38</v>
      </c>
      <c r="M204" s="1" t="s">
        <v>39</v>
      </c>
      <c r="N204" s="1" t="s">
        <v>33</v>
      </c>
      <c r="P204" s="1" t="s">
        <v>33</v>
      </c>
      <c r="Q204" s="1" t="s">
        <v>125</v>
      </c>
      <c r="R204" s="1" t="s">
        <v>126</v>
      </c>
      <c r="S204" s="4">
        <v>518.4</v>
      </c>
      <c r="T204" s="4">
        <v>518.4</v>
      </c>
      <c r="U204" s="4">
        <v>518.4</v>
      </c>
      <c r="Y204" s="1" t="s">
        <v>33</v>
      </c>
      <c r="AC204" s="1" t="s">
        <v>33</v>
      </c>
      <c r="AE204" s="1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2026-08-30T10:00:28Z</dcterms:modified>
</cp:coreProperties>
</file>