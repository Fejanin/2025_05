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G1"/>
  <c r="H93" l="1"/>
  <c r="G93"/>
  <c r="H91"/>
  <c r="G91"/>
  <c r="H92"/>
  <c r="H90"/>
  <c r="G92"/>
  <c r="G90"/>
  <c r="G89"/>
  <c r="H89"/>
  <c r="H88"/>
  <c r="G88"/>
  <c r="H87"/>
  <c r="G87"/>
  <c r="H86"/>
  <c r="G86"/>
  <c r="H85"/>
  <c r="G85"/>
  <c r="H84"/>
  <c r="G84"/>
  <c r="H83"/>
  <c r="G83"/>
  <c r="H82"/>
  <c r="G82"/>
  <c r="G80"/>
  <c r="G78"/>
  <c r="G76"/>
  <c r="G74"/>
  <c r="G72"/>
  <c r="H78"/>
  <c r="H76"/>
  <c r="H72"/>
  <c r="H81"/>
  <c r="H79"/>
  <c r="H77"/>
  <c r="H75"/>
  <c r="H73"/>
  <c r="H71"/>
  <c r="H80"/>
  <c r="H74"/>
  <c r="G81"/>
  <c r="G79"/>
  <c r="G77"/>
  <c r="G75"/>
  <c r="G73"/>
  <c r="G71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<sst xmlns="http://schemas.openxmlformats.org/spreadsheetml/2006/main" count="153" uniqueCount="84">
  <si>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</si>
  <si>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</si>
  <si>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</si>
  <si>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</si>
  <si>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</si>
  <si>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</si>
  <si>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</si>
  <si>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</si>
  <si>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</si>
  <si>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</si>
  <si>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</si>
  <si>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</si>
  <si>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</si>
  <si>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</si>
  <si>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</si>
  <si>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</si>
  <si>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</si>
  <si>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</si>
  <si>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</si>
  <si>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</si>
  <si>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</si>
  <si>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</si>
  <si>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</si>
  <si>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</si>
  <si>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</si>
  <si>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</si>
  <si>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</si>
  <si>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</si>
  <si>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</si>
  <si>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</si>
  <si>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</si>
  <si>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</si>
  <si>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</si>
  <si>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</si>
  <si>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</si>
  <si>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</si>
  <si>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</si>
  <si>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</si>
  <si>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</si>
  <si>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</si>
  <si>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</si>
  <si>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</si>
  <si>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</si>
  <si>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</si>
  <si>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</si>
  <si>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</si>
  <si>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</si>
  <si>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</si>
  <si>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</si>
  <si>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</si>
  <si>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</si>
  <si>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</si>
  <si>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</si>
  <si>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</si>
  <si>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</si>
  <si>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</si>
  <si>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</si>
  <si>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</si>
  <si>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</si>
  <si>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</si>
  <si>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</si>
  <si>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</si>
  <si>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</si>
  <si>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</si>
  <si>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</si>
  <si>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</si>
  <si>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</si>
  <si>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</si>
  <si>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</si>
  <si>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</si>
  <si>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</si>
  <si>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</si>
  <si>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</si>
  <si>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</si>
  <si>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</si>
  <si>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</si>
  <si>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</si>
  <si>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</si>
  <si>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</si>
  <si>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</si>
  <si>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250  Сардельки стародворские с говядиной в обол. NDX, ВЕС. ПОКОМ, SU000227</t>
  </si>
  <si>
    <t>КГ</t>
  </si>
  <si>
    <t xml:space="preserve"> 257  Сосиски Молочные оригинальные ТМ Особый рецепт, ВЕС.   ПОКОМ, SU000246</t>
  </si>
  <si>
    <t xml:space="preserve"> 263  Шпикачки Стародворские, ВЕС.  ПОКОМ, SU001728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</si>
</sst>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0" fontId="8" fillId="0" borderId="2" xfId="2" applyBorder="1" applyAlignment="1">
      <alignment vertical="top" wrapText="1" indent="6"/>
    </xf>
    <xf numFmtId="167" fontId="8" fillId="0" borderId="2" xfId="2" applyNumberFormat="1" applyBorder="1" applyAlignment="1">
      <alignment horizontal="right" vertical="top"/>
    </xf>
    <xf numFmtId="0" fontId="8" fillId="0" borderId="2" xfId="2" applyNumberFormat="1" applyFont="1" applyBorder="1" applyAlignment="1">
      <alignment vertical="top" wrapText="1" indent="6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09"/>
  <sheetViews>
    <sheetView tabSelected="1" zoomScaleNormal="100" workbookViewId="0">
      <selection activeCell="D80" sqref="D80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45972</v>
      </c>
      <c r="H1" s="2">
        <f ca="1">TODAY()</f>
        <v>45972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-1495.5555555555557</v>
      </c>
      <c r="H3" s="10">
        <f t="shared" ref="H3:H37" ca="1" si="1">F3-$H$1</f>
        <v>-673</v>
      </c>
      <c r="L3" s="20"/>
      <c r="M3" s="20"/>
      <c r="N3" s="20"/>
      <c r="O3" s="20"/>
      <c r="P3" s="20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-1495.5555555555557</v>
      </c>
      <c r="H4" s="10">
        <f t="shared" ca="1" si="1"/>
        <v>-673</v>
      </c>
      <c r="L4" s="21" t="s">
        <v>10</v>
      </c>
      <c r="M4" s="21"/>
      <c r="N4" s="21"/>
      <c r="O4" s="21"/>
      <c r="P4" s="21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-1491.1111111111111</v>
      </c>
      <c r="H5" s="10">
        <f t="shared" ca="1" si="1"/>
        <v>-671</v>
      </c>
      <c r="L5" s="21"/>
      <c r="M5" s="21"/>
      <c r="N5" s="21"/>
      <c r="O5" s="21"/>
      <c r="P5" s="21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-1911.4285714285713</v>
      </c>
      <c r="H6" s="10">
        <f t="shared" ca="1" si="1"/>
        <v>-669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-1908.5714285714284</v>
      </c>
      <c r="H7" s="10">
        <f t="shared" ca="1" si="1"/>
        <v>-668</v>
      </c>
      <c r="L7" s="22"/>
      <c r="M7" s="22"/>
      <c r="N7" s="22"/>
      <c r="O7" s="22"/>
      <c r="P7" s="22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-2223.3333333333335</v>
      </c>
      <c r="H8" s="10">
        <f t="shared" ca="1" si="1"/>
        <v>-667</v>
      </c>
      <c r="L8" s="20"/>
      <c r="M8" s="20"/>
      <c r="N8" s="20"/>
      <c r="O8" s="20"/>
      <c r="P8" s="20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-1667.5</v>
      </c>
      <c r="H9" s="10">
        <f t="shared" ca="1" si="1"/>
        <v>-667</v>
      </c>
      <c r="L9" s="21" t="s">
        <v>17</v>
      </c>
      <c r="M9" s="21"/>
      <c r="N9" s="21"/>
      <c r="O9" s="21"/>
      <c r="P9" s="21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-1482.2222222222222</v>
      </c>
      <c r="H10" s="10">
        <f t="shared" ca="1" si="1"/>
        <v>-667</v>
      </c>
      <c r="L10" s="21"/>
      <c r="M10" s="21"/>
      <c r="N10" s="21"/>
      <c r="O10" s="21"/>
      <c r="P10" s="21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-2220</v>
      </c>
      <c r="H11" s="10">
        <f t="shared" ca="1" si="1"/>
        <v>-666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-1332</v>
      </c>
      <c r="H12" s="10">
        <f t="shared" ca="1" si="1"/>
        <v>-666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-2220</v>
      </c>
      <c r="H13" s="10">
        <f t="shared" ca="1" si="1"/>
        <v>-666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-864.93506493506493</v>
      </c>
      <c r="H14" s="10">
        <f t="shared" ca="1" si="1"/>
        <v>-666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-1477.7777777777778</v>
      </c>
      <c r="H15" s="10">
        <f t="shared" ca="1" si="1"/>
        <v>-665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-2216.666666666667</v>
      </c>
      <c r="H16" s="10">
        <f t="shared" ca="1" si="1"/>
        <v>-665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-1662.5</v>
      </c>
      <c r="H17" s="10">
        <f t="shared" ca="1" si="1"/>
        <v>-665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-1660.0000000000002</v>
      </c>
      <c r="H18" s="10">
        <f t="shared" ca="1" si="1"/>
        <v>-664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-1660.0000000000002</v>
      </c>
      <c r="H19" s="10">
        <f t="shared" ca="1" si="1"/>
        <v>-664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-1660.0000000000002</v>
      </c>
      <c r="H20" s="10">
        <f t="shared" ca="1" si="1"/>
        <v>-664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-1655</v>
      </c>
      <c r="H21" s="10">
        <f t="shared" ca="1" si="1"/>
        <v>-662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-1537.2093023255816</v>
      </c>
      <c r="H22" s="10">
        <f t="shared" ca="1" si="1"/>
        <v>-661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-1537.2093023255816</v>
      </c>
      <c r="H23" s="10">
        <f t="shared" ca="1" si="1"/>
        <v>-661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-1888.5714285714287</v>
      </c>
      <c r="H24" s="10">
        <f t="shared" ca="1" si="1"/>
        <v>-661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-1466.6666666666665</v>
      </c>
      <c r="H25" s="10">
        <f t="shared" ca="1" si="1"/>
        <v>-660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-1885.7142857142858</v>
      </c>
      <c r="H26" s="10">
        <f t="shared" ca="1" si="1"/>
        <v>-660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-1885.7142857142858</v>
      </c>
      <c r="H27" s="10">
        <f t="shared" ca="1" si="1"/>
        <v>-660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-1650</v>
      </c>
      <c r="H28" s="10">
        <f t="shared" ca="1" si="1"/>
        <v>-660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-1464.4444444444443</v>
      </c>
      <c r="H29" s="10">
        <f t="shared" ca="1" si="1"/>
        <v>-659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-1464.4444444444443</v>
      </c>
      <c r="H30" s="10">
        <f t="shared" ca="1" si="1"/>
        <v>-659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-1464.4444444444443</v>
      </c>
      <c r="H31" s="10">
        <f t="shared" ca="1" si="1"/>
        <v>-659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-1464.4444444444443</v>
      </c>
      <c r="H32" s="10">
        <f t="shared" ca="1" si="1"/>
        <v>-659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-1645</v>
      </c>
      <c r="H33" s="10">
        <f t="shared" ca="1" si="1"/>
        <v>-658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-1642.5</v>
      </c>
      <c r="H34" s="10">
        <f t="shared" ca="1" si="1"/>
        <v>-657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-1642.5</v>
      </c>
      <c r="H35" s="10">
        <f t="shared" ca="1" si="1"/>
        <v>-657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-45972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-1639.9999999999998</v>
      </c>
      <c r="H37" s="10">
        <f t="shared" ca="1" si="1"/>
        <v>-656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-1086.6666666666667</v>
      </c>
      <c r="H38" s="10">
        <f ca="1">F38-$H$1</f>
        <v>-652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0" ca="1" si="2">IFERROR((F39-$G$1)/(F39-E39)*100,"")</f>
        <v/>
      </c>
      <c r="H39" s="10">
        <f t="shared" ref="H39:H70" ca="1" si="3">F39-$H$1</f>
        <v>-45972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-45972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-45972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-45972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-45972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-45972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-45972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-45972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-45972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-45972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-45972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-45972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-45972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-45972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-45972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-45972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-45972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-45972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-45972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-45972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-45972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-45972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-45972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-45972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-45972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-45972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-45972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-45972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-45972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-45972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-45972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-45972</v>
      </c>
    </row>
    <row r="71" spans="1:9" ht="22.15" hidden="1" customHeight="1">
      <c r="A71"/>
      <c r="B71" s="15"/>
      <c r="C71" s="7"/>
      <c r="D71" s="14"/>
      <c r="E71" s="11"/>
      <c r="F71" s="11"/>
      <c r="G71" s="10" t="str">
        <f t="shared" ref="G71:G81" ca="1" si="4">IFERROR((F71-$G$1)/(F71-E71)*100,"")</f>
        <v/>
      </c>
      <c r="H71" s="10">
        <f t="shared" ref="H71:H81" ca="1" si="5">F71-$H$1</f>
        <v>-45972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ca="1" si="4"/>
        <v/>
      </c>
      <c r="H72" s="10">
        <f t="shared" ca="1" si="5"/>
        <v>-45972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-45972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-45972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-45972</v>
      </c>
    </row>
    <row r="76" spans="1:9" ht="22.15" customHeight="1">
      <c r="A76"/>
      <c r="B76" s="19" t="s">
        <v>80</v>
      </c>
      <c r="C76" s="7" t="s">
        <v>81</v>
      </c>
      <c r="D76" s="14">
        <v>20</v>
      </c>
      <c r="E76" s="11">
        <v>45949</v>
      </c>
      <c r="F76" s="11">
        <v>45979</v>
      </c>
      <c r="G76" s="10">
        <f t="shared" ca="1" si="4"/>
        <v>23.333333333333332</v>
      </c>
      <c r="H76" s="10">
        <f t="shared" ca="1" si="5"/>
        <v>7</v>
      </c>
      <c r="I76"/>
    </row>
    <row r="77" spans="1:9" ht="22.15" customHeight="1">
      <c r="A77"/>
      <c r="B77" s="19"/>
      <c r="C77" s="7" t="s">
        <v>15</v>
      </c>
      <c r="D77" s="14">
        <v>67.8</v>
      </c>
      <c r="E77" s="11">
        <v>45954</v>
      </c>
      <c r="F77" s="11">
        <v>45984</v>
      </c>
      <c r="G77" s="10">
        <f t="shared" ca="1" si="4"/>
        <v>40</v>
      </c>
      <c r="H77" s="10">
        <f t="shared" ca="1" si="5"/>
        <v>12</v>
      </c>
      <c r="I77"/>
    </row>
    <row r="78" spans="1:9" ht="22.15" customHeight="1">
      <c r="A78"/>
      <c r="B78" s="19" t="s">
        <v>82</v>
      </c>
      <c r="C78" s="7" t="s">
        <v>15</v>
      </c>
      <c r="D78" s="14">
        <v>10</v>
      </c>
      <c r="E78" s="11">
        <v>45949</v>
      </c>
      <c r="F78" s="11">
        <v>45989</v>
      </c>
      <c r="G78" s="10">
        <f t="shared" ca="1" si="4"/>
        <v>42.5</v>
      </c>
      <c r="H78" s="10">
        <f t="shared" ca="1" si="5"/>
        <v>17</v>
      </c>
      <c r="I78"/>
    </row>
    <row r="79" spans="1:9" ht="22.15" customHeight="1">
      <c r="A79"/>
      <c r="B79" s="19" t="s">
        <v>83</v>
      </c>
      <c r="C79" s="7" t="s">
        <v>15</v>
      </c>
      <c r="D79" s="18">
        <v>69.257999999999996</v>
      </c>
      <c r="E79" s="11">
        <v>45956</v>
      </c>
      <c r="F79" s="11">
        <v>45986</v>
      </c>
      <c r="G79" s="10">
        <f t="shared" ca="1" si="4"/>
        <v>46.666666666666664</v>
      </c>
      <c r="H79" s="10">
        <f t="shared" ca="1" si="5"/>
        <v>14</v>
      </c>
      <c r="I79"/>
    </row>
    <row r="80" spans="1:9" ht="22.15" customHeight="1">
      <c r="A80"/>
      <c r="B80" s="19"/>
      <c r="C80" s="16"/>
      <c r="D80" s="16"/>
      <c r="E80" s="11"/>
      <c r="F80" s="11"/>
      <c r="G80" s="10" t="str">
        <f t="shared" ca="1" si="4"/>
        <v/>
      </c>
      <c r="H80" s="10">
        <f t="shared" ca="1" si="5"/>
        <v>-45972</v>
      </c>
      <c r="I80"/>
    </row>
    <row r="81" spans="1:9" ht="22.15" customHeight="1">
      <c r="A81"/>
      <c r="B81" s="19"/>
      <c r="C81" s="7"/>
      <c r="D81" s="18"/>
      <c r="E81" s="11"/>
      <c r="F81" s="11"/>
      <c r="G81" s="10" t="str">
        <f t="shared" ca="1" si="4"/>
        <v/>
      </c>
      <c r="H81" s="10">
        <f t="shared" ca="1" si="5"/>
        <v>-45972</v>
      </c>
      <c r="I81"/>
    </row>
    <row r="82" spans="1:9" ht="22.15" customHeight="1">
      <c r="A82"/>
      <c r="B82" s="17"/>
      <c r="C82" s="7"/>
      <c r="D82" s="14"/>
      <c r="E82" s="11"/>
      <c r="F82" s="11"/>
      <c r="G82" s="10" t="str">
        <f t="shared" ref="G82" ca="1" si="6">IFERROR((F82-$G$1)/(F82-E82)*100,"")</f>
        <v/>
      </c>
      <c r="H82" s="10">
        <f t="shared" ref="H82" ca="1" si="7">F82-$H$1</f>
        <v>-45972</v>
      </c>
      <c r="I82"/>
    </row>
    <row r="83" spans="1:9" ht="22.15" customHeight="1">
      <c r="A83"/>
      <c r="B83" s="17"/>
      <c r="C83" s="7"/>
      <c r="D83" s="7"/>
      <c r="E83" s="11"/>
      <c r="F83" s="11"/>
      <c r="G83" s="10" t="str">
        <f t="shared" ref="G83:G85" ca="1" si="8">IFERROR((F83-$G$1)/(F83-E83)*100,"")</f>
        <v/>
      </c>
      <c r="H83" s="10">
        <f t="shared" ref="H83:H85" ca="1" si="9">F83-$H$1</f>
        <v>-45972</v>
      </c>
      <c r="I83"/>
    </row>
    <row r="84" spans="1:9" ht="22.15" customHeight="1">
      <c r="A84"/>
      <c r="B84" s="17"/>
      <c r="C84" s="7"/>
      <c r="D84" s="14"/>
      <c r="E84" s="11"/>
      <c r="F84" s="11"/>
      <c r="G84" s="10" t="str">
        <f t="shared" ca="1" si="8"/>
        <v/>
      </c>
      <c r="H84" s="10">
        <f t="shared" ca="1" si="9"/>
        <v>-45972</v>
      </c>
      <c r="I84"/>
    </row>
    <row r="85" spans="1:9" ht="22.15" customHeight="1">
      <c r="A85"/>
      <c r="B85" s="17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-45972</v>
      </c>
      <c r="I85"/>
    </row>
    <row r="86" spans="1:9" ht="22.15" customHeight="1">
      <c r="A86"/>
      <c r="B86" s="17"/>
      <c r="C86" s="7"/>
      <c r="D86" s="14"/>
      <c r="E86" s="11"/>
      <c r="F86" s="11"/>
      <c r="G86" s="10" t="str">
        <f t="shared" ref="G86" ca="1" si="10">IFERROR((F86-$G$1)/(F86-E86)*100,"")</f>
        <v/>
      </c>
      <c r="H86" s="10">
        <f t="shared" ref="H86" ca="1" si="11">F86-$H$1</f>
        <v>-45972</v>
      </c>
      <c r="I86"/>
    </row>
    <row r="87" spans="1:9" ht="22.15" customHeight="1">
      <c r="A87"/>
      <c r="B87" s="17"/>
      <c r="C87" s="7"/>
      <c r="D87" s="14"/>
      <c r="E87" s="11"/>
      <c r="F87" s="11"/>
      <c r="G87" s="10" t="str">
        <f t="shared" ref="G87:G89" ca="1" si="12">IFERROR((F87-$G$1)/(F87-E87)*100,"")</f>
        <v/>
      </c>
      <c r="H87" s="10">
        <f t="shared" ref="H87:H89" ca="1" si="13">F87-$H$1</f>
        <v>-45972</v>
      </c>
      <c r="I87"/>
    </row>
    <row r="88" spans="1:9" ht="22.15" customHeight="1">
      <c r="A88"/>
      <c r="B88" s="17"/>
      <c r="C88" s="7"/>
      <c r="D88" s="14"/>
      <c r="E88" s="11"/>
      <c r="F88" s="11"/>
      <c r="G88" s="10" t="str">
        <f t="shared" ca="1" si="12"/>
        <v/>
      </c>
      <c r="H88" s="10">
        <f t="shared" ca="1" si="13"/>
        <v>-45972</v>
      </c>
      <c r="I88"/>
    </row>
    <row r="89" spans="1:9" ht="22.15" customHeight="1">
      <c r="A89"/>
      <c r="B89" s="17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-45972</v>
      </c>
      <c r="I89"/>
    </row>
    <row r="90" spans="1:9" ht="22.15" customHeight="1">
      <c r="A90"/>
      <c r="B90" s="17"/>
      <c r="C90" s="7"/>
      <c r="D90" s="14"/>
      <c r="E90" s="11"/>
      <c r="F90" s="11"/>
      <c r="G90" s="10" t="str">
        <f t="shared" ref="G90:G93" ca="1" si="14">IFERROR((F90-$G$1)/(F90-E90)*100,"")</f>
        <v/>
      </c>
      <c r="H90" s="10">
        <f t="shared" ref="H90:H93" ca="1" si="15">F90-$H$1</f>
        <v>-45972</v>
      </c>
      <c r="I90"/>
    </row>
    <row r="91" spans="1:9" ht="22.15" customHeight="1">
      <c r="A91"/>
      <c r="B91" s="17"/>
      <c r="C91" s="7"/>
      <c r="D91" s="14"/>
      <c r="E91" s="11"/>
      <c r="F91" s="11"/>
      <c r="G91" s="10" t="str">
        <f t="shared" ca="1" si="14"/>
        <v/>
      </c>
      <c r="H91" s="10">
        <f t="shared" ca="1" si="15"/>
        <v>-45972</v>
      </c>
      <c r="I91"/>
    </row>
    <row r="92" spans="1:9" ht="22.15" customHeight="1">
      <c r="A92"/>
      <c r="B92" s="17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-45972</v>
      </c>
      <c r="I92"/>
    </row>
    <row r="93" spans="1:9" ht="22.15" customHeight="1">
      <c r="A93"/>
      <c r="B93" s="17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-45972</v>
      </c>
      <c r="I93"/>
    </row>
    <row r="94" spans="1:9" ht="22.15" customHeight="1">
      <c r="A94"/>
      <c r="B94"/>
      <c r="C94"/>
      <c r="D94"/>
      <c r="E94"/>
      <c r="F94"/>
      <c r="G94"/>
      <c r="H94"/>
      <c r="I94"/>
    </row>
    <row r="95" spans="1:9" ht="22.15" customHeight="1">
      <c r="A95"/>
      <c r="B95"/>
      <c r="C95"/>
      <c r="D95"/>
      <c r="E95"/>
      <c r="F95"/>
      <c r="G95"/>
      <c r="H95"/>
      <c r="I95"/>
    </row>
    <row r="96" spans="1:9" ht="22.15" customHeight="1">
      <c r="A96"/>
      <c r="B96"/>
      <c r="C96"/>
      <c r="D96"/>
      <c r="E96"/>
      <c r="F96"/>
      <c r="G96"/>
      <c r="H96"/>
      <c r="I96"/>
    </row>
    <row r="97" spans="1:9" ht="22.15" customHeight="1">
      <c r="A97"/>
      <c r="B97"/>
      <c r="C97"/>
      <c r="D97"/>
      <c r="E97"/>
      <c r="F97"/>
      <c r="G97"/>
      <c r="H97"/>
      <c r="I97"/>
    </row>
    <row r="98" spans="1:9" ht="22.15" customHeight="1">
      <c r="A98"/>
      <c r="B98"/>
      <c r="C98"/>
      <c r="D98"/>
      <c r="E98"/>
      <c r="F98"/>
      <c r="G98"/>
      <c r="H98"/>
      <c r="I98"/>
    </row>
    <row r="99" spans="1:9" ht="22.15" customHeight="1">
      <c r="A99"/>
      <c r="B99"/>
      <c r="C99"/>
      <c r="D99"/>
      <c r="E99"/>
      <c r="F99"/>
      <c r="G99"/>
      <c r="H99"/>
      <c r="I99"/>
    </row>
    <row r="100" spans="1:9" ht="22.15" customHeight="1">
      <c r="A100"/>
      <c r="B100"/>
      <c r="C100"/>
      <c r="D100"/>
      <c r="E100"/>
      <c r="F100"/>
      <c r="G100"/>
      <c r="H100"/>
      <c r="I100"/>
    </row>
    <row r="101" spans="1:9" ht="22.15" customHeight="1">
      <c r="A101"/>
      <c r="B101"/>
      <c r="C101"/>
      <c r="D101"/>
      <c r="E101"/>
      <c r="F101"/>
      <c r="G101"/>
      <c r="H101"/>
      <c r="I101"/>
    </row>
    <row r="102" spans="1:9" ht="22.15" customHeight="1">
      <c r="A102"/>
      <c r="B102"/>
      <c r="C102"/>
      <c r="D102"/>
      <c r="E102"/>
      <c r="F102"/>
      <c r="G102"/>
      <c r="H102"/>
      <c r="I102"/>
    </row>
    <row r="103" spans="1:9" ht="22.15" customHeight="1">
      <c r="A103"/>
      <c r="B103"/>
      <c r="C103"/>
      <c r="D103"/>
      <c r="E103"/>
      <c r="F103"/>
      <c r="G103"/>
      <c r="H103"/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9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9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2025-11-11T04:54:42Z</dcterms:modified>
</cp:coreProperties>
</file>