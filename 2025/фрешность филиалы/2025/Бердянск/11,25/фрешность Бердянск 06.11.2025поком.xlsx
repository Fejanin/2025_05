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H71" s="1"/>
  <c r="G1"/>
  <c r="G71" s="1"/>
  <c r="H94" l="1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<sst xmlns="http://schemas.openxmlformats.org/spreadsheetml/2006/main" count="150" uniqueCount="83">
  <si>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</si>
  <si>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</si>
  <si>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</si>
  <si>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</si>
  <si>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</si>
  <si>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</si>
  <si>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</si>
  <si>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</si>
  <si>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</si>
  <si>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</si>
  <si>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</si>
  <si>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</si>
  <si>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</si>
  <si>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</si>
  <si>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</si>
  <si>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</si>
  <si>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</si>
  <si>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</si>
  <si>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</si>
  <si>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</si>
  <si>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</si>
  <si>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</si>
  <si>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</si>
  <si>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</si>
  <si>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</si>
  <si>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</si>
  <si>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</si>
  <si>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</si>
  <si>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</si>
  <si>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</si>
  <si>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</si>
  <si>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</si>
  <si>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</si>
  <si>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</si>
  <si>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</si>
  <si>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</si>
  <si>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</si>
  <si>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</si>
  <si>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</si>
  <si>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</si>
  <si>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</si>
  <si>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</si>
  <si>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</si>
  <si>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</si>
  <si>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</si>
  <si>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</si>
  <si>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</si>
  <si>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</si>
  <si>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</si>
  <si>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</si>
  <si>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</si>
  <si>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</si>
  <si>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</si>
  <si>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</si>
  <si>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</si>
  <si>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</si>
  <si>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</si>
  <si>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</si>
  <si>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</si>
  <si>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</si>
  <si>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</si>
  <si>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</si>
  <si>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</si>
  <si>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</si>
  <si>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</si>
  <si>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</si>
  <si>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</si>
  <si>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</si>
  <si>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</si>
  <si>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</si>
  <si>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</si>
  <si>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</si>
  <si>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</si>
  <si>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</si>
  <si>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</si>
  <si>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</si>
  <si>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</si>
  <si>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</si>
  <si>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</si>
  <si>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</si>
  <si>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250  Сардельки стародворские с говядиной в обол. NDX, ВЕС. ПОКОМ, SU000227</t>
  </si>
  <si>
    <t>КГ</t>
  </si>
  <si>
    <t>522  Колбаса Гвардейская с/к ТМ Стародворье  ПОКОМ, SU003915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</si>
</sst>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Normal="100" workbookViewId="0">
      <selection activeCell="D78" sqref="D78:F78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45967</v>
      </c>
      <c r="H1" s="2">
        <f ca="1">TODAY()</f>
        <v>45967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-1484.4444444444446</v>
      </c>
      <c r="H3" s="10">
        <f t="shared" ref="H3:H37" ca="1" si="1">F3-$H$1</f>
        <v>-668</v>
      </c>
      <c r="L3" s="21"/>
      <c r="M3" s="21"/>
      <c r="N3" s="21"/>
      <c r="O3" s="21"/>
      <c r="P3" s="21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-1484.4444444444446</v>
      </c>
      <c r="H4" s="10">
        <f t="shared" ca="1" si="1"/>
        <v>-668</v>
      </c>
      <c r="L4" s="22" t="s">
        <v>10</v>
      </c>
      <c r="M4" s="22"/>
      <c r="N4" s="22"/>
      <c r="O4" s="22"/>
      <c r="P4" s="22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-1480</v>
      </c>
      <c r="H5" s="10">
        <f t="shared" ca="1" si="1"/>
        <v>-666</v>
      </c>
      <c r="L5" s="22"/>
      <c r="M5" s="22"/>
      <c r="N5" s="22"/>
      <c r="O5" s="22"/>
      <c r="P5" s="22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-1897.1428571428571</v>
      </c>
      <c r="H6" s="10">
        <f t="shared" ca="1" si="1"/>
        <v>-664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-1894.2857142857142</v>
      </c>
      <c r="H7" s="10">
        <f t="shared" ca="1" si="1"/>
        <v>-663</v>
      </c>
      <c r="L7" s="23"/>
      <c r="M7" s="23"/>
      <c r="N7" s="23"/>
      <c r="O7" s="23"/>
      <c r="P7" s="23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-2206.6666666666665</v>
      </c>
      <c r="H8" s="10">
        <f t="shared" ca="1" si="1"/>
        <v>-662</v>
      </c>
      <c r="L8" s="21"/>
      <c r="M8" s="21"/>
      <c r="N8" s="21"/>
      <c r="O8" s="21"/>
      <c r="P8" s="21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-1655</v>
      </c>
      <c r="H9" s="10">
        <f t="shared" ca="1" si="1"/>
        <v>-662</v>
      </c>
      <c r="L9" s="22" t="s">
        <v>17</v>
      </c>
      <c r="M9" s="22"/>
      <c r="N9" s="22"/>
      <c r="O9" s="22"/>
      <c r="P9" s="22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-1471.1111111111111</v>
      </c>
      <c r="H10" s="10">
        <f t="shared" ca="1" si="1"/>
        <v>-662</v>
      </c>
      <c r="L10" s="22"/>
      <c r="M10" s="22"/>
      <c r="N10" s="22"/>
      <c r="O10" s="22"/>
      <c r="P10" s="22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-2203.3333333333335</v>
      </c>
      <c r="H11" s="10">
        <f t="shared" ca="1" si="1"/>
        <v>-661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-1322</v>
      </c>
      <c r="H12" s="10">
        <f t="shared" ca="1" si="1"/>
        <v>-661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-2203.3333333333335</v>
      </c>
      <c r="H13" s="10">
        <f t="shared" ca="1" si="1"/>
        <v>-661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-858.44155844155841</v>
      </c>
      <c r="H14" s="10">
        <f t="shared" ca="1" si="1"/>
        <v>-661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-1466.6666666666665</v>
      </c>
      <c r="H15" s="10">
        <f t="shared" ca="1" si="1"/>
        <v>-660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-2200</v>
      </c>
      <c r="H16" s="10">
        <f t="shared" ca="1" si="1"/>
        <v>-660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-1650</v>
      </c>
      <c r="H17" s="10">
        <f t="shared" ca="1" si="1"/>
        <v>-660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-1647.5000000000002</v>
      </c>
      <c r="H18" s="10">
        <f t="shared" ca="1" si="1"/>
        <v>-659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-1647.5000000000002</v>
      </c>
      <c r="H19" s="10">
        <f t="shared" ca="1" si="1"/>
        <v>-659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-1647.5000000000002</v>
      </c>
      <c r="H20" s="10">
        <f t="shared" ca="1" si="1"/>
        <v>-659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-1642.5</v>
      </c>
      <c r="H21" s="10">
        <f t="shared" ca="1" si="1"/>
        <v>-657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-1525.5813953488373</v>
      </c>
      <c r="H22" s="10">
        <f t="shared" ca="1" si="1"/>
        <v>-656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-1525.5813953488373</v>
      </c>
      <c r="H23" s="10">
        <f t="shared" ca="1" si="1"/>
        <v>-656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-1874.2857142857144</v>
      </c>
      <c r="H24" s="10">
        <f t="shared" ca="1" si="1"/>
        <v>-656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-1455.5555555555554</v>
      </c>
      <c r="H25" s="10">
        <f t="shared" ca="1" si="1"/>
        <v>-655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-1871.4285714285716</v>
      </c>
      <c r="H26" s="10">
        <f t="shared" ca="1" si="1"/>
        <v>-655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-1871.4285714285716</v>
      </c>
      <c r="H27" s="10">
        <f t="shared" ca="1" si="1"/>
        <v>-655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-1637.5</v>
      </c>
      <c r="H28" s="10">
        <f t="shared" ca="1" si="1"/>
        <v>-655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-1453.3333333333333</v>
      </c>
      <c r="H29" s="10">
        <f t="shared" ca="1" si="1"/>
        <v>-654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-1453.3333333333333</v>
      </c>
      <c r="H30" s="10">
        <f t="shared" ca="1" si="1"/>
        <v>-654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-1453.3333333333333</v>
      </c>
      <c r="H31" s="10">
        <f t="shared" ca="1" si="1"/>
        <v>-654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-1453.3333333333333</v>
      </c>
      <c r="H32" s="10">
        <f t="shared" ca="1" si="1"/>
        <v>-654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-1632.5</v>
      </c>
      <c r="H33" s="10">
        <f t="shared" ca="1" si="1"/>
        <v>-653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-1630</v>
      </c>
      <c r="H34" s="10">
        <f t="shared" ca="1" si="1"/>
        <v>-652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-1630</v>
      </c>
      <c r="H35" s="10">
        <f t="shared" ca="1" si="1"/>
        <v>-652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-45967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-1627.4999999999998</v>
      </c>
      <c r="H37" s="10">
        <f t="shared" ca="1" si="1"/>
        <v>-651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-1078.3333333333333</v>
      </c>
      <c r="H38" s="10">
        <f ca="1">F38-$H$1</f>
        <v>-647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-45967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-45967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-45967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-45967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-45967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-45967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-45967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-45967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-45967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-45967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-45967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-45967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-45967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-45967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-45967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-45967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-45967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-45967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-45967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-45967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-45967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-45967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-45967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-45967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-45967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-45967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-45967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-45967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-45967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-45967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-45967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-45967</v>
      </c>
    </row>
    <row r="71" spans="1:9" ht="22.15" customHeight="1">
      <c r="A71"/>
      <c r="B71" s="20"/>
      <c r="C71" s="7"/>
      <c r="D71" s="14"/>
      <c r="E71" s="19"/>
      <c r="F71" s="11"/>
      <c r="G71" s="10" t="str">
        <f t="shared" ca="1" si="2"/>
        <v/>
      </c>
      <c r="H71" s="10">
        <f t="shared" ca="1" si="3"/>
        <v>-45967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-45967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-45967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-45967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-45967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-45967</v>
      </c>
    </row>
    <row r="77" spans="1:9" ht="22.15" customHeight="1">
      <c r="A77"/>
      <c r="B77" s="20" t="s">
        <v>80</v>
      </c>
      <c r="C77" s="7" t="s">
        <v>81</v>
      </c>
      <c r="D77" s="14">
        <v>90</v>
      </c>
      <c r="E77" s="11">
        <v>45947</v>
      </c>
      <c r="F77" s="11">
        <v>45977</v>
      </c>
      <c r="G77" s="10">
        <f t="shared" ca="1" si="4"/>
        <v>33.333333333333329</v>
      </c>
      <c r="H77" s="10">
        <f t="shared" ca="1" si="5"/>
        <v>10</v>
      </c>
      <c r="I77"/>
    </row>
    <row r="78" spans="1:9" ht="22.15" customHeight="1">
      <c r="A78"/>
      <c r="B78" s="20"/>
      <c r="C78" s="7"/>
      <c r="D78" s="14"/>
      <c r="E78" s="11"/>
      <c r="F78" s="11"/>
      <c r="G78" s="10" t="str">
        <f t="shared" ca="1" si="4"/>
        <v/>
      </c>
      <c r="H78" s="10">
        <f t="shared" ca="1" si="5"/>
        <v>-45967</v>
      </c>
      <c r="I78"/>
    </row>
    <row r="79" spans="1:9" ht="22.15" customHeight="1">
      <c r="A79"/>
      <c r="B79" s="20"/>
      <c r="C79" s="7"/>
      <c r="D79" s="14"/>
      <c r="E79" s="11"/>
      <c r="F79" s="11"/>
      <c r="G79" s="10" t="str">
        <f t="shared" ca="1" si="4"/>
        <v/>
      </c>
      <c r="H79" s="10">
        <f t="shared" ca="1" si="5"/>
        <v>-45967</v>
      </c>
      <c r="I79"/>
    </row>
    <row r="80" spans="1:9" ht="22.15" customHeight="1">
      <c r="A80"/>
      <c r="B80" s="20" t="s">
        <v>82</v>
      </c>
      <c r="C80" s="7" t="s">
        <v>81</v>
      </c>
      <c r="D80" s="18">
        <v>0.36799999999999999</v>
      </c>
      <c r="E80" s="11">
        <v>45794</v>
      </c>
      <c r="F80" s="11">
        <v>45974</v>
      </c>
      <c r="G80" s="10">
        <f t="shared" ca="1" si="4"/>
        <v>3.8888888888888888</v>
      </c>
      <c r="H80" s="10">
        <f t="shared" ca="1" si="5"/>
        <v>7</v>
      </c>
      <c r="I80"/>
    </row>
    <row r="81" spans="1:9" ht="22.15" customHeight="1">
      <c r="A81"/>
      <c r="B81" s="20"/>
      <c r="C81" s="16"/>
      <c r="D81" s="16"/>
      <c r="E81" s="11"/>
      <c r="F81" s="11"/>
      <c r="G81" s="10" t="str">
        <f t="shared" ca="1" si="4"/>
        <v/>
      </c>
      <c r="H81" s="10">
        <f t="shared" ca="1" si="5"/>
        <v>-45967</v>
      </c>
      <c r="I81"/>
    </row>
    <row r="82" spans="1:9" ht="22.15" customHeight="1">
      <c r="A82"/>
      <c r="B82" s="20"/>
      <c r="C82" s="7"/>
      <c r="D82" s="18"/>
      <c r="E82" s="11"/>
      <c r="F82" s="11"/>
      <c r="G82" s="10" t="str">
        <f t="shared" ca="1" si="4"/>
        <v/>
      </c>
      <c r="H82" s="10">
        <f t="shared" ca="1" si="5"/>
        <v>-45967</v>
      </c>
      <c r="I82"/>
    </row>
    <row r="83" spans="1:9" ht="22.15" customHeight="1">
      <c r="A83"/>
      <c r="B83" s="17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-45967</v>
      </c>
      <c r="I83"/>
    </row>
    <row r="84" spans="1:9" ht="22.15" customHeight="1">
      <c r="A84"/>
      <c r="B84" s="17"/>
      <c r="C84" s="7"/>
      <c r="D84" s="7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-45967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-45967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-45967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-45967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-45967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-45967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-45967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ref="G91:G94" ca="1" si="14">IFERROR((F91-$G$1)/(F91-E91)*100,"")</f>
        <v/>
      </c>
      <c r="H91" s="10">
        <f t="shared" ref="H91:H94" ca="1" si="15">F91-$H$1</f>
        <v>-45967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-45967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-45967</v>
      </c>
      <c r="I93"/>
    </row>
    <row r="94" spans="1:9" ht="22.15" customHeight="1">
      <c r="A94"/>
      <c r="B94" s="17"/>
      <c r="C94" s="7"/>
      <c r="D94" s="14"/>
      <c r="E94" s="11"/>
      <c r="F94" s="11"/>
      <c r="G94" s="10" t="str">
        <f t="shared" ca="1" si="14"/>
        <v/>
      </c>
      <c r="H94" s="10">
        <f t="shared" ca="1" si="15"/>
        <v>-45967</v>
      </c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2025-11-06T09:54:11Z</dcterms:modified>
</cp:coreProperties>
</file>