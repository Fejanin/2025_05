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10725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G1"/>
  <c r="H71" l="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<sst xmlns="http://schemas.openxmlformats.org/spreadsheetml/2006/main" count="189" uniqueCount="102">
  <si>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</si>
  <si>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</si>
  <si>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</si>
  <si>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</si>
  <si>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</si>
  <si>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</si>
  <si>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</si>
  <si>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</si>
  <si>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</si>
  <si>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</si>
  <si>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</si>
  <si>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</si>
  <si>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</si>
  <si>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</si>
  <si>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</si>
  <si>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</si>
  <si>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</si>
  <si>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</si>
  <si>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</si>
  <si>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</si>
  <si>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</si>
  <si>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</si>
  <si>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</si>
  <si>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</si>
  <si>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</si>
  <si>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</si>
  <si>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</si>
  <si>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</si>
  <si>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</si>
  <si>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</si>
  <si>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</si>
  <si>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</si>
  <si>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</si>
  <si>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</si>
  <si>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</si>
  <si>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</si>
  <si>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</si>
  <si>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</si>
  <si>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</si>
  <si>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</si>
  <si>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</si>
  <si>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</si>
  <si>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</si>
  <si>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</si>
  <si>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</si>
  <si>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</si>
  <si>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</si>
  <si>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</si>
  <si>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</si>
  <si>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</si>
  <si>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</si>
  <si>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</si>
  <si>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</si>
  <si>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</si>
  <si>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</si>
  <si>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</si>
  <si>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</si>
  <si>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</si>
  <si>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</si>
  <si>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</si>
  <si>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</si>
  <si>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</si>
  <si>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</si>
  <si>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</si>
  <si>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</si>
  <si>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</si>
  <si>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</si>
  <si>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</si>
  <si>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</si>
  <si>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</si>
  <si>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</si>
  <si>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</si>
  <si>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</si>
  <si>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</si>
  <si>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</si>
  <si>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</si>
  <si>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</si>
  <si>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</si>
  <si>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</si>
  <si>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</si>
  <si>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6834 ПОСОЛЬСКАЯ с/к с/н в/у 1/100 10шт  Останкино, 1001203146834</t>
  </si>
  <si>
    <t>6791 СЕРВЕЛАТ ПРЕМИУМ в/к в/у 0,33кг 8шт  Останкино, 1001304096791</t>
  </si>
  <si>
    <t>7333 СЕРВЕЛАТ ОХОТНИЧИЙ ПМ в/к в/у 0,28кг ОСТАНКИНО, 1001303987333</t>
  </si>
  <si>
    <t>6807 СЕРВЕЛАТ ЕВРОПЕЙСКИЙ в/к в/у 0,33кг 8шт  Останкино, 1001300366807</t>
  </si>
  <si>
    <t>7075 МОЛОЧ.ПРЕМИУМ ПМ сос п/о мгс 1,5*4_О_50с  Останкино, 1001022657075</t>
  </si>
  <si>
    <t>6208 ДЫМОВИЦА ИЗ ЛОПАТКИ ПМ к/в с/н в/у 1/150  Останкино, 1001220226208</t>
  </si>
  <si>
    <t>6459 СЕРВЕЛАТ ШВЕЙЦАРСК. в/к с/н в/у 1/100*10  Останкино, 1001214196459</t>
  </si>
  <si>
    <t>6527 ШПИКАЧКИ СОЧНЫЕ ПМ сар б/о мгс 1*3 45с ОСТАНКИНО, 1001031076527</t>
  </si>
  <si>
    <t>16.622</t>
  </si>
  <si>
    <t>6608 С ГОВЯДИНОЙ ОРИГИН. сар б/о мгс 1*3_45с  ОСТАНКИНО, 1001033856608</t>
  </si>
  <si>
    <t>3.107</t>
  </si>
  <si>
    <t>49.760</t>
  </si>
  <si>
    <t>6279 КОРЕЙКА ПО-ОСТ.к/в в/с с/н в/у 1/150_45с  Останкино, 1001220286279</t>
  </si>
  <si>
    <t>Сыр Сливочный со вкусом топленого молока 45% ти Папа Может, брус (2 шт)  Останкино, 5522704</t>
  </si>
  <si>
    <t>Сыр ПАПА МОЖЕТ "Тильзитер" фасованный массовая доля жира в сухом веществе 45%, 180г  Останкино, 5038398</t>
  </si>
  <si>
    <t>Сыр полутвердый "Российский" с массовой долей жира 50%  Останкино, 8785204</t>
  </si>
  <si>
    <t>Набор для пиццы</t>
  </si>
  <si>
    <t>Плавленый Сыр колбасный копченый 40% СТМ"ПапаМожет"400гр  Останкино, 9988452</t>
  </si>
  <si>
    <t>6832 АССОРТИ СЫРОКОПЧЕНЫХ КОЛБАС Коровино в/у  ОСТАНКИНО, 1001065616832</t>
  </si>
  <si>
    <t>29.989</t>
  </si>
  <si>
    <t>Сыр полутвердый "Голландский" с массовой долей жира в пересчете на сухое  Останкино, 8785235</t>
  </si>
  <si>
    <t>62.740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</si>
</sst>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0" fontId="4" fillId="3" borderId="5" xfId="0" applyFont="1" applyFill="1" applyBorder="1" applyAlignment="1">
      <alignment horizontal="left" vertical="top" wrapText="1"/>
    </xf>
    <xf numFmtId="166" fontId="8" fillId="0" borderId="4" xfId="2" applyNumberFormat="1" applyBorder="1" applyAlignment="1">
      <alignment horizontal="right" vertical="top"/>
    </xf>
    <xf numFmtId="14" fontId="0" fillId="0" borderId="5" xfId="0" applyNumberFormat="1" applyBorder="1" applyAlignment="1">
      <alignment wrapText="1"/>
    </xf>
    <xf numFmtId="1" fontId="6" fillId="0" borderId="5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3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16" fontId="4" fillId="3" borderId="1" xfId="0" applyNumberFormat="1" applyFont="1" applyFill="1" applyBorder="1" applyAlignment="1">
      <alignment horizontal="left" vertical="top" wrapText="1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0"/>
  <sheetViews>
    <sheetView tabSelected="1" zoomScale="85" zoomScaleNormal="85" workbookViewId="0">
      <selection activeCell="B88" sqref="B88:F91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45985</v>
      </c>
      <c r="H1" s="2">
        <f ca="1">TODAY()</f>
        <v>45985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-1524.4444444444443</v>
      </c>
      <c r="H3" s="10">
        <f t="shared" ref="H3:H37" ca="1" si="1">F3-$H$1</f>
        <v>-686</v>
      </c>
      <c r="L3" s="34"/>
      <c r="M3" s="34"/>
      <c r="N3" s="34"/>
      <c r="O3" s="34"/>
      <c r="P3" s="34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-1524.4444444444443</v>
      </c>
      <c r="H4" s="10">
        <f t="shared" ca="1" si="1"/>
        <v>-686</v>
      </c>
      <c r="L4" s="35" t="s">
        <v>10</v>
      </c>
      <c r="M4" s="35"/>
      <c r="N4" s="35"/>
      <c r="O4" s="35"/>
      <c r="P4" s="35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-1520</v>
      </c>
      <c r="H5" s="10">
        <f t="shared" ca="1" si="1"/>
        <v>-684</v>
      </c>
      <c r="L5" s="35"/>
      <c r="M5" s="35"/>
      <c r="N5" s="35"/>
      <c r="O5" s="35"/>
      <c r="P5" s="35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-1948.5714285714284</v>
      </c>
      <c r="H6" s="10">
        <f t="shared" ca="1" si="1"/>
        <v>-682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-1945.7142857142856</v>
      </c>
      <c r="H7" s="10">
        <f t="shared" ca="1" si="1"/>
        <v>-681</v>
      </c>
      <c r="L7" s="36"/>
      <c r="M7" s="36"/>
      <c r="N7" s="36"/>
      <c r="O7" s="36"/>
      <c r="P7" s="36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-2266.666666666667</v>
      </c>
      <c r="H8" s="10">
        <f t="shared" ca="1" si="1"/>
        <v>-680</v>
      </c>
      <c r="L8" s="34"/>
      <c r="M8" s="34"/>
      <c r="N8" s="34"/>
      <c r="O8" s="34"/>
      <c r="P8" s="34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-1700</v>
      </c>
      <c r="H9" s="10">
        <f t="shared" ca="1" si="1"/>
        <v>-680</v>
      </c>
      <c r="L9" s="35" t="s">
        <v>17</v>
      </c>
      <c r="M9" s="35"/>
      <c r="N9" s="35"/>
      <c r="O9" s="35"/>
      <c r="P9" s="35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-1511.1111111111111</v>
      </c>
      <c r="H10" s="10">
        <f t="shared" ca="1" si="1"/>
        <v>-680</v>
      </c>
      <c r="L10" s="35"/>
      <c r="M10" s="35"/>
      <c r="N10" s="35"/>
      <c r="O10" s="35"/>
      <c r="P10" s="35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-2263.3333333333335</v>
      </c>
      <c r="H11" s="10">
        <f t="shared" ca="1" si="1"/>
        <v>-679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-1358</v>
      </c>
      <c r="H12" s="10">
        <f t="shared" ca="1" si="1"/>
        <v>-679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-2263.3333333333335</v>
      </c>
      <c r="H13" s="10">
        <f t="shared" ca="1" si="1"/>
        <v>-679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-881.81818181818187</v>
      </c>
      <c r="H14" s="10">
        <f t="shared" ca="1" si="1"/>
        <v>-679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-1506.6666666666667</v>
      </c>
      <c r="H15" s="10">
        <f t="shared" ca="1" si="1"/>
        <v>-678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-2260</v>
      </c>
      <c r="H16" s="10">
        <f t="shared" ca="1" si="1"/>
        <v>-678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-1695</v>
      </c>
      <c r="H17" s="10">
        <f t="shared" ca="1" si="1"/>
        <v>-678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-1692.5</v>
      </c>
      <c r="H18" s="10">
        <f t="shared" ca="1" si="1"/>
        <v>-677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-1692.5</v>
      </c>
      <c r="H19" s="10">
        <f t="shared" ca="1" si="1"/>
        <v>-677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-1692.5</v>
      </c>
      <c r="H20" s="10">
        <f t="shared" ca="1" si="1"/>
        <v>-677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-1687.5</v>
      </c>
      <c r="H21" s="10">
        <f t="shared" ca="1" si="1"/>
        <v>-675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-1567.4418604651162</v>
      </c>
      <c r="H22" s="10">
        <f t="shared" ca="1" si="1"/>
        <v>-674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-1567.4418604651162</v>
      </c>
      <c r="H23" s="10">
        <f t="shared" ca="1" si="1"/>
        <v>-674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-1925.7142857142856</v>
      </c>
      <c r="H24" s="10">
        <f t="shared" ca="1" si="1"/>
        <v>-674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-1495.5555555555557</v>
      </c>
      <c r="H25" s="10">
        <f t="shared" ca="1" si="1"/>
        <v>-673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-1922.8571428571427</v>
      </c>
      <c r="H26" s="10">
        <f t="shared" ca="1" si="1"/>
        <v>-673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-1922.8571428571427</v>
      </c>
      <c r="H27" s="10">
        <f t="shared" ca="1" si="1"/>
        <v>-673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-1682.5</v>
      </c>
      <c r="H28" s="10">
        <f t="shared" ca="1" si="1"/>
        <v>-673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-1493.3333333333333</v>
      </c>
      <c r="H29" s="10">
        <f t="shared" ca="1" si="1"/>
        <v>-672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-1493.3333333333333</v>
      </c>
      <c r="H30" s="10">
        <f t="shared" ca="1" si="1"/>
        <v>-672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-1493.3333333333333</v>
      </c>
      <c r="H31" s="10">
        <f t="shared" ca="1" si="1"/>
        <v>-672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-1493.3333333333333</v>
      </c>
      <c r="H32" s="10">
        <f t="shared" ca="1" si="1"/>
        <v>-672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-1677.4999999999998</v>
      </c>
      <c r="H33" s="10">
        <f t="shared" ca="1" si="1"/>
        <v>-671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-1675</v>
      </c>
      <c r="H34" s="10">
        <f t="shared" ca="1" si="1"/>
        <v>-670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-1675</v>
      </c>
      <c r="H35" s="10">
        <f t="shared" ca="1" si="1"/>
        <v>-670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-45985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-1672.5000000000002</v>
      </c>
      <c r="H37" s="10">
        <f t="shared" ca="1" si="1"/>
        <v>-669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-1108.3333333333335</v>
      </c>
      <c r="H38" s="10">
        <f ca="1">F38-$H$1</f>
        <v>-665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-45985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-45985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-45985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-45985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-45985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-45985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-45985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-45985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-45985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-45985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-45985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-45985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-45985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-45985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-45985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-45985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-45985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-45985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-45985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-45985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-45985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-45985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-45985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-45985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-45985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-45985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-45985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-45985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-45985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-45985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-45985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-45985</v>
      </c>
    </row>
    <row r="71" spans="1:9" ht="22.15" customHeight="1">
      <c r="A71"/>
      <c r="B71" s="19" t="s">
        <v>81</v>
      </c>
      <c r="C71" s="7" t="s">
        <v>8</v>
      </c>
      <c r="D71" s="14">
        <v>9</v>
      </c>
      <c r="E71" s="18">
        <v>45948</v>
      </c>
      <c r="F71" s="11">
        <v>45993</v>
      </c>
      <c r="G71" s="10">
        <f t="shared" ca="1" si="2"/>
        <v>17.777777777777779</v>
      </c>
      <c r="H71" s="10">
        <f t="shared" ca="1" si="3"/>
        <v>8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-45985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-45985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-45985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-45985</v>
      </c>
    </row>
    <row r="76" spans="1:9" ht="22.15" hidden="1" customHeight="1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-45985</v>
      </c>
    </row>
    <row r="77" spans="1:9" ht="22.15" customHeight="1">
      <c r="A77"/>
      <c r="B77" s="19" t="s">
        <v>82</v>
      </c>
      <c r="C77" s="7" t="s">
        <v>8</v>
      </c>
      <c r="D77" s="14">
        <v>6</v>
      </c>
      <c r="E77" s="11">
        <v>45955</v>
      </c>
      <c r="F77" s="11">
        <v>46005</v>
      </c>
      <c r="G77" s="10">
        <f t="shared" ca="1" si="4"/>
        <v>40</v>
      </c>
      <c r="H77" s="10">
        <f t="shared" ca="1" si="5"/>
        <v>20</v>
      </c>
      <c r="I77"/>
    </row>
    <row r="78" spans="1:9" ht="22.15" customHeight="1">
      <c r="A78"/>
      <c r="B78" s="19" t="s">
        <v>83</v>
      </c>
      <c r="C78" s="7" t="s">
        <v>8</v>
      </c>
      <c r="D78" s="14">
        <v>16</v>
      </c>
      <c r="E78" s="11">
        <v>45956</v>
      </c>
      <c r="F78" s="11">
        <v>46001</v>
      </c>
      <c r="G78" s="10">
        <f t="shared" ca="1" si="4"/>
        <v>35.555555555555557</v>
      </c>
      <c r="H78" s="10">
        <f t="shared" ca="1" si="5"/>
        <v>16</v>
      </c>
      <c r="I78"/>
    </row>
    <row r="79" spans="1:9" ht="22.15" customHeight="1">
      <c r="A79"/>
      <c r="B79" s="19" t="s">
        <v>84</v>
      </c>
      <c r="C79" s="7" t="s">
        <v>15</v>
      </c>
      <c r="D79" s="14">
        <v>13.941000000000001</v>
      </c>
      <c r="E79" s="11">
        <v>45943</v>
      </c>
      <c r="F79" s="11">
        <v>45993</v>
      </c>
      <c r="G79" s="10">
        <f t="shared" ca="1" si="4"/>
        <v>16</v>
      </c>
      <c r="H79" s="10">
        <f t="shared" ca="1" si="5"/>
        <v>8</v>
      </c>
      <c r="I79"/>
    </row>
    <row r="80" spans="1:9" ht="22.15" customHeight="1">
      <c r="A80"/>
      <c r="B80" s="19" t="s">
        <v>80</v>
      </c>
      <c r="C80" s="7" t="s">
        <v>8</v>
      </c>
      <c r="D80" s="17">
        <v>31</v>
      </c>
      <c r="E80" s="11">
        <v>45949</v>
      </c>
      <c r="F80" s="11">
        <v>46009</v>
      </c>
      <c r="G80" s="10">
        <f t="shared" ca="1" si="4"/>
        <v>40</v>
      </c>
      <c r="H80" s="10">
        <f t="shared" ca="1" si="5"/>
        <v>24</v>
      </c>
      <c r="I80"/>
    </row>
    <row r="81" spans="1:9" ht="22.15" customHeight="1">
      <c r="A81"/>
      <c r="B81" s="19" t="s">
        <v>85</v>
      </c>
      <c r="C81" s="16" t="s">
        <v>8</v>
      </c>
      <c r="D81" s="17">
        <v>30</v>
      </c>
      <c r="E81" s="11">
        <v>45954</v>
      </c>
      <c r="F81" s="11">
        <v>45999</v>
      </c>
      <c r="G81" s="10">
        <f t="shared" ca="1" si="4"/>
        <v>31.111111111111111</v>
      </c>
      <c r="H81" s="10">
        <f t="shared" ca="1" si="5"/>
        <v>14</v>
      </c>
      <c r="I81"/>
    </row>
    <row r="82" spans="1:9" ht="22.15" customHeight="1">
      <c r="A82"/>
      <c r="B82" s="19" t="s">
        <v>85</v>
      </c>
      <c r="C82" s="7" t="s">
        <v>8</v>
      </c>
      <c r="D82" s="17">
        <v>20</v>
      </c>
      <c r="E82" s="11">
        <v>45952</v>
      </c>
      <c r="F82" s="11">
        <v>45997</v>
      </c>
      <c r="G82" s="10">
        <f t="shared" ca="1" si="4"/>
        <v>26.666666666666668</v>
      </c>
      <c r="H82" s="10">
        <f t="shared" ca="1" si="5"/>
        <v>12</v>
      </c>
      <c r="I82"/>
    </row>
    <row r="83" spans="1:9" ht="22.15" customHeight="1">
      <c r="A83"/>
      <c r="B83" s="19" t="s">
        <v>86</v>
      </c>
      <c r="C83" s="7" t="s">
        <v>8</v>
      </c>
      <c r="D83" s="14">
        <v>88</v>
      </c>
      <c r="E83" s="11">
        <v>45960</v>
      </c>
      <c r="F83" s="11">
        <v>46005</v>
      </c>
      <c r="G83" s="10">
        <f t="shared" ref="G83" ca="1" si="6">IFERROR((F83-$G$1)/(F83-E83)*100,"")</f>
        <v>44.444444444444443</v>
      </c>
      <c r="H83" s="10">
        <f t="shared" ref="H83" ca="1" si="7">F83-$H$1</f>
        <v>20</v>
      </c>
      <c r="I83"/>
    </row>
    <row r="84" spans="1:9" ht="22.15" customHeight="1">
      <c r="A84"/>
      <c r="B84" s="19" t="s">
        <v>87</v>
      </c>
      <c r="C84" s="7" t="s">
        <v>15</v>
      </c>
      <c r="D84" s="33" t="s">
        <v>88</v>
      </c>
      <c r="E84" s="11">
        <v>45961</v>
      </c>
      <c r="F84" s="11">
        <v>46006</v>
      </c>
      <c r="G84" s="10">
        <f t="shared" ref="G84:G86" ca="1" si="8">IFERROR((F84-$G$1)/(F84-E84)*100,"")</f>
        <v>46.666666666666664</v>
      </c>
      <c r="H84" s="10">
        <f t="shared" ref="H84:H86" ca="1" si="9">F84-$H$1</f>
        <v>21</v>
      </c>
      <c r="I84"/>
    </row>
    <row r="85" spans="1:9" ht="22.15" customHeight="1">
      <c r="A85"/>
      <c r="B85" s="19" t="s">
        <v>89</v>
      </c>
      <c r="C85" s="7" t="s">
        <v>15</v>
      </c>
      <c r="D85" s="14" t="s">
        <v>90</v>
      </c>
      <c r="E85" s="11">
        <v>45960</v>
      </c>
      <c r="F85" s="11">
        <v>46005</v>
      </c>
      <c r="G85" s="10">
        <f t="shared" ca="1" si="8"/>
        <v>44.444444444444443</v>
      </c>
      <c r="H85" s="10">
        <f t="shared" ca="1" si="9"/>
        <v>20</v>
      </c>
      <c r="I85"/>
    </row>
    <row r="86" spans="1:9" ht="22.15" customHeight="1">
      <c r="A86"/>
      <c r="B86" s="19" t="s">
        <v>89</v>
      </c>
      <c r="C86" s="7" t="s">
        <v>15</v>
      </c>
      <c r="D86" s="14" t="s">
        <v>91</v>
      </c>
      <c r="E86" s="11">
        <v>45961</v>
      </c>
      <c r="F86" s="11">
        <v>46006</v>
      </c>
      <c r="G86" s="10">
        <f t="shared" ca="1" si="8"/>
        <v>46.666666666666664</v>
      </c>
      <c r="H86" s="10">
        <f t="shared" ca="1" si="9"/>
        <v>21</v>
      </c>
      <c r="I86"/>
    </row>
    <row r="87" spans="1:9" ht="22.15" customHeight="1">
      <c r="A87"/>
      <c r="B87" s="19" t="s">
        <v>92</v>
      </c>
      <c r="C87" s="7" t="s">
        <v>8</v>
      </c>
      <c r="D87" s="14">
        <v>54</v>
      </c>
      <c r="E87" s="11">
        <v>45961</v>
      </c>
      <c r="F87" s="11">
        <v>46006</v>
      </c>
      <c r="G87" s="10">
        <f t="shared" ref="G87" ca="1" si="10">IFERROR((F87-$G$1)/(F87-E87)*100,"")</f>
        <v>46.666666666666664</v>
      </c>
      <c r="H87" s="10">
        <f t="shared" ref="H87" ca="1" si="11">F87-$H$1</f>
        <v>21</v>
      </c>
      <c r="I87"/>
    </row>
    <row r="88" spans="1:9" ht="22.15" customHeight="1">
      <c r="A88"/>
      <c r="B88" s="19" t="s">
        <v>93</v>
      </c>
      <c r="C88" s="7" t="s">
        <v>15</v>
      </c>
      <c r="D88" s="14">
        <v>237.86099999999999</v>
      </c>
      <c r="E88" s="11">
        <v>45880</v>
      </c>
      <c r="F88" s="11">
        <v>46000</v>
      </c>
      <c r="G88" s="10">
        <f t="shared" ref="G88:G90" ca="1" si="12">IFERROR((F88-$G$1)/(F88-E88)*100,"")</f>
        <v>12.5</v>
      </c>
      <c r="H88" s="10">
        <f t="shared" ref="H88:H90" ca="1" si="13">F88-$H$1</f>
        <v>15</v>
      </c>
      <c r="I88"/>
    </row>
    <row r="89" spans="1:9" ht="22.15" customHeight="1">
      <c r="A89"/>
      <c r="B89" s="19" t="s">
        <v>94</v>
      </c>
      <c r="C89" s="7" t="s">
        <v>8</v>
      </c>
      <c r="D89" s="14">
        <v>323</v>
      </c>
      <c r="E89" s="11">
        <v>45881</v>
      </c>
      <c r="F89" s="11">
        <v>46031</v>
      </c>
      <c r="G89" s="10">
        <f t="shared" ca="1" si="12"/>
        <v>30.666666666666664</v>
      </c>
      <c r="H89" s="10">
        <f t="shared" ca="1" si="13"/>
        <v>46</v>
      </c>
      <c r="I89"/>
    </row>
    <row r="90" spans="1:9" ht="22.15" customHeight="1">
      <c r="A90"/>
      <c r="B90" s="19" t="s">
        <v>95</v>
      </c>
      <c r="C90" s="7" t="s">
        <v>15</v>
      </c>
      <c r="D90" s="14">
        <v>53.53</v>
      </c>
      <c r="E90" s="11">
        <v>45923</v>
      </c>
      <c r="F90" s="11">
        <v>46045</v>
      </c>
      <c r="G90" s="10">
        <f t="shared" ca="1" si="12"/>
        <v>49.180327868852459</v>
      </c>
      <c r="H90" s="10">
        <f t="shared" ca="1" si="13"/>
        <v>60</v>
      </c>
      <c r="I90"/>
    </row>
    <row r="91" spans="1:9" ht="22.15" customHeight="1">
      <c r="A91"/>
      <c r="B91" s="19" t="s">
        <v>96</v>
      </c>
      <c r="C91" s="7" t="s">
        <v>15</v>
      </c>
      <c r="D91" s="14">
        <v>17.122</v>
      </c>
      <c r="E91" s="11">
        <v>45962</v>
      </c>
      <c r="F91" s="11">
        <v>45992</v>
      </c>
      <c r="G91" s="10">
        <f t="shared" ref="G91:G103" ca="1" si="14">IFERROR((F91-$G$1)/(F91-E91)*100,"")</f>
        <v>23.333333333333332</v>
      </c>
      <c r="H91" s="10">
        <f t="shared" ref="H91:H103" ca="1" si="15">F91-$H$1</f>
        <v>7</v>
      </c>
      <c r="I91"/>
    </row>
    <row r="92" spans="1:9" ht="22.15" customHeight="1">
      <c r="A92"/>
      <c r="B92" s="19" t="s">
        <v>97</v>
      </c>
      <c r="C92" s="7" t="s">
        <v>8</v>
      </c>
      <c r="D92" s="14">
        <v>19</v>
      </c>
      <c r="E92" s="11">
        <v>45821</v>
      </c>
      <c r="F92" s="11">
        <v>46091</v>
      </c>
      <c r="G92" s="10">
        <f t="shared" ca="1" si="14"/>
        <v>39.25925925925926</v>
      </c>
      <c r="H92" s="10">
        <f t="shared" ca="1" si="15"/>
        <v>106</v>
      </c>
      <c r="I92"/>
    </row>
    <row r="93" spans="1:9" ht="22.15" customHeight="1">
      <c r="A93"/>
      <c r="B93" s="19" t="s">
        <v>98</v>
      </c>
      <c r="C93" s="7" t="s">
        <v>15</v>
      </c>
      <c r="D93" s="14" t="s">
        <v>99</v>
      </c>
      <c r="E93" s="11">
        <v>45960</v>
      </c>
      <c r="F93" s="11">
        <v>45990</v>
      </c>
      <c r="G93" s="10">
        <f t="shared" ca="1" si="14"/>
        <v>16.666666666666664</v>
      </c>
      <c r="H93" s="10">
        <f t="shared" ca="1" si="15"/>
        <v>5</v>
      </c>
      <c r="I93"/>
    </row>
    <row r="94" spans="1:9" ht="22.15" customHeight="1">
      <c r="A94"/>
      <c r="B94" s="19" t="s">
        <v>100</v>
      </c>
      <c r="C94" s="20" t="s">
        <v>15</v>
      </c>
      <c r="D94" s="21" t="s">
        <v>101</v>
      </c>
      <c r="E94" s="22">
        <v>45916</v>
      </c>
      <c r="F94" s="22">
        <v>46036</v>
      </c>
      <c r="G94" s="23">
        <f t="shared" ca="1" si="14"/>
        <v>42.5</v>
      </c>
      <c r="H94" s="23">
        <f t="shared" ca="1" si="15"/>
        <v>51</v>
      </c>
      <c r="I94"/>
    </row>
    <row r="95" spans="1:9" ht="22.15" customHeight="1">
      <c r="A95"/>
      <c r="B95" s="19"/>
      <c r="C95" s="27"/>
      <c r="D95" s="24"/>
      <c r="E95" s="22"/>
      <c r="F95" s="22"/>
      <c r="G95" s="23" t="str">
        <f t="shared" ca="1" si="14"/>
        <v/>
      </c>
      <c r="H95" s="23">
        <f t="shared" ca="1" si="15"/>
        <v>-45985</v>
      </c>
      <c r="I95"/>
    </row>
    <row r="96" spans="1:9" ht="22.15" customHeight="1">
      <c r="A96"/>
      <c r="B96" s="31"/>
      <c r="C96" s="30"/>
      <c r="D96" s="31"/>
      <c r="E96" s="22"/>
      <c r="F96" s="22"/>
      <c r="G96" s="23" t="str">
        <f t="shared" ca="1" si="14"/>
        <v/>
      </c>
      <c r="H96" s="23">
        <f t="shared" ca="1" si="15"/>
        <v>-45985</v>
      </c>
      <c r="I96"/>
    </row>
    <row r="97" spans="1:9" ht="22.15" customHeight="1">
      <c r="A97"/>
      <c r="B97" s="19"/>
      <c r="C97" s="29"/>
      <c r="D97" s="26"/>
      <c r="E97" s="22"/>
      <c r="F97" s="22"/>
      <c r="G97" s="23" t="str">
        <f t="shared" ca="1" si="14"/>
        <v/>
      </c>
      <c r="H97" s="23">
        <f t="shared" ca="1" si="15"/>
        <v>-45985</v>
      </c>
      <c r="I97"/>
    </row>
    <row r="98" spans="1:9" ht="22.15" customHeight="1">
      <c r="A98"/>
      <c r="B98" s="31"/>
      <c r="C98" s="30"/>
      <c r="D98" s="31"/>
      <c r="E98" s="22"/>
      <c r="F98" s="22"/>
      <c r="G98" s="23" t="str">
        <f t="shared" ca="1" si="14"/>
        <v/>
      </c>
      <c r="H98" s="23">
        <f t="shared" ca="1" si="15"/>
        <v>-45985</v>
      </c>
      <c r="I98"/>
    </row>
    <row r="99" spans="1:9" ht="22.15" customHeight="1">
      <c r="A99"/>
      <c r="B99" s="26"/>
      <c r="C99" s="29"/>
      <c r="D99" s="26"/>
      <c r="E99" s="22"/>
      <c r="F99" s="22"/>
      <c r="G99" s="23" t="str">
        <f t="shared" ca="1" si="14"/>
        <v/>
      </c>
      <c r="H99" s="23">
        <f t="shared" ca="1" si="15"/>
        <v>-45985</v>
      </c>
      <c r="I99"/>
    </row>
    <row r="100" spans="1:9" ht="22.15" customHeight="1">
      <c r="A100"/>
      <c r="B100" s="31"/>
      <c r="C100" s="30"/>
      <c r="D100" s="31"/>
      <c r="E100" s="22"/>
      <c r="F100" s="22"/>
      <c r="G100" s="23" t="str">
        <f t="shared" ca="1" si="14"/>
        <v/>
      </c>
      <c r="H100" s="23">
        <f t="shared" ca="1" si="15"/>
        <v>-45985</v>
      </c>
      <c r="I100"/>
    </row>
    <row r="101" spans="1:9" ht="22.15" customHeight="1">
      <c r="A101"/>
      <c r="B101" s="26"/>
      <c r="C101" s="29"/>
      <c r="D101" s="26"/>
      <c r="E101" s="22"/>
      <c r="F101" s="22"/>
      <c r="G101" s="23" t="str">
        <f t="shared" ca="1" si="14"/>
        <v/>
      </c>
      <c r="H101" s="23">
        <f t="shared" ca="1" si="15"/>
        <v>-45985</v>
      </c>
      <c r="I101"/>
    </row>
    <row r="102" spans="1:9" ht="22.15" customHeight="1">
      <c r="A102"/>
      <c r="B102" s="25"/>
      <c r="C102" s="28"/>
      <c r="D102" s="25"/>
      <c r="E102" s="22"/>
      <c r="F102" s="22"/>
      <c r="G102" s="23" t="str">
        <f t="shared" ca="1" si="14"/>
        <v/>
      </c>
      <c r="H102" s="23">
        <f t="shared" ca="1" si="15"/>
        <v>-45985</v>
      </c>
      <c r="I102"/>
    </row>
    <row r="103" spans="1:9" ht="22.15" customHeight="1">
      <c r="A103"/>
      <c r="B103" s="30"/>
      <c r="C103" s="30"/>
      <c r="D103" s="32"/>
      <c r="E103" s="30"/>
      <c r="F103" s="22"/>
      <c r="G103" s="23" t="str">
        <f t="shared" ca="1" si="14"/>
        <v/>
      </c>
      <c r="H103" s="23">
        <f t="shared" ca="1" si="15"/>
        <v>-45985</v>
      </c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  <c r="G109"/>
      <c r="H109"/>
      <c r="I109"/>
    </row>
    <row r="110" spans="1:9" ht="22.15" customHeight="1">
      <c r="A110"/>
      <c r="B110"/>
      <c r="C110"/>
      <c r="D110"/>
      <c r="E110"/>
      <c r="F110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103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103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2025-11-24T08:55:56Z</dcterms:modified>
</cp:coreProperties>
</file>