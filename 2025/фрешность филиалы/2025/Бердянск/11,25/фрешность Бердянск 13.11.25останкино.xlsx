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<sst xmlns="http://schemas.openxmlformats.org/spreadsheetml/2006/main" count="163" uniqueCount="88">
  <si>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</si>
  <si>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</si>
  <si>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</si>
  <si>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</si>
  <si>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</si>
  <si>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</si>
  <si>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</si>
  <si>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</si>
  <si>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</si>
  <si>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</si>
  <si>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</si>
  <si>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</si>
  <si>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</si>
  <si>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</si>
  <si>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</si>
  <si>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</si>
  <si>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</si>
  <si>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</si>
  <si>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</si>
  <si>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</si>
  <si>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</si>
  <si>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</si>
  <si>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</si>
  <si>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</si>
  <si>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</si>
  <si>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</si>
  <si>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</si>
  <si>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</si>
  <si>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</si>
  <si>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</si>
  <si>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</si>
  <si>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</si>
  <si>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</si>
  <si>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</si>
  <si>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</si>
  <si>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</si>
  <si>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</si>
  <si>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</si>
  <si>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</si>
  <si>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</si>
  <si>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</si>
  <si>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</si>
  <si>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</si>
  <si>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</si>
  <si>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</si>
  <si>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</si>
  <si>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</si>
  <si>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</si>
  <si>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</si>
  <si>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</si>
  <si>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</si>
  <si>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</si>
  <si>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</si>
  <si>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</si>
  <si>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</si>
  <si>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</si>
  <si>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</si>
  <si>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</si>
  <si>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</si>
  <si>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</si>
  <si>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</si>
  <si>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</si>
  <si>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</si>
  <si>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</si>
  <si>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</si>
  <si>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</si>
  <si>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</si>
  <si>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</si>
  <si>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</si>
  <si>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</si>
  <si>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</si>
  <si>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</si>
  <si>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</si>
  <si>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</si>
  <si>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</si>
  <si>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</si>
  <si>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</si>
  <si>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</si>
  <si>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</si>
  <si>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</si>
  <si>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5992 ВРЕМЯ ОКРОШКИ Папа может вар п/о 0.4кг   ОСТАНКИНО, 1001014765992</t>
  </si>
  <si>
    <t>6303 Мясные Папа может сос п/о мгс 1,5*3  Останкино, 1001022726303</t>
  </si>
  <si>
    <t>7276 СЛИВОЧНЫЕ ПМ сос п/о мгс 0,3кг 7шт  Останкино, 1001022467276</t>
  </si>
  <si>
    <t>7284 ДЛЯ ДЕТЕЙ сос п/о мгс 0,33кг 6шт  Останкино, 1001025767284</t>
  </si>
  <si>
    <t>6791 СЕРВЕЛАТ ПРЕМИУМ в/к в/у 0,33кг 8шт  Останкино, 1001304096791</t>
  </si>
  <si>
    <t>6324 ДОКТОРСКАЯ ГОСТ вар п/о 0,4кг 8шт  Останкино, 1001010016324</t>
  </si>
  <si>
    <t>6832 АССОРТИ СЫРОКОПЧЕНЫХ КОЛБАС Коровино в/у  ОСТАНКИНО, 1001065616832</t>
  </si>
  <si>
    <t>15.626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</si>
</sst>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topLeftCell="A2" zoomScale="85" zoomScaleNormal="85" workbookViewId="0">
      <selection activeCell="F83" sqref="F83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45974</v>
      </c>
      <c r="H1" s="2">
        <f ca="1">TODAY()</f>
        <v>45974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-1500</v>
      </c>
      <c r="H3" s="10">
        <f t="shared" ref="H3:H37" ca="1" si="1">F3-$H$1</f>
        <v>-675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-1500</v>
      </c>
      <c r="H4" s="10">
        <f t="shared" ca="1" si="1"/>
        <v>-675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-1495.5555555555557</v>
      </c>
      <c r="H5" s="10">
        <f t="shared" ca="1" si="1"/>
        <v>-673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-1917.1428571428571</v>
      </c>
      <c r="H6" s="10">
        <f t="shared" ca="1" si="1"/>
        <v>-671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-1914.2857142857142</v>
      </c>
      <c r="H7" s="10">
        <f t="shared" ca="1" si="1"/>
        <v>-670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-2230</v>
      </c>
      <c r="H8" s="10">
        <f t="shared" ca="1" si="1"/>
        <v>-669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-1672.5000000000002</v>
      </c>
      <c r="H9" s="10">
        <f t="shared" ca="1" si="1"/>
        <v>-669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-1486.6666666666667</v>
      </c>
      <c r="H10" s="10">
        <f t="shared" ca="1" si="1"/>
        <v>-669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-2226.6666666666665</v>
      </c>
      <c r="H11" s="10">
        <f t="shared" ca="1" si="1"/>
        <v>-668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-1336</v>
      </c>
      <c r="H12" s="10">
        <f t="shared" ca="1" si="1"/>
        <v>-668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-2226.6666666666665</v>
      </c>
      <c r="H13" s="10">
        <f t="shared" ca="1" si="1"/>
        <v>-668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-867.53246753246765</v>
      </c>
      <c r="H14" s="10">
        <f t="shared" ca="1" si="1"/>
        <v>-668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-1482.2222222222222</v>
      </c>
      <c r="H15" s="10">
        <f t="shared" ca="1" si="1"/>
        <v>-667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-2223.3333333333335</v>
      </c>
      <c r="H16" s="10">
        <f t="shared" ca="1" si="1"/>
        <v>-667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-1667.5</v>
      </c>
      <c r="H17" s="10">
        <f t="shared" ca="1" si="1"/>
        <v>-667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-1664.9999999999998</v>
      </c>
      <c r="H18" s="10">
        <f t="shared" ca="1" si="1"/>
        <v>-666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-1664.9999999999998</v>
      </c>
      <c r="H19" s="10">
        <f t="shared" ca="1" si="1"/>
        <v>-666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-1664.9999999999998</v>
      </c>
      <c r="H20" s="10">
        <f t="shared" ca="1" si="1"/>
        <v>-666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-1660.0000000000002</v>
      </c>
      <c r="H21" s="10">
        <f t="shared" ca="1" si="1"/>
        <v>-664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-1541.8604651162791</v>
      </c>
      <c r="H22" s="10">
        <f t="shared" ca="1" si="1"/>
        <v>-663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-1541.8604651162791</v>
      </c>
      <c r="H23" s="10">
        <f t="shared" ca="1" si="1"/>
        <v>-663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-1894.2857142857142</v>
      </c>
      <c r="H24" s="10">
        <f t="shared" ca="1" si="1"/>
        <v>-663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-1471.1111111111111</v>
      </c>
      <c r="H25" s="10">
        <f t="shared" ca="1" si="1"/>
        <v>-662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-1891.4285714285716</v>
      </c>
      <c r="H26" s="10">
        <f t="shared" ca="1" si="1"/>
        <v>-662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-1891.4285714285716</v>
      </c>
      <c r="H27" s="10">
        <f t="shared" ca="1" si="1"/>
        <v>-662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-1655</v>
      </c>
      <c r="H28" s="10">
        <f t="shared" ca="1" si="1"/>
        <v>-662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-1468.8888888888889</v>
      </c>
      <c r="H29" s="10">
        <f t="shared" ca="1" si="1"/>
        <v>-661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-1468.8888888888889</v>
      </c>
      <c r="H30" s="10">
        <f t="shared" ca="1" si="1"/>
        <v>-661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-1468.8888888888889</v>
      </c>
      <c r="H31" s="10">
        <f t="shared" ca="1" si="1"/>
        <v>-661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-1468.8888888888889</v>
      </c>
      <c r="H32" s="10">
        <f t="shared" ca="1" si="1"/>
        <v>-661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-1650</v>
      </c>
      <c r="H33" s="10">
        <f t="shared" ca="1" si="1"/>
        <v>-660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-1647.5000000000002</v>
      </c>
      <c r="H34" s="10">
        <f t="shared" ca="1" si="1"/>
        <v>-659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-1647.5000000000002</v>
      </c>
      <c r="H35" s="10">
        <f t="shared" ca="1" si="1"/>
        <v>-659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-45974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-1645</v>
      </c>
      <c r="H37" s="10">
        <f t="shared" ca="1" si="1"/>
        <v>-658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-1090</v>
      </c>
      <c r="H38" s="10">
        <f ca="1">F38-$H$1</f>
        <v>-654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-45974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-45974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-45974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-45974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-45974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-45974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-45974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-45974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-45974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-45974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-45974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-45974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-45974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-45974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-45974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-45974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-45974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-45974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-45974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-45974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-45974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-45974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-45974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-45974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-45974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-45974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-45974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-45974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-45974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-45974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-45974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-45974</v>
      </c>
    </row>
    <row r="71" spans="1:9" ht="22.15" customHeight="1">
      <c r="A71"/>
      <c r="B71" s="19" t="s">
        <v>82</v>
      </c>
      <c r="C71" s="7" t="s">
        <v>8</v>
      </c>
      <c r="D71" s="14">
        <v>17</v>
      </c>
      <c r="E71" s="18">
        <v>45935</v>
      </c>
      <c r="F71" s="11">
        <v>45985</v>
      </c>
      <c r="G71" s="10">
        <f t="shared" ca="1" si="2"/>
        <v>22</v>
      </c>
      <c r="H71" s="10">
        <f t="shared" ca="1" si="3"/>
        <v>11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-45974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-45974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-45974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-45974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-45974</v>
      </c>
    </row>
    <row r="77" spans="1:9" ht="22.15" customHeight="1">
      <c r="A77"/>
      <c r="B77" s="19" t="s">
        <v>84</v>
      </c>
      <c r="C77" s="7" t="s">
        <v>8</v>
      </c>
      <c r="D77" s="14">
        <v>17</v>
      </c>
      <c r="E77" s="11">
        <v>45948</v>
      </c>
      <c r="F77" s="11">
        <v>45993</v>
      </c>
      <c r="G77" s="10">
        <f t="shared" ca="1" si="4"/>
        <v>42.222222222222221</v>
      </c>
      <c r="H77" s="10">
        <f t="shared" ca="1" si="5"/>
        <v>19</v>
      </c>
      <c r="I77"/>
    </row>
    <row r="78" spans="1:9" ht="22.15" customHeight="1">
      <c r="A78"/>
      <c r="B78" s="19" t="s">
        <v>83</v>
      </c>
      <c r="C78" s="7" t="s">
        <v>8</v>
      </c>
      <c r="D78" s="14">
        <v>12</v>
      </c>
      <c r="E78" s="11">
        <v>45951</v>
      </c>
      <c r="F78" s="11">
        <v>45981</v>
      </c>
      <c r="G78" s="10">
        <f t="shared" ca="1" si="4"/>
        <v>23.333333333333332</v>
      </c>
      <c r="H78" s="10">
        <f t="shared" ca="1" si="5"/>
        <v>7</v>
      </c>
      <c r="I78"/>
    </row>
    <row r="79" spans="1:9" ht="22.15" customHeight="1">
      <c r="A79"/>
      <c r="B79" s="19" t="s">
        <v>80</v>
      </c>
      <c r="C79" s="7" t="s">
        <v>8</v>
      </c>
      <c r="D79" s="14">
        <v>24</v>
      </c>
      <c r="E79" s="11">
        <v>45922</v>
      </c>
      <c r="F79" s="11">
        <v>45982</v>
      </c>
      <c r="G79" s="10">
        <f t="shared" ca="1" si="4"/>
        <v>13.333333333333334</v>
      </c>
      <c r="H79" s="10">
        <f t="shared" ca="1" si="5"/>
        <v>8</v>
      </c>
      <c r="I79"/>
    </row>
    <row r="80" spans="1:9" ht="22.15" customHeight="1">
      <c r="A80"/>
      <c r="B80" s="19" t="s">
        <v>85</v>
      </c>
      <c r="C80" s="7" t="s">
        <v>8</v>
      </c>
      <c r="D80" s="17">
        <v>8</v>
      </c>
      <c r="E80" s="11">
        <v>45941</v>
      </c>
      <c r="F80" s="11">
        <v>46001</v>
      </c>
      <c r="G80" s="10">
        <f t="shared" ca="1" si="4"/>
        <v>45</v>
      </c>
      <c r="H80" s="10">
        <f t="shared" ca="1" si="5"/>
        <v>27</v>
      </c>
      <c r="I80"/>
    </row>
    <row r="81" spans="1:9" ht="22.15" customHeight="1">
      <c r="A81"/>
      <c r="B81" s="19" t="s">
        <v>85</v>
      </c>
      <c r="C81" s="16" t="s">
        <v>8</v>
      </c>
      <c r="D81" s="17">
        <v>8</v>
      </c>
      <c r="E81" s="11">
        <v>45941</v>
      </c>
      <c r="F81" s="11">
        <v>46001</v>
      </c>
      <c r="G81" s="10">
        <f t="shared" ca="1" si="4"/>
        <v>45</v>
      </c>
      <c r="H81" s="10">
        <f t="shared" ca="1" si="5"/>
        <v>27</v>
      </c>
      <c r="I81"/>
    </row>
    <row r="82" spans="1:9" ht="22.15" customHeight="1">
      <c r="A82"/>
      <c r="B82" s="19" t="s">
        <v>86</v>
      </c>
      <c r="C82" s="7" t="s">
        <v>8</v>
      </c>
      <c r="D82" s="17">
        <v>96</v>
      </c>
      <c r="E82" s="11">
        <v>45960</v>
      </c>
      <c r="F82" s="11">
        <v>45990</v>
      </c>
      <c r="G82" s="10">
        <f t="shared" ca="1" si="4"/>
        <v>53.333333333333336</v>
      </c>
      <c r="H82" s="10">
        <f t="shared" ca="1" si="5"/>
        <v>16</v>
      </c>
      <c r="I82"/>
    </row>
    <row r="83" spans="1:9" ht="22.15" customHeight="1">
      <c r="A83"/>
      <c r="B83" s="19" t="s">
        <v>81</v>
      </c>
      <c r="C83" s="7" t="s">
        <v>15</v>
      </c>
      <c r="D83" s="14" t="s">
        <v>87</v>
      </c>
      <c r="E83" s="11">
        <v>45941</v>
      </c>
      <c r="F83" s="11">
        <v>45986</v>
      </c>
      <c r="G83" s="10">
        <f t="shared" ref="G83" ca="1" si="6">IFERROR((F83-$G$1)/(F83-E83)*100,"")</f>
        <v>26.666666666666668</v>
      </c>
      <c r="H83" s="10">
        <f t="shared" ref="H83" ca="1" si="7">F83-$H$1</f>
        <v>12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-45974</v>
      </c>
      <c r="I84"/>
    </row>
    <row r="85" spans="1:9" ht="22.15" customHeight="1">
      <c r="A85"/>
      <c r="B85" s="19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-45974</v>
      </c>
      <c r="I85"/>
    </row>
    <row r="86" spans="1:9" ht="22.15" customHeight="1">
      <c r="A86"/>
      <c r="B86" s="19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-45974</v>
      </c>
      <c r="I86"/>
    </row>
    <row r="87" spans="1:9" ht="22.15" customHeight="1">
      <c r="A87"/>
      <c r="B87" s="19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-45974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-45974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-45974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-45974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-45974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-45974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-45974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-45974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-45974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-45974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-45974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-45974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-45974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-45974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-45974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-45974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-45974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2025-11-13T13:06:08Z</dcterms:modified>
</cp:coreProperties>
</file>