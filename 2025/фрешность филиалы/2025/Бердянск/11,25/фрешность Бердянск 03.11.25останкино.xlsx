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user\Desktop\фрешность\03.11\"/>
    </mc:Choice>
  </mc:AlternateContent>
  <xr:revisionPtr revIDLastSave="0" documentId="13_ncr:1_{97D13844-4132-4F3E-8034-2A02790336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 l="1"/>
  <c r="G1" i="1"/>
  <c r="H71" i="1" l="1"/>
  <c r="H94" i="1"/>
  <c r="H96" i="1"/>
  <c r="H98" i="1"/>
  <c r="H100" i="1"/>
  <c r="H102" i="1"/>
  <c r="H95" i="1"/>
  <c r="H97" i="1"/>
  <c r="H99" i="1"/>
  <c r="H101" i="1"/>
  <c r="G71" i="1"/>
  <c r="G94" i="1"/>
  <c r="G96" i="1"/>
  <c r="G98" i="1"/>
  <c r="G100" i="1"/>
  <c r="G102" i="1"/>
  <c r="G95" i="1"/>
  <c r="G97" i="1"/>
  <c r="G99" i="1"/>
  <c r="G101" i="1"/>
  <c r="H93" i="1"/>
  <c r="G93" i="1"/>
  <c r="H91" i="1"/>
  <c r="G91" i="1"/>
  <c r="H92" i="1"/>
  <c r="H90" i="1"/>
  <c r="G92" i="1"/>
  <c r="G90" i="1"/>
  <c r="G89" i="1"/>
  <c r="H89" i="1"/>
  <c r="H88" i="1"/>
  <c r="G88" i="1"/>
  <c r="H87" i="1"/>
  <c r="G87" i="1"/>
  <c r="H86" i="1"/>
  <c r="G86" i="1"/>
  <c r="H85" i="1"/>
  <c r="G85" i="1"/>
  <c r="H84" i="1"/>
  <c r="G84" i="1"/>
  <c r="H83" i="1"/>
  <c r="G83" i="1"/>
  <c r="G81" i="1"/>
  <c r="G79" i="1"/>
  <c r="G77" i="1"/>
  <c r="G75" i="1"/>
  <c r="G73" i="1"/>
  <c r="H79" i="1"/>
  <c r="H77" i="1"/>
  <c r="H73" i="1"/>
  <c r="H82" i="1"/>
  <c r="H80" i="1"/>
  <c r="H78" i="1"/>
  <c r="H76" i="1"/>
  <c r="H74" i="1"/>
  <c r="H72" i="1"/>
  <c r="H81" i="1"/>
  <c r="H75" i="1"/>
  <c r="G82" i="1"/>
  <c r="G80" i="1"/>
  <c r="G78" i="1"/>
  <c r="G76" i="1"/>
  <c r="G74" i="1"/>
  <c r="G72" i="1"/>
  <c r="G7" i="1"/>
  <c r="G15" i="1"/>
  <c r="G23" i="1"/>
  <c r="G9" i="1"/>
  <c r="G3" i="1"/>
  <c r="G11" i="1"/>
  <c r="G19" i="1"/>
  <c r="G27" i="1"/>
  <c r="G17" i="1"/>
  <c r="G25" i="1"/>
  <c r="G5" i="1"/>
  <c r="G13" i="1"/>
  <c r="G21" i="1"/>
  <c r="G29" i="1"/>
  <c r="G31" i="1"/>
  <c r="G33" i="1"/>
  <c r="G35" i="1"/>
  <c r="G37" i="1"/>
  <c r="G39" i="1"/>
  <c r="G41" i="1"/>
  <c r="G43" i="1"/>
  <c r="G45" i="1"/>
  <c r="G47" i="1"/>
  <c r="G49" i="1"/>
  <c r="G51" i="1"/>
  <c r="G53" i="1"/>
  <c r="G55" i="1"/>
  <c r="G57" i="1"/>
  <c r="G59" i="1"/>
  <c r="G61" i="1"/>
  <c r="G63" i="1"/>
  <c r="G65" i="1"/>
  <c r="G67" i="1"/>
  <c r="G69" i="1"/>
  <c r="H3" i="1"/>
  <c r="H5" i="1"/>
  <c r="H7" i="1"/>
  <c r="H9" i="1"/>
  <c r="H11" i="1"/>
  <c r="H13" i="1"/>
  <c r="H15" i="1"/>
  <c r="H17" i="1"/>
  <c r="H19" i="1"/>
  <c r="H21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G4" i="1"/>
  <c r="G6" i="1"/>
  <c r="G8" i="1"/>
  <c r="G10" i="1"/>
  <c r="G12" i="1"/>
  <c r="G14" i="1"/>
  <c r="G16" i="1"/>
  <c r="G18" i="1"/>
  <c r="G20" i="1"/>
  <c r="G22" i="1"/>
  <c r="G24" i="1"/>
  <c r="G26" i="1"/>
  <c r="G28" i="1"/>
  <c r="G30" i="1"/>
  <c r="G32" i="1"/>
  <c r="G34" i="1"/>
  <c r="G36" i="1"/>
  <c r="G38" i="1"/>
  <c r="G40" i="1"/>
  <c r="G42" i="1"/>
  <c r="G44" i="1"/>
  <c r="G46" i="1"/>
  <c r="G48" i="1"/>
  <c r="G50" i="1"/>
  <c r="G52" i="1"/>
  <c r="G54" i="1"/>
  <c r="G56" i="1"/>
  <c r="G58" i="1"/>
  <c r="G60" i="1"/>
  <c r="G62" i="1"/>
  <c r="G64" i="1"/>
  <c r="G66" i="1"/>
  <c r="G68" i="1"/>
  <c r="G70" i="1"/>
  <c r="H4" i="1"/>
  <c r="H6" i="1"/>
  <c r="H8" i="1"/>
  <c r="H10" i="1"/>
  <c r="H12" i="1"/>
  <c r="H14" i="1"/>
  <c r="H16" i="1"/>
  <c r="H18" i="1"/>
  <c r="H20" i="1"/>
  <c r="H22" i="1"/>
  <c r="H24" i="1"/>
  <c r="H26" i="1"/>
  <c r="H28" i="1"/>
  <c r="H30" i="1"/>
  <c r="H32" i="1"/>
  <c r="H34" i="1"/>
  <c r="H36" i="1"/>
  <c r="H38" i="1"/>
  <c r="H40" i="1"/>
  <c r="H42" i="1"/>
  <c r="H44" i="1"/>
  <c r="H46" i="1"/>
  <c r="H48" i="1"/>
  <c r="H50" i="1"/>
  <c r="H52" i="1"/>
  <c r="H54" i="1"/>
  <c r="H56" i="1"/>
  <c r="H58" i="1"/>
  <c r="H60" i="1"/>
  <c r="H62" i="1"/>
  <c r="H64" i="1"/>
  <c r="H66" i="1"/>
  <c r="H68" i="1"/>
  <c r="H70" i="1"/>
</calcChain>
</file>

<file path=xl/sharedStrings.xml><?xml version="1.0" encoding="utf-8"?>
<sst xmlns="http://schemas.openxmlformats.org/spreadsheetml/2006/main" count="178" uniqueCount="99">
  <si>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</si>
  <si>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</si>
  <si>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</si>
  <si>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</si>
  <si>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</si>
  <si>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</si>
  <si>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</si>
  <si>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</si>
  <si>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</si>
  <si>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</si>
  <si>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</si>
  <si>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</si>
  <si>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</si>
  <si>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</si>
  <si>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</si>
  <si>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</si>
  <si>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</si>
  <si>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</si>
  <si>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</si>
  <si>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</si>
  <si>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</si>
  <si>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</si>
  <si>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</si>
  <si>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</si>
  <si>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</si>
  <si>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</si>
  <si>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</si>
  <si>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</si>
  <si>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</si>
  <si>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</si>
  <si>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</si>
  <si>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</si>
  <si>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</si>
  <si>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</si>
  <si>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</si>
  <si>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</si>
  <si>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</si>
  <si>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</si>
  <si>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</si>
  <si>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</si>
  <si>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</si>
  <si>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</si>
  <si>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</si>
  <si>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</si>
  <si>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</si>
  <si>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</si>
  <si>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</si>
  <si>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</si>
  <si>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</si>
  <si>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</si>
  <si>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</si>
  <si>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</si>
  <si>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</si>
  <si>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</si>
  <si>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</si>
  <si>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</si>
  <si>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</si>
  <si>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</si>
  <si>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</si>
  <si>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</si>
  <si>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</si>
  <si>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</si>
  <si>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</si>
  <si>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</si>
  <si>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</si>
  <si>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</si>
  <si>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</si>
  <si>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</si>
  <si>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</si>
  <si>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</si>
  <si>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</si>
  <si>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</si>
  <si>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</si>
  <si>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</si>
  <si>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</si>
  <si>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</si>
  <si>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</si>
  <si>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</si>
  <si>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</si>
  <si>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</si>
  <si>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ШТ</t>
  </si>
  <si>
    <t>7092 БЕКОН Папа может с/к с/н в/у 1/140_50с  Останкино, 1001223297092</t>
  </si>
  <si>
    <t>6834 ПОСОЛЬСКАЯ с/к с/н в/у 1/100 10шт  Останкино, 1001203146834</t>
  </si>
  <si>
    <t>6616 МОЛОЧНЫЕ КЛАССИЧЕСКИЕ сос п/о в/у 0,3 кг  Останкино, 1001024976616</t>
  </si>
  <si>
    <t>6661 СОЧНЫЙ ГРИЛЬ ПМ сос п/о мгс 1,5*4_Маяк Останкино, 1001022246661</t>
  </si>
  <si>
    <t>КГ</t>
  </si>
  <si>
    <t>3.175</t>
  </si>
  <si>
    <t>5992 ВРЕМЯ ОКРОШКИ Папа может вар п/о 0.4кг   ОСТАНКИНО, 1001014765992</t>
  </si>
  <si>
    <t>6303 Мясные Папа может сос п/о мгс 1,5*3  Останкино, 1001022726303</t>
  </si>
  <si>
    <t>35.525</t>
  </si>
  <si>
    <t>6793 БАЛЫКОВАЯ в/к в/у 0,33кг 8шт  Останкино, 1001303636793</t>
  </si>
  <si>
    <t>6807 СЕРВЕЛАТ ЕВРОПЕЙСКИЙ в/к в/у 0,33кг 8шт  Останкино, 1001300366807</t>
  </si>
  <si>
    <t>6787 СЕРВЕЛАТ КРЕМЛЕВСКИЙ в/к в/у 0,33кг 8шт  Останкино, 1001300456787</t>
  </si>
  <si>
    <t>7276 СЛИВОЧНЫЕ ПМ сос п/о мгс 0,3кг 7шт  Останкино, 1001022467276</t>
  </si>
  <si>
    <t>7284 ДЛЯ ДЕТЕЙ сос п/о мгс 0,33кг 6шт  Останкино, 1001025767284</t>
  </si>
  <si>
    <t>Сыч/Прод Коровино Тильзитер 50% 200г НОВАЯ СЗМЖ  ОСТАНКИНО, 783К801</t>
  </si>
  <si>
    <t>Сыр ПАПА МОЖЕТ "Гауда Голд" 45 % 180 гр (10шт) Останкино, 5038411</t>
  </si>
  <si>
    <t>4001481 Сыр Бурмакинский со вкусом топленого молока 45%( брус)  Останкино, 4001481</t>
  </si>
  <si>
    <t>102.526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</si>
</sst>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 xr:uid="{00000000-0005-0000-0000-000001000000}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9"/>
  <sheetViews>
    <sheetView tabSelected="1" topLeftCell="A2" zoomScale="85" zoomScaleNormal="85" workbookViewId="0">
      <selection activeCell="A71" sqref="A71:XFD71"/>
    </sheetView>
  </sheetViews>
  <sheetFormatPr defaultColWidth="8.88671875" defaultRowHeight="14.4" x14ac:dyDescent="0.3"/>
  <cols>
    <col min="1" max="1" width="4" style="1" customWidth="1"/>
    <col min="2" max="2" width="59.6640625" style="1" customWidth="1"/>
    <col min="3" max="3" width="4.88671875" style="1" customWidth="1"/>
    <col min="4" max="4" width="9" style="1" customWidth="1"/>
    <col min="5" max="5" width="15.88671875" style="2" customWidth="1"/>
    <col min="6" max="6" width="15.6640625" style="2" customWidth="1"/>
    <col min="7" max="7" width="15.44140625" style="1" customWidth="1"/>
    <col min="8" max="8" width="17.109375" style="1" customWidth="1"/>
    <col min="9" max="9" width="37.88671875" style="1" customWidth="1"/>
    <col min="10" max="10" width="36.5546875" style="1" customWidth="1"/>
    <col min="11" max="11" width="29.44140625" style="1" customWidth="1"/>
    <col min="12" max="256" width="8.88671875" style="1"/>
    <col min="257" max="257" width="4" style="1" customWidth="1"/>
    <col min="258" max="258" width="59.6640625" style="1" customWidth="1"/>
    <col min="259" max="259" width="4.88671875" style="1" customWidth="1"/>
    <col min="260" max="260" width="9" style="1" customWidth="1"/>
    <col min="261" max="261" width="15.88671875" style="1" customWidth="1"/>
    <col min="262" max="262" width="15.6640625" style="1" customWidth="1"/>
    <col min="263" max="263" width="15.44140625" style="1" customWidth="1"/>
    <col min="264" max="264" width="17.109375" style="1" customWidth="1"/>
    <col min="265" max="265" width="37.88671875" style="1" customWidth="1"/>
    <col min="266" max="266" width="36.5546875" style="1" customWidth="1"/>
    <col min="267" max="267" width="29.44140625" style="1" customWidth="1"/>
    <col min="268" max="512" width="8.88671875" style="1"/>
    <col min="513" max="513" width="4" style="1" customWidth="1"/>
    <col min="514" max="514" width="59.6640625" style="1" customWidth="1"/>
    <col min="515" max="515" width="4.88671875" style="1" customWidth="1"/>
    <col min="516" max="516" width="9" style="1" customWidth="1"/>
    <col min="517" max="517" width="15.88671875" style="1" customWidth="1"/>
    <col min="518" max="518" width="15.6640625" style="1" customWidth="1"/>
    <col min="519" max="519" width="15.44140625" style="1" customWidth="1"/>
    <col min="520" max="520" width="17.109375" style="1" customWidth="1"/>
    <col min="521" max="521" width="37.88671875" style="1" customWidth="1"/>
    <col min="522" max="522" width="36.5546875" style="1" customWidth="1"/>
    <col min="523" max="523" width="29.44140625" style="1" customWidth="1"/>
    <col min="524" max="768" width="8.88671875" style="1"/>
    <col min="769" max="769" width="4" style="1" customWidth="1"/>
    <col min="770" max="770" width="59.6640625" style="1" customWidth="1"/>
    <col min="771" max="771" width="4.88671875" style="1" customWidth="1"/>
    <col min="772" max="772" width="9" style="1" customWidth="1"/>
    <col min="773" max="773" width="15.88671875" style="1" customWidth="1"/>
    <col min="774" max="774" width="15.6640625" style="1" customWidth="1"/>
    <col min="775" max="775" width="15.44140625" style="1" customWidth="1"/>
    <col min="776" max="776" width="17.109375" style="1" customWidth="1"/>
    <col min="777" max="777" width="37.88671875" style="1" customWidth="1"/>
    <col min="778" max="778" width="36.5546875" style="1" customWidth="1"/>
    <col min="779" max="779" width="29.44140625" style="1" customWidth="1"/>
    <col min="780" max="1024" width="8.88671875" style="1"/>
    <col min="1025" max="1025" width="4" style="1" customWidth="1"/>
    <col min="1026" max="1026" width="59.6640625" style="1" customWidth="1"/>
    <col min="1027" max="1027" width="4.88671875" style="1" customWidth="1"/>
    <col min="1028" max="1028" width="9" style="1" customWidth="1"/>
    <col min="1029" max="1029" width="15.88671875" style="1" customWidth="1"/>
    <col min="1030" max="1030" width="15.6640625" style="1" customWidth="1"/>
    <col min="1031" max="1031" width="15.44140625" style="1" customWidth="1"/>
    <col min="1032" max="1032" width="17.109375" style="1" customWidth="1"/>
    <col min="1033" max="1033" width="37.88671875" style="1" customWidth="1"/>
    <col min="1034" max="1034" width="36.5546875" style="1" customWidth="1"/>
    <col min="1035" max="1035" width="29.44140625" style="1" customWidth="1"/>
    <col min="1036" max="1280" width="8.88671875" style="1"/>
    <col min="1281" max="1281" width="4" style="1" customWidth="1"/>
    <col min="1282" max="1282" width="59.6640625" style="1" customWidth="1"/>
    <col min="1283" max="1283" width="4.88671875" style="1" customWidth="1"/>
    <col min="1284" max="1284" width="9" style="1" customWidth="1"/>
    <col min="1285" max="1285" width="15.88671875" style="1" customWidth="1"/>
    <col min="1286" max="1286" width="15.6640625" style="1" customWidth="1"/>
    <col min="1287" max="1287" width="15.44140625" style="1" customWidth="1"/>
    <col min="1288" max="1288" width="17.109375" style="1" customWidth="1"/>
    <col min="1289" max="1289" width="37.88671875" style="1" customWidth="1"/>
    <col min="1290" max="1290" width="36.5546875" style="1" customWidth="1"/>
    <col min="1291" max="1291" width="29.44140625" style="1" customWidth="1"/>
    <col min="1292" max="1536" width="8.88671875" style="1"/>
    <col min="1537" max="1537" width="4" style="1" customWidth="1"/>
    <col min="1538" max="1538" width="59.6640625" style="1" customWidth="1"/>
    <col min="1539" max="1539" width="4.88671875" style="1" customWidth="1"/>
    <col min="1540" max="1540" width="9" style="1" customWidth="1"/>
    <col min="1541" max="1541" width="15.88671875" style="1" customWidth="1"/>
    <col min="1542" max="1542" width="15.6640625" style="1" customWidth="1"/>
    <col min="1543" max="1543" width="15.44140625" style="1" customWidth="1"/>
    <col min="1544" max="1544" width="17.109375" style="1" customWidth="1"/>
    <col min="1545" max="1545" width="37.88671875" style="1" customWidth="1"/>
    <col min="1546" max="1546" width="36.5546875" style="1" customWidth="1"/>
    <col min="1547" max="1547" width="29.44140625" style="1" customWidth="1"/>
    <col min="1548" max="1792" width="8.88671875" style="1"/>
    <col min="1793" max="1793" width="4" style="1" customWidth="1"/>
    <col min="1794" max="1794" width="59.6640625" style="1" customWidth="1"/>
    <col min="1795" max="1795" width="4.88671875" style="1" customWidth="1"/>
    <col min="1796" max="1796" width="9" style="1" customWidth="1"/>
    <col min="1797" max="1797" width="15.88671875" style="1" customWidth="1"/>
    <col min="1798" max="1798" width="15.6640625" style="1" customWidth="1"/>
    <col min="1799" max="1799" width="15.44140625" style="1" customWidth="1"/>
    <col min="1800" max="1800" width="17.109375" style="1" customWidth="1"/>
    <col min="1801" max="1801" width="37.88671875" style="1" customWidth="1"/>
    <col min="1802" max="1802" width="36.5546875" style="1" customWidth="1"/>
    <col min="1803" max="1803" width="29.44140625" style="1" customWidth="1"/>
    <col min="1804" max="2048" width="8.88671875" style="1"/>
    <col min="2049" max="2049" width="4" style="1" customWidth="1"/>
    <col min="2050" max="2050" width="59.6640625" style="1" customWidth="1"/>
    <col min="2051" max="2051" width="4.88671875" style="1" customWidth="1"/>
    <col min="2052" max="2052" width="9" style="1" customWidth="1"/>
    <col min="2053" max="2053" width="15.88671875" style="1" customWidth="1"/>
    <col min="2054" max="2054" width="15.6640625" style="1" customWidth="1"/>
    <col min="2055" max="2055" width="15.44140625" style="1" customWidth="1"/>
    <col min="2056" max="2056" width="17.109375" style="1" customWidth="1"/>
    <col min="2057" max="2057" width="37.88671875" style="1" customWidth="1"/>
    <col min="2058" max="2058" width="36.5546875" style="1" customWidth="1"/>
    <col min="2059" max="2059" width="29.44140625" style="1" customWidth="1"/>
    <col min="2060" max="2304" width="8.88671875" style="1"/>
    <col min="2305" max="2305" width="4" style="1" customWidth="1"/>
    <col min="2306" max="2306" width="59.6640625" style="1" customWidth="1"/>
    <col min="2307" max="2307" width="4.88671875" style="1" customWidth="1"/>
    <col min="2308" max="2308" width="9" style="1" customWidth="1"/>
    <col min="2309" max="2309" width="15.88671875" style="1" customWidth="1"/>
    <col min="2310" max="2310" width="15.6640625" style="1" customWidth="1"/>
    <col min="2311" max="2311" width="15.44140625" style="1" customWidth="1"/>
    <col min="2312" max="2312" width="17.109375" style="1" customWidth="1"/>
    <col min="2313" max="2313" width="37.88671875" style="1" customWidth="1"/>
    <col min="2314" max="2314" width="36.5546875" style="1" customWidth="1"/>
    <col min="2315" max="2315" width="29.44140625" style="1" customWidth="1"/>
    <col min="2316" max="2560" width="8.88671875" style="1"/>
    <col min="2561" max="2561" width="4" style="1" customWidth="1"/>
    <col min="2562" max="2562" width="59.6640625" style="1" customWidth="1"/>
    <col min="2563" max="2563" width="4.88671875" style="1" customWidth="1"/>
    <col min="2564" max="2564" width="9" style="1" customWidth="1"/>
    <col min="2565" max="2565" width="15.88671875" style="1" customWidth="1"/>
    <col min="2566" max="2566" width="15.6640625" style="1" customWidth="1"/>
    <col min="2567" max="2567" width="15.44140625" style="1" customWidth="1"/>
    <col min="2568" max="2568" width="17.109375" style="1" customWidth="1"/>
    <col min="2569" max="2569" width="37.88671875" style="1" customWidth="1"/>
    <col min="2570" max="2570" width="36.5546875" style="1" customWidth="1"/>
    <col min="2571" max="2571" width="29.44140625" style="1" customWidth="1"/>
    <col min="2572" max="2816" width="8.88671875" style="1"/>
    <col min="2817" max="2817" width="4" style="1" customWidth="1"/>
    <col min="2818" max="2818" width="59.6640625" style="1" customWidth="1"/>
    <col min="2819" max="2819" width="4.88671875" style="1" customWidth="1"/>
    <col min="2820" max="2820" width="9" style="1" customWidth="1"/>
    <col min="2821" max="2821" width="15.88671875" style="1" customWidth="1"/>
    <col min="2822" max="2822" width="15.6640625" style="1" customWidth="1"/>
    <col min="2823" max="2823" width="15.44140625" style="1" customWidth="1"/>
    <col min="2824" max="2824" width="17.109375" style="1" customWidth="1"/>
    <col min="2825" max="2825" width="37.88671875" style="1" customWidth="1"/>
    <col min="2826" max="2826" width="36.5546875" style="1" customWidth="1"/>
    <col min="2827" max="2827" width="29.44140625" style="1" customWidth="1"/>
    <col min="2828" max="3072" width="8.88671875" style="1"/>
    <col min="3073" max="3073" width="4" style="1" customWidth="1"/>
    <col min="3074" max="3074" width="59.6640625" style="1" customWidth="1"/>
    <col min="3075" max="3075" width="4.88671875" style="1" customWidth="1"/>
    <col min="3076" max="3076" width="9" style="1" customWidth="1"/>
    <col min="3077" max="3077" width="15.88671875" style="1" customWidth="1"/>
    <col min="3078" max="3078" width="15.6640625" style="1" customWidth="1"/>
    <col min="3079" max="3079" width="15.44140625" style="1" customWidth="1"/>
    <col min="3080" max="3080" width="17.109375" style="1" customWidth="1"/>
    <col min="3081" max="3081" width="37.88671875" style="1" customWidth="1"/>
    <col min="3082" max="3082" width="36.5546875" style="1" customWidth="1"/>
    <col min="3083" max="3083" width="29.44140625" style="1" customWidth="1"/>
    <col min="3084" max="3328" width="8.88671875" style="1"/>
    <col min="3329" max="3329" width="4" style="1" customWidth="1"/>
    <col min="3330" max="3330" width="59.6640625" style="1" customWidth="1"/>
    <col min="3331" max="3331" width="4.88671875" style="1" customWidth="1"/>
    <col min="3332" max="3332" width="9" style="1" customWidth="1"/>
    <col min="3333" max="3333" width="15.88671875" style="1" customWidth="1"/>
    <col min="3334" max="3334" width="15.6640625" style="1" customWidth="1"/>
    <col min="3335" max="3335" width="15.44140625" style="1" customWidth="1"/>
    <col min="3336" max="3336" width="17.109375" style="1" customWidth="1"/>
    <col min="3337" max="3337" width="37.88671875" style="1" customWidth="1"/>
    <col min="3338" max="3338" width="36.5546875" style="1" customWidth="1"/>
    <col min="3339" max="3339" width="29.44140625" style="1" customWidth="1"/>
    <col min="3340" max="3584" width="8.88671875" style="1"/>
    <col min="3585" max="3585" width="4" style="1" customWidth="1"/>
    <col min="3586" max="3586" width="59.6640625" style="1" customWidth="1"/>
    <col min="3587" max="3587" width="4.88671875" style="1" customWidth="1"/>
    <col min="3588" max="3588" width="9" style="1" customWidth="1"/>
    <col min="3589" max="3589" width="15.88671875" style="1" customWidth="1"/>
    <col min="3590" max="3590" width="15.6640625" style="1" customWidth="1"/>
    <col min="3591" max="3591" width="15.44140625" style="1" customWidth="1"/>
    <col min="3592" max="3592" width="17.109375" style="1" customWidth="1"/>
    <col min="3593" max="3593" width="37.88671875" style="1" customWidth="1"/>
    <col min="3594" max="3594" width="36.5546875" style="1" customWidth="1"/>
    <col min="3595" max="3595" width="29.44140625" style="1" customWidth="1"/>
    <col min="3596" max="3840" width="8.88671875" style="1"/>
    <col min="3841" max="3841" width="4" style="1" customWidth="1"/>
    <col min="3842" max="3842" width="59.6640625" style="1" customWidth="1"/>
    <col min="3843" max="3843" width="4.88671875" style="1" customWidth="1"/>
    <col min="3844" max="3844" width="9" style="1" customWidth="1"/>
    <col min="3845" max="3845" width="15.88671875" style="1" customWidth="1"/>
    <col min="3846" max="3846" width="15.6640625" style="1" customWidth="1"/>
    <col min="3847" max="3847" width="15.44140625" style="1" customWidth="1"/>
    <col min="3848" max="3848" width="17.109375" style="1" customWidth="1"/>
    <col min="3849" max="3849" width="37.88671875" style="1" customWidth="1"/>
    <col min="3850" max="3850" width="36.5546875" style="1" customWidth="1"/>
    <col min="3851" max="3851" width="29.44140625" style="1" customWidth="1"/>
    <col min="3852" max="4096" width="8.88671875" style="1"/>
    <col min="4097" max="4097" width="4" style="1" customWidth="1"/>
    <col min="4098" max="4098" width="59.6640625" style="1" customWidth="1"/>
    <col min="4099" max="4099" width="4.88671875" style="1" customWidth="1"/>
    <col min="4100" max="4100" width="9" style="1" customWidth="1"/>
    <col min="4101" max="4101" width="15.88671875" style="1" customWidth="1"/>
    <col min="4102" max="4102" width="15.6640625" style="1" customWidth="1"/>
    <col min="4103" max="4103" width="15.44140625" style="1" customWidth="1"/>
    <col min="4104" max="4104" width="17.109375" style="1" customWidth="1"/>
    <col min="4105" max="4105" width="37.88671875" style="1" customWidth="1"/>
    <col min="4106" max="4106" width="36.5546875" style="1" customWidth="1"/>
    <col min="4107" max="4107" width="29.44140625" style="1" customWidth="1"/>
    <col min="4108" max="4352" width="8.88671875" style="1"/>
    <col min="4353" max="4353" width="4" style="1" customWidth="1"/>
    <col min="4354" max="4354" width="59.6640625" style="1" customWidth="1"/>
    <col min="4355" max="4355" width="4.88671875" style="1" customWidth="1"/>
    <col min="4356" max="4356" width="9" style="1" customWidth="1"/>
    <col min="4357" max="4357" width="15.88671875" style="1" customWidth="1"/>
    <col min="4358" max="4358" width="15.6640625" style="1" customWidth="1"/>
    <col min="4359" max="4359" width="15.44140625" style="1" customWidth="1"/>
    <col min="4360" max="4360" width="17.109375" style="1" customWidth="1"/>
    <col min="4361" max="4361" width="37.88671875" style="1" customWidth="1"/>
    <col min="4362" max="4362" width="36.5546875" style="1" customWidth="1"/>
    <col min="4363" max="4363" width="29.44140625" style="1" customWidth="1"/>
    <col min="4364" max="4608" width="8.88671875" style="1"/>
    <col min="4609" max="4609" width="4" style="1" customWidth="1"/>
    <col min="4610" max="4610" width="59.6640625" style="1" customWidth="1"/>
    <col min="4611" max="4611" width="4.88671875" style="1" customWidth="1"/>
    <col min="4612" max="4612" width="9" style="1" customWidth="1"/>
    <col min="4613" max="4613" width="15.88671875" style="1" customWidth="1"/>
    <col min="4614" max="4614" width="15.6640625" style="1" customWidth="1"/>
    <col min="4615" max="4615" width="15.44140625" style="1" customWidth="1"/>
    <col min="4616" max="4616" width="17.109375" style="1" customWidth="1"/>
    <col min="4617" max="4617" width="37.88671875" style="1" customWidth="1"/>
    <col min="4618" max="4618" width="36.5546875" style="1" customWidth="1"/>
    <col min="4619" max="4619" width="29.44140625" style="1" customWidth="1"/>
    <col min="4620" max="4864" width="8.88671875" style="1"/>
    <col min="4865" max="4865" width="4" style="1" customWidth="1"/>
    <col min="4866" max="4866" width="59.6640625" style="1" customWidth="1"/>
    <col min="4867" max="4867" width="4.88671875" style="1" customWidth="1"/>
    <col min="4868" max="4868" width="9" style="1" customWidth="1"/>
    <col min="4869" max="4869" width="15.88671875" style="1" customWidth="1"/>
    <col min="4870" max="4870" width="15.6640625" style="1" customWidth="1"/>
    <col min="4871" max="4871" width="15.44140625" style="1" customWidth="1"/>
    <col min="4872" max="4872" width="17.109375" style="1" customWidth="1"/>
    <col min="4873" max="4873" width="37.88671875" style="1" customWidth="1"/>
    <col min="4874" max="4874" width="36.5546875" style="1" customWidth="1"/>
    <col min="4875" max="4875" width="29.44140625" style="1" customWidth="1"/>
    <col min="4876" max="5120" width="8.88671875" style="1"/>
    <col min="5121" max="5121" width="4" style="1" customWidth="1"/>
    <col min="5122" max="5122" width="59.6640625" style="1" customWidth="1"/>
    <col min="5123" max="5123" width="4.88671875" style="1" customWidth="1"/>
    <col min="5124" max="5124" width="9" style="1" customWidth="1"/>
    <col min="5125" max="5125" width="15.88671875" style="1" customWidth="1"/>
    <col min="5126" max="5126" width="15.6640625" style="1" customWidth="1"/>
    <col min="5127" max="5127" width="15.44140625" style="1" customWidth="1"/>
    <col min="5128" max="5128" width="17.109375" style="1" customWidth="1"/>
    <col min="5129" max="5129" width="37.88671875" style="1" customWidth="1"/>
    <col min="5130" max="5130" width="36.5546875" style="1" customWidth="1"/>
    <col min="5131" max="5131" width="29.44140625" style="1" customWidth="1"/>
    <col min="5132" max="5376" width="8.88671875" style="1"/>
    <col min="5377" max="5377" width="4" style="1" customWidth="1"/>
    <col min="5378" max="5378" width="59.6640625" style="1" customWidth="1"/>
    <col min="5379" max="5379" width="4.88671875" style="1" customWidth="1"/>
    <col min="5380" max="5380" width="9" style="1" customWidth="1"/>
    <col min="5381" max="5381" width="15.88671875" style="1" customWidth="1"/>
    <col min="5382" max="5382" width="15.6640625" style="1" customWidth="1"/>
    <col min="5383" max="5383" width="15.44140625" style="1" customWidth="1"/>
    <col min="5384" max="5384" width="17.109375" style="1" customWidth="1"/>
    <col min="5385" max="5385" width="37.88671875" style="1" customWidth="1"/>
    <col min="5386" max="5386" width="36.5546875" style="1" customWidth="1"/>
    <col min="5387" max="5387" width="29.44140625" style="1" customWidth="1"/>
    <col min="5388" max="5632" width="8.88671875" style="1"/>
    <col min="5633" max="5633" width="4" style="1" customWidth="1"/>
    <col min="5634" max="5634" width="59.6640625" style="1" customWidth="1"/>
    <col min="5635" max="5635" width="4.88671875" style="1" customWidth="1"/>
    <col min="5636" max="5636" width="9" style="1" customWidth="1"/>
    <col min="5637" max="5637" width="15.88671875" style="1" customWidth="1"/>
    <col min="5638" max="5638" width="15.6640625" style="1" customWidth="1"/>
    <col min="5639" max="5639" width="15.44140625" style="1" customWidth="1"/>
    <col min="5640" max="5640" width="17.109375" style="1" customWidth="1"/>
    <col min="5641" max="5641" width="37.88671875" style="1" customWidth="1"/>
    <col min="5642" max="5642" width="36.5546875" style="1" customWidth="1"/>
    <col min="5643" max="5643" width="29.44140625" style="1" customWidth="1"/>
    <col min="5644" max="5888" width="8.88671875" style="1"/>
    <col min="5889" max="5889" width="4" style="1" customWidth="1"/>
    <col min="5890" max="5890" width="59.6640625" style="1" customWidth="1"/>
    <col min="5891" max="5891" width="4.88671875" style="1" customWidth="1"/>
    <col min="5892" max="5892" width="9" style="1" customWidth="1"/>
    <col min="5893" max="5893" width="15.88671875" style="1" customWidth="1"/>
    <col min="5894" max="5894" width="15.6640625" style="1" customWidth="1"/>
    <col min="5895" max="5895" width="15.44140625" style="1" customWidth="1"/>
    <col min="5896" max="5896" width="17.109375" style="1" customWidth="1"/>
    <col min="5897" max="5897" width="37.88671875" style="1" customWidth="1"/>
    <col min="5898" max="5898" width="36.5546875" style="1" customWidth="1"/>
    <col min="5899" max="5899" width="29.44140625" style="1" customWidth="1"/>
    <col min="5900" max="6144" width="8.88671875" style="1"/>
    <col min="6145" max="6145" width="4" style="1" customWidth="1"/>
    <col min="6146" max="6146" width="59.6640625" style="1" customWidth="1"/>
    <col min="6147" max="6147" width="4.88671875" style="1" customWidth="1"/>
    <col min="6148" max="6148" width="9" style="1" customWidth="1"/>
    <col min="6149" max="6149" width="15.88671875" style="1" customWidth="1"/>
    <col min="6150" max="6150" width="15.6640625" style="1" customWidth="1"/>
    <col min="6151" max="6151" width="15.44140625" style="1" customWidth="1"/>
    <col min="6152" max="6152" width="17.109375" style="1" customWidth="1"/>
    <col min="6153" max="6153" width="37.88671875" style="1" customWidth="1"/>
    <col min="6154" max="6154" width="36.5546875" style="1" customWidth="1"/>
    <col min="6155" max="6155" width="29.44140625" style="1" customWidth="1"/>
    <col min="6156" max="6400" width="8.88671875" style="1"/>
    <col min="6401" max="6401" width="4" style="1" customWidth="1"/>
    <col min="6402" max="6402" width="59.6640625" style="1" customWidth="1"/>
    <col min="6403" max="6403" width="4.88671875" style="1" customWidth="1"/>
    <col min="6404" max="6404" width="9" style="1" customWidth="1"/>
    <col min="6405" max="6405" width="15.88671875" style="1" customWidth="1"/>
    <col min="6406" max="6406" width="15.6640625" style="1" customWidth="1"/>
    <col min="6407" max="6407" width="15.44140625" style="1" customWidth="1"/>
    <col min="6408" max="6408" width="17.109375" style="1" customWidth="1"/>
    <col min="6409" max="6409" width="37.88671875" style="1" customWidth="1"/>
    <col min="6410" max="6410" width="36.5546875" style="1" customWidth="1"/>
    <col min="6411" max="6411" width="29.44140625" style="1" customWidth="1"/>
    <col min="6412" max="6656" width="8.88671875" style="1"/>
    <col min="6657" max="6657" width="4" style="1" customWidth="1"/>
    <col min="6658" max="6658" width="59.6640625" style="1" customWidth="1"/>
    <col min="6659" max="6659" width="4.88671875" style="1" customWidth="1"/>
    <col min="6660" max="6660" width="9" style="1" customWidth="1"/>
    <col min="6661" max="6661" width="15.88671875" style="1" customWidth="1"/>
    <col min="6662" max="6662" width="15.6640625" style="1" customWidth="1"/>
    <col min="6663" max="6663" width="15.44140625" style="1" customWidth="1"/>
    <col min="6664" max="6664" width="17.109375" style="1" customWidth="1"/>
    <col min="6665" max="6665" width="37.88671875" style="1" customWidth="1"/>
    <col min="6666" max="6666" width="36.5546875" style="1" customWidth="1"/>
    <col min="6667" max="6667" width="29.44140625" style="1" customWidth="1"/>
    <col min="6668" max="6912" width="8.88671875" style="1"/>
    <col min="6913" max="6913" width="4" style="1" customWidth="1"/>
    <col min="6914" max="6914" width="59.6640625" style="1" customWidth="1"/>
    <col min="6915" max="6915" width="4.88671875" style="1" customWidth="1"/>
    <col min="6916" max="6916" width="9" style="1" customWidth="1"/>
    <col min="6917" max="6917" width="15.88671875" style="1" customWidth="1"/>
    <col min="6918" max="6918" width="15.6640625" style="1" customWidth="1"/>
    <col min="6919" max="6919" width="15.44140625" style="1" customWidth="1"/>
    <col min="6920" max="6920" width="17.109375" style="1" customWidth="1"/>
    <col min="6921" max="6921" width="37.88671875" style="1" customWidth="1"/>
    <col min="6922" max="6922" width="36.5546875" style="1" customWidth="1"/>
    <col min="6923" max="6923" width="29.44140625" style="1" customWidth="1"/>
    <col min="6924" max="7168" width="8.88671875" style="1"/>
    <col min="7169" max="7169" width="4" style="1" customWidth="1"/>
    <col min="7170" max="7170" width="59.6640625" style="1" customWidth="1"/>
    <col min="7171" max="7171" width="4.88671875" style="1" customWidth="1"/>
    <col min="7172" max="7172" width="9" style="1" customWidth="1"/>
    <col min="7173" max="7173" width="15.88671875" style="1" customWidth="1"/>
    <col min="7174" max="7174" width="15.6640625" style="1" customWidth="1"/>
    <col min="7175" max="7175" width="15.44140625" style="1" customWidth="1"/>
    <col min="7176" max="7176" width="17.109375" style="1" customWidth="1"/>
    <col min="7177" max="7177" width="37.88671875" style="1" customWidth="1"/>
    <col min="7178" max="7178" width="36.5546875" style="1" customWidth="1"/>
    <col min="7179" max="7179" width="29.44140625" style="1" customWidth="1"/>
    <col min="7180" max="7424" width="8.88671875" style="1"/>
    <col min="7425" max="7425" width="4" style="1" customWidth="1"/>
    <col min="7426" max="7426" width="59.6640625" style="1" customWidth="1"/>
    <col min="7427" max="7427" width="4.88671875" style="1" customWidth="1"/>
    <col min="7428" max="7428" width="9" style="1" customWidth="1"/>
    <col min="7429" max="7429" width="15.88671875" style="1" customWidth="1"/>
    <col min="7430" max="7430" width="15.6640625" style="1" customWidth="1"/>
    <col min="7431" max="7431" width="15.44140625" style="1" customWidth="1"/>
    <col min="7432" max="7432" width="17.109375" style="1" customWidth="1"/>
    <col min="7433" max="7433" width="37.88671875" style="1" customWidth="1"/>
    <col min="7434" max="7434" width="36.5546875" style="1" customWidth="1"/>
    <col min="7435" max="7435" width="29.44140625" style="1" customWidth="1"/>
    <col min="7436" max="7680" width="8.88671875" style="1"/>
    <col min="7681" max="7681" width="4" style="1" customWidth="1"/>
    <col min="7682" max="7682" width="59.6640625" style="1" customWidth="1"/>
    <col min="7683" max="7683" width="4.88671875" style="1" customWidth="1"/>
    <col min="7684" max="7684" width="9" style="1" customWidth="1"/>
    <col min="7685" max="7685" width="15.88671875" style="1" customWidth="1"/>
    <col min="7686" max="7686" width="15.6640625" style="1" customWidth="1"/>
    <col min="7687" max="7687" width="15.44140625" style="1" customWidth="1"/>
    <col min="7688" max="7688" width="17.109375" style="1" customWidth="1"/>
    <col min="7689" max="7689" width="37.88671875" style="1" customWidth="1"/>
    <col min="7690" max="7690" width="36.5546875" style="1" customWidth="1"/>
    <col min="7691" max="7691" width="29.44140625" style="1" customWidth="1"/>
    <col min="7692" max="7936" width="8.88671875" style="1"/>
    <col min="7937" max="7937" width="4" style="1" customWidth="1"/>
    <col min="7938" max="7938" width="59.6640625" style="1" customWidth="1"/>
    <col min="7939" max="7939" width="4.88671875" style="1" customWidth="1"/>
    <col min="7940" max="7940" width="9" style="1" customWidth="1"/>
    <col min="7941" max="7941" width="15.88671875" style="1" customWidth="1"/>
    <col min="7942" max="7942" width="15.6640625" style="1" customWidth="1"/>
    <col min="7943" max="7943" width="15.44140625" style="1" customWidth="1"/>
    <col min="7944" max="7944" width="17.109375" style="1" customWidth="1"/>
    <col min="7945" max="7945" width="37.88671875" style="1" customWidth="1"/>
    <col min="7946" max="7946" width="36.5546875" style="1" customWidth="1"/>
    <col min="7947" max="7947" width="29.44140625" style="1" customWidth="1"/>
    <col min="7948" max="8192" width="8.88671875" style="1"/>
    <col min="8193" max="8193" width="4" style="1" customWidth="1"/>
    <col min="8194" max="8194" width="59.6640625" style="1" customWidth="1"/>
    <col min="8195" max="8195" width="4.88671875" style="1" customWidth="1"/>
    <col min="8196" max="8196" width="9" style="1" customWidth="1"/>
    <col min="8197" max="8197" width="15.88671875" style="1" customWidth="1"/>
    <col min="8198" max="8198" width="15.6640625" style="1" customWidth="1"/>
    <col min="8199" max="8199" width="15.44140625" style="1" customWidth="1"/>
    <col min="8200" max="8200" width="17.109375" style="1" customWidth="1"/>
    <col min="8201" max="8201" width="37.88671875" style="1" customWidth="1"/>
    <col min="8202" max="8202" width="36.5546875" style="1" customWidth="1"/>
    <col min="8203" max="8203" width="29.44140625" style="1" customWidth="1"/>
    <col min="8204" max="8448" width="8.88671875" style="1"/>
    <col min="8449" max="8449" width="4" style="1" customWidth="1"/>
    <col min="8450" max="8450" width="59.6640625" style="1" customWidth="1"/>
    <col min="8451" max="8451" width="4.88671875" style="1" customWidth="1"/>
    <col min="8452" max="8452" width="9" style="1" customWidth="1"/>
    <col min="8453" max="8453" width="15.88671875" style="1" customWidth="1"/>
    <col min="8454" max="8454" width="15.6640625" style="1" customWidth="1"/>
    <col min="8455" max="8455" width="15.44140625" style="1" customWidth="1"/>
    <col min="8456" max="8456" width="17.109375" style="1" customWidth="1"/>
    <col min="8457" max="8457" width="37.88671875" style="1" customWidth="1"/>
    <col min="8458" max="8458" width="36.5546875" style="1" customWidth="1"/>
    <col min="8459" max="8459" width="29.44140625" style="1" customWidth="1"/>
    <col min="8460" max="8704" width="8.88671875" style="1"/>
    <col min="8705" max="8705" width="4" style="1" customWidth="1"/>
    <col min="8706" max="8706" width="59.6640625" style="1" customWidth="1"/>
    <col min="8707" max="8707" width="4.88671875" style="1" customWidth="1"/>
    <col min="8708" max="8708" width="9" style="1" customWidth="1"/>
    <col min="8709" max="8709" width="15.88671875" style="1" customWidth="1"/>
    <col min="8710" max="8710" width="15.6640625" style="1" customWidth="1"/>
    <col min="8711" max="8711" width="15.44140625" style="1" customWidth="1"/>
    <col min="8712" max="8712" width="17.109375" style="1" customWidth="1"/>
    <col min="8713" max="8713" width="37.88671875" style="1" customWidth="1"/>
    <col min="8714" max="8714" width="36.5546875" style="1" customWidth="1"/>
    <col min="8715" max="8715" width="29.44140625" style="1" customWidth="1"/>
    <col min="8716" max="8960" width="8.88671875" style="1"/>
    <col min="8961" max="8961" width="4" style="1" customWidth="1"/>
    <col min="8962" max="8962" width="59.6640625" style="1" customWidth="1"/>
    <col min="8963" max="8963" width="4.88671875" style="1" customWidth="1"/>
    <col min="8964" max="8964" width="9" style="1" customWidth="1"/>
    <col min="8965" max="8965" width="15.88671875" style="1" customWidth="1"/>
    <col min="8966" max="8966" width="15.6640625" style="1" customWidth="1"/>
    <col min="8967" max="8967" width="15.44140625" style="1" customWidth="1"/>
    <col min="8968" max="8968" width="17.109375" style="1" customWidth="1"/>
    <col min="8969" max="8969" width="37.88671875" style="1" customWidth="1"/>
    <col min="8970" max="8970" width="36.5546875" style="1" customWidth="1"/>
    <col min="8971" max="8971" width="29.44140625" style="1" customWidth="1"/>
    <col min="8972" max="9216" width="8.88671875" style="1"/>
    <col min="9217" max="9217" width="4" style="1" customWidth="1"/>
    <col min="9218" max="9218" width="59.6640625" style="1" customWidth="1"/>
    <col min="9219" max="9219" width="4.88671875" style="1" customWidth="1"/>
    <col min="9220" max="9220" width="9" style="1" customWidth="1"/>
    <col min="9221" max="9221" width="15.88671875" style="1" customWidth="1"/>
    <col min="9222" max="9222" width="15.6640625" style="1" customWidth="1"/>
    <col min="9223" max="9223" width="15.44140625" style="1" customWidth="1"/>
    <col min="9224" max="9224" width="17.109375" style="1" customWidth="1"/>
    <col min="9225" max="9225" width="37.88671875" style="1" customWidth="1"/>
    <col min="9226" max="9226" width="36.5546875" style="1" customWidth="1"/>
    <col min="9227" max="9227" width="29.44140625" style="1" customWidth="1"/>
    <col min="9228" max="9472" width="8.88671875" style="1"/>
    <col min="9473" max="9473" width="4" style="1" customWidth="1"/>
    <col min="9474" max="9474" width="59.6640625" style="1" customWidth="1"/>
    <col min="9475" max="9475" width="4.88671875" style="1" customWidth="1"/>
    <col min="9476" max="9476" width="9" style="1" customWidth="1"/>
    <col min="9477" max="9477" width="15.88671875" style="1" customWidth="1"/>
    <col min="9478" max="9478" width="15.6640625" style="1" customWidth="1"/>
    <col min="9479" max="9479" width="15.44140625" style="1" customWidth="1"/>
    <col min="9480" max="9480" width="17.109375" style="1" customWidth="1"/>
    <col min="9481" max="9481" width="37.88671875" style="1" customWidth="1"/>
    <col min="9482" max="9482" width="36.5546875" style="1" customWidth="1"/>
    <col min="9483" max="9483" width="29.44140625" style="1" customWidth="1"/>
    <col min="9484" max="9728" width="8.88671875" style="1"/>
    <col min="9729" max="9729" width="4" style="1" customWidth="1"/>
    <col min="9730" max="9730" width="59.6640625" style="1" customWidth="1"/>
    <col min="9731" max="9731" width="4.88671875" style="1" customWidth="1"/>
    <col min="9732" max="9732" width="9" style="1" customWidth="1"/>
    <col min="9733" max="9733" width="15.88671875" style="1" customWidth="1"/>
    <col min="9734" max="9734" width="15.6640625" style="1" customWidth="1"/>
    <col min="9735" max="9735" width="15.44140625" style="1" customWidth="1"/>
    <col min="9736" max="9736" width="17.109375" style="1" customWidth="1"/>
    <col min="9737" max="9737" width="37.88671875" style="1" customWidth="1"/>
    <col min="9738" max="9738" width="36.5546875" style="1" customWidth="1"/>
    <col min="9739" max="9739" width="29.44140625" style="1" customWidth="1"/>
    <col min="9740" max="9984" width="8.88671875" style="1"/>
    <col min="9985" max="9985" width="4" style="1" customWidth="1"/>
    <col min="9986" max="9986" width="59.6640625" style="1" customWidth="1"/>
    <col min="9987" max="9987" width="4.88671875" style="1" customWidth="1"/>
    <col min="9988" max="9988" width="9" style="1" customWidth="1"/>
    <col min="9989" max="9989" width="15.88671875" style="1" customWidth="1"/>
    <col min="9990" max="9990" width="15.6640625" style="1" customWidth="1"/>
    <col min="9991" max="9991" width="15.44140625" style="1" customWidth="1"/>
    <col min="9992" max="9992" width="17.109375" style="1" customWidth="1"/>
    <col min="9993" max="9993" width="37.88671875" style="1" customWidth="1"/>
    <col min="9994" max="9994" width="36.5546875" style="1" customWidth="1"/>
    <col min="9995" max="9995" width="29.44140625" style="1" customWidth="1"/>
    <col min="9996" max="10240" width="8.88671875" style="1"/>
    <col min="10241" max="10241" width="4" style="1" customWidth="1"/>
    <col min="10242" max="10242" width="59.6640625" style="1" customWidth="1"/>
    <col min="10243" max="10243" width="4.88671875" style="1" customWidth="1"/>
    <col min="10244" max="10244" width="9" style="1" customWidth="1"/>
    <col min="10245" max="10245" width="15.88671875" style="1" customWidth="1"/>
    <col min="10246" max="10246" width="15.6640625" style="1" customWidth="1"/>
    <col min="10247" max="10247" width="15.44140625" style="1" customWidth="1"/>
    <col min="10248" max="10248" width="17.109375" style="1" customWidth="1"/>
    <col min="10249" max="10249" width="37.88671875" style="1" customWidth="1"/>
    <col min="10250" max="10250" width="36.5546875" style="1" customWidth="1"/>
    <col min="10251" max="10251" width="29.44140625" style="1" customWidth="1"/>
    <col min="10252" max="10496" width="8.88671875" style="1"/>
    <col min="10497" max="10497" width="4" style="1" customWidth="1"/>
    <col min="10498" max="10498" width="59.6640625" style="1" customWidth="1"/>
    <col min="10499" max="10499" width="4.88671875" style="1" customWidth="1"/>
    <col min="10500" max="10500" width="9" style="1" customWidth="1"/>
    <col min="10501" max="10501" width="15.88671875" style="1" customWidth="1"/>
    <col min="10502" max="10502" width="15.6640625" style="1" customWidth="1"/>
    <col min="10503" max="10503" width="15.44140625" style="1" customWidth="1"/>
    <col min="10504" max="10504" width="17.109375" style="1" customWidth="1"/>
    <col min="10505" max="10505" width="37.88671875" style="1" customWidth="1"/>
    <col min="10506" max="10506" width="36.5546875" style="1" customWidth="1"/>
    <col min="10507" max="10507" width="29.44140625" style="1" customWidth="1"/>
    <col min="10508" max="10752" width="8.88671875" style="1"/>
    <col min="10753" max="10753" width="4" style="1" customWidth="1"/>
    <col min="10754" max="10754" width="59.6640625" style="1" customWidth="1"/>
    <col min="10755" max="10755" width="4.88671875" style="1" customWidth="1"/>
    <col min="10756" max="10756" width="9" style="1" customWidth="1"/>
    <col min="10757" max="10757" width="15.88671875" style="1" customWidth="1"/>
    <col min="10758" max="10758" width="15.6640625" style="1" customWidth="1"/>
    <col min="10759" max="10759" width="15.44140625" style="1" customWidth="1"/>
    <col min="10760" max="10760" width="17.109375" style="1" customWidth="1"/>
    <col min="10761" max="10761" width="37.88671875" style="1" customWidth="1"/>
    <col min="10762" max="10762" width="36.5546875" style="1" customWidth="1"/>
    <col min="10763" max="10763" width="29.44140625" style="1" customWidth="1"/>
    <col min="10764" max="11008" width="8.88671875" style="1"/>
    <col min="11009" max="11009" width="4" style="1" customWidth="1"/>
    <col min="11010" max="11010" width="59.6640625" style="1" customWidth="1"/>
    <col min="11011" max="11011" width="4.88671875" style="1" customWidth="1"/>
    <col min="11012" max="11012" width="9" style="1" customWidth="1"/>
    <col min="11013" max="11013" width="15.88671875" style="1" customWidth="1"/>
    <col min="11014" max="11014" width="15.6640625" style="1" customWidth="1"/>
    <col min="11015" max="11015" width="15.44140625" style="1" customWidth="1"/>
    <col min="11016" max="11016" width="17.109375" style="1" customWidth="1"/>
    <col min="11017" max="11017" width="37.88671875" style="1" customWidth="1"/>
    <col min="11018" max="11018" width="36.5546875" style="1" customWidth="1"/>
    <col min="11019" max="11019" width="29.44140625" style="1" customWidth="1"/>
    <col min="11020" max="11264" width="8.88671875" style="1"/>
    <col min="11265" max="11265" width="4" style="1" customWidth="1"/>
    <col min="11266" max="11266" width="59.6640625" style="1" customWidth="1"/>
    <col min="11267" max="11267" width="4.88671875" style="1" customWidth="1"/>
    <col min="11268" max="11268" width="9" style="1" customWidth="1"/>
    <col min="11269" max="11269" width="15.88671875" style="1" customWidth="1"/>
    <col min="11270" max="11270" width="15.6640625" style="1" customWidth="1"/>
    <col min="11271" max="11271" width="15.44140625" style="1" customWidth="1"/>
    <col min="11272" max="11272" width="17.109375" style="1" customWidth="1"/>
    <col min="11273" max="11273" width="37.88671875" style="1" customWidth="1"/>
    <col min="11274" max="11274" width="36.5546875" style="1" customWidth="1"/>
    <col min="11275" max="11275" width="29.44140625" style="1" customWidth="1"/>
    <col min="11276" max="11520" width="8.88671875" style="1"/>
    <col min="11521" max="11521" width="4" style="1" customWidth="1"/>
    <col min="11522" max="11522" width="59.6640625" style="1" customWidth="1"/>
    <col min="11523" max="11523" width="4.88671875" style="1" customWidth="1"/>
    <col min="11524" max="11524" width="9" style="1" customWidth="1"/>
    <col min="11525" max="11525" width="15.88671875" style="1" customWidth="1"/>
    <col min="11526" max="11526" width="15.6640625" style="1" customWidth="1"/>
    <col min="11527" max="11527" width="15.44140625" style="1" customWidth="1"/>
    <col min="11528" max="11528" width="17.109375" style="1" customWidth="1"/>
    <col min="11529" max="11529" width="37.88671875" style="1" customWidth="1"/>
    <col min="11530" max="11530" width="36.5546875" style="1" customWidth="1"/>
    <col min="11531" max="11531" width="29.44140625" style="1" customWidth="1"/>
    <col min="11532" max="11776" width="8.88671875" style="1"/>
    <col min="11777" max="11777" width="4" style="1" customWidth="1"/>
    <col min="11778" max="11778" width="59.6640625" style="1" customWidth="1"/>
    <col min="11779" max="11779" width="4.88671875" style="1" customWidth="1"/>
    <col min="11780" max="11780" width="9" style="1" customWidth="1"/>
    <col min="11781" max="11781" width="15.88671875" style="1" customWidth="1"/>
    <col min="11782" max="11782" width="15.6640625" style="1" customWidth="1"/>
    <col min="11783" max="11783" width="15.44140625" style="1" customWidth="1"/>
    <col min="11784" max="11784" width="17.109375" style="1" customWidth="1"/>
    <col min="11785" max="11785" width="37.88671875" style="1" customWidth="1"/>
    <col min="11786" max="11786" width="36.5546875" style="1" customWidth="1"/>
    <col min="11787" max="11787" width="29.44140625" style="1" customWidth="1"/>
    <col min="11788" max="12032" width="8.88671875" style="1"/>
    <col min="12033" max="12033" width="4" style="1" customWidth="1"/>
    <col min="12034" max="12034" width="59.6640625" style="1" customWidth="1"/>
    <col min="12035" max="12035" width="4.88671875" style="1" customWidth="1"/>
    <col min="12036" max="12036" width="9" style="1" customWidth="1"/>
    <col min="12037" max="12037" width="15.88671875" style="1" customWidth="1"/>
    <col min="12038" max="12038" width="15.6640625" style="1" customWidth="1"/>
    <col min="12039" max="12039" width="15.44140625" style="1" customWidth="1"/>
    <col min="12040" max="12040" width="17.109375" style="1" customWidth="1"/>
    <col min="12041" max="12041" width="37.88671875" style="1" customWidth="1"/>
    <col min="12042" max="12042" width="36.5546875" style="1" customWidth="1"/>
    <col min="12043" max="12043" width="29.44140625" style="1" customWidth="1"/>
    <col min="12044" max="12288" width="8.88671875" style="1"/>
    <col min="12289" max="12289" width="4" style="1" customWidth="1"/>
    <col min="12290" max="12290" width="59.6640625" style="1" customWidth="1"/>
    <col min="12291" max="12291" width="4.88671875" style="1" customWidth="1"/>
    <col min="12292" max="12292" width="9" style="1" customWidth="1"/>
    <col min="12293" max="12293" width="15.88671875" style="1" customWidth="1"/>
    <col min="12294" max="12294" width="15.6640625" style="1" customWidth="1"/>
    <col min="12295" max="12295" width="15.44140625" style="1" customWidth="1"/>
    <col min="12296" max="12296" width="17.109375" style="1" customWidth="1"/>
    <col min="12297" max="12297" width="37.88671875" style="1" customWidth="1"/>
    <col min="12298" max="12298" width="36.5546875" style="1" customWidth="1"/>
    <col min="12299" max="12299" width="29.44140625" style="1" customWidth="1"/>
    <col min="12300" max="12544" width="8.88671875" style="1"/>
    <col min="12545" max="12545" width="4" style="1" customWidth="1"/>
    <col min="12546" max="12546" width="59.6640625" style="1" customWidth="1"/>
    <col min="12547" max="12547" width="4.88671875" style="1" customWidth="1"/>
    <col min="12548" max="12548" width="9" style="1" customWidth="1"/>
    <col min="12549" max="12549" width="15.88671875" style="1" customWidth="1"/>
    <col min="12550" max="12550" width="15.6640625" style="1" customWidth="1"/>
    <col min="12551" max="12551" width="15.44140625" style="1" customWidth="1"/>
    <col min="12552" max="12552" width="17.109375" style="1" customWidth="1"/>
    <col min="12553" max="12553" width="37.88671875" style="1" customWidth="1"/>
    <col min="12554" max="12554" width="36.5546875" style="1" customWidth="1"/>
    <col min="12555" max="12555" width="29.44140625" style="1" customWidth="1"/>
    <col min="12556" max="12800" width="8.88671875" style="1"/>
    <col min="12801" max="12801" width="4" style="1" customWidth="1"/>
    <col min="12802" max="12802" width="59.6640625" style="1" customWidth="1"/>
    <col min="12803" max="12803" width="4.88671875" style="1" customWidth="1"/>
    <col min="12804" max="12804" width="9" style="1" customWidth="1"/>
    <col min="12805" max="12805" width="15.88671875" style="1" customWidth="1"/>
    <col min="12806" max="12806" width="15.6640625" style="1" customWidth="1"/>
    <col min="12807" max="12807" width="15.44140625" style="1" customWidth="1"/>
    <col min="12808" max="12808" width="17.109375" style="1" customWidth="1"/>
    <col min="12809" max="12809" width="37.88671875" style="1" customWidth="1"/>
    <col min="12810" max="12810" width="36.5546875" style="1" customWidth="1"/>
    <col min="12811" max="12811" width="29.44140625" style="1" customWidth="1"/>
    <col min="12812" max="13056" width="8.88671875" style="1"/>
    <col min="13057" max="13057" width="4" style="1" customWidth="1"/>
    <col min="13058" max="13058" width="59.6640625" style="1" customWidth="1"/>
    <col min="13059" max="13059" width="4.88671875" style="1" customWidth="1"/>
    <col min="13060" max="13060" width="9" style="1" customWidth="1"/>
    <col min="13061" max="13061" width="15.88671875" style="1" customWidth="1"/>
    <col min="13062" max="13062" width="15.6640625" style="1" customWidth="1"/>
    <col min="13063" max="13063" width="15.44140625" style="1" customWidth="1"/>
    <col min="13064" max="13064" width="17.109375" style="1" customWidth="1"/>
    <col min="13065" max="13065" width="37.88671875" style="1" customWidth="1"/>
    <col min="13066" max="13066" width="36.5546875" style="1" customWidth="1"/>
    <col min="13067" max="13067" width="29.44140625" style="1" customWidth="1"/>
    <col min="13068" max="13312" width="8.88671875" style="1"/>
    <col min="13313" max="13313" width="4" style="1" customWidth="1"/>
    <col min="13314" max="13314" width="59.6640625" style="1" customWidth="1"/>
    <col min="13315" max="13315" width="4.88671875" style="1" customWidth="1"/>
    <col min="13316" max="13316" width="9" style="1" customWidth="1"/>
    <col min="13317" max="13317" width="15.88671875" style="1" customWidth="1"/>
    <col min="13318" max="13318" width="15.6640625" style="1" customWidth="1"/>
    <col min="13319" max="13319" width="15.44140625" style="1" customWidth="1"/>
    <col min="13320" max="13320" width="17.109375" style="1" customWidth="1"/>
    <col min="13321" max="13321" width="37.88671875" style="1" customWidth="1"/>
    <col min="13322" max="13322" width="36.5546875" style="1" customWidth="1"/>
    <col min="13323" max="13323" width="29.44140625" style="1" customWidth="1"/>
    <col min="13324" max="13568" width="8.88671875" style="1"/>
    <col min="13569" max="13569" width="4" style="1" customWidth="1"/>
    <col min="13570" max="13570" width="59.6640625" style="1" customWidth="1"/>
    <col min="13571" max="13571" width="4.88671875" style="1" customWidth="1"/>
    <col min="13572" max="13572" width="9" style="1" customWidth="1"/>
    <col min="13573" max="13573" width="15.88671875" style="1" customWidth="1"/>
    <col min="13574" max="13574" width="15.6640625" style="1" customWidth="1"/>
    <col min="13575" max="13575" width="15.44140625" style="1" customWidth="1"/>
    <col min="13576" max="13576" width="17.109375" style="1" customWidth="1"/>
    <col min="13577" max="13577" width="37.88671875" style="1" customWidth="1"/>
    <col min="13578" max="13578" width="36.5546875" style="1" customWidth="1"/>
    <col min="13579" max="13579" width="29.44140625" style="1" customWidth="1"/>
    <col min="13580" max="13824" width="8.88671875" style="1"/>
    <col min="13825" max="13825" width="4" style="1" customWidth="1"/>
    <col min="13826" max="13826" width="59.6640625" style="1" customWidth="1"/>
    <col min="13827" max="13827" width="4.88671875" style="1" customWidth="1"/>
    <col min="13828" max="13828" width="9" style="1" customWidth="1"/>
    <col min="13829" max="13829" width="15.88671875" style="1" customWidth="1"/>
    <col min="13830" max="13830" width="15.6640625" style="1" customWidth="1"/>
    <col min="13831" max="13831" width="15.44140625" style="1" customWidth="1"/>
    <col min="13832" max="13832" width="17.109375" style="1" customWidth="1"/>
    <col min="13833" max="13833" width="37.88671875" style="1" customWidth="1"/>
    <col min="13834" max="13834" width="36.5546875" style="1" customWidth="1"/>
    <col min="13835" max="13835" width="29.44140625" style="1" customWidth="1"/>
    <col min="13836" max="14080" width="8.88671875" style="1"/>
    <col min="14081" max="14081" width="4" style="1" customWidth="1"/>
    <col min="14082" max="14082" width="59.6640625" style="1" customWidth="1"/>
    <col min="14083" max="14083" width="4.88671875" style="1" customWidth="1"/>
    <col min="14084" max="14084" width="9" style="1" customWidth="1"/>
    <col min="14085" max="14085" width="15.88671875" style="1" customWidth="1"/>
    <col min="14086" max="14086" width="15.6640625" style="1" customWidth="1"/>
    <col min="14087" max="14087" width="15.44140625" style="1" customWidth="1"/>
    <col min="14088" max="14088" width="17.109375" style="1" customWidth="1"/>
    <col min="14089" max="14089" width="37.88671875" style="1" customWidth="1"/>
    <col min="14090" max="14090" width="36.5546875" style="1" customWidth="1"/>
    <col min="14091" max="14091" width="29.44140625" style="1" customWidth="1"/>
    <col min="14092" max="14336" width="8.88671875" style="1"/>
    <col min="14337" max="14337" width="4" style="1" customWidth="1"/>
    <col min="14338" max="14338" width="59.6640625" style="1" customWidth="1"/>
    <col min="14339" max="14339" width="4.88671875" style="1" customWidth="1"/>
    <col min="14340" max="14340" width="9" style="1" customWidth="1"/>
    <col min="14341" max="14341" width="15.88671875" style="1" customWidth="1"/>
    <col min="14342" max="14342" width="15.6640625" style="1" customWidth="1"/>
    <col min="14343" max="14343" width="15.44140625" style="1" customWidth="1"/>
    <col min="14344" max="14344" width="17.109375" style="1" customWidth="1"/>
    <col min="14345" max="14345" width="37.88671875" style="1" customWidth="1"/>
    <col min="14346" max="14346" width="36.5546875" style="1" customWidth="1"/>
    <col min="14347" max="14347" width="29.44140625" style="1" customWidth="1"/>
    <col min="14348" max="14592" width="8.88671875" style="1"/>
    <col min="14593" max="14593" width="4" style="1" customWidth="1"/>
    <col min="14594" max="14594" width="59.6640625" style="1" customWidth="1"/>
    <col min="14595" max="14595" width="4.88671875" style="1" customWidth="1"/>
    <col min="14596" max="14596" width="9" style="1" customWidth="1"/>
    <col min="14597" max="14597" width="15.88671875" style="1" customWidth="1"/>
    <col min="14598" max="14598" width="15.6640625" style="1" customWidth="1"/>
    <col min="14599" max="14599" width="15.44140625" style="1" customWidth="1"/>
    <col min="14600" max="14600" width="17.109375" style="1" customWidth="1"/>
    <col min="14601" max="14601" width="37.88671875" style="1" customWidth="1"/>
    <col min="14602" max="14602" width="36.5546875" style="1" customWidth="1"/>
    <col min="14603" max="14603" width="29.44140625" style="1" customWidth="1"/>
    <col min="14604" max="14848" width="8.88671875" style="1"/>
    <col min="14849" max="14849" width="4" style="1" customWidth="1"/>
    <col min="14850" max="14850" width="59.6640625" style="1" customWidth="1"/>
    <col min="14851" max="14851" width="4.88671875" style="1" customWidth="1"/>
    <col min="14852" max="14852" width="9" style="1" customWidth="1"/>
    <col min="14853" max="14853" width="15.88671875" style="1" customWidth="1"/>
    <col min="14854" max="14854" width="15.6640625" style="1" customWidth="1"/>
    <col min="14855" max="14855" width="15.44140625" style="1" customWidth="1"/>
    <col min="14856" max="14856" width="17.109375" style="1" customWidth="1"/>
    <col min="14857" max="14857" width="37.88671875" style="1" customWidth="1"/>
    <col min="14858" max="14858" width="36.5546875" style="1" customWidth="1"/>
    <col min="14859" max="14859" width="29.44140625" style="1" customWidth="1"/>
    <col min="14860" max="15104" width="8.88671875" style="1"/>
    <col min="15105" max="15105" width="4" style="1" customWidth="1"/>
    <col min="15106" max="15106" width="59.6640625" style="1" customWidth="1"/>
    <col min="15107" max="15107" width="4.88671875" style="1" customWidth="1"/>
    <col min="15108" max="15108" width="9" style="1" customWidth="1"/>
    <col min="15109" max="15109" width="15.88671875" style="1" customWidth="1"/>
    <col min="15110" max="15110" width="15.6640625" style="1" customWidth="1"/>
    <col min="15111" max="15111" width="15.44140625" style="1" customWidth="1"/>
    <col min="15112" max="15112" width="17.109375" style="1" customWidth="1"/>
    <col min="15113" max="15113" width="37.88671875" style="1" customWidth="1"/>
    <col min="15114" max="15114" width="36.5546875" style="1" customWidth="1"/>
    <col min="15115" max="15115" width="29.44140625" style="1" customWidth="1"/>
    <col min="15116" max="15360" width="8.88671875" style="1"/>
    <col min="15361" max="15361" width="4" style="1" customWidth="1"/>
    <col min="15362" max="15362" width="59.6640625" style="1" customWidth="1"/>
    <col min="15363" max="15363" width="4.88671875" style="1" customWidth="1"/>
    <col min="15364" max="15364" width="9" style="1" customWidth="1"/>
    <col min="15365" max="15365" width="15.88671875" style="1" customWidth="1"/>
    <col min="15366" max="15366" width="15.6640625" style="1" customWidth="1"/>
    <col min="15367" max="15367" width="15.44140625" style="1" customWidth="1"/>
    <col min="15368" max="15368" width="17.109375" style="1" customWidth="1"/>
    <col min="15369" max="15369" width="37.88671875" style="1" customWidth="1"/>
    <col min="15370" max="15370" width="36.5546875" style="1" customWidth="1"/>
    <col min="15371" max="15371" width="29.44140625" style="1" customWidth="1"/>
    <col min="15372" max="15616" width="8.88671875" style="1"/>
    <col min="15617" max="15617" width="4" style="1" customWidth="1"/>
    <col min="15618" max="15618" width="59.6640625" style="1" customWidth="1"/>
    <col min="15619" max="15619" width="4.88671875" style="1" customWidth="1"/>
    <col min="15620" max="15620" width="9" style="1" customWidth="1"/>
    <col min="15621" max="15621" width="15.88671875" style="1" customWidth="1"/>
    <col min="15622" max="15622" width="15.6640625" style="1" customWidth="1"/>
    <col min="15623" max="15623" width="15.44140625" style="1" customWidth="1"/>
    <col min="15624" max="15624" width="17.109375" style="1" customWidth="1"/>
    <col min="15625" max="15625" width="37.88671875" style="1" customWidth="1"/>
    <col min="15626" max="15626" width="36.5546875" style="1" customWidth="1"/>
    <col min="15627" max="15627" width="29.44140625" style="1" customWidth="1"/>
    <col min="15628" max="15872" width="8.88671875" style="1"/>
    <col min="15873" max="15873" width="4" style="1" customWidth="1"/>
    <col min="15874" max="15874" width="59.6640625" style="1" customWidth="1"/>
    <col min="15875" max="15875" width="4.88671875" style="1" customWidth="1"/>
    <col min="15876" max="15876" width="9" style="1" customWidth="1"/>
    <col min="15877" max="15877" width="15.88671875" style="1" customWidth="1"/>
    <col min="15878" max="15878" width="15.6640625" style="1" customWidth="1"/>
    <col min="15879" max="15879" width="15.44140625" style="1" customWidth="1"/>
    <col min="15880" max="15880" width="17.109375" style="1" customWidth="1"/>
    <col min="15881" max="15881" width="37.88671875" style="1" customWidth="1"/>
    <col min="15882" max="15882" width="36.5546875" style="1" customWidth="1"/>
    <col min="15883" max="15883" width="29.44140625" style="1" customWidth="1"/>
    <col min="15884" max="16128" width="8.88671875" style="1"/>
    <col min="16129" max="16129" width="4" style="1" customWidth="1"/>
    <col min="16130" max="16130" width="59.6640625" style="1" customWidth="1"/>
    <col min="16131" max="16131" width="4.88671875" style="1" customWidth="1"/>
    <col min="16132" max="16132" width="9" style="1" customWidth="1"/>
    <col min="16133" max="16133" width="15.88671875" style="1" customWidth="1"/>
    <col min="16134" max="16134" width="15.6640625" style="1" customWidth="1"/>
    <col min="16135" max="16135" width="15.44140625" style="1" customWidth="1"/>
    <col min="16136" max="16136" width="17.109375" style="1" customWidth="1"/>
    <col min="16137" max="16137" width="37.88671875" style="1" customWidth="1"/>
    <col min="16138" max="16138" width="36.5546875" style="1" customWidth="1"/>
    <col min="16139" max="16139" width="29.44140625" style="1" customWidth="1"/>
    <col min="16140" max="16384" width="8.88671875" style="1"/>
  </cols>
  <sheetData>
    <row r="1" spans="1:16" ht="22.2" customHeight="1" x14ac:dyDescent="0.3">
      <c r="G1" s="2">
        <f ca="1">TODAY()</f>
        <v>45964</v>
      </c>
      <c r="H1" s="2">
        <f ca="1">TODAY()</f>
        <v>45964</v>
      </c>
    </row>
    <row r="2" spans="1:16" ht="30" customHeight="1" x14ac:dyDescent="0.3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2" hidden="1" customHeight="1" x14ac:dyDescent="0.3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-1477.7777777777778</v>
      </c>
      <c r="H3" s="10">
        <f t="shared" ref="H3:H37" ca="1" si="1">F3-$H$1</f>
        <v>-665</v>
      </c>
      <c r="L3" s="34"/>
      <c r="M3" s="34"/>
      <c r="N3" s="34"/>
      <c r="O3" s="34"/>
      <c r="P3" s="34"/>
    </row>
    <row r="4" spans="1:16" ht="22.2" hidden="1" customHeight="1" x14ac:dyDescent="0.3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-1477.7777777777778</v>
      </c>
      <c r="H4" s="10">
        <f t="shared" ca="1" si="1"/>
        <v>-665</v>
      </c>
      <c r="L4" s="35" t="s">
        <v>10</v>
      </c>
      <c r="M4" s="35"/>
      <c r="N4" s="35"/>
      <c r="O4" s="35"/>
      <c r="P4" s="35"/>
    </row>
    <row r="5" spans="1:16" ht="22.2" hidden="1" customHeight="1" x14ac:dyDescent="0.3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-1473.3333333333333</v>
      </c>
      <c r="H5" s="10">
        <f t="shared" ca="1" si="1"/>
        <v>-663</v>
      </c>
      <c r="L5" s="35"/>
      <c r="M5" s="35"/>
      <c r="N5" s="35"/>
      <c r="O5" s="35"/>
      <c r="P5" s="35"/>
    </row>
    <row r="6" spans="1:16" ht="22.2" hidden="1" customHeight="1" x14ac:dyDescent="0.3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-1888.5714285714287</v>
      </c>
      <c r="H6" s="10">
        <f t="shared" ca="1" si="1"/>
        <v>-661</v>
      </c>
      <c r="L6" s="12"/>
      <c r="M6" s="12"/>
      <c r="N6" s="12"/>
      <c r="O6" s="12"/>
      <c r="P6" s="12"/>
    </row>
    <row r="7" spans="1:16" ht="22.2" hidden="1" customHeight="1" x14ac:dyDescent="0.3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-1885.7142857142858</v>
      </c>
      <c r="H7" s="10">
        <f t="shared" ca="1" si="1"/>
        <v>-660</v>
      </c>
      <c r="L7" s="36"/>
      <c r="M7" s="36"/>
      <c r="N7" s="36"/>
      <c r="O7" s="36"/>
      <c r="P7" s="36"/>
    </row>
    <row r="8" spans="1:16" ht="22.2" hidden="1" customHeight="1" x14ac:dyDescent="0.3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-2196.6666666666665</v>
      </c>
      <c r="H8" s="10">
        <f t="shared" ca="1" si="1"/>
        <v>-659</v>
      </c>
      <c r="L8" s="34"/>
      <c r="M8" s="34"/>
      <c r="N8" s="34"/>
      <c r="O8" s="34"/>
      <c r="P8" s="34"/>
    </row>
    <row r="9" spans="1:16" ht="22.2" hidden="1" customHeight="1" x14ac:dyDescent="0.3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-1647.5000000000002</v>
      </c>
      <c r="H9" s="10">
        <f t="shared" ca="1" si="1"/>
        <v>-659</v>
      </c>
      <c r="L9" s="35" t="s">
        <v>17</v>
      </c>
      <c r="M9" s="35"/>
      <c r="N9" s="35"/>
      <c r="O9" s="35"/>
      <c r="P9" s="35"/>
    </row>
    <row r="10" spans="1:16" ht="22.2" hidden="1" customHeight="1" x14ac:dyDescent="0.3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-1464.4444444444443</v>
      </c>
      <c r="H10" s="10">
        <f t="shared" ca="1" si="1"/>
        <v>-659</v>
      </c>
      <c r="L10" s="35"/>
      <c r="M10" s="35"/>
      <c r="N10" s="35"/>
      <c r="O10" s="35"/>
      <c r="P10" s="35"/>
    </row>
    <row r="11" spans="1:16" ht="22.2" hidden="1" customHeight="1" x14ac:dyDescent="0.3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-2193.3333333333335</v>
      </c>
      <c r="H11" s="10">
        <f t="shared" ca="1" si="1"/>
        <v>-658</v>
      </c>
    </row>
    <row r="12" spans="1:16" ht="22.2" hidden="1" customHeight="1" x14ac:dyDescent="0.3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-1316</v>
      </c>
      <c r="H12" s="10">
        <f t="shared" ca="1" si="1"/>
        <v>-658</v>
      </c>
    </row>
    <row r="13" spans="1:16" ht="22.2" hidden="1" customHeight="1" x14ac:dyDescent="0.3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-2193.3333333333335</v>
      </c>
      <c r="H13" s="10">
        <f t="shared" ca="1" si="1"/>
        <v>-658</v>
      </c>
    </row>
    <row r="14" spans="1:16" ht="22.2" hidden="1" customHeight="1" x14ac:dyDescent="0.3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-854.5454545454545</v>
      </c>
      <c r="H14" s="10">
        <f t="shared" ca="1" si="1"/>
        <v>-658</v>
      </c>
      <c r="I14" s="1" t="s">
        <v>23</v>
      </c>
    </row>
    <row r="15" spans="1:16" ht="22.2" hidden="1" customHeight="1" x14ac:dyDescent="0.3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-1460</v>
      </c>
      <c r="H15" s="10">
        <f t="shared" ca="1" si="1"/>
        <v>-657</v>
      </c>
    </row>
    <row r="16" spans="1:16" ht="22.2" hidden="1" customHeight="1" x14ac:dyDescent="0.3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-2190</v>
      </c>
      <c r="H16" s="10">
        <f t="shared" ca="1" si="1"/>
        <v>-657</v>
      </c>
    </row>
    <row r="17" spans="1:8" ht="22.2" hidden="1" customHeight="1" x14ac:dyDescent="0.3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-1642.5</v>
      </c>
      <c r="H17" s="10">
        <f t="shared" ca="1" si="1"/>
        <v>-657</v>
      </c>
    </row>
    <row r="18" spans="1:8" ht="22.2" hidden="1" customHeight="1" x14ac:dyDescent="0.3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-1639.9999999999998</v>
      </c>
      <c r="H18" s="10">
        <f t="shared" ca="1" si="1"/>
        <v>-656</v>
      </c>
    </row>
    <row r="19" spans="1:8" ht="22.2" hidden="1" customHeight="1" x14ac:dyDescent="0.3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-1639.9999999999998</v>
      </c>
      <c r="H19" s="10">
        <f t="shared" ca="1" si="1"/>
        <v>-656</v>
      </c>
    </row>
    <row r="20" spans="1:8" ht="22.2" hidden="1" customHeight="1" x14ac:dyDescent="0.3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-1639.9999999999998</v>
      </c>
      <c r="H20" s="10">
        <f t="shared" ca="1" si="1"/>
        <v>-656</v>
      </c>
    </row>
    <row r="21" spans="1:8" ht="22.2" hidden="1" customHeight="1" x14ac:dyDescent="0.3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-1635.0000000000002</v>
      </c>
      <c r="H21" s="10">
        <f t="shared" ca="1" si="1"/>
        <v>-654</v>
      </c>
    </row>
    <row r="22" spans="1:8" ht="22.2" hidden="1" customHeight="1" x14ac:dyDescent="0.3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-1518.6046511627908</v>
      </c>
      <c r="H22" s="10">
        <f t="shared" ca="1" si="1"/>
        <v>-653</v>
      </c>
    </row>
    <row r="23" spans="1:8" ht="22.2" hidden="1" customHeight="1" x14ac:dyDescent="0.3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-1518.6046511627908</v>
      </c>
      <c r="H23" s="10">
        <f t="shared" ca="1" si="1"/>
        <v>-653</v>
      </c>
    </row>
    <row r="24" spans="1:8" ht="22.2" hidden="1" customHeight="1" x14ac:dyDescent="0.3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-1865.7142857142858</v>
      </c>
      <c r="H24" s="10">
        <f t="shared" ca="1" si="1"/>
        <v>-653</v>
      </c>
    </row>
    <row r="25" spans="1:8" ht="22.2" hidden="1" customHeight="1" x14ac:dyDescent="0.3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-1448.8888888888889</v>
      </c>
      <c r="H25" s="10">
        <f t="shared" ca="1" si="1"/>
        <v>-652</v>
      </c>
    </row>
    <row r="26" spans="1:8" ht="22.2" hidden="1" customHeight="1" x14ac:dyDescent="0.3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-1862.8571428571429</v>
      </c>
      <c r="H26" s="10">
        <f t="shared" ca="1" si="1"/>
        <v>-652</v>
      </c>
    </row>
    <row r="27" spans="1:8" ht="22.2" hidden="1" customHeight="1" x14ac:dyDescent="0.3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-1862.8571428571429</v>
      </c>
      <c r="H27" s="10">
        <f t="shared" ca="1" si="1"/>
        <v>-652</v>
      </c>
    </row>
    <row r="28" spans="1:8" ht="22.2" hidden="1" customHeight="1" x14ac:dyDescent="0.3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-1630</v>
      </c>
      <c r="H28" s="10">
        <f t="shared" ca="1" si="1"/>
        <v>-652</v>
      </c>
    </row>
    <row r="29" spans="1:8" ht="22.2" hidden="1" customHeight="1" x14ac:dyDescent="0.3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-1446.6666666666667</v>
      </c>
      <c r="H29" s="10">
        <f t="shared" ca="1" si="1"/>
        <v>-651</v>
      </c>
    </row>
    <row r="30" spans="1:8" ht="22.2" hidden="1" customHeight="1" x14ac:dyDescent="0.3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-1446.6666666666667</v>
      </c>
      <c r="H30" s="10">
        <f t="shared" ca="1" si="1"/>
        <v>-651</v>
      </c>
    </row>
    <row r="31" spans="1:8" ht="22.2" hidden="1" customHeight="1" x14ac:dyDescent="0.3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-1446.6666666666667</v>
      </c>
      <c r="H31" s="10">
        <f t="shared" ca="1" si="1"/>
        <v>-651</v>
      </c>
    </row>
    <row r="32" spans="1:8" ht="22.2" hidden="1" customHeight="1" x14ac:dyDescent="0.3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-1446.6666666666667</v>
      </c>
      <c r="H32" s="10">
        <f t="shared" ca="1" si="1"/>
        <v>-651</v>
      </c>
    </row>
    <row r="33" spans="1:8" ht="22.2" hidden="1" customHeight="1" x14ac:dyDescent="0.3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-1625</v>
      </c>
      <c r="H33" s="10">
        <f t="shared" ca="1" si="1"/>
        <v>-650</v>
      </c>
    </row>
    <row r="34" spans="1:8" ht="22.2" hidden="1" customHeight="1" x14ac:dyDescent="0.3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-1622.5000000000002</v>
      </c>
      <c r="H34" s="10">
        <f t="shared" ca="1" si="1"/>
        <v>-649</v>
      </c>
    </row>
    <row r="35" spans="1:8" ht="22.2" hidden="1" customHeight="1" x14ac:dyDescent="0.3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-1622.5000000000002</v>
      </c>
      <c r="H35" s="10">
        <f t="shared" ca="1" si="1"/>
        <v>-649</v>
      </c>
    </row>
    <row r="36" spans="1:8" ht="22.2" hidden="1" customHeight="1" x14ac:dyDescent="0.3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-45964</v>
      </c>
    </row>
    <row r="37" spans="1:8" ht="22.2" hidden="1" customHeight="1" x14ac:dyDescent="0.3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-1620</v>
      </c>
      <c r="H37" s="10">
        <f t="shared" ca="1" si="1"/>
        <v>-648</v>
      </c>
    </row>
    <row r="38" spans="1:8" ht="22.2" hidden="1" customHeight="1" x14ac:dyDescent="0.3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-1073.3333333333333</v>
      </c>
      <c r="H38" s="10">
        <f ca="1">F38-$H$1</f>
        <v>-644</v>
      </c>
    </row>
    <row r="39" spans="1:8" ht="22.2" hidden="1" customHeight="1" x14ac:dyDescent="0.3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-45964</v>
      </c>
    </row>
    <row r="40" spans="1:8" ht="22.2" hidden="1" customHeight="1" x14ac:dyDescent="0.3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-45964</v>
      </c>
    </row>
    <row r="41" spans="1:8" ht="22.2" hidden="1" customHeight="1" x14ac:dyDescent="0.3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-45964</v>
      </c>
    </row>
    <row r="42" spans="1:8" ht="22.2" hidden="1" customHeight="1" x14ac:dyDescent="0.3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-45964</v>
      </c>
    </row>
    <row r="43" spans="1:8" ht="22.2" hidden="1" customHeight="1" x14ac:dyDescent="0.3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-45964</v>
      </c>
    </row>
    <row r="44" spans="1:8" ht="22.2" hidden="1" customHeight="1" x14ac:dyDescent="0.3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-45964</v>
      </c>
    </row>
    <row r="45" spans="1:8" ht="22.2" hidden="1" customHeight="1" x14ac:dyDescent="0.3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-45964</v>
      </c>
    </row>
    <row r="46" spans="1:8" ht="22.2" hidden="1" customHeight="1" x14ac:dyDescent="0.3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-45964</v>
      </c>
    </row>
    <row r="47" spans="1:8" ht="22.2" hidden="1" customHeight="1" x14ac:dyDescent="0.3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-45964</v>
      </c>
    </row>
    <row r="48" spans="1:8" ht="22.2" hidden="1" customHeight="1" x14ac:dyDescent="0.3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-45964</v>
      </c>
    </row>
    <row r="49" spans="1:8" ht="22.2" hidden="1" customHeight="1" x14ac:dyDescent="0.3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-45964</v>
      </c>
    </row>
    <row r="50" spans="1:8" ht="22.2" hidden="1" customHeight="1" x14ac:dyDescent="0.3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-45964</v>
      </c>
    </row>
    <row r="51" spans="1:8" ht="22.2" hidden="1" customHeight="1" x14ac:dyDescent="0.3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-45964</v>
      </c>
    </row>
    <row r="52" spans="1:8" ht="22.2" hidden="1" customHeight="1" x14ac:dyDescent="0.3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-45964</v>
      </c>
    </row>
    <row r="53" spans="1:8" ht="22.2" hidden="1" customHeight="1" x14ac:dyDescent="0.3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-45964</v>
      </c>
    </row>
    <row r="54" spans="1:8" ht="22.2" hidden="1" customHeight="1" x14ac:dyDescent="0.3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-45964</v>
      </c>
    </row>
    <row r="55" spans="1:8" ht="22.2" hidden="1" customHeight="1" x14ac:dyDescent="0.3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-45964</v>
      </c>
    </row>
    <row r="56" spans="1:8" ht="22.2" hidden="1" customHeight="1" x14ac:dyDescent="0.3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-45964</v>
      </c>
    </row>
    <row r="57" spans="1:8" ht="22.2" hidden="1" customHeight="1" x14ac:dyDescent="0.3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-45964</v>
      </c>
    </row>
    <row r="58" spans="1:8" ht="22.2" hidden="1" customHeight="1" x14ac:dyDescent="0.3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-45964</v>
      </c>
    </row>
    <row r="59" spans="1:8" ht="22.2" hidden="1" customHeight="1" x14ac:dyDescent="0.3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-45964</v>
      </c>
    </row>
    <row r="60" spans="1:8" ht="22.2" hidden="1" customHeight="1" x14ac:dyDescent="0.3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-45964</v>
      </c>
    </row>
    <row r="61" spans="1:8" ht="22.2" hidden="1" customHeight="1" x14ac:dyDescent="0.3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-45964</v>
      </c>
    </row>
    <row r="62" spans="1:8" ht="22.2" hidden="1" customHeight="1" x14ac:dyDescent="0.3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-45964</v>
      </c>
    </row>
    <row r="63" spans="1:8" ht="22.2" hidden="1" customHeight="1" x14ac:dyDescent="0.3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-45964</v>
      </c>
    </row>
    <row r="64" spans="1:8" ht="22.2" hidden="1" customHeight="1" x14ac:dyDescent="0.3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-45964</v>
      </c>
    </row>
    <row r="65" spans="1:9" ht="22.2" hidden="1" customHeight="1" x14ac:dyDescent="0.3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-45964</v>
      </c>
    </row>
    <row r="66" spans="1:9" ht="22.2" hidden="1" customHeight="1" x14ac:dyDescent="0.3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-45964</v>
      </c>
    </row>
    <row r="67" spans="1:9" ht="22.2" hidden="1" customHeight="1" x14ac:dyDescent="0.3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-45964</v>
      </c>
    </row>
    <row r="68" spans="1:9" ht="22.2" hidden="1" customHeight="1" x14ac:dyDescent="0.3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-45964</v>
      </c>
    </row>
    <row r="69" spans="1:9" ht="22.2" hidden="1" customHeight="1" x14ac:dyDescent="0.3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-45964</v>
      </c>
    </row>
    <row r="70" spans="1:9" ht="22.2" hidden="1" customHeight="1" x14ac:dyDescent="0.3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-45964</v>
      </c>
    </row>
    <row r="71" spans="1:9" ht="22.2" customHeight="1" x14ac:dyDescent="0.3">
      <c r="A71"/>
      <c r="B71" s="19" t="s">
        <v>82</v>
      </c>
      <c r="C71" s="7" t="s">
        <v>80</v>
      </c>
      <c r="D71" s="14">
        <v>10</v>
      </c>
      <c r="E71" s="18">
        <v>45926</v>
      </c>
      <c r="F71" s="11">
        <v>45986</v>
      </c>
      <c r="G71" s="10">
        <f t="shared" ca="1" si="2"/>
        <v>36.666666666666664</v>
      </c>
      <c r="H71" s="10">
        <f t="shared" ca="1" si="3"/>
        <v>22</v>
      </c>
    </row>
    <row r="72" spans="1:9" ht="22.2" hidden="1" customHeight="1" x14ac:dyDescent="0.3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-45964</v>
      </c>
    </row>
    <row r="73" spans="1:9" ht="22.2" hidden="1" customHeight="1" x14ac:dyDescent="0.3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-45964</v>
      </c>
    </row>
    <row r="74" spans="1:9" ht="22.2" hidden="1" customHeight="1" x14ac:dyDescent="0.3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-45964</v>
      </c>
    </row>
    <row r="75" spans="1:9" ht="22.2" hidden="1" customHeight="1" x14ac:dyDescent="0.3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-45964</v>
      </c>
    </row>
    <row r="76" spans="1:9" ht="22.2" hidden="1" customHeight="1" x14ac:dyDescent="0.3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-45964</v>
      </c>
    </row>
    <row r="77" spans="1:9" ht="22.2" customHeight="1" x14ac:dyDescent="0.3">
      <c r="A77"/>
      <c r="B77" s="19" t="s">
        <v>81</v>
      </c>
      <c r="C77" s="7" t="s">
        <v>80</v>
      </c>
      <c r="D77" s="14">
        <v>9</v>
      </c>
      <c r="E77" s="11">
        <v>45927</v>
      </c>
      <c r="F77" s="11">
        <v>45977</v>
      </c>
      <c r="G77" s="10">
        <f t="shared" ca="1" si="4"/>
        <v>26</v>
      </c>
      <c r="H77" s="10">
        <f t="shared" ca="1" si="5"/>
        <v>13</v>
      </c>
      <c r="I77"/>
    </row>
    <row r="78" spans="1:9" ht="22.2" customHeight="1" x14ac:dyDescent="0.3">
      <c r="A78"/>
      <c r="B78" s="19" t="s">
        <v>83</v>
      </c>
      <c r="C78" s="7" t="s">
        <v>80</v>
      </c>
      <c r="D78" s="14">
        <v>75</v>
      </c>
      <c r="E78" s="11">
        <v>45943</v>
      </c>
      <c r="F78" s="11">
        <v>45988</v>
      </c>
      <c r="G78" s="10">
        <f t="shared" ca="1" si="4"/>
        <v>53.333333333333336</v>
      </c>
      <c r="H78" s="10">
        <f t="shared" ca="1" si="5"/>
        <v>24</v>
      </c>
      <c r="I78"/>
    </row>
    <row r="79" spans="1:9" ht="22.2" customHeight="1" x14ac:dyDescent="0.3">
      <c r="A79"/>
      <c r="B79" s="19" t="s">
        <v>84</v>
      </c>
      <c r="C79" s="7" t="s">
        <v>85</v>
      </c>
      <c r="D79" s="14" t="s">
        <v>86</v>
      </c>
      <c r="E79" s="11">
        <v>45925</v>
      </c>
      <c r="F79" s="11">
        <v>45970</v>
      </c>
      <c r="G79" s="10">
        <f t="shared" ca="1" si="4"/>
        <v>13.333333333333334</v>
      </c>
      <c r="H79" s="10">
        <f t="shared" ca="1" si="5"/>
        <v>6</v>
      </c>
      <c r="I79"/>
    </row>
    <row r="80" spans="1:9" ht="22.2" customHeight="1" x14ac:dyDescent="0.3">
      <c r="A80"/>
      <c r="B80" s="19" t="s">
        <v>87</v>
      </c>
      <c r="C80" s="7" t="s">
        <v>80</v>
      </c>
      <c r="D80" s="17">
        <v>29</v>
      </c>
      <c r="E80" s="11">
        <v>45922</v>
      </c>
      <c r="F80" s="11">
        <v>45982</v>
      </c>
      <c r="G80" s="10">
        <f t="shared" ca="1" si="4"/>
        <v>30</v>
      </c>
      <c r="H80" s="10">
        <f t="shared" ca="1" si="5"/>
        <v>18</v>
      </c>
      <c r="I80"/>
    </row>
    <row r="81" spans="1:9" ht="22.2" customHeight="1" x14ac:dyDescent="0.3">
      <c r="A81"/>
      <c r="B81" s="19" t="s">
        <v>88</v>
      </c>
      <c r="C81" s="16" t="s">
        <v>85</v>
      </c>
      <c r="D81" s="17" t="s">
        <v>89</v>
      </c>
      <c r="E81" s="11">
        <v>45934</v>
      </c>
      <c r="F81" s="11">
        <v>45979</v>
      </c>
      <c r="G81" s="10">
        <f t="shared" ca="1" si="4"/>
        <v>33.333333333333329</v>
      </c>
      <c r="H81" s="10">
        <f t="shared" ca="1" si="5"/>
        <v>15</v>
      </c>
      <c r="I81"/>
    </row>
    <row r="82" spans="1:9" ht="22.2" customHeight="1" x14ac:dyDescent="0.3">
      <c r="A82"/>
      <c r="B82" s="19" t="s">
        <v>90</v>
      </c>
      <c r="C82" s="7" t="s">
        <v>80</v>
      </c>
      <c r="D82" s="17">
        <v>2</v>
      </c>
      <c r="E82" s="11">
        <v>45968</v>
      </c>
      <c r="F82" s="11">
        <v>45982</v>
      </c>
      <c r="G82" s="10">
        <f t="shared" ca="1" si="4"/>
        <v>128.57142857142858</v>
      </c>
      <c r="H82" s="10">
        <f t="shared" ca="1" si="5"/>
        <v>18</v>
      </c>
      <c r="I82"/>
    </row>
    <row r="83" spans="1:9" ht="22.2" customHeight="1" x14ac:dyDescent="0.3">
      <c r="A83"/>
      <c r="B83" s="19" t="s">
        <v>91</v>
      </c>
      <c r="C83" s="7" t="s">
        <v>80</v>
      </c>
      <c r="D83" s="14">
        <v>11</v>
      </c>
      <c r="E83" s="11">
        <v>45922</v>
      </c>
      <c r="F83" s="11">
        <v>45967</v>
      </c>
      <c r="G83" s="10">
        <f t="shared" ref="G83" ca="1" si="6">IFERROR((F83-$G$1)/(F83-E83)*100,"")</f>
        <v>6.666666666666667</v>
      </c>
      <c r="H83" s="10">
        <f t="shared" ref="H83" ca="1" si="7">F83-$H$1</f>
        <v>3</v>
      </c>
      <c r="I83"/>
    </row>
    <row r="84" spans="1:9" ht="22.2" customHeight="1" x14ac:dyDescent="0.3">
      <c r="A84"/>
      <c r="B84" s="19" t="s">
        <v>92</v>
      </c>
      <c r="C84" s="7" t="s">
        <v>80</v>
      </c>
      <c r="D84" s="14">
        <v>5</v>
      </c>
      <c r="E84" s="11">
        <v>45945</v>
      </c>
      <c r="F84" s="11">
        <v>45990</v>
      </c>
      <c r="G84" s="10">
        <f t="shared" ref="G84:G85" ca="1" si="8">IFERROR((F84-$G$1)/(F84-E84)*100,"")</f>
        <v>57.777777777777771</v>
      </c>
      <c r="H84" s="10">
        <f t="shared" ref="H84:H85" ca="1" si="9">F84-$H$1</f>
        <v>26</v>
      </c>
      <c r="I84"/>
    </row>
    <row r="85" spans="1:9" ht="22.2" customHeight="1" x14ac:dyDescent="0.3">
      <c r="A85"/>
      <c r="B85" s="19" t="s">
        <v>93</v>
      </c>
      <c r="C85" s="7" t="s">
        <v>80</v>
      </c>
      <c r="D85" s="14">
        <v>13</v>
      </c>
      <c r="E85" s="11">
        <v>45935</v>
      </c>
      <c r="F85" s="11">
        <v>45985</v>
      </c>
      <c r="G85" s="10">
        <f t="shared" ca="1" si="8"/>
        <v>42</v>
      </c>
      <c r="H85" s="10">
        <f t="shared" ca="1" si="9"/>
        <v>21</v>
      </c>
      <c r="I85"/>
    </row>
    <row r="86" spans="1:9" ht="22.2" customHeight="1" x14ac:dyDescent="0.3">
      <c r="A86"/>
      <c r="B86" s="19" t="s">
        <v>94</v>
      </c>
      <c r="C86" s="7" t="s">
        <v>80</v>
      </c>
      <c r="D86" s="14">
        <v>17</v>
      </c>
      <c r="E86" s="11">
        <v>45945</v>
      </c>
      <c r="F86" s="11">
        <v>45975</v>
      </c>
      <c r="G86" s="10">
        <f t="shared" ref="G86" ca="1" si="10">IFERROR((F86-$G$1)/(F86-E86)*100,"")</f>
        <v>36.666666666666664</v>
      </c>
      <c r="H86" s="10">
        <f t="shared" ref="H86" ca="1" si="11">F86-$H$1</f>
        <v>11</v>
      </c>
      <c r="I86"/>
    </row>
    <row r="87" spans="1:9" ht="22.2" customHeight="1" x14ac:dyDescent="0.3">
      <c r="A87"/>
      <c r="B87" s="19" t="s">
        <v>95</v>
      </c>
      <c r="C87" s="7" t="s">
        <v>80</v>
      </c>
      <c r="D87" s="14">
        <v>15</v>
      </c>
      <c r="E87" s="11">
        <v>45845</v>
      </c>
      <c r="F87" s="11">
        <v>45994</v>
      </c>
      <c r="G87" s="10">
        <f t="shared" ref="G87:G89" ca="1" si="12">IFERROR((F87-$G$1)/(F87-E87)*100,"")</f>
        <v>20.134228187919462</v>
      </c>
      <c r="H87" s="10">
        <f t="shared" ref="H87:H89" ca="1" si="13">F87-$H$1</f>
        <v>30</v>
      </c>
      <c r="I87"/>
    </row>
    <row r="88" spans="1:9" ht="22.2" customHeight="1" x14ac:dyDescent="0.3">
      <c r="A88"/>
      <c r="B88" s="19" t="s">
        <v>96</v>
      </c>
      <c r="C88" s="7" t="s">
        <v>80</v>
      </c>
      <c r="D88" s="14">
        <v>28</v>
      </c>
      <c r="E88" s="11">
        <v>45860</v>
      </c>
      <c r="F88" s="11">
        <v>46010</v>
      </c>
      <c r="G88" s="10">
        <f t="shared" ca="1" si="12"/>
        <v>30.666666666666664</v>
      </c>
      <c r="H88" s="10">
        <f t="shared" ca="1" si="13"/>
        <v>46</v>
      </c>
      <c r="I88"/>
    </row>
    <row r="89" spans="1:9" ht="22.2" customHeight="1" x14ac:dyDescent="0.3">
      <c r="A89"/>
      <c r="B89" s="19"/>
      <c r="C89" s="7" t="s">
        <v>80</v>
      </c>
      <c r="D89" s="14">
        <v>80</v>
      </c>
      <c r="E89" s="11">
        <v>45867</v>
      </c>
      <c r="F89" s="11">
        <v>46017</v>
      </c>
      <c r="G89" s="10">
        <f t="shared" ca="1" si="12"/>
        <v>35.333333333333336</v>
      </c>
      <c r="H89" s="10">
        <f t="shared" ca="1" si="13"/>
        <v>53</v>
      </c>
      <c r="I89"/>
    </row>
    <row r="90" spans="1:9" ht="22.2" customHeight="1" x14ac:dyDescent="0.3">
      <c r="A90"/>
      <c r="B90" s="19" t="s">
        <v>97</v>
      </c>
      <c r="C90" s="7" t="s">
        <v>85</v>
      </c>
      <c r="D90" s="14" t="s">
        <v>98</v>
      </c>
      <c r="E90" s="11">
        <v>45849</v>
      </c>
      <c r="F90" s="11">
        <v>45969</v>
      </c>
      <c r="G90" s="10">
        <f t="shared" ref="G90:G102" ca="1" si="14">IFERROR((F90-$G$1)/(F90-E90)*100,"")</f>
        <v>4.1666666666666661</v>
      </c>
      <c r="H90" s="10">
        <f t="shared" ref="H90:H102" ca="1" si="15">F90-$H$1</f>
        <v>5</v>
      </c>
      <c r="I90"/>
    </row>
    <row r="91" spans="1:9" ht="22.2" customHeight="1" x14ac:dyDescent="0.3">
      <c r="A91"/>
      <c r="B91" s="19"/>
      <c r="C91" s="7"/>
      <c r="D91" s="14"/>
      <c r="E91" s="11"/>
      <c r="F91" s="11"/>
      <c r="G91" s="10" t="str">
        <f t="shared" ca="1" si="14"/>
        <v/>
      </c>
      <c r="H91" s="10">
        <f t="shared" ca="1" si="15"/>
        <v>-45964</v>
      </c>
      <c r="I91"/>
    </row>
    <row r="92" spans="1:9" ht="22.2" customHeight="1" x14ac:dyDescent="0.3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-45964</v>
      </c>
      <c r="I92"/>
    </row>
    <row r="93" spans="1:9" ht="22.2" customHeight="1" x14ac:dyDescent="0.3">
      <c r="A93"/>
      <c r="B93" s="19"/>
      <c r="C93" s="20"/>
      <c r="D93" s="21"/>
      <c r="E93" s="22"/>
      <c r="F93" s="22"/>
      <c r="G93" s="23" t="str">
        <f t="shared" ca="1" si="14"/>
        <v/>
      </c>
      <c r="H93" s="23">
        <f t="shared" ca="1" si="15"/>
        <v>-45964</v>
      </c>
      <c r="I93"/>
    </row>
    <row r="94" spans="1:9" ht="22.2" customHeight="1" x14ac:dyDescent="0.3">
      <c r="A94"/>
      <c r="B94" s="19"/>
      <c r="C94" s="27"/>
      <c r="D94" s="24"/>
      <c r="E94" s="22"/>
      <c r="F94" s="22"/>
      <c r="G94" s="23" t="str">
        <f t="shared" ca="1" si="14"/>
        <v/>
      </c>
      <c r="H94" s="23">
        <f t="shared" ca="1" si="15"/>
        <v>-45964</v>
      </c>
      <c r="I94"/>
    </row>
    <row r="95" spans="1:9" ht="22.2" customHeight="1" x14ac:dyDescent="0.3">
      <c r="A95"/>
      <c r="B95" s="19"/>
      <c r="C95" s="30"/>
      <c r="D95" s="31"/>
      <c r="E95" s="22"/>
      <c r="F95" s="22"/>
      <c r="G95" s="23" t="str">
        <f t="shared" ca="1" si="14"/>
        <v/>
      </c>
      <c r="H95" s="23">
        <f t="shared" ca="1" si="15"/>
        <v>-45964</v>
      </c>
      <c r="I95"/>
    </row>
    <row r="96" spans="1:9" ht="22.2" customHeight="1" x14ac:dyDescent="0.3">
      <c r="A96"/>
      <c r="B96" s="19"/>
      <c r="C96" s="29"/>
      <c r="D96" s="26"/>
      <c r="E96" s="22"/>
      <c r="F96" s="22"/>
      <c r="G96" s="23" t="str">
        <f t="shared" ca="1" si="14"/>
        <v/>
      </c>
      <c r="H96" s="23">
        <f t="shared" ca="1" si="15"/>
        <v>-45964</v>
      </c>
      <c r="I96"/>
    </row>
    <row r="97" spans="1:9" ht="22.2" customHeight="1" x14ac:dyDescent="0.3">
      <c r="A97"/>
      <c r="B97" s="19"/>
      <c r="C97" s="30"/>
      <c r="D97" s="31"/>
      <c r="E97" s="22"/>
      <c r="F97" s="22"/>
      <c r="G97" s="23" t="str">
        <f t="shared" ca="1" si="14"/>
        <v/>
      </c>
      <c r="H97" s="23">
        <f t="shared" ca="1" si="15"/>
        <v>-45964</v>
      </c>
      <c r="I97"/>
    </row>
    <row r="98" spans="1:9" ht="22.2" customHeight="1" x14ac:dyDescent="0.3">
      <c r="A98"/>
      <c r="B98" s="19"/>
      <c r="C98" s="29"/>
      <c r="D98" s="26"/>
      <c r="E98" s="22"/>
      <c r="F98" s="22"/>
      <c r="G98" s="23" t="str">
        <f t="shared" ca="1" si="14"/>
        <v/>
      </c>
      <c r="H98" s="23">
        <f t="shared" ca="1" si="15"/>
        <v>-45964</v>
      </c>
      <c r="I98"/>
    </row>
    <row r="99" spans="1:9" ht="22.2" customHeight="1" x14ac:dyDescent="0.3">
      <c r="A99"/>
      <c r="B99" s="19"/>
      <c r="C99" s="30"/>
      <c r="D99" s="31"/>
      <c r="E99" s="22"/>
      <c r="F99" s="22"/>
      <c r="G99" s="23" t="str">
        <f t="shared" ca="1" si="14"/>
        <v/>
      </c>
      <c r="H99" s="23">
        <f t="shared" ca="1" si="15"/>
        <v>-45964</v>
      </c>
      <c r="I99"/>
    </row>
    <row r="100" spans="1:9" ht="22.2" customHeight="1" x14ac:dyDescent="0.3">
      <c r="A100"/>
      <c r="B100" s="19"/>
      <c r="C100" s="29"/>
      <c r="D100" s="26"/>
      <c r="E100" s="22"/>
      <c r="F100" s="22"/>
      <c r="G100" s="23" t="str">
        <f t="shared" ca="1" si="14"/>
        <v/>
      </c>
      <c r="H100" s="23">
        <f t="shared" ca="1" si="15"/>
        <v>-45964</v>
      </c>
      <c r="I100"/>
    </row>
    <row r="101" spans="1:9" ht="22.2" customHeight="1" x14ac:dyDescent="0.3">
      <c r="A101"/>
      <c r="B101" s="19"/>
      <c r="C101" s="28"/>
      <c r="D101" s="25"/>
      <c r="E101" s="22"/>
      <c r="F101" s="22"/>
      <c r="G101" s="23" t="str">
        <f t="shared" ca="1" si="14"/>
        <v/>
      </c>
      <c r="H101" s="23">
        <f t="shared" ca="1" si="15"/>
        <v>-45964</v>
      </c>
      <c r="I101"/>
    </row>
    <row r="102" spans="1:9" ht="22.2" customHeight="1" x14ac:dyDescent="0.3">
      <c r="A102"/>
      <c r="B102" s="19"/>
      <c r="C102" s="30"/>
      <c r="D102" s="32"/>
      <c r="E102" s="33"/>
      <c r="F102" s="22"/>
      <c r="G102" s="23" t="str">
        <f t="shared" ca="1" si="14"/>
        <v/>
      </c>
      <c r="H102" s="23">
        <f t="shared" ca="1" si="15"/>
        <v>-45964</v>
      </c>
      <c r="I102"/>
    </row>
    <row r="103" spans="1:9" ht="22.2" customHeight="1" x14ac:dyDescent="0.3">
      <c r="A103"/>
      <c r="B103"/>
      <c r="C103"/>
      <c r="D103"/>
      <c r="E103"/>
      <c r="F103"/>
      <c r="G103"/>
      <c r="H103"/>
      <c r="I103"/>
    </row>
    <row r="104" spans="1:9" ht="22.2" customHeight="1" x14ac:dyDescent="0.3">
      <c r="A104"/>
      <c r="B104"/>
      <c r="C104"/>
      <c r="D104"/>
      <c r="E104"/>
      <c r="F104"/>
      <c r="G104"/>
      <c r="H104"/>
      <c r="I104"/>
    </row>
    <row r="105" spans="1:9" ht="22.2" customHeight="1" x14ac:dyDescent="0.3">
      <c r="A105"/>
      <c r="B105"/>
      <c r="C105"/>
      <c r="D105"/>
      <c r="E105"/>
      <c r="F105"/>
      <c r="G105"/>
      <c r="H105"/>
      <c r="I105"/>
    </row>
    <row r="106" spans="1:9" ht="22.2" customHeight="1" x14ac:dyDescent="0.3">
      <c r="A106"/>
      <c r="B106"/>
      <c r="C106"/>
      <c r="D106"/>
      <c r="E106"/>
      <c r="F106"/>
      <c r="G106"/>
      <c r="H106"/>
      <c r="I106"/>
    </row>
    <row r="107" spans="1:9" ht="22.2" customHeight="1" x14ac:dyDescent="0.3">
      <c r="A107"/>
      <c r="B107"/>
      <c r="C107"/>
      <c r="D107"/>
      <c r="E107"/>
      <c r="F107"/>
      <c r="G107"/>
      <c r="H107"/>
      <c r="I107"/>
    </row>
    <row r="108" spans="1:9" ht="22.2" customHeight="1" x14ac:dyDescent="0.3">
      <c r="A108"/>
      <c r="B108"/>
      <c r="C108"/>
      <c r="D108"/>
      <c r="E108"/>
      <c r="F108"/>
      <c r="G108"/>
      <c r="H108"/>
      <c r="I108"/>
    </row>
    <row r="109" spans="1:9" ht="22.2" customHeight="1" x14ac:dyDescent="0.3">
      <c r="A109"/>
      <c r="B109"/>
      <c r="C109"/>
      <c r="D109"/>
      <c r="E109"/>
      <c r="F109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2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2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HB</cp:lastModifiedBy>
  <cp:lastPrinted>2024-10-09T13:18:46Z</cp:lastPrinted>
  <dcterms:created xsi:type="dcterms:W3CDTF">2015-06-05T18:19:34Z</dcterms:created>
  <dcterms:modified xsi:type="dcterms:W3CDTF">2025-11-03T14:27:06Z</dcterms:modified>
</cp:coreProperties>
</file>