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86" l="1"/>
  <c r="G86"/>
  <c r="H84"/>
  <c r="G84"/>
  <c r="H85"/>
  <c r="H83"/>
  <c r="G85"/>
  <c r="G83"/>
  <c r="G82"/>
  <c r="H82"/>
  <c r="H81"/>
  <c r="G81"/>
  <c r="H80"/>
  <c r="G80"/>
  <c r="H79"/>
  <c r="G79"/>
  <c r="H78"/>
  <c r="G78"/>
  <c r="H77"/>
  <c r="G77"/>
  <c r="H76"/>
  <c r="G76"/>
  <c r="H75"/>
  <c r="G75"/>
  <c r="G73"/>
  <c r="G71"/>
  <c r="H71"/>
  <c r="H74"/>
  <c r="H72"/>
  <c r="H73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<sst xmlns="http://schemas.openxmlformats.org/spreadsheetml/2006/main" count="150" uniqueCount="82">
  <si>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</si>
  <si>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</si>
  <si>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</si>
  <si>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</si>
  <si>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</si>
  <si>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</si>
  <si>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</si>
  <si>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</si>
  <si>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</si>
  <si>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</si>
  <si>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</si>
  <si>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</si>
  <si>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</si>
  <si>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</si>
  <si>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</si>
  <si>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</si>
  <si>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</si>
  <si>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</si>
  <si>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</si>
  <si>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</si>
  <si>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</si>
  <si>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</si>
  <si>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</si>
  <si>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</si>
  <si>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</si>
  <si>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</si>
  <si>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</si>
  <si>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</si>
  <si>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</si>
  <si>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</si>
  <si>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</si>
  <si>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</si>
  <si>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</si>
  <si>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</si>
  <si>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</si>
  <si>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</si>
  <si>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</si>
  <si>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</si>
  <si>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</si>
  <si>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</si>
  <si>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</si>
  <si>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</si>
  <si>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</si>
  <si>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</si>
  <si>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</si>
  <si>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</si>
  <si>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</si>
  <si>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</si>
  <si>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</si>
  <si>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</si>
  <si>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</si>
  <si>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</si>
  <si>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</si>
  <si>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</si>
  <si>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</si>
  <si>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</si>
  <si>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</si>
  <si>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</si>
  <si>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</si>
  <si>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</si>
  <si>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</si>
  <si>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</si>
  <si>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</si>
  <si>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</si>
  <si>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</si>
  <si>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</si>
  <si>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</si>
  <si>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</si>
  <si>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</si>
  <si>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</si>
  <si>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</si>
  <si>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</si>
  <si>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</si>
  <si>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</si>
  <si>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</si>
  <si>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</si>
  <si>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</si>
  <si>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</si>
  <si>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</si>
  <si>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</si>
  <si>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263  Шпикачки Стародворские, ВЕС.  ПОКОМ, SU001728</t>
  </si>
  <si>
    <t>090  Мини-салями со вкусом бекона,  0.05кг, ядрена копоть   ПОКОМ, 4301032013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</si>
</sst>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02"/>
  <sheetViews>
    <sheetView tabSelected="1" zoomScaleNormal="100" workbookViewId="0">
      <selection activeCell="B71" sqref="B71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45978</v>
      </c>
      <c r="H1" s="2">
        <f ca="1">TODAY()</f>
        <v>45978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-1508.8888888888889</v>
      </c>
      <c r="H3" s="10">
        <f t="shared" ref="H3:H37" ca="1" si="1">F3-$H$1</f>
        <v>-679</v>
      </c>
      <c r="L3" s="19"/>
      <c r="M3" s="19"/>
      <c r="N3" s="19"/>
      <c r="O3" s="19"/>
      <c r="P3" s="19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-1508.8888888888889</v>
      </c>
      <c r="H4" s="10">
        <f t="shared" ca="1" si="1"/>
        <v>-679</v>
      </c>
      <c r="L4" s="20" t="s">
        <v>10</v>
      </c>
      <c r="M4" s="20"/>
      <c r="N4" s="20"/>
      <c r="O4" s="20"/>
      <c r="P4" s="20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-1504.4444444444443</v>
      </c>
      <c r="H5" s="10">
        <f t="shared" ca="1" si="1"/>
        <v>-677</v>
      </c>
      <c r="L5" s="20"/>
      <c r="M5" s="20"/>
      <c r="N5" s="20"/>
      <c r="O5" s="20"/>
      <c r="P5" s="20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-1928.5714285714284</v>
      </c>
      <c r="H6" s="10">
        <f t="shared" ca="1" si="1"/>
        <v>-675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-1925.7142857142856</v>
      </c>
      <c r="H7" s="10">
        <f t="shared" ca="1" si="1"/>
        <v>-674</v>
      </c>
      <c r="L7" s="21"/>
      <c r="M7" s="21"/>
      <c r="N7" s="21"/>
      <c r="O7" s="21"/>
      <c r="P7" s="21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-2243.3333333333335</v>
      </c>
      <c r="H8" s="10">
        <f t="shared" ca="1" si="1"/>
        <v>-673</v>
      </c>
      <c r="L8" s="19"/>
      <c r="M8" s="19"/>
      <c r="N8" s="19"/>
      <c r="O8" s="19"/>
      <c r="P8" s="19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-1682.5</v>
      </c>
      <c r="H9" s="10">
        <f t="shared" ca="1" si="1"/>
        <v>-673</v>
      </c>
      <c r="L9" s="20" t="s">
        <v>17</v>
      </c>
      <c r="M9" s="20"/>
      <c r="N9" s="20"/>
      <c r="O9" s="20"/>
      <c r="P9" s="20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-1495.5555555555557</v>
      </c>
      <c r="H10" s="10">
        <f t="shared" ca="1" si="1"/>
        <v>-673</v>
      </c>
      <c r="L10" s="20"/>
      <c r="M10" s="20"/>
      <c r="N10" s="20"/>
      <c r="O10" s="20"/>
      <c r="P10" s="20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-2240</v>
      </c>
      <c r="H11" s="10">
        <f t="shared" ca="1" si="1"/>
        <v>-672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-1344</v>
      </c>
      <c r="H12" s="10">
        <f t="shared" ca="1" si="1"/>
        <v>-672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-2240</v>
      </c>
      <c r="H13" s="10">
        <f t="shared" ca="1" si="1"/>
        <v>-672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-872.72727272727263</v>
      </c>
      <c r="H14" s="10">
        <f t="shared" ca="1" si="1"/>
        <v>-672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-1491.1111111111111</v>
      </c>
      <c r="H15" s="10">
        <f t="shared" ca="1" si="1"/>
        <v>-671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-2236.6666666666665</v>
      </c>
      <c r="H16" s="10">
        <f t="shared" ca="1" si="1"/>
        <v>-671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-1677.4999999999998</v>
      </c>
      <c r="H17" s="10">
        <f t="shared" ca="1" si="1"/>
        <v>-671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-1675</v>
      </c>
      <c r="H18" s="10">
        <f t="shared" ca="1" si="1"/>
        <v>-670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-1675</v>
      </c>
      <c r="H19" s="10">
        <f t="shared" ca="1" si="1"/>
        <v>-670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-1675</v>
      </c>
      <c r="H20" s="10">
        <f t="shared" ca="1" si="1"/>
        <v>-670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-1670</v>
      </c>
      <c r="H21" s="10">
        <f t="shared" ca="1" si="1"/>
        <v>-668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-1551.1627906976744</v>
      </c>
      <c r="H22" s="10">
        <f t="shared" ca="1" si="1"/>
        <v>-667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-1551.1627906976744</v>
      </c>
      <c r="H23" s="10">
        <f t="shared" ca="1" si="1"/>
        <v>-667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-1905.7142857142858</v>
      </c>
      <c r="H24" s="10">
        <f t="shared" ca="1" si="1"/>
        <v>-667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-1480</v>
      </c>
      <c r="H25" s="10">
        <f t="shared" ca="1" si="1"/>
        <v>-666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-1902.8571428571429</v>
      </c>
      <c r="H26" s="10">
        <f t="shared" ca="1" si="1"/>
        <v>-666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-1902.8571428571429</v>
      </c>
      <c r="H27" s="10">
        <f t="shared" ca="1" si="1"/>
        <v>-666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-1664.9999999999998</v>
      </c>
      <c r="H28" s="10">
        <f t="shared" ca="1" si="1"/>
        <v>-666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-1477.7777777777778</v>
      </c>
      <c r="H29" s="10">
        <f t="shared" ca="1" si="1"/>
        <v>-665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-1477.7777777777778</v>
      </c>
      <c r="H30" s="10">
        <f t="shared" ca="1" si="1"/>
        <v>-665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-1477.7777777777778</v>
      </c>
      <c r="H31" s="10">
        <f t="shared" ca="1" si="1"/>
        <v>-665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-1477.7777777777778</v>
      </c>
      <c r="H32" s="10">
        <f t="shared" ca="1" si="1"/>
        <v>-665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-1660.0000000000002</v>
      </c>
      <c r="H33" s="10">
        <f t="shared" ca="1" si="1"/>
        <v>-664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-1657.5</v>
      </c>
      <c r="H34" s="10">
        <f t="shared" ca="1" si="1"/>
        <v>-663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-1657.5</v>
      </c>
      <c r="H35" s="10">
        <f t="shared" ca="1" si="1"/>
        <v>-663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-45978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-1655</v>
      </c>
      <c r="H37" s="10">
        <f t="shared" ca="1" si="1"/>
        <v>-662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-1096.6666666666667</v>
      </c>
      <c r="H38" s="10">
        <f ca="1">F38-$H$1</f>
        <v>-658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0" ca="1" si="2">IFERROR((F39-$G$1)/(F39-E39)*100,"")</f>
        <v/>
      </c>
      <c r="H39" s="10">
        <f t="shared" ref="H39:H70" ca="1" si="3">F39-$H$1</f>
        <v>-45978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-45978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-45978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-45978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-45978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-45978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-45978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-45978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-45978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-45978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-45978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-45978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-45978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-45978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-45978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-45978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-45978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-45978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-45978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-45978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-45978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-45978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-45978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-45978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-45978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-45978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-45978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-45978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-45978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-45978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-45978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-45978</v>
      </c>
    </row>
    <row r="71" spans="1:9" ht="22.15" customHeight="1">
      <c r="A71"/>
      <c r="B71" s="18" t="s">
        <v>81</v>
      </c>
      <c r="C71" s="7" t="s">
        <v>8</v>
      </c>
      <c r="D71" s="14">
        <v>31</v>
      </c>
      <c r="E71" s="11">
        <v>45892</v>
      </c>
      <c r="F71" s="11">
        <v>46012</v>
      </c>
      <c r="G71" s="10">
        <f t="shared" ref="G71:G74" ca="1" si="4">IFERROR((F71-$G$1)/(F71-E71)*100,"")</f>
        <v>28.333333333333332</v>
      </c>
      <c r="H71" s="10">
        <f t="shared" ref="H71:H74" ca="1" si="5">F71-$H$1</f>
        <v>34</v>
      </c>
      <c r="I71"/>
    </row>
    <row r="72" spans="1:9" ht="22.15" customHeight="1">
      <c r="A72"/>
      <c r="B72" s="18" t="s">
        <v>80</v>
      </c>
      <c r="C72" s="7" t="s">
        <v>15</v>
      </c>
      <c r="D72" s="17">
        <v>31.597999999999999</v>
      </c>
      <c r="E72" s="11">
        <v>45956</v>
      </c>
      <c r="F72" s="11">
        <v>45986</v>
      </c>
      <c r="G72" s="10">
        <f t="shared" ca="1" si="4"/>
        <v>26.666666666666668</v>
      </c>
      <c r="H72" s="10">
        <f t="shared" ca="1" si="5"/>
        <v>8</v>
      </c>
      <c r="I72"/>
    </row>
    <row r="73" spans="1:9" ht="22.15" customHeight="1">
      <c r="A73"/>
      <c r="B73" s="18"/>
      <c r="C73" s="15"/>
      <c r="D73" s="15"/>
      <c r="E73" s="11"/>
      <c r="F73" s="11"/>
      <c r="G73" s="10" t="str">
        <f t="shared" ca="1" si="4"/>
        <v/>
      </c>
      <c r="H73" s="10">
        <f t="shared" ca="1" si="5"/>
        <v>-45978</v>
      </c>
      <c r="I73"/>
    </row>
    <row r="74" spans="1:9" ht="22.15" customHeight="1">
      <c r="A74"/>
      <c r="B74" s="18"/>
      <c r="C74" s="7"/>
      <c r="D74" s="17"/>
      <c r="E74" s="11"/>
      <c r="F74" s="11"/>
      <c r="G74" s="10" t="str">
        <f t="shared" ca="1" si="4"/>
        <v/>
      </c>
      <c r="H74" s="10">
        <f t="shared" ca="1" si="5"/>
        <v>-45978</v>
      </c>
      <c r="I74"/>
    </row>
    <row r="75" spans="1:9" ht="22.15" customHeight="1">
      <c r="A75"/>
      <c r="B75" s="16"/>
      <c r="C75" s="7"/>
      <c r="D75" s="14"/>
      <c r="E75" s="11"/>
      <c r="F75" s="11"/>
      <c r="G75" s="10" t="str">
        <f t="shared" ref="G75" ca="1" si="6">IFERROR((F75-$G$1)/(F75-E75)*100,"")</f>
        <v/>
      </c>
      <c r="H75" s="10">
        <f t="shared" ref="H75" ca="1" si="7">F75-$H$1</f>
        <v>-45978</v>
      </c>
      <c r="I75"/>
    </row>
    <row r="76" spans="1:9" ht="22.15" customHeight="1">
      <c r="A76"/>
      <c r="B76" s="16"/>
      <c r="C76" s="7"/>
      <c r="D76" s="7"/>
      <c r="E76" s="11"/>
      <c r="F76" s="11"/>
      <c r="G76" s="10" t="str">
        <f t="shared" ref="G76:G78" ca="1" si="8">IFERROR((F76-$G$1)/(F76-E76)*100,"")</f>
        <v/>
      </c>
      <c r="H76" s="10">
        <f t="shared" ref="H76:H78" ca="1" si="9">F76-$H$1</f>
        <v>-45978</v>
      </c>
      <c r="I76"/>
    </row>
    <row r="77" spans="1:9" ht="22.15" customHeight="1">
      <c r="A77"/>
      <c r="B77" s="16"/>
      <c r="C77" s="7"/>
      <c r="D77" s="14"/>
      <c r="E77" s="11"/>
      <c r="F77" s="11"/>
      <c r="G77" s="10" t="str">
        <f t="shared" ca="1" si="8"/>
        <v/>
      </c>
      <c r="H77" s="10">
        <f t="shared" ca="1" si="9"/>
        <v>-45978</v>
      </c>
      <c r="I77"/>
    </row>
    <row r="78" spans="1:9" ht="22.15" customHeight="1">
      <c r="A78"/>
      <c r="B78" s="16"/>
      <c r="C78" s="7"/>
      <c r="D78" s="14"/>
      <c r="E78" s="11"/>
      <c r="F78" s="11"/>
      <c r="G78" s="10" t="str">
        <f t="shared" ca="1" si="8"/>
        <v/>
      </c>
      <c r="H78" s="10">
        <f t="shared" ca="1" si="9"/>
        <v>-45978</v>
      </c>
      <c r="I78"/>
    </row>
    <row r="79" spans="1:9" ht="22.15" customHeight="1">
      <c r="A79"/>
      <c r="B79" s="16"/>
      <c r="C79" s="7"/>
      <c r="D79" s="14"/>
      <c r="E79" s="11"/>
      <c r="F79" s="11"/>
      <c r="G79" s="10" t="str">
        <f t="shared" ref="G79" ca="1" si="10">IFERROR((F79-$G$1)/(F79-E79)*100,"")</f>
        <v/>
      </c>
      <c r="H79" s="10">
        <f t="shared" ref="H79" ca="1" si="11">F79-$H$1</f>
        <v>-45978</v>
      </c>
      <c r="I79"/>
    </row>
    <row r="80" spans="1:9" ht="22.15" customHeight="1">
      <c r="A80"/>
      <c r="B80" s="16"/>
      <c r="C80" s="7"/>
      <c r="D80" s="14"/>
      <c r="E80" s="11"/>
      <c r="F80" s="11"/>
      <c r="G80" s="10" t="str">
        <f t="shared" ref="G80:G82" ca="1" si="12">IFERROR((F80-$G$1)/(F80-E80)*100,"")</f>
        <v/>
      </c>
      <c r="H80" s="10">
        <f t="shared" ref="H80:H82" ca="1" si="13">F80-$H$1</f>
        <v>-45978</v>
      </c>
      <c r="I80"/>
    </row>
    <row r="81" spans="1:9" ht="22.15" customHeight="1">
      <c r="A81"/>
      <c r="B81" s="16"/>
      <c r="C81" s="7"/>
      <c r="D81" s="14"/>
      <c r="E81" s="11"/>
      <c r="F81" s="11"/>
      <c r="G81" s="10" t="str">
        <f t="shared" ca="1" si="12"/>
        <v/>
      </c>
      <c r="H81" s="10">
        <f t="shared" ca="1" si="13"/>
        <v>-45978</v>
      </c>
      <c r="I81"/>
    </row>
    <row r="82" spans="1:9" ht="22.15" customHeight="1">
      <c r="A82"/>
      <c r="B82" s="16"/>
      <c r="C82" s="7"/>
      <c r="D82" s="14"/>
      <c r="E82" s="11"/>
      <c r="F82" s="11"/>
      <c r="G82" s="10" t="str">
        <f t="shared" ca="1" si="12"/>
        <v/>
      </c>
      <c r="H82" s="10">
        <f t="shared" ca="1" si="13"/>
        <v>-45978</v>
      </c>
      <c r="I82"/>
    </row>
    <row r="83" spans="1:9" ht="22.15" customHeight="1">
      <c r="A83"/>
      <c r="B83" s="16"/>
      <c r="C83" s="7"/>
      <c r="D83" s="14"/>
      <c r="E83" s="11"/>
      <c r="F83" s="11"/>
      <c r="G83" s="10" t="str">
        <f t="shared" ref="G83:G86" ca="1" si="14">IFERROR((F83-$G$1)/(F83-E83)*100,"")</f>
        <v/>
      </c>
      <c r="H83" s="10">
        <f t="shared" ref="H83:H86" ca="1" si="15">F83-$H$1</f>
        <v>-45978</v>
      </c>
      <c r="I83"/>
    </row>
    <row r="84" spans="1:9" ht="22.15" customHeight="1">
      <c r="A84"/>
      <c r="B84" s="16"/>
      <c r="C84" s="7"/>
      <c r="D84" s="14"/>
      <c r="E84" s="11"/>
      <c r="F84" s="11"/>
      <c r="G84" s="10" t="str">
        <f t="shared" ca="1" si="14"/>
        <v/>
      </c>
      <c r="H84" s="10">
        <f t="shared" ca="1" si="15"/>
        <v>-45978</v>
      </c>
      <c r="I84"/>
    </row>
    <row r="85" spans="1:9" ht="22.15" customHeight="1">
      <c r="A85"/>
      <c r="B85" s="16"/>
      <c r="C85" s="7"/>
      <c r="D85" s="14"/>
      <c r="E85" s="11"/>
      <c r="F85" s="11"/>
      <c r="G85" s="10" t="str">
        <f t="shared" ca="1" si="14"/>
        <v/>
      </c>
      <c r="H85" s="10">
        <f t="shared" ca="1" si="15"/>
        <v>-45978</v>
      </c>
      <c r="I85"/>
    </row>
    <row r="86" spans="1:9" ht="22.15" customHeight="1">
      <c r="A86"/>
      <c r="B86" s="16"/>
      <c r="C86" s="7"/>
      <c r="D86" s="14"/>
      <c r="E86" s="11"/>
      <c r="F86" s="11"/>
      <c r="G86" s="10" t="str">
        <f t="shared" ca="1" si="14"/>
        <v/>
      </c>
      <c r="H86" s="10">
        <f t="shared" ca="1" si="15"/>
        <v>-45978</v>
      </c>
      <c r="I86"/>
    </row>
    <row r="87" spans="1:9" ht="22.15" customHeight="1">
      <c r="A87"/>
      <c r="B87"/>
      <c r="C87"/>
      <c r="D87"/>
      <c r="E87"/>
      <c r="F87"/>
      <c r="G87"/>
      <c r="H87"/>
      <c r="I87"/>
    </row>
    <row r="88" spans="1:9" ht="22.15" customHeight="1">
      <c r="A88"/>
      <c r="B88"/>
      <c r="C88"/>
      <c r="D88"/>
      <c r="E88"/>
      <c r="F88"/>
      <c r="G88"/>
      <c r="H88"/>
      <c r="I88"/>
    </row>
    <row r="89" spans="1:9" ht="22.15" customHeight="1">
      <c r="A89"/>
      <c r="B89"/>
      <c r="C89"/>
      <c r="D89"/>
      <c r="E89"/>
      <c r="F89"/>
      <c r="G89"/>
      <c r="H89"/>
      <c r="I89"/>
    </row>
    <row r="90" spans="1:9" ht="22.15" customHeight="1">
      <c r="A90"/>
      <c r="B90"/>
      <c r="C90"/>
      <c r="D90"/>
      <c r="E90"/>
      <c r="F90"/>
      <c r="G90"/>
      <c r="H90"/>
      <c r="I90"/>
    </row>
    <row r="91" spans="1:9" ht="22.15" customHeight="1">
      <c r="A91"/>
      <c r="B91"/>
      <c r="C91"/>
      <c r="D91"/>
      <c r="E91"/>
      <c r="F91"/>
      <c r="G91"/>
      <c r="H91"/>
      <c r="I91"/>
    </row>
    <row r="92" spans="1:9" ht="22.15" customHeight="1">
      <c r="A92"/>
      <c r="B92"/>
      <c r="C92"/>
      <c r="D92"/>
      <c r="E92"/>
      <c r="F92"/>
      <c r="G92"/>
      <c r="H92"/>
      <c r="I92"/>
    </row>
    <row r="93" spans="1:9" ht="22.15" customHeight="1">
      <c r="A93"/>
      <c r="B93"/>
      <c r="C93"/>
      <c r="D93"/>
      <c r="E93"/>
      <c r="F93"/>
      <c r="G93"/>
      <c r="H93"/>
      <c r="I93"/>
    </row>
    <row r="94" spans="1:9" ht="22.15" customHeight="1">
      <c r="A94"/>
      <c r="B94"/>
      <c r="C94"/>
      <c r="D94"/>
      <c r="E94"/>
      <c r="F94"/>
      <c r="G94"/>
      <c r="H94"/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86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86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2025-11-17T10:55:22Z</dcterms:modified>
</cp:coreProperties>
</file>