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6"/>
  <workbookPr/>
  <bookViews>
    <workbookView xWindow="0" yWindow="0" windowWidth="24000" windowHeight="9330"/>
  </bookViews>
  <sheets>
    <sheet name="Лист1" sheetId="1" r:id="rId1"/>
  </sheets>
  <calcPr calcId="125725" refMode="R1C1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J89" i="1"/>
  <c r="AJ88"/>
  <c r="AJ87"/>
  <c r="AJ85"/>
  <c r="AJ84"/>
  <c r="AJ83"/>
  <c r="AJ82"/>
  <c r="AJ79"/>
  <c r="AJ80"/>
  <c r="AB86"/>
  <c r="AB85"/>
  <c r="AB84"/>
  <c r="AB83"/>
  <c r="AB82"/>
  <c r="AB80"/>
  <c r="AB78"/>
  <c r="AH103" l="1"/>
  <c r="AH102"/>
  <c r="AH101"/>
  <c r="AH100"/>
  <c r="AH99"/>
  <c r="AH98"/>
  <c r="AH97"/>
  <c r="AH96"/>
  <c r="AH95"/>
  <c r="AH94"/>
  <c r="AH93"/>
  <c r="AH92"/>
  <c r="AH91"/>
  <c r="AH90"/>
  <c r="AH89"/>
  <c r="AH88"/>
  <c r="AH87"/>
  <c r="AH86"/>
  <c r="AH85"/>
  <c r="AH84"/>
  <c r="AH83"/>
  <c r="AH82"/>
  <c r="AH81"/>
  <c r="AH80"/>
  <c r="AH79"/>
  <c r="AH78"/>
  <c r="AH77"/>
  <c r="AJ76"/>
  <c r="AH76"/>
  <c r="AJ75"/>
  <c r="AH75"/>
  <c r="AJ74"/>
  <c r="AH74"/>
  <c r="AJ73"/>
  <c r="AH73"/>
  <c r="AJ72"/>
  <c r="AH72"/>
  <c r="AH71"/>
  <c r="AH70"/>
  <c r="AH69"/>
  <c r="AH68"/>
  <c r="AH67"/>
  <c r="AH66"/>
  <c r="AH65"/>
  <c r="AH64"/>
  <c r="AH63"/>
  <c r="AH62"/>
  <c r="AH61"/>
  <c r="AH60"/>
  <c r="AH59"/>
  <c r="AH58"/>
  <c r="AH57"/>
  <c r="AH56"/>
  <c r="AH55"/>
  <c r="AH54"/>
  <c r="AH53"/>
  <c r="AH52"/>
  <c r="AH51"/>
  <c r="AH50"/>
  <c r="AH49"/>
  <c r="AH48"/>
  <c r="AH47"/>
  <c r="AH46"/>
  <c r="AH45"/>
  <c r="AH44"/>
  <c r="AH43"/>
  <c r="AH42"/>
  <c r="AH41"/>
  <c r="AH40"/>
  <c r="AH39"/>
  <c r="AH38"/>
  <c r="AH37"/>
  <c r="AH36"/>
  <c r="AH35"/>
  <c r="AH34"/>
  <c r="AH33"/>
  <c r="AH32"/>
  <c r="AH31"/>
  <c r="AH30"/>
  <c r="AH29"/>
  <c r="AH28"/>
  <c r="AH27"/>
  <c r="AH26"/>
  <c r="AH25"/>
  <c r="AH24"/>
  <c r="AH23"/>
  <c r="AH22"/>
  <c r="AH21"/>
  <c r="AH20"/>
  <c r="AH19"/>
  <c r="AH18"/>
  <c r="AH17"/>
  <c r="AH16"/>
  <c r="AH15"/>
  <c r="AH14"/>
  <c r="AH13"/>
  <c r="AH12"/>
  <c r="AH11"/>
  <c r="AH10"/>
  <c r="AH9"/>
  <c r="AH8"/>
  <c r="AH7"/>
  <c r="AH6"/>
  <c r="AH5"/>
  <c r="AH4"/>
  <c r="AH3"/>
  <c r="AH1"/>
  <c r="Z103" l="1"/>
  <c r="Z102"/>
  <c r="Z101"/>
  <c r="Z100"/>
  <c r="Z99"/>
  <c r="Z98"/>
  <c r="Z97"/>
  <c r="Z96"/>
  <c r="Z95"/>
  <c r="Z94"/>
  <c r="Z93"/>
  <c r="Z91"/>
  <c r="Z90"/>
  <c r="Z89"/>
  <c r="Z88"/>
  <c r="Z87"/>
  <c r="Z86"/>
  <c r="Z85"/>
  <c r="Z84"/>
  <c r="Z83"/>
  <c r="Z82"/>
  <c r="Z81"/>
  <c r="Z80"/>
  <c r="Z79"/>
  <c r="Z78"/>
  <c r="Z77"/>
  <c r="Z76"/>
  <c r="Z75"/>
  <c r="Z74"/>
  <c r="Z73"/>
  <c r="Z72"/>
  <c r="Z71"/>
  <c r="Z70"/>
  <c r="Z69"/>
  <c r="Z68"/>
  <c r="Z67"/>
  <c r="Z66"/>
  <c r="Z65"/>
  <c r="Z64"/>
  <c r="Z63"/>
  <c r="Z62"/>
  <c r="Z61"/>
  <c r="Z60"/>
  <c r="Z59"/>
  <c r="Z58"/>
  <c r="Z57"/>
  <c r="Z56"/>
  <c r="Z55"/>
  <c r="Z54"/>
  <c r="Z53"/>
  <c r="Z52"/>
  <c r="Z51"/>
  <c r="Z50"/>
  <c r="Z49"/>
  <c r="Z48"/>
  <c r="Z47"/>
  <c r="Z46"/>
  <c r="Z45"/>
  <c r="Z44"/>
  <c r="Z43"/>
  <c r="Z42"/>
  <c r="Z41"/>
  <c r="Z40"/>
  <c r="Z39"/>
  <c r="Z38"/>
  <c r="Z37"/>
  <c r="Z36"/>
  <c r="Z35"/>
  <c r="Z34"/>
  <c r="Z33"/>
  <c r="Z32"/>
  <c r="Z31"/>
  <c r="Z30"/>
  <c r="Z29"/>
  <c r="Z28"/>
  <c r="Z27"/>
  <c r="Z26"/>
  <c r="Z25"/>
  <c r="Z24"/>
  <c r="Z23"/>
  <c r="Z22"/>
  <c r="Z21"/>
  <c r="Z20"/>
  <c r="Z19"/>
  <c r="Z18"/>
  <c r="Z17"/>
  <c r="Z16"/>
  <c r="Z15"/>
  <c r="Z14"/>
  <c r="Z13"/>
  <c r="Z12"/>
  <c r="Z11"/>
  <c r="Z10"/>
  <c r="Z9"/>
  <c r="Z8"/>
  <c r="Z7"/>
  <c r="Z6"/>
  <c r="Z5"/>
  <c r="Z4"/>
  <c r="Z3"/>
  <c r="U84"/>
  <c r="U83"/>
  <c r="U82"/>
  <c r="U78"/>
  <c r="U79"/>
  <c r="U80"/>
  <c r="U81"/>
  <c r="U77"/>
  <c r="U76" l="1"/>
  <c r="U75"/>
  <c r="U74"/>
  <c r="U73"/>
  <c r="U72"/>
  <c r="T103"/>
  <c r="S103"/>
  <c r="T102"/>
  <c r="S102"/>
  <c r="T101"/>
  <c r="S101"/>
  <c r="T100"/>
  <c r="S100"/>
  <c r="T99"/>
  <c r="S99"/>
  <c r="T98"/>
  <c r="S98"/>
  <c r="T97"/>
  <c r="S97"/>
  <c r="T96"/>
  <c r="S96"/>
  <c r="T95"/>
  <c r="S95"/>
  <c r="T94"/>
  <c r="S94"/>
  <c r="T93"/>
  <c r="S93"/>
  <c r="T91"/>
  <c r="S91"/>
  <c r="T90"/>
  <c r="S90"/>
  <c r="T89"/>
  <c r="S89"/>
  <c r="T88"/>
  <c r="S88"/>
  <c r="T87"/>
  <c r="S87"/>
  <c r="T86"/>
  <c r="S86"/>
  <c r="T85"/>
  <c r="S85"/>
  <c r="T84"/>
  <c r="S84"/>
  <c r="T83"/>
  <c r="S83"/>
  <c r="T82"/>
  <c r="S82"/>
  <c r="T81"/>
  <c r="S81"/>
  <c r="T80"/>
  <c r="S80"/>
  <c r="T79"/>
  <c r="S79"/>
  <c r="T78"/>
  <c r="S78"/>
  <c r="T77"/>
  <c r="S77"/>
  <c r="T76"/>
  <c r="S76"/>
  <c r="T75"/>
  <c r="S75"/>
  <c r="T74"/>
  <c r="S74"/>
  <c r="T73"/>
  <c r="S73"/>
  <c r="T72"/>
  <c r="S72"/>
  <c r="T71"/>
  <c r="S71"/>
  <c r="T70"/>
  <c r="S70"/>
  <c r="T69"/>
  <c r="S69"/>
  <c r="T68"/>
  <c r="S68"/>
  <c r="T67"/>
  <c r="S67"/>
  <c r="T66"/>
  <c r="S66"/>
  <c r="T65"/>
  <c r="S65"/>
  <c r="T64"/>
  <c r="S64"/>
  <c r="T63"/>
  <c r="S63"/>
  <c r="T62"/>
  <c r="S62"/>
  <c r="T61"/>
  <c r="S61"/>
  <c r="T60"/>
  <c r="S60"/>
  <c r="T59"/>
  <c r="S59"/>
  <c r="T58"/>
  <c r="S58"/>
  <c r="T57"/>
  <c r="S57"/>
  <c r="T56"/>
  <c r="S56"/>
  <c r="T55"/>
  <c r="S55"/>
  <c r="T54"/>
  <c r="S54"/>
  <c r="T53"/>
  <c r="S53"/>
  <c r="T52"/>
  <c r="S52"/>
  <c r="T51"/>
  <c r="S51"/>
  <c r="T50"/>
  <c r="S50"/>
  <c r="T49"/>
  <c r="S49"/>
  <c r="T48"/>
  <c r="S48"/>
  <c r="T47"/>
  <c r="S47"/>
  <c r="T46"/>
  <c r="S46"/>
  <c r="T45"/>
  <c r="S45"/>
  <c r="T44"/>
  <c r="S44"/>
  <c r="T43"/>
  <c r="S43"/>
  <c r="T42"/>
  <c r="S42"/>
  <c r="T41"/>
  <c r="S41"/>
  <c r="T40"/>
  <c r="S40"/>
  <c r="T39"/>
  <c r="S39"/>
  <c r="T38"/>
  <c r="S38"/>
  <c r="T37"/>
  <c r="S37"/>
  <c r="T36"/>
  <c r="S36"/>
  <c r="T35"/>
  <c r="S35"/>
  <c r="T34"/>
  <c r="S34"/>
  <c r="T33"/>
  <c r="S33"/>
  <c r="T32"/>
  <c r="S32"/>
  <c r="T31"/>
  <c r="S31"/>
  <c r="T30"/>
  <c r="S30"/>
  <c r="T29"/>
  <c r="S29"/>
  <c r="T28"/>
  <c r="S28"/>
  <c r="T27"/>
  <c r="S27"/>
  <c r="T26"/>
  <c r="S26"/>
  <c r="T25"/>
  <c r="S25"/>
  <c r="T24"/>
  <c r="S24"/>
  <c r="T23"/>
  <c r="S23"/>
  <c r="T22"/>
  <c r="S22"/>
  <c r="T21"/>
  <c r="S21"/>
  <c r="T20"/>
  <c r="S20"/>
  <c r="T19"/>
  <c r="S19"/>
  <c r="T18"/>
  <c r="S18"/>
  <c r="T17"/>
  <c r="S17"/>
  <c r="T16"/>
  <c r="S16"/>
  <c r="T15"/>
  <c r="S15"/>
  <c r="T14"/>
  <c r="S14"/>
  <c r="T13"/>
  <c r="S13"/>
  <c r="T12"/>
  <c r="S12"/>
  <c r="T11"/>
  <c r="S11"/>
  <c r="T10"/>
  <c r="S10"/>
  <c r="T9"/>
  <c r="S9"/>
  <c r="T8"/>
  <c r="S8"/>
  <c r="T7"/>
  <c r="S7"/>
  <c r="T6"/>
  <c r="S6"/>
  <c r="T5"/>
  <c r="S5"/>
  <c r="T4"/>
  <c r="S4"/>
  <c r="T3"/>
  <c r="S3"/>
  <c r="M103" l="1"/>
  <c r="M101"/>
  <c r="M99"/>
  <c r="M97"/>
  <c r="M95"/>
  <c r="M93"/>
  <c r="M91"/>
  <c r="M89"/>
  <c r="M87"/>
  <c r="M85"/>
  <c r="M83"/>
  <c r="M81"/>
  <c r="M79"/>
  <c r="M77"/>
  <c r="M75"/>
  <c r="M73"/>
  <c r="M71"/>
  <c r="M69"/>
  <c r="M67"/>
  <c r="M65"/>
  <c r="M63"/>
  <c r="M61"/>
  <c r="M59"/>
  <c r="M57"/>
  <c r="M55"/>
  <c r="M53"/>
  <c r="M51"/>
  <c r="M49"/>
  <c r="M47"/>
  <c r="M45"/>
  <c r="M43"/>
  <c r="M41"/>
  <c r="M39"/>
  <c r="M37"/>
  <c r="M35"/>
  <c r="M33"/>
  <c r="M31"/>
  <c r="M29"/>
  <c r="M27"/>
  <c r="M25"/>
  <c r="M23"/>
  <c r="M21"/>
  <c r="M19"/>
  <c r="M18"/>
  <c r="M17"/>
  <c r="M16"/>
  <c r="M15"/>
  <c r="M14"/>
  <c r="M13"/>
  <c r="M12"/>
  <c r="M11"/>
  <c r="M10"/>
  <c r="M9"/>
  <c r="M8"/>
  <c r="M7"/>
  <c r="M6"/>
  <c r="M5"/>
  <c r="M4"/>
  <c r="M3"/>
  <c r="M102"/>
  <c r="M100"/>
  <c r="M98"/>
  <c r="M96"/>
  <c r="M94"/>
  <c r="M90"/>
  <c r="M88"/>
  <c r="M86"/>
  <c r="M84"/>
  <c r="M82"/>
  <c r="M80"/>
  <c r="M78"/>
  <c r="M76"/>
  <c r="M74"/>
  <c r="M72"/>
  <c r="M70"/>
  <c r="M68"/>
  <c r="M66"/>
  <c r="M64"/>
  <c r="M62"/>
  <c r="M60"/>
  <c r="M58"/>
  <c r="M56"/>
  <c r="M54"/>
  <c r="M52"/>
  <c r="M50"/>
  <c r="M48"/>
  <c r="M46"/>
  <c r="M44"/>
  <c r="M42"/>
  <c r="M40"/>
  <c r="M38"/>
  <c r="M36"/>
  <c r="M34"/>
  <c r="M32"/>
  <c r="M30"/>
  <c r="M28"/>
  <c r="M26"/>
  <c r="M24"/>
  <c r="M22"/>
  <c r="M20"/>
  <c r="N103"/>
  <c r="N102"/>
  <c r="N101"/>
  <c r="N100"/>
  <c r="N99"/>
  <c r="N98"/>
  <c r="N97"/>
  <c r="N96"/>
  <c r="N95"/>
  <c r="N94"/>
  <c r="N93"/>
  <c r="N91"/>
  <c r="N90"/>
  <c r="N89"/>
  <c r="N88"/>
  <c r="N87"/>
  <c r="N86"/>
  <c r="N85"/>
  <c r="N84"/>
  <c r="N83"/>
  <c r="N82"/>
  <c r="N81"/>
  <c r="N80"/>
  <c r="N79"/>
  <c r="N78"/>
  <c r="N77"/>
  <c r="N76"/>
  <c r="N75"/>
  <c r="N74"/>
  <c r="N73"/>
  <c r="N72"/>
  <c r="N71"/>
  <c r="N70"/>
  <c r="N69"/>
  <c r="N68"/>
  <c r="N67"/>
  <c r="N66"/>
  <c r="N65"/>
  <c r="N64"/>
  <c r="N63"/>
  <c r="N62"/>
  <c r="N61"/>
  <c r="N60"/>
  <c r="N59"/>
  <c r="N58"/>
  <c r="N57"/>
  <c r="N56"/>
  <c r="N55"/>
  <c r="N54"/>
  <c r="N53"/>
  <c r="N52"/>
  <c r="N51"/>
  <c r="N50"/>
  <c r="N49"/>
  <c r="N48"/>
  <c r="N47"/>
  <c r="N46"/>
  <c r="N45"/>
  <c r="N44"/>
  <c r="N43"/>
  <c r="N42"/>
  <c r="N41"/>
  <c r="N40"/>
  <c r="N39"/>
  <c r="N38"/>
  <c r="N37"/>
  <c r="N36"/>
  <c r="N35"/>
  <c r="N34"/>
  <c r="N33"/>
  <c r="N32"/>
  <c r="N31"/>
  <c r="N30"/>
  <c r="N29"/>
  <c r="N28"/>
  <c r="N27"/>
  <c r="N26"/>
  <c r="N25"/>
  <c r="N24"/>
  <c r="N23"/>
  <c r="N22"/>
  <c r="N21"/>
  <c r="N20"/>
  <c r="N19"/>
  <c r="N18"/>
  <c r="N17"/>
  <c r="N16"/>
  <c r="N15"/>
  <c r="N14"/>
  <c r="N13"/>
  <c r="N12"/>
  <c r="N11"/>
  <c r="N10"/>
  <c r="N9"/>
  <c r="N8"/>
  <c r="N7"/>
  <c r="N6"/>
  <c r="N5"/>
  <c r="N4"/>
  <c r="N3"/>
  <c r="H71"/>
  <c r="H95"/>
  <c r="H97"/>
  <c r="H99"/>
  <c r="H101"/>
  <c r="H103"/>
  <c r="H96"/>
  <c r="H98"/>
  <c r="H100"/>
  <c r="H102"/>
  <c r="G71"/>
  <c r="G95"/>
  <c r="G97"/>
  <c r="G99"/>
  <c r="G101"/>
  <c r="G103"/>
  <c r="G96"/>
  <c r="G98"/>
  <c r="G100"/>
  <c r="G102"/>
  <c r="H94"/>
  <c r="G94"/>
  <c r="H93"/>
  <c r="H91"/>
  <c r="G93"/>
  <c r="G91"/>
  <c r="G90"/>
  <c r="H90"/>
  <c r="H89"/>
  <c r="G89"/>
  <c r="H88"/>
  <c r="G88"/>
  <c r="H87"/>
  <c r="G87"/>
  <c r="H86"/>
  <c r="G86"/>
  <c r="H85"/>
  <c r="G85"/>
  <c r="H84"/>
  <c r="G84"/>
  <c r="H83"/>
  <c r="G83"/>
  <c r="G81"/>
  <c r="G79"/>
  <c r="G77"/>
  <c r="G75"/>
  <c r="G73"/>
  <c r="H79"/>
  <c r="H77"/>
  <c r="H73"/>
  <c r="H82"/>
  <c r="H80"/>
  <c r="H78"/>
  <c r="H76"/>
  <c r="H74"/>
  <c r="H72"/>
  <c r="H81"/>
  <c r="H75"/>
  <c r="G82"/>
  <c r="G80"/>
  <c r="G78"/>
  <c r="G76"/>
  <c r="G74"/>
  <c r="G72"/>
  <c r="G7"/>
  <c r="G15"/>
  <c r="G23"/>
  <c r="G9"/>
  <c r="G3"/>
  <c r="G11"/>
  <c r="G19"/>
  <c r="G27"/>
  <c r="G17"/>
  <c r="G25"/>
  <c r="G5"/>
  <c r="G13"/>
  <c r="G21"/>
  <c r="G29"/>
  <c r="G31"/>
  <c r="G33"/>
  <c r="G35"/>
  <c r="G37"/>
  <c r="G39"/>
  <c r="G41"/>
  <c r="G43"/>
  <c r="G45"/>
  <c r="G47"/>
  <c r="G49"/>
  <c r="G51"/>
  <c r="G53"/>
  <c r="G55"/>
  <c r="G57"/>
  <c r="G59"/>
  <c r="G61"/>
  <c r="G63"/>
  <c r="G65"/>
  <c r="G67"/>
  <c r="G69"/>
  <c r="H3"/>
  <c r="H5"/>
  <c r="H7"/>
  <c r="H9"/>
  <c r="H11"/>
  <c r="H13"/>
  <c r="H15"/>
  <c r="H17"/>
  <c r="H19"/>
  <c r="H21"/>
  <c r="H23"/>
  <c r="H25"/>
  <c r="H27"/>
  <c r="H29"/>
  <c r="H31"/>
  <c r="H33"/>
  <c r="H35"/>
  <c r="H37"/>
  <c r="H39"/>
  <c r="H41"/>
  <c r="H43"/>
  <c r="H45"/>
  <c r="H47"/>
  <c r="H49"/>
  <c r="H51"/>
  <c r="H53"/>
  <c r="H55"/>
  <c r="H57"/>
  <c r="H59"/>
  <c r="H61"/>
  <c r="H63"/>
  <c r="H65"/>
  <c r="H67"/>
  <c r="H69"/>
  <c r="G4"/>
  <c r="G6"/>
  <c r="G8"/>
  <c r="G10"/>
  <c r="G12"/>
  <c r="G14"/>
  <c r="G16"/>
  <c r="G18"/>
  <c r="G20"/>
  <c r="G22"/>
  <c r="G24"/>
  <c r="G26"/>
  <c r="G28"/>
  <c r="G30"/>
  <c r="G32"/>
  <c r="G34"/>
  <c r="G36"/>
  <c r="G38"/>
  <c r="G40"/>
  <c r="G42"/>
  <c r="G44"/>
  <c r="G46"/>
  <c r="G48"/>
  <c r="G50"/>
  <c r="G52"/>
  <c r="G54"/>
  <c r="G56"/>
  <c r="G58"/>
  <c r="G60"/>
  <c r="G62"/>
  <c r="G64"/>
  <c r="G66"/>
  <c r="G68"/>
  <c r="G70"/>
  <c r="H4"/>
  <c r="H6"/>
  <c r="H8"/>
  <c r="H10"/>
  <c r="H12"/>
  <c r="H14"/>
  <c r="H16"/>
  <c r="H18"/>
  <c r="H20"/>
  <c r="H22"/>
  <c r="H24"/>
  <c r="H26"/>
  <c r="H28"/>
  <c r="H30"/>
  <c r="H32"/>
  <c r="H34"/>
  <c r="H36"/>
  <c r="H38"/>
  <c r="H40"/>
  <c r="H42"/>
  <c r="H44"/>
  <c r="H46"/>
  <c r="H48"/>
  <c r="H50"/>
  <c r="H52"/>
  <c r="H54"/>
  <c r="H56"/>
  <c r="H58"/>
  <c r="H60"/>
  <c r="H62"/>
  <c r="H64"/>
  <c r="H66"/>
  <c r="H68"/>
  <c r="H70"/>
</calcChain>
</file>

<file path=xl/sharedStrings.xml><?xml version="1.0" encoding="utf-8"?>
<sst xmlns="http://schemas.openxmlformats.org/spreadsheetml/2006/main" count="492" uniqueCount="97">
  <si>
    <t>Номенклатура</t>
  </si>
  <si>
    <t>Ед. изм.</t>
  </si>
  <si>
    <t>По учету</t>
  </si>
  <si>
    <t>Начальный срок</t>
  </si>
  <si>
    <t>Конечный срок</t>
  </si>
  <si>
    <t>Фрешность в %</t>
  </si>
  <si>
    <t>Фрешность в днях</t>
  </si>
  <si>
    <t>6589 МОЛОЧНЫЕ ГОСТ СН сос п/о мгс 0.41кг 10шт  ОСТАНКИНО</t>
  </si>
  <si>
    <t>шт</t>
  </si>
  <si>
    <t>6590 СЛИВОЧНЫЕ СН сос п/о мгс 0.41кг 10шт.  ОСТАНКИНО</t>
  </si>
  <si>
    <t>451 Сосиски «Баварские» Фикс.вес 0,35 П/а ТМ «Стародворье»  Поком</t>
  </si>
  <si>
    <t>108  Сосиски С сыром,  0.42кг,ядрена копоть ПОКОМ</t>
  </si>
  <si>
    <t>103  Сосиски Классические, 0.42кг,ядрена копотьПОКОМ</t>
  </si>
  <si>
    <t>247  Сардельки Нежные, ВЕС.  ПОКОМ</t>
  </si>
  <si>
    <t>кг</t>
  </si>
  <si>
    <t>321 Сосиски Сочинки по-баварски с сыром ТМ Стародворье в оболочке  ПОКОМ</t>
  </si>
  <si>
    <t>6527 ШПИКАЧКИ СОЧНЫЕ ПМ сар б/о мгс 1*3 45с ОСТАНКИНО</t>
  </si>
  <si>
    <t>248  Сардельки Сочные ТМ Особый рецепт,   ПОКОМ</t>
  </si>
  <si>
    <t>315 Колбаса Нежная ТМ Зареченские ТС Зареченские продукты в оболочкНТУ.  изделие вар  ПОКОМ</t>
  </si>
  <si>
    <t>363 Сардельки Филейские Вязанка ТМ Вязанка в обол NDX  ПОКОМ</t>
  </si>
  <si>
    <t>Колбаса вареная категории А "Докторская". Мясной продукт.  Торес</t>
  </si>
  <si>
    <t>фокусная задача поставлена, на 26.12.2023 - продано (5кг)</t>
  </si>
  <si>
    <t>017  Сосиски Вязанка Сливочные, Вязанка амицел ВЕС.ПОКОМ</t>
  </si>
  <si>
    <t>263  Шпикачки Стародворские, ВЕС.  ПОКОМ</t>
  </si>
  <si>
    <t>322 Сосиски Сочинки с сыром ТМ Стародворье в оболочке  ПОКОМ</t>
  </si>
  <si>
    <t>309  Сосиски Сочинки с сыром 0,4 кг ТМ Стародворье  ПОКОМ</t>
  </si>
  <si>
    <t>352  Сардельки Сочинки с сыром 0,4 кг ТМ Стародворье   ПОКОМ</t>
  </si>
  <si>
    <t>381  Сардельки Сочинки 0,4кг ТМ Стародворье  ПОКОМ</t>
  </si>
  <si>
    <t>371  Сосиски Сочинки Молочные 0,4 кг ТМ Стародворье  ПОКОМ</t>
  </si>
  <si>
    <t>083  Колбаса Швейцарская 0,17 кг., ШТ., сырокопченая   ПОКОМ</t>
  </si>
  <si>
    <t>259  Сосиски Сливочные Дугушка, ВЕС.   ПОКОМ</t>
  </si>
  <si>
    <t>271  Колбаса Сервелат Левантский ТМ Особый Рецепт, ВЕС. ПОКОМ</t>
  </si>
  <si>
    <t>016  Сосиски Вязанка Молочные, Вязанка вискофан  ВЕС.ПОКОМ</t>
  </si>
  <si>
    <t>243  Колбаса Сервелат Зернистый, ВЕС.  ПОКОМ</t>
  </si>
  <si>
    <t>257  Сосиски Молочные оригинальные ТМ Особый рецепт, ВЕС.   ПОКОМ</t>
  </si>
  <si>
    <t>297  Колбаса Мясорубская с рубленой грудинкой ВЕС ТМ Стародворье  ПОКОМ</t>
  </si>
  <si>
    <t>032  Сосиски Вязанка Сливочные, Вязанка амицел МГС, 0.45кг, ПОКОМ</t>
  </si>
  <si>
    <t>118  Колбаса Сервелат Филейбургский с филе сочного окорока, в/у 0,35 кг срез, БАВАРУШКА ПОКОМ</t>
  </si>
  <si>
    <t>323 Колбаса варенокопченая Балыкбургская рубленая ТМ Баварушка срез 0,35 кг   ПОКОМ</t>
  </si>
  <si>
    <t>3297 СЫТНЫЕ Папа может сар б/о мгс 1*3_СНГ  Останкино</t>
  </si>
  <si>
    <t>018  Сосиски Рубленые, Вязанка вискофан  ВЕС.ПОКОМ</t>
  </si>
  <si>
    <t>255  Сосиски Молочные для завтрака ТМ Особый рецепт, п/а МГС, ВЕС, ТМ Стародворье  ПОКОМ</t>
  </si>
  <si>
    <t>380 Колбаски Балыкбургские с сыром ТМ Баварушка вес  Поком</t>
  </si>
  <si>
    <t>313 Колбаса вареная Молокуша ТМ Вязанка в оболочке полиамид. ВЕС  ПОКОМ</t>
  </si>
  <si>
    <t>384  Колбаса Сочинка по-фински с сочным окороком ТМ Стародворье в оболочке фиброуз в ва  Поком</t>
  </si>
  <si>
    <t>6734 ОСОБАЯ СО ШПИКОМ Коровино(в сетке) 0,5кг  Останкино</t>
  </si>
  <si>
    <t>9007 Продукт йогуртовый пастериз Нежный с соком 1,2% 320г клубника (Кампина)  МК</t>
  </si>
  <si>
    <t>9008 Продукт йогуртовый пастериз Нежный с соком 1,2% 320г персик (Кампина)  МК</t>
  </si>
  <si>
    <t>9009 Нежный сливочный продукт йогуртный пастериз Абрикос и манго5% 4х100г (Кампина)  МК</t>
  </si>
  <si>
    <t>9010 Нежный сливочный продукт йогуртный пастериз Малина и земляника  5% 4х100г (Камп)  МК</t>
  </si>
  <si>
    <t>9011 Нежный сливочный продукт йогуртный пастериз Персик 5% 4х100г (Камп)  МК</t>
  </si>
  <si>
    <t>9013 Фруттис 1,2% 100гр нежн с соком Ягод морож Кампина  МК</t>
  </si>
  <si>
    <t>9014 Продукт йогуртовый пастериз Нежный с соком 1,2% 100г абрикос-манго (Кампина)  МК</t>
  </si>
  <si>
    <t>9015 Продукт йогуртовый пастериз Нежный с соком 1,2% 100г вишня (Кампина)  МК</t>
  </si>
  <si>
    <t>9016 Продукт йогуртовый пастериз Нежный с соком 1,2% 100г клубника (Кампина)  МК</t>
  </si>
  <si>
    <t>9017 Продукт йогуртовый пастериз Нежный с соком 1,2% 100г персик (Кампина)  МК</t>
  </si>
  <si>
    <t>9019 Продукт йогуртовый пастериз Фруттис 5% 115г вишня/черника (Кампина)  МК</t>
  </si>
  <si>
    <t>9020 Продукт йогуртовый пастериз Фруттис 5% 115 г дыня-манго/банан-клубника (Кампина) МК</t>
  </si>
  <si>
    <t>9021 Продукт йогуртовый пастериз Фруттис 5% 115 г инжир-черннослив/малина-земляника  МК</t>
  </si>
  <si>
    <t>9022 Продукт йогуртовый пастериз Фруттис 5% 115 г клубника/персик (Кампина)  МК</t>
  </si>
  <si>
    <t>9023 Продукт йогуртовый пастериз Фруттис 5% 115 г малина-черника/абрикос-манго (Кампина)  МК</t>
  </si>
  <si>
    <t>9024 Продукт йогуртовый пастериз Фруттис 5% 115 г персик-маракуйя/ананас-дыня (Кампина)  МК</t>
  </si>
  <si>
    <t>9025 Продукт йогуртовый пастериз Фруттис 8% 115г лесные ягоды/абрикос-манго ВАННОЧКА Камп  МК</t>
  </si>
  <si>
    <t>9026 Продукт йогуртовый пастериз Фруттис 8% 115г Банана-Сплит и Пинаколада ВАННОЧКА (Кампина)  МК</t>
  </si>
  <si>
    <t>9027 Продукт йогуртовый пастериз Фруттис 8% 115г вишня/персик-маракуйя ВАННОЧКА (Кампина)  МК</t>
  </si>
  <si>
    <t>9029 Продукт йогуртовый пастериз Фруттис 8% 115г малина/ананас-дыня ВАННОЧКА (Кампина)  МК</t>
  </si>
  <si>
    <t>9039 Продукт йогур.паст.фрукт."Эрмигурт молоч" м.д.жира 3,2%с наполн ананас-дыня 4*100г (Эрманн)  МК</t>
  </si>
  <si>
    <t>9040 Продукт йогур.паст.фрукт."Эрмигурт молоч" м.д.жира 3,2% с наполн клубника 4*100гр (Эрманн)  МК</t>
  </si>
  <si>
    <t>9041 Продукт йогуртовый паст фрукт "Эрмигурт Молочный" м.д.ж.. 3,2% 100г. лесные ягоды (Эрманн)  МК</t>
  </si>
  <si>
    <t>9042 Продукт йогур.паст.фрукт"Эрмигурт молоч" м.д.жира 3,2%с напол персик-манго 4*100гр (Эрманн)  МК</t>
  </si>
  <si>
    <t>9048 БЗМЖ Альпенленд 2,5% 95г малина/ябл-груша Прод.йогурт.  Эрман</t>
  </si>
  <si>
    <t>9049 БЗМЖ Продукт йогуртовый пастеризованный Альпенленд пит. 1,2% клубника 290г  Эрманн</t>
  </si>
  <si>
    <t>9050 БЗМЖ Продукт йогуртный паст фруктовый Альпенленд пит. 1,2% персик-маракуйа 290г  Эрманн</t>
  </si>
  <si>
    <t>9051 БЗМЖ Продукт йогуртовый пастеризованный Альпенленд пит. 1,2% яблоко-груша 290г  Эрманн</t>
  </si>
  <si>
    <t>9055 БЗМЖ Напиток йогуртовый паст фрукт Эрмигурт пит. м.д.ж.1,2% 290гр. клубника-киви  Эрманн</t>
  </si>
  <si>
    <t>9056 БЗМЖ Напиток йогуртовый паст фрукт Эрмигурт пит. м.д.ж.1,2% 290гр. лесная ягода   Эрманн</t>
  </si>
  <si>
    <t>9058 БЗМЖ Нежный сливочный продукт йогуртный пастериз.Клубника 5% 4*100г (Камп)  Эрманн  МК</t>
  </si>
  <si>
    <t>Европоддон (невозвратный)</t>
  </si>
  <si>
    <t>КГ</t>
  </si>
  <si>
    <t>Сыр Сливочный со вкусом топленого молока 45% ти Папа Может, брус (2 шт)  Останкино, 5522704</t>
  </si>
  <si>
    <t>Плавленый Сыр колбасный копченый 40% СТМ"ПапаМожет"400гр  Останкино, 9988452</t>
  </si>
  <si>
    <t>6793 БАЛЫКОВАЯ в/к в/у 0,33кг 8шт  Останкино, 1001303636793</t>
  </si>
  <si>
    <t>7276 СЛИВОЧНЫЕ ПМ сос п/о мгс 0,3кг 7шт  Останкино, 1001022467276</t>
  </si>
  <si>
    <t>6208 ДЫМОВИЦА ИЗ ЛОПАТКИ ПМ к/в с/н в/у 1/150  Останкино, 1001220226208</t>
  </si>
  <si>
    <t>7284 ДЛЯ ДЕТЕЙ сос п/о мгс 0,33кг 6шт  Останкино, 1001025767284</t>
  </si>
  <si>
    <t>6602 БАВАРСКИЕ ПМ сос ц/о мгс 0,35кг 8шт  Останкино, 1001021966602</t>
  </si>
  <si>
    <t>7001 КЛАССИЧЕСКИЕ Папа может сар б/о мгс 1*3  Останкино, 1001035937001</t>
  </si>
  <si>
    <t>Продано</t>
  </si>
  <si>
    <t>Списано</t>
  </si>
  <si>
    <t>165,715 (не продано, не списывалось)</t>
  </si>
  <si>
    <t>7149 БАЛЫКОВАЯ Коровино п/к в/у 0,84кг_50с  Останкино, 1001303637149</t>
  </si>
  <si>
    <t>7075 МОЛОЧ.ПРЕМИУМ ПМ сос п/о мгс 1,5*4_О_50с  Останкино, 1001022657075</t>
  </si>
  <si>
    <t>6787 СЕРВЕЛАТ КРЕМЛЕВСКИЙ в/к в/у 0,33кг 8шт  Останкино, 1001300456787</t>
  </si>
  <si>
    <t>6807 СЕРВЕЛАТ ЕВРОПЕЙСКИЙ в/к в/у 0,33кг 8шт  Останкино, 1001300366807</t>
  </si>
  <si>
    <t>ШТ</t>
  </si>
  <si>
    <t>6791 СЕРВЕЛАТ ПРЕМИУМ в/к в/у 0,33кг 8шт  Останкино, 1001304096791</t>
  </si>
  <si>
    <t>156,681 (не продано, не списывалось)</t>
  </si>
</sst>
</file>

<file path=xl/styles.xml><?xml version="1.0" encoding="utf-8"?>
<styleSheet xmlns="http://schemas.openxmlformats.org/spreadsheetml/2006/main">
  <numFmts count="4">
    <numFmt numFmtId="164" formatCode="0.000"/>
    <numFmt numFmtId="165" formatCode="#,##0.000"/>
    <numFmt numFmtId="166" formatCode="0.000;[Red]\-0.000"/>
    <numFmt numFmtId="167" formatCode="#,##0.000;[Red]\-#,##0.000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0"/>
      <color indexed="24"/>
      <name val="Arial"/>
      <family val="2"/>
      <charset val="204"/>
    </font>
    <font>
      <b/>
      <sz val="11"/>
      <name val="Arial"/>
      <family val="2"/>
      <charset val="204"/>
    </font>
    <font>
      <sz val="8"/>
      <color indexed="63"/>
      <name val="Arial"/>
      <family val="2"/>
    </font>
    <font>
      <b/>
      <sz val="12"/>
      <name val="Arial"/>
      <family val="2"/>
      <charset val="204"/>
    </font>
    <font>
      <sz val="10"/>
      <name val="Arial"/>
      <family val="2"/>
    </font>
    <font>
      <sz val="8"/>
      <name val="Arial"/>
      <family val="2"/>
    </font>
    <font>
      <sz val="8"/>
      <name val="Calibri"/>
      <family val="2"/>
      <scheme val="minor"/>
    </font>
    <font>
      <sz val="11"/>
      <color indexed="24"/>
      <name val="Calibri"/>
      <family val="2"/>
      <charset val="204"/>
      <scheme val="minor"/>
    </font>
    <font>
      <sz val="11"/>
      <color indexed="63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2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8" fillId="0" borderId="0"/>
  </cellStyleXfs>
  <cellXfs count="66">
    <xf numFmtId="0" fontId="0" fillId="0" borderId="0" xfId="0"/>
    <xf numFmtId="0" fontId="0" fillId="0" borderId="0" xfId="0" applyAlignment="1">
      <alignment wrapText="1"/>
    </xf>
    <xf numFmtId="0" fontId="3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top" wrapText="1"/>
    </xf>
    <xf numFmtId="1" fontId="7" fillId="0" borderId="1" xfId="1" applyNumberFormat="1" applyFont="1" applyBorder="1" applyAlignment="1">
      <alignment horizontal="center" vertical="center"/>
    </xf>
    <xf numFmtId="0" fontId="8" fillId="0" borderId="2" xfId="2" applyNumberFormat="1" applyFont="1" applyBorder="1" applyAlignment="1">
      <alignment vertical="top" wrapText="1" indent="6"/>
    </xf>
    <xf numFmtId="1" fontId="7" fillId="0" borderId="5" xfId="1" applyNumberFormat="1" applyFont="1" applyBorder="1" applyAlignment="1">
      <alignment horizontal="center" vertical="center"/>
    </xf>
    <xf numFmtId="0" fontId="8" fillId="5" borderId="2" xfId="2" applyNumberFormat="1" applyFont="1" applyFill="1" applyBorder="1" applyAlignment="1">
      <alignment vertical="top" wrapText="1" indent="6"/>
    </xf>
    <xf numFmtId="0" fontId="8" fillId="5" borderId="2" xfId="2" applyFill="1" applyBorder="1" applyAlignment="1">
      <alignment vertical="top" wrapText="1" indent="4"/>
    </xf>
    <xf numFmtId="2" fontId="10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14" fontId="0" fillId="7" borderId="0" xfId="0" applyNumberFormat="1" applyFill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 wrapText="1"/>
    </xf>
    <xf numFmtId="2" fontId="0" fillId="7" borderId="0" xfId="0" applyNumberFormat="1" applyFill="1" applyAlignment="1">
      <alignment horizontal="center" vertical="center" wrapText="1"/>
    </xf>
    <xf numFmtId="0" fontId="0" fillId="7" borderId="0" xfId="0" applyFill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164" fontId="5" fillId="3" borderId="1" xfId="0" applyNumberFormat="1" applyFont="1" applyFill="1" applyBorder="1" applyAlignment="1">
      <alignment horizontal="center" vertical="center" wrapText="1"/>
    </xf>
    <xf numFmtId="14" fontId="6" fillId="4" borderId="1" xfId="0" applyNumberFormat="1" applyFont="1" applyFill="1" applyBorder="1" applyAlignment="1">
      <alignment horizontal="center" vertical="center" wrapText="1"/>
    </xf>
    <xf numFmtId="2" fontId="11" fillId="3" borderId="1" xfId="0" applyNumberFormat="1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165" fontId="5" fillId="3" borderId="1" xfId="0" applyNumberFormat="1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166" fontId="8" fillId="5" borderId="2" xfId="2" applyNumberFormat="1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2" fontId="12" fillId="5" borderId="2" xfId="2" applyNumberFormat="1" applyFont="1" applyFill="1" applyBorder="1" applyAlignment="1">
      <alignment horizontal="center" vertical="center"/>
    </xf>
    <xf numFmtId="2" fontId="0" fillId="9" borderId="1" xfId="0" applyNumberFormat="1" applyFill="1" applyBorder="1" applyAlignment="1">
      <alignment horizontal="center" vertical="center" wrapText="1"/>
    </xf>
    <xf numFmtId="2" fontId="12" fillId="0" borderId="2" xfId="2" applyNumberFormat="1" applyFont="1" applyBorder="1" applyAlignment="1">
      <alignment horizontal="center" vertical="center"/>
    </xf>
    <xf numFmtId="2" fontId="0" fillId="8" borderId="1" xfId="0" applyNumberFormat="1" applyFill="1" applyBorder="1" applyAlignment="1">
      <alignment horizontal="center" vertical="center" wrapText="1"/>
    </xf>
    <xf numFmtId="166" fontId="8" fillId="0" borderId="2" xfId="2" applyNumberFormat="1" applyBorder="1" applyAlignment="1">
      <alignment horizontal="center" vertical="center"/>
    </xf>
    <xf numFmtId="2" fontId="0" fillId="6" borderId="1" xfId="0" applyNumberFormat="1" applyFill="1" applyBorder="1" applyAlignment="1">
      <alignment horizontal="center" vertical="center" wrapText="1"/>
    </xf>
    <xf numFmtId="167" fontId="8" fillId="0" borderId="2" xfId="2" applyNumberFormat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 wrapText="1"/>
    </xf>
    <xf numFmtId="16" fontId="5" fillId="3" borderId="1" xfId="0" applyNumberFormat="1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166" fontId="8" fillId="0" borderId="4" xfId="2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 wrapText="1"/>
    </xf>
    <xf numFmtId="2" fontId="12" fillId="0" borderId="4" xfId="2" applyNumberFormat="1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2" fontId="1" fillId="0" borderId="6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2" fontId="1" fillId="0" borderId="10" xfId="0" applyNumberFormat="1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2" fontId="1" fillId="0" borderId="8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2" fontId="1" fillId="0" borderId="7" xfId="0" applyNumberFormat="1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2" fontId="1" fillId="0" borderId="1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2" fontId="12" fillId="6" borderId="2" xfId="2" applyNumberFormat="1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 wrapText="1"/>
    </xf>
    <xf numFmtId="2" fontId="0" fillId="5" borderId="1" xfId="0" applyNumberFormat="1" applyFill="1" applyBorder="1" applyAlignment="1">
      <alignment horizontal="center" vertical="center" wrapText="1"/>
    </xf>
  </cellXfs>
  <cellStyles count="3">
    <cellStyle name="Обычный" xfId="0" builtinId="0"/>
    <cellStyle name="Обычный_Лист1" xfId="2"/>
    <cellStyle name="Процентный" xfId="1" builtinId="5"/>
  </cellStyles>
  <dxfs count="33">
    <dxf>
      <fill>
        <patternFill>
          <fgColor indexed="64"/>
          <bgColor rgb="FF92D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92D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C000"/>
        </patternFill>
      </fill>
    </dxf>
    <dxf>
      <font>
        <color rgb="FF006100"/>
      </font>
      <fill>
        <patternFill>
          <fgColor indexed="64"/>
          <bgColor rgb="FFC6EF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5700"/>
      </font>
      <fill>
        <patternFill>
          <fgColor indexed="64"/>
          <bgColor rgb="FFFFEB9C"/>
        </patternFill>
      </fill>
    </dxf>
    <dxf>
      <fill>
        <patternFill>
          <fgColor indexed="64"/>
          <bgColor rgb="FF00B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FF00"/>
        </patternFill>
      </fill>
    </dxf>
    <dxf>
      <fill>
        <patternFill>
          <fgColor indexed="64"/>
          <bgColor rgb="FF92D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C000"/>
        </patternFill>
      </fill>
    </dxf>
    <dxf>
      <font>
        <color rgb="FF006100"/>
      </font>
      <fill>
        <patternFill>
          <fgColor indexed="64"/>
          <bgColor rgb="FFC6EF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5700"/>
      </font>
      <fill>
        <patternFill>
          <fgColor indexed="64"/>
          <bgColor rgb="FFFFEB9C"/>
        </patternFill>
      </fill>
    </dxf>
    <dxf>
      <fill>
        <patternFill>
          <fgColor indexed="64"/>
          <bgColor rgb="FF00B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FF00"/>
        </patternFill>
      </fill>
    </dxf>
    <dxf>
      <fill>
        <patternFill>
          <fgColor indexed="64"/>
          <bgColor rgb="FF92D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C000"/>
        </patternFill>
      </fill>
    </dxf>
    <dxf>
      <font>
        <color rgb="FF006100"/>
      </font>
      <fill>
        <patternFill>
          <fgColor indexed="64"/>
          <bgColor rgb="FFC6EF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5700"/>
      </font>
      <fill>
        <patternFill>
          <fgColor indexed="64"/>
          <bgColor rgb="FFFFEB9C"/>
        </patternFill>
      </fill>
    </dxf>
    <dxf>
      <fill>
        <patternFill>
          <fgColor indexed="64"/>
          <bgColor rgb="FF00B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FF00"/>
        </patternFill>
      </fill>
    </dxf>
    <dxf>
      <fill>
        <patternFill>
          <fgColor indexed="64"/>
          <bgColor rgb="FF92D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W110"/>
  <sheetViews>
    <sheetView tabSelected="1" zoomScale="85" zoomScaleNormal="85" workbookViewId="0">
      <pane xSplit="2" topLeftCell="AD1" activePane="topRight" state="frozen"/>
      <selection activeCell="A2" sqref="A2"/>
      <selection pane="topRight" activeCell="AJ91" sqref="AJ91"/>
    </sheetView>
  </sheetViews>
  <sheetFormatPr defaultColWidth="8.85546875" defaultRowHeight="15"/>
  <cols>
    <col min="1" max="1" width="3.85546875" style="1" customWidth="1"/>
    <col min="2" max="2" width="44.7109375" style="1" customWidth="1"/>
    <col min="3" max="3" width="4.85546875" style="13" customWidth="1"/>
    <col min="4" max="4" width="9" style="13" customWidth="1"/>
    <col min="5" max="5" width="12.7109375" style="14" customWidth="1"/>
    <col min="6" max="6" width="10.5703125" style="14" customWidth="1"/>
    <col min="7" max="7" width="13.28515625" style="13" customWidth="1"/>
    <col min="8" max="8" width="13" style="13" customWidth="1"/>
    <col min="9" max="9" width="4.85546875" style="13" customWidth="1"/>
    <col min="10" max="10" width="7.42578125" style="16" customWidth="1"/>
    <col min="11" max="11" width="11.42578125" style="14" customWidth="1"/>
    <col min="12" max="12" width="10.28515625" style="14" customWidth="1"/>
    <col min="13" max="14" width="11.28515625" style="13" customWidth="1"/>
    <col min="15" max="15" width="4.85546875" style="13" customWidth="1"/>
    <col min="16" max="16" width="8.42578125" style="16" customWidth="1"/>
    <col min="17" max="17" width="11.42578125" style="14" customWidth="1"/>
    <col min="18" max="18" width="10.28515625" style="14" customWidth="1"/>
    <col min="19" max="20" width="11.28515625" style="13" customWidth="1"/>
    <col min="21" max="21" width="0.140625" style="61" customWidth="1"/>
    <col min="22" max="22" width="4.85546875" style="13" customWidth="1"/>
    <col min="23" max="23" width="8.42578125" style="16" customWidth="1"/>
    <col min="24" max="24" width="11.42578125" style="14" customWidth="1"/>
    <col min="25" max="25" width="10.28515625" style="14" customWidth="1"/>
    <col min="26" max="27" width="11.28515625" style="13" customWidth="1"/>
    <col min="28" max="28" width="20.5703125" style="61" customWidth="1"/>
    <col min="29" max="29" width="23.42578125" style="13" customWidth="1"/>
    <col min="30" max="30" width="4.85546875" style="13" customWidth="1"/>
    <col min="31" max="31" width="8.42578125" style="16" customWidth="1"/>
    <col min="32" max="32" width="11.42578125" style="14" customWidth="1"/>
    <col min="33" max="33" width="10.28515625" style="14" customWidth="1"/>
    <col min="34" max="35" width="11.28515625" style="13" customWidth="1"/>
    <col min="36" max="36" width="20.5703125" style="61" customWidth="1"/>
    <col min="37" max="49" width="23.42578125" style="13" customWidth="1"/>
    <col min="50" max="115" width="8.85546875" style="1"/>
    <col min="116" max="116" width="4" style="1" customWidth="1"/>
    <col min="117" max="117" width="59.7109375" style="1" customWidth="1"/>
    <col min="118" max="118" width="4.85546875" style="1" customWidth="1"/>
    <col min="119" max="119" width="9" style="1" customWidth="1"/>
    <col min="120" max="120" width="15.85546875" style="1" customWidth="1"/>
    <col min="121" max="121" width="15.7109375" style="1" customWidth="1"/>
    <col min="122" max="122" width="15.42578125" style="1" customWidth="1"/>
    <col min="123" max="123" width="17.140625" style="1" customWidth="1"/>
    <col min="124" max="124" width="37.85546875" style="1" customWidth="1"/>
    <col min="125" max="125" width="36.5703125" style="1" customWidth="1"/>
    <col min="126" max="126" width="29.42578125" style="1" customWidth="1"/>
    <col min="127" max="371" width="8.85546875" style="1"/>
    <col min="372" max="372" width="4" style="1" customWidth="1"/>
    <col min="373" max="373" width="59.7109375" style="1" customWidth="1"/>
    <col min="374" max="374" width="4.85546875" style="1" customWidth="1"/>
    <col min="375" max="375" width="9" style="1" customWidth="1"/>
    <col min="376" max="376" width="15.85546875" style="1" customWidth="1"/>
    <col min="377" max="377" width="15.7109375" style="1" customWidth="1"/>
    <col min="378" max="378" width="15.42578125" style="1" customWidth="1"/>
    <col min="379" max="379" width="17.140625" style="1" customWidth="1"/>
    <col min="380" max="380" width="37.85546875" style="1" customWidth="1"/>
    <col min="381" max="381" width="36.5703125" style="1" customWidth="1"/>
    <col min="382" max="382" width="29.42578125" style="1" customWidth="1"/>
    <col min="383" max="627" width="8.85546875" style="1"/>
    <col min="628" max="628" width="4" style="1" customWidth="1"/>
    <col min="629" max="629" width="59.7109375" style="1" customWidth="1"/>
    <col min="630" max="630" width="4.85546875" style="1" customWidth="1"/>
    <col min="631" max="631" width="9" style="1" customWidth="1"/>
    <col min="632" max="632" width="15.85546875" style="1" customWidth="1"/>
    <col min="633" max="633" width="15.7109375" style="1" customWidth="1"/>
    <col min="634" max="634" width="15.42578125" style="1" customWidth="1"/>
    <col min="635" max="635" width="17.140625" style="1" customWidth="1"/>
    <col min="636" max="636" width="37.85546875" style="1" customWidth="1"/>
    <col min="637" max="637" width="36.5703125" style="1" customWidth="1"/>
    <col min="638" max="638" width="29.42578125" style="1" customWidth="1"/>
    <col min="639" max="883" width="8.85546875" style="1"/>
    <col min="884" max="884" width="4" style="1" customWidth="1"/>
    <col min="885" max="885" width="59.7109375" style="1" customWidth="1"/>
    <col min="886" max="886" width="4.85546875" style="1" customWidth="1"/>
    <col min="887" max="887" width="9" style="1" customWidth="1"/>
    <col min="888" max="888" width="15.85546875" style="1" customWidth="1"/>
    <col min="889" max="889" width="15.7109375" style="1" customWidth="1"/>
    <col min="890" max="890" width="15.42578125" style="1" customWidth="1"/>
    <col min="891" max="891" width="17.140625" style="1" customWidth="1"/>
    <col min="892" max="892" width="37.85546875" style="1" customWidth="1"/>
    <col min="893" max="893" width="36.5703125" style="1" customWidth="1"/>
    <col min="894" max="894" width="29.42578125" style="1" customWidth="1"/>
    <col min="895" max="1139" width="8.85546875" style="1"/>
    <col min="1140" max="1140" width="4" style="1" customWidth="1"/>
    <col min="1141" max="1141" width="59.7109375" style="1" customWidth="1"/>
    <col min="1142" max="1142" width="4.85546875" style="1" customWidth="1"/>
    <col min="1143" max="1143" width="9" style="1" customWidth="1"/>
    <col min="1144" max="1144" width="15.85546875" style="1" customWidth="1"/>
    <col min="1145" max="1145" width="15.7109375" style="1" customWidth="1"/>
    <col min="1146" max="1146" width="15.42578125" style="1" customWidth="1"/>
    <col min="1147" max="1147" width="17.140625" style="1" customWidth="1"/>
    <col min="1148" max="1148" width="37.85546875" style="1" customWidth="1"/>
    <col min="1149" max="1149" width="36.5703125" style="1" customWidth="1"/>
    <col min="1150" max="1150" width="29.42578125" style="1" customWidth="1"/>
    <col min="1151" max="1395" width="8.85546875" style="1"/>
    <col min="1396" max="1396" width="4" style="1" customWidth="1"/>
    <col min="1397" max="1397" width="59.7109375" style="1" customWidth="1"/>
    <col min="1398" max="1398" width="4.85546875" style="1" customWidth="1"/>
    <col min="1399" max="1399" width="9" style="1" customWidth="1"/>
    <col min="1400" max="1400" width="15.85546875" style="1" customWidth="1"/>
    <col min="1401" max="1401" width="15.7109375" style="1" customWidth="1"/>
    <col min="1402" max="1402" width="15.42578125" style="1" customWidth="1"/>
    <col min="1403" max="1403" width="17.140625" style="1" customWidth="1"/>
    <col min="1404" max="1404" width="37.85546875" style="1" customWidth="1"/>
    <col min="1405" max="1405" width="36.5703125" style="1" customWidth="1"/>
    <col min="1406" max="1406" width="29.42578125" style="1" customWidth="1"/>
    <col min="1407" max="1651" width="8.85546875" style="1"/>
    <col min="1652" max="1652" width="4" style="1" customWidth="1"/>
    <col min="1653" max="1653" width="59.7109375" style="1" customWidth="1"/>
    <col min="1654" max="1654" width="4.85546875" style="1" customWidth="1"/>
    <col min="1655" max="1655" width="9" style="1" customWidth="1"/>
    <col min="1656" max="1656" width="15.85546875" style="1" customWidth="1"/>
    <col min="1657" max="1657" width="15.7109375" style="1" customWidth="1"/>
    <col min="1658" max="1658" width="15.42578125" style="1" customWidth="1"/>
    <col min="1659" max="1659" width="17.140625" style="1" customWidth="1"/>
    <col min="1660" max="1660" width="37.85546875" style="1" customWidth="1"/>
    <col min="1661" max="1661" width="36.5703125" style="1" customWidth="1"/>
    <col min="1662" max="1662" width="29.42578125" style="1" customWidth="1"/>
    <col min="1663" max="1907" width="8.85546875" style="1"/>
    <col min="1908" max="1908" width="4" style="1" customWidth="1"/>
    <col min="1909" max="1909" width="59.7109375" style="1" customWidth="1"/>
    <col min="1910" max="1910" width="4.85546875" style="1" customWidth="1"/>
    <col min="1911" max="1911" width="9" style="1" customWidth="1"/>
    <col min="1912" max="1912" width="15.85546875" style="1" customWidth="1"/>
    <col min="1913" max="1913" width="15.7109375" style="1" customWidth="1"/>
    <col min="1914" max="1914" width="15.42578125" style="1" customWidth="1"/>
    <col min="1915" max="1915" width="17.140625" style="1" customWidth="1"/>
    <col min="1916" max="1916" width="37.85546875" style="1" customWidth="1"/>
    <col min="1917" max="1917" width="36.5703125" style="1" customWidth="1"/>
    <col min="1918" max="1918" width="29.42578125" style="1" customWidth="1"/>
    <col min="1919" max="2163" width="8.85546875" style="1"/>
    <col min="2164" max="2164" width="4" style="1" customWidth="1"/>
    <col min="2165" max="2165" width="59.7109375" style="1" customWidth="1"/>
    <col min="2166" max="2166" width="4.85546875" style="1" customWidth="1"/>
    <col min="2167" max="2167" width="9" style="1" customWidth="1"/>
    <col min="2168" max="2168" width="15.85546875" style="1" customWidth="1"/>
    <col min="2169" max="2169" width="15.7109375" style="1" customWidth="1"/>
    <col min="2170" max="2170" width="15.42578125" style="1" customWidth="1"/>
    <col min="2171" max="2171" width="17.140625" style="1" customWidth="1"/>
    <col min="2172" max="2172" width="37.85546875" style="1" customWidth="1"/>
    <col min="2173" max="2173" width="36.5703125" style="1" customWidth="1"/>
    <col min="2174" max="2174" width="29.42578125" style="1" customWidth="1"/>
    <col min="2175" max="2419" width="8.85546875" style="1"/>
    <col min="2420" max="2420" width="4" style="1" customWidth="1"/>
    <col min="2421" max="2421" width="59.7109375" style="1" customWidth="1"/>
    <col min="2422" max="2422" width="4.85546875" style="1" customWidth="1"/>
    <col min="2423" max="2423" width="9" style="1" customWidth="1"/>
    <col min="2424" max="2424" width="15.85546875" style="1" customWidth="1"/>
    <col min="2425" max="2425" width="15.7109375" style="1" customWidth="1"/>
    <col min="2426" max="2426" width="15.42578125" style="1" customWidth="1"/>
    <col min="2427" max="2427" width="17.140625" style="1" customWidth="1"/>
    <col min="2428" max="2428" width="37.85546875" style="1" customWidth="1"/>
    <col min="2429" max="2429" width="36.5703125" style="1" customWidth="1"/>
    <col min="2430" max="2430" width="29.42578125" style="1" customWidth="1"/>
    <col min="2431" max="2675" width="8.85546875" style="1"/>
    <col min="2676" max="2676" width="4" style="1" customWidth="1"/>
    <col min="2677" max="2677" width="59.7109375" style="1" customWidth="1"/>
    <col min="2678" max="2678" width="4.85546875" style="1" customWidth="1"/>
    <col min="2679" max="2679" width="9" style="1" customWidth="1"/>
    <col min="2680" max="2680" width="15.85546875" style="1" customWidth="1"/>
    <col min="2681" max="2681" width="15.7109375" style="1" customWidth="1"/>
    <col min="2682" max="2682" width="15.42578125" style="1" customWidth="1"/>
    <col min="2683" max="2683" width="17.140625" style="1" customWidth="1"/>
    <col min="2684" max="2684" width="37.85546875" style="1" customWidth="1"/>
    <col min="2685" max="2685" width="36.5703125" style="1" customWidth="1"/>
    <col min="2686" max="2686" width="29.42578125" style="1" customWidth="1"/>
    <col min="2687" max="2931" width="8.85546875" style="1"/>
    <col min="2932" max="2932" width="4" style="1" customWidth="1"/>
    <col min="2933" max="2933" width="59.7109375" style="1" customWidth="1"/>
    <col min="2934" max="2934" width="4.85546875" style="1" customWidth="1"/>
    <col min="2935" max="2935" width="9" style="1" customWidth="1"/>
    <col min="2936" max="2936" width="15.85546875" style="1" customWidth="1"/>
    <col min="2937" max="2937" width="15.7109375" style="1" customWidth="1"/>
    <col min="2938" max="2938" width="15.42578125" style="1" customWidth="1"/>
    <col min="2939" max="2939" width="17.140625" style="1" customWidth="1"/>
    <col min="2940" max="2940" width="37.85546875" style="1" customWidth="1"/>
    <col min="2941" max="2941" width="36.5703125" style="1" customWidth="1"/>
    <col min="2942" max="2942" width="29.42578125" style="1" customWidth="1"/>
    <col min="2943" max="3187" width="8.85546875" style="1"/>
    <col min="3188" max="3188" width="4" style="1" customWidth="1"/>
    <col min="3189" max="3189" width="59.7109375" style="1" customWidth="1"/>
    <col min="3190" max="3190" width="4.85546875" style="1" customWidth="1"/>
    <col min="3191" max="3191" width="9" style="1" customWidth="1"/>
    <col min="3192" max="3192" width="15.85546875" style="1" customWidth="1"/>
    <col min="3193" max="3193" width="15.7109375" style="1" customWidth="1"/>
    <col min="3194" max="3194" width="15.42578125" style="1" customWidth="1"/>
    <col min="3195" max="3195" width="17.140625" style="1" customWidth="1"/>
    <col min="3196" max="3196" width="37.85546875" style="1" customWidth="1"/>
    <col min="3197" max="3197" width="36.5703125" style="1" customWidth="1"/>
    <col min="3198" max="3198" width="29.42578125" style="1" customWidth="1"/>
    <col min="3199" max="3443" width="8.85546875" style="1"/>
    <col min="3444" max="3444" width="4" style="1" customWidth="1"/>
    <col min="3445" max="3445" width="59.7109375" style="1" customWidth="1"/>
    <col min="3446" max="3446" width="4.85546875" style="1" customWidth="1"/>
    <col min="3447" max="3447" width="9" style="1" customWidth="1"/>
    <col min="3448" max="3448" width="15.85546875" style="1" customWidth="1"/>
    <col min="3449" max="3449" width="15.7109375" style="1" customWidth="1"/>
    <col min="3450" max="3450" width="15.42578125" style="1" customWidth="1"/>
    <col min="3451" max="3451" width="17.140625" style="1" customWidth="1"/>
    <col min="3452" max="3452" width="37.85546875" style="1" customWidth="1"/>
    <col min="3453" max="3453" width="36.5703125" style="1" customWidth="1"/>
    <col min="3454" max="3454" width="29.42578125" style="1" customWidth="1"/>
    <col min="3455" max="3699" width="8.85546875" style="1"/>
    <col min="3700" max="3700" width="4" style="1" customWidth="1"/>
    <col min="3701" max="3701" width="59.7109375" style="1" customWidth="1"/>
    <col min="3702" max="3702" width="4.85546875" style="1" customWidth="1"/>
    <col min="3703" max="3703" width="9" style="1" customWidth="1"/>
    <col min="3704" max="3704" width="15.85546875" style="1" customWidth="1"/>
    <col min="3705" max="3705" width="15.7109375" style="1" customWidth="1"/>
    <col min="3706" max="3706" width="15.42578125" style="1" customWidth="1"/>
    <col min="3707" max="3707" width="17.140625" style="1" customWidth="1"/>
    <col min="3708" max="3708" width="37.85546875" style="1" customWidth="1"/>
    <col min="3709" max="3709" width="36.5703125" style="1" customWidth="1"/>
    <col min="3710" max="3710" width="29.42578125" style="1" customWidth="1"/>
    <col min="3711" max="3955" width="8.85546875" style="1"/>
    <col min="3956" max="3956" width="4" style="1" customWidth="1"/>
    <col min="3957" max="3957" width="59.7109375" style="1" customWidth="1"/>
    <col min="3958" max="3958" width="4.85546875" style="1" customWidth="1"/>
    <col min="3959" max="3959" width="9" style="1" customWidth="1"/>
    <col min="3960" max="3960" width="15.85546875" style="1" customWidth="1"/>
    <col min="3961" max="3961" width="15.7109375" style="1" customWidth="1"/>
    <col min="3962" max="3962" width="15.42578125" style="1" customWidth="1"/>
    <col min="3963" max="3963" width="17.140625" style="1" customWidth="1"/>
    <col min="3964" max="3964" width="37.85546875" style="1" customWidth="1"/>
    <col min="3965" max="3965" width="36.5703125" style="1" customWidth="1"/>
    <col min="3966" max="3966" width="29.42578125" style="1" customWidth="1"/>
    <col min="3967" max="4211" width="8.85546875" style="1"/>
    <col min="4212" max="4212" width="4" style="1" customWidth="1"/>
    <col min="4213" max="4213" width="59.7109375" style="1" customWidth="1"/>
    <col min="4214" max="4214" width="4.85546875" style="1" customWidth="1"/>
    <col min="4215" max="4215" width="9" style="1" customWidth="1"/>
    <col min="4216" max="4216" width="15.85546875" style="1" customWidth="1"/>
    <col min="4217" max="4217" width="15.7109375" style="1" customWidth="1"/>
    <col min="4218" max="4218" width="15.42578125" style="1" customWidth="1"/>
    <col min="4219" max="4219" width="17.140625" style="1" customWidth="1"/>
    <col min="4220" max="4220" width="37.85546875" style="1" customWidth="1"/>
    <col min="4221" max="4221" width="36.5703125" style="1" customWidth="1"/>
    <col min="4222" max="4222" width="29.42578125" style="1" customWidth="1"/>
    <col min="4223" max="4467" width="8.85546875" style="1"/>
    <col min="4468" max="4468" width="4" style="1" customWidth="1"/>
    <col min="4469" max="4469" width="59.7109375" style="1" customWidth="1"/>
    <col min="4470" max="4470" width="4.85546875" style="1" customWidth="1"/>
    <col min="4471" max="4471" width="9" style="1" customWidth="1"/>
    <col min="4472" max="4472" width="15.85546875" style="1" customWidth="1"/>
    <col min="4473" max="4473" width="15.7109375" style="1" customWidth="1"/>
    <col min="4474" max="4474" width="15.42578125" style="1" customWidth="1"/>
    <col min="4475" max="4475" width="17.140625" style="1" customWidth="1"/>
    <col min="4476" max="4476" width="37.85546875" style="1" customWidth="1"/>
    <col min="4477" max="4477" width="36.5703125" style="1" customWidth="1"/>
    <col min="4478" max="4478" width="29.42578125" style="1" customWidth="1"/>
    <col min="4479" max="4723" width="8.85546875" style="1"/>
    <col min="4724" max="4724" width="4" style="1" customWidth="1"/>
    <col min="4725" max="4725" width="59.7109375" style="1" customWidth="1"/>
    <col min="4726" max="4726" width="4.85546875" style="1" customWidth="1"/>
    <col min="4727" max="4727" width="9" style="1" customWidth="1"/>
    <col min="4728" max="4728" width="15.85546875" style="1" customWidth="1"/>
    <col min="4729" max="4729" width="15.7109375" style="1" customWidth="1"/>
    <col min="4730" max="4730" width="15.42578125" style="1" customWidth="1"/>
    <col min="4731" max="4731" width="17.140625" style="1" customWidth="1"/>
    <col min="4732" max="4732" width="37.85546875" style="1" customWidth="1"/>
    <col min="4733" max="4733" width="36.5703125" style="1" customWidth="1"/>
    <col min="4734" max="4734" width="29.42578125" style="1" customWidth="1"/>
    <col min="4735" max="4979" width="8.85546875" style="1"/>
    <col min="4980" max="4980" width="4" style="1" customWidth="1"/>
    <col min="4981" max="4981" width="59.7109375" style="1" customWidth="1"/>
    <col min="4982" max="4982" width="4.85546875" style="1" customWidth="1"/>
    <col min="4983" max="4983" width="9" style="1" customWidth="1"/>
    <col min="4984" max="4984" width="15.85546875" style="1" customWidth="1"/>
    <col min="4985" max="4985" width="15.7109375" style="1" customWidth="1"/>
    <col min="4986" max="4986" width="15.42578125" style="1" customWidth="1"/>
    <col min="4987" max="4987" width="17.140625" style="1" customWidth="1"/>
    <col min="4988" max="4988" width="37.85546875" style="1" customWidth="1"/>
    <col min="4989" max="4989" width="36.5703125" style="1" customWidth="1"/>
    <col min="4990" max="4990" width="29.42578125" style="1" customWidth="1"/>
    <col min="4991" max="5235" width="8.85546875" style="1"/>
    <col min="5236" max="5236" width="4" style="1" customWidth="1"/>
    <col min="5237" max="5237" width="59.7109375" style="1" customWidth="1"/>
    <col min="5238" max="5238" width="4.85546875" style="1" customWidth="1"/>
    <col min="5239" max="5239" width="9" style="1" customWidth="1"/>
    <col min="5240" max="5240" width="15.85546875" style="1" customWidth="1"/>
    <col min="5241" max="5241" width="15.7109375" style="1" customWidth="1"/>
    <col min="5242" max="5242" width="15.42578125" style="1" customWidth="1"/>
    <col min="5243" max="5243" width="17.140625" style="1" customWidth="1"/>
    <col min="5244" max="5244" width="37.85546875" style="1" customWidth="1"/>
    <col min="5245" max="5245" width="36.5703125" style="1" customWidth="1"/>
    <col min="5246" max="5246" width="29.42578125" style="1" customWidth="1"/>
    <col min="5247" max="5491" width="8.85546875" style="1"/>
    <col min="5492" max="5492" width="4" style="1" customWidth="1"/>
    <col min="5493" max="5493" width="59.7109375" style="1" customWidth="1"/>
    <col min="5494" max="5494" width="4.85546875" style="1" customWidth="1"/>
    <col min="5495" max="5495" width="9" style="1" customWidth="1"/>
    <col min="5496" max="5496" width="15.85546875" style="1" customWidth="1"/>
    <col min="5497" max="5497" width="15.7109375" style="1" customWidth="1"/>
    <col min="5498" max="5498" width="15.42578125" style="1" customWidth="1"/>
    <col min="5499" max="5499" width="17.140625" style="1" customWidth="1"/>
    <col min="5500" max="5500" width="37.85546875" style="1" customWidth="1"/>
    <col min="5501" max="5501" width="36.5703125" style="1" customWidth="1"/>
    <col min="5502" max="5502" width="29.42578125" style="1" customWidth="1"/>
    <col min="5503" max="5747" width="8.85546875" style="1"/>
    <col min="5748" max="5748" width="4" style="1" customWidth="1"/>
    <col min="5749" max="5749" width="59.7109375" style="1" customWidth="1"/>
    <col min="5750" max="5750" width="4.85546875" style="1" customWidth="1"/>
    <col min="5751" max="5751" width="9" style="1" customWidth="1"/>
    <col min="5752" max="5752" width="15.85546875" style="1" customWidth="1"/>
    <col min="5753" max="5753" width="15.7109375" style="1" customWidth="1"/>
    <col min="5754" max="5754" width="15.42578125" style="1" customWidth="1"/>
    <col min="5755" max="5755" width="17.140625" style="1" customWidth="1"/>
    <col min="5756" max="5756" width="37.85546875" style="1" customWidth="1"/>
    <col min="5757" max="5757" width="36.5703125" style="1" customWidth="1"/>
    <col min="5758" max="5758" width="29.42578125" style="1" customWidth="1"/>
    <col min="5759" max="6003" width="8.85546875" style="1"/>
    <col min="6004" max="6004" width="4" style="1" customWidth="1"/>
    <col min="6005" max="6005" width="59.7109375" style="1" customWidth="1"/>
    <col min="6006" max="6006" width="4.85546875" style="1" customWidth="1"/>
    <col min="6007" max="6007" width="9" style="1" customWidth="1"/>
    <col min="6008" max="6008" width="15.85546875" style="1" customWidth="1"/>
    <col min="6009" max="6009" width="15.7109375" style="1" customWidth="1"/>
    <col min="6010" max="6010" width="15.42578125" style="1" customWidth="1"/>
    <col min="6011" max="6011" width="17.140625" style="1" customWidth="1"/>
    <col min="6012" max="6012" width="37.85546875" style="1" customWidth="1"/>
    <col min="6013" max="6013" width="36.5703125" style="1" customWidth="1"/>
    <col min="6014" max="6014" width="29.42578125" style="1" customWidth="1"/>
    <col min="6015" max="6259" width="8.85546875" style="1"/>
    <col min="6260" max="6260" width="4" style="1" customWidth="1"/>
    <col min="6261" max="6261" width="59.7109375" style="1" customWidth="1"/>
    <col min="6262" max="6262" width="4.85546875" style="1" customWidth="1"/>
    <col min="6263" max="6263" width="9" style="1" customWidth="1"/>
    <col min="6264" max="6264" width="15.85546875" style="1" customWidth="1"/>
    <col min="6265" max="6265" width="15.7109375" style="1" customWidth="1"/>
    <col min="6266" max="6266" width="15.42578125" style="1" customWidth="1"/>
    <col min="6267" max="6267" width="17.140625" style="1" customWidth="1"/>
    <col min="6268" max="6268" width="37.85546875" style="1" customWidth="1"/>
    <col min="6269" max="6269" width="36.5703125" style="1" customWidth="1"/>
    <col min="6270" max="6270" width="29.42578125" style="1" customWidth="1"/>
    <col min="6271" max="6515" width="8.85546875" style="1"/>
    <col min="6516" max="6516" width="4" style="1" customWidth="1"/>
    <col min="6517" max="6517" width="59.7109375" style="1" customWidth="1"/>
    <col min="6518" max="6518" width="4.85546875" style="1" customWidth="1"/>
    <col min="6519" max="6519" width="9" style="1" customWidth="1"/>
    <col min="6520" max="6520" width="15.85546875" style="1" customWidth="1"/>
    <col min="6521" max="6521" width="15.7109375" style="1" customWidth="1"/>
    <col min="6522" max="6522" width="15.42578125" style="1" customWidth="1"/>
    <col min="6523" max="6523" width="17.140625" style="1" customWidth="1"/>
    <col min="6524" max="6524" width="37.85546875" style="1" customWidth="1"/>
    <col min="6525" max="6525" width="36.5703125" style="1" customWidth="1"/>
    <col min="6526" max="6526" width="29.42578125" style="1" customWidth="1"/>
    <col min="6527" max="6771" width="8.85546875" style="1"/>
    <col min="6772" max="6772" width="4" style="1" customWidth="1"/>
    <col min="6773" max="6773" width="59.7109375" style="1" customWidth="1"/>
    <col min="6774" max="6774" width="4.85546875" style="1" customWidth="1"/>
    <col min="6775" max="6775" width="9" style="1" customWidth="1"/>
    <col min="6776" max="6776" width="15.85546875" style="1" customWidth="1"/>
    <col min="6777" max="6777" width="15.7109375" style="1" customWidth="1"/>
    <col min="6778" max="6778" width="15.42578125" style="1" customWidth="1"/>
    <col min="6779" max="6779" width="17.140625" style="1" customWidth="1"/>
    <col min="6780" max="6780" width="37.85546875" style="1" customWidth="1"/>
    <col min="6781" max="6781" width="36.5703125" style="1" customWidth="1"/>
    <col min="6782" max="6782" width="29.42578125" style="1" customWidth="1"/>
    <col min="6783" max="7027" width="8.85546875" style="1"/>
    <col min="7028" max="7028" width="4" style="1" customWidth="1"/>
    <col min="7029" max="7029" width="59.7109375" style="1" customWidth="1"/>
    <col min="7030" max="7030" width="4.85546875" style="1" customWidth="1"/>
    <col min="7031" max="7031" width="9" style="1" customWidth="1"/>
    <col min="7032" max="7032" width="15.85546875" style="1" customWidth="1"/>
    <col min="7033" max="7033" width="15.7109375" style="1" customWidth="1"/>
    <col min="7034" max="7034" width="15.42578125" style="1" customWidth="1"/>
    <col min="7035" max="7035" width="17.140625" style="1" customWidth="1"/>
    <col min="7036" max="7036" width="37.85546875" style="1" customWidth="1"/>
    <col min="7037" max="7037" width="36.5703125" style="1" customWidth="1"/>
    <col min="7038" max="7038" width="29.42578125" style="1" customWidth="1"/>
    <col min="7039" max="7283" width="8.85546875" style="1"/>
    <col min="7284" max="7284" width="4" style="1" customWidth="1"/>
    <col min="7285" max="7285" width="59.7109375" style="1" customWidth="1"/>
    <col min="7286" max="7286" width="4.85546875" style="1" customWidth="1"/>
    <col min="7287" max="7287" width="9" style="1" customWidth="1"/>
    <col min="7288" max="7288" width="15.85546875" style="1" customWidth="1"/>
    <col min="7289" max="7289" width="15.7109375" style="1" customWidth="1"/>
    <col min="7290" max="7290" width="15.42578125" style="1" customWidth="1"/>
    <col min="7291" max="7291" width="17.140625" style="1" customWidth="1"/>
    <col min="7292" max="7292" width="37.85546875" style="1" customWidth="1"/>
    <col min="7293" max="7293" width="36.5703125" style="1" customWidth="1"/>
    <col min="7294" max="7294" width="29.42578125" style="1" customWidth="1"/>
    <col min="7295" max="7539" width="8.85546875" style="1"/>
    <col min="7540" max="7540" width="4" style="1" customWidth="1"/>
    <col min="7541" max="7541" width="59.7109375" style="1" customWidth="1"/>
    <col min="7542" max="7542" width="4.85546875" style="1" customWidth="1"/>
    <col min="7543" max="7543" width="9" style="1" customWidth="1"/>
    <col min="7544" max="7544" width="15.85546875" style="1" customWidth="1"/>
    <col min="7545" max="7545" width="15.7109375" style="1" customWidth="1"/>
    <col min="7546" max="7546" width="15.42578125" style="1" customWidth="1"/>
    <col min="7547" max="7547" width="17.140625" style="1" customWidth="1"/>
    <col min="7548" max="7548" width="37.85546875" style="1" customWidth="1"/>
    <col min="7549" max="7549" width="36.5703125" style="1" customWidth="1"/>
    <col min="7550" max="7550" width="29.42578125" style="1" customWidth="1"/>
    <col min="7551" max="7795" width="8.85546875" style="1"/>
    <col min="7796" max="7796" width="4" style="1" customWidth="1"/>
    <col min="7797" max="7797" width="59.7109375" style="1" customWidth="1"/>
    <col min="7798" max="7798" width="4.85546875" style="1" customWidth="1"/>
    <col min="7799" max="7799" width="9" style="1" customWidth="1"/>
    <col min="7800" max="7800" width="15.85546875" style="1" customWidth="1"/>
    <col min="7801" max="7801" width="15.7109375" style="1" customWidth="1"/>
    <col min="7802" max="7802" width="15.42578125" style="1" customWidth="1"/>
    <col min="7803" max="7803" width="17.140625" style="1" customWidth="1"/>
    <col min="7804" max="7804" width="37.85546875" style="1" customWidth="1"/>
    <col min="7805" max="7805" width="36.5703125" style="1" customWidth="1"/>
    <col min="7806" max="7806" width="29.42578125" style="1" customWidth="1"/>
    <col min="7807" max="8051" width="8.85546875" style="1"/>
    <col min="8052" max="8052" width="4" style="1" customWidth="1"/>
    <col min="8053" max="8053" width="59.7109375" style="1" customWidth="1"/>
    <col min="8054" max="8054" width="4.85546875" style="1" customWidth="1"/>
    <col min="8055" max="8055" width="9" style="1" customWidth="1"/>
    <col min="8056" max="8056" width="15.85546875" style="1" customWidth="1"/>
    <col min="8057" max="8057" width="15.7109375" style="1" customWidth="1"/>
    <col min="8058" max="8058" width="15.42578125" style="1" customWidth="1"/>
    <col min="8059" max="8059" width="17.140625" style="1" customWidth="1"/>
    <col min="8060" max="8060" width="37.85546875" style="1" customWidth="1"/>
    <col min="8061" max="8061" width="36.5703125" style="1" customWidth="1"/>
    <col min="8062" max="8062" width="29.42578125" style="1" customWidth="1"/>
    <col min="8063" max="8307" width="8.85546875" style="1"/>
    <col min="8308" max="8308" width="4" style="1" customWidth="1"/>
    <col min="8309" max="8309" width="59.7109375" style="1" customWidth="1"/>
    <col min="8310" max="8310" width="4.85546875" style="1" customWidth="1"/>
    <col min="8311" max="8311" width="9" style="1" customWidth="1"/>
    <col min="8312" max="8312" width="15.85546875" style="1" customWidth="1"/>
    <col min="8313" max="8313" width="15.7109375" style="1" customWidth="1"/>
    <col min="8314" max="8314" width="15.42578125" style="1" customWidth="1"/>
    <col min="8315" max="8315" width="17.140625" style="1" customWidth="1"/>
    <col min="8316" max="8316" width="37.85546875" style="1" customWidth="1"/>
    <col min="8317" max="8317" width="36.5703125" style="1" customWidth="1"/>
    <col min="8318" max="8318" width="29.42578125" style="1" customWidth="1"/>
    <col min="8319" max="8563" width="8.85546875" style="1"/>
    <col min="8564" max="8564" width="4" style="1" customWidth="1"/>
    <col min="8565" max="8565" width="59.7109375" style="1" customWidth="1"/>
    <col min="8566" max="8566" width="4.85546875" style="1" customWidth="1"/>
    <col min="8567" max="8567" width="9" style="1" customWidth="1"/>
    <col min="8568" max="8568" width="15.85546875" style="1" customWidth="1"/>
    <col min="8569" max="8569" width="15.7109375" style="1" customWidth="1"/>
    <col min="8570" max="8570" width="15.42578125" style="1" customWidth="1"/>
    <col min="8571" max="8571" width="17.140625" style="1" customWidth="1"/>
    <col min="8572" max="8572" width="37.85546875" style="1" customWidth="1"/>
    <col min="8573" max="8573" width="36.5703125" style="1" customWidth="1"/>
    <col min="8574" max="8574" width="29.42578125" style="1" customWidth="1"/>
    <col min="8575" max="8819" width="8.85546875" style="1"/>
    <col min="8820" max="8820" width="4" style="1" customWidth="1"/>
    <col min="8821" max="8821" width="59.7109375" style="1" customWidth="1"/>
    <col min="8822" max="8822" width="4.85546875" style="1" customWidth="1"/>
    <col min="8823" max="8823" width="9" style="1" customWidth="1"/>
    <col min="8824" max="8824" width="15.85546875" style="1" customWidth="1"/>
    <col min="8825" max="8825" width="15.7109375" style="1" customWidth="1"/>
    <col min="8826" max="8826" width="15.42578125" style="1" customWidth="1"/>
    <col min="8827" max="8827" width="17.140625" style="1" customWidth="1"/>
    <col min="8828" max="8828" width="37.85546875" style="1" customWidth="1"/>
    <col min="8829" max="8829" width="36.5703125" style="1" customWidth="1"/>
    <col min="8830" max="8830" width="29.42578125" style="1" customWidth="1"/>
    <col min="8831" max="9075" width="8.85546875" style="1"/>
    <col min="9076" max="9076" width="4" style="1" customWidth="1"/>
    <col min="9077" max="9077" width="59.7109375" style="1" customWidth="1"/>
    <col min="9078" max="9078" width="4.85546875" style="1" customWidth="1"/>
    <col min="9079" max="9079" width="9" style="1" customWidth="1"/>
    <col min="9080" max="9080" width="15.85546875" style="1" customWidth="1"/>
    <col min="9081" max="9081" width="15.7109375" style="1" customWidth="1"/>
    <col min="9082" max="9082" width="15.42578125" style="1" customWidth="1"/>
    <col min="9083" max="9083" width="17.140625" style="1" customWidth="1"/>
    <col min="9084" max="9084" width="37.85546875" style="1" customWidth="1"/>
    <col min="9085" max="9085" width="36.5703125" style="1" customWidth="1"/>
    <col min="9086" max="9086" width="29.42578125" style="1" customWidth="1"/>
    <col min="9087" max="9331" width="8.85546875" style="1"/>
    <col min="9332" max="9332" width="4" style="1" customWidth="1"/>
    <col min="9333" max="9333" width="59.7109375" style="1" customWidth="1"/>
    <col min="9334" max="9334" width="4.85546875" style="1" customWidth="1"/>
    <col min="9335" max="9335" width="9" style="1" customWidth="1"/>
    <col min="9336" max="9336" width="15.85546875" style="1" customWidth="1"/>
    <col min="9337" max="9337" width="15.7109375" style="1" customWidth="1"/>
    <col min="9338" max="9338" width="15.42578125" style="1" customWidth="1"/>
    <col min="9339" max="9339" width="17.140625" style="1" customWidth="1"/>
    <col min="9340" max="9340" width="37.85546875" style="1" customWidth="1"/>
    <col min="9341" max="9341" width="36.5703125" style="1" customWidth="1"/>
    <col min="9342" max="9342" width="29.42578125" style="1" customWidth="1"/>
    <col min="9343" max="9587" width="8.85546875" style="1"/>
    <col min="9588" max="9588" width="4" style="1" customWidth="1"/>
    <col min="9589" max="9589" width="59.7109375" style="1" customWidth="1"/>
    <col min="9590" max="9590" width="4.85546875" style="1" customWidth="1"/>
    <col min="9591" max="9591" width="9" style="1" customWidth="1"/>
    <col min="9592" max="9592" width="15.85546875" style="1" customWidth="1"/>
    <col min="9593" max="9593" width="15.7109375" style="1" customWidth="1"/>
    <col min="9594" max="9594" width="15.42578125" style="1" customWidth="1"/>
    <col min="9595" max="9595" width="17.140625" style="1" customWidth="1"/>
    <col min="9596" max="9596" width="37.85546875" style="1" customWidth="1"/>
    <col min="9597" max="9597" width="36.5703125" style="1" customWidth="1"/>
    <col min="9598" max="9598" width="29.42578125" style="1" customWidth="1"/>
    <col min="9599" max="9843" width="8.85546875" style="1"/>
    <col min="9844" max="9844" width="4" style="1" customWidth="1"/>
    <col min="9845" max="9845" width="59.7109375" style="1" customWidth="1"/>
    <col min="9846" max="9846" width="4.85546875" style="1" customWidth="1"/>
    <col min="9847" max="9847" width="9" style="1" customWidth="1"/>
    <col min="9848" max="9848" width="15.85546875" style="1" customWidth="1"/>
    <col min="9849" max="9849" width="15.7109375" style="1" customWidth="1"/>
    <col min="9850" max="9850" width="15.42578125" style="1" customWidth="1"/>
    <col min="9851" max="9851" width="17.140625" style="1" customWidth="1"/>
    <col min="9852" max="9852" width="37.85546875" style="1" customWidth="1"/>
    <col min="9853" max="9853" width="36.5703125" style="1" customWidth="1"/>
    <col min="9854" max="9854" width="29.42578125" style="1" customWidth="1"/>
    <col min="9855" max="10099" width="8.85546875" style="1"/>
    <col min="10100" max="10100" width="4" style="1" customWidth="1"/>
    <col min="10101" max="10101" width="59.7109375" style="1" customWidth="1"/>
    <col min="10102" max="10102" width="4.85546875" style="1" customWidth="1"/>
    <col min="10103" max="10103" width="9" style="1" customWidth="1"/>
    <col min="10104" max="10104" width="15.85546875" style="1" customWidth="1"/>
    <col min="10105" max="10105" width="15.7109375" style="1" customWidth="1"/>
    <col min="10106" max="10106" width="15.42578125" style="1" customWidth="1"/>
    <col min="10107" max="10107" width="17.140625" style="1" customWidth="1"/>
    <col min="10108" max="10108" width="37.85546875" style="1" customWidth="1"/>
    <col min="10109" max="10109" width="36.5703125" style="1" customWidth="1"/>
    <col min="10110" max="10110" width="29.42578125" style="1" customWidth="1"/>
    <col min="10111" max="10355" width="8.85546875" style="1"/>
    <col min="10356" max="10356" width="4" style="1" customWidth="1"/>
    <col min="10357" max="10357" width="59.7109375" style="1" customWidth="1"/>
    <col min="10358" max="10358" width="4.85546875" style="1" customWidth="1"/>
    <col min="10359" max="10359" width="9" style="1" customWidth="1"/>
    <col min="10360" max="10360" width="15.85546875" style="1" customWidth="1"/>
    <col min="10361" max="10361" width="15.7109375" style="1" customWidth="1"/>
    <col min="10362" max="10362" width="15.42578125" style="1" customWidth="1"/>
    <col min="10363" max="10363" width="17.140625" style="1" customWidth="1"/>
    <col min="10364" max="10364" width="37.85546875" style="1" customWidth="1"/>
    <col min="10365" max="10365" width="36.5703125" style="1" customWidth="1"/>
    <col min="10366" max="10366" width="29.42578125" style="1" customWidth="1"/>
    <col min="10367" max="10611" width="8.85546875" style="1"/>
    <col min="10612" max="10612" width="4" style="1" customWidth="1"/>
    <col min="10613" max="10613" width="59.7109375" style="1" customWidth="1"/>
    <col min="10614" max="10614" width="4.85546875" style="1" customWidth="1"/>
    <col min="10615" max="10615" width="9" style="1" customWidth="1"/>
    <col min="10616" max="10616" width="15.85546875" style="1" customWidth="1"/>
    <col min="10617" max="10617" width="15.7109375" style="1" customWidth="1"/>
    <col min="10618" max="10618" width="15.42578125" style="1" customWidth="1"/>
    <col min="10619" max="10619" width="17.140625" style="1" customWidth="1"/>
    <col min="10620" max="10620" width="37.85546875" style="1" customWidth="1"/>
    <col min="10621" max="10621" width="36.5703125" style="1" customWidth="1"/>
    <col min="10622" max="10622" width="29.42578125" style="1" customWidth="1"/>
    <col min="10623" max="10867" width="8.85546875" style="1"/>
    <col min="10868" max="10868" width="4" style="1" customWidth="1"/>
    <col min="10869" max="10869" width="59.7109375" style="1" customWidth="1"/>
    <col min="10870" max="10870" width="4.85546875" style="1" customWidth="1"/>
    <col min="10871" max="10871" width="9" style="1" customWidth="1"/>
    <col min="10872" max="10872" width="15.85546875" style="1" customWidth="1"/>
    <col min="10873" max="10873" width="15.7109375" style="1" customWidth="1"/>
    <col min="10874" max="10874" width="15.42578125" style="1" customWidth="1"/>
    <col min="10875" max="10875" width="17.140625" style="1" customWidth="1"/>
    <col min="10876" max="10876" width="37.85546875" style="1" customWidth="1"/>
    <col min="10877" max="10877" width="36.5703125" style="1" customWidth="1"/>
    <col min="10878" max="10878" width="29.42578125" style="1" customWidth="1"/>
    <col min="10879" max="11123" width="8.85546875" style="1"/>
    <col min="11124" max="11124" width="4" style="1" customWidth="1"/>
    <col min="11125" max="11125" width="59.7109375" style="1" customWidth="1"/>
    <col min="11126" max="11126" width="4.85546875" style="1" customWidth="1"/>
    <col min="11127" max="11127" width="9" style="1" customWidth="1"/>
    <col min="11128" max="11128" width="15.85546875" style="1" customWidth="1"/>
    <col min="11129" max="11129" width="15.7109375" style="1" customWidth="1"/>
    <col min="11130" max="11130" width="15.42578125" style="1" customWidth="1"/>
    <col min="11131" max="11131" width="17.140625" style="1" customWidth="1"/>
    <col min="11132" max="11132" width="37.85546875" style="1" customWidth="1"/>
    <col min="11133" max="11133" width="36.5703125" style="1" customWidth="1"/>
    <col min="11134" max="11134" width="29.42578125" style="1" customWidth="1"/>
    <col min="11135" max="11379" width="8.85546875" style="1"/>
    <col min="11380" max="11380" width="4" style="1" customWidth="1"/>
    <col min="11381" max="11381" width="59.7109375" style="1" customWidth="1"/>
    <col min="11382" max="11382" width="4.85546875" style="1" customWidth="1"/>
    <col min="11383" max="11383" width="9" style="1" customWidth="1"/>
    <col min="11384" max="11384" width="15.85546875" style="1" customWidth="1"/>
    <col min="11385" max="11385" width="15.7109375" style="1" customWidth="1"/>
    <col min="11386" max="11386" width="15.42578125" style="1" customWidth="1"/>
    <col min="11387" max="11387" width="17.140625" style="1" customWidth="1"/>
    <col min="11388" max="11388" width="37.85546875" style="1" customWidth="1"/>
    <col min="11389" max="11389" width="36.5703125" style="1" customWidth="1"/>
    <col min="11390" max="11390" width="29.42578125" style="1" customWidth="1"/>
    <col min="11391" max="11635" width="8.85546875" style="1"/>
    <col min="11636" max="11636" width="4" style="1" customWidth="1"/>
    <col min="11637" max="11637" width="59.7109375" style="1" customWidth="1"/>
    <col min="11638" max="11638" width="4.85546875" style="1" customWidth="1"/>
    <col min="11639" max="11639" width="9" style="1" customWidth="1"/>
    <col min="11640" max="11640" width="15.85546875" style="1" customWidth="1"/>
    <col min="11641" max="11641" width="15.7109375" style="1" customWidth="1"/>
    <col min="11642" max="11642" width="15.42578125" style="1" customWidth="1"/>
    <col min="11643" max="11643" width="17.140625" style="1" customWidth="1"/>
    <col min="11644" max="11644" width="37.85546875" style="1" customWidth="1"/>
    <col min="11645" max="11645" width="36.5703125" style="1" customWidth="1"/>
    <col min="11646" max="11646" width="29.42578125" style="1" customWidth="1"/>
    <col min="11647" max="11891" width="8.85546875" style="1"/>
    <col min="11892" max="11892" width="4" style="1" customWidth="1"/>
    <col min="11893" max="11893" width="59.7109375" style="1" customWidth="1"/>
    <col min="11894" max="11894" width="4.85546875" style="1" customWidth="1"/>
    <col min="11895" max="11895" width="9" style="1" customWidth="1"/>
    <col min="11896" max="11896" width="15.85546875" style="1" customWidth="1"/>
    <col min="11897" max="11897" width="15.7109375" style="1" customWidth="1"/>
    <col min="11898" max="11898" width="15.42578125" style="1" customWidth="1"/>
    <col min="11899" max="11899" width="17.140625" style="1" customWidth="1"/>
    <col min="11900" max="11900" width="37.85546875" style="1" customWidth="1"/>
    <col min="11901" max="11901" width="36.5703125" style="1" customWidth="1"/>
    <col min="11902" max="11902" width="29.42578125" style="1" customWidth="1"/>
    <col min="11903" max="12147" width="8.85546875" style="1"/>
    <col min="12148" max="12148" width="4" style="1" customWidth="1"/>
    <col min="12149" max="12149" width="59.7109375" style="1" customWidth="1"/>
    <col min="12150" max="12150" width="4.85546875" style="1" customWidth="1"/>
    <col min="12151" max="12151" width="9" style="1" customWidth="1"/>
    <col min="12152" max="12152" width="15.85546875" style="1" customWidth="1"/>
    <col min="12153" max="12153" width="15.7109375" style="1" customWidth="1"/>
    <col min="12154" max="12154" width="15.42578125" style="1" customWidth="1"/>
    <col min="12155" max="12155" width="17.140625" style="1" customWidth="1"/>
    <col min="12156" max="12156" width="37.85546875" style="1" customWidth="1"/>
    <col min="12157" max="12157" width="36.5703125" style="1" customWidth="1"/>
    <col min="12158" max="12158" width="29.42578125" style="1" customWidth="1"/>
    <col min="12159" max="12403" width="8.85546875" style="1"/>
    <col min="12404" max="12404" width="4" style="1" customWidth="1"/>
    <col min="12405" max="12405" width="59.7109375" style="1" customWidth="1"/>
    <col min="12406" max="12406" width="4.85546875" style="1" customWidth="1"/>
    <col min="12407" max="12407" width="9" style="1" customWidth="1"/>
    <col min="12408" max="12408" width="15.85546875" style="1" customWidth="1"/>
    <col min="12409" max="12409" width="15.7109375" style="1" customWidth="1"/>
    <col min="12410" max="12410" width="15.42578125" style="1" customWidth="1"/>
    <col min="12411" max="12411" width="17.140625" style="1" customWidth="1"/>
    <col min="12412" max="12412" width="37.85546875" style="1" customWidth="1"/>
    <col min="12413" max="12413" width="36.5703125" style="1" customWidth="1"/>
    <col min="12414" max="12414" width="29.42578125" style="1" customWidth="1"/>
    <col min="12415" max="12659" width="8.85546875" style="1"/>
    <col min="12660" max="12660" width="4" style="1" customWidth="1"/>
    <col min="12661" max="12661" width="59.7109375" style="1" customWidth="1"/>
    <col min="12662" max="12662" width="4.85546875" style="1" customWidth="1"/>
    <col min="12663" max="12663" width="9" style="1" customWidth="1"/>
    <col min="12664" max="12664" width="15.85546875" style="1" customWidth="1"/>
    <col min="12665" max="12665" width="15.7109375" style="1" customWidth="1"/>
    <col min="12666" max="12666" width="15.42578125" style="1" customWidth="1"/>
    <col min="12667" max="12667" width="17.140625" style="1" customWidth="1"/>
    <col min="12668" max="12668" width="37.85546875" style="1" customWidth="1"/>
    <col min="12669" max="12669" width="36.5703125" style="1" customWidth="1"/>
    <col min="12670" max="12670" width="29.42578125" style="1" customWidth="1"/>
    <col min="12671" max="12915" width="8.85546875" style="1"/>
    <col min="12916" max="12916" width="4" style="1" customWidth="1"/>
    <col min="12917" max="12917" width="59.7109375" style="1" customWidth="1"/>
    <col min="12918" max="12918" width="4.85546875" style="1" customWidth="1"/>
    <col min="12919" max="12919" width="9" style="1" customWidth="1"/>
    <col min="12920" max="12920" width="15.85546875" style="1" customWidth="1"/>
    <col min="12921" max="12921" width="15.7109375" style="1" customWidth="1"/>
    <col min="12922" max="12922" width="15.42578125" style="1" customWidth="1"/>
    <col min="12923" max="12923" width="17.140625" style="1" customWidth="1"/>
    <col min="12924" max="12924" width="37.85546875" style="1" customWidth="1"/>
    <col min="12925" max="12925" width="36.5703125" style="1" customWidth="1"/>
    <col min="12926" max="12926" width="29.42578125" style="1" customWidth="1"/>
    <col min="12927" max="13171" width="8.85546875" style="1"/>
    <col min="13172" max="13172" width="4" style="1" customWidth="1"/>
    <col min="13173" max="13173" width="59.7109375" style="1" customWidth="1"/>
    <col min="13174" max="13174" width="4.85546875" style="1" customWidth="1"/>
    <col min="13175" max="13175" width="9" style="1" customWidth="1"/>
    <col min="13176" max="13176" width="15.85546875" style="1" customWidth="1"/>
    <col min="13177" max="13177" width="15.7109375" style="1" customWidth="1"/>
    <col min="13178" max="13178" width="15.42578125" style="1" customWidth="1"/>
    <col min="13179" max="13179" width="17.140625" style="1" customWidth="1"/>
    <col min="13180" max="13180" width="37.85546875" style="1" customWidth="1"/>
    <col min="13181" max="13181" width="36.5703125" style="1" customWidth="1"/>
    <col min="13182" max="13182" width="29.42578125" style="1" customWidth="1"/>
    <col min="13183" max="13427" width="8.85546875" style="1"/>
    <col min="13428" max="13428" width="4" style="1" customWidth="1"/>
    <col min="13429" max="13429" width="59.7109375" style="1" customWidth="1"/>
    <col min="13430" max="13430" width="4.85546875" style="1" customWidth="1"/>
    <col min="13431" max="13431" width="9" style="1" customWidth="1"/>
    <col min="13432" max="13432" width="15.85546875" style="1" customWidth="1"/>
    <col min="13433" max="13433" width="15.7109375" style="1" customWidth="1"/>
    <col min="13434" max="13434" width="15.42578125" style="1" customWidth="1"/>
    <col min="13435" max="13435" width="17.140625" style="1" customWidth="1"/>
    <col min="13436" max="13436" width="37.85546875" style="1" customWidth="1"/>
    <col min="13437" max="13437" width="36.5703125" style="1" customWidth="1"/>
    <col min="13438" max="13438" width="29.42578125" style="1" customWidth="1"/>
    <col min="13439" max="13683" width="8.85546875" style="1"/>
    <col min="13684" max="13684" width="4" style="1" customWidth="1"/>
    <col min="13685" max="13685" width="59.7109375" style="1" customWidth="1"/>
    <col min="13686" max="13686" width="4.85546875" style="1" customWidth="1"/>
    <col min="13687" max="13687" width="9" style="1" customWidth="1"/>
    <col min="13688" max="13688" width="15.85546875" style="1" customWidth="1"/>
    <col min="13689" max="13689" width="15.7109375" style="1" customWidth="1"/>
    <col min="13690" max="13690" width="15.42578125" style="1" customWidth="1"/>
    <col min="13691" max="13691" width="17.140625" style="1" customWidth="1"/>
    <col min="13692" max="13692" width="37.85546875" style="1" customWidth="1"/>
    <col min="13693" max="13693" width="36.5703125" style="1" customWidth="1"/>
    <col min="13694" max="13694" width="29.42578125" style="1" customWidth="1"/>
    <col min="13695" max="13939" width="8.85546875" style="1"/>
    <col min="13940" max="13940" width="4" style="1" customWidth="1"/>
    <col min="13941" max="13941" width="59.7109375" style="1" customWidth="1"/>
    <col min="13942" max="13942" width="4.85546875" style="1" customWidth="1"/>
    <col min="13943" max="13943" width="9" style="1" customWidth="1"/>
    <col min="13944" max="13944" width="15.85546875" style="1" customWidth="1"/>
    <col min="13945" max="13945" width="15.7109375" style="1" customWidth="1"/>
    <col min="13946" max="13946" width="15.42578125" style="1" customWidth="1"/>
    <col min="13947" max="13947" width="17.140625" style="1" customWidth="1"/>
    <col min="13948" max="13948" width="37.85546875" style="1" customWidth="1"/>
    <col min="13949" max="13949" width="36.5703125" style="1" customWidth="1"/>
    <col min="13950" max="13950" width="29.42578125" style="1" customWidth="1"/>
    <col min="13951" max="14195" width="8.85546875" style="1"/>
    <col min="14196" max="14196" width="4" style="1" customWidth="1"/>
    <col min="14197" max="14197" width="59.7109375" style="1" customWidth="1"/>
    <col min="14198" max="14198" width="4.85546875" style="1" customWidth="1"/>
    <col min="14199" max="14199" width="9" style="1" customWidth="1"/>
    <col min="14200" max="14200" width="15.85546875" style="1" customWidth="1"/>
    <col min="14201" max="14201" width="15.7109375" style="1" customWidth="1"/>
    <col min="14202" max="14202" width="15.42578125" style="1" customWidth="1"/>
    <col min="14203" max="14203" width="17.140625" style="1" customWidth="1"/>
    <col min="14204" max="14204" width="37.85546875" style="1" customWidth="1"/>
    <col min="14205" max="14205" width="36.5703125" style="1" customWidth="1"/>
    <col min="14206" max="14206" width="29.42578125" style="1" customWidth="1"/>
    <col min="14207" max="14451" width="8.85546875" style="1"/>
    <col min="14452" max="14452" width="4" style="1" customWidth="1"/>
    <col min="14453" max="14453" width="59.7109375" style="1" customWidth="1"/>
    <col min="14454" max="14454" width="4.85546875" style="1" customWidth="1"/>
    <col min="14455" max="14455" width="9" style="1" customWidth="1"/>
    <col min="14456" max="14456" width="15.85546875" style="1" customWidth="1"/>
    <col min="14457" max="14457" width="15.7109375" style="1" customWidth="1"/>
    <col min="14458" max="14458" width="15.42578125" style="1" customWidth="1"/>
    <col min="14459" max="14459" width="17.140625" style="1" customWidth="1"/>
    <col min="14460" max="14460" width="37.85546875" style="1" customWidth="1"/>
    <col min="14461" max="14461" width="36.5703125" style="1" customWidth="1"/>
    <col min="14462" max="14462" width="29.42578125" style="1" customWidth="1"/>
    <col min="14463" max="14707" width="8.85546875" style="1"/>
    <col min="14708" max="14708" width="4" style="1" customWidth="1"/>
    <col min="14709" max="14709" width="59.7109375" style="1" customWidth="1"/>
    <col min="14710" max="14710" width="4.85546875" style="1" customWidth="1"/>
    <col min="14711" max="14711" width="9" style="1" customWidth="1"/>
    <col min="14712" max="14712" width="15.85546875" style="1" customWidth="1"/>
    <col min="14713" max="14713" width="15.7109375" style="1" customWidth="1"/>
    <col min="14714" max="14714" width="15.42578125" style="1" customWidth="1"/>
    <col min="14715" max="14715" width="17.140625" style="1" customWidth="1"/>
    <col min="14716" max="14716" width="37.85546875" style="1" customWidth="1"/>
    <col min="14717" max="14717" width="36.5703125" style="1" customWidth="1"/>
    <col min="14718" max="14718" width="29.42578125" style="1" customWidth="1"/>
    <col min="14719" max="14963" width="8.85546875" style="1"/>
    <col min="14964" max="14964" width="4" style="1" customWidth="1"/>
    <col min="14965" max="14965" width="59.7109375" style="1" customWidth="1"/>
    <col min="14966" max="14966" width="4.85546875" style="1" customWidth="1"/>
    <col min="14967" max="14967" width="9" style="1" customWidth="1"/>
    <col min="14968" max="14968" width="15.85546875" style="1" customWidth="1"/>
    <col min="14969" max="14969" width="15.7109375" style="1" customWidth="1"/>
    <col min="14970" max="14970" width="15.42578125" style="1" customWidth="1"/>
    <col min="14971" max="14971" width="17.140625" style="1" customWidth="1"/>
    <col min="14972" max="14972" width="37.85546875" style="1" customWidth="1"/>
    <col min="14973" max="14973" width="36.5703125" style="1" customWidth="1"/>
    <col min="14974" max="14974" width="29.42578125" style="1" customWidth="1"/>
    <col min="14975" max="15219" width="8.85546875" style="1"/>
    <col min="15220" max="15220" width="4" style="1" customWidth="1"/>
    <col min="15221" max="15221" width="59.7109375" style="1" customWidth="1"/>
    <col min="15222" max="15222" width="4.85546875" style="1" customWidth="1"/>
    <col min="15223" max="15223" width="9" style="1" customWidth="1"/>
    <col min="15224" max="15224" width="15.85546875" style="1" customWidth="1"/>
    <col min="15225" max="15225" width="15.7109375" style="1" customWidth="1"/>
    <col min="15226" max="15226" width="15.42578125" style="1" customWidth="1"/>
    <col min="15227" max="15227" width="17.140625" style="1" customWidth="1"/>
    <col min="15228" max="15228" width="37.85546875" style="1" customWidth="1"/>
    <col min="15229" max="15229" width="36.5703125" style="1" customWidth="1"/>
    <col min="15230" max="15230" width="29.42578125" style="1" customWidth="1"/>
    <col min="15231" max="15475" width="8.85546875" style="1"/>
    <col min="15476" max="15476" width="4" style="1" customWidth="1"/>
    <col min="15477" max="15477" width="59.7109375" style="1" customWidth="1"/>
    <col min="15478" max="15478" width="4.85546875" style="1" customWidth="1"/>
    <col min="15479" max="15479" width="9" style="1" customWidth="1"/>
    <col min="15480" max="15480" width="15.85546875" style="1" customWidth="1"/>
    <col min="15481" max="15481" width="15.7109375" style="1" customWidth="1"/>
    <col min="15482" max="15482" width="15.42578125" style="1" customWidth="1"/>
    <col min="15483" max="15483" width="17.140625" style="1" customWidth="1"/>
    <col min="15484" max="15484" width="37.85546875" style="1" customWidth="1"/>
    <col min="15485" max="15485" width="36.5703125" style="1" customWidth="1"/>
    <col min="15486" max="15486" width="29.42578125" style="1" customWidth="1"/>
    <col min="15487" max="15731" width="8.85546875" style="1"/>
    <col min="15732" max="15732" width="4" style="1" customWidth="1"/>
    <col min="15733" max="15733" width="59.7109375" style="1" customWidth="1"/>
    <col min="15734" max="15734" width="4.85546875" style="1" customWidth="1"/>
    <col min="15735" max="15735" width="9" style="1" customWidth="1"/>
    <col min="15736" max="15736" width="15.85546875" style="1" customWidth="1"/>
    <col min="15737" max="15737" width="15.7109375" style="1" customWidth="1"/>
    <col min="15738" max="15738" width="15.42578125" style="1" customWidth="1"/>
    <col min="15739" max="15739" width="17.140625" style="1" customWidth="1"/>
    <col min="15740" max="15740" width="37.85546875" style="1" customWidth="1"/>
    <col min="15741" max="15741" width="36.5703125" style="1" customWidth="1"/>
    <col min="15742" max="15742" width="29.42578125" style="1" customWidth="1"/>
    <col min="15743" max="15987" width="8.85546875" style="1"/>
    <col min="15988" max="15988" width="4" style="1" customWidth="1"/>
    <col min="15989" max="15989" width="59.7109375" style="1" customWidth="1"/>
    <col min="15990" max="15990" width="4.85546875" style="1" customWidth="1"/>
    <col min="15991" max="15991" width="9" style="1" customWidth="1"/>
    <col min="15992" max="15992" width="15.85546875" style="1" customWidth="1"/>
    <col min="15993" max="15993" width="15.7109375" style="1" customWidth="1"/>
    <col min="15994" max="15994" width="15.42578125" style="1" customWidth="1"/>
    <col min="15995" max="15995" width="17.140625" style="1" customWidth="1"/>
    <col min="15996" max="15996" width="37.85546875" style="1" customWidth="1"/>
    <col min="15997" max="15997" width="36.5703125" style="1" customWidth="1"/>
    <col min="15998" max="15998" width="29.42578125" style="1" customWidth="1"/>
    <col min="15999" max="16384" width="8.85546875" style="1"/>
  </cols>
  <sheetData>
    <row r="1" spans="1:49" ht="22.15" customHeight="1">
      <c r="G1" s="15">
        <v>45999</v>
      </c>
      <c r="H1" s="15">
        <v>45999</v>
      </c>
      <c r="M1" s="15">
        <v>46002</v>
      </c>
      <c r="N1" s="15">
        <v>46002</v>
      </c>
      <c r="S1" s="15">
        <v>46006</v>
      </c>
      <c r="T1" s="15">
        <v>46006</v>
      </c>
      <c r="U1" s="17" t="s">
        <v>87</v>
      </c>
      <c r="Z1" s="15">
        <v>46010</v>
      </c>
      <c r="AA1" s="15"/>
      <c r="AB1" s="17" t="s">
        <v>87</v>
      </c>
      <c r="AC1" s="18" t="s">
        <v>88</v>
      </c>
      <c r="AH1" s="15">
        <f ca="1">TODAY()</f>
        <v>46013</v>
      </c>
      <c r="AI1" s="15"/>
      <c r="AJ1" s="17" t="s">
        <v>87</v>
      </c>
      <c r="AK1" s="18" t="s">
        <v>88</v>
      </c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</row>
    <row r="2" spans="1:49" ht="30" customHeight="1">
      <c r="A2"/>
      <c r="B2" s="2" t="s">
        <v>0</v>
      </c>
      <c r="C2" s="3" t="s">
        <v>1</v>
      </c>
      <c r="D2" s="3" t="s">
        <v>2</v>
      </c>
      <c r="E2" s="4" t="s">
        <v>3</v>
      </c>
      <c r="F2" s="4" t="s">
        <v>4</v>
      </c>
      <c r="G2" s="5" t="s">
        <v>5</v>
      </c>
      <c r="H2" s="5" t="s">
        <v>6</v>
      </c>
      <c r="I2" s="3" t="s">
        <v>1</v>
      </c>
      <c r="J2" s="12" t="s">
        <v>2</v>
      </c>
      <c r="K2" s="4" t="s">
        <v>3</v>
      </c>
      <c r="L2" s="4" t="s">
        <v>4</v>
      </c>
      <c r="M2" s="5" t="s">
        <v>5</v>
      </c>
      <c r="N2" s="5" t="s">
        <v>6</v>
      </c>
      <c r="O2" s="3" t="s">
        <v>1</v>
      </c>
      <c r="P2" s="12" t="s">
        <v>2</v>
      </c>
      <c r="Q2" s="4" t="s">
        <v>3</v>
      </c>
      <c r="R2" s="4" t="s">
        <v>4</v>
      </c>
      <c r="S2" s="5" t="s">
        <v>5</v>
      </c>
      <c r="T2" s="5" t="s">
        <v>6</v>
      </c>
      <c r="U2" s="19"/>
      <c r="V2" s="3" t="s">
        <v>1</v>
      </c>
      <c r="W2" s="12" t="s">
        <v>2</v>
      </c>
      <c r="X2" s="4" t="s">
        <v>3</v>
      </c>
      <c r="Y2" s="4" t="s">
        <v>4</v>
      </c>
      <c r="Z2" s="5" t="s">
        <v>5</v>
      </c>
      <c r="AA2" s="5"/>
      <c r="AB2" s="19"/>
      <c r="AC2" s="20"/>
      <c r="AD2" s="3" t="s">
        <v>1</v>
      </c>
      <c r="AE2" s="12" t="s">
        <v>2</v>
      </c>
      <c r="AF2" s="4" t="s">
        <v>3</v>
      </c>
      <c r="AG2" s="4" t="s">
        <v>4</v>
      </c>
      <c r="AH2" s="5" t="s">
        <v>5</v>
      </c>
      <c r="AI2" s="5"/>
      <c r="AJ2" s="19"/>
      <c r="AK2" s="20"/>
      <c r="AL2" s="62"/>
      <c r="AM2" s="62"/>
      <c r="AN2" s="62"/>
      <c r="AO2" s="62"/>
      <c r="AP2" s="62"/>
      <c r="AQ2" s="62"/>
      <c r="AR2" s="62"/>
      <c r="AS2" s="62"/>
      <c r="AT2" s="62"/>
      <c r="AU2" s="62"/>
      <c r="AV2" s="62"/>
      <c r="AW2" s="62"/>
    </row>
    <row r="3" spans="1:49" ht="22.15" hidden="1" customHeight="1">
      <c r="A3"/>
      <c r="B3" s="6" t="s">
        <v>7</v>
      </c>
      <c r="C3" s="21" t="s">
        <v>8</v>
      </c>
      <c r="D3" s="22">
        <v>124</v>
      </c>
      <c r="E3" s="23">
        <v>45254</v>
      </c>
      <c r="F3" s="23">
        <v>45299</v>
      </c>
      <c r="G3" s="7">
        <f t="shared" ref="G3:G37" si="0">IFERROR((F3-$G$1)/(F3-E3)*100,"")</f>
        <v>-1555.5555555555554</v>
      </c>
      <c r="H3" s="7">
        <f t="shared" ref="H3:H37" si="1">F3-$H$1</f>
        <v>-700</v>
      </c>
      <c r="I3" s="21" t="s">
        <v>8</v>
      </c>
      <c r="J3" s="24">
        <v>124</v>
      </c>
      <c r="K3" s="23">
        <v>45254</v>
      </c>
      <c r="L3" s="23">
        <v>45299</v>
      </c>
      <c r="M3" s="7">
        <f t="shared" ref="M3:M37" si="2">IFERROR((L3-$G$1)/(L3-K3)*100,"")</f>
        <v>-1555.5555555555554</v>
      </c>
      <c r="N3" s="7">
        <f t="shared" ref="N3:N37" si="3">L3-$H$1</f>
        <v>-700</v>
      </c>
      <c r="O3" s="21" t="s">
        <v>8</v>
      </c>
      <c r="P3" s="24">
        <v>124</v>
      </c>
      <c r="Q3" s="23">
        <v>45254</v>
      </c>
      <c r="R3" s="23">
        <v>45299</v>
      </c>
      <c r="S3" s="7">
        <f t="shared" ref="S3:S37" si="4">IFERROR((R3-$G$1)/(R3-Q3)*100,"")</f>
        <v>-1555.5555555555554</v>
      </c>
      <c r="T3" s="7">
        <f t="shared" ref="T3:T37" si="5">R3-$H$1</f>
        <v>-700</v>
      </c>
      <c r="U3" s="19"/>
      <c r="V3" s="21" t="s">
        <v>8</v>
      </c>
      <c r="W3" s="24">
        <v>124</v>
      </c>
      <c r="X3" s="23">
        <v>45254</v>
      </c>
      <c r="Y3" s="23">
        <v>45299</v>
      </c>
      <c r="Z3" s="7">
        <f t="shared" ref="Z3:Z37" si="6">IFERROR((Y3-$G$1)/(Y3-X3)*100,"")</f>
        <v>-1555.5555555555554</v>
      </c>
      <c r="AA3" s="7"/>
      <c r="AB3" s="19"/>
      <c r="AC3" s="20"/>
      <c r="AD3" s="21" t="s">
        <v>8</v>
      </c>
      <c r="AE3" s="24">
        <v>124</v>
      </c>
      <c r="AF3" s="23">
        <v>45254</v>
      </c>
      <c r="AG3" s="23">
        <v>45299</v>
      </c>
      <c r="AH3" s="7">
        <f t="shared" ref="AH3:AH37" si="7">IFERROR((AG3-$G$1)/(AG3-AF3)*100,"")</f>
        <v>-1555.5555555555554</v>
      </c>
      <c r="AI3" s="7"/>
      <c r="AJ3" s="19"/>
      <c r="AK3" s="20"/>
      <c r="AL3" s="62"/>
      <c r="AM3" s="62"/>
      <c r="AN3" s="62"/>
      <c r="AO3" s="62"/>
      <c r="AP3" s="62"/>
      <c r="AQ3" s="62"/>
      <c r="AR3" s="62"/>
      <c r="AS3" s="62"/>
      <c r="AT3" s="62"/>
      <c r="AU3" s="62"/>
      <c r="AV3" s="62"/>
      <c r="AW3" s="62"/>
    </row>
    <row r="4" spans="1:49" ht="22.15" hidden="1" customHeight="1">
      <c r="A4"/>
      <c r="B4" s="6" t="s">
        <v>9</v>
      </c>
      <c r="C4" s="21" t="s">
        <v>8</v>
      </c>
      <c r="D4" s="22">
        <v>115</v>
      </c>
      <c r="E4" s="23">
        <v>45254</v>
      </c>
      <c r="F4" s="23">
        <v>45299</v>
      </c>
      <c r="G4" s="7">
        <f t="shared" si="0"/>
        <v>-1555.5555555555554</v>
      </c>
      <c r="H4" s="7">
        <f t="shared" si="1"/>
        <v>-700</v>
      </c>
      <c r="I4" s="21" t="s">
        <v>8</v>
      </c>
      <c r="J4" s="24">
        <v>115</v>
      </c>
      <c r="K4" s="23">
        <v>45254</v>
      </c>
      <c r="L4" s="23">
        <v>45299</v>
      </c>
      <c r="M4" s="7">
        <f t="shared" si="2"/>
        <v>-1555.5555555555554</v>
      </c>
      <c r="N4" s="7">
        <f t="shared" si="3"/>
        <v>-700</v>
      </c>
      <c r="O4" s="21" t="s">
        <v>8</v>
      </c>
      <c r="P4" s="24">
        <v>115</v>
      </c>
      <c r="Q4" s="23">
        <v>45254</v>
      </c>
      <c r="R4" s="23">
        <v>45299</v>
      </c>
      <c r="S4" s="7">
        <f t="shared" si="4"/>
        <v>-1555.5555555555554</v>
      </c>
      <c r="T4" s="7">
        <f t="shared" si="5"/>
        <v>-700</v>
      </c>
      <c r="U4" s="19"/>
      <c r="V4" s="21" t="s">
        <v>8</v>
      </c>
      <c r="W4" s="24">
        <v>115</v>
      </c>
      <c r="X4" s="23">
        <v>45254</v>
      </c>
      <c r="Y4" s="23">
        <v>45299</v>
      </c>
      <c r="Z4" s="7">
        <f t="shared" si="6"/>
        <v>-1555.5555555555554</v>
      </c>
      <c r="AA4" s="7"/>
      <c r="AB4" s="19"/>
      <c r="AC4" s="20"/>
      <c r="AD4" s="21" t="s">
        <v>8</v>
      </c>
      <c r="AE4" s="24">
        <v>115</v>
      </c>
      <c r="AF4" s="23">
        <v>45254</v>
      </c>
      <c r="AG4" s="23">
        <v>45299</v>
      </c>
      <c r="AH4" s="7">
        <f t="shared" si="7"/>
        <v>-1555.5555555555554</v>
      </c>
      <c r="AI4" s="7"/>
      <c r="AJ4" s="19"/>
      <c r="AK4" s="20"/>
      <c r="AL4" s="62"/>
      <c r="AM4" s="62"/>
      <c r="AN4" s="62"/>
      <c r="AO4" s="62"/>
      <c r="AP4" s="62"/>
      <c r="AQ4" s="62"/>
      <c r="AR4" s="62"/>
      <c r="AS4" s="62"/>
      <c r="AT4" s="62"/>
      <c r="AU4" s="62"/>
      <c r="AV4" s="62"/>
      <c r="AW4" s="62"/>
    </row>
    <row r="5" spans="1:49" ht="22.15" hidden="1" customHeight="1">
      <c r="A5"/>
      <c r="B5" s="6" t="s">
        <v>10</v>
      </c>
      <c r="C5" s="21" t="s">
        <v>8</v>
      </c>
      <c r="D5" s="22">
        <v>54</v>
      </c>
      <c r="E5" s="25">
        <v>45256</v>
      </c>
      <c r="F5" s="25">
        <v>45301</v>
      </c>
      <c r="G5" s="7">
        <f t="shared" si="0"/>
        <v>-1551.1111111111111</v>
      </c>
      <c r="H5" s="7">
        <f t="shared" si="1"/>
        <v>-698</v>
      </c>
      <c r="I5" s="21" t="s">
        <v>8</v>
      </c>
      <c r="J5" s="24">
        <v>54</v>
      </c>
      <c r="K5" s="25">
        <v>45256</v>
      </c>
      <c r="L5" s="25">
        <v>45301</v>
      </c>
      <c r="M5" s="7">
        <f t="shared" si="2"/>
        <v>-1551.1111111111111</v>
      </c>
      <c r="N5" s="7">
        <f t="shared" si="3"/>
        <v>-698</v>
      </c>
      <c r="O5" s="21" t="s">
        <v>8</v>
      </c>
      <c r="P5" s="24">
        <v>54</v>
      </c>
      <c r="Q5" s="25">
        <v>45256</v>
      </c>
      <c r="R5" s="25">
        <v>45301</v>
      </c>
      <c r="S5" s="7">
        <f t="shared" si="4"/>
        <v>-1551.1111111111111</v>
      </c>
      <c r="T5" s="7">
        <f t="shared" si="5"/>
        <v>-698</v>
      </c>
      <c r="U5" s="19"/>
      <c r="V5" s="21" t="s">
        <v>8</v>
      </c>
      <c r="W5" s="24">
        <v>54</v>
      </c>
      <c r="X5" s="25">
        <v>45256</v>
      </c>
      <c r="Y5" s="25">
        <v>45301</v>
      </c>
      <c r="Z5" s="7">
        <f t="shared" si="6"/>
        <v>-1551.1111111111111</v>
      </c>
      <c r="AA5" s="7"/>
      <c r="AB5" s="19"/>
      <c r="AC5" s="20"/>
      <c r="AD5" s="21" t="s">
        <v>8</v>
      </c>
      <c r="AE5" s="24">
        <v>54</v>
      </c>
      <c r="AF5" s="25">
        <v>45256</v>
      </c>
      <c r="AG5" s="25">
        <v>45301</v>
      </c>
      <c r="AH5" s="7">
        <f t="shared" si="7"/>
        <v>-1551.1111111111111</v>
      </c>
      <c r="AI5" s="7"/>
      <c r="AJ5" s="19"/>
      <c r="AK5" s="20"/>
      <c r="AL5" s="62"/>
      <c r="AM5" s="62"/>
      <c r="AN5" s="62"/>
      <c r="AO5" s="62"/>
      <c r="AP5" s="62"/>
      <c r="AQ5" s="62"/>
      <c r="AR5" s="62"/>
      <c r="AS5" s="62"/>
      <c r="AT5" s="62"/>
      <c r="AU5" s="62"/>
      <c r="AV5" s="62"/>
      <c r="AW5" s="62"/>
    </row>
    <row r="6" spans="1:49" ht="22.15" hidden="1" customHeight="1">
      <c r="A6"/>
      <c r="B6" s="6" t="s">
        <v>11</v>
      </c>
      <c r="C6" s="21" t="s">
        <v>8</v>
      </c>
      <c r="D6" s="22">
        <v>65</v>
      </c>
      <c r="E6" s="25">
        <v>45268</v>
      </c>
      <c r="F6" s="25">
        <v>45303</v>
      </c>
      <c r="G6" s="7">
        <f t="shared" si="0"/>
        <v>-1988.5714285714287</v>
      </c>
      <c r="H6" s="7">
        <f t="shared" si="1"/>
        <v>-696</v>
      </c>
      <c r="I6" s="21" t="s">
        <v>8</v>
      </c>
      <c r="J6" s="24">
        <v>65</v>
      </c>
      <c r="K6" s="25">
        <v>45268</v>
      </c>
      <c r="L6" s="25">
        <v>45303</v>
      </c>
      <c r="M6" s="7">
        <f t="shared" si="2"/>
        <v>-1988.5714285714287</v>
      </c>
      <c r="N6" s="7">
        <f t="shared" si="3"/>
        <v>-696</v>
      </c>
      <c r="O6" s="21" t="s">
        <v>8</v>
      </c>
      <c r="P6" s="24">
        <v>65</v>
      </c>
      <c r="Q6" s="25">
        <v>45268</v>
      </c>
      <c r="R6" s="25">
        <v>45303</v>
      </c>
      <c r="S6" s="7">
        <f t="shared" si="4"/>
        <v>-1988.5714285714287</v>
      </c>
      <c r="T6" s="7">
        <f t="shared" si="5"/>
        <v>-696</v>
      </c>
      <c r="U6" s="19"/>
      <c r="V6" s="21" t="s">
        <v>8</v>
      </c>
      <c r="W6" s="24">
        <v>65</v>
      </c>
      <c r="X6" s="25">
        <v>45268</v>
      </c>
      <c r="Y6" s="25">
        <v>45303</v>
      </c>
      <c r="Z6" s="7">
        <f t="shared" si="6"/>
        <v>-1988.5714285714287</v>
      </c>
      <c r="AA6" s="7"/>
      <c r="AB6" s="19"/>
      <c r="AC6" s="20"/>
      <c r="AD6" s="21" t="s">
        <v>8</v>
      </c>
      <c r="AE6" s="24">
        <v>65</v>
      </c>
      <c r="AF6" s="25">
        <v>45268</v>
      </c>
      <c r="AG6" s="25">
        <v>45303</v>
      </c>
      <c r="AH6" s="7">
        <f t="shared" si="7"/>
        <v>-1988.5714285714287</v>
      </c>
      <c r="AI6" s="7"/>
      <c r="AJ6" s="19"/>
      <c r="AK6" s="20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  <c r="AW6" s="62"/>
    </row>
    <row r="7" spans="1:49" ht="22.15" hidden="1" customHeight="1">
      <c r="A7"/>
      <c r="B7" s="6" t="s">
        <v>12</v>
      </c>
      <c r="C7" s="21" t="s">
        <v>8</v>
      </c>
      <c r="D7" s="22">
        <v>32</v>
      </c>
      <c r="E7" s="25">
        <v>45269</v>
      </c>
      <c r="F7" s="25">
        <v>45304</v>
      </c>
      <c r="G7" s="7">
        <f t="shared" si="0"/>
        <v>-1985.7142857142858</v>
      </c>
      <c r="H7" s="7">
        <f t="shared" si="1"/>
        <v>-695</v>
      </c>
      <c r="I7" s="21" t="s">
        <v>8</v>
      </c>
      <c r="J7" s="24">
        <v>32</v>
      </c>
      <c r="K7" s="25">
        <v>45269</v>
      </c>
      <c r="L7" s="25">
        <v>45304</v>
      </c>
      <c r="M7" s="7">
        <f t="shared" si="2"/>
        <v>-1985.7142857142858</v>
      </c>
      <c r="N7" s="7">
        <f t="shared" si="3"/>
        <v>-695</v>
      </c>
      <c r="O7" s="21" t="s">
        <v>8</v>
      </c>
      <c r="P7" s="24">
        <v>32</v>
      </c>
      <c r="Q7" s="25">
        <v>45269</v>
      </c>
      <c r="R7" s="25">
        <v>45304</v>
      </c>
      <c r="S7" s="7">
        <f t="shared" si="4"/>
        <v>-1985.7142857142858</v>
      </c>
      <c r="T7" s="7">
        <f t="shared" si="5"/>
        <v>-695</v>
      </c>
      <c r="U7" s="19"/>
      <c r="V7" s="21" t="s">
        <v>8</v>
      </c>
      <c r="W7" s="24">
        <v>32</v>
      </c>
      <c r="X7" s="25">
        <v>45269</v>
      </c>
      <c r="Y7" s="25">
        <v>45304</v>
      </c>
      <c r="Z7" s="7">
        <f t="shared" si="6"/>
        <v>-1985.7142857142858</v>
      </c>
      <c r="AA7" s="7"/>
      <c r="AB7" s="19"/>
      <c r="AC7" s="20"/>
      <c r="AD7" s="21" t="s">
        <v>8</v>
      </c>
      <c r="AE7" s="24">
        <v>32</v>
      </c>
      <c r="AF7" s="25">
        <v>45269</v>
      </c>
      <c r="AG7" s="25">
        <v>45304</v>
      </c>
      <c r="AH7" s="7">
        <f t="shared" si="7"/>
        <v>-1985.7142857142858</v>
      </c>
      <c r="AI7" s="7"/>
      <c r="AJ7" s="19"/>
      <c r="AK7" s="20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</row>
    <row r="8" spans="1:49" ht="22.15" hidden="1" customHeight="1">
      <c r="A8"/>
      <c r="B8" s="6" t="s">
        <v>13</v>
      </c>
      <c r="C8" s="21" t="s">
        <v>14</v>
      </c>
      <c r="D8" s="22">
        <v>217.8</v>
      </c>
      <c r="E8" s="25">
        <v>45275</v>
      </c>
      <c r="F8" s="25">
        <v>45305</v>
      </c>
      <c r="G8" s="7">
        <f t="shared" si="0"/>
        <v>-2313.3333333333335</v>
      </c>
      <c r="H8" s="7">
        <f t="shared" si="1"/>
        <v>-694</v>
      </c>
      <c r="I8" s="21" t="s">
        <v>14</v>
      </c>
      <c r="J8" s="24">
        <v>217.8</v>
      </c>
      <c r="K8" s="25">
        <v>45275</v>
      </c>
      <c r="L8" s="25">
        <v>45305</v>
      </c>
      <c r="M8" s="7">
        <f t="shared" si="2"/>
        <v>-2313.3333333333335</v>
      </c>
      <c r="N8" s="7">
        <f t="shared" si="3"/>
        <v>-694</v>
      </c>
      <c r="O8" s="21" t="s">
        <v>14</v>
      </c>
      <c r="P8" s="24">
        <v>217.8</v>
      </c>
      <c r="Q8" s="25">
        <v>45275</v>
      </c>
      <c r="R8" s="25">
        <v>45305</v>
      </c>
      <c r="S8" s="7">
        <f t="shared" si="4"/>
        <v>-2313.3333333333335</v>
      </c>
      <c r="T8" s="7">
        <f t="shared" si="5"/>
        <v>-694</v>
      </c>
      <c r="U8" s="19"/>
      <c r="V8" s="21" t="s">
        <v>14</v>
      </c>
      <c r="W8" s="24">
        <v>217.8</v>
      </c>
      <c r="X8" s="25">
        <v>45275</v>
      </c>
      <c r="Y8" s="25">
        <v>45305</v>
      </c>
      <c r="Z8" s="7">
        <f t="shared" si="6"/>
        <v>-2313.3333333333335</v>
      </c>
      <c r="AA8" s="7"/>
      <c r="AB8" s="19"/>
      <c r="AC8" s="20"/>
      <c r="AD8" s="21" t="s">
        <v>14</v>
      </c>
      <c r="AE8" s="24">
        <v>217.8</v>
      </c>
      <c r="AF8" s="25">
        <v>45275</v>
      </c>
      <c r="AG8" s="25">
        <v>45305</v>
      </c>
      <c r="AH8" s="7">
        <f t="shared" si="7"/>
        <v>-2313.3333333333335</v>
      </c>
      <c r="AI8" s="7"/>
      <c r="AJ8" s="19"/>
      <c r="AK8" s="20"/>
      <c r="AL8" s="62"/>
      <c r="AM8" s="62"/>
      <c r="AN8" s="62"/>
      <c r="AO8" s="62"/>
      <c r="AP8" s="62"/>
      <c r="AQ8" s="62"/>
      <c r="AR8" s="62"/>
      <c r="AS8" s="62"/>
      <c r="AT8" s="62"/>
      <c r="AU8" s="62"/>
      <c r="AV8" s="62"/>
      <c r="AW8" s="62"/>
    </row>
    <row r="9" spans="1:49" ht="22.15" hidden="1" customHeight="1">
      <c r="A9"/>
      <c r="B9" s="6" t="s">
        <v>15</v>
      </c>
      <c r="C9" s="21" t="s">
        <v>14</v>
      </c>
      <c r="D9" s="22">
        <v>68.8</v>
      </c>
      <c r="E9" s="25">
        <v>45265</v>
      </c>
      <c r="F9" s="25">
        <v>45305</v>
      </c>
      <c r="G9" s="7">
        <f t="shared" si="0"/>
        <v>-1735.0000000000002</v>
      </c>
      <c r="H9" s="7">
        <f t="shared" si="1"/>
        <v>-694</v>
      </c>
      <c r="I9" s="21" t="s">
        <v>14</v>
      </c>
      <c r="J9" s="24">
        <v>68.8</v>
      </c>
      <c r="K9" s="25">
        <v>45265</v>
      </c>
      <c r="L9" s="25">
        <v>45305</v>
      </c>
      <c r="M9" s="7">
        <f t="shared" si="2"/>
        <v>-1735.0000000000002</v>
      </c>
      <c r="N9" s="7">
        <f t="shared" si="3"/>
        <v>-694</v>
      </c>
      <c r="O9" s="21" t="s">
        <v>14</v>
      </c>
      <c r="P9" s="24">
        <v>68.8</v>
      </c>
      <c r="Q9" s="25">
        <v>45265</v>
      </c>
      <c r="R9" s="25">
        <v>45305</v>
      </c>
      <c r="S9" s="7">
        <f t="shared" si="4"/>
        <v>-1735.0000000000002</v>
      </c>
      <c r="T9" s="7">
        <f t="shared" si="5"/>
        <v>-694</v>
      </c>
      <c r="U9" s="19"/>
      <c r="V9" s="21" t="s">
        <v>14</v>
      </c>
      <c r="W9" s="24">
        <v>68.8</v>
      </c>
      <c r="X9" s="25">
        <v>45265</v>
      </c>
      <c r="Y9" s="25">
        <v>45305</v>
      </c>
      <c r="Z9" s="7">
        <f t="shared" si="6"/>
        <v>-1735.0000000000002</v>
      </c>
      <c r="AA9" s="7"/>
      <c r="AB9" s="19"/>
      <c r="AC9" s="20"/>
      <c r="AD9" s="21" t="s">
        <v>14</v>
      </c>
      <c r="AE9" s="24">
        <v>68.8</v>
      </c>
      <c r="AF9" s="25">
        <v>45265</v>
      </c>
      <c r="AG9" s="25">
        <v>45305</v>
      </c>
      <c r="AH9" s="7">
        <f t="shared" si="7"/>
        <v>-1735.0000000000002</v>
      </c>
      <c r="AI9" s="7"/>
      <c r="AJ9" s="19"/>
      <c r="AK9" s="20"/>
      <c r="AL9" s="62"/>
      <c r="AM9" s="62"/>
      <c r="AN9" s="62"/>
      <c r="AO9" s="62"/>
      <c r="AP9" s="62"/>
      <c r="AQ9" s="62"/>
      <c r="AR9" s="62"/>
      <c r="AS9" s="62"/>
      <c r="AT9" s="62"/>
      <c r="AU9" s="62"/>
      <c r="AV9" s="62"/>
      <c r="AW9" s="62"/>
    </row>
    <row r="10" spans="1:49" ht="22.15" hidden="1" customHeight="1">
      <c r="A10"/>
      <c r="B10" s="6" t="s">
        <v>16</v>
      </c>
      <c r="C10" s="21" t="s">
        <v>14</v>
      </c>
      <c r="D10" s="22">
        <v>42.16</v>
      </c>
      <c r="E10" s="25">
        <v>45260</v>
      </c>
      <c r="F10" s="25">
        <v>45305</v>
      </c>
      <c r="G10" s="7">
        <f t="shared" si="0"/>
        <v>-1542.2222222222222</v>
      </c>
      <c r="H10" s="7">
        <f t="shared" si="1"/>
        <v>-694</v>
      </c>
      <c r="I10" s="21" t="s">
        <v>14</v>
      </c>
      <c r="J10" s="24">
        <v>42.16</v>
      </c>
      <c r="K10" s="25">
        <v>45260</v>
      </c>
      <c r="L10" s="25">
        <v>45305</v>
      </c>
      <c r="M10" s="7">
        <f t="shared" si="2"/>
        <v>-1542.2222222222222</v>
      </c>
      <c r="N10" s="7">
        <f t="shared" si="3"/>
        <v>-694</v>
      </c>
      <c r="O10" s="21" t="s">
        <v>14</v>
      </c>
      <c r="P10" s="24">
        <v>42.16</v>
      </c>
      <c r="Q10" s="25">
        <v>45260</v>
      </c>
      <c r="R10" s="25">
        <v>45305</v>
      </c>
      <c r="S10" s="7">
        <f t="shared" si="4"/>
        <v>-1542.2222222222222</v>
      </c>
      <c r="T10" s="7">
        <f t="shared" si="5"/>
        <v>-694</v>
      </c>
      <c r="U10" s="19"/>
      <c r="V10" s="21" t="s">
        <v>14</v>
      </c>
      <c r="W10" s="24">
        <v>42.16</v>
      </c>
      <c r="X10" s="25">
        <v>45260</v>
      </c>
      <c r="Y10" s="25">
        <v>45305</v>
      </c>
      <c r="Z10" s="7">
        <f t="shared" si="6"/>
        <v>-1542.2222222222222</v>
      </c>
      <c r="AA10" s="7"/>
      <c r="AB10" s="19"/>
      <c r="AC10" s="20"/>
      <c r="AD10" s="21" t="s">
        <v>14</v>
      </c>
      <c r="AE10" s="24">
        <v>42.16</v>
      </c>
      <c r="AF10" s="25">
        <v>45260</v>
      </c>
      <c r="AG10" s="25">
        <v>45305</v>
      </c>
      <c r="AH10" s="7">
        <f t="shared" si="7"/>
        <v>-1542.2222222222222</v>
      </c>
      <c r="AI10" s="7"/>
      <c r="AJ10" s="19"/>
      <c r="AK10" s="20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</row>
    <row r="11" spans="1:49" ht="22.15" hidden="1" customHeight="1">
      <c r="A11"/>
      <c r="B11" s="6" t="s">
        <v>17</v>
      </c>
      <c r="C11" s="21" t="s">
        <v>14</v>
      </c>
      <c r="D11" s="22">
        <v>205.58</v>
      </c>
      <c r="E11" s="25">
        <v>45276</v>
      </c>
      <c r="F11" s="25">
        <v>45306</v>
      </c>
      <c r="G11" s="7">
        <f t="shared" si="0"/>
        <v>-2310</v>
      </c>
      <c r="H11" s="7">
        <f t="shared" si="1"/>
        <v>-693</v>
      </c>
      <c r="I11" s="21" t="s">
        <v>14</v>
      </c>
      <c r="J11" s="24">
        <v>205.58</v>
      </c>
      <c r="K11" s="25">
        <v>45276</v>
      </c>
      <c r="L11" s="25">
        <v>45306</v>
      </c>
      <c r="M11" s="7">
        <f t="shared" si="2"/>
        <v>-2310</v>
      </c>
      <c r="N11" s="7">
        <f t="shared" si="3"/>
        <v>-693</v>
      </c>
      <c r="O11" s="21" t="s">
        <v>14</v>
      </c>
      <c r="P11" s="24">
        <v>205.58</v>
      </c>
      <c r="Q11" s="25">
        <v>45276</v>
      </c>
      <c r="R11" s="25">
        <v>45306</v>
      </c>
      <c r="S11" s="7">
        <f t="shared" si="4"/>
        <v>-2310</v>
      </c>
      <c r="T11" s="7">
        <f t="shared" si="5"/>
        <v>-693</v>
      </c>
      <c r="U11" s="19"/>
      <c r="V11" s="21" t="s">
        <v>14</v>
      </c>
      <c r="W11" s="24">
        <v>205.58</v>
      </c>
      <c r="X11" s="25">
        <v>45276</v>
      </c>
      <c r="Y11" s="25">
        <v>45306</v>
      </c>
      <c r="Z11" s="7">
        <f t="shared" si="6"/>
        <v>-2310</v>
      </c>
      <c r="AA11" s="7"/>
      <c r="AB11" s="19"/>
      <c r="AC11" s="20"/>
      <c r="AD11" s="21" t="s">
        <v>14</v>
      </c>
      <c r="AE11" s="24">
        <v>205.58</v>
      </c>
      <c r="AF11" s="25">
        <v>45276</v>
      </c>
      <c r="AG11" s="25">
        <v>45306</v>
      </c>
      <c r="AH11" s="7">
        <f t="shared" si="7"/>
        <v>-2310</v>
      </c>
      <c r="AI11" s="7"/>
      <c r="AJ11" s="19"/>
      <c r="AK11" s="20"/>
      <c r="AL11" s="62"/>
      <c r="AM11" s="62"/>
      <c r="AN11" s="62"/>
      <c r="AO11" s="62"/>
      <c r="AP11" s="62"/>
      <c r="AQ11" s="62"/>
      <c r="AR11" s="62"/>
      <c r="AS11" s="62"/>
      <c r="AT11" s="62"/>
      <c r="AU11" s="62"/>
      <c r="AV11" s="62"/>
      <c r="AW11" s="62"/>
    </row>
    <row r="12" spans="1:49" ht="22.15" hidden="1" customHeight="1">
      <c r="A12"/>
      <c r="B12" s="6" t="s">
        <v>18</v>
      </c>
      <c r="C12" s="21" t="s">
        <v>14</v>
      </c>
      <c r="D12" s="22">
        <v>12</v>
      </c>
      <c r="E12" s="25">
        <v>45256</v>
      </c>
      <c r="F12" s="25">
        <v>45306</v>
      </c>
      <c r="G12" s="7">
        <f t="shared" si="0"/>
        <v>-1386</v>
      </c>
      <c r="H12" s="7">
        <f t="shared" si="1"/>
        <v>-693</v>
      </c>
      <c r="I12" s="21" t="s">
        <v>14</v>
      </c>
      <c r="J12" s="24">
        <v>12</v>
      </c>
      <c r="K12" s="25">
        <v>45256</v>
      </c>
      <c r="L12" s="25">
        <v>45306</v>
      </c>
      <c r="M12" s="7">
        <f t="shared" si="2"/>
        <v>-1386</v>
      </c>
      <c r="N12" s="7">
        <f t="shared" si="3"/>
        <v>-693</v>
      </c>
      <c r="O12" s="21" t="s">
        <v>14</v>
      </c>
      <c r="P12" s="24">
        <v>12</v>
      </c>
      <c r="Q12" s="25">
        <v>45256</v>
      </c>
      <c r="R12" s="25">
        <v>45306</v>
      </c>
      <c r="S12" s="7">
        <f t="shared" si="4"/>
        <v>-1386</v>
      </c>
      <c r="T12" s="7">
        <f t="shared" si="5"/>
        <v>-693</v>
      </c>
      <c r="U12" s="19"/>
      <c r="V12" s="21" t="s">
        <v>14</v>
      </c>
      <c r="W12" s="24">
        <v>12</v>
      </c>
      <c r="X12" s="25">
        <v>45256</v>
      </c>
      <c r="Y12" s="25">
        <v>45306</v>
      </c>
      <c r="Z12" s="7">
        <f t="shared" si="6"/>
        <v>-1386</v>
      </c>
      <c r="AA12" s="7"/>
      <c r="AB12" s="19"/>
      <c r="AC12" s="20"/>
      <c r="AD12" s="21" t="s">
        <v>14</v>
      </c>
      <c r="AE12" s="24">
        <v>12</v>
      </c>
      <c r="AF12" s="25">
        <v>45256</v>
      </c>
      <c r="AG12" s="25">
        <v>45306</v>
      </c>
      <c r="AH12" s="7">
        <f t="shared" si="7"/>
        <v>-1386</v>
      </c>
      <c r="AI12" s="7"/>
      <c r="AJ12" s="19"/>
      <c r="AK12" s="20"/>
      <c r="AL12" s="62"/>
      <c r="AM12" s="62"/>
      <c r="AN12" s="62"/>
      <c r="AO12" s="62"/>
      <c r="AP12" s="62"/>
      <c r="AQ12" s="62"/>
      <c r="AR12" s="62"/>
      <c r="AS12" s="62"/>
      <c r="AT12" s="62"/>
      <c r="AU12" s="62"/>
      <c r="AV12" s="62"/>
      <c r="AW12" s="62"/>
    </row>
    <row r="13" spans="1:49" ht="22.15" hidden="1" customHeight="1">
      <c r="A13"/>
      <c r="B13" s="6" t="s">
        <v>19</v>
      </c>
      <c r="C13" s="21" t="s">
        <v>14</v>
      </c>
      <c r="D13" s="22">
        <v>89.266999999999996</v>
      </c>
      <c r="E13" s="25">
        <v>45276</v>
      </c>
      <c r="F13" s="25">
        <v>45306</v>
      </c>
      <c r="G13" s="7">
        <f t="shared" si="0"/>
        <v>-2310</v>
      </c>
      <c r="H13" s="7">
        <f t="shared" si="1"/>
        <v>-693</v>
      </c>
      <c r="I13" s="21" t="s">
        <v>14</v>
      </c>
      <c r="J13" s="24">
        <v>89.266999999999996</v>
      </c>
      <c r="K13" s="25">
        <v>45276</v>
      </c>
      <c r="L13" s="25">
        <v>45306</v>
      </c>
      <c r="M13" s="7">
        <f t="shared" si="2"/>
        <v>-2310</v>
      </c>
      <c r="N13" s="7">
        <f t="shared" si="3"/>
        <v>-693</v>
      </c>
      <c r="O13" s="21" t="s">
        <v>14</v>
      </c>
      <c r="P13" s="24">
        <v>89.266999999999996</v>
      </c>
      <c r="Q13" s="25">
        <v>45276</v>
      </c>
      <c r="R13" s="25">
        <v>45306</v>
      </c>
      <c r="S13" s="7">
        <f t="shared" si="4"/>
        <v>-2310</v>
      </c>
      <c r="T13" s="7">
        <f t="shared" si="5"/>
        <v>-693</v>
      </c>
      <c r="U13" s="19"/>
      <c r="V13" s="21" t="s">
        <v>14</v>
      </c>
      <c r="W13" s="24">
        <v>89.266999999999996</v>
      </c>
      <c r="X13" s="25">
        <v>45276</v>
      </c>
      <c r="Y13" s="25">
        <v>45306</v>
      </c>
      <c r="Z13" s="7">
        <f t="shared" si="6"/>
        <v>-2310</v>
      </c>
      <c r="AA13" s="7"/>
      <c r="AB13" s="19"/>
      <c r="AC13" s="20"/>
      <c r="AD13" s="21" t="s">
        <v>14</v>
      </c>
      <c r="AE13" s="24">
        <v>89.266999999999996</v>
      </c>
      <c r="AF13" s="25">
        <v>45276</v>
      </c>
      <c r="AG13" s="25">
        <v>45306</v>
      </c>
      <c r="AH13" s="7">
        <f t="shared" si="7"/>
        <v>-2310</v>
      </c>
      <c r="AI13" s="7"/>
      <c r="AJ13" s="19"/>
      <c r="AK13" s="20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</row>
    <row r="14" spans="1:49" ht="22.15" hidden="1" customHeight="1">
      <c r="A14"/>
      <c r="B14" s="6" t="s">
        <v>20</v>
      </c>
      <c r="C14" s="21" t="s">
        <v>14</v>
      </c>
      <c r="D14" s="22">
        <v>57.1</v>
      </c>
      <c r="E14" s="25">
        <v>45229</v>
      </c>
      <c r="F14" s="25">
        <v>45306</v>
      </c>
      <c r="G14" s="7">
        <f t="shared" si="0"/>
        <v>-900</v>
      </c>
      <c r="H14" s="7">
        <f t="shared" si="1"/>
        <v>-693</v>
      </c>
      <c r="I14" s="21" t="s">
        <v>14</v>
      </c>
      <c r="J14" s="24">
        <v>57.1</v>
      </c>
      <c r="K14" s="25">
        <v>45229</v>
      </c>
      <c r="L14" s="25">
        <v>45306</v>
      </c>
      <c r="M14" s="7">
        <f t="shared" si="2"/>
        <v>-900</v>
      </c>
      <c r="N14" s="7">
        <f t="shared" si="3"/>
        <v>-693</v>
      </c>
      <c r="O14" s="21" t="s">
        <v>14</v>
      </c>
      <c r="P14" s="24">
        <v>57.1</v>
      </c>
      <c r="Q14" s="25">
        <v>45229</v>
      </c>
      <c r="R14" s="25">
        <v>45306</v>
      </c>
      <c r="S14" s="7">
        <f t="shared" si="4"/>
        <v>-900</v>
      </c>
      <c r="T14" s="7">
        <f t="shared" si="5"/>
        <v>-693</v>
      </c>
      <c r="U14" s="19" t="s">
        <v>21</v>
      </c>
      <c r="V14" s="21" t="s">
        <v>14</v>
      </c>
      <c r="W14" s="24">
        <v>57.1</v>
      </c>
      <c r="X14" s="25">
        <v>45229</v>
      </c>
      <c r="Y14" s="25">
        <v>45306</v>
      </c>
      <c r="Z14" s="7">
        <f t="shared" si="6"/>
        <v>-900</v>
      </c>
      <c r="AA14" s="7"/>
      <c r="AB14" s="19" t="s">
        <v>21</v>
      </c>
      <c r="AC14" s="20"/>
      <c r="AD14" s="21" t="s">
        <v>14</v>
      </c>
      <c r="AE14" s="24">
        <v>57.1</v>
      </c>
      <c r="AF14" s="25">
        <v>45229</v>
      </c>
      <c r="AG14" s="25">
        <v>45306</v>
      </c>
      <c r="AH14" s="7">
        <f t="shared" si="7"/>
        <v>-900</v>
      </c>
      <c r="AI14" s="7"/>
      <c r="AJ14" s="19" t="s">
        <v>21</v>
      </c>
      <c r="AK14" s="20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</row>
    <row r="15" spans="1:49" ht="22.15" hidden="1" customHeight="1">
      <c r="A15"/>
      <c r="B15" s="6" t="s">
        <v>22</v>
      </c>
      <c r="C15" s="21" t="s">
        <v>14</v>
      </c>
      <c r="D15" s="22">
        <v>159.1</v>
      </c>
      <c r="E15" s="25">
        <v>45262</v>
      </c>
      <c r="F15" s="25">
        <v>45307</v>
      </c>
      <c r="G15" s="7">
        <f t="shared" si="0"/>
        <v>-1537.7777777777778</v>
      </c>
      <c r="H15" s="7">
        <f t="shared" si="1"/>
        <v>-692</v>
      </c>
      <c r="I15" s="21" t="s">
        <v>14</v>
      </c>
      <c r="J15" s="24">
        <v>159.1</v>
      </c>
      <c r="K15" s="25">
        <v>45262</v>
      </c>
      <c r="L15" s="25">
        <v>45307</v>
      </c>
      <c r="M15" s="7">
        <f t="shared" si="2"/>
        <v>-1537.7777777777778</v>
      </c>
      <c r="N15" s="7">
        <f t="shared" si="3"/>
        <v>-692</v>
      </c>
      <c r="O15" s="21" t="s">
        <v>14</v>
      </c>
      <c r="P15" s="24">
        <v>159.1</v>
      </c>
      <c r="Q15" s="25">
        <v>45262</v>
      </c>
      <c r="R15" s="25">
        <v>45307</v>
      </c>
      <c r="S15" s="7">
        <f t="shared" si="4"/>
        <v>-1537.7777777777778</v>
      </c>
      <c r="T15" s="7">
        <f t="shared" si="5"/>
        <v>-692</v>
      </c>
      <c r="U15" s="19"/>
      <c r="V15" s="21" t="s">
        <v>14</v>
      </c>
      <c r="W15" s="24">
        <v>159.1</v>
      </c>
      <c r="X15" s="25">
        <v>45262</v>
      </c>
      <c r="Y15" s="25">
        <v>45307</v>
      </c>
      <c r="Z15" s="7">
        <f t="shared" si="6"/>
        <v>-1537.7777777777778</v>
      </c>
      <c r="AA15" s="7"/>
      <c r="AB15" s="19"/>
      <c r="AC15" s="20"/>
      <c r="AD15" s="21" t="s">
        <v>14</v>
      </c>
      <c r="AE15" s="24">
        <v>159.1</v>
      </c>
      <c r="AF15" s="25">
        <v>45262</v>
      </c>
      <c r="AG15" s="25">
        <v>45307</v>
      </c>
      <c r="AH15" s="7">
        <f t="shared" si="7"/>
        <v>-1537.7777777777778</v>
      </c>
      <c r="AI15" s="7"/>
      <c r="AJ15" s="19"/>
      <c r="AK15" s="20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2"/>
    </row>
    <row r="16" spans="1:49" ht="22.15" hidden="1" customHeight="1">
      <c r="A16"/>
      <c r="B16" s="6" t="s">
        <v>23</v>
      </c>
      <c r="C16" s="21" t="s">
        <v>14</v>
      </c>
      <c r="D16" s="22">
        <v>218.5</v>
      </c>
      <c r="E16" s="25">
        <v>45277</v>
      </c>
      <c r="F16" s="25">
        <v>45307</v>
      </c>
      <c r="G16" s="7">
        <f t="shared" si="0"/>
        <v>-2306.6666666666665</v>
      </c>
      <c r="H16" s="7">
        <f t="shared" si="1"/>
        <v>-692</v>
      </c>
      <c r="I16" s="21" t="s">
        <v>14</v>
      </c>
      <c r="J16" s="24">
        <v>218.5</v>
      </c>
      <c r="K16" s="25">
        <v>45277</v>
      </c>
      <c r="L16" s="25">
        <v>45307</v>
      </c>
      <c r="M16" s="7">
        <f t="shared" si="2"/>
        <v>-2306.6666666666665</v>
      </c>
      <c r="N16" s="7">
        <f t="shared" si="3"/>
        <v>-692</v>
      </c>
      <c r="O16" s="21" t="s">
        <v>14</v>
      </c>
      <c r="P16" s="24">
        <v>218.5</v>
      </c>
      <c r="Q16" s="25">
        <v>45277</v>
      </c>
      <c r="R16" s="25">
        <v>45307</v>
      </c>
      <c r="S16" s="7">
        <f t="shared" si="4"/>
        <v>-2306.6666666666665</v>
      </c>
      <c r="T16" s="7">
        <f t="shared" si="5"/>
        <v>-692</v>
      </c>
      <c r="U16" s="19"/>
      <c r="V16" s="21" t="s">
        <v>14</v>
      </c>
      <c r="W16" s="24">
        <v>218.5</v>
      </c>
      <c r="X16" s="25">
        <v>45277</v>
      </c>
      <c r="Y16" s="25">
        <v>45307</v>
      </c>
      <c r="Z16" s="7">
        <f t="shared" si="6"/>
        <v>-2306.6666666666665</v>
      </c>
      <c r="AA16" s="7"/>
      <c r="AB16" s="19"/>
      <c r="AC16" s="20"/>
      <c r="AD16" s="21" t="s">
        <v>14</v>
      </c>
      <c r="AE16" s="24">
        <v>218.5</v>
      </c>
      <c r="AF16" s="25">
        <v>45277</v>
      </c>
      <c r="AG16" s="25">
        <v>45307</v>
      </c>
      <c r="AH16" s="7">
        <f t="shared" si="7"/>
        <v>-2306.6666666666665</v>
      </c>
      <c r="AI16" s="7"/>
      <c r="AJ16" s="19"/>
      <c r="AK16" s="20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</row>
    <row r="17" spans="1:49" ht="22.15" hidden="1" customHeight="1">
      <c r="A17"/>
      <c r="B17" s="6" t="s">
        <v>24</v>
      </c>
      <c r="C17" s="21" t="s">
        <v>14</v>
      </c>
      <c r="D17" s="22">
        <v>187.7</v>
      </c>
      <c r="E17" s="25">
        <v>45267</v>
      </c>
      <c r="F17" s="25">
        <v>45307</v>
      </c>
      <c r="G17" s="7">
        <f t="shared" si="0"/>
        <v>-1730</v>
      </c>
      <c r="H17" s="7">
        <f t="shared" si="1"/>
        <v>-692</v>
      </c>
      <c r="I17" s="21" t="s">
        <v>14</v>
      </c>
      <c r="J17" s="24">
        <v>187.7</v>
      </c>
      <c r="K17" s="25">
        <v>45267</v>
      </c>
      <c r="L17" s="25">
        <v>45307</v>
      </c>
      <c r="M17" s="7">
        <f t="shared" si="2"/>
        <v>-1730</v>
      </c>
      <c r="N17" s="7">
        <f t="shared" si="3"/>
        <v>-692</v>
      </c>
      <c r="O17" s="21" t="s">
        <v>14</v>
      </c>
      <c r="P17" s="24">
        <v>187.7</v>
      </c>
      <c r="Q17" s="25">
        <v>45267</v>
      </c>
      <c r="R17" s="25">
        <v>45307</v>
      </c>
      <c r="S17" s="7">
        <f t="shared" si="4"/>
        <v>-1730</v>
      </c>
      <c r="T17" s="7">
        <f t="shared" si="5"/>
        <v>-692</v>
      </c>
      <c r="U17" s="19"/>
      <c r="V17" s="21" t="s">
        <v>14</v>
      </c>
      <c r="W17" s="24">
        <v>187.7</v>
      </c>
      <c r="X17" s="25">
        <v>45267</v>
      </c>
      <c r="Y17" s="25">
        <v>45307</v>
      </c>
      <c r="Z17" s="7">
        <f t="shared" si="6"/>
        <v>-1730</v>
      </c>
      <c r="AA17" s="7"/>
      <c r="AB17" s="19"/>
      <c r="AC17" s="20"/>
      <c r="AD17" s="21" t="s">
        <v>14</v>
      </c>
      <c r="AE17" s="24">
        <v>187.7</v>
      </c>
      <c r="AF17" s="25">
        <v>45267</v>
      </c>
      <c r="AG17" s="25">
        <v>45307</v>
      </c>
      <c r="AH17" s="7">
        <f t="shared" si="7"/>
        <v>-1730</v>
      </c>
      <c r="AI17" s="7"/>
      <c r="AJ17" s="19"/>
      <c r="AK17" s="20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</row>
    <row r="18" spans="1:49" ht="22.15" hidden="1" customHeight="1">
      <c r="A18"/>
      <c r="B18" s="6" t="s">
        <v>25</v>
      </c>
      <c r="C18" s="21" t="s">
        <v>8</v>
      </c>
      <c r="D18" s="22">
        <v>77</v>
      </c>
      <c r="E18" s="25">
        <v>45268</v>
      </c>
      <c r="F18" s="25">
        <v>45308</v>
      </c>
      <c r="G18" s="7">
        <f t="shared" si="0"/>
        <v>-1727.4999999999998</v>
      </c>
      <c r="H18" s="7">
        <f t="shared" si="1"/>
        <v>-691</v>
      </c>
      <c r="I18" s="21" t="s">
        <v>8</v>
      </c>
      <c r="J18" s="24">
        <v>77</v>
      </c>
      <c r="K18" s="25">
        <v>45268</v>
      </c>
      <c r="L18" s="25">
        <v>45308</v>
      </c>
      <c r="M18" s="7">
        <f t="shared" si="2"/>
        <v>-1727.4999999999998</v>
      </c>
      <c r="N18" s="7">
        <f t="shared" si="3"/>
        <v>-691</v>
      </c>
      <c r="O18" s="21" t="s">
        <v>8</v>
      </c>
      <c r="P18" s="24">
        <v>77</v>
      </c>
      <c r="Q18" s="25">
        <v>45268</v>
      </c>
      <c r="R18" s="25">
        <v>45308</v>
      </c>
      <c r="S18" s="7">
        <f t="shared" si="4"/>
        <v>-1727.4999999999998</v>
      </c>
      <c r="T18" s="7">
        <f t="shared" si="5"/>
        <v>-691</v>
      </c>
      <c r="U18" s="19"/>
      <c r="V18" s="21" t="s">
        <v>8</v>
      </c>
      <c r="W18" s="24">
        <v>77</v>
      </c>
      <c r="X18" s="25">
        <v>45268</v>
      </c>
      <c r="Y18" s="25">
        <v>45308</v>
      </c>
      <c r="Z18" s="7">
        <f t="shared" si="6"/>
        <v>-1727.4999999999998</v>
      </c>
      <c r="AA18" s="7"/>
      <c r="AB18" s="19"/>
      <c r="AC18" s="20"/>
      <c r="AD18" s="21" t="s">
        <v>8</v>
      </c>
      <c r="AE18" s="24">
        <v>77</v>
      </c>
      <c r="AF18" s="25">
        <v>45268</v>
      </c>
      <c r="AG18" s="25">
        <v>45308</v>
      </c>
      <c r="AH18" s="7">
        <f t="shared" si="7"/>
        <v>-1727.4999999999998</v>
      </c>
      <c r="AI18" s="7"/>
      <c r="AJ18" s="19"/>
      <c r="AK18" s="20"/>
      <c r="AL18" s="62"/>
      <c r="AM18" s="62"/>
      <c r="AN18" s="62"/>
      <c r="AO18" s="62"/>
      <c r="AP18" s="62"/>
      <c r="AQ18" s="62"/>
      <c r="AR18" s="62"/>
      <c r="AS18" s="62"/>
      <c r="AT18" s="62"/>
      <c r="AU18" s="62"/>
      <c r="AV18" s="62"/>
      <c r="AW18" s="62"/>
    </row>
    <row r="19" spans="1:49" ht="22.15" hidden="1" customHeight="1">
      <c r="A19"/>
      <c r="B19" s="6" t="s">
        <v>26</v>
      </c>
      <c r="C19" s="21" t="s">
        <v>8</v>
      </c>
      <c r="D19" s="22">
        <v>241</v>
      </c>
      <c r="E19" s="25">
        <v>45268</v>
      </c>
      <c r="F19" s="25">
        <v>45308</v>
      </c>
      <c r="G19" s="7">
        <f t="shared" si="0"/>
        <v>-1727.4999999999998</v>
      </c>
      <c r="H19" s="7">
        <f t="shared" si="1"/>
        <v>-691</v>
      </c>
      <c r="I19" s="21" t="s">
        <v>8</v>
      </c>
      <c r="J19" s="24">
        <v>241</v>
      </c>
      <c r="K19" s="25">
        <v>45268</v>
      </c>
      <c r="L19" s="25">
        <v>45308</v>
      </c>
      <c r="M19" s="7">
        <f t="shared" si="2"/>
        <v>-1727.4999999999998</v>
      </c>
      <c r="N19" s="7">
        <f t="shared" si="3"/>
        <v>-691</v>
      </c>
      <c r="O19" s="21" t="s">
        <v>8</v>
      </c>
      <c r="P19" s="24">
        <v>241</v>
      </c>
      <c r="Q19" s="25">
        <v>45268</v>
      </c>
      <c r="R19" s="25">
        <v>45308</v>
      </c>
      <c r="S19" s="7">
        <f t="shared" si="4"/>
        <v>-1727.4999999999998</v>
      </c>
      <c r="T19" s="7">
        <f t="shared" si="5"/>
        <v>-691</v>
      </c>
      <c r="U19" s="19"/>
      <c r="V19" s="21" t="s">
        <v>8</v>
      </c>
      <c r="W19" s="24">
        <v>241</v>
      </c>
      <c r="X19" s="25">
        <v>45268</v>
      </c>
      <c r="Y19" s="25">
        <v>45308</v>
      </c>
      <c r="Z19" s="7">
        <f t="shared" si="6"/>
        <v>-1727.4999999999998</v>
      </c>
      <c r="AA19" s="7"/>
      <c r="AB19" s="19"/>
      <c r="AC19" s="20"/>
      <c r="AD19" s="21" t="s">
        <v>8</v>
      </c>
      <c r="AE19" s="24">
        <v>241</v>
      </c>
      <c r="AF19" s="25">
        <v>45268</v>
      </c>
      <c r="AG19" s="25">
        <v>45308</v>
      </c>
      <c r="AH19" s="7">
        <f t="shared" si="7"/>
        <v>-1727.4999999999998</v>
      </c>
      <c r="AI19" s="7"/>
      <c r="AJ19" s="19"/>
      <c r="AK19" s="20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</row>
    <row r="20" spans="1:49" ht="22.15" hidden="1" customHeight="1">
      <c r="A20"/>
      <c r="B20" s="6" t="s">
        <v>27</v>
      </c>
      <c r="C20" s="21" t="s">
        <v>8</v>
      </c>
      <c r="D20" s="22">
        <v>354</v>
      </c>
      <c r="E20" s="25">
        <v>45268</v>
      </c>
      <c r="F20" s="25">
        <v>45308</v>
      </c>
      <c r="G20" s="7">
        <f t="shared" si="0"/>
        <v>-1727.4999999999998</v>
      </c>
      <c r="H20" s="7">
        <f t="shared" si="1"/>
        <v>-691</v>
      </c>
      <c r="I20" s="21" t="s">
        <v>8</v>
      </c>
      <c r="J20" s="24">
        <v>354</v>
      </c>
      <c r="K20" s="25">
        <v>45268</v>
      </c>
      <c r="L20" s="25">
        <v>45308</v>
      </c>
      <c r="M20" s="7">
        <f t="shared" si="2"/>
        <v>-1727.4999999999998</v>
      </c>
      <c r="N20" s="7">
        <f t="shared" si="3"/>
        <v>-691</v>
      </c>
      <c r="O20" s="21" t="s">
        <v>8</v>
      </c>
      <c r="P20" s="24">
        <v>354</v>
      </c>
      <c r="Q20" s="25">
        <v>45268</v>
      </c>
      <c r="R20" s="25">
        <v>45308</v>
      </c>
      <c r="S20" s="7">
        <f t="shared" si="4"/>
        <v>-1727.4999999999998</v>
      </c>
      <c r="T20" s="7">
        <f t="shared" si="5"/>
        <v>-691</v>
      </c>
      <c r="U20" s="19"/>
      <c r="V20" s="21" t="s">
        <v>8</v>
      </c>
      <c r="W20" s="24">
        <v>354</v>
      </c>
      <c r="X20" s="25">
        <v>45268</v>
      </c>
      <c r="Y20" s="25">
        <v>45308</v>
      </c>
      <c r="Z20" s="7">
        <f t="shared" si="6"/>
        <v>-1727.4999999999998</v>
      </c>
      <c r="AA20" s="7"/>
      <c r="AB20" s="19"/>
      <c r="AC20" s="20"/>
      <c r="AD20" s="21" t="s">
        <v>8</v>
      </c>
      <c r="AE20" s="24">
        <v>354</v>
      </c>
      <c r="AF20" s="25">
        <v>45268</v>
      </c>
      <c r="AG20" s="25">
        <v>45308</v>
      </c>
      <c r="AH20" s="7">
        <f t="shared" si="7"/>
        <v>-1727.4999999999998</v>
      </c>
      <c r="AI20" s="7"/>
      <c r="AJ20" s="19"/>
      <c r="AK20" s="20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</row>
    <row r="21" spans="1:49" ht="22.15" hidden="1" customHeight="1">
      <c r="A21"/>
      <c r="B21" s="6" t="s">
        <v>28</v>
      </c>
      <c r="C21" s="21" t="s">
        <v>8</v>
      </c>
      <c r="D21" s="22">
        <v>3</v>
      </c>
      <c r="E21" s="25">
        <v>45270</v>
      </c>
      <c r="F21" s="25">
        <v>45310</v>
      </c>
      <c r="G21" s="7">
        <f t="shared" si="0"/>
        <v>-1722.5000000000002</v>
      </c>
      <c r="H21" s="7">
        <f t="shared" si="1"/>
        <v>-689</v>
      </c>
      <c r="I21" s="21" t="s">
        <v>8</v>
      </c>
      <c r="J21" s="24">
        <v>3</v>
      </c>
      <c r="K21" s="25">
        <v>45270</v>
      </c>
      <c r="L21" s="25">
        <v>45310</v>
      </c>
      <c r="M21" s="7">
        <f t="shared" si="2"/>
        <v>-1722.5000000000002</v>
      </c>
      <c r="N21" s="7">
        <f t="shared" si="3"/>
        <v>-689</v>
      </c>
      <c r="O21" s="21" t="s">
        <v>8</v>
      </c>
      <c r="P21" s="24">
        <v>3</v>
      </c>
      <c r="Q21" s="25">
        <v>45270</v>
      </c>
      <c r="R21" s="25">
        <v>45310</v>
      </c>
      <c r="S21" s="7">
        <f t="shared" si="4"/>
        <v>-1722.5000000000002</v>
      </c>
      <c r="T21" s="7">
        <f t="shared" si="5"/>
        <v>-689</v>
      </c>
      <c r="U21" s="19"/>
      <c r="V21" s="21" t="s">
        <v>8</v>
      </c>
      <c r="W21" s="24">
        <v>3</v>
      </c>
      <c r="X21" s="25">
        <v>45270</v>
      </c>
      <c r="Y21" s="25">
        <v>45310</v>
      </c>
      <c r="Z21" s="7">
        <f t="shared" si="6"/>
        <v>-1722.5000000000002</v>
      </c>
      <c r="AA21" s="7"/>
      <c r="AB21" s="19"/>
      <c r="AC21" s="20"/>
      <c r="AD21" s="21" t="s">
        <v>8</v>
      </c>
      <c r="AE21" s="24">
        <v>3</v>
      </c>
      <c r="AF21" s="25">
        <v>45270</v>
      </c>
      <c r="AG21" s="25">
        <v>45310</v>
      </c>
      <c r="AH21" s="7">
        <f t="shared" si="7"/>
        <v>-1722.5000000000002</v>
      </c>
      <c r="AI21" s="7"/>
      <c r="AJ21" s="19"/>
      <c r="AK21" s="20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</row>
    <row r="22" spans="1:49" ht="22.15" hidden="1" customHeight="1">
      <c r="A22"/>
      <c r="B22" s="6" t="s">
        <v>29</v>
      </c>
      <c r="C22" s="21" t="s">
        <v>8</v>
      </c>
      <c r="D22" s="22">
        <v>45</v>
      </c>
      <c r="E22" s="25">
        <v>45268</v>
      </c>
      <c r="F22" s="25">
        <v>45311</v>
      </c>
      <c r="G22" s="7">
        <f t="shared" si="0"/>
        <v>-1600</v>
      </c>
      <c r="H22" s="7">
        <f t="shared" si="1"/>
        <v>-688</v>
      </c>
      <c r="I22" s="21" t="s">
        <v>8</v>
      </c>
      <c r="J22" s="24">
        <v>45</v>
      </c>
      <c r="K22" s="25">
        <v>45268</v>
      </c>
      <c r="L22" s="25">
        <v>45311</v>
      </c>
      <c r="M22" s="7">
        <f t="shared" si="2"/>
        <v>-1600</v>
      </c>
      <c r="N22" s="7">
        <f t="shared" si="3"/>
        <v>-688</v>
      </c>
      <c r="O22" s="21" t="s">
        <v>8</v>
      </c>
      <c r="P22" s="24">
        <v>45</v>
      </c>
      <c r="Q22" s="25">
        <v>45268</v>
      </c>
      <c r="R22" s="25">
        <v>45311</v>
      </c>
      <c r="S22" s="7">
        <f t="shared" si="4"/>
        <v>-1600</v>
      </c>
      <c r="T22" s="7">
        <f t="shared" si="5"/>
        <v>-688</v>
      </c>
      <c r="U22" s="19"/>
      <c r="V22" s="21" t="s">
        <v>8</v>
      </c>
      <c r="W22" s="24">
        <v>45</v>
      </c>
      <c r="X22" s="25">
        <v>45268</v>
      </c>
      <c r="Y22" s="25">
        <v>45311</v>
      </c>
      <c r="Z22" s="7">
        <f t="shared" si="6"/>
        <v>-1600</v>
      </c>
      <c r="AA22" s="7"/>
      <c r="AB22" s="19"/>
      <c r="AC22" s="20"/>
      <c r="AD22" s="21" t="s">
        <v>8</v>
      </c>
      <c r="AE22" s="24">
        <v>45</v>
      </c>
      <c r="AF22" s="25">
        <v>45268</v>
      </c>
      <c r="AG22" s="25">
        <v>45311</v>
      </c>
      <c r="AH22" s="7">
        <f t="shared" si="7"/>
        <v>-1600</v>
      </c>
      <c r="AI22" s="7"/>
      <c r="AJ22" s="19"/>
      <c r="AK22" s="20"/>
      <c r="AL22" s="62"/>
      <c r="AM22" s="62"/>
      <c r="AN22" s="62"/>
      <c r="AO22" s="62"/>
      <c r="AP22" s="62"/>
      <c r="AQ22" s="62"/>
      <c r="AR22" s="62"/>
      <c r="AS22" s="62"/>
      <c r="AT22" s="62"/>
      <c r="AU22" s="62"/>
      <c r="AV22" s="62"/>
      <c r="AW22" s="62"/>
    </row>
    <row r="23" spans="1:49" ht="22.15" hidden="1" customHeight="1">
      <c r="A23"/>
      <c r="B23" s="6" t="s">
        <v>30</v>
      </c>
      <c r="C23" s="21" t="s">
        <v>14</v>
      </c>
      <c r="D23" s="22">
        <v>97.5</v>
      </c>
      <c r="E23" s="25">
        <v>45268</v>
      </c>
      <c r="F23" s="25">
        <v>45311</v>
      </c>
      <c r="G23" s="7">
        <f t="shared" si="0"/>
        <v>-1600</v>
      </c>
      <c r="H23" s="7">
        <f t="shared" si="1"/>
        <v>-688</v>
      </c>
      <c r="I23" s="21" t="s">
        <v>14</v>
      </c>
      <c r="J23" s="24">
        <v>97.5</v>
      </c>
      <c r="K23" s="25">
        <v>45268</v>
      </c>
      <c r="L23" s="25">
        <v>45311</v>
      </c>
      <c r="M23" s="7">
        <f t="shared" si="2"/>
        <v>-1600</v>
      </c>
      <c r="N23" s="7">
        <f t="shared" si="3"/>
        <v>-688</v>
      </c>
      <c r="O23" s="21" t="s">
        <v>14</v>
      </c>
      <c r="P23" s="24">
        <v>97.5</v>
      </c>
      <c r="Q23" s="25">
        <v>45268</v>
      </c>
      <c r="R23" s="25">
        <v>45311</v>
      </c>
      <c r="S23" s="7">
        <f t="shared" si="4"/>
        <v>-1600</v>
      </c>
      <c r="T23" s="7">
        <f t="shared" si="5"/>
        <v>-688</v>
      </c>
      <c r="U23" s="19"/>
      <c r="V23" s="21" t="s">
        <v>14</v>
      </c>
      <c r="W23" s="24">
        <v>97.5</v>
      </c>
      <c r="X23" s="25">
        <v>45268</v>
      </c>
      <c r="Y23" s="25">
        <v>45311</v>
      </c>
      <c r="Z23" s="7">
        <f t="shared" si="6"/>
        <v>-1600</v>
      </c>
      <c r="AA23" s="7"/>
      <c r="AB23" s="19"/>
      <c r="AC23" s="20"/>
      <c r="AD23" s="21" t="s">
        <v>14</v>
      </c>
      <c r="AE23" s="24">
        <v>97.5</v>
      </c>
      <c r="AF23" s="25">
        <v>45268</v>
      </c>
      <c r="AG23" s="25">
        <v>45311</v>
      </c>
      <c r="AH23" s="7">
        <f t="shared" si="7"/>
        <v>-1600</v>
      </c>
      <c r="AI23" s="7"/>
      <c r="AJ23" s="19"/>
      <c r="AK23" s="20"/>
      <c r="AL23" s="62"/>
      <c r="AM23" s="62"/>
      <c r="AN23" s="62"/>
      <c r="AO23" s="62"/>
      <c r="AP23" s="62"/>
      <c r="AQ23" s="62"/>
      <c r="AR23" s="62"/>
      <c r="AS23" s="62"/>
      <c r="AT23" s="62"/>
      <c r="AU23" s="62"/>
      <c r="AV23" s="62"/>
      <c r="AW23" s="62"/>
    </row>
    <row r="24" spans="1:49" ht="22.15" hidden="1" customHeight="1">
      <c r="A24"/>
      <c r="B24" s="6" t="s">
        <v>31</v>
      </c>
      <c r="C24" s="21" t="s">
        <v>14</v>
      </c>
      <c r="D24" s="22">
        <v>85.93</v>
      </c>
      <c r="E24" s="25">
        <v>45276</v>
      </c>
      <c r="F24" s="25">
        <v>45311</v>
      </c>
      <c r="G24" s="7">
        <f t="shared" si="0"/>
        <v>-1965.7142857142858</v>
      </c>
      <c r="H24" s="7">
        <f t="shared" si="1"/>
        <v>-688</v>
      </c>
      <c r="I24" s="21" t="s">
        <v>14</v>
      </c>
      <c r="J24" s="24">
        <v>85.93</v>
      </c>
      <c r="K24" s="25">
        <v>45276</v>
      </c>
      <c r="L24" s="25">
        <v>45311</v>
      </c>
      <c r="M24" s="7">
        <f t="shared" si="2"/>
        <v>-1965.7142857142858</v>
      </c>
      <c r="N24" s="7">
        <f t="shared" si="3"/>
        <v>-688</v>
      </c>
      <c r="O24" s="21" t="s">
        <v>14</v>
      </c>
      <c r="P24" s="24">
        <v>85.93</v>
      </c>
      <c r="Q24" s="25">
        <v>45276</v>
      </c>
      <c r="R24" s="25">
        <v>45311</v>
      </c>
      <c r="S24" s="7">
        <f t="shared" si="4"/>
        <v>-1965.7142857142858</v>
      </c>
      <c r="T24" s="7">
        <f t="shared" si="5"/>
        <v>-688</v>
      </c>
      <c r="U24" s="19"/>
      <c r="V24" s="21" t="s">
        <v>14</v>
      </c>
      <c r="W24" s="24">
        <v>85.93</v>
      </c>
      <c r="X24" s="25">
        <v>45276</v>
      </c>
      <c r="Y24" s="25">
        <v>45311</v>
      </c>
      <c r="Z24" s="7">
        <f t="shared" si="6"/>
        <v>-1965.7142857142858</v>
      </c>
      <c r="AA24" s="7"/>
      <c r="AB24" s="19"/>
      <c r="AC24" s="20"/>
      <c r="AD24" s="21" t="s">
        <v>14</v>
      </c>
      <c r="AE24" s="24">
        <v>85.93</v>
      </c>
      <c r="AF24" s="25">
        <v>45276</v>
      </c>
      <c r="AG24" s="25">
        <v>45311</v>
      </c>
      <c r="AH24" s="7">
        <f t="shared" si="7"/>
        <v>-1965.7142857142858</v>
      </c>
      <c r="AI24" s="7"/>
      <c r="AJ24" s="19"/>
      <c r="AK24" s="20"/>
      <c r="AL24" s="62"/>
      <c r="AM24" s="62"/>
      <c r="AN24" s="62"/>
      <c r="AO24" s="62"/>
      <c r="AP24" s="62"/>
      <c r="AQ24" s="62"/>
      <c r="AR24" s="62"/>
      <c r="AS24" s="62"/>
      <c r="AT24" s="62"/>
      <c r="AU24" s="62"/>
      <c r="AV24" s="62"/>
      <c r="AW24" s="62"/>
    </row>
    <row r="25" spans="1:49" ht="22.15" hidden="1" customHeight="1">
      <c r="A25"/>
      <c r="B25" s="6" t="s">
        <v>32</v>
      </c>
      <c r="C25" s="21" t="s">
        <v>14</v>
      </c>
      <c r="D25" s="22">
        <v>216.8</v>
      </c>
      <c r="E25" s="25">
        <v>45267</v>
      </c>
      <c r="F25" s="25">
        <v>45312</v>
      </c>
      <c r="G25" s="7">
        <f t="shared" si="0"/>
        <v>-1526.6666666666667</v>
      </c>
      <c r="H25" s="7">
        <f t="shared" si="1"/>
        <v>-687</v>
      </c>
      <c r="I25" s="21" t="s">
        <v>14</v>
      </c>
      <c r="J25" s="24">
        <v>216.8</v>
      </c>
      <c r="K25" s="25">
        <v>45267</v>
      </c>
      <c r="L25" s="25">
        <v>45312</v>
      </c>
      <c r="M25" s="7">
        <f t="shared" si="2"/>
        <v>-1526.6666666666667</v>
      </c>
      <c r="N25" s="7">
        <f t="shared" si="3"/>
        <v>-687</v>
      </c>
      <c r="O25" s="21" t="s">
        <v>14</v>
      </c>
      <c r="P25" s="24">
        <v>216.8</v>
      </c>
      <c r="Q25" s="25">
        <v>45267</v>
      </c>
      <c r="R25" s="25">
        <v>45312</v>
      </c>
      <c r="S25" s="7">
        <f t="shared" si="4"/>
        <v>-1526.6666666666667</v>
      </c>
      <c r="T25" s="7">
        <f t="shared" si="5"/>
        <v>-687</v>
      </c>
      <c r="U25" s="19"/>
      <c r="V25" s="21" t="s">
        <v>14</v>
      </c>
      <c r="W25" s="24">
        <v>216.8</v>
      </c>
      <c r="X25" s="25">
        <v>45267</v>
      </c>
      <c r="Y25" s="25">
        <v>45312</v>
      </c>
      <c r="Z25" s="7">
        <f t="shared" si="6"/>
        <v>-1526.6666666666667</v>
      </c>
      <c r="AA25" s="7"/>
      <c r="AB25" s="19"/>
      <c r="AC25" s="20"/>
      <c r="AD25" s="21" t="s">
        <v>14</v>
      </c>
      <c r="AE25" s="24">
        <v>216.8</v>
      </c>
      <c r="AF25" s="25">
        <v>45267</v>
      </c>
      <c r="AG25" s="25">
        <v>45312</v>
      </c>
      <c r="AH25" s="7">
        <f t="shared" si="7"/>
        <v>-1526.6666666666667</v>
      </c>
      <c r="AI25" s="7"/>
      <c r="AJ25" s="19"/>
      <c r="AK25" s="20"/>
      <c r="AL25" s="62"/>
      <c r="AM25" s="62"/>
      <c r="AN25" s="62"/>
      <c r="AO25" s="62"/>
      <c r="AP25" s="62"/>
      <c r="AQ25" s="62"/>
      <c r="AR25" s="62"/>
      <c r="AS25" s="62"/>
      <c r="AT25" s="62"/>
      <c r="AU25" s="62"/>
      <c r="AV25" s="62"/>
      <c r="AW25" s="62"/>
    </row>
    <row r="26" spans="1:49" ht="22.15" hidden="1" customHeight="1">
      <c r="A26"/>
      <c r="B26" s="6" t="s">
        <v>33</v>
      </c>
      <c r="C26" s="21" t="s">
        <v>14</v>
      </c>
      <c r="D26" s="22">
        <v>170.9</v>
      </c>
      <c r="E26" s="25">
        <v>45277</v>
      </c>
      <c r="F26" s="25">
        <v>45312</v>
      </c>
      <c r="G26" s="7">
        <f t="shared" si="0"/>
        <v>-1962.8571428571429</v>
      </c>
      <c r="H26" s="7">
        <f t="shared" si="1"/>
        <v>-687</v>
      </c>
      <c r="I26" s="21" t="s">
        <v>14</v>
      </c>
      <c r="J26" s="24">
        <v>170.9</v>
      </c>
      <c r="K26" s="25">
        <v>45277</v>
      </c>
      <c r="L26" s="25">
        <v>45312</v>
      </c>
      <c r="M26" s="7">
        <f t="shared" si="2"/>
        <v>-1962.8571428571429</v>
      </c>
      <c r="N26" s="7">
        <f t="shared" si="3"/>
        <v>-687</v>
      </c>
      <c r="O26" s="21" t="s">
        <v>14</v>
      </c>
      <c r="P26" s="24">
        <v>170.9</v>
      </c>
      <c r="Q26" s="25">
        <v>45277</v>
      </c>
      <c r="R26" s="25">
        <v>45312</v>
      </c>
      <c r="S26" s="7">
        <f t="shared" si="4"/>
        <v>-1962.8571428571429</v>
      </c>
      <c r="T26" s="7">
        <f t="shared" si="5"/>
        <v>-687</v>
      </c>
      <c r="U26" s="19"/>
      <c r="V26" s="21" t="s">
        <v>14</v>
      </c>
      <c r="W26" s="24">
        <v>170.9</v>
      </c>
      <c r="X26" s="25">
        <v>45277</v>
      </c>
      <c r="Y26" s="25">
        <v>45312</v>
      </c>
      <c r="Z26" s="7">
        <f t="shared" si="6"/>
        <v>-1962.8571428571429</v>
      </c>
      <c r="AA26" s="7"/>
      <c r="AB26" s="19"/>
      <c r="AC26" s="20"/>
      <c r="AD26" s="21" t="s">
        <v>14</v>
      </c>
      <c r="AE26" s="24">
        <v>170.9</v>
      </c>
      <c r="AF26" s="25">
        <v>45277</v>
      </c>
      <c r="AG26" s="25">
        <v>45312</v>
      </c>
      <c r="AH26" s="7">
        <f t="shared" si="7"/>
        <v>-1962.8571428571429</v>
      </c>
      <c r="AI26" s="7"/>
      <c r="AJ26" s="19"/>
      <c r="AK26" s="20"/>
      <c r="AL26" s="62"/>
      <c r="AM26" s="62"/>
      <c r="AN26" s="62"/>
      <c r="AO26" s="62"/>
      <c r="AP26" s="62"/>
      <c r="AQ26" s="62"/>
      <c r="AR26" s="62"/>
      <c r="AS26" s="62"/>
      <c r="AT26" s="62"/>
      <c r="AU26" s="62"/>
      <c r="AV26" s="62"/>
      <c r="AW26" s="62"/>
    </row>
    <row r="27" spans="1:49" ht="22.15" hidden="1" customHeight="1">
      <c r="A27"/>
      <c r="B27" s="6" t="s">
        <v>34</v>
      </c>
      <c r="C27" s="21" t="s">
        <v>14</v>
      </c>
      <c r="D27" s="22">
        <v>159.9</v>
      </c>
      <c r="E27" s="25">
        <v>45277</v>
      </c>
      <c r="F27" s="25">
        <v>45312</v>
      </c>
      <c r="G27" s="7">
        <f t="shared" si="0"/>
        <v>-1962.8571428571429</v>
      </c>
      <c r="H27" s="7">
        <f t="shared" si="1"/>
        <v>-687</v>
      </c>
      <c r="I27" s="21" t="s">
        <v>14</v>
      </c>
      <c r="J27" s="24">
        <v>159.9</v>
      </c>
      <c r="K27" s="25">
        <v>45277</v>
      </c>
      <c r="L27" s="25">
        <v>45312</v>
      </c>
      <c r="M27" s="7">
        <f t="shared" si="2"/>
        <v>-1962.8571428571429</v>
      </c>
      <c r="N27" s="7">
        <f t="shared" si="3"/>
        <v>-687</v>
      </c>
      <c r="O27" s="21" t="s">
        <v>14</v>
      </c>
      <c r="P27" s="24">
        <v>159.9</v>
      </c>
      <c r="Q27" s="25">
        <v>45277</v>
      </c>
      <c r="R27" s="25">
        <v>45312</v>
      </c>
      <c r="S27" s="7">
        <f t="shared" si="4"/>
        <v>-1962.8571428571429</v>
      </c>
      <c r="T27" s="7">
        <f t="shared" si="5"/>
        <v>-687</v>
      </c>
      <c r="U27" s="19"/>
      <c r="V27" s="21" t="s">
        <v>14</v>
      </c>
      <c r="W27" s="24">
        <v>159.9</v>
      </c>
      <c r="X27" s="25">
        <v>45277</v>
      </c>
      <c r="Y27" s="25">
        <v>45312</v>
      </c>
      <c r="Z27" s="7">
        <f t="shared" si="6"/>
        <v>-1962.8571428571429</v>
      </c>
      <c r="AA27" s="7"/>
      <c r="AB27" s="19"/>
      <c r="AC27" s="20"/>
      <c r="AD27" s="21" t="s">
        <v>14</v>
      </c>
      <c r="AE27" s="24">
        <v>159.9</v>
      </c>
      <c r="AF27" s="25">
        <v>45277</v>
      </c>
      <c r="AG27" s="25">
        <v>45312</v>
      </c>
      <c r="AH27" s="7">
        <f t="shared" si="7"/>
        <v>-1962.8571428571429</v>
      </c>
      <c r="AI27" s="7"/>
      <c r="AJ27" s="19"/>
      <c r="AK27" s="20"/>
      <c r="AL27" s="62"/>
      <c r="AM27" s="62"/>
      <c r="AN27" s="62"/>
      <c r="AO27" s="62"/>
      <c r="AP27" s="62"/>
      <c r="AQ27" s="62"/>
      <c r="AR27" s="62"/>
      <c r="AS27" s="62"/>
      <c r="AT27" s="62"/>
      <c r="AU27" s="62"/>
      <c r="AV27" s="62"/>
      <c r="AW27" s="62"/>
    </row>
    <row r="28" spans="1:49" ht="22.15" hidden="1" customHeight="1">
      <c r="A28"/>
      <c r="B28" s="6" t="s">
        <v>35</v>
      </c>
      <c r="C28" s="21" t="s">
        <v>14</v>
      </c>
      <c r="D28" s="22">
        <v>358.6</v>
      </c>
      <c r="E28" s="25">
        <v>45272</v>
      </c>
      <c r="F28" s="25">
        <v>45312</v>
      </c>
      <c r="G28" s="7">
        <f t="shared" si="0"/>
        <v>-1717.5</v>
      </c>
      <c r="H28" s="7">
        <f t="shared" si="1"/>
        <v>-687</v>
      </c>
      <c r="I28" s="21" t="s">
        <v>14</v>
      </c>
      <c r="J28" s="24">
        <v>358.6</v>
      </c>
      <c r="K28" s="25">
        <v>45272</v>
      </c>
      <c r="L28" s="25">
        <v>45312</v>
      </c>
      <c r="M28" s="7">
        <f t="shared" si="2"/>
        <v>-1717.5</v>
      </c>
      <c r="N28" s="7">
        <f t="shared" si="3"/>
        <v>-687</v>
      </c>
      <c r="O28" s="21" t="s">
        <v>14</v>
      </c>
      <c r="P28" s="24">
        <v>358.6</v>
      </c>
      <c r="Q28" s="25">
        <v>45272</v>
      </c>
      <c r="R28" s="25">
        <v>45312</v>
      </c>
      <c r="S28" s="7">
        <f t="shared" si="4"/>
        <v>-1717.5</v>
      </c>
      <c r="T28" s="7">
        <f t="shared" si="5"/>
        <v>-687</v>
      </c>
      <c r="U28" s="19"/>
      <c r="V28" s="21" t="s">
        <v>14</v>
      </c>
      <c r="W28" s="24">
        <v>358.6</v>
      </c>
      <c r="X28" s="25">
        <v>45272</v>
      </c>
      <c r="Y28" s="25">
        <v>45312</v>
      </c>
      <c r="Z28" s="7">
        <f t="shared" si="6"/>
        <v>-1717.5</v>
      </c>
      <c r="AA28" s="7"/>
      <c r="AB28" s="19"/>
      <c r="AC28" s="20"/>
      <c r="AD28" s="21" t="s">
        <v>14</v>
      </c>
      <c r="AE28" s="24">
        <v>358.6</v>
      </c>
      <c r="AF28" s="25">
        <v>45272</v>
      </c>
      <c r="AG28" s="25">
        <v>45312</v>
      </c>
      <c r="AH28" s="7">
        <f t="shared" si="7"/>
        <v>-1717.5</v>
      </c>
      <c r="AI28" s="7"/>
      <c r="AJ28" s="19"/>
      <c r="AK28" s="20"/>
      <c r="AL28" s="62"/>
      <c r="AM28" s="62"/>
      <c r="AN28" s="62"/>
      <c r="AO28" s="62"/>
      <c r="AP28" s="62"/>
      <c r="AQ28" s="62"/>
      <c r="AR28" s="62"/>
      <c r="AS28" s="62"/>
      <c r="AT28" s="62"/>
      <c r="AU28" s="62"/>
      <c r="AV28" s="62"/>
      <c r="AW28" s="62"/>
    </row>
    <row r="29" spans="1:49" ht="22.15" hidden="1" customHeight="1">
      <c r="A29"/>
      <c r="B29" s="6" t="s">
        <v>36</v>
      </c>
      <c r="C29" s="21" t="s">
        <v>8</v>
      </c>
      <c r="D29" s="22">
        <v>94</v>
      </c>
      <c r="E29" s="25">
        <v>45268</v>
      </c>
      <c r="F29" s="25">
        <v>45313</v>
      </c>
      <c r="G29" s="7">
        <f t="shared" si="0"/>
        <v>-1524.4444444444443</v>
      </c>
      <c r="H29" s="7">
        <f t="shared" si="1"/>
        <v>-686</v>
      </c>
      <c r="I29" s="21" t="s">
        <v>8</v>
      </c>
      <c r="J29" s="24">
        <v>94</v>
      </c>
      <c r="K29" s="25">
        <v>45268</v>
      </c>
      <c r="L29" s="25">
        <v>45313</v>
      </c>
      <c r="M29" s="7">
        <f t="shared" si="2"/>
        <v>-1524.4444444444443</v>
      </c>
      <c r="N29" s="7">
        <f t="shared" si="3"/>
        <v>-686</v>
      </c>
      <c r="O29" s="21" t="s">
        <v>8</v>
      </c>
      <c r="P29" s="24">
        <v>94</v>
      </c>
      <c r="Q29" s="25">
        <v>45268</v>
      </c>
      <c r="R29" s="25">
        <v>45313</v>
      </c>
      <c r="S29" s="7">
        <f t="shared" si="4"/>
        <v>-1524.4444444444443</v>
      </c>
      <c r="T29" s="7">
        <f t="shared" si="5"/>
        <v>-686</v>
      </c>
      <c r="U29" s="19"/>
      <c r="V29" s="21" t="s">
        <v>8</v>
      </c>
      <c r="W29" s="24">
        <v>94</v>
      </c>
      <c r="X29" s="25">
        <v>45268</v>
      </c>
      <c r="Y29" s="25">
        <v>45313</v>
      </c>
      <c r="Z29" s="7">
        <f t="shared" si="6"/>
        <v>-1524.4444444444443</v>
      </c>
      <c r="AA29" s="7"/>
      <c r="AB29" s="19"/>
      <c r="AC29" s="20"/>
      <c r="AD29" s="21" t="s">
        <v>8</v>
      </c>
      <c r="AE29" s="24">
        <v>94</v>
      </c>
      <c r="AF29" s="25">
        <v>45268</v>
      </c>
      <c r="AG29" s="25">
        <v>45313</v>
      </c>
      <c r="AH29" s="7">
        <f t="shared" si="7"/>
        <v>-1524.4444444444443</v>
      </c>
      <c r="AI29" s="7"/>
      <c r="AJ29" s="19"/>
      <c r="AK29" s="20"/>
      <c r="AL29" s="62"/>
      <c r="AM29" s="62"/>
      <c r="AN29" s="62"/>
      <c r="AO29" s="62"/>
      <c r="AP29" s="62"/>
      <c r="AQ29" s="62"/>
      <c r="AR29" s="62"/>
      <c r="AS29" s="62"/>
      <c r="AT29" s="62"/>
      <c r="AU29" s="62"/>
      <c r="AV29" s="62"/>
      <c r="AW29" s="62"/>
    </row>
    <row r="30" spans="1:49" ht="22.15" hidden="1" customHeight="1">
      <c r="A30"/>
      <c r="B30" s="6" t="s">
        <v>37</v>
      </c>
      <c r="C30" s="21" t="s">
        <v>8</v>
      </c>
      <c r="D30" s="22">
        <v>134</v>
      </c>
      <c r="E30" s="25">
        <v>45268</v>
      </c>
      <c r="F30" s="25">
        <v>45313</v>
      </c>
      <c r="G30" s="7">
        <f t="shared" si="0"/>
        <v>-1524.4444444444443</v>
      </c>
      <c r="H30" s="7">
        <f t="shared" si="1"/>
        <v>-686</v>
      </c>
      <c r="I30" s="21" t="s">
        <v>8</v>
      </c>
      <c r="J30" s="24">
        <v>134</v>
      </c>
      <c r="K30" s="25">
        <v>45268</v>
      </c>
      <c r="L30" s="25">
        <v>45313</v>
      </c>
      <c r="M30" s="7">
        <f t="shared" si="2"/>
        <v>-1524.4444444444443</v>
      </c>
      <c r="N30" s="7">
        <f t="shared" si="3"/>
        <v>-686</v>
      </c>
      <c r="O30" s="21" t="s">
        <v>8</v>
      </c>
      <c r="P30" s="24">
        <v>134</v>
      </c>
      <c r="Q30" s="25">
        <v>45268</v>
      </c>
      <c r="R30" s="25">
        <v>45313</v>
      </c>
      <c r="S30" s="7">
        <f t="shared" si="4"/>
        <v>-1524.4444444444443</v>
      </c>
      <c r="T30" s="7">
        <f t="shared" si="5"/>
        <v>-686</v>
      </c>
      <c r="U30" s="19"/>
      <c r="V30" s="21" t="s">
        <v>8</v>
      </c>
      <c r="W30" s="24">
        <v>134</v>
      </c>
      <c r="X30" s="25">
        <v>45268</v>
      </c>
      <c r="Y30" s="25">
        <v>45313</v>
      </c>
      <c r="Z30" s="7">
        <f t="shared" si="6"/>
        <v>-1524.4444444444443</v>
      </c>
      <c r="AA30" s="7"/>
      <c r="AB30" s="19"/>
      <c r="AC30" s="20"/>
      <c r="AD30" s="21" t="s">
        <v>8</v>
      </c>
      <c r="AE30" s="24">
        <v>134</v>
      </c>
      <c r="AF30" s="25">
        <v>45268</v>
      </c>
      <c r="AG30" s="25">
        <v>45313</v>
      </c>
      <c r="AH30" s="7">
        <f t="shared" si="7"/>
        <v>-1524.4444444444443</v>
      </c>
      <c r="AI30" s="7"/>
      <c r="AJ30" s="19"/>
      <c r="AK30" s="20"/>
      <c r="AL30" s="62"/>
      <c r="AM30" s="62"/>
      <c r="AN30" s="62"/>
      <c r="AO30" s="62"/>
      <c r="AP30" s="62"/>
      <c r="AQ30" s="62"/>
      <c r="AR30" s="62"/>
      <c r="AS30" s="62"/>
      <c r="AT30" s="62"/>
      <c r="AU30" s="62"/>
      <c r="AV30" s="62"/>
      <c r="AW30" s="62"/>
    </row>
    <row r="31" spans="1:49" ht="22.15" hidden="1" customHeight="1">
      <c r="A31"/>
      <c r="B31" s="6" t="s">
        <v>38</v>
      </c>
      <c r="C31" s="21" t="s">
        <v>8</v>
      </c>
      <c r="D31" s="22">
        <v>2</v>
      </c>
      <c r="E31" s="25">
        <v>45268</v>
      </c>
      <c r="F31" s="25">
        <v>45313</v>
      </c>
      <c r="G31" s="7">
        <f t="shared" si="0"/>
        <v>-1524.4444444444443</v>
      </c>
      <c r="H31" s="7">
        <f t="shared" si="1"/>
        <v>-686</v>
      </c>
      <c r="I31" s="21" t="s">
        <v>8</v>
      </c>
      <c r="J31" s="24">
        <v>2</v>
      </c>
      <c r="K31" s="25">
        <v>45268</v>
      </c>
      <c r="L31" s="25">
        <v>45313</v>
      </c>
      <c r="M31" s="7">
        <f t="shared" si="2"/>
        <v>-1524.4444444444443</v>
      </c>
      <c r="N31" s="7">
        <f t="shared" si="3"/>
        <v>-686</v>
      </c>
      <c r="O31" s="21" t="s">
        <v>8</v>
      </c>
      <c r="P31" s="24">
        <v>2</v>
      </c>
      <c r="Q31" s="25">
        <v>45268</v>
      </c>
      <c r="R31" s="25">
        <v>45313</v>
      </c>
      <c r="S31" s="7">
        <f t="shared" si="4"/>
        <v>-1524.4444444444443</v>
      </c>
      <c r="T31" s="7">
        <f t="shared" si="5"/>
        <v>-686</v>
      </c>
      <c r="U31" s="19"/>
      <c r="V31" s="21" t="s">
        <v>8</v>
      </c>
      <c r="W31" s="24">
        <v>2</v>
      </c>
      <c r="X31" s="25">
        <v>45268</v>
      </c>
      <c r="Y31" s="25">
        <v>45313</v>
      </c>
      <c r="Z31" s="7">
        <f t="shared" si="6"/>
        <v>-1524.4444444444443</v>
      </c>
      <c r="AA31" s="7"/>
      <c r="AB31" s="19"/>
      <c r="AC31" s="20"/>
      <c r="AD31" s="21" t="s">
        <v>8</v>
      </c>
      <c r="AE31" s="24">
        <v>2</v>
      </c>
      <c r="AF31" s="25">
        <v>45268</v>
      </c>
      <c r="AG31" s="25">
        <v>45313</v>
      </c>
      <c r="AH31" s="7">
        <f t="shared" si="7"/>
        <v>-1524.4444444444443</v>
      </c>
      <c r="AI31" s="7"/>
      <c r="AJ31" s="19"/>
      <c r="AK31" s="20"/>
      <c r="AL31" s="62"/>
      <c r="AM31" s="62"/>
      <c r="AN31" s="62"/>
      <c r="AO31" s="62"/>
      <c r="AP31" s="62"/>
      <c r="AQ31" s="62"/>
      <c r="AR31" s="62"/>
      <c r="AS31" s="62"/>
      <c r="AT31" s="62"/>
      <c r="AU31" s="62"/>
      <c r="AV31" s="62"/>
      <c r="AW31" s="62"/>
    </row>
    <row r="32" spans="1:49" ht="22.15" hidden="1" customHeight="1">
      <c r="A32"/>
      <c r="B32" s="6" t="s">
        <v>39</v>
      </c>
      <c r="C32" s="21" t="s">
        <v>14</v>
      </c>
      <c r="D32" s="22">
        <v>273.39999999999998</v>
      </c>
      <c r="E32" s="25">
        <v>45268</v>
      </c>
      <c r="F32" s="25">
        <v>45313</v>
      </c>
      <c r="G32" s="7">
        <f t="shared" si="0"/>
        <v>-1524.4444444444443</v>
      </c>
      <c r="H32" s="7">
        <f t="shared" si="1"/>
        <v>-686</v>
      </c>
      <c r="I32" s="21" t="s">
        <v>14</v>
      </c>
      <c r="J32" s="24">
        <v>273.39999999999998</v>
      </c>
      <c r="K32" s="25">
        <v>45268</v>
      </c>
      <c r="L32" s="25">
        <v>45313</v>
      </c>
      <c r="M32" s="7">
        <f t="shared" si="2"/>
        <v>-1524.4444444444443</v>
      </c>
      <c r="N32" s="7">
        <f t="shared" si="3"/>
        <v>-686</v>
      </c>
      <c r="O32" s="21" t="s">
        <v>14</v>
      </c>
      <c r="P32" s="24">
        <v>273.39999999999998</v>
      </c>
      <c r="Q32" s="25">
        <v>45268</v>
      </c>
      <c r="R32" s="25">
        <v>45313</v>
      </c>
      <c r="S32" s="7">
        <f t="shared" si="4"/>
        <v>-1524.4444444444443</v>
      </c>
      <c r="T32" s="7">
        <f t="shared" si="5"/>
        <v>-686</v>
      </c>
      <c r="U32" s="19"/>
      <c r="V32" s="21" t="s">
        <v>14</v>
      </c>
      <c r="W32" s="24">
        <v>273.39999999999998</v>
      </c>
      <c r="X32" s="25">
        <v>45268</v>
      </c>
      <c r="Y32" s="25">
        <v>45313</v>
      </c>
      <c r="Z32" s="7">
        <f t="shared" si="6"/>
        <v>-1524.4444444444443</v>
      </c>
      <c r="AA32" s="7"/>
      <c r="AB32" s="19"/>
      <c r="AC32" s="20"/>
      <c r="AD32" s="21" t="s">
        <v>14</v>
      </c>
      <c r="AE32" s="24">
        <v>273.39999999999998</v>
      </c>
      <c r="AF32" s="25">
        <v>45268</v>
      </c>
      <c r="AG32" s="25">
        <v>45313</v>
      </c>
      <c r="AH32" s="7">
        <f t="shared" si="7"/>
        <v>-1524.4444444444443</v>
      </c>
      <c r="AI32" s="7"/>
      <c r="AJ32" s="19"/>
      <c r="AK32" s="20"/>
      <c r="AL32" s="62"/>
      <c r="AM32" s="62"/>
      <c r="AN32" s="62"/>
      <c r="AO32" s="62"/>
      <c r="AP32" s="62"/>
      <c r="AQ32" s="62"/>
      <c r="AR32" s="62"/>
      <c r="AS32" s="62"/>
      <c r="AT32" s="62"/>
      <c r="AU32" s="62"/>
      <c r="AV32" s="62"/>
      <c r="AW32" s="62"/>
    </row>
    <row r="33" spans="1:49" ht="22.15" hidden="1" customHeight="1">
      <c r="A33"/>
      <c r="B33" s="6" t="s">
        <v>40</v>
      </c>
      <c r="C33" s="21" t="s">
        <v>14</v>
      </c>
      <c r="D33" s="22">
        <v>160.19999999999999</v>
      </c>
      <c r="E33" s="25">
        <v>45274</v>
      </c>
      <c r="F33" s="25">
        <v>45314</v>
      </c>
      <c r="G33" s="7">
        <f t="shared" si="0"/>
        <v>-1712.5</v>
      </c>
      <c r="H33" s="7">
        <f t="shared" si="1"/>
        <v>-685</v>
      </c>
      <c r="I33" s="21" t="s">
        <v>14</v>
      </c>
      <c r="J33" s="24">
        <v>160.19999999999999</v>
      </c>
      <c r="K33" s="25">
        <v>45274</v>
      </c>
      <c r="L33" s="25">
        <v>45314</v>
      </c>
      <c r="M33" s="7">
        <f t="shared" si="2"/>
        <v>-1712.5</v>
      </c>
      <c r="N33" s="7">
        <f t="shared" si="3"/>
        <v>-685</v>
      </c>
      <c r="O33" s="21" t="s">
        <v>14</v>
      </c>
      <c r="P33" s="24">
        <v>160.19999999999999</v>
      </c>
      <c r="Q33" s="25">
        <v>45274</v>
      </c>
      <c r="R33" s="25">
        <v>45314</v>
      </c>
      <c r="S33" s="7">
        <f t="shared" si="4"/>
        <v>-1712.5</v>
      </c>
      <c r="T33" s="7">
        <f t="shared" si="5"/>
        <v>-685</v>
      </c>
      <c r="U33" s="19"/>
      <c r="V33" s="21" t="s">
        <v>14</v>
      </c>
      <c r="W33" s="24">
        <v>160.19999999999999</v>
      </c>
      <c r="X33" s="25">
        <v>45274</v>
      </c>
      <c r="Y33" s="25">
        <v>45314</v>
      </c>
      <c r="Z33" s="7">
        <f t="shared" si="6"/>
        <v>-1712.5</v>
      </c>
      <c r="AA33" s="7"/>
      <c r="AB33" s="19"/>
      <c r="AC33" s="20"/>
      <c r="AD33" s="21" t="s">
        <v>14</v>
      </c>
      <c r="AE33" s="24">
        <v>160.19999999999999</v>
      </c>
      <c r="AF33" s="25">
        <v>45274</v>
      </c>
      <c r="AG33" s="25">
        <v>45314</v>
      </c>
      <c r="AH33" s="7">
        <f t="shared" si="7"/>
        <v>-1712.5</v>
      </c>
      <c r="AI33" s="7"/>
      <c r="AJ33" s="19"/>
      <c r="AK33" s="20"/>
      <c r="AL33" s="62"/>
      <c r="AM33" s="62"/>
      <c r="AN33" s="62"/>
      <c r="AO33" s="62"/>
      <c r="AP33" s="62"/>
      <c r="AQ33" s="62"/>
      <c r="AR33" s="62"/>
      <c r="AS33" s="62"/>
      <c r="AT33" s="62"/>
      <c r="AU33" s="62"/>
      <c r="AV33" s="62"/>
      <c r="AW33" s="62"/>
    </row>
    <row r="34" spans="1:49" ht="22.15" hidden="1" customHeight="1">
      <c r="A34"/>
      <c r="B34" s="6" t="s">
        <v>41</v>
      </c>
      <c r="C34" s="21" t="s">
        <v>14</v>
      </c>
      <c r="D34" s="22">
        <v>351.4</v>
      </c>
      <c r="E34" s="25">
        <v>45275</v>
      </c>
      <c r="F34" s="25">
        <v>45315</v>
      </c>
      <c r="G34" s="7">
        <f t="shared" si="0"/>
        <v>-1710.0000000000002</v>
      </c>
      <c r="H34" s="7">
        <f t="shared" si="1"/>
        <v>-684</v>
      </c>
      <c r="I34" s="21" t="s">
        <v>14</v>
      </c>
      <c r="J34" s="24">
        <v>351.4</v>
      </c>
      <c r="K34" s="25">
        <v>45275</v>
      </c>
      <c r="L34" s="25">
        <v>45315</v>
      </c>
      <c r="M34" s="7">
        <f t="shared" si="2"/>
        <v>-1710.0000000000002</v>
      </c>
      <c r="N34" s="7">
        <f t="shared" si="3"/>
        <v>-684</v>
      </c>
      <c r="O34" s="21" t="s">
        <v>14</v>
      </c>
      <c r="P34" s="24">
        <v>351.4</v>
      </c>
      <c r="Q34" s="25">
        <v>45275</v>
      </c>
      <c r="R34" s="25">
        <v>45315</v>
      </c>
      <c r="S34" s="7">
        <f t="shared" si="4"/>
        <v>-1710.0000000000002</v>
      </c>
      <c r="T34" s="7">
        <f t="shared" si="5"/>
        <v>-684</v>
      </c>
      <c r="U34" s="19"/>
      <c r="V34" s="21" t="s">
        <v>14</v>
      </c>
      <c r="W34" s="24">
        <v>351.4</v>
      </c>
      <c r="X34" s="25">
        <v>45275</v>
      </c>
      <c r="Y34" s="25">
        <v>45315</v>
      </c>
      <c r="Z34" s="7">
        <f t="shared" si="6"/>
        <v>-1710.0000000000002</v>
      </c>
      <c r="AA34" s="7"/>
      <c r="AB34" s="19"/>
      <c r="AC34" s="20"/>
      <c r="AD34" s="21" t="s">
        <v>14</v>
      </c>
      <c r="AE34" s="24">
        <v>351.4</v>
      </c>
      <c r="AF34" s="25">
        <v>45275</v>
      </c>
      <c r="AG34" s="25">
        <v>45315</v>
      </c>
      <c r="AH34" s="7">
        <f t="shared" si="7"/>
        <v>-1710.0000000000002</v>
      </c>
      <c r="AI34" s="7"/>
      <c r="AJ34" s="19"/>
      <c r="AK34" s="20"/>
      <c r="AL34" s="62"/>
      <c r="AM34" s="62"/>
      <c r="AN34" s="62"/>
      <c r="AO34" s="62"/>
      <c r="AP34" s="62"/>
      <c r="AQ34" s="62"/>
      <c r="AR34" s="62"/>
      <c r="AS34" s="62"/>
      <c r="AT34" s="62"/>
      <c r="AU34" s="62"/>
      <c r="AV34" s="62"/>
      <c r="AW34" s="62"/>
    </row>
    <row r="35" spans="1:49" ht="22.15" hidden="1" customHeight="1">
      <c r="A35"/>
      <c r="B35" s="6" t="s">
        <v>42</v>
      </c>
      <c r="C35" s="21" t="s">
        <v>14</v>
      </c>
      <c r="D35" s="22">
        <v>19.004000000000001</v>
      </c>
      <c r="E35" s="25">
        <v>45275</v>
      </c>
      <c r="F35" s="25">
        <v>45315</v>
      </c>
      <c r="G35" s="7">
        <f t="shared" si="0"/>
        <v>-1710.0000000000002</v>
      </c>
      <c r="H35" s="7">
        <f t="shared" si="1"/>
        <v>-684</v>
      </c>
      <c r="I35" s="21" t="s">
        <v>14</v>
      </c>
      <c r="J35" s="24">
        <v>19.004000000000001</v>
      </c>
      <c r="K35" s="25">
        <v>45275</v>
      </c>
      <c r="L35" s="25">
        <v>45315</v>
      </c>
      <c r="M35" s="7">
        <f t="shared" si="2"/>
        <v>-1710.0000000000002</v>
      </c>
      <c r="N35" s="7">
        <f t="shared" si="3"/>
        <v>-684</v>
      </c>
      <c r="O35" s="21" t="s">
        <v>14</v>
      </c>
      <c r="P35" s="24">
        <v>19.004000000000001</v>
      </c>
      <c r="Q35" s="25">
        <v>45275</v>
      </c>
      <c r="R35" s="25">
        <v>45315</v>
      </c>
      <c r="S35" s="7">
        <f t="shared" si="4"/>
        <v>-1710.0000000000002</v>
      </c>
      <c r="T35" s="7">
        <f t="shared" si="5"/>
        <v>-684</v>
      </c>
      <c r="U35" s="19"/>
      <c r="V35" s="21" t="s">
        <v>14</v>
      </c>
      <c r="W35" s="24">
        <v>19.004000000000001</v>
      </c>
      <c r="X35" s="25">
        <v>45275</v>
      </c>
      <c r="Y35" s="25">
        <v>45315</v>
      </c>
      <c r="Z35" s="7">
        <f t="shared" si="6"/>
        <v>-1710.0000000000002</v>
      </c>
      <c r="AA35" s="7"/>
      <c r="AB35" s="19"/>
      <c r="AC35" s="20"/>
      <c r="AD35" s="21" t="s">
        <v>14</v>
      </c>
      <c r="AE35" s="24">
        <v>19.004000000000001</v>
      </c>
      <c r="AF35" s="25">
        <v>45275</v>
      </c>
      <c r="AG35" s="25">
        <v>45315</v>
      </c>
      <c r="AH35" s="7">
        <f t="shared" si="7"/>
        <v>-1710.0000000000002</v>
      </c>
      <c r="AI35" s="7"/>
      <c r="AJ35" s="19"/>
      <c r="AK35" s="20"/>
      <c r="AL35" s="62"/>
      <c r="AM35" s="62"/>
      <c r="AN35" s="62"/>
      <c r="AO35" s="62"/>
      <c r="AP35" s="62"/>
      <c r="AQ35" s="62"/>
      <c r="AR35" s="62"/>
      <c r="AS35" s="62"/>
      <c r="AT35" s="62"/>
      <c r="AU35" s="62"/>
      <c r="AV35" s="62"/>
      <c r="AW35" s="62"/>
    </row>
    <row r="36" spans="1:49" ht="22.15" hidden="1" customHeight="1">
      <c r="A36"/>
      <c r="B36" s="6" t="s">
        <v>43</v>
      </c>
      <c r="C36" s="21" t="s">
        <v>14</v>
      </c>
      <c r="D36" s="22">
        <v>6.56</v>
      </c>
      <c r="E36" s="25"/>
      <c r="F36" s="25"/>
      <c r="G36" s="7" t="str">
        <f t="shared" si="0"/>
        <v/>
      </c>
      <c r="H36" s="7">
        <f t="shared" si="1"/>
        <v>-45999</v>
      </c>
      <c r="I36" s="21" t="s">
        <v>14</v>
      </c>
      <c r="J36" s="24">
        <v>6.56</v>
      </c>
      <c r="K36" s="25"/>
      <c r="L36" s="25"/>
      <c r="M36" s="7" t="str">
        <f t="shared" si="2"/>
        <v/>
      </c>
      <c r="N36" s="7">
        <f t="shared" si="3"/>
        <v>-45999</v>
      </c>
      <c r="O36" s="21" t="s">
        <v>14</v>
      </c>
      <c r="P36" s="24">
        <v>6.56</v>
      </c>
      <c r="Q36" s="25"/>
      <c r="R36" s="25"/>
      <c r="S36" s="7" t="str">
        <f t="shared" si="4"/>
        <v/>
      </c>
      <c r="T36" s="7">
        <f t="shared" si="5"/>
        <v>-45999</v>
      </c>
      <c r="U36" s="19"/>
      <c r="V36" s="21" t="s">
        <v>14</v>
      </c>
      <c r="W36" s="24">
        <v>6.56</v>
      </c>
      <c r="X36" s="25"/>
      <c r="Y36" s="25"/>
      <c r="Z36" s="7" t="str">
        <f t="shared" si="6"/>
        <v/>
      </c>
      <c r="AA36" s="7"/>
      <c r="AB36" s="19"/>
      <c r="AC36" s="20"/>
      <c r="AD36" s="21" t="s">
        <v>14</v>
      </c>
      <c r="AE36" s="24">
        <v>6.56</v>
      </c>
      <c r="AF36" s="25"/>
      <c r="AG36" s="25"/>
      <c r="AH36" s="7" t="str">
        <f t="shared" si="7"/>
        <v/>
      </c>
      <c r="AI36" s="7"/>
      <c r="AJ36" s="19"/>
      <c r="AK36" s="20"/>
      <c r="AL36" s="62"/>
      <c r="AM36" s="62"/>
      <c r="AN36" s="62"/>
      <c r="AO36" s="62"/>
      <c r="AP36" s="62"/>
      <c r="AQ36" s="62"/>
      <c r="AR36" s="62"/>
      <c r="AS36" s="62"/>
      <c r="AT36" s="62"/>
      <c r="AU36" s="62"/>
      <c r="AV36" s="62"/>
      <c r="AW36" s="62"/>
    </row>
    <row r="37" spans="1:49" ht="22.15" hidden="1" customHeight="1">
      <c r="A37"/>
      <c r="B37" s="6" t="s">
        <v>44</v>
      </c>
      <c r="C37" s="21" t="s">
        <v>14</v>
      </c>
      <c r="D37" s="22">
        <v>115.69499999999999</v>
      </c>
      <c r="E37" s="25">
        <v>45276</v>
      </c>
      <c r="F37" s="25">
        <v>45316</v>
      </c>
      <c r="G37" s="7">
        <f t="shared" si="0"/>
        <v>-1707.5</v>
      </c>
      <c r="H37" s="7">
        <f t="shared" si="1"/>
        <v>-683</v>
      </c>
      <c r="I37" s="21" t="s">
        <v>14</v>
      </c>
      <c r="J37" s="24">
        <v>115.69499999999999</v>
      </c>
      <c r="K37" s="25">
        <v>45276</v>
      </c>
      <c r="L37" s="25">
        <v>45316</v>
      </c>
      <c r="M37" s="7">
        <f t="shared" si="2"/>
        <v>-1707.5</v>
      </c>
      <c r="N37" s="7">
        <f t="shared" si="3"/>
        <v>-683</v>
      </c>
      <c r="O37" s="21" t="s">
        <v>14</v>
      </c>
      <c r="P37" s="24">
        <v>115.69499999999999</v>
      </c>
      <c r="Q37" s="25">
        <v>45276</v>
      </c>
      <c r="R37" s="25">
        <v>45316</v>
      </c>
      <c r="S37" s="7">
        <f t="shared" si="4"/>
        <v>-1707.5</v>
      </c>
      <c r="T37" s="7">
        <f t="shared" si="5"/>
        <v>-683</v>
      </c>
      <c r="U37" s="19"/>
      <c r="V37" s="21" t="s">
        <v>14</v>
      </c>
      <c r="W37" s="24">
        <v>115.69499999999999</v>
      </c>
      <c r="X37" s="25">
        <v>45276</v>
      </c>
      <c r="Y37" s="25">
        <v>45316</v>
      </c>
      <c r="Z37" s="7">
        <f t="shared" si="6"/>
        <v>-1707.5</v>
      </c>
      <c r="AA37" s="7"/>
      <c r="AB37" s="19"/>
      <c r="AC37" s="20"/>
      <c r="AD37" s="21" t="s">
        <v>14</v>
      </c>
      <c r="AE37" s="24">
        <v>115.69499999999999</v>
      </c>
      <c r="AF37" s="25">
        <v>45276</v>
      </c>
      <c r="AG37" s="25">
        <v>45316</v>
      </c>
      <c r="AH37" s="7">
        <f t="shared" si="7"/>
        <v>-1707.5</v>
      </c>
      <c r="AI37" s="7"/>
      <c r="AJ37" s="19"/>
      <c r="AK37" s="20"/>
      <c r="AL37" s="62"/>
      <c r="AM37" s="62"/>
      <c r="AN37" s="62"/>
      <c r="AO37" s="62"/>
      <c r="AP37" s="62"/>
      <c r="AQ37" s="62"/>
      <c r="AR37" s="62"/>
      <c r="AS37" s="62"/>
      <c r="AT37" s="62"/>
      <c r="AU37" s="62"/>
      <c r="AV37" s="62"/>
      <c r="AW37" s="62"/>
    </row>
    <row r="38" spans="1:49" ht="22.15" hidden="1" customHeight="1">
      <c r="A38"/>
      <c r="B38" s="6" t="s">
        <v>45</v>
      </c>
      <c r="C38" s="21" t="s">
        <v>8</v>
      </c>
      <c r="D38" s="22">
        <v>234</v>
      </c>
      <c r="E38" s="25">
        <v>45260</v>
      </c>
      <c r="F38" s="25">
        <v>45320</v>
      </c>
      <c r="G38" s="7">
        <f>IFERROR((F38-$G$1)/(F38-E38)*100,"")</f>
        <v>-1131.6666666666667</v>
      </c>
      <c r="H38" s="7">
        <f>F38-$H$1</f>
        <v>-679</v>
      </c>
      <c r="I38" s="21" t="s">
        <v>8</v>
      </c>
      <c r="J38" s="24">
        <v>234</v>
      </c>
      <c r="K38" s="25">
        <v>45260</v>
      </c>
      <c r="L38" s="25">
        <v>45320</v>
      </c>
      <c r="M38" s="7">
        <f>IFERROR((L38-$G$1)/(L38-K38)*100,"")</f>
        <v>-1131.6666666666667</v>
      </c>
      <c r="N38" s="7">
        <f>L38-$H$1</f>
        <v>-679</v>
      </c>
      <c r="O38" s="21" t="s">
        <v>8</v>
      </c>
      <c r="P38" s="24">
        <v>234</v>
      </c>
      <c r="Q38" s="25">
        <v>45260</v>
      </c>
      <c r="R38" s="25">
        <v>45320</v>
      </c>
      <c r="S38" s="7">
        <f>IFERROR((R38-$G$1)/(R38-Q38)*100,"")</f>
        <v>-1131.6666666666667</v>
      </c>
      <c r="T38" s="7">
        <f>R38-$H$1</f>
        <v>-679</v>
      </c>
      <c r="U38" s="19"/>
      <c r="V38" s="21" t="s">
        <v>8</v>
      </c>
      <c r="W38" s="24">
        <v>234</v>
      </c>
      <c r="X38" s="25">
        <v>45260</v>
      </c>
      <c r="Y38" s="25">
        <v>45320</v>
      </c>
      <c r="Z38" s="7">
        <f>IFERROR((Y38-$G$1)/(Y38-X38)*100,"")</f>
        <v>-1131.6666666666667</v>
      </c>
      <c r="AA38" s="7"/>
      <c r="AB38" s="19"/>
      <c r="AC38" s="20"/>
      <c r="AD38" s="21" t="s">
        <v>8</v>
      </c>
      <c r="AE38" s="24">
        <v>234</v>
      </c>
      <c r="AF38" s="25">
        <v>45260</v>
      </c>
      <c r="AG38" s="25">
        <v>45320</v>
      </c>
      <c r="AH38" s="7">
        <f>IFERROR((AG38-$G$1)/(AG38-AF38)*100,"")</f>
        <v>-1131.6666666666667</v>
      </c>
      <c r="AI38" s="7"/>
      <c r="AJ38" s="19"/>
      <c r="AK38" s="20"/>
      <c r="AL38" s="62"/>
      <c r="AM38" s="62"/>
      <c r="AN38" s="62"/>
      <c r="AO38" s="62"/>
      <c r="AP38" s="62"/>
      <c r="AQ38" s="62"/>
      <c r="AR38" s="62"/>
      <c r="AS38" s="62"/>
      <c r="AT38" s="62"/>
      <c r="AU38" s="62"/>
      <c r="AV38" s="62"/>
      <c r="AW38" s="62"/>
    </row>
    <row r="39" spans="1:49" ht="22.15" hidden="1" customHeight="1">
      <c r="A39"/>
      <c r="B39" s="6" t="s">
        <v>46</v>
      </c>
      <c r="C39" s="21" t="s">
        <v>8</v>
      </c>
      <c r="D39" s="22">
        <v>480</v>
      </c>
      <c r="E39" s="25"/>
      <c r="F39" s="25"/>
      <c r="G39" s="7" t="str">
        <f t="shared" ref="G39:G71" si="8">IFERROR((F39-$G$1)/(F39-E39)*100,"")</f>
        <v/>
      </c>
      <c r="H39" s="7">
        <f t="shared" ref="H39:H71" si="9">F39-$H$1</f>
        <v>-45999</v>
      </c>
      <c r="I39" s="21" t="s">
        <v>8</v>
      </c>
      <c r="J39" s="24">
        <v>480</v>
      </c>
      <c r="K39" s="25"/>
      <c r="L39" s="25"/>
      <c r="M39" s="7" t="str">
        <f t="shared" ref="M39:M102" si="10">IFERROR((L39-$G$1)/(L39-K39)*100,"")</f>
        <v/>
      </c>
      <c r="N39" s="7">
        <f t="shared" ref="N39:N102" si="11">L39-$H$1</f>
        <v>-45999</v>
      </c>
      <c r="O39" s="21" t="s">
        <v>8</v>
      </c>
      <c r="P39" s="24">
        <v>480</v>
      </c>
      <c r="Q39" s="25"/>
      <c r="R39" s="25"/>
      <c r="S39" s="7" t="str">
        <f t="shared" ref="S39:S102" si="12">IFERROR((R39-$G$1)/(R39-Q39)*100,"")</f>
        <v/>
      </c>
      <c r="T39" s="7">
        <f t="shared" ref="T39:T102" si="13">R39-$H$1</f>
        <v>-45999</v>
      </c>
      <c r="U39" s="19"/>
      <c r="V39" s="21" t="s">
        <v>8</v>
      </c>
      <c r="W39" s="24">
        <v>480</v>
      </c>
      <c r="X39" s="25"/>
      <c r="Y39" s="25"/>
      <c r="Z39" s="7" t="str">
        <f t="shared" ref="Z39:Z102" si="14">IFERROR((Y39-$G$1)/(Y39-X39)*100,"")</f>
        <v/>
      </c>
      <c r="AA39" s="7"/>
      <c r="AB39" s="19"/>
      <c r="AC39" s="20"/>
      <c r="AD39" s="21" t="s">
        <v>8</v>
      </c>
      <c r="AE39" s="24">
        <v>480</v>
      </c>
      <c r="AF39" s="25"/>
      <c r="AG39" s="25"/>
      <c r="AH39" s="7" t="str">
        <f t="shared" ref="AH39:AH102" si="15">IFERROR((AG39-$G$1)/(AG39-AF39)*100,"")</f>
        <v/>
      </c>
      <c r="AI39" s="7"/>
      <c r="AJ39" s="19"/>
      <c r="AK39" s="20"/>
      <c r="AL39" s="62"/>
      <c r="AM39" s="62"/>
      <c r="AN39" s="62"/>
      <c r="AO39" s="62"/>
      <c r="AP39" s="62"/>
      <c r="AQ39" s="62"/>
      <c r="AR39" s="62"/>
      <c r="AS39" s="62"/>
      <c r="AT39" s="62"/>
      <c r="AU39" s="62"/>
      <c r="AV39" s="62"/>
      <c r="AW39" s="62"/>
    </row>
    <row r="40" spans="1:49" ht="22.15" hidden="1" customHeight="1">
      <c r="A40"/>
      <c r="B40" s="6" t="s">
        <v>47</v>
      </c>
      <c r="C40" s="21" t="s">
        <v>8</v>
      </c>
      <c r="D40" s="22">
        <v>480</v>
      </c>
      <c r="E40" s="25"/>
      <c r="F40" s="25"/>
      <c r="G40" s="7" t="str">
        <f t="shared" si="8"/>
        <v/>
      </c>
      <c r="H40" s="7">
        <f t="shared" si="9"/>
        <v>-45999</v>
      </c>
      <c r="I40" s="21" t="s">
        <v>8</v>
      </c>
      <c r="J40" s="24">
        <v>480</v>
      </c>
      <c r="K40" s="25"/>
      <c r="L40" s="25"/>
      <c r="M40" s="7" t="str">
        <f t="shared" si="10"/>
        <v/>
      </c>
      <c r="N40" s="7">
        <f t="shared" si="11"/>
        <v>-45999</v>
      </c>
      <c r="O40" s="21" t="s">
        <v>8</v>
      </c>
      <c r="P40" s="24">
        <v>480</v>
      </c>
      <c r="Q40" s="25"/>
      <c r="R40" s="25"/>
      <c r="S40" s="7" t="str">
        <f t="shared" si="12"/>
        <v/>
      </c>
      <c r="T40" s="7">
        <f t="shared" si="13"/>
        <v>-45999</v>
      </c>
      <c r="U40" s="19"/>
      <c r="V40" s="21" t="s">
        <v>8</v>
      </c>
      <c r="W40" s="24">
        <v>480</v>
      </c>
      <c r="X40" s="25"/>
      <c r="Y40" s="25"/>
      <c r="Z40" s="7" t="str">
        <f t="shared" si="14"/>
        <v/>
      </c>
      <c r="AA40" s="7"/>
      <c r="AB40" s="19"/>
      <c r="AC40" s="20"/>
      <c r="AD40" s="21" t="s">
        <v>8</v>
      </c>
      <c r="AE40" s="24">
        <v>480</v>
      </c>
      <c r="AF40" s="25"/>
      <c r="AG40" s="25"/>
      <c r="AH40" s="7" t="str">
        <f t="shared" si="15"/>
        <v/>
      </c>
      <c r="AI40" s="7"/>
      <c r="AJ40" s="19"/>
      <c r="AK40" s="20"/>
      <c r="AL40" s="62"/>
      <c r="AM40" s="62"/>
      <c r="AN40" s="62"/>
      <c r="AO40" s="62"/>
      <c r="AP40" s="62"/>
      <c r="AQ40" s="62"/>
      <c r="AR40" s="62"/>
      <c r="AS40" s="62"/>
      <c r="AT40" s="62"/>
      <c r="AU40" s="62"/>
      <c r="AV40" s="62"/>
      <c r="AW40" s="62"/>
    </row>
    <row r="41" spans="1:49" ht="22.15" hidden="1" customHeight="1">
      <c r="A41"/>
      <c r="B41" s="6" t="s">
        <v>48</v>
      </c>
      <c r="C41" s="21" t="s">
        <v>8</v>
      </c>
      <c r="D41" s="26">
        <v>2136</v>
      </c>
      <c r="E41" s="25"/>
      <c r="F41" s="25"/>
      <c r="G41" s="7" t="str">
        <f t="shared" si="8"/>
        <v/>
      </c>
      <c r="H41" s="7">
        <f t="shared" si="9"/>
        <v>-45999</v>
      </c>
      <c r="I41" s="21" t="s">
        <v>8</v>
      </c>
      <c r="J41" s="24">
        <v>2136</v>
      </c>
      <c r="K41" s="25"/>
      <c r="L41" s="25"/>
      <c r="M41" s="7" t="str">
        <f t="shared" si="10"/>
        <v/>
      </c>
      <c r="N41" s="7">
        <f t="shared" si="11"/>
        <v>-45999</v>
      </c>
      <c r="O41" s="21" t="s">
        <v>8</v>
      </c>
      <c r="P41" s="24">
        <v>2136</v>
      </c>
      <c r="Q41" s="25"/>
      <c r="R41" s="25"/>
      <c r="S41" s="7" t="str">
        <f t="shared" si="12"/>
        <v/>
      </c>
      <c r="T41" s="7">
        <f t="shared" si="13"/>
        <v>-45999</v>
      </c>
      <c r="U41" s="19"/>
      <c r="V41" s="21" t="s">
        <v>8</v>
      </c>
      <c r="W41" s="24">
        <v>2136</v>
      </c>
      <c r="X41" s="25"/>
      <c r="Y41" s="25"/>
      <c r="Z41" s="7" t="str">
        <f t="shared" si="14"/>
        <v/>
      </c>
      <c r="AA41" s="7"/>
      <c r="AB41" s="19"/>
      <c r="AC41" s="20"/>
      <c r="AD41" s="21" t="s">
        <v>8</v>
      </c>
      <c r="AE41" s="24">
        <v>2136</v>
      </c>
      <c r="AF41" s="25"/>
      <c r="AG41" s="25"/>
      <c r="AH41" s="7" t="str">
        <f t="shared" si="15"/>
        <v/>
      </c>
      <c r="AI41" s="7"/>
      <c r="AJ41" s="19"/>
      <c r="AK41" s="20"/>
      <c r="AL41" s="62"/>
      <c r="AM41" s="62"/>
      <c r="AN41" s="62"/>
      <c r="AO41" s="62"/>
      <c r="AP41" s="62"/>
      <c r="AQ41" s="62"/>
      <c r="AR41" s="62"/>
      <c r="AS41" s="62"/>
      <c r="AT41" s="62"/>
      <c r="AU41" s="62"/>
      <c r="AV41" s="62"/>
      <c r="AW41" s="62"/>
    </row>
    <row r="42" spans="1:49" ht="22.15" hidden="1" customHeight="1">
      <c r="A42"/>
      <c r="B42" s="6" t="s">
        <v>49</v>
      </c>
      <c r="C42" s="21" t="s">
        <v>8</v>
      </c>
      <c r="D42" s="22">
        <v>192</v>
      </c>
      <c r="E42" s="25"/>
      <c r="F42" s="25"/>
      <c r="G42" s="7" t="str">
        <f t="shared" si="8"/>
        <v/>
      </c>
      <c r="H42" s="7">
        <f t="shared" si="9"/>
        <v>-45999</v>
      </c>
      <c r="I42" s="21" t="s">
        <v>8</v>
      </c>
      <c r="J42" s="24">
        <v>192</v>
      </c>
      <c r="K42" s="25"/>
      <c r="L42" s="25"/>
      <c r="M42" s="7" t="str">
        <f t="shared" si="10"/>
        <v/>
      </c>
      <c r="N42" s="7">
        <f t="shared" si="11"/>
        <v>-45999</v>
      </c>
      <c r="O42" s="21" t="s">
        <v>8</v>
      </c>
      <c r="P42" s="24">
        <v>192</v>
      </c>
      <c r="Q42" s="25"/>
      <c r="R42" s="25"/>
      <c r="S42" s="7" t="str">
        <f t="shared" si="12"/>
        <v/>
      </c>
      <c r="T42" s="7">
        <f t="shared" si="13"/>
        <v>-45999</v>
      </c>
      <c r="U42" s="19"/>
      <c r="V42" s="21" t="s">
        <v>8</v>
      </c>
      <c r="W42" s="24">
        <v>192</v>
      </c>
      <c r="X42" s="25"/>
      <c r="Y42" s="25"/>
      <c r="Z42" s="7" t="str">
        <f t="shared" si="14"/>
        <v/>
      </c>
      <c r="AA42" s="7"/>
      <c r="AB42" s="19"/>
      <c r="AC42" s="20"/>
      <c r="AD42" s="21" t="s">
        <v>8</v>
      </c>
      <c r="AE42" s="24">
        <v>192</v>
      </c>
      <c r="AF42" s="25"/>
      <c r="AG42" s="25"/>
      <c r="AH42" s="7" t="str">
        <f t="shared" si="15"/>
        <v/>
      </c>
      <c r="AI42" s="7"/>
      <c r="AJ42" s="19"/>
      <c r="AK42" s="20"/>
      <c r="AL42" s="62"/>
      <c r="AM42" s="62"/>
      <c r="AN42" s="62"/>
      <c r="AO42" s="62"/>
      <c r="AP42" s="62"/>
      <c r="AQ42" s="62"/>
      <c r="AR42" s="62"/>
      <c r="AS42" s="62"/>
      <c r="AT42" s="62"/>
      <c r="AU42" s="62"/>
      <c r="AV42" s="62"/>
      <c r="AW42" s="62"/>
    </row>
    <row r="43" spans="1:49" ht="22.15" hidden="1" customHeight="1">
      <c r="A43"/>
      <c r="B43" s="6" t="s">
        <v>50</v>
      </c>
      <c r="C43" s="21" t="s">
        <v>8</v>
      </c>
      <c r="D43" s="22">
        <v>192</v>
      </c>
      <c r="E43" s="25"/>
      <c r="F43" s="25"/>
      <c r="G43" s="7" t="str">
        <f t="shared" si="8"/>
        <v/>
      </c>
      <c r="H43" s="7">
        <f t="shared" si="9"/>
        <v>-45999</v>
      </c>
      <c r="I43" s="21" t="s">
        <v>8</v>
      </c>
      <c r="J43" s="24">
        <v>192</v>
      </c>
      <c r="K43" s="25"/>
      <c r="L43" s="25"/>
      <c r="M43" s="7" t="str">
        <f t="shared" si="10"/>
        <v/>
      </c>
      <c r="N43" s="7">
        <f t="shared" si="11"/>
        <v>-45999</v>
      </c>
      <c r="O43" s="21" t="s">
        <v>8</v>
      </c>
      <c r="P43" s="24">
        <v>192</v>
      </c>
      <c r="Q43" s="25"/>
      <c r="R43" s="25"/>
      <c r="S43" s="7" t="str">
        <f t="shared" si="12"/>
        <v/>
      </c>
      <c r="T43" s="7">
        <f t="shared" si="13"/>
        <v>-45999</v>
      </c>
      <c r="U43" s="19"/>
      <c r="V43" s="21" t="s">
        <v>8</v>
      </c>
      <c r="W43" s="24">
        <v>192</v>
      </c>
      <c r="X43" s="25"/>
      <c r="Y43" s="25"/>
      <c r="Z43" s="7" t="str">
        <f t="shared" si="14"/>
        <v/>
      </c>
      <c r="AA43" s="7"/>
      <c r="AB43" s="19"/>
      <c r="AC43" s="20"/>
      <c r="AD43" s="21" t="s">
        <v>8</v>
      </c>
      <c r="AE43" s="24">
        <v>192</v>
      </c>
      <c r="AF43" s="25"/>
      <c r="AG43" s="25"/>
      <c r="AH43" s="7" t="str">
        <f t="shared" si="15"/>
        <v/>
      </c>
      <c r="AI43" s="7"/>
      <c r="AJ43" s="19"/>
      <c r="AK43" s="20"/>
      <c r="AL43" s="62"/>
      <c r="AM43" s="62"/>
      <c r="AN43" s="62"/>
      <c r="AO43" s="62"/>
      <c r="AP43" s="62"/>
      <c r="AQ43" s="62"/>
      <c r="AR43" s="62"/>
      <c r="AS43" s="62"/>
      <c r="AT43" s="62"/>
      <c r="AU43" s="62"/>
      <c r="AV43" s="62"/>
      <c r="AW43" s="62"/>
    </row>
    <row r="44" spans="1:49" ht="22.15" hidden="1" customHeight="1">
      <c r="A44"/>
      <c r="B44" s="6" t="s">
        <v>51</v>
      </c>
      <c r="C44" s="21" t="s">
        <v>8</v>
      </c>
      <c r="D44" s="26">
        <v>2368</v>
      </c>
      <c r="E44" s="25"/>
      <c r="F44" s="25"/>
      <c r="G44" s="7" t="str">
        <f t="shared" si="8"/>
        <v/>
      </c>
      <c r="H44" s="7">
        <f t="shared" si="9"/>
        <v>-45999</v>
      </c>
      <c r="I44" s="21" t="s">
        <v>8</v>
      </c>
      <c r="J44" s="24">
        <v>2368</v>
      </c>
      <c r="K44" s="25"/>
      <c r="L44" s="25"/>
      <c r="M44" s="7" t="str">
        <f t="shared" si="10"/>
        <v/>
      </c>
      <c r="N44" s="7">
        <f t="shared" si="11"/>
        <v>-45999</v>
      </c>
      <c r="O44" s="21" t="s">
        <v>8</v>
      </c>
      <c r="P44" s="24">
        <v>2368</v>
      </c>
      <c r="Q44" s="25"/>
      <c r="R44" s="25"/>
      <c r="S44" s="7" t="str">
        <f t="shared" si="12"/>
        <v/>
      </c>
      <c r="T44" s="7">
        <f t="shared" si="13"/>
        <v>-45999</v>
      </c>
      <c r="U44" s="19"/>
      <c r="V44" s="21" t="s">
        <v>8</v>
      </c>
      <c r="W44" s="24">
        <v>2368</v>
      </c>
      <c r="X44" s="25"/>
      <c r="Y44" s="25"/>
      <c r="Z44" s="7" t="str">
        <f t="shared" si="14"/>
        <v/>
      </c>
      <c r="AA44" s="7"/>
      <c r="AB44" s="19"/>
      <c r="AC44" s="20"/>
      <c r="AD44" s="21" t="s">
        <v>8</v>
      </c>
      <c r="AE44" s="24">
        <v>2368</v>
      </c>
      <c r="AF44" s="25"/>
      <c r="AG44" s="25"/>
      <c r="AH44" s="7" t="str">
        <f t="shared" si="15"/>
        <v/>
      </c>
      <c r="AI44" s="7"/>
      <c r="AJ44" s="19"/>
      <c r="AK44" s="20"/>
      <c r="AL44" s="62"/>
      <c r="AM44" s="62"/>
      <c r="AN44" s="62"/>
      <c r="AO44" s="62"/>
      <c r="AP44" s="62"/>
      <c r="AQ44" s="62"/>
      <c r="AR44" s="62"/>
      <c r="AS44" s="62"/>
      <c r="AT44" s="62"/>
      <c r="AU44" s="62"/>
      <c r="AV44" s="62"/>
      <c r="AW44" s="62"/>
    </row>
    <row r="45" spans="1:49" ht="22.15" hidden="1" customHeight="1">
      <c r="A45"/>
      <c r="B45" s="6" t="s">
        <v>52</v>
      </c>
      <c r="C45" s="21" t="s">
        <v>8</v>
      </c>
      <c r="D45" s="22">
        <v>836</v>
      </c>
      <c r="E45" s="25"/>
      <c r="F45" s="25"/>
      <c r="G45" s="7" t="str">
        <f t="shared" si="8"/>
        <v/>
      </c>
      <c r="H45" s="7">
        <f t="shared" si="9"/>
        <v>-45999</v>
      </c>
      <c r="I45" s="21" t="s">
        <v>8</v>
      </c>
      <c r="J45" s="24">
        <v>836</v>
      </c>
      <c r="K45" s="25"/>
      <c r="L45" s="25"/>
      <c r="M45" s="7" t="str">
        <f t="shared" si="10"/>
        <v/>
      </c>
      <c r="N45" s="7">
        <f t="shared" si="11"/>
        <v>-45999</v>
      </c>
      <c r="O45" s="21" t="s">
        <v>8</v>
      </c>
      <c r="P45" s="24">
        <v>836</v>
      </c>
      <c r="Q45" s="25"/>
      <c r="R45" s="25"/>
      <c r="S45" s="7" t="str">
        <f t="shared" si="12"/>
        <v/>
      </c>
      <c r="T45" s="7">
        <f t="shared" si="13"/>
        <v>-45999</v>
      </c>
      <c r="U45" s="19"/>
      <c r="V45" s="21" t="s">
        <v>8</v>
      </c>
      <c r="W45" s="24">
        <v>836</v>
      </c>
      <c r="X45" s="25"/>
      <c r="Y45" s="25"/>
      <c r="Z45" s="7" t="str">
        <f t="shared" si="14"/>
        <v/>
      </c>
      <c r="AA45" s="7"/>
      <c r="AB45" s="19"/>
      <c r="AC45" s="20"/>
      <c r="AD45" s="21" t="s">
        <v>8</v>
      </c>
      <c r="AE45" s="24">
        <v>836</v>
      </c>
      <c r="AF45" s="25"/>
      <c r="AG45" s="25"/>
      <c r="AH45" s="7" t="str">
        <f t="shared" si="15"/>
        <v/>
      </c>
      <c r="AI45" s="7"/>
      <c r="AJ45" s="19"/>
      <c r="AK45" s="20"/>
      <c r="AL45" s="62"/>
      <c r="AM45" s="62"/>
      <c r="AN45" s="62"/>
      <c r="AO45" s="62"/>
      <c r="AP45" s="62"/>
      <c r="AQ45" s="62"/>
      <c r="AR45" s="62"/>
      <c r="AS45" s="62"/>
      <c r="AT45" s="62"/>
      <c r="AU45" s="62"/>
      <c r="AV45" s="62"/>
      <c r="AW45" s="62"/>
    </row>
    <row r="46" spans="1:49" ht="22.15" hidden="1" customHeight="1">
      <c r="A46"/>
      <c r="B46" s="6" t="s">
        <v>53</v>
      </c>
      <c r="C46" s="21" t="s">
        <v>8</v>
      </c>
      <c r="D46" s="22">
        <v>620</v>
      </c>
      <c r="E46" s="25"/>
      <c r="F46" s="25"/>
      <c r="G46" s="7" t="str">
        <f t="shared" si="8"/>
        <v/>
      </c>
      <c r="H46" s="7">
        <f t="shared" si="9"/>
        <v>-45999</v>
      </c>
      <c r="I46" s="21" t="s">
        <v>8</v>
      </c>
      <c r="J46" s="24">
        <v>620</v>
      </c>
      <c r="K46" s="25"/>
      <c r="L46" s="25"/>
      <c r="M46" s="7" t="str">
        <f t="shared" si="10"/>
        <v/>
      </c>
      <c r="N46" s="7">
        <f t="shared" si="11"/>
        <v>-45999</v>
      </c>
      <c r="O46" s="21" t="s">
        <v>8</v>
      </c>
      <c r="P46" s="24">
        <v>620</v>
      </c>
      <c r="Q46" s="25"/>
      <c r="R46" s="25"/>
      <c r="S46" s="7" t="str">
        <f t="shared" si="12"/>
        <v/>
      </c>
      <c r="T46" s="7">
        <f t="shared" si="13"/>
        <v>-45999</v>
      </c>
      <c r="U46" s="19"/>
      <c r="V46" s="21" t="s">
        <v>8</v>
      </c>
      <c r="W46" s="24">
        <v>620</v>
      </c>
      <c r="X46" s="25"/>
      <c r="Y46" s="25"/>
      <c r="Z46" s="7" t="str">
        <f t="shared" si="14"/>
        <v/>
      </c>
      <c r="AA46" s="7"/>
      <c r="AB46" s="19"/>
      <c r="AC46" s="20"/>
      <c r="AD46" s="21" t="s">
        <v>8</v>
      </c>
      <c r="AE46" s="24">
        <v>620</v>
      </c>
      <c r="AF46" s="25"/>
      <c r="AG46" s="25"/>
      <c r="AH46" s="7" t="str">
        <f t="shared" si="15"/>
        <v/>
      </c>
      <c r="AI46" s="7"/>
      <c r="AJ46" s="19"/>
      <c r="AK46" s="20"/>
      <c r="AL46" s="62"/>
      <c r="AM46" s="62"/>
      <c r="AN46" s="62"/>
      <c r="AO46" s="62"/>
      <c r="AP46" s="62"/>
      <c r="AQ46" s="62"/>
      <c r="AR46" s="62"/>
      <c r="AS46" s="62"/>
      <c r="AT46" s="62"/>
      <c r="AU46" s="62"/>
      <c r="AV46" s="62"/>
      <c r="AW46" s="62"/>
    </row>
    <row r="47" spans="1:49" ht="22.15" hidden="1" customHeight="1">
      <c r="A47"/>
      <c r="B47" s="6" t="s">
        <v>54</v>
      </c>
      <c r="C47" s="21" t="s">
        <v>8</v>
      </c>
      <c r="D47" s="26">
        <v>1484</v>
      </c>
      <c r="E47" s="25"/>
      <c r="F47" s="25"/>
      <c r="G47" s="7" t="str">
        <f t="shared" si="8"/>
        <v/>
      </c>
      <c r="H47" s="7">
        <f t="shared" si="9"/>
        <v>-45999</v>
      </c>
      <c r="I47" s="21" t="s">
        <v>8</v>
      </c>
      <c r="J47" s="24">
        <v>1484</v>
      </c>
      <c r="K47" s="25"/>
      <c r="L47" s="25"/>
      <c r="M47" s="7" t="str">
        <f t="shared" si="10"/>
        <v/>
      </c>
      <c r="N47" s="7">
        <f t="shared" si="11"/>
        <v>-45999</v>
      </c>
      <c r="O47" s="21" t="s">
        <v>8</v>
      </c>
      <c r="P47" s="24">
        <v>1484</v>
      </c>
      <c r="Q47" s="25"/>
      <c r="R47" s="25"/>
      <c r="S47" s="7" t="str">
        <f t="shared" si="12"/>
        <v/>
      </c>
      <c r="T47" s="7">
        <f t="shared" si="13"/>
        <v>-45999</v>
      </c>
      <c r="U47" s="19"/>
      <c r="V47" s="21" t="s">
        <v>8</v>
      </c>
      <c r="W47" s="24">
        <v>1484</v>
      </c>
      <c r="X47" s="25"/>
      <c r="Y47" s="25"/>
      <c r="Z47" s="7" t="str">
        <f t="shared" si="14"/>
        <v/>
      </c>
      <c r="AA47" s="7"/>
      <c r="AB47" s="19"/>
      <c r="AC47" s="20"/>
      <c r="AD47" s="21" t="s">
        <v>8</v>
      </c>
      <c r="AE47" s="24">
        <v>1484</v>
      </c>
      <c r="AF47" s="25"/>
      <c r="AG47" s="25"/>
      <c r="AH47" s="7" t="str">
        <f t="shared" si="15"/>
        <v/>
      </c>
      <c r="AI47" s="7"/>
      <c r="AJ47" s="19"/>
      <c r="AK47" s="20"/>
      <c r="AL47" s="62"/>
      <c r="AM47" s="62"/>
      <c r="AN47" s="62"/>
      <c r="AO47" s="62"/>
      <c r="AP47" s="62"/>
      <c r="AQ47" s="62"/>
      <c r="AR47" s="62"/>
      <c r="AS47" s="62"/>
      <c r="AT47" s="62"/>
      <c r="AU47" s="62"/>
      <c r="AV47" s="62"/>
      <c r="AW47" s="62"/>
    </row>
    <row r="48" spans="1:49" ht="22.15" hidden="1" customHeight="1">
      <c r="A48"/>
      <c r="B48" s="6" t="s">
        <v>55</v>
      </c>
      <c r="C48" s="21" t="s">
        <v>8</v>
      </c>
      <c r="D48" s="22">
        <v>644</v>
      </c>
      <c r="E48" s="25"/>
      <c r="F48" s="25"/>
      <c r="G48" s="7" t="str">
        <f t="shared" si="8"/>
        <v/>
      </c>
      <c r="H48" s="7">
        <f t="shared" si="9"/>
        <v>-45999</v>
      </c>
      <c r="I48" s="21" t="s">
        <v>8</v>
      </c>
      <c r="J48" s="24">
        <v>644</v>
      </c>
      <c r="K48" s="25"/>
      <c r="L48" s="25"/>
      <c r="M48" s="7" t="str">
        <f t="shared" si="10"/>
        <v/>
      </c>
      <c r="N48" s="7">
        <f t="shared" si="11"/>
        <v>-45999</v>
      </c>
      <c r="O48" s="21" t="s">
        <v>8</v>
      </c>
      <c r="P48" s="24">
        <v>644</v>
      </c>
      <c r="Q48" s="25"/>
      <c r="R48" s="25"/>
      <c r="S48" s="7" t="str">
        <f t="shared" si="12"/>
        <v/>
      </c>
      <c r="T48" s="7">
        <f t="shared" si="13"/>
        <v>-45999</v>
      </c>
      <c r="U48" s="19"/>
      <c r="V48" s="21" t="s">
        <v>8</v>
      </c>
      <c r="W48" s="24">
        <v>644</v>
      </c>
      <c r="X48" s="25"/>
      <c r="Y48" s="25"/>
      <c r="Z48" s="7" t="str">
        <f t="shared" si="14"/>
        <v/>
      </c>
      <c r="AA48" s="7"/>
      <c r="AB48" s="19"/>
      <c r="AC48" s="20"/>
      <c r="AD48" s="21" t="s">
        <v>8</v>
      </c>
      <c r="AE48" s="24">
        <v>644</v>
      </c>
      <c r="AF48" s="25"/>
      <c r="AG48" s="25"/>
      <c r="AH48" s="7" t="str">
        <f t="shared" si="15"/>
        <v/>
      </c>
      <c r="AI48" s="7"/>
      <c r="AJ48" s="19"/>
      <c r="AK48" s="20"/>
      <c r="AL48" s="62"/>
      <c r="AM48" s="62"/>
      <c r="AN48" s="62"/>
      <c r="AO48" s="62"/>
      <c r="AP48" s="62"/>
      <c r="AQ48" s="62"/>
      <c r="AR48" s="62"/>
      <c r="AS48" s="62"/>
      <c r="AT48" s="62"/>
      <c r="AU48" s="62"/>
      <c r="AV48" s="62"/>
      <c r="AW48" s="62"/>
    </row>
    <row r="49" spans="1:49" ht="22.15" hidden="1" customHeight="1">
      <c r="A49"/>
      <c r="B49" s="6" t="s">
        <v>56</v>
      </c>
      <c r="C49" s="21" t="s">
        <v>8</v>
      </c>
      <c r="D49" s="22">
        <v>716</v>
      </c>
      <c r="E49" s="25"/>
      <c r="F49" s="25"/>
      <c r="G49" s="7" t="str">
        <f t="shared" si="8"/>
        <v/>
      </c>
      <c r="H49" s="7">
        <f t="shared" si="9"/>
        <v>-45999</v>
      </c>
      <c r="I49" s="21" t="s">
        <v>8</v>
      </c>
      <c r="J49" s="24">
        <v>716</v>
      </c>
      <c r="K49" s="25"/>
      <c r="L49" s="25"/>
      <c r="M49" s="7" t="str">
        <f t="shared" si="10"/>
        <v/>
      </c>
      <c r="N49" s="7">
        <f t="shared" si="11"/>
        <v>-45999</v>
      </c>
      <c r="O49" s="21" t="s">
        <v>8</v>
      </c>
      <c r="P49" s="24">
        <v>716</v>
      </c>
      <c r="Q49" s="25"/>
      <c r="R49" s="25"/>
      <c r="S49" s="7" t="str">
        <f t="shared" si="12"/>
        <v/>
      </c>
      <c r="T49" s="7">
        <f t="shared" si="13"/>
        <v>-45999</v>
      </c>
      <c r="U49" s="19"/>
      <c r="V49" s="21" t="s">
        <v>8</v>
      </c>
      <c r="W49" s="24">
        <v>716</v>
      </c>
      <c r="X49" s="25"/>
      <c r="Y49" s="25"/>
      <c r="Z49" s="7" t="str">
        <f t="shared" si="14"/>
        <v/>
      </c>
      <c r="AA49" s="7"/>
      <c r="AB49" s="19"/>
      <c r="AC49" s="20"/>
      <c r="AD49" s="21" t="s">
        <v>8</v>
      </c>
      <c r="AE49" s="24">
        <v>716</v>
      </c>
      <c r="AF49" s="25"/>
      <c r="AG49" s="25"/>
      <c r="AH49" s="7" t="str">
        <f t="shared" si="15"/>
        <v/>
      </c>
      <c r="AI49" s="7"/>
      <c r="AJ49" s="19"/>
      <c r="AK49" s="20"/>
      <c r="AL49" s="62"/>
      <c r="AM49" s="62"/>
      <c r="AN49" s="62"/>
      <c r="AO49" s="62"/>
      <c r="AP49" s="62"/>
      <c r="AQ49" s="62"/>
      <c r="AR49" s="62"/>
      <c r="AS49" s="62"/>
      <c r="AT49" s="62"/>
      <c r="AU49" s="62"/>
      <c r="AV49" s="62"/>
      <c r="AW49" s="62"/>
    </row>
    <row r="50" spans="1:49" ht="22.15" hidden="1" customHeight="1">
      <c r="A50"/>
      <c r="B50" s="6" t="s">
        <v>57</v>
      </c>
      <c r="C50" s="21" t="s">
        <v>8</v>
      </c>
      <c r="D50" s="22">
        <v>500</v>
      </c>
      <c r="E50" s="25"/>
      <c r="F50" s="25"/>
      <c r="G50" s="7" t="str">
        <f t="shared" si="8"/>
        <v/>
      </c>
      <c r="H50" s="7">
        <f t="shared" si="9"/>
        <v>-45999</v>
      </c>
      <c r="I50" s="21" t="s">
        <v>8</v>
      </c>
      <c r="J50" s="24">
        <v>500</v>
      </c>
      <c r="K50" s="25"/>
      <c r="L50" s="25"/>
      <c r="M50" s="7" t="str">
        <f t="shared" si="10"/>
        <v/>
      </c>
      <c r="N50" s="7">
        <f t="shared" si="11"/>
        <v>-45999</v>
      </c>
      <c r="O50" s="21" t="s">
        <v>8</v>
      </c>
      <c r="P50" s="24">
        <v>500</v>
      </c>
      <c r="Q50" s="25"/>
      <c r="R50" s="25"/>
      <c r="S50" s="7" t="str">
        <f t="shared" si="12"/>
        <v/>
      </c>
      <c r="T50" s="7">
        <f t="shared" si="13"/>
        <v>-45999</v>
      </c>
      <c r="U50" s="19"/>
      <c r="V50" s="21" t="s">
        <v>8</v>
      </c>
      <c r="W50" s="24">
        <v>500</v>
      </c>
      <c r="X50" s="25"/>
      <c r="Y50" s="25"/>
      <c r="Z50" s="7" t="str">
        <f t="shared" si="14"/>
        <v/>
      </c>
      <c r="AA50" s="7"/>
      <c r="AB50" s="19"/>
      <c r="AC50" s="20"/>
      <c r="AD50" s="21" t="s">
        <v>8</v>
      </c>
      <c r="AE50" s="24">
        <v>500</v>
      </c>
      <c r="AF50" s="25"/>
      <c r="AG50" s="25"/>
      <c r="AH50" s="7" t="str">
        <f t="shared" si="15"/>
        <v/>
      </c>
      <c r="AI50" s="7"/>
      <c r="AJ50" s="19"/>
      <c r="AK50" s="20"/>
      <c r="AL50" s="62"/>
      <c r="AM50" s="62"/>
      <c r="AN50" s="62"/>
      <c r="AO50" s="62"/>
      <c r="AP50" s="62"/>
      <c r="AQ50" s="62"/>
      <c r="AR50" s="62"/>
      <c r="AS50" s="62"/>
      <c r="AT50" s="62"/>
      <c r="AU50" s="62"/>
      <c r="AV50" s="62"/>
      <c r="AW50" s="62"/>
    </row>
    <row r="51" spans="1:49" ht="22.15" hidden="1" customHeight="1">
      <c r="A51"/>
      <c r="B51" s="6" t="s">
        <v>58</v>
      </c>
      <c r="C51" s="21" t="s">
        <v>8</v>
      </c>
      <c r="D51" s="22">
        <v>956</v>
      </c>
      <c r="E51" s="25"/>
      <c r="F51" s="25"/>
      <c r="G51" s="7" t="str">
        <f t="shared" si="8"/>
        <v/>
      </c>
      <c r="H51" s="7">
        <f t="shared" si="9"/>
        <v>-45999</v>
      </c>
      <c r="I51" s="21" t="s">
        <v>8</v>
      </c>
      <c r="J51" s="24">
        <v>956</v>
      </c>
      <c r="K51" s="25"/>
      <c r="L51" s="25"/>
      <c r="M51" s="7" t="str">
        <f t="shared" si="10"/>
        <v/>
      </c>
      <c r="N51" s="7">
        <f t="shared" si="11"/>
        <v>-45999</v>
      </c>
      <c r="O51" s="21" t="s">
        <v>8</v>
      </c>
      <c r="P51" s="24">
        <v>956</v>
      </c>
      <c r="Q51" s="25"/>
      <c r="R51" s="25"/>
      <c r="S51" s="7" t="str">
        <f t="shared" si="12"/>
        <v/>
      </c>
      <c r="T51" s="7">
        <f t="shared" si="13"/>
        <v>-45999</v>
      </c>
      <c r="U51" s="19"/>
      <c r="V51" s="21" t="s">
        <v>8</v>
      </c>
      <c r="W51" s="24">
        <v>956</v>
      </c>
      <c r="X51" s="25"/>
      <c r="Y51" s="25"/>
      <c r="Z51" s="7" t="str">
        <f t="shared" si="14"/>
        <v/>
      </c>
      <c r="AA51" s="7"/>
      <c r="AB51" s="19"/>
      <c r="AC51" s="20"/>
      <c r="AD51" s="21" t="s">
        <v>8</v>
      </c>
      <c r="AE51" s="24">
        <v>956</v>
      </c>
      <c r="AF51" s="25"/>
      <c r="AG51" s="25"/>
      <c r="AH51" s="7" t="str">
        <f t="shared" si="15"/>
        <v/>
      </c>
      <c r="AI51" s="7"/>
      <c r="AJ51" s="19"/>
      <c r="AK51" s="20"/>
      <c r="AL51" s="62"/>
      <c r="AM51" s="62"/>
      <c r="AN51" s="62"/>
      <c r="AO51" s="62"/>
      <c r="AP51" s="62"/>
      <c r="AQ51" s="62"/>
      <c r="AR51" s="62"/>
      <c r="AS51" s="62"/>
      <c r="AT51" s="62"/>
      <c r="AU51" s="62"/>
      <c r="AV51" s="62"/>
      <c r="AW51" s="62"/>
    </row>
    <row r="52" spans="1:49" ht="22.15" hidden="1" customHeight="1">
      <c r="A52"/>
      <c r="B52" s="6" t="s">
        <v>59</v>
      </c>
      <c r="C52" s="21" t="s">
        <v>8</v>
      </c>
      <c r="D52" s="26">
        <v>2012</v>
      </c>
      <c r="E52" s="25"/>
      <c r="F52" s="25"/>
      <c r="G52" s="7" t="str">
        <f t="shared" si="8"/>
        <v/>
      </c>
      <c r="H52" s="7">
        <f t="shared" si="9"/>
        <v>-45999</v>
      </c>
      <c r="I52" s="21" t="s">
        <v>8</v>
      </c>
      <c r="J52" s="24">
        <v>2012</v>
      </c>
      <c r="K52" s="25"/>
      <c r="L52" s="25"/>
      <c r="M52" s="7" t="str">
        <f t="shared" si="10"/>
        <v/>
      </c>
      <c r="N52" s="7">
        <f t="shared" si="11"/>
        <v>-45999</v>
      </c>
      <c r="O52" s="21" t="s">
        <v>8</v>
      </c>
      <c r="P52" s="24">
        <v>2012</v>
      </c>
      <c r="Q52" s="25"/>
      <c r="R52" s="25"/>
      <c r="S52" s="7" t="str">
        <f t="shared" si="12"/>
        <v/>
      </c>
      <c r="T52" s="7">
        <f t="shared" si="13"/>
        <v>-45999</v>
      </c>
      <c r="U52" s="19"/>
      <c r="V52" s="21" t="s">
        <v>8</v>
      </c>
      <c r="W52" s="24">
        <v>2012</v>
      </c>
      <c r="X52" s="25"/>
      <c r="Y52" s="25"/>
      <c r="Z52" s="7" t="str">
        <f t="shared" si="14"/>
        <v/>
      </c>
      <c r="AA52" s="7"/>
      <c r="AB52" s="19"/>
      <c r="AC52" s="20"/>
      <c r="AD52" s="21" t="s">
        <v>8</v>
      </c>
      <c r="AE52" s="24">
        <v>2012</v>
      </c>
      <c r="AF52" s="25"/>
      <c r="AG52" s="25"/>
      <c r="AH52" s="7" t="str">
        <f t="shared" si="15"/>
        <v/>
      </c>
      <c r="AI52" s="7"/>
      <c r="AJ52" s="19"/>
      <c r="AK52" s="20"/>
      <c r="AL52" s="62"/>
      <c r="AM52" s="62"/>
      <c r="AN52" s="62"/>
      <c r="AO52" s="62"/>
      <c r="AP52" s="62"/>
      <c r="AQ52" s="62"/>
      <c r="AR52" s="62"/>
      <c r="AS52" s="62"/>
      <c r="AT52" s="62"/>
      <c r="AU52" s="62"/>
      <c r="AV52" s="62"/>
      <c r="AW52" s="62"/>
    </row>
    <row r="53" spans="1:49" ht="22.15" hidden="1" customHeight="1">
      <c r="A53"/>
      <c r="B53" s="6" t="s">
        <v>60</v>
      </c>
      <c r="C53" s="21" t="s">
        <v>8</v>
      </c>
      <c r="D53" s="22">
        <v>740</v>
      </c>
      <c r="E53" s="25"/>
      <c r="F53" s="25"/>
      <c r="G53" s="7" t="str">
        <f t="shared" si="8"/>
        <v/>
      </c>
      <c r="H53" s="7">
        <f t="shared" si="9"/>
        <v>-45999</v>
      </c>
      <c r="I53" s="21" t="s">
        <v>8</v>
      </c>
      <c r="J53" s="24">
        <v>740</v>
      </c>
      <c r="K53" s="25"/>
      <c r="L53" s="25"/>
      <c r="M53" s="7" t="str">
        <f t="shared" si="10"/>
        <v/>
      </c>
      <c r="N53" s="7">
        <f t="shared" si="11"/>
        <v>-45999</v>
      </c>
      <c r="O53" s="21" t="s">
        <v>8</v>
      </c>
      <c r="P53" s="24">
        <v>740</v>
      </c>
      <c r="Q53" s="25"/>
      <c r="R53" s="25"/>
      <c r="S53" s="7" t="str">
        <f t="shared" si="12"/>
        <v/>
      </c>
      <c r="T53" s="7">
        <f t="shared" si="13"/>
        <v>-45999</v>
      </c>
      <c r="U53" s="19"/>
      <c r="V53" s="21" t="s">
        <v>8</v>
      </c>
      <c r="W53" s="24">
        <v>740</v>
      </c>
      <c r="X53" s="25"/>
      <c r="Y53" s="25"/>
      <c r="Z53" s="7" t="str">
        <f t="shared" si="14"/>
        <v/>
      </c>
      <c r="AA53" s="7"/>
      <c r="AB53" s="19"/>
      <c r="AC53" s="20"/>
      <c r="AD53" s="21" t="s">
        <v>8</v>
      </c>
      <c r="AE53" s="24">
        <v>740</v>
      </c>
      <c r="AF53" s="25"/>
      <c r="AG53" s="25"/>
      <c r="AH53" s="7" t="str">
        <f t="shared" si="15"/>
        <v/>
      </c>
      <c r="AI53" s="7"/>
      <c r="AJ53" s="19"/>
      <c r="AK53" s="20"/>
      <c r="AL53" s="62"/>
      <c r="AM53" s="62"/>
      <c r="AN53" s="62"/>
      <c r="AO53" s="62"/>
      <c r="AP53" s="62"/>
      <c r="AQ53" s="62"/>
      <c r="AR53" s="62"/>
      <c r="AS53" s="62"/>
      <c r="AT53" s="62"/>
      <c r="AU53" s="62"/>
      <c r="AV53" s="62"/>
      <c r="AW53" s="62"/>
    </row>
    <row r="54" spans="1:49" ht="22.15" hidden="1" customHeight="1">
      <c r="A54"/>
      <c r="B54" s="6" t="s">
        <v>61</v>
      </c>
      <c r="C54" s="21" t="s">
        <v>8</v>
      </c>
      <c r="D54" s="22">
        <v>92</v>
      </c>
      <c r="E54" s="25"/>
      <c r="F54" s="25"/>
      <c r="G54" s="7" t="str">
        <f t="shared" si="8"/>
        <v/>
      </c>
      <c r="H54" s="7">
        <f t="shared" si="9"/>
        <v>-45999</v>
      </c>
      <c r="I54" s="21" t="s">
        <v>8</v>
      </c>
      <c r="J54" s="24">
        <v>92</v>
      </c>
      <c r="K54" s="25"/>
      <c r="L54" s="25"/>
      <c r="M54" s="7" t="str">
        <f t="shared" si="10"/>
        <v/>
      </c>
      <c r="N54" s="7">
        <f t="shared" si="11"/>
        <v>-45999</v>
      </c>
      <c r="O54" s="21" t="s">
        <v>8</v>
      </c>
      <c r="P54" s="24">
        <v>92</v>
      </c>
      <c r="Q54" s="25"/>
      <c r="R54" s="25"/>
      <c r="S54" s="7" t="str">
        <f t="shared" si="12"/>
        <v/>
      </c>
      <c r="T54" s="7">
        <f t="shared" si="13"/>
        <v>-45999</v>
      </c>
      <c r="U54" s="19"/>
      <c r="V54" s="21" t="s">
        <v>8</v>
      </c>
      <c r="W54" s="24">
        <v>92</v>
      </c>
      <c r="X54" s="25"/>
      <c r="Y54" s="25"/>
      <c r="Z54" s="7" t="str">
        <f t="shared" si="14"/>
        <v/>
      </c>
      <c r="AA54" s="7"/>
      <c r="AB54" s="19"/>
      <c r="AC54" s="20"/>
      <c r="AD54" s="21" t="s">
        <v>8</v>
      </c>
      <c r="AE54" s="24">
        <v>92</v>
      </c>
      <c r="AF54" s="25"/>
      <c r="AG54" s="25"/>
      <c r="AH54" s="7" t="str">
        <f t="shared" si="15"/>
        <v/>
      </c>
      <c r="AI54" s="7"/>
      <c r="AJ54" s="19"/>
      <c r="AK54" s="20"/>
      <c r="AL54" s="62"/>
      <c r="AM54" s="62"/>
      <c r="AN54" s="62"/>
      <c r="AO54" s="62"/>
      <c r="AP54" s="62"/>
      <c r="AQ54" s="62"/>
      <c r="AR54" s="62"/>
      <c r="AS54" s="62"/>
      <c r="AT54" s="62"/>
      <c r="AU54" s="62"/>
      <c r="AV54" s="62"/>
      <c r="AW54" s="62"/>
    </row>
    <row r="55" spans="1:49" ht="22.15" hidden="1" customHeight="1">
      <c r="A55"/>
      <c r="B55" s="6" t="s">
        <v>62</v>
      </c>
      <c r="C55" s="21" t="s">
        <v>8</v>
      </c>
      <c r="D55" s="22">
        <v>636</v>
      </c>
      <c r="E55" s="25"/>
      <c r="F55" s="25"/>
      <c r="G55" s="7" t="str">
        <f t="shared" si="8"/>
        <v/>
      </c>
      <c r="H55" s="7">
        <f t="shared" si="9"/>
        <v>-45999</v>
      </c>
      <c r="I55" s="21" t="s">
        <v>8</v>
      </c>
      <c r="J55" s="24">
        <v>636</v>
      </c>
      <c r="K55" s="25"/>
      <c r="L55" s="25"/>
      <c r="M55" s="7" t="str">
        <f t="shared" si="10"/>
        <v/>
      </c>
      <c r="N55" s="7">
        <f t="shared" si="11"/>
        <v>-45999</v>
      </c>
      <c r="O55" s="21" t="s">
        <v>8</v>
      </c>
      <c r="P55" s="24">
        <v>636</v>
      </c>
      <c r="Q55" s="25"/>
      <c r="R55" s="25"/>
      <c r="S55" s="7" t="str">
        <f t="shared" si="12"/>
        <v/>
      </c>
      <c r="T55" s="7">
        <f t="shared" si="13"/>
        <v>-45999</v>
      </c>
      <c r="U55" s="19"/>
      <c r="V55" s="21" t="s">
        <v>8</v>
      </c>
      <c r="W55" s="24">
        <v>636</v>
      </c>
      <c r="X55" s="25"/>
      <c r="Y55" s="25"/>
      <c r="Z55" s="7" t="str">
        <f t="shared" si="14"/>
        <v/>
      </c>
      <c r="AA55" s="7"/>
      <c r="AB55" s="19"/>
      <c r="AC55" s="20"/>
      <c r="AD55" s="21" t="s">
        <v>8</v>
      </c>
      <c r="AE55" s="24">
        <v>636</v>
      </c>
      <c r="AF55" s="25"/>
      <c r="AG55" s="25"/>
      <c r="AH55" s="7" t="str">
        <f t="shared" si="15"/>
        <v/>
      </c>
      <c r="AI55" s="7"/>
      <c r="AJ55" s="19"/>
      <c r="AK55" s="20"/>
      <c r="AL55" s="62"/>
      <c r="AM55" s="62"/>
      <c r="AN55" s="62"/>
      <c r="AO55" s="62"/>
      <c r="AP55" s="62"/>
      <c r="AQ55" s="62"/>
      <c r="AR55" s="62"/>
      <c r="AS55" s="62"/>
      <c r="AT55" s="62"/>
      <c r="AU55" s="62"/>
      <c r="AV55" s="62"/>
      <c r="AW55" s="62"/>
    </row>
    <row r="56" spans="1:49" ht="22.15" hidden="1" customHeight="1">
      <c r="A56"/>
      <c r="B56" s="6" t="s">
        <v>63</v>
      </c>
      <c r="C56" s="21" t="s">
        <v>8</v>
      </c>
      <c r="D56" s="22">
        <v>636</v>
      </c>
      <c r="E56" s="25"/>
      <c r="F56" s="25"/>
      <c r="G56" s="7" t="str">
        <f t="shared" si="8"/>
        <v/>
      </c>
      <c r="H56" s="7">
        <f t="shared" si="9"/>
        <v>-45999</v>
      </c>
      <c r="I56" s="21" t="s">
        <v>8</v>
      </c>
      <c r="J56" s="24">
        <v>636</v>
      </c>
      <c r="K56" s="25"/>
      <c r="L56" s="25"/>
      <c r="M56" s="7" t="str">
        <f t="shared" si="10"/>
        <v/>
      </c>
      <c r="N56" s="7">
        <f t="shared" si="11"/>
        <v>-45999</v>
      </c>
      <c r="O56" s="21" t="s">
        <v>8</v>
      </c>
      <c r="P56" s="24">
        <v>636</v>
      </c>
      <c r="Q56" s="25"/>
      <c r="R56" s="25"/>
      <c r="S56" s="7" t="str">
        <f t="shared" si="12"/>
        <v/>
      </c>
      <c r="T56" s="7">
        <f t="shared" si="13"/>
        <v>-45999</v>
      </c>
      <c r="U56" s="19"/>
      <c r="V56" s="21" t="s">
        <v>8</v>
      </c>
      <c r="W56" s="24">
        <v>636</v>
      </c>
      <c r="X56" s="25"/>
      <c r="Y56" s="25"/>
      <c r="Z56" s="7" t="str">
        <f t="shared" si="14"/>
        <v/>
      </c>
      <c r="AA56" s="7"/>
      <c r="AB56" s="19"/>
      <c r="AC56" s="20"/>
      <c r="AD56" s="21" t="s">
        <v>8</v>
      </c>
      <c r="AE56" s="24">
        <v>636</v>
      </c>
      <c r="AF56" s="25"/>
      <c r="AG56" s="25"/>
      <c r="AH56" s="7" t="str">
        <f t="shared" si="15"/>
        <v/>
      </c>
      <c r="AI56" s="7"/>
      <c r="AJ56" s="19"/>
      <c r="AK56" s="20"/>
      <c r="AL56" s="62"/>
      <c r="AM56" s="62"/>
      <c r="AN56" s="62"/>
      <c r="AO56" s="62"/>
      <c r="AP56" s="62"/>
      <c r="AQ56" s="62"/>
      <c r="AR56" s="62"/>
      <c r="AS56" s="62"/>
      <c r="AT56" s="62"/>
      <c r="AU56" s="62"/>
      <c r="AV56" s="62"/>
      <c r="AW56" s="62"/>
    </row>
    <row r="57" spans="1:49" ht="22.15" hidden="1" customHeight="1">
      <c r="A57"/>
      <c r="B57" s="6" t="s">
        <v>64</v>
      </c>
      <c r="C57" s="21" t="s">
        <v>8</v>
      </c>
      <c r="D57" s="22">
        <v>620</v>
      </c>
      <c r="E57" s="25"/>
      <c r="F57" s="25"/>
      <c r="G57" s="7" t="str">
        <f t="shared" si="8"/>
        <v/>
      </c>
      <c r="H57" s="7">
        <f t="shared" si="9"/>
        <v>-45999</v>
      </c>
      <c r="I57" s="21" t="s">
        <v>8</v>
      </c>
      <c r="J57" s="24">
        <v>620</v>
      </c>
      <c r="K57" s="25"/>
      <c r="L57" s="25"/>
      <c r="M57" s="7" t="str">
        <f t="shared" si="10"/>
        <v/>
      </c>
      <c r="N57" s="7">
        <f t="shared" si="11"/>
        <v>-45999</v>
      </c>
      <c r="O57" s="21" t="s">
        <v>8</v>
      </c>
      <c r="P57" s="24">
        <v>620</v>
      </c>
      <c r="Q57" s="25"/>
      <c r="R57" s="25"/>
      <c r="S57" s="7" t="str">
        <f t="shared" si="12"/>
        <v/>
      </c>
      <c r="T57" s="7">
        <f t="shared" si="13"/>
        <v>-45999</v>
      </c>
      <c r="U57" s="19"/>
      <c r="V57" s="21" t="s">
        <v>8</v>
      </c>
      <c r="W57" s="24">
        <v>620</v>
      </c>
      <c r="X57" s="25"/>
      <c r="Y57" s="25"/>
      <c r="Z57" s="7" t="str">
        <f t="shared" si="14"/>
        <v/>
      </c>
      <c r="AA57" s="7"/>
      <c r="AB57" s="19"/>
      <c r="AC57" s="20"/>
      <c r="AD57" s="21" t="s">
        <v>8</v>
      </c>
      <c r="AE57" s="24">
        <v>620</v>
      </c>
      <c r="AF57" s="25"/>
      <c r="AG57" s="25"/>
      <c r="AH57" s="7" t="str">
        <f t="shared" si="15"/>
        <v/>
      </c>
      <c r="AI57" s="7"/>
      <c r="AJ57" s="19"/>
      <c r="AK57" s="20"/>
      <c r="AL57" s="62"/>
      <c r="AM57" s="62"/>
      <c r="AN57" s="62"/>
      <c r="AO57" s="62"/>
      <c r="AP57" s="62"/>
      <c r="AQ57" s="62"/>
      <c r="AR57" s="62"/>
      <c r="AS57" s="62"/>
      <c r="AT57" s="62"/>
      <c r="AU57" s="62"/>
      <c r="AV57" s="62"/>
      <c r="AW57" s="62"/>
    </row>
    <row r="58" spans="1:49" ht="22.15" hidden="1" customHeight="1">
      <c r="A58"/>
      <c r="B58" s="6" t="s">
        <v>65</v>
      </c>
      <c r="C58" s="21" t="s">
        <v>8</v>
      </c>
      <c r="D58" s="22">
        <v>636</v>
      </c>
      <c r="E58" s="25"/>
      <c r="F58" s="25"/>
      <c r="G58" s="7" t="str">
        <f t="shared" si="8"/>
        <v/>
      </c>
      <c r="H58" s="7">
        <f t="shared" si="9"/>
        <v>-45999</v>
      </c>
      <c r="I58" s="21" t="s">
        <v>8</v>
      </c>
      <c r="J58" s="24">
        <v>636</v>
      </c>
      <c r="K58" s="25"/>
      <c r="L58" s="25"/>
      <c r="M58" s="7" t="str">
        <f t="shared" si="10"/>
        <v/>
      </c>
      <c r="N58" s="7">
        <f t="shared" si="11"/>
        <v>-45999</v>
      </c>
      <c r="O58" s="21" t="s">
        <v>8</v>
      </c>
      <c r="P58" s="24">
        <v>636</v>
      </c>
      <c r="Q58" s="25"/>
      <c r="R58" s="25"/>
      <c r="S58" s="7" t="str">
        <f t="shared" si="12"/>
        <v/>
      </c>
      <c r="T58" s="7">
        <f t="shared" si="13"/>
        <v>-45999</v>
      </c>
      <c r="U58" s="19"/>
      <c r="V58" s="21" t="s">
        <v>8</v>
      </c>
      <c r="W58" s="24">
        <v>636</v>
      </c>
      <c r="X58" s="25"/>
      <c r="Y58" s="25"/>
      <c r="Z58" s="7" t="str">
        <f t="shared" si="14"/>
        <v/>
      </c>
      <c r="AA58" s="7"/>
      <c r="AB58" s="19"/>
      <c r="AC58" s="20"/>
      <c r="AD58" s="21" t="s">
        <v>8</v>
      </c>
      <c r="AE58" s="24">
        <v>636</v>
      </c>
      <c r="AF58" s="25"/>
      <c r="AG58" s="25"/>
      <c r="AH58" s="7" t="str">
        <f t="shared" si="15"/>
        <v/>
      </c>
      <c r="AI58" s="7"/>
      <c r="AJ58" s="19"/>
      <c r="AK58" s="20"/>
      <c r="AL58" s="62"/>
      <c r="AM58" s="62"/>
      <c r="AN58" s="62"/>
      <c r="AO58" s="62"/>
      <c r="AP58" s="62"/>
      <c r="AQ58" s="62"/>
      <c r="AR58" s="62"/>
      <c r="AS58" s="62"/>
      <c r="AT58" s="62"/>
      <c r="AU58" s="62"/>
      <c r="AV58" s="62"/>
      <c r="AW58" s="62"/>
    </row>
    <row r="59" spans="1:49" ht="22.15" hidden="1" customHeight="1">
      <c r="A59"/>
      <c r="B59" s="6" t="s">
        <v>66</v>
      </c>
      <c r="C59" s="21" t="s">
        <v>8</v>
      </c>
      <c r="D59" s="26">
        <v>3844</v>
      </c>
      <c r="E59" s="25"/>
      <c r="F59" s="25"/>
      <c r="G59" s="7" t="str">
        <f t="shared" si="8"/>
        <v/>
      </c>
      <c r="H59" s="7">
        <f t="shared" si="9"/>
        <v>-45999</v>
      </c>
      <c r="I59" s="21" t="s">
        <v>8</v>
      </c>
      <c r="J59" s="24">
        <v>3844</v>
      </c>
      <c r="K59" s="25"/>
      <c r="L59" s="25"/>
      <c r="M59" s="7" t="str">
        <f t="shared" si="10"/>
        <v/>
      </c>
      <c r="N59" s="7">
        <f t="shared" si="11"/>
        <v>-45999</v>
      </c>
      <c r="O59" s="21" t="s">
        <v>8</v>
      </c>
      <c r="P59" s="24">
        <v>3844</v>
      </c>
      <c r="Q59" s="25"/>
      <c r="R59" s="25"/>
      <c r="S59" s="7" t="str">
        <f t="shared" si="12"/>
        <v/>
      </c>
      <c r="T59" s="7">
        <f t="shared" si="13"/>
        <v>-45999</v>
      </c>
      <c r="U59" s="19"/>
      <c r="V59" s="21" t="s">
        <v>8</v>
      </c>
      <c r="W59" s="24">
        <v>3844</v>
      </c>
      <c r="X59" s="25"/>
      <c r="Y59" s="25"/>
      <c r="Z59" s="7" t="str">
        <f t="shared" si="14"/>
        <v/>
      </c>
      <c r="AA59" s="7"/>
      <c r="AB59" s="19"/>
      <c r="AC59" s="20"/>
      <c r="AD59" s="21" t="s">
        <v>8</v>
      </c>
      <c r="AE59" s="24">
        <v>3844</v>
      </c>
      <c r="AF59" s="25"/>
      <c r="AG59" s="25"/>
      <c r="AH59" s="7" t="str">
        <f t="shared" si="15"/>
        <v/>
      </c>
      <c r="AI59" s="7"/>
      <c r="AJ59" s="19"/>
      <c r="AK59" s="20"/>
      <c r="AL59" s="62"/>
      <c r="AM59" s="62"/>
      <c r="AN59" s="62"/>
      <c r="AO59" s="62"/>
      <c r="AP59" s="62"/>
      <c r="AQ59" s="62"/>
      <c r="AR59" s="62"/>
      <c r="AS59" s="62"/>
      <c r="AT59" s="62"/>
      <c r="AU59" s="62"/>
      <c r="AV59" s="62"/>
      <c r="AW59" s="62"/>
    </row>
    <row r="60" spans="1:49" ht="22.15" hidden="1" customHeight="1">
      <c r="A60"/>
      <c r="B60" s="6" t="s">
        <v>67</v>
      </c>
      <c r="C60" s="21" t="s">
        <v>8</v>
      </c>
      <c r="D60" s="26">
        <v>3244</v>
      </c>
      <c r="E60" s="25"/>
      <c r="F60" s="25"/>
      <c r="G60" s="7" t="str">
        <f t="shared" si="8"/>
        <v/>
      </c>
      <c r="H60" s="7">
        <f t="shared" si="9"/>
        <v>-45999</v>
      </c>
      <c r="I60" s="21" t="s">
        <v>8</v>
      </c>
      <c r="J60" s="24">
        <v>3244</v>
      </c>
      <c r="K60" s="25"/>
      <c r="L60" s="25"/>
      <c r="M60" s="7" t="str">
        <f t="shared" si="10"/>
        <v/>
      </c>
      <c r="N60" s="7">
        <f t="shared" si="11"/>
        <v>-45999</v>
      </c>
      <c r="O60" s="21" t="s">
        <v>8</v>
      </c>
      <c r="P60" s="24">
        <v>3244</v>
      </c>
      <c r="Q60" s="25"/>
      <c r="R60" s="25"/>
      <c r="S60" s="7" t="str">
        <f t="shared" si="12"/>
        <v/>
      </c>
      <c r="T60" s="7">
        <f t="shared" si="13"/>
        <v>-45999</v>
      </c>
      <c r="U60" s="19"/>
      <c r="V60" s="21" t="s">
        <v>8</v>
      </c>
      <c r="W60" s="24">
        <v>3244</v>
      </c>
      <c r="X60" s="25"/>
      <c r="Y60" s="25"/>
      <c r="Z60" s="7" t="str">
        <f t="shared" si="14"/>
        <v/>
      </c>
      <c r="AA60" s="7"/>
      <c r="AB60" s="19"/>
      <c r="AC60" s="20"/>
      <c r="AD60" s="21" t="s">
        <v>8</v>
      </c>
      <c r="AE60" s="24">
        <v>3244</v>
      </c>
      <c r="AF60" s="25"/>
      <c r="AG60" s="25"/>
      <c r="AH60" s="7" t="str">
        <f t="shared" si="15"/>
        <v/>
      </c>
      <c r="AI60" s="7"/>
      <c r="AJ60" s="19"/>
      <c r="AK60" s="20"/>
      <c r="AL60" s="62"/>
      <c r="AM60" s="62"/>
      <c r="AN60" s="62"/>
      <c r="AO60" s="62"/>
      <c r="AP60" s="62"/>
      <c r="AQ60" s="62"/>
      <c r="AR60" s="62"/>
      <c r="AS60" s="62"/>
      <c r="AT60" s="62"/>
      <c r="AU60" s="62"/>
      <c r="AV60" s="62"/>
      <c r="AW60" s="62"/>
    </row>
    <row r="61" spans="1:49" ht="22.15" hidden="1" customHeight="1">
      <c r="A61"/>
      <c r="B61" s="6" t="s">
        <v>68</v>
      </c>
      <c r="C61" s="21" t="s">
        <v>8</v>
      </c>
      <c r="D61" s="26">
        <v>3244</v>
      </c>
      <c r="E61" s="25"/>
      <c r="F61" s="25"/>
      <c r="G61" s="7" t="str">
        <f t="shared" si="8"/>
        <v/>
      </c>
      <c r="H61" s="7">
        <f t="shared" si="9"/>
        <v>-45999</v>
      </c>
      <c r="I61" s="21" t="s">
        <v>8</v>
      </c>
      <c r="J61" s="24">
        <v>3244</v>
      </c>
      <c r="K61" s="25"/>
      <c r="L61" s="25"/>
      <c r="M61" s="7" t="str">
        <f t="shared" si="10"/>
        <v/>
      </c>
      <c r="N61" s="7">
        <f t="shared" si="11"/>
        <v>-45999</v>
      </c>
      <c r="O61" s="21" t="s">
        <v>8</v>
      </c>
      <c r="P61" s="24">
        <v>3244</v>
      </c>
      <c r="Q61" s="25"/>
      <c r="R61" s="25"/>
      <c r="S61" s="7" t="str">
        <f t="shared" si="12"/>
        <v/>
      </c>
      <c r="T61" s="7">
        <f t="shared" si="13"/>
        <v>-45999</v>
      </c>
      <c r="U61" s="19"/>
      <c r="V61" s="21" t="s">
        <v>8</v>
      </c>
      <c r="W61" s="24">
        <v>3244</v>
      </c>
      <c r="X61" s="25"/>
      <c r="Y61" s="25"/>
      <c r="Z61" s="7" t="str">
        <f t="shared" si="14"/>
        <v/>
      </c>
      <c r="AA61" s="7"/>
      <c r="AB61" s="19"/>
      <c r="AC61" s="20"/>
      <c r="AD61" s="21" t="s">
        <v>8</v>
      </c>
      <c r="AE61" s="24">
        <v>3244</v>
      </c>
      <c r="AF61" s="25"/>
      <c r="AG61" s="25"/>
      <c r="AH61" s="7" t="str">
        <f t="shared" si="15"/>
        <v/>
      </c>
      <c r="AI61" s="7"/>
      <c r="AJ61" s="19"/>
      <c r="AK61" s="20"/>
      <c r="AL61" s="62"/>
      <c r="AM61" s="62"/>
      <c r="AN61" s="62"/>
      <c r="AO61" s="62"/>
      <c r="AP61" s="62"/>
      <c r="AQ61" s="62"/>
      <c r="AR61" s="62"/>
      <c r="AS61" s="62"/>
      <c r="AT61" s="62"/>
      <c r="AU61" s="62"/>
      <c r="AV61" s="62"/>
      <c r="AW61" s="62"/>
    </row>
    <row r="62" spans="1:49" ht="22.15" hidden="1" customHeight="1">
      <c r="A62"/>
      <c r="B62" s="6" t="s">
        <v>69</v>
      </c>
      <c r="C62" s="21" t="s">
        <v>8</v>
      </c>
      <c r="D62" s="26">
        <v>3268</v>
      </c>
      <c r="E62" s="25"/>
      <c r="F62" s="25"/>
      <c r="G62" s="7" t="str">
        <f t="shared" si="8"/>
        <v/>
      </c>
      <c r="H62" s="7">
        <f t="shared" si="9"/>
        <v>-45999</v>
      </c>
      <c r="I62" s="21" t="s">
        <v>8</v>
      </c>
      <c r="J62" s="24">
        <v>3268</v>
      </c>
      <c r="K62" s="25"/>
      <c r="L62" s="25"/>
      <c r="M62" s="7" t="str">
        <f t="shared" si="10"/>
        <v/>
      </c>
      <c r="N62" s="7">
        <f t="shared" si="11"/>
        <v>-45999</v>
      </c>
      <c r="O62" s="21" t="s">
        <v>8</v>
      </c>
      <c r="P62" s="24">
        <v>3268</v>
      </c>
      <c r="Q62" s="25"/>
      <c r="R62" s="25"/>
      <c r="S62" s="7" t="str">
        <f t="shared" si="12"/>
        <v/>
      </c>
      <c r="T62" s="7">
        <f t="shared" si="13"/>
        <v>-45999</v>
      </c>
      <c r="U62" s="19"/>
      <c r="V62" s="21" t="s">
        <v>8</v>
      </c>
      <c r="W62" s="24">
        <v>3268</v>
      </c>
      <c r="X62" s="25"/>
      <c r="Y62" s="25"/>
      <c r="Z62" s="7" t="str">
        <f t="shared" si="14"/>
        <v/>
      </c>
      <c r="AA62" s="7"/>
      <c r="AB62" s="19"/>
      <c r="AC62" s="20"/>
      <c r="AD62" s="21" t="s">
        <v>8</v>
      </c>
      <c r="AE62" s="24">
        <v>3268</v>
      </c>
      <c r="AF62" s="25"/>
      <c r="AG62" s="25"/>
      <c r="AH62" s="7" t="str">
        <f t="shared" si="15"/>
        <v/>
      </c>
      <c r="AI62" s="7"/>
      <c r="AJ62" s="19"/>
      <c r="AK62" s="20"/>
      <c r="AL62" s="62"/>
      <c r="AM62" s="62"/>
      <c r="AN62" s="62"/>
      <c r="AO62" s="62"/>
      <c r="AP62" s="62"/>
      <c r="AQ62" s="62"/>
      <c r="AR62" s="62"/>
      <c r="AS62" s="62"/>
      <c r="AT62" s="62"/>
      <c r="AU62" s="62"/>
      <c r="AV62" s="62"/>
      <c r="AW62" s="62"/>
    </row>
    <row r="63" spans="1:49" ht="22.15" hidden="1" customHeight="1">
      <c r="A63"/>
      <c r="B63" s="6" t="s">
        <v>70</v>
      </c>
      <c r="C63" s="21" t="s">
        <v>8</v>
      </c>
      <c r="D63" s="26">
        <v>1608</v>
      </c>
      <c r="E63" s="25"/>
      <c r="F63" s="25"/>
      <c r="G63" s="7" t="str">
        <f t="shared" si="8"/>
        <v/>
      </c>
      <c r="H63" s="7">
        <f t="shared" si="9"/>
        <v>-45999</v>
      </c>
      <c r="I63" s="21" t="s">
        <v>8</v>
      </c>
      <c r="J63" s="24">
        <v>1608</v>
      </c>
      <c r="K63" s="25"/>
      <c r="L63" s="25"/>
      <c r="M63" s="7" t="str">
        <f t="shared" si="10"/>
        <v/>
      </c>
      <c r="N63" s="7">
        <f t="shared" si="11"/>
        <v>-45999</v>
      </c>
      <c r="O63" s="21" t="s">
        <v>8</v>
      </c>
      <c r="P63" s="24">
        <v>1608</v>
      </c>
      <c r="Q63" s="25"/>
      <c r="R63" s="25"/>
      <c r="S63" s="7" t="str">
        <f t="shared" si="12"/>
        <v/>
      </c>
      <c r="T63" s="7">
        <f t="shared" si="13"/>
        <v>-45999</v>
      </c>
      <c r="U63" s="19"/>
      <c r="V63" s="21" t="s">
        <v>8</v>
      </c>
      <c r="W63" s="24">
        <v>1608</v>
      </c>
      <c r="X63" s="25"/>
      <c r="Y63" s="25"/>
      <c r="Z63" s="7" t="str">
        <f t="shared" si="14"/>
        <v/>
      </c>
      <c r="AA63" s="7"/>
      <c r="AB63" s="19"/>
      <c r="AC63" s="20"/>
      <c r="AD63" s="21" t="s">
        <v>8</v>
      </c>
      <c r="AE63" s="24">
        <v>1608</v>
      </c>
      <c r="AF63" s="25"/>
      <c r="AG63" s="25"/>
      <c r="AH63" s="7" t="str">
        <f t="shared" si="15"/>
        <v/>
      </c>
      <c r="AI63" s="7"/>
      <c r="AJ63" s="19"/>
      <c r="AK63" s="20"/>
      <c r="AL63" s="62"/>
      <c r="AM63" s="62"/>
      <c r="AN63" s="62"/>
      <c r="AO63" s="62"/>
      <c r="AP63" s="62"/>
      <c r="AQ63" s="62"/>
      <c r="AR63" s="62"/>
      <c r="AS63" s="62"/>
      <c r="AT63" s="62"/>
      <c r="AU63" s="62"/>
      <c r="AV63" s="62"/>
      <c r="AW63" s="62"/>
    </row>
    <row r="64" spans="1:49" ht="22.15" hidden="1" customHeight="1">
      <c r="A64"/>
      <c r="B64" s="6" t="s">
        <v>71</v>
      </c>
      <c r="C64" s="21" t="s">
        <v>8</v>
      </c>
      <c r="D64" s="26">
        <v>1284</v>
      </c>
      <c r="E64" s="25"/>
      <c r="F64" s="25"/>
      <c r="G64" s="7" t="str">
        <f t="shared" si="8"/>
        <v/>
      </c>
      <c r="H64" s="7">
        <f t="shared" si="9"/>
        <v>-45999</v>
      </c>
      <c r="I64" s="21" t="s">
        <v>8</v>
      </c>
      <c r="J64" s="24">
        <v>1284</v>
      </c>
      <c r="K64" s="25"/>
      <c r="L64" s="25"/>
      <c r="M64" s="7" t="str">
        <f t="shared" si="10"/>
        <v/>
      </c>
      <c r="N64" s="7">
        <f t="shared" si="11"/>
        <v>-45999</v>
      </c>
      <c r="O64" s="21" t="s">
        <v>8</v>
      </c>
      <c r="P64" s="24">
        <v>1284</v>
      </c>
      <c r="Q64" s="25"/>
      <c r="R64" s="25"/>
      <c r="S64" s="7" t="str">
        <f t="shared" si="12"/>
        <v/>
      </c>
      <c r="T64" s="7">
        <f t="shared" si="13"/>
        <v>-45999</v>
      </c>
      <c r="U64" s="19"/>
      <c r="V64" s="21" t="s">
        <v>8</v>
      </c>
      <c r="W64" s="24">
        <v>1284</v>
      </c>
      <c r="X64" s="25"/>
      <c r="Y64" s="25"/>
      <c r="Z64" s="7" t="str">
        <f t="shared" si="14"/>
        <v/>
      </c>
      <c r="AA64" s="7"/>
      <c r="AB64" s="19"/>
      <c r="AC64" s="20"/>
      <c r="AD64" s="21" t="s">
        <v>8</v>
      </c>
      <c r="AE64" s="24">
        <v>1284</v>
      </c>
      <c r="AF64" s="25"/>
      <c r="AG64" s="25"/>
      <c r="AH64" s="7" t="str">
        <f t="shared" si="15"/>
        <v/>
      </c>
      <c r="AI64" s="7"/>
      <c r="AJ64" s="19"/>
      <c r="AK64" s="20"/>
      <c r="AL64" s="62"/>
      <c r="AM64" s="62"/>
      <c r="AN64" s="62"/>
      <c r="AO64" s="62"/>
      <c r="AP64" s="62"/>
      <c r="AQ64" s="62"/>
      <c r="AR64" s="62"/>
      <c r="AS64" s="62"/>
      <c r="AT64" s="62"/>
      <c r="AU64" s="62"/>
      <c r="AV64" s="62"/>
      <c r="AW64" s="62"/>
    </row>
    <row r="65" spans="1:49" ht="22.15" hidden="1" customHeight="1">
      <c r="A65"/>
      <c r="B65" s="6" t="s">
        <v>72</v>
      </c>
      <c r="C65" s="21" t="s">
        <v>8</v>
      </c>
      <c r="D65" s="26">
        <v>1266</v>
      </c>
      <c r="E65" s="25"/>
      <c r="F65" s="25"/>
      <c r="G65" s="7" t="str">
        <f t="shared" si="8"/>
        <v/>
      </c>
      <c r="H65" s="7">
        <f t="shared" si="9"/>
        <v>-45999</v>
      </c>
      <c r="I65" s="21" t="s">
        <v>8</v>
      </c>
      <c r="J65" s="24">
        <v>1266</v>
      </c>
      <c r="K65" s="25"/>
      <c r="L65" s="25"/>
      <c r="M65" s="7" t="str">
        <f t="shared" si="10"/>
        <v/>
      </c>
      <c r="N65" s="7">
        <f t="shared" si="11"/>
        <v>-45999</v>
      </c>
      <c r="O65" s="21" t="s">
        <v>8</v>
      </c>
      <c r="P65" s="24">
        <v>1266</v>
      </c>
      <c r="Q65" s="25"/>
      <c r="R65" s="25"/>
      <c r="S65" s="7" t="str">
        <f t="shared" si="12"/>
        <v/>
      </c>
      <c r="T65" s="7">
        <f t="shared" si="13"/>
        <v>-45999</v>
      </c>
      <c r="U65" s="19"/>
      <c r="V65" s="21" t="s">
        <v>8</v>
      </c>
      <c r="W65" s="24">
        <v>1266</v>
      </c>
      <c r="X65" s="25"/>
      <c r="Y65" s="25"/>
      <c r="Z65" s="7" t="str">
        <f t="shared" si="14"/>
        <v/>
      </c>
      <c r="AA65" s="7"/>
      <c r="AB65" s="19"/>
      <c r="AC65" s="20"/>
      <c r="AD65" s="21" t="s">
        <v>8</v>
      </c>
      <c r="AE65" s="24">
        <v>1266</v>
      </c>
      <c r="AF65" s="25"/>
      <c r="AG65" s="25"/>
      <c r="AH65" s="7" t="str">
        <f t="shared" si="15"/>
        <v/>
      </c>
      <c r="AI65" s="7"/>
      <c r="AJ65" s="19"/>
      <c r="AK65" s="20"/>
      <c r="AL65" s="62"/>
      <c r="AM65" s="62"/>
      <c r="AN65" s="62"/>
      <c r="AO65" s="62"/>
      <c r="AP65" s="62"/>
      <c r="AQ65" s="62"/>
      <c r="AR65" s="62"/>
      <c r="AS65" s="62"/>
      <c r="AT65" s="62"/>
      <c r="AU65" s="62"/>
      <c r="AV65" s="62"/>
      <c r="AW65" s="62"/>
    </row>
    <row r="66" spans="1:49" ht="22.15" hidden="1" customHeight="1">
      <c r="A66"/>
      <c r="B66" s="6" t="s">
        <v>73</v>
      </c>
      <c r="C66" s="21" t="s">
        <v>8</v>
      </c>
      <c r="D66" s="26">
        <v>1278</v>
      </c>
      <c r="E66" s="25"/>
      <c r="F66" s="25"/>
      <c r="G66" s="7" t="str">
        <f t="shared" si="8"/>
        <v/>
      </c>
      <c r="H66" s="7">
        <f t="shared" si="9"/>
        <v>-45999</v>
      </c>
      <c r="I66" s="21" t="s">
        <v>8</v>
      </c>
      <c r="J66" s="24">
        <v>1278</v>
      </c>
      <c r="K66" s="25"/>
      <c r="L66" s="25"/>
      <c r="M66" s="7" t="str">
        <f t="shared" si="10"/>
        <v/>
      </c>
      <c r="N66" s="7">
        <f t="shared" si="11"/>
        <v>-45999</v>
      </c>
      <c r="O66" s="21" t="s">
        <v>8</v>
      </c>
      <c r="P66" s="24">
        <v>1278</v>
      </c>
      <c r="Q66" s="25"/>
      <c r="R66" s="25"/>
      <c r="S66" s="7" t="str">
        <f t="shared" si="12"/>
        <v/>
      </c>
      <c r="T66" s="7">
        <f t="shared" si="13"/>
        <v>-45999</v>
      </c>
      <c r="U66" s="19"/>
      <c r="V66" s="21" t="s">
        <v>8</v>
      </c>
      <c r="W66" s="24">
        <v>1278</v>
      </c>
      <c r="X66" s="25"/>
      <c r="Y66" s="25"/>
      <c r="Z66" s="7" t="str">
        <f t="shared" si="14"/>
        <v/>
      </c>
      <c r="AA66" s="7"/>
      <c r="AB66" s="19"/>
      <c r="AC66" s="20"/>
      <c r="AD66" s="21" t="s">
        <v>8</v>
      </c>
      <c r="AE66" s="24">
        <v>1278</v>
      </c>
      <c r="AF66" s="25"/>
      <c r="AG66" s="25"/>
      <c r="AH66" s="7" t="str">
        <f t="shared" si="15"/>
        <v/>
      </c>
      <c r="AI66" s="7"/>
      <c r="AJ66" s="19"/>
      <c r="AK66" s="20"/>
      <c r="AL66" s="62"/>
      <c r="AM66" s="62"/>
      <c r="AN66" s="62"/>
      <c r="AO66" s="62"/>
      <c r="AP66" s="62"/>
      <c r="AQ66" s="62"/>
      <c r="AR66" s="62"/>
      <c r="AS66" s="62"/>
      <c r="AT66" s="62"/>
      <c r="AU66" s="62"/>
      <c r="AV66" s="62"/>
      <c r="AW66" s="62"/>
    </row>
    <row r="67" spans="1:49" ht="22.15" hidden="1" customHeight="1">
      <c r="A67"/>
      <c r="B67" s="6" t="s">
        <v>74</v>
      </c>
      <c r="C67" s="21" t="s">
        <v>8</v>
      </c>
      <c r="D67" s="22">
        <v>300</v>
      </c>
      <c r="E67" s="25"/>
      <c r="F67" s="25"/>
      <c r="G67" s="7" t="str">
        <f t="shared" si="8"/>
        <v/>
      </c>
      <c r="H67" s="7">
        <f t="shared" si="9"/>
        <v>-45999</v>
      </c>
      <c r="I67" s="21" t="s">
        <v>8</v>
      </c>
      <c r="J67" s="24">
        <v>300</v>
      </c>
      <c r="K67" s="25"/>
      <c r="L67" s="25"/>
      <c r="M67" s="7" t="str">
        <f t="shared" si="10"/>
        <v/>
      </c>
      <c r="N67" s="7">
        <f t="shared" si="11"/>
        <v>-45999</v>
      </c>
      <c r="O67" s="21" t="s">
        <v>8</v>
      </c>
      <c r="P67" s="24">
        <v>300</v>
      </c>
      <c r="Q67" s="25"/>
      <c r="R67" s="25"/>
      <c r="S67" s="7" t="str">
        <f t="shared" si="12"/>
        <v/>
      </c>
      <c r="T67" s="7">
        <f t="shared" si="13"/>
        <v>-45999</v>
      </c>
      <c r="U67" s="19"/>
      <c r="V67" s="21" t="s">
        <v>8</v>
      </c>
      <c r="W67" s="24">
        <v>300</v>
      </c>
      <c r="X67" s="25"/>
      <c r="Y67" s="25"/>
      <c r="Z67" s="7" t="str">
        <f t="shared" si="14"/>
        <v/>
      </c>
      <c r="AA67" s="7"/>
      <c r="AB67" s="19"/>
      <c r="AC67" s="20"/>
      <c r="AD67" s="21" t="s">
        <v>8</v>
      </c>
      <c r="AE67" s="24">
        <v>300</v>
      </c>
      <c r="AF67" s="25"/>
      <c r="AG67" s="25"/>
      <c r="AH67" s="7" t="str">
        <f t="shared" si="15"/>
        <v/>
      </c>
      <c r="AI67" s="7"/>
      <c r="AJ67" s="19"/>
      <c r="AK67" s="20"/>
      <c r="AL67" s="62"/>
      <c r="AM67" s="62"/>
      <c r="AN67" s="62"/>
      <c r="AO67" s="62"/>
      <c r="AP67" s="62"/>
      <c r="AQ67" s="62"/>
      <c r="AR67" s="62"/>
      <c r="AS67" s="62"/>
      <c r="AT67" s="62"/>
      <c r="AU67" s="62"/>
      <c r="AV67" s="62"/>
      <c r="AW67" s="62"/>
    </row>
    <row r="68" spans="1:49" ht="22.15" hidden="1" customHeight="1">
      <c r="A68"/>
      <c r="B68" s="6" t="s">
        <v>75</v>
      </c>
      <c r="C68" s="21" t="s">
        <v>8</v>
      </c>
      <c r="D68" s="22">
        <v>306</v>
      </c>
      <c r="E68" s="25"/>
      <c r="F68" s="25"/>
      <c r="G68" s="7" t="str">
        <f t="shared" si="8"/>
        <v/>
      </c>
      <c r="H68" s="7">
        <f t="shared" si="9"/>
        <v>-45999</v>
      </c>
      <c r="I68" s="21" t="s">
        <v>8</v>
      </c>
      <c r="J68" s="24">
        <v>306</v>
      </c>
      <c r="K68" s="25"/>
      <c r="L68" s="25"/>
      <c r="M68" s="7" t="str">
        <f t="shared" si="10"/>
        <v/>
      </c>
      <c r="N68" s="7">
        <f t="shared" si="11"/>
        <v>-45999</v>
      </c>
      <c r="O68" s="21" t="s">
        <v>8</v>
      </c>
      <c r="P68" s="24">
        <v>306</v>
      </c>
      <c r="Q68" s="25"/>
      <c r="R68" s="25"/>
      <c r="S68" s="7" t="str">
        <f t="shared" si="12"/>
        <v/>
      </c>
      <c r="T68" s="7">
        <f t="shared" si="13"/>
        <v>-45999</v>
      </c>
      <c r="U68" s="19"/>
      <c r="V68" s="21" t="s">
        <v>8</v>
      </c>
      <c r="W68" s="24">
        <v>306</v>
      </c>
      <c r="X68" s="25"/>
      <c r="Y68" s="25"/>
      <c r="Z68" s="7" t="str">
        <f t="shared" si="14"/>
        <v/>
      </c>
      <c r="AA68" s="7"/>
      <c r="AB68" s="19"/>
      <c r="AC68" s="20"/>
      <c r="AD68" s="21" t="s">
        <v>8</v>
      </c>
      <c r="AE68" s="24">
        <v>306</v>
      </c>
      <c r="AF68" s="25"/>
      <c r="AG68" s="25"/>
      <c r="AH68" s="7" t="str">
        <f t="shared" si="15"/>
        <v/>
      </c>
      <c r="AI68" s="7"/>
      <c r="AJ68" s="19"/>
      <c r="AK68" s="20"/>
      <c r="AL68" s="62"/>
      <c r="AM68" s="62"/>
      <c r="AN68" s="62"/>
      <c r="AO68" s="62"/>
      <c r="AP68" s="62"/>
      <c r="AQ68" s="62"/>
      <c r="AR68" s="62"/>
      <c r="AS68" s="62"/>
      <c r="AT68" s="62"/>
      <c r="AU68" s="62"/>
      <c r="AV68" s="62"/>
      <c r="AW68" s="62"/>
    </row>
    <row r="69" spans="1:49" ht="22.15" hidden="1" customHeight="1">
      <c r="A69"/>
      <c r="B69" s="6" t="s">
        <v>76</v>
      </c>
      <c r="C69" s="21" t="s">
        <v>8</v>
      </c>
      <c r="D69" s="26">
        <v>1296</v>
      </c>
      <c r="E69" s="25"/>
      <c r="F69" s="25"/>
      <c r="G69" s="7" t="str">
        <f t="shared" si="8"/>
        <v/>
      </c>
      <c r="H69" s="7">
        <f t="shared" si="9"/>
        <v>-45999</v>
      </c>
      <c r="I69" s="21" t="s">
        <v>8</v>
      </c>
      <c r="J69" s="24">
        <v>1296</v>
      </c>
      <c r="K69" s="25"/>
      <c r="L69" s="25"/>
      <c r="M69" s="7" t="str">
        <f t="shared" si="10"/>
        <v/>
      </c>
      <c r="N69" s="7">
        <f t="shared" si="11"/>
        <v>-45999</v>
      </c>
      <c r="O69" s="21" t="s">
        <v>8</v>
      </c>
      <c r="P69" s="24">
        <v>1296</v>
      </c>
      <c r="Q69" s="25"/>
      <c r="R69" s="25"/>
      <c r="S69" s="7" t="str">
        <f t="shared" si="12"/>
        <v/>
      </c>
      <c r="T69" s="7">
        <f t="shared" si="13"/>
        <v>-45999</v>
      </c>
      <c r="U69" s="19"/>
      <c r="V69" s="21" t="s">
        <v>8</v>
      </c>
      <c r="W69" s="24">
        <v>1296</v>
      </c>
      <c r="X69" s="25"/>
      <c r="Y69" s="25"/>
      <c r="Z69" s="7" t="str">
        <f t="shared" si="14"/>
        <v/>
      </c>
      <c r="AA69" s="7"/>
      <c r="AB69" s="19"/>
      <c r="AC69" s="20"/>
      <c r="AD69" s="21" t="s">
        <v>8</v>
      </c>
      <c r="AE69" s="24">
        <v>1296</v>
      </c>
      <c r="AF69" s="25"/>
      <c r="AG69" s="25"/>
      <c r="AH69" s="7" t="str">
        <f t="shared" si="15"/>
        <v/>
      </c>
      <c r="AI69" s="7"/>
      <c r="AJ69" s="19"/>
      <c r="AK69" s="20"/>
      <c r="AL69" s="62"/>
      <c r="AM69" s="62"/>
      <c r="AN69" s="62"/>
      <c r="AO69" s="62"/>
      <c r="AP69" s="62"/>
      <c r="AQ69" s="62"/>
      <c r="AR69" s="62"/>
      <c r="AS69" s="62"/>
      <c r="AT69" s="62"/>
      <c r="AU69" s="62"/>
      <c r="AV69" s="62"/>
      <c r="AW69" s="62"/>
    </row>
    <row r="70" spans="1:49" ht="22.15" hidden="1" customHeight="1">
      <c r="A70"/>
      <c r="B70" s="6" t="s">
        <v>77</v>
      </c>
      <c r="C70" s="21" t="s">
        <v>8</v>
      </c>
      <c r="D70" s="22">
        <v>414</v>
      </c>
      <c r="E70" s="25"/>
      <c r="F70" s="25"/>
      <c r="G70" s="7" t="str">
        <f t="shared" si="8"/>
        <v/>
      </c>
      <c r="H70" s="7">
        <f t="shared" si="9"/>
        <v>-45999</v>
      </c>
      <c r="I70" s="21" t="s">
        <v>8</v>
      </c>
      <c r="J70" s="24">
        <v>414</v>
      </c>
      <c r="K70" s="25"/>
      <c r="L70" s="25"/>
      <c r="M70" s="7" t="str">
        <f t="shared" si="10"/>
        <v/>
      </c>
      <c r="N70" s="7">
        <f t="shared" si="11"/>
        <v>-45999</v>
      </c>
      <c r="O70" s="21" t="s">
        <v>8</v>
      </c>
      <c r="P70" s="24">
        <v>414</v>
      </c>
      <c r="Q70" s="25"/>
      <c r="R70" s="25"/>
      <c r="S70" s="7" t="str">
        <f t="shared" si="12"/>
        <v/>
      </c>
      <c r="T70" s="7">
        <f t="shared" si="13"/>
        <v>-45999</v>
      </c>
      <c r="U70" s="19"/>
      <c r="V70" s="21" t="s">
        <v>8</v>
      </c>
      <c r="W70" s="24">
        <v>414</v>
      </c>
      <c r="X70" s="25"/>
      <c r="Y70" s="25"/>
      <c r="Z70" s="7" t="str">
        <f t="shared" si="14"/>
        <v/>
      </c>
      <c r="AA70" s="7"/>
      <c r="AB70" s="19"/>
      <c r="AC70" s="20"/>
      <c r="AD70" s="21" t="s">
        <v>8</v>
      </c>
      <c r="AE70" s="24">
        <v>414</v>
      </c>
      <c r="AF70" s="25"/>
      <c r="AG70" s="25"/>
      <c r="AH70" s="7" t="str">
        <f t="shared" si="15"/>
        <v/>
      </c>
      <c r="AI70" s="7"/>
      <c r="AJ70" s="19"/>
      <c r="AK70" s="20"/>
      <c r="AL70" s="62"/>
      <c r="AM70" s="62"/>
      <c r="AN70" s="62"/>
      <c r="AO70" s="62"/>
      <c r="AP70" s="62"/>
      <c r="AQ70" s="62"/>
      <c r="AR70" s="62"/>
      <c r="AS70" s="62"/>
      <c r="AT70" s="62"/>
      <c r="AU70" s="62"/>
      <c r="AV70" s="62"/>
      <c r="AW70" s="62"/>
    </row>
    <row r="71" spans="1:49" ht="28.5" customHeight="1">
      <c r="A71"/>
      <c r="B71" s="10" t="s">
        <v>79</v>
      </c>
      <c r="C71" s="27" t="s">
        <v>78</v>
      </c>
      <c r="D71" s="28">
        <v>165.715</v>
      </c>
      <c r="E71" s="29">
        <v>45880</v>
      </c>
      <c r="F71" s="25">
        <v>46000</v>
      </c>
      <c r="G71" s="7">
        <f t="shared" si="8"/>
        <v>0.83333333333333337</v>
      </c>
      <c r="H71" s="7">
        <f t="shared" si="9"/>
        <v>1</v>
      </c>
      <c r="I71" s="21"/>
      <c r="J71" s="30"/>
      <c r="K71" s="29"/>
      <c r="L71" s="25"/>
      <c r="M71" s="7" t="str">
        <f t="shared" si="10"/>
        <v/>
      </c>
      <c r="N71" s="7">
        <f t="shared" si="11"/>
        <v>-45999</v>
      </c>
      <c r="O71" s="21"/>
      <c r="P71" s="30"/>
      <c r="Q71" s="29"/>
      <c r="R71" s="25"/>
      <c r="S71" s="7" t="str">
        <f t="shared" si="12"/>
        <v/>
      </c>
      <c r="T71" s="7">
        <f t="shared" si="13"/>
        <v>-45999</v>
      </c>
      <c r="U71" s="31">
        <v>0</v>
      </c>
      <c r="V71" s="21"/>
      <c r="W71" s="30"/>
      <c r="X71" s="29"/>
      <c r="Y71" s="25"/>
      <c r="Z71" s="7" t="str">
        <f t="shared" si="14"/>
        <v/>
      </c>
      <c r="AA71" s="7"/>
      <c r="AB71" s="35">
        <v>9.0340000000000007</v>
      </c>
      <c r="AC71" s="20" t="s">
        <v>89</v>
      </c>
      <c r="AD71" s="21"/>
      <c r="AE71" s="63"/>
      <c r="AF71" s="29"/>
      <c r="AG71" s="25"/>
      <c r="AH71" s="7" t="str">
        <f t="shared" si="15"/>
        <v/>
      </c>
      <c r="AI71" s="7"/>
      <c r="AJ71" s="31">
        <v>9.0299999999999994</v>
      </c>
      <c r="AK71" s="20" t="s">
        <v>96</v>
      </c>
      <c r="AL71" s="62"/>
      <c r="AM71" s="62"/>
      <c r="AN71" s="62"/>
      <c r="AO71" s="62"/>
      <c r="AP71" s="62"/>
      <c r="AQ71" s="62"/>
      <c r="AR71" s="62"/>
      <c r="AS71" s="62"/>
      <c r="AT71" s="62"/>
      <c r="AU71" s="62"/>
      <c r="AV71" s="62"/>
      <c r="AW71" s="62"/>
    </row>
    <row r="72" spans="1:49" ht="22.15" hidden="1" customHeight="1">
      <c r="A72"/>
      <c r="B72" s="11"/>
      <c r="C72" s="27"/>
      <c r="D72" s="28"/>
      <c r="E72" s="25"/>
      <c r="F72" s="25"/>
      <c r="G72" s="7" t="str">
        <f t="shared" ref="G72:G82" si="16">IFERROR((F72-$G$1)/(F72-E72)*100,"")</f>
        <v/>
      </c>
      <c r="H72" s="7">
        <f t="shared" ref="H72:H82" si="17">F72-$H$1</f>
        <v>-45999</v>
      </c>
      <c r="I72" s="21"/>
      <c r="J72" s="32"/>
      <c r="K72" s="25"/>
      <c r="L72" s="25"/>
      <c r="M72" s="7" t="str">
        <f t="shared" si="10"/>
        <v/>
      </c>
      <c r="N72" s="7">
        <f t="shared" si="11"/>
        <v>-45999</v>
      </c>
      <c r="O72" s="21"/>
      <c r="P72" s="32"/>
      <c r="Q72" s="25"/>
      <c r="R72" s="25"/>
      <c r="S72" s="7" t="str">
        <f t="shared" si="12"/>
        <v/>
      </c>
      <c r="T72" s="7">
        <f t="shared" si="13"/>
        <v>-45999</v>
      </c>
      <c r="U72" s="19">
        <f t="shared" ref="U72:U76" si="18">L72-P72</f>
        <v>0</v>
      </c>
      <c r="V72" s="21"/>
      <c r="W72" s="32"/>
      <c r="X72" s="25"/>
      <c r="Y72" s="25"/>
      <c r="Z72" s="7" t="str">
        <f t="shared" si="14"/>
        <v/>
      </c>
      <c r="AA72" s="7"/>
      <c r="AB72" s="35"/>
      <c r="AC72" s="20"/>
      <c r="AD72" s="21"/>
      <c r="AE72" s="63"/>
      <c r="AF72" s="25"/>
      <c r="AG72" s="25"/>
      <c r="AH72" s="7" t="str">
        <f t="shared" si="15"/>
        <v/>
      </c>
      <c r="AI72" s="7"/>
      <c r="AJ72" s="19">
        <f>AB72-AE72</f>
        <v>0</v>
      </c>
      <c r="AK72" s="20"/>
      <c r="AL72" s="62"/>
      <c r="AM72" s="62"/>
      <c r="AN72" s="62"/>
      <c r="AO72" s="62"/>
      <c r="AP72" s="62"/>
      <c r="AQ72" s="62"/>
      <c r="AR72" s="62"/>
      <c r="AS72" s="62"/>
      <c r="AT72" s="62"/>
      <c r="AU72" s="62"/>
      <c r="AV72" s="62"/>
      <c r="AW72" s="62"/>
    </row>
    <row r="73" spans="1:49" ht="22.15" hidden="1" customHeight="1">
      <c r="A73"/>
      <c r="B73" s="11"/>
      <c r="C73" s="27"/>
      <c r="D73" s="28"/>
      <c r="E73" s="25"/>
      <c r="F73" s="25"/>
      <c r="G73" s="7" t="str">
        <f t="shared" si="16"/>
        <v/>
      </c>
      <c r="H73" s="7">
        <f t="shared" si="17"/>
        <v>-45999</v>
      </c>
      <c r="I73" s="21"/>
      <c r="J73" s="32"/>
      <c r="K73" s="25"/>
      <c r="L73" s="25"/>
      <c r="M73" s="7" t="str">
        <f t="shared" si="10"/>
        <v/>
      </c>
      <c r="N73" s="7">
        <f t="shared" si="11"/>
        <v>-45999</v>
      </c>
      <c r="O73" s="21"/>
      <c r="P73" s="32"/>
      <c r="Q73" s="25"/>
      <c r="R73" s="25"/>
      <c r="S73" s="7" t="str">
        <f t="shared" si="12"/>
        <v/>
      </c>
      <c r="T73" s="7">
        <f t="shared" si="13"/>
        <v>-45999</v>
      </c>
      <c r="U73" s="19">
        <f t="shared" si="18"/>
        <v>0</v>
      </c>
      <c r="V73" s="21"/>
      <c r="W73" s="32"/>
      <c r="X73" s="25"/>
      <c r="Y73" s="25"/>
      <c r="Z73" s="7" t="str">
        <f t="shared" si="14"/>
        <v/>
      </c>
      <c r="AA73" s="7"/>
      <c r="AB73" s="35"/>
      <c r="AC73" s="20"/>
      <c r="AD73" s="21"/>
      <c r="AE73" s="63"/>
      <c r="AF73" s="25"/>
      <c r="AG73" s="25"/>
      <c r="AH73" s="7" t="str">
        <f t="shared" si="15"/>
        <v/>
      </c>
      <c r="AI73" s="7"/>
      <c r="AJ73" s="19">
        <f>AB73-AE73</f>
        <v>0</v>
      </c>
      <c r="AK73" s="20"/>
      <c r="AL73" s="62"/>
      <c r="AM73" s="62"/>
      <c r="AN73" s="62"/>
      <c r="AO73" s="62"/>
      <c r="AP73" s="62"/>
      <c r="AQ73" s="62"/>
      <c r="AR73" s="62"/>
      <c r="AS73" s="62"/>
      <c r="AT73" s="62"/>
      <c r="AU73" s="62"/>
      <c r="AV73" s="62"/>
      <c r="AW73" s="62"/>
    </row>
    <row r="74" spans="1:49" ht="22.15" hidden="1" customHeight="1">
      <c r="A74"/>
      <c r="B74" s="11"/>
      <c r="C74" s="27"/>
      <c r="D74" s="28"/>
      <c r="E74" s="25"/>
      <c r="F74" s="25"/>
      <c r="G74" s="7" t="str">
        <f t="shared" si="16"/>
        <v/>
      </c>
      <c r="H74" s="7">
        <f t="shared" si="17"/>
        <v>-45999</v>
      </c>
      <c r="I74" s="21"/>
      <c r="J74" s="32"/>
      <c r="K74" s="25"/>
      <c r="L74" s="25"/>
      <c r="M74" s="7" t="str">
        <f t="shared" si="10"/>
        <v/>
      </c>
      <c r="N74" s="7">
        <f t="shared" si="11"/>
        <v>-45999</v>
      </c>
      <c r="O74" s="21"/>
      <c r="P74" s="32"/>
      <c r="Q74" s="25"/>
      <c r="R74" s="25"/>
      <c r="S74" s="7" t="str">
        <f t="shared" si="12"/>
        <v/>
      </c>
      <c r="T74" s="7">
        <f t="shared" si="13"/>
        <v>-45999</v>
      </c>
      <c r="U74" s="19">
        <f t="shared" si="18"/>
        <v>0</v>
      </c>
      <c r="V74" s="21"/>
      <c r="W74" s="32"/>
      <c r="X74" s="25"/>
      <c r="Y74" s="25"/>
      <c r="Z74" s="7" t="str">
        <f t="shared" si="14"/>
        <v/>
      </c>
      <c r="AA74" s="7"/>
      <c r="AB74" s="35"/>
      <c r="AC74" s="20"/>
      <c r="AD74" s="21"/>
      <c r="AE74" s="63"/>
      <c r="AF74" s="25"/>
      <c r="AG74" s="25"/>
      <c r="AH74" s="7" t="str">
        <f t="shared" si="15"/>
        <v/>
      </c>
      <c r="AI74" s="7"/>
      <c r="AJ74" s="19">
        <f>AB74-AE74</f>
        <v>0</v>
      </c>
      <c r="AK74" s="20"/>
      <c r="AL74" s="62"/>
      <c r="AM74" s="62"/>
      <c r="AN74" s="62"/>
      <c r="AO74" s="62"/>
      <c r="AP74" s="62"/>
      <c r="AQ74" s="62"/>
      <c r="AR74" s="62"/>
      <c r="AS74" s="62"/>
      <c r="AT74" s="62"/>
      <c r="AU74" s="62"/>
      <c r="AV74" s="62"/>
      <c r="AW74" s="62"/>
    </row>
    <row r="75" spans="1:49" ht="22.15" hidden="1" customHeight="1">
      <c r="A75"/>
      <c r="B75" s="11"/>
      <c r="C75" s="27"/>
      <c r="D75" s="28"/>
      <c r="E75" s="25"/>
      <c r="F75" s="25"/>
      <c r="G75" s="7" t="str">
        <f t="shared" si="16"/>
        <v/>
      </c>
      <c r="H75" s="7">
        <f t="shared" si="17"/>
        <v>-45999</v>
      </c>
      <c r="I75" s="21"/>
      <c r="J75" s="32"/>
      <c r="K75" s="25"/>
      <c r="L75" s="25"/>
      <c r="M75" s="7" t="str">
        <f t="shared" si="10"/>
        <v/>
      </c>
      <c r="N75" s="7">
        <f t="shared" si="11"/>
        <v>-45999</v>
      </c>
      <c r="O75" s="21"/>
      <c r="P75" s="32"/>
      <c r="Q75" s="25"/>
      <c r="R75" s="25"/>
      <c r="S75" s="7" t="str">
        <f t="shared" si="12"/>
        <v/>
      </c>
      <c r="T75" s="7">
        <f t="shared" si="13"/>
        <v>-45999</v>
      </c>
      <c r="U75" s="19">
        <f t="shared" si="18"/>
        <v>0</v>
      </c>
      <c r="V75" s="21"/>
      <c r="W75" s="32"/>
      <c r="X75" s="25"/>
      <c r="Y75" s="25"/>
      <c r="Z75" s="7" t="str">
        <f t="shared" si="14"/>
        <v/>
      </c>
      <c r="AA75" s="7"/>
      <c r="AB75" s="35"/>
      <c r="AC75" s="20"/>
      <c r="AD75" s="21"/>
      <c r="AE75" s="63"/>
      <c r="AF75" s="25"/>
      <c r="AG75" s="25"/>
      <c r="AH75" s="7" t="str">
        <f t="shared" si="15"/>
        <v/>
      </c>
      <c r="AI75" s="7"/>
      <c r="AJ75" s="19">
        <f>AB75-AE75</f>
        <v>0</v>
      </c>
      <c r="AK75" s="20"/>
      <c r="AL75" s="62"/>
      <c r="AM75" s="62"/>
      <c r="AN75" s="62"/>
      <c r="AO75" s="62"/>
      <c r="AP75" s="62"/>
      <c r="AQ75" s="62"/>
      <c r="AR75" s="62"/>
      <c r="AS75" s="62"/>
      <c r="AT75" s="62"/>
      <c r="AU75" s="62"/>
      <c r="AV75" s="62"/>
      <c r="AW75" s="62"/>
    </row>
    <row r="76" spans="1:49" ht="22.15" hidden="1" customHeight="1">
      <c r="A76"/>
      <c r="B76" s="11"/>
      <c r="C76" s="27"/>
      <c r="D76" s="28"/>
      <c r="E76" s="25"/>
      <c r="F76" s="25"/>
      <c r="G76" s="7" t="str">
        <f t="shared" si="16"/>
        <v/>
      </c>
      <c r="H76" s="7">
        <f t="shared" si="17"/>
        <v>-45999</v>
      </c>
      <c r="I76" s="21"/>
      <c r="J76" s="32"/>
      <c r="K76" s="25"/>
      <c r="L76" s="25"/>
      <c r="M76" s="7" t="str">
        <f t="shared" si="10"/>
        <v/>
      </c>
      <c r="N76" s="7">
        <f t="shared" si="11"/>
        <v>-45999</v>
      </c>
      <c r="O76" s="21"/>
      <c r="P76" s="32"/>
      <c r="Q76" s="25"/>
      <c r="R76" s="25"/>
      <c r="S76" s="7" t="str">
        <f t="shared" si="12"/>
        <v/>
      </c>
      <c r="T76" s="7">
        <f t="shared" si="13"/>
        <v>-45999</v>
      </c>
      <c r="U76" s="19">
        <f t="shared" si="18"/>
        <v>0</v>
      </c>
      <c r="V76" s="21"/>
      <c r="W76" s="32"/>
      <c r="X76" s="25"/>
      <c r="Y76" s="25"/>
      <c r="Z76" s="7" t="str">
        <f t="shared" si="14"/>
        <v/>
      </c>
      <c r="AA76" s="7"/>
      <c r="AB76" s="35"/>
      <c r="AC76" s="20"/>
      <c r="AD76" s="21"/>
      <c r="AE76" s="63"/>
      <c r="AF76" s="25"/>
      <c r="AG76" s="25"/>
      <c r="AH76" s="7" t="str">
        <f t="shared" si="15"/>
        <v/>
      </c>
      <c r="AI76" s="7"/>
      <c r="AJ76" s="19">
        <f>AB76-AE76</f>
        <v>0</v>
      </c>
      <c r="AK76" s="20"/>
      <c r="AL76" s="62"/>
      <c r="AM76" s="62"/>
      <c r="AN76" s="62"/>
      <c r="AO76" s="62"/>
      <c r="AP76" s="62"/>
      <c r="AQ76" s="62"/>
      <c r="AR76" s="62"/>
      <c r="AS76" s="62"/>
      <c r="AT76" s="62"/>
      <c r="AU76" s="62"/>
      <c r="AV76" s="62"/>
      <c r="AW76" s="62"/>
    </row>
    <row r="77" spans="1:49" ht="22.15" customHeight="1">
      <c r="A77"/>
      <c r="B77" s="10" t="s">
        <v>82</v>
      </c>
      <c r="C77" s="27" t="s">
        <v>8</v>
      </c>
      <c r="D77" s="28">
        <v>5</v>
      </c>
      <c r="E77" s="25">
        <v>45961</v>
      </c>
      <c r="F77" s="25">
        <v>46011</v>
      </c>
      <c r="G77" s="7">
        <f t="shared" si="16"/>
        <v>24</v>
      </c>
      <c r="H77" s="7">
        <f t="shared" si="17"/>
        <v>12</v>
      </c>
      <c r="I77" s="21"/>
      <c r="J77" s="30"/>
      <c r="K77" s="25"/>
      <c r="L77" s="25"/>
      <c r="M77" s="7" t="str">
        <f t="shared" si="10"/>
        <v/>
      </c>
      <c r="N77" s="7">
        <f t="shared" si="11"/>
        <v>-45999</v>
      </c>
      <c r="O77" s="21"/>
      <c r="P77" s="30"/>
      <c r="Q77" s="25"/>
      <c r="R77" s="25"/>
      <c r="S77" s="7" t="str">
        <f t="shared" si="12"/>
        <v/>
      </c>
      <c r="T77" s="7">
        <f t="shared" si="13"/>
        <v>-45999</v>
      </c>
      <c r="U77" s="33">
        <f>D77-P77</f>
        <v>5</v>
      </c>
      <c r="V77" s="21"/>
      <c r="W77" s="30"/>
      <c r="X77" s="25"/>
      <c r="Y77" s="25"/>
      <c r="Z77" s="7" t="str">
        <f t="shared" si="14"/>
        <v/>
      </c>
      <c r="AA77" s="7"/>
      <c r="AB77" s="35"/>
      <c r="AC77" s="20"/>
      <c r="AD77" s="21"/>
      <c r="AE77" s="63"/>
      <c r="AF77" s="25"/>
      <c r="AG77" s="25"/>
      <c r="AH77" s="7" t="str">
        <f t="shared" si="15"/>
        <v/>
      </c>
      <c r="AI77" s="7"/>
      <c r="AJ77" s="35"/>
      <c r="AK77" s="20"/>
      <c r="AL77" s="62"/>
      <c r="AM77" s="62"/>
      <c r="AN77" s="62"/>
      <c r="AO77" s="62"/>
      <c r="AP77" s="62"/>
      <c r="AQ77" s="62"/>
      <c r="AR77" s="62"/>
      <c r="AS77" s="62"/>
      <c r="AT77" s="62"/>
      <c r="AU77" s="62"/>
      <c r="AV77" s="62"/>
      <c r="AW77" s="62"/>
    </row>
    <row r="78" spans="1:49" ht="22.15" customHeight="1">
      <c r="A78"/>
      <c r="B78" s="8" t="s">
        <v>83</v>
      </c>
      <c r="C78" s="21" t="s">
        <v>8</v>
      </c>
      <c r="D78" s="34">
        <v>19</v>
      </c>
      <c r="E78" s="25">
        <v>45962</v>
      </c>
      <c r="F78" s="25">
        <v>46007</v>
      </c>
      <c r="G78" s="7">
        <f t="shared" si="16"/>
        <v>17.777777777777779</v>
      </c>
      <c r="H78" s="7">
        <f t="shared" si="17"/>
        <v>8</v>
      </c>
      <c r="I78" s="21" t="s">
        <v>8</v>
      </c>
      <c r="J78" s="32">
        <v>8</v>
      </c>
      <c r="K78" s="25">
        <v>45962</v>
      </c>
      <c r="L78" s="25">
        <v>46007</v>
      </c>
      <c r="M78" s="7">
        <f t="shared" si="10"/>
        <v>17.777777777777779</v>
      </c>
      <c r="N78" s="7">
        <f t="shared" si="11"/>
        <v>8</v>
      </c>
      <c r="O78" s="21" t="s">
        <v>8</v>
      </c>
      <c r="P78" s="32">
        <v>5</v>
      </c>
      <c r="Q78" s="25">
        <v>45962</v>
      </c>
      <c r="R78" s="25">
        <v>46007</v>
      </c>
      <c r="S78" s="7">
        <f t="shared" si="12"/>
        <v>17.777777777777779</v>
      </c>
      <c r="T78" s="7">
        <f t="shared" si="13"/>
        <v>8</v>
      </c>
      <c r="U78" s="35">
        <f t="shared" ref="U78:U81" si="19">D78-P78</f>
        <v>14</v>
      </c>
      <c r="V78" s="21" t="s">
        <v>8</v>
      </c>
      <c r="W78" s="32">
        <v>5</v>
      </c>
      <c r="X78" s="25">
        <v>45962</v>
      </c>
      <c r="Y78" s="25">
        <v>46007</v>
      </c>
      <c r="Z78" s="7">
        <f t="shared" si="14"/>
        <v>17.777777777777779</v>
      </c>
      <c r="AA78" s="7"/>
      <c r="AB78" s="35">
        <f>D78-W78</f>
        <v>14</v>
      </c>
      <c r="AC78" s="20"/>
      <c r="AD78" s="21"/>
      <c r="AE78" s="63"/>
      <c r="AF78" s="25"/>
      <c r="AG78" s="25"/>
      <c r="AH78" s="7" t="str">
        <f t="shared" si="15"/>
        <v/>
      </c>
      <c r="AI78" s="7"/>
      <c r="AJ78" s="35"/>
      <c r="AK78" s="64">
        <v>3.6</v>
      </c>
      <c r="AL78" s="62"/>
      <c r="AM78" s="62"/>
      <c r="AN78" s="62"/>
      <c r="AO78" s="62"/>
      <c r="AP78" s="62"/>
      <c r="AQ78" s="62"/>
      <c r="AR78" s="62"/>
      <c r="AS78" s="62"/>
      <c r="AT78" s="62"/>
      <c r="AU78" s="62"/>
      <c r="AV78" s="62"/>
      <c r="AW78" s="62"/>
    </row>
    <row r="79" spans="1:49" ht="22.15" customHeight="1">
      <c r="A79"/>
      <c r="B79" s="8" t="s">
        <v>81</v>
      </c>
      <c r="C79" s="21" t="s">
        <v>8</v>
      </c>
      <c r="D79" s="34">
        <v>7</v>
      </c>
      <c r="E79" s="25">
        <v>45964</v>
      </c>
      <c r="F79" s="25">
        <v>46009</v>
      </c>
      <c r="G79" s="7">
        <f t="shared" si="16"/>
        <v>22.222222222222221</v>
      </c>
      <c r="H79" s="7">
        <f t="shared" si="17"/>
        <v>10</v>
      </c>
      <c r="I79" s="21" t="s">
        <v>8</v>
      </c>
      <c r="J79" s="32">
        <v>7</v>
      </c>
      <c r="K79" s="25">
        <v>45964</v>
      </c>
      <c r="L79" s="25">
        <v>46009</v>
      </c>
      <c r="M79" s="7">
        <f t="shared" si="10"/>
        <v>22.222222222222221</v>
      </c>
      <c r="N79" s="7">
        <f t="shared" si="11"/>
        <v>10</v>
      </c>
      <c r="O79" s="21"/>
      <c r="P79" s="32"/>
      <c r="Q79" s="25"/>
      <c r="R79" s="25"/>
      <c r="S79" s="7" t="str">
        <f t="shared" si="12"/>
        <v/>
      </c>
      <c r="T79" s="7">
        <f t="shared" si="13"/>
        <v>-45999</v>
      </c>
      <c r="U79" s="33">
        <f t="shared" si="19"/>
        <v>7</v>
      </c>
      <c r="V79" s="21"/>
      <c r="W79" s="32"/>
      <c r="X79" s="25"/>
      <c r="Y79" s="25"/>
      <c r="Z79" s="7" t="str">
        <f t="shared" si="14"/>
        <v/>
      </c>
      <c r="AA79" s="7"/>
      <c r="AB79" s="35"/>
      <c r="AC79" s="20"/>
      <c r="AD79" s="21"/>
      <c r="AE79" s="63"/>
      <c r="AF79" s="25"/>
      <c r="AG79" s="25"/>
      <c r="AH79" s="7" t="str">
        <f t="shared" si="15"/>
        <v/>
      </c>
      <c r="AI79" s="7"/>
      <c r="AJ79" s="65">
        <f>D79-AE79</f>
        <v>7</v>
      </c>
      <c r="AK79" s="20"/>
      <c r="AL79" s="62"/>
      <c r="AM79" s="62"/>
      <c r="AN79" s="62"/>
      <c r="AO79" s="62"/>
      <c r="AP79" s="62"/>
      <c r="AQ79" s="62"/>
      <c r="AR79" s="62"/>
      <c r="AS79" s="62"/>
      <c r="AT79" s="62"/>
      <c r="AU79" s="62"/>
      <c r="AV79" s="62"/>
      <c r="AW79" s="62"/>
    </row>
    <row r="80" spans="1:49" ht="22.15" customHeight="1">
      <c r="A80"/>
      <c r="B80" s="10" t="s">
        <v>84</v>
      </c>
      <c r="C80" s="21" t="s">
        <v>8</v>
      </c>
      <c r="D80" s="36">
        <v>3</v>
      </c>
      <c r="E80" s="25">
        <v>45982</v>
      </c>
      <c r="F80" s="25">
        <v>46012</v>
      </c>
      <c r="G80" s="7">
        <f t="shared" si="16"/>
        <v>43.333333333333336</v>
      </c>
      <c r="H80" s="7">
        <f t="shared" si="17"/>
        <v>13</v>
      </c>
      <c r="I80" s="21"/>
      <c r="J80" s="30"/>
      <c r="K80" s="25"/>
      <c r="L80" s="25"/>
      <c r="M80" s="7" t="str">
        <f t="shared" si="10"/>
        <v/>
      </c>
      <c r="N80" s="7">
        <f t="shared" si="11"/>
        <v>-45999</v>
      </c>
      <c r="O80" s="21"/>
      <c r="P80" s="30"/>
      <c r="Q80" s="25"/>
      <c r="R80" s="25"/>
      <c r="S80" s="7" t="str">
        <f t="shared" si="12"/>
        <v/>
      </c>
      <c r="T80" s="7">
        <f t="shared" si="13"/>
        <v>-45999</v>
      </c>
      <c r="U80" s="33">
        <f t="shared" si="19"/>
        <v>3</v>
      </c>
      <c r="V80" s="21" t="s">
        <v>8</v>
      </c>
      <c r="W80" s="30">
        <v>2</v>
      </c>
      <c r="X80" s="25">
        <v>45996</v>
      </c>
      <c r="Y80" s="25">
        <v>46026</v>
      </c>
      <c r="Z80" s="7">
        <f t="shared" si="14"/>
        <v>90</v>
      </c>
      <c r="AA80" s="7"/>
      <c r="AB80" s="35">
        <f>D80-W80</f>
        <v>1</v>
      </c>
      <c r="AC80" s="20"/>
      <c r="AD80" s="21" t="s">
        <v>8</v>
      </c>
      <c r="AE80" s="63">
        <v>1</v>
      </c>
      <c r="AF80" s="25">
        <v>45996</v>
      </c>
      <c r="AG80" s="25">
        <v>46026</v>
      </c>
      <c r="AH80" s="7">
        <f t="shared" si="15"/>
        <v>90</v>
      </c>
      <c r="AI80" s="7"/>
      <c r="AJ80" s="35">
        <f>W80-AE80</f>
        <v>1</v>
      </c>
      <c r="AK80" s="20"/>
      <c r="AL80" s="62"/>
      <c r="AM80" s="62"/>
      <c r="AN80" s="62"/>
      <c r="AO80" s="62"/>
      <c r="AP80" s="62"/>
      <c r="AQ80" s="62"/>
      <c r="AR80" s="62"/>
      <c r="AS80" s="62"/>
      <c r="AT80" s="62"/>
      <c r="AU80" s="62"/>
      <c r="AV80" s="62"/>
      <c r="AW80" s="62"/>
    </row>
    <row r="81" spans="1:49" ht="22.15" customHeight="1">
      <c r="A81"/>
      <c r="B81" s="10" t="s">
        <v>80</v>
      </c>
      <c r="C81" s="37" t="s">
        <v>8</v>
      </c>
      <c r="D81" s="36">
        <v>14</v>
      </c>
      <c r="E81" s="25">
        <v>45821</v>
      </c>
      <c r="F81" s="25">
        <v>46091</v>
      </c>
      <c r="G81" s="7">
        <f t="shared" si="16"/>
        <v>34.074074074074076</v>
      </c>
      <c r="H81" s="7">
        <f t="shared" si="17"/>
        <v>92</v>
      </c>
      <c r="I81" s="37"/>
      <c r="J81" s="30"/>
      <c r="K81" s="25"/>
      <c r="L81" s="25"/>
      <c r="M81" s="7" t="str">
        <f t="shared" si="10"/>
        <v/>
      </c>
      <c r="N81" s="7">
        <f t="shared" si="11"/>
        <v>-45999</v>
      </c>
      <c r="O81" s="37"/>
      <c r="P81" s="30"/>
      <c r="Q81" s="25"/>
      <c r="R81" s="25"/>
      <c r="S81" s="7" t="str">
        <f t="shared" si="12"/>
        <v/>
      </c>
      <c r="T81" s="7">
        <f t="shared" si="13"/>
        <v>-45999</v>
      </c>
      <c r="U81" s="33">
        <f t="shared" si="19"/>
        <v>14</v>
      </c>
      <c r="V81" s="37"/>
      <c r="W81" s="30"/>
      <c r="X81" s="25"/>
      <c r="Y81" s="25"/>
      <c r="Z81" s="7" t="str">
        <f t="shared" si="14"/>
        <v/>
      </c>
      <c r="AA81" s="7"/>
      <c r="AB81" s="35"/>
      <c r="AC81" s="20"/>
      <c r="AD81" s="37"/>
      <c r="AE81" s="63"/>
      <c r="AF81" s="25"/>
      <c r="AG81" s="25"/>
      <c r="AH81" s="7" t="str">
        <f t="shared" si="15"/>
        <v/>
      </c>
      <c r="AI81" s="7"/>
      <c r="AJ81" s="35"/>
      <c r="AK81" s="20"/>
      <c r="AL81" s="62"/>
      <c r="AM81" s="62"/>
      <c r="AN81" s="62"/>
      <c r="AO81" s="62"/>
      <c r="AP81" s="62"/>
      <c r="AQ81" s="62"/>
      <c r="AR81" s="62"/>
      <c r="AS81" s="62"/>
      <c r="AT81" s="62"/>
      <c r="AU81" s="62"/>
      <c r="AV81" s="62"/>
      <c r="AW81" s="62"/>
    </row>
    <row r="82" spans="1:49" ht="22.15" customHeight="1">
      <c r="A82"/>
      <c r="B82" s="10" t="s">
        <v>81</v>
      </c>
      <c r="C82" s="21"/>
      <c r="D82" s="36"/>
      <c r="E82" s="25"/>
      <c r="F82" s="25"/>
      <c r="G82" s="7" t="str">
        <f t="shared" si="16"/>
        <v/>
      </c>
      <c r="H82" s="7">
        <f t="shared" si="17"/>
        <v>-45999</v>
      </c>
      <c r="I82" s="21" t="s">
        <v>8</v>
      </c>
      <c r="J82" s="32">
        <v>55</v>
      </c>
      <c r="K82" s="25">
        <v>45978</v>
      </c>
      <c r="L82" s="25">
        <v>46023</v>
      </c>
      <c r="M82" s="7">
        <f t="shared" si="10"/>
        <v>53.333333333333336</v>
      </c>
      <c r="N82" s="7">
        <f t="shared" si="11"/>
        <v>24</v>
      </c>
      <c r="O82" s="21"/>
      <c r="P82" s="32"/>
      <c r="Q82" s="25"/>
      <c r="R82" s="25"/>
      <c r="S82" s="7" t="str">
        <f t="shared" si="12"/>
        <v/>
      </c>
      <c r="T82" s="7">
        <f t="shared" si="13"/>
        <v>-45999</v>
      </c>
      <c r="U82" s="33">
        <f>J82-P82</f>
        <v>55</v>
      </c>
      <c r="V82" s="21" t="s">
        <v>8</v>
      </c>
      <c r="W82" s="32">
        <v>13</v>
      </c>
      <c r="X82" s="25">
        <v>45979</v>
      </c>
      <c r="Y82" s="25">
        <v>46024</v>
      </c>
      <c r="Z82" s="7">
        <f t="shared" si="14"/>
        <v>55.555555555555557</v>
      </c>
      <c r="AA82" s="7"/>
      <c r="AB82" s="35">
        <f>J82-W83</f>
        <v>46</v>
      </c>
      <c r="AC82" s="20"/>
      <c r="AD82" s="21"/>
      <c r="AE82" s="63"/>
      <c r="AF82" s="25"/>
      <c r="AG82" s="25"/>
      <c r="AH82" s="7" t="str">
        <f t="shared" si="15"/>
        <v/>
      </c>
      <c r="AI82" s="7"/>
      <c r="AJ82" s="65">
        <f>J82-AE82</f>
        <v>55</v>
      </c>
      <c r="AK82" s="20"/>
      <c r="AL82" s="62"/>
      <c r="AM82" s="62"/>
      <c r="AN82" s="62"/>
      <c r="AO82" s="62"/>
      <c r="AP82" s="62"/>
      <c r="AQ82" s="62"/>
      <c r="AR82" s="62"/>
      <c r="AS82" s="62"/>
      <c r="AT82" s="62"/>
      <c r="AU82" s="62"/>
      <c r="AV82" s="62"/>
      <c r="AW82" s="62"/>
    </row>
    <row r="83" spans="1:49" ht="22.15" customHeight="1">
      <c r="A83"/>
      <c r="B83" s="8" t="s">
        <v>85</v>
      </c>
      <c r="C83" s="21"/>
      <c r="D83" s="34"/>
      <c r="E83" s="25"/>
      <c r="F83" s="25"/>
      <c r="G83" s="7" t="str">
        <f t="shared" ref="G83" si="20">IFERROR((F83-$G$1)/(F83-E83)*100,"")</f>
        <v/>
      </c>
      <c r="H83" s="7">
        <f t="shared" ref="H83" si="21">F83-$H$1</f>
        <v>-45999</v>
      </c>
      <c r="I83" s="21" t="s">
        <v>8</v>
      </c>
      <c r="J83" s="16">
        <v>11</v>
      </c>
      <c r="K83" s="25">
        <v>45974</v>
      </c>
      <c r="L83" s="25">
        <v>46019</v>
      </c>
      <c r="M83" s="7">
        <f t="shared" si="10"/>
        <v>44.444444444444443</v>
      </c>
      <c r="N83" s="7">
        <f t="shared" si="11"/>
        <v>20</v>
      </c>
      <c r="O83" s="21" t="s">
        <v>8</v>
      </c>
      <c r="P83" s="16">
        <v>11</v>
      </c>
      <c r="Q83" s="25">
        <v>45974</v>
      </c>
      <c r="R83" s="25">
        <v>46019</v>
      </c>
      <c r="S83" s="7">
        <f t="shared" si="12"/>
        <v>44.444444444444443</v>
      </c>
      <c r="T83" s="7">
        <f t="shared" si="13"/>
        <v>20</v>
      </c>
      <c r="U83" s="35">
        <f>J83-P83</f>
        <v>0</v>
      </c>
      <c r="V83" s="21" t="s">
        <v>8</v>
      </c>
      <c r="W83" s="16">
        <v>9</v>
      </c>
      <c r="X83" s="25">
        <v>45974</v>
      </c>
      <c r="Y83" s="25">
        <v>46019</v>
      </c>
      <c r="Z83" s="7">
        <f t="shared" si="14"/>
        <v>44.444444444444443</v>
      </c>
      <c r="AA83" s="7"/>
      <c r="AB83" s="35">
        <f>J83-W83</f>
        <v>2</v>
      </c>
      <c r="AC83" s="20"/>
      <c r="AD83" s="21" t="s">
        <v>8</v>
      </c>
      <c r="AE83" s="16">
        <v>9</v>
      </c>
      <c r="AF83" s="25">
        <v>45974</v>
      </c>
      <c r="AG83" s="25">
        <v>46019</v>
      </c>
      <c r="AH83" s="7">
        <f t="shared" si="15"/>
        <v>44.444444444444443</v>
      </c>
      <c r="AI83" s="7"/>
      <c r="AJ83" s="35">
        <f>J83-AE83</f>
        <v>2</v>
      </c>
      <c r="AK83" s="20"/>
      <c r="AL83" s="62"/>
      <c r="AM83" s="62"/>
      <c r="AN83" s="62"/>
      <c r="AO83" s="62"/>
      <c r="AP83" s="62"/>
      <c r="AQ83" s="62"/>
      <c r="AR83" s="62"/>
      <c r="AS83" s="62"/>
      <c r="AT83" s="62"/>
      <c r="AU83" s="62"/>
      <c r="AV83" s="62"/>
      <c r="AW83" s="62"/>
    </row>
    <row r="84" spans="1:49" ht="22.15" customHeight="1">
      <c r="A84"/>
      <c r="B84" s="10" t="s">
        <v>86</v>
      </c>
      <c r="C84" s="21"/>
      <c r="D84" s="38"/>
      <c r="E84" s="25"/>
      <c r="F84" s="25"/>
      <c r="G84" s="7" t="str">
        <f t="shared" ref="G84:G86" si="22">IFERROR((F84-$G$1)/(F84-E84)*100,"")</f>
        <v/>
      </c>
      <c r="H84" s="7">
        <f t="shared" ref="H84:H86" si="23">F84-$H$1</f>
        <v>-45999</v>
      </c>
      <c r="I84" s="21" t="s">
        <v>14</v>
      </c>
      <c r="J84" s="32">
        <v>6.2329999999999997</v>
      </c>
      <c r="K84" s="25">
        <v>45970</v>
      </c>
      <c r="L84" s="25">
        <v>46015</v>
      </c>
      <c r="M84" s="7">
        <f t="shared" si="10"/>
        <v>35.555555555555557</v>
      </c>
      <c r="N84" s="7">
        <f t="shared" si="11"/>
        <v>16</v>
      </c>
      <c r="O84" s="21"/>
      <c r="P84" s="32"/>
      <c r="Q84" s="25"/>
      <c r="R84" s="25"/>
      <c r="S84" s="7" t="str">
        <f t="shared" si="12"/>
        <v/>
      </c>
      <c r="T84" s="7">
        <f t="shared" si="13"/>
        <v>-45999</v>
      </c>
      <c r="U84" s="33">
        <f t="shared" ref="U84" si="24">J84-P84</f>
        <v>6.2329999999999997</v>
      </c>
      <c r="V84" s="21"/>
      <c r="W84" s="32"/>
      <c r="X84" s="25"/>
      <c r="Y84" s="25"/>
      <c r="Z84" s="7" t="str">
        <f t="shared" si="14"/>
        <v/>
      </c>
      <c r="AA84" s="7"/>
      <c r="AB84" s="35">
        <f t="shared" ref="AB84:AB87" si="25">J84-W84</f>
        <v>6.2329999999999997</v>
      </c>
      <c r="AC84" s="20"/>
      <c r="AD84" s="21"/>
      <c r="AE84" s="32"/>
      <c r="AF84" s="25"/>
      <c r="AG84" s="25"/>
      <c r="AH84" s="7" t="str">
        <f t="shared" si="15"/>
        <v/>
      </c>
      <c r="AI84" s="7"/>
      <c r="AJ84" s="65">
        <f>J84-AE84</f>
        <v>6.2329999999999997</v>
      </c>
      <c r="AK84" s="20"/>
      <c r="AL84" s="62"/>
      <c r="AM84" s="62"/>
      <c r="AN84" s="62"/>
      <c r="AO84" s="62"/>
      <c r="AP84" s="62"/>
      <c r="AQ84" s="62"/>
      <c r="AR84" s="62"/>
      <c r="AS84" s="62"/>
      <c r="AT84" s="62"/>
      <c r="AU84" s="62"/>
      <c r="AV84" s="62"/>
      <c r="AW84" s="62"/>
    </row>
    <row r="85" spans="1:49" ht="22.15" customHeight="1">
      <c r="A85"/>
      <c r="B85" s="10" t="s">
        <v>85</v>
      </c>
      <c r="C85" s="21"/>
      <c r="D85" s="34"/>
      <c r="E85" s="25"/>
      <c r="F85" s="25"/>
      <c r="G85" s="7" t="str">
        <f t="shared" si="22"/>
        <v/>
      </c>
      <c r="H85" s="7">
        <f t="shared" si="23"/>
        <v>-45999</v>
      </c>
      <c r="I85" s="21"/>
      <c r="J85" s="32"/>
      <c r="K85" s="25"/>
      <c r="L85" s="25"/>
      <c r="M85" s="7" t="str">
        <f t="shared" si="10"/>
        <v/>
      </c>
      <c r="N85" s="7">
        <f t="shared" si="11"/>
        <v>-45999</v>
      </c>
      <c r="O85" s="21" t="s">
        <v>8</v>
      </c>
      <c r="P85" s="32">
        <v>8</v>
      </c>
      <c r="Q85" s="25">
        <v>45981</v>
      </c>
      <c r="R85" s="25">
        <v>46026</v>
      </c>
      <c r="S85" s="7">
        <f t="shared" si="12"/>
        <v>60</v>
      </c>
      <c r="T85" s="7">
        <f t="shared" si="13"/>
        <v>27</v>
      </c>
      <c r="U85" s="35"/>
      <c r="V85" s="21" t="s">
        <v>8</v>
      </c>
      <c r="W85" s="32">
        <v>8</v>
      </c>
      <c r="X85" s="25">
        <v>45981</v>
      </c>
      <c r="Y85" s="25">
        <v>46026</v>
      </c>
      <c r="Z85" s="7">
        <f t="shared" si="14"/>
        <v>60</v>
      </c>
      <c r="AA85" s="7"/>
      <c r="AB85" s="35">
        <f>P85-W85</f>
        <v>0</v>
      </c>
      <c r="AC85" s="20"/>
      <c r="AD85" s="21"/>
      <c r="AE85" s="32"/>
      <c r="AF85" s="25"/>
      <c r="AG85" s="25"/>
      <c r="AH85" s="7" t="str">
        <f t="shared" si="15"/>
        <v/>
      </c>
      <c r="AI85" s="7"/>
      <c r="AJ85" s="65">
        <f>P85-AE85</f>
        <v>8</v>
      </c>
      <c r="AK85" s="20"/>
      <c r="AL85" s="62"/>
      <c r="AM85" s="62"/>
      <c r="AN85" s="62"/>
      <c r="AO85" s="62"/>
      <c r="AP85" s="62"/>
      <c r="AQ85" s="62"/>
      <c r="AR85" s="62"/>
      <c r="AS85" s="62"/>
      <c r="AT85" s="62"/>
      <c r="AU85" s="62"/>
      <c r="AV85" s="62"/>
      <c r="AW85" s="62"/>
    </row>
    <row r="86" spans="1:49" ht="22.15" customHeight="1">
      <c r="A86"/>
      <c r="B86" s="10" t="s">
        <v>90</v>
      </c>
      <c r="C86" s="21"/>
      <c r="D86" s="34"/>
      <c r="E86" s="25"/>
      <c r="F86" s="25"/>
      <c r="G86" s="7" t="str">
        <f t="shared" si="22"/>
        <v/>
      </c>
      <c r="H86" s="7">
        <f t="shared" si="23"/>
        <v>-45999</v>
      </c>
      <c r="I86" s="21"/>
      <c r="J86" s="32"/>
      <c r="K86" s="25"/>
      <c r="L86" s="25"/>
      <c r="M86" s="7" t="str">
        <f t="shared" si="10"/>
        <v/>
      </c>
      <c r="N86" s="7">
        <f t="shared" si="11"/>
        <v>-45999</v>
      </c>
      <c r="O86" s="21" t="s">
        <v>14</v>
      </c>
      <c r="P86" s="32">
        <v>10.08</v>
      </c>
      <c r="Q86" s="25">
        <v>45974</v>
      </c>
      <c r="R86" s="25">
        <v>46024</v>
      </c>
      <c r="S86" s="7">
        <f t="shared" si="12"/>
        <v>50</v>
      </c>
      <c r="T86" s="7">
        <f t="shared" si="13"/>
        <v>25</v>
      </c>
      <c r="U86" s="35"/>
      <c r="V86" s="21" t="s">
        <v>14</v>
      </c>
      <c r="W86" s="32">
        <v>10.08</v>
      </c>
      <c r="X86" s="25">
        <v>45974</v>
      </c>
      <c r="Y86" s="25">
        <v>46024</v>
      </c>
      <c r="Z86" s="7">
        <f t="shared" si="14"/>
        <v>50</v>
      </c>
      <c r="AA86" s="7"/>
      <c r="AB86" s="35">
        <f>P86-W86</f>
        <v>0</v>
      </c>
      <c r="AC86" s="20"/>
      <c r="AD86" s="21"/>
      <c r="AE86" s="32"/>
      <c r="AF86" s="25"/>
      <c r="AG86" s="25"/>
      <c r="AH86" s="7" t="str">
        <f t="shared" si="15"/>
        <v/>
      </c>
      <c r="AI86" s="7"/>
      <c r="AJ86" s="35"/>
      <c r="AK86" s="20"/>
      <c r="AL86" s="62"/>
      <c r="AM86" s="62"/>
      <c r="AN86" s="62"/>
      <c r="AO86" s="62"/>
      <c r="AP86" s="62"/>
      <c r="AQ86" s="62"/>
      <c r="AR86" s="62"/>
      <c r="AS86" s="62"/>
      <c r="AT86" s="62"/>
      <c r="AU86" s="62"/>
      <c r="AV86" s="62"/>
      <c r="AW86" s="62"/>
    </row>
    <row r="87" spans="1:49" ht="22.15" customHeight="1">
      <c r="A87"/>
      <c r="B87" s="10" t="s">
        <v>91</v>
      </c>
      <c r="C87" s="21"/>
      <c r="D87" s="34"/>
      <c r="E87" s="25"/>
      <c r="F87" s="25"/>
      <c r="G87" s="7" t="str">
        <f t="shared" ref="G87" si="26">IFERROR((F87-$G$1)/(F87-E87)*100,"")</f>
        <v/>
      </c>
      <c r="H87" s="7">
        <f t="shared" ref="H87" si="27">F87-$H$1</f>
        <v>-45999</v>
      </c>
      <c r="I87" s="21"/>
      <c r="J87" s="32"/>
      <c r="K87" s="25"/>
      <c r="L87" s="25"/>
      <c r="M87" s="7" t="str">
        <f t="shared" si="10"/>
        <v/>
      </c>
      <c r="N87" s="7">
        <f t="shared" si="11"/>
        <v>-45999</v>
      </c>
      <c r="O87" s="21"/>
      <c r="P87" s="32"/>
      <c r="Q87" s="25"/>
      <c r="R87" s="25"/>
      <c r="S87" s="7" t="str">
        <f t="shared" si="12"/>
        <v/>
      </c>
      <c r="T87" s="7">
        <f t="shared" si="13"/>
        <v>-45999</v>
      </c>
      <c r="U87" s="35"/>
      <c r="V87" s="21" t="s">
        <v>14</v>
      </c>
      <c r="W87" s="32">
        <v>32.265999999999998</v>
      </c>
      <c r="X87" s="25">
        <v>45983</v>
      </c>
      <c r="Y87" s="25">
        <v>46033</v>
      </c>
      <c r="Z87" s="7">
        <f t="shared" si="14"/>
        <v>68</v>
      </c>
      <c r="AA87" s="7"/>
      <c r="AB87" s="35"/>
      <c r="AC87" s="20"/>
      <c r="AD87" s="21" t="s">
        <v>14</v>
      </c>
      <c r="AE87" s="32">
        <v>29.16</v>
      </c>
      <c r="AF87" s="25">
        <v>45983</v>
      </c>
      <c r="AG87" s="25">
        <v>46033</v>
      </c>
      <c r="AH87" s="7">
        <f t="shared" si="15"/>
        <v>68</v>
      </c>
      <c r="AI87" s="7"/>
      <c r="AJ87" s="35">
        <f>W87-AE87</f>
        <v>3.1059999999999981</v>
      </c>
      <c r="AK87" s="20"/>
      <c r="AL87" s="62"/>
      <c r="AM87" s="62"/>
      <c r="AN87" s="62"/>
      <c r="AO87" s="62"/>
      <c r="AP87" s="62"/>
      <c r="AQ87" s="62"/>
      <c r="AR87" s="62"/>
      <c r="AS87" s="62"/>
      <c r="AT87" s="62"/>
      <c r="AU87" s="62"/>
      <c r="AV87" s="62"/>
      <c r="AW87" s="62"/>
    </row>
    <row r="88" spans="1:49" ht="22.15" customHeight="1">
      <c r="A88"/>
      <c r="B88" s="10" t="s">
        <v>92</v>
      </c>
      <c r="C88" s="21"/>
      <c r="D88" s="34"/>
      <c r="E88" s="25"/>
      <c r="F88" s="25"/>
      <c r="G88" s="7" t="str">
        <f t="shared" ref="G88:G90" si="28">IFERROR((F88-$G$1)/(F88-E88)*100,"")</f>
        <v/>
      </c>
      <c r="H88" s="7">
        <f t="shared" ref="H88:H90" si="29">F88-$H$1</f>
        <v>-45999</v>
      </c>
      <c r="I88" s="21"/>
      <c r="J88" s="32"/>
      <c r="K88" s="25"/>
      <c r="L88" s="25"/>
      <c r="M88" s="7" t="str">
        <f t="shared" si="10"/>
        <v/>
      </c>
      <c r="N88" s="7">
        <f t="shared" si="11"/>
        <v>-45999</v>
      </c>
      <c r="O88" s="21"/>
      <c r="P88" s="32"/>
      <c r="Q88" s="25"/>
      <c r="R88" s="25"/>
      <c r="S88" s="7" t="str">
        <f t="shared" si="12"/>
        <v/>
      </c>
      <c r="T88" s="7">
        <f t="shared" si="13"/>
        <v>-45999</v>
      </c>
      <c r="U88" s="19"/>
      <c r="V88" s="21" t="s">
        <v>8</v>
      </c>
      <c r="W88" s="32">
        <v>12</v>
      </c>
      <c r="X88" s="25">
        <v>45986</v>
      </c>
      <c r="Y88" s="25">
        <v>46031</v>
      </c>
      <c r="Z88" s="7">
        <f t="shared" si="14"/>
        <v>71.111111111111114</v>
      </c>
      <c r="AA88" s="7"/>
      <c r="AB88" s="19"/>
      <c r="AC88" s="20"/>
      <c r="AD88" s="21"/>
      <c r="AE88" s="32"/>
      <c r="AF88" s="25"/>
      <c r="AG88" s="25"/>
      <c r="AH88" s="7" t="str">
        <f t="shared" si="15"/>
        <v/>
      </c>
      <c r="AI88" s="7"/>
      <c r="AJ88" s="65">
        <f>W88-AE88</f>
        <v>12</v>
      </c>
      <c r="AK88" s="20"/>
      <c r="AL88" s="62"/>
      <c r="AM88" s="62"/>
      <c r="AN88" s="62"/>
      <c r="AO88" s="62"/>
      <c r="AP88" s="62"/>
      <c r="AQ88" s="62"/>
      <c r="AR88" s="62"/>
      <c r="AS88" s="62"/>
      <c r="AT88" s="62"/>
      <c r="AU88" s="62"/>
      <c r="AV88" s="62"/>
      <c r="AW88" s="62"/>
    </row>
    <row r="89" spans="1:49" ht="22.15" customHeight="1">
      <c r="A89"/>
      <c r="B89" s="8" t="s">
        <v>93</v>
      </c>
      <c r="C89" s="21"/>
      <c r="D89" s="34"/>
      <c r="E89" s="25"/>
      <c r="F89" s="25"/>
      <c r="G89" s="7" t="str">
        <f t="shared" si="28"/>
        <v/>
      </c>
      <c r="H89" s="7">
        <f t="shared" si="29"/>
        <v>-45999</v>
      </c>
      <c r="I89" s="21"/>
      <c r="J89" s="32"/>
      <c r="K89" s="25"/>
      <c r="L89" s="25"/>
      <c r="M89" s="7" t="str">
        <f t="shared" si="10"/>
        <v/>
      </c>
      <c r="N89" s="7">
        <f t="shared" si="11"/>
        <v>-45999</v>
      </c>
      <c r="O89" s="21"/>
      <c r="P89" s="32"/>
      <c r="Q89" s="25"/>
      <c r="R89" s="25"/>
      <c r="S89" s="7" t="str">
        <f t="shared" si="12"/>
        <v/>
      </c>
      <c r="T89" s="7">
        <f t="shared" si="13"/>
        <v>-45999</v>
      </c>
      <c r="U89" s="19"/>
      <c r="V89" s="21" t="s">
        <v>8</v>
      </c>
      <c r="W89" s="32">
        <v>3</v>
      </c>
      <c r="X89" s="25">
        <v>45986</v>
      </c>
      <c r="Y89" s="25">
        <v>46031</v>
      </c>
      <c r="Z89" s="7">
        <f t="shared" si="14"/>
        <v>71.111111111111114</v>
      </c>
      <c r="AA89" s="7"/>
      <c r="AB89" s="19"/>
      <c r="AC89" s="20"/>
      <c r="AD89" s="21"/>
      <c r="AE89" s="32"/>
      <c r="AF89" s="25"/>
      <c r="AG89" s="25"/>
      <c r="AH89" s="7" t="str">
        <f t="shared" si="15"/>
        <v/>
      </c>
      <c r="AI89" s="7"/>
      <c r="AJ89" s="65">
        <f>W89-AE89</f>
        <v>3</v>
      </c>
      <c r="AK89" s="20"/>
      <c r="AL89" s="62"/>
      <c r="AM89" s="62"/>
      <c r="AN89" s="62"/>
      <c r="AO89" s="62"/>
      <c r="AP89" s="62"/>
      <c r="AQ89" s="62"/>
      <c r="AR89" s="62"/>
      <c r="AS89" s="62"/>
      <c r="AT89" s="62"/>
      <c r="AU89" s="62"/>
      <c r="AV89" s="62"/>
      <c r="AW89" s="62"/>
    </row>
    <row r="90" spans="1:49" ht="22.15" customHeight="1">
      <c r="A90"/>
      <c r="B90" s="8" t="s">
        <v>81</v>
      </c>
      <c r="C90" s="21"/>
      <c r="D90" s="34"/>
      <c r="E90" s="25"/>
      <c r="F90" s="25"/>
      <c r="G90" s="7" t="str">
        <f t="shared" si="28"/>
        <v/>
      </c>
      <c r="H90" s="7">
        <f t="shared" si="29"/>
        <v>-45999</v>
      </c>
      <c r="I90" s="21"/>
      <c r="J90" s="32"/>
      <c r="K90" s="25"/>
      <c r="L90" s="25"/>
      <c r="M90" s="7" t="str">
        <f t="shared" si="10"/>
        <v/>
      </c>
      <c r="N90" s="7">
        <f t="shared" si="11"/>
        <v>-45999</v>
      </c>
      <c r="O90" s="21"/>
      <c r="P90" s="32"/>
      <c r="Q90" s="25"/>
      <c r="R90" s="25"/>
      <c r="S90" s="7" t="str">
        <f t="shared" si="12"/>
        <v/>
      </c>
      <c r="T90" s="7">
        <f t="shared" si="13"/>
        <v>-45999</v>
      </c>
      <c r="U90" s="19"/>
      <c r="V90" s="21"/>
      <c r="W90" s="32"/>
      <c r="X90" s="25"/>
      <c r="Y90" s="25"/>
      <c r="Z90" s="7" t="str">
        <f t="shared" si="14"/>
        <v/>
      </c>
      <c r="AA90" s="7"/>
      <c r="AB90" s="19"/>
      <c r="AC90" s="20"/>
      <c r="AD90" s="21" t="s">
        <v>94</v>
      </c>
      <c r="AE90" s="32">
        <v>12</v>
      </c>
      <c r="AF90" s="25">
        <v>45978</v>
      </c>
      <c r="AG90" s="25">
        <v>46023</v>
      </c>
      <c r="AH90" s="7">
        <f t="shared" si="15"/>
        <v>53.333333333333336</v>
      </c>
      <c r="AI90" s="7"/>
      <c r="AJ90" s="35"/>
      <c r="AK90" s="20"/>
      <c r="AL90" s="62"/>
      <c r="AM90" s="62"/>
      <c r="AN90" s="62"/>
      <c r="AO90" s="62"/>
      <c r="AP90" s="62"/>
      <c r="AQ90" s="62"/>
      <c r="AR90" s="62"/>
      <c r="AS90" s="62"/>
      <c r="AT90" s="62"/>
      <c r="AU90" s="62"/>
      <c r="AV90" s="62"/>
      <c r="AW90" s="62"/>
    </row>
    <row r="91" spans="1:49" ht="22.15" customHeight="1">
      <c r="A91"/>
      <c r="B91" s="8" t="s">
        <v>95</v>
      </c>
      <c r="C91" s="21"/>
      <c r="D91" s="34"/>
      <c r="E91" s="25"/>
      <c r="F91" s="25"/>
      <c r="G91" s="7" t="str">
        <f t="shared" ref="G91:G103" si="30">IFERROR((F91-$G$1)/(F91-E91)*100,"")</f>
        <v/>
      </c>
      <c r="H91" s="7">
        <f t="shared" ref="H91:H103" si="31">F91-$H$1</f>
        <v>-45999</v>
      </c>
      <c r="I91" s="21"/>
      <c r="J91" s="32"/>
      <c r="K91" s="25"/>
      <c r="L91" s="25"/>
      <c r="M91" s="7" t="str">
        <f t="shared" si="10"/>
        <v/>
      </c>
      <c r="N91" s="7">
        <f t="shared" si="11"/>
        <v>-45999</v>
      </c>
      <c r="O91" s="21"/>
      <c r="P91" s="32"/>
      <c r="Q91" s="25"/>
      <c r="R91" s="25"/>
      <c r="S91" s="7" t="str">
        <f t="shared" si="12"/>
        <v/>
      </c>
      <c r="T91" s="7">
        <f t="shared" si="13"/>
        <v>-45999</v>
      </c>
      <c r="U91" s="19"/>
      <c r="V91" s="21"/>
      <c r="W91" s="32"/>
      <c r="X91" s="25"/>
      <c r="Y91" s="25"/>
      <c r="Z91" s="7" t="str">
        <f t="shared" si="14"/>
        <v/>
      </c>
      <c r="AA91" s="7"/>
      <c r="AB91" s="19"/>
      <c r="AC91" s="20"/>
      <c r="AD91" s="21" t="s">
        <v>94</v>
      </c>
      <c r="AE91" s="32">
        <v>12</v>
      </c>
      <c r="AF91" s="25">
        <v>45986</v>
      </c>
      <c r="AG91" s="25">
        <v>46031</v>
      </c>
      <c r="AH91" s="7">
        <f t="shared" si="15"/>
        <v>71.111111111111114</v>
      </c>
      <c r="AI91" s="7"/>
      <c r="AJ91" s="35"/>
      <c r="AK91" s="20"/>
      <c r="AL91" s="62"/>
      <c r="AM91" s="62"/>
      <c r="AN91" s="62"/>
      <c r="AO91" s="62"/>
      <c r="AP91" s="62"/>
      <c r="AQ91" s="62"/>
      <c r="AR91" s="62"/>
      <c r="AS91" s="62"/>
      <c r="AT91" s="62"/>
      <c r="AU91" s="62"/>
      <c r="AV91" s="62"/>
      <c r="AW91" s="62"/>
    </row>
    <row r="92" spans="1:49" ht="22.15" customHeight="1">
      <c r="A92"/>
      <c r="B92" s="8"/>
      <c r="C92" s="21"/>
      <c r="D92" s="34"/>
      <c r="E92" s="25"/>
      <c r="F92" s="25"/>
      <c r="G92" s="7"/>
      <c r="H92" s="7"/>
      <c r="I92" s="21"/>
      <c r="J92" s="32"/>
      <c r="K92" s="25"/>
      <c r="L92" s="25"/>
      <c r="M92" s="7"/>
      <c r="N92" s="7"/>
      <c r="O92" s="21"/>
      <c r="P92" s="32"/>
      <c r="Q92" s="25"/>
      <c r="R92" s="25"/>
      <c r="S92" s="7"/>
      <c r="T92" s="7"/>
      <c r="U92" s="19"/>
      <c r="V92" s="21"/>
      <c r="W92" s="32"/>
      <c r="X92" s="25"/>
      <c r="Y92" s="25"/>
      <c r="Z92" s="7"/>
      <c r="AA92" s="7"/>
      <c r="AB92" s="19"/>
      <c r="AC92" s="20"/>
      <c r="AD92" s="21"/>
      <c r="AE92" s="32"/>
      <c r="AF92" s="25"/>
      <c r="AG92" s="25"/>
      <c r="AH92" s="7" t="str">
        <f t="shared" si="15"/>
        <v/>
      </c>
      <c r="AI92" s="7"/>
      <c r="AJ92" s="35"/>
      <c r="AK92" s="20"/>
      <c r="AL92" s="62"/>
      <c r="AM92" s="62"/>
      <c r="AN92" s="62"/>
      <c r="AO92" s="62"/>
      <c r="AP92" s="62"/>
      <c r="AQ92" s="62"/>
      <c r="AR92" s="62"/>
      <c r="AS92" s="62"/>
      <c r="AT92" s="62"/>
      <c r="AU92" s="62"/>
      <c r="AV92" s="62"/>
      <c r="AW92" s="62"/>
    </row>
    <row r="93" spans="1:49" ht="22.15" customHeight="1">
      <c r="A93"/>
      <c r="B93" s="8"/>
      <c r="C93" s="21"/>
      <c r="D93" s="34"/>
      <c r="E93" s="25"/>
      <c r="F93" s="25"/>
      <c r="G93" s="7" t="str">
        <f t="shared" si="30"/>
        <v/>
      </c>
      <c r="H93" s="7">
        <f t="shared" si="31"/>
        <v>-45999</v>
      </c>
      <c r="I93" s="21"/>
      <c r="J93" s="32"/>
      <c r="K93" s="25"/>
      <c r="L93" s="25"/>
      <c r="M93" s="7" t="str">
        <f t="shared" si="10"/>
        <v/>
      </c>
      <c r="N93" s="7">
        <f t="shared" si="11"/>
        <v>-45999</v>
      </c>
      <c r="O93" s="21"/>
      <c r="P93" s="32"/>
      <c r="Q93" s="25"/>
      <c r="R93" s="25"/>
      <c r="S93" s="7" t="str">
        <f t="shared" si="12"/>
        <v/>
      </c>
      <c r="T93" s="7">
        <f t="shared" si="13"/>
        <v>-45999</v>
      </c>
      <c r="U93" s="19"/>
      <c r="V93" s="21"/>
      <c r="W93" s="32"/>
      <c r="X93" s="25"/>
      <c r="Y93" s="25"/>
      <c r="Z93" s="7" t="str">
        <f t="shared" si="14"/>
        <v/>
      </c>
      <c r="AA93" s="7"/>
      <c r="AB93" s="19"/>
      <c r="AC93" s="20"/>
      <c r="AD93" s="21"/>
      <c r="AE93" s="32"/>
      <c r="AF93" s="25"/>
      <c r="AG93" s="25"/>
      <c r="AH93" s="7" t="str">
        <f t="shared" si="15"/>
        <v/>
      </c>
      <c r="AI93" s="7"/>
      <c r="AJ93" s="19"/>
      <c r="AK93" s="20"/>
      <c r="AL93" s="62"/>
      <c r="AM93" s="62"/>
      <c r="AN93" s="62"/>
      <c r="AO93" s="62"/>
      <c r="AP93" s="62"/>
      <c r="AQ93" s="62"/>
      <c r="AR93" s="62"/>
      <c r="AS93" s="62"/>
      <c r="AT93" s="62"/>
      <c r="AU93" s="62"/>
      <c r="AV93" s="62"/>
      <c r="AW93" s="62"/>
    </row>
    <row r="94" spans="1:49" ht="22.15" customHeight="1">
      <c r="A94"/>
      <c r="B94" s="8"/>
      <c r="C94" s="39"/>
      <c r="D94" s="40"/>
      <c r="E94" s="41"/>
      <c r="F94" s="41"/>
      <c r="G94" s="9" t="str">
        <f t="shared" si="30"/>
        <v/>
      </c>
      <c r="H94" s="9">
        <f t="shared" si="31"/>
        <v>-45999</v>
      </c>
      <c r="I94" s="39"/>
      <c r="J94" s="42"/>
      <c r="K94" s="41"/>
      <c r="L94" s="41"/>
      <c r="M94" s="9" t="str">
        <f t="shared" si="10"/>
        <v/>
      </c>
      <c r="N94" s="9">
        <f t="shared" si="11"/>
        <v>-45999</v>
      </c>
      <c r="O94" s="39"/>
      <c r="P94" s="42"/>
      <c r="Q94" s="41"/>
      <c r="R94" s="41"/>
      <c r="S94" s="9" t="str">
        <f t="shared" si="12"/>
        <v/>
      </c>
      <c r="T94" s="9">
        <f t="shared" si="13"/>
        <v>-45999</v>
      </c>
      <c r="U94" s="19"/>
      <c r="V94" s="39"/>
      <c r="W94" s="42"/>
      <c r="X94" s="41"/>
      <c r="Y94" s="41"/>
      <c r="Z94" s="9" t="str">
        <f t="shared" si="14"/>
        <v/>
      </c>
      <c r="AA94" s="9"/>
      <c r="AB94" s="19"/>
      <c r="AC94" s="20"/>
      <c r="AD94" s="39"/>
      <c r="AE94" s="42"/>
      <c r="AF94" s="41"/>
      <c r="AG94" s="41"/>
      <c r="AH94" s="9" t="str">
        <f t="shared" si="15"/>
        <v/>
      </c>
      <c r="AI94" s="9"/>
      <c r="AJ94" s="19"/>
      <c r="AK94" s="20"/>
      <c r="AL94" s="62"/>
      <c r="AM94" s="62"/>
      <c r="AN94" s="62"/>
      <c r="AO94" s="62"/>
      <c r="AP94" s="62"/>
      <c r="AQ94" s="62"/>
      <c r="AR94" s="62"/>
      <c r="AS94" s="62"/>
      <c r="AT94" s="62"/>
      <c r="AU94" s="62"/>
      <c r="AV94" s="62"/>
      <c r="AW94" s="62"/>
    </row>
    <row r="95" spans="1:49" ht="22.15" customHeight="1">
      <c r="A95"/>
      <c r="B95" s="8"/>
      <c r="C95" s="43"/>
      <c r="D95" s="44"/>
      <c r="E95" s="41"/>
      <c r="F95" s="41"/>
      <c r="G95" s="9" t="str">
        <f t="shared" si="30"/>
        <v/>
      </c>
      <c r="H95" s="9">
        <f t="shared" si="31"/>
        <v>-45999</v>
      </c>
      <c r="I95" s="43"/>
      <c r="J95" s="45"/>
      <c r="K95" s="41"/>
      <c r="L95" s="41"/>
      <c r="M95" s="9" t="str">
        <f t="shared" si="10"/>
        <v/>
      </c>
      <c r="N95" s="9">
        <f t="shared" si="11"/>
        <v>-45999</v>
      </c>
      <c r="O95" s="43"/>
      <c r="P95" s="45"/>
      <c r="Q95" s="41"/>
      <c r="R95" s="41"/>
      <c r="S95" s="9" t="str">
        <f t="shared" si="12"/>
        <v/>
      </c>
      <c r="T95" s="9">
        <f t="shared" si="13"/>
        <v>-45999</v>
      </c>
      <c r="U95" s="19"/>
      <c r="V95" s="43"/>
      <c r="W95" s="45"/>
      <c r="X95" s="41"/>
      <c r="Y95" s="41"/>
      <c r="Z95" s="9" t="str">
        <f t="shared" si="14"/>
        <v/>
      </c>
      <c r="AA95" s="9"/>
      <c r="AB95" s="19"/>
      <c r="AC95" s="20"/>
      <c r="AD95" s="43"/>
      <c r="AE95" s="45"/>
      <c r="AF95" s="41"/>
      <c r="AG95" s="41"/>
      <c r="AH95" s="9" t="str">
        <f t="shared" si="15"/>
        <v/>
      </c>
      <c r="AI95" s="9"/>
      <c r="AJ95" s="19"/>
      <c r="AK95" s="20"/>
      <c r="AL95" s="62"/>
      <c r="AM95" s="62"/>
      <c r="AN95" s="62"/>
      <c r="AO95" s="62"/>
      <c r="AP95" s="62"/>
      <c r="AQ95" s="62"/>
      <c r="AR95" s="62"/>
      <c r="AS95" s="62"/>
      <c r="AT95" s="62"/>
      <c r="AU95" s="62"/>
      <c r="AV95" s="62"/>
      <c r="AW95" s="62"/>
    </row>
    <row r="96" spans="1:49" ht="22.15" customHeight="1">
      <c r="A96"/>
      <c r="B96" s="8"/>
      <c r="C96" s="46"/>
      <c r="D96" s="47"/>
      <c r="E96" s="41"/>
      <c r="F96" s="41"/>
      <c r="G96" s="9" t="str">
        <f t="shared" si="30"/>
        <v/>
      </c>
      <c r="H96" s="9">
        <f t="shared" si="31"/>
        <v>-45999</v>
      </c>
      <c r="I96" s="46"/>
      <c r="J96" s="48"/>
      <c r="K96" s="41"/>
      <c r="L96" s="41"/>
      <c r="M96" s="9" t="str">
        <f t="shared" si="10"/>
        <v/>
      </c>
      <c r="N96" s="9">
        <f t="shared" si="11"/>
        <v>-45999</v>
      </c>
      <c r="O96" s="46"/>
      <c r="P96" s="48"/>
      <c r="Q96" s="41"/>
      <c r="R96" s="41"/>
      <c r="S96" s="9" t="str">
        <f t="shared" si="12"/>
        <v/>
      </c>
      <c r="T96" s="9">
        <f t="shared" si="13"/>
        <v>-45999</v>
      </c>
      <c r="U96" s="19"/>
      <c r="V96" s="46"/>
      <c r="W96" s="48"/>
      <c r="X96" s="41"/>
      <c r="Y96" s="41"/>
      <c r="Z96" s="9" t="str">
        <f t="shared" si="14"/>
        <v/>
      </c>
      <c r="AA96" s="9"/>
      <c r="AB96" s="19"/>
      <c r="AC96" s="20"/>
      <c r="AD96" s="46"/>
      <c r="AE96" s="48"/>
      <c r="AF96" s="41"/>
      <c r="AG96" s="41"/>
      <c r="AH96" s="9" t="str">
        <f t="shared" si="15"/>
        <v/>
      </c>
      <c r="AI96" s="9"/>
      <c r="AJ96" s="19"/>
      <c r="AK96" s="20"/>
      <c r="AL96" s="62"/>
      <c r="AM96" s="62"/>
      <c r="AN96" s="62"/>
      <c r="AO96" s="62"/>
      <c r="AP96" s="62"/>
      <c r="AQ96" s="62"/>
      <c r="AR96" s="62"/>
      <c r="AS96" s="62"/>
      <c r="AT96" s="62"/>
      <c r="AU96" s="62"/>
      <c r="AV96" s="62"/>
      <c r="AW96" s="62"/>
    </row>
    <row r="97" spans="1:49" ht="22.15" customHeight="1">
      <c r="A97"/>
      <c r="B97" s="8"/>
      <c r="C97" s="49"/>
      <c r="D97" s="50"/>
      <c r="E97" s="41"/>
      <c r="F97" s="41"/>
      <c r="G97" s="9" t="str">
        <f t="shared" si="30"/>
        <v/>
      </c>
      <c r="H97" s="9">
        <f t="shared" si="31"/>
        <v>-45999</v>
      </c>
      <c r="I97" s="49"/>
      <c r="J97" s="51"/>
      <c r="K97" s="41"/>
      <c r="L97" s="41"/>
      <c r="M97" s="9" t="str">
        <f t="shared" si="10"/>
        <v/>
      </c>
      <c r="N97" s="9">
        <f t="shared" si="11"/>
        <v>-45999</v>
      </c>
      <c r="O97" s="49"/>
      <c r="P97" s="51"/>
      <c r="Q97" s="41"/>
      <c r="R97" s="41"/>
      <c r="S97" s="9" t="str">
        <f t="shared" si="12"/>
        <v/>
      </c>
      <c r="T97" s="9">
        <f t="shared" si="13"/>
        <v>-45999</v>
      </c>
      <c r="U97" s="19"/>
      <c r="V97" s="49"/>
      <c r="W97" s="51"/>
      <c r="X97" s="41"/>
      <c r="Y97" s="41"/>
      <c r="Z97" s="9" t="str">
        <f t="shared" si="14"/>
        <v/>
      </c>
      <c r="AA97" s="9"/>
      <c r="AB97" s="19"/>
      <c r="AC97" s="20"/>
      <c r="AD97" s="49"/>
      <c r="AE97" s="51"/>
      <c r="AF97" s="41"/>
      <c r="AG97" s="41"/>
      <c r="AH97" s="9" t="str">
        <f t="shared" si="15"/>
        <v/>
      </c>
      <c r="AI97" s="9"/>
      <c r="AJ97" s="19"/>
      <c r="AK97" s="20"/>
      <c r="AL97" s="62"/>
      <c r="AM97" s="62"/>
      <c r="AN97" s="62"/>
      <c r="AO97" s="62"/>
      <c r="AP97" s="62"/>
      <c r="AQ97" s="62"/>
      <c r="AR97" s="62"/>
      <c r="AS97" s="62"/>
      <c r="AT97" s="62"/>
      <c r="AU97" s="62"/>
      <c r="AV97" s="62"/>
      <c r="AW97" s="62"/>
    </row>
    <row r="98" spans="1:49" ht="22.15" customHeight="1">
      <c r="A98"/>
      <c r="B98" s="8"/>
      <c r="C98" s="46"/>
      <c r="D98" s="47"/>
      <c r="E98" s="41"/>
      <c r="F98" s="41"/>
      <c r="G98" s="9" t="str">
        <f t="shared" si="30"/>
        <v/>
      </c>
      <c r="H98" s="9">
        <f t="shared" si="31"/>
        <v>-45999</v>
      </c>
      <c r="I98" s="46"/>
      <c r="J98" s="48"/>
      <c r="K98" s="41"/>
      <c r="L98" s="41"/>
      <c r="M98" s="9" t="str">
        <f t="shared" si="10"/>
        <v/>
      </c>
      <c r="N98" s="9">
        <f t="shared" si="11"/>
        <v>-45999</v>
      </c>
      <c r="O98" s="46"/>
      <c r="P98" s="48"/>
      <c r="Q98" s="41"/>
      <c r="R98" s="41"/>
      <c r="S98" s="9" t="str">
        <f t="shared" si="12"/>
        <v/>
      </c>
      <c r="T98" s="9">
        <f t="shared" si="13"/>
        <v>-45999</v>
      </c>
      <c r="U98" s="19"/>
      <c r="V98" s="46"/>
      <c r="W98" s="48"/>
      <c r="X98" s="41"/>
      <c r="Y98" s="41"/>
      <c r="Z98" s="9" t="str">
        <f t="shared" si="14"/>
        <v/>
      </c>
      <c r="AA98" s="9"/>
      <c r="AB98" s="19"/>
      <c r="AC98" s="20"/>
      <c r="AD98" s="46"/>
      <c r="AE98" s="48"/>
      <c r="AF98" s="41"/>
      <c r="AG98" s="41"/>
      <c r="AH98" s="9" t="str">
        <f t="shared" si="15"/>
        <v/>
      </c>
      <c r="AI98" s="9"/>
      <c r="AJ98" s="19"/>
      <c r="AK98" s="20"/>
      <c r="AL98" s="62"/>
      <c r="AM98" s="62"/>
      <c r="AN98" s="62"/>
      <c r="AO98" s="62"/>
      <c r="AP98" s="62"/>
      <c r="AQ98" s="62"/>
      <c r="AR98" s="62"/>
      <c r="AS98" s="62"/>
      <c r="AT98" s="62"/>
      <c r="AU98" s="62"/>
      <c r="AV98" s="62"/>
      <c r="AW98" s="62"/>
    </row>
    <row r="99" spans="1:49" ht="22.15" customHeight="1">
      <c r="A99"/>
      <c r="B99" s="8"/>
      <c r="C99" s="49"/>
      <c r="D99" s="50"/>
      <c r="E99" s="41"/>
      <c r="F99" s="41"/>
      <c r="G99" s="9" t="str">
        <f t="shared" si="30"/>
        <v/>
      </c>
      <c r="H99" s="9">
        <f t="shared" si="31"/>
        <v>-45999</v>
      </c>
      <c r="I99" s="49"/>
      <c r="J99" s="51"/>
      <c r="K99" s="41"/>
      <c r="L99" s="41"/>
      <c r="M99" s="9" t="str">
        <f t="shared" si="10"/>
        <v/>
      </c>
      <c r="N99" s="9">
        <f t="shared" si="11"/>
        <v>-45999</v>
      </c>
      <c r="O99" s="49"/>
      <c r="P99" s="51"/>
      <c r="Q99" s="41"/>
      <c r="R99" s="41"/>
      <c r="S99" s="9" t="str">
        <f t="shared" si="12"/>
        <v/>
      </c>
      <c r="T99" s="9">
        <f t="shared" si="13"/>
        <v>-45999</v>
      </c>
      <c r="U99" s="19"/>
      <c r="V99" s="49"/>
      <c r="W99" s="51"/>
      <c r="X99" s="41"/>
      <c r="Y99" s="41"/>
      <c r="Z99" s="9" t="str">
        <f t="shared" si="14"/>
        <v/>
      </c>
      <c r="AA99" s="9"/>
      <c r="AB99" s="19"/>
      <c r="AC99" s="20"/>
      <c r="AD99" s="49"/>
      <c r="AE99" s="51"/>
      <c r="AF99" s="41"/>
      <c r="AG99" s="41"/>
      <c r="AH99" s="9" t="str">
        <f t="shared" si="15"/>
        <v/>
      </c>
      <c r="AI99" s="9"/>
      <c r="AJ99" s="19"/>
      <c r="AK99" s="20"/>
      <c r="AL99" s="62"/>
      <c r="AM99" s="62"/>
      <c r="AN99" s="62"/>
      <c r="AO99" s="62"/>
      <c r="AP99" s="62"/>
      <c r="AQ99" s="62"/>
      <c r="AR99" s="62"/>
      <c r="AS99" s="62"/>
      <c r="AT99" s="62"/>
      <c r="AU99" s="62"/>
      <c r="AV99" s="62"/>
      <c r="AW99" s="62"/>
    </row>
    <row r="100" spans="1:49" ht="22.15" customHeight="1">
      <c r="A100"/>
      <c r="B100" s="8"/>
      <c r="C100" s="46"/>
      <c r="D100" s="47"/>
      <c r="E100" s="41"/>
      <c r="F100" s="41"/>
      <c r="G100" s="9" t="str">
        <f t="shared" si="30"/>
        <v/>
      </c>
      <c r="H100" s="9">
        <f t="shared" si="31"/>
        <v>-45999</v>
      </c>
      <c r="I100" s="46"/>
      <c r="J100" s="48"/>
      <c r="K100" s="41"/>
      <c r="L100" s="41"/>
      <c r="M100" s="9" t="str">
        <f t="shared" si="10"/>
        <v/>
      </c>
      <c r="N100" s="9">
        <f t="shared" si="11"/>
        <v>-45999</v>
      </c>
      <c r="O100" s="46"/>
      <c r="P100" s="48"/>
      <c r="Q100" s="41"/>
      <c r="R100" s="41"/>
      <c r="S100" s="9" t="str">
        <f t="shared" si="12"/>
        <v/>
      </c>
      <c r="T100" s="9">
        <f t="shared" si="13"/>
        <v>-45999</v>
      </c>
      <c r="U100" s="19"/>
      <c r="V100" s="46"/>
      <c r="W100" s="48"/>
      <c r="X100" s="41"/>
      <c r="Y100" s="41"/>
      <c r="Z100" s="9" t="str">
        <f t="shared" si="14"/>
        <v/>
      </c>
      <c r="AA100" s="9"/>
      <c r="AB100" s="19"/>
      <c r="AC100" s="20"/>
      <c r="AD100" s="46"/>
      <c r="AE100" s="48"/>
      <c r="AF100" s="41"/>
      <c r="AG100" s="41"/>
      <c r="AH100" s="9" t="str">
        <f t="shared" si="15"/>
        <v/>
      </c>
      <c r="AI100" s="9"/>
      <c r="AJ100" s="19"/>
      <c r="AK100" s="20"/>
      <c r="AL100" s="62"/>
      <c r="AM100" s="62"/>
      <c r="AN100" s="62"/>
      <c r="AO100" s="62"/>
      <c r="AP100" s="62"/>
      <c r="AQ100" s="62"/>
      <c r="AR100" s="62"/>
      <c r="AS100" s="62"/>
      <c r="AT100" s="62"/>
      <c r="AU100" s="62"/>
      <c r="AV100" s="62"/>
      <c r="AW100" s="62"/>
    </row>
    <row r="101" spans="1:49" ht="22.15" customHeight="1">
      <c r="A101"/>
      <c r="B101" s="8"/>
      <c r="C101" s="49"/>
      <c r="D101" s="50"/>
      <c r="E101" s="41"/>
      <c r="F101" s="41"/>
      <c r="G101" s="9" t="str">
        <f t="shared" si="30"/>
        <v/>
      </c>
      <c r="H101" s="9">
        <f t="shared" si="31"/>
        <v>-45999</v>
      </c>
      <c r="I101" s="49"/>
      <c r="J101" s="51"/>
      <c r="K101" s="41"/>
      <c r="L101" s="41"/>
      <c r="M101" s="9" t="str">
        <f t="shared" si="10"/>
        <v/>
      </c>
      <c r="N101" s="9">
        <f t="shared" si="11"/>
        <v>-45999</v>
      </c>
      <c r="O101" s="49"/>
      <c r="P101" s="51"/>
      <c r="Q101" s="41"/>
      <c r="R101" s="41"/>
      <c r="S101" s="9" t="str">
        <f t="shared" si="12"/>
        <v/>
      </c>
      <c r="T101" s="9">
        <f t="shared" si="13"/>
        <v>-45999</v>
      </c>
      <c r="U101" s="19"/>
      <c r="V101" s="49"/>
      <c r="W101" s="51"/>
      <c r="X101" s="41"/>
      <c r="Y101" s="41"/>
      <c r="Z101" s="9" t="str">
        <f t="shared" si="14"/>
        <v/>
      </c>
      <c r="AA101" s="9"/>
      <c r="AB101" s="19"/>
      <c r="AC101" s="20"/>
      <c r="AD101" s="49"/>
      <c r="AE101" s="51"/>
      <c r="AF101" s="41"/>
      <c r="AG101" s="41"/>
      <c r="AH101" s="9" t="str">
        <f t="shared" si="15"/>
        <v/>
      </c>
      <c r="AI101" s="9"/>
      <c r="AJ101" s="19"/>
      <c r="AK101" s="20"/>
      <c r="AL101" s="62"/>
      <c r="AM101" s="62"/>
      <c r="AN101" s="62"/>
      <c r="AO101" s="62"/>
      <c r="AP101" s="62"/>
      <c r="AQ101" s="62"/>
      <c r="AR101" s="62"/>
      <c r="AS101" s="62"/>
      <c r="AT101" s="62"/>
      <c r="AU101" s="62"/>
      <c r="AV101" s="62"/>
      <c r="AW101" s="62"/>
    </row>
    <row r="102" spans="1:49" ht="22.15" customHeight="1">
      <c r="A102"/>
      <c r="B102" s="8"/>
      <c r="C102" s="52"/>
      <c r="D102" s="53"/>
      <c r="E102" s="41"/>
      <c r="F102" s="41"/>
      <c r="G102" s="9" t="str">
        <f t="shared" si="30"/>
        <v/>
      </c>
      <c r="H102" s="9">
        <f t="shared" si="31"/>
        <v>-45999</v>
      </c>
      <c r="I102" s="52"/>
      <c r="J102" s="54"/>
      <c r="K102" s="41"/>
      <c r="L102" s="41"/>
      <c r="M102" s="9" t="str">
        <f t="shared" si="10"/>
        <v/>
      </c>
      <c r="N102" s="9">
        <f t="shared" si="11"/>
        <v>-45999</v>
      </c>
      <c r="O102" s="52"/>
      <c r="P102" s="54"/>
      <c r="Q102" s="41"/>
      <c r="R102" s="41"/>
      <c r="S102" s="9" t="str">
        <f t="shared" si="12"/>
        <v/>
      </c>
      <c r="T102" s="9">
        <f t="shared" si="13"/>
        <v>-45999</v>
      </c>
      <c r="U102" s="19"/>
      <c r="V102" s="52"/>
      <c r="W102" s="54"/>
      <c r="X102" s="41"/>
      <c r="Y102" s="41"/>
      <c r="Z102" s="9" t="str">
        <f t="shared" si="14"/>
        <v/>
      </c>
      <c r="AA102" s="9"/>
      <c r="AB102" s="19"/>
      <c r="AC102" s="20"/>
      <c r="AD102" s="52"/>
      <c r="AE102" s="54"/>
      <c r="AF102" s="41"/>
      <c r="AG102" s="41"/>
      <c r="AH102" s="9" t="str">
        <f t="shared" si="15"/>
        <v/>
      </c>
      <c r="AI102" s="9"/>
      <c r="AJ102" s="19"/>
      <c r="AK102" s="20"/>
      <c r="AL102" s="62"/>
      <c r="AM102" s="62"/>
      <c r="AN102" s="62"/>
      <c r="AO102" s="62"/>
      <c r="AP102" s="62"/>
      <c r="AQ102" s="62"/>
      <c r="AR102" s="62"/>
      <c r="AS102" s="62"/>
      <c r="AT102" s="62"/>
      <c r="AU102" s="62"/>
      <c r="AV102" s="62"/>
      <c r="AW102" s="62"/>
    </row>
    <row r="103" spans="1:49" ht="22.15" customHeight="1">
      <c r="A103"/>
      <c r="B103" s="8"/>
      <c r="C103" s="46"/>
      <c r="D103" s="55"/>
      <c r="E103" s="56"/>
      <c r="F103" s="41"/>
      <c r="G103" s="9" t="str">
        <f t="shared" si="30"/>
        <v/>
      </c>
      <c r="H103" s="9">
        <f t="shared" si="31"/>
        <v>-45999</v>
      </c>
      <c r="I103" s="46"/>
      <c r="J103" s="57"/>
      <c r="K103" s="56"/>
      <c r="L103" s="41"/>
      <c r="M103" s="9" t="str">
        <f t="shared" ref="M103" si="32">IFERROR((L103-$G$1)/(L103-K103)*100,"")</f>
        <v/>
      </c>
      <c r="N103" s="9">
        <f t="shared" ref="N103" si="33">L103-$H$1</f>
        <v>-45999</v>
      </c>
      <c r="O103" s="46"/>
      <c r="P103" s="57"/>
      <c r="Q103" s="56"/>
      <c r="R103" s="41"/>
      <c r="S103" s="9" t="str">
        <f t="shared" ref="S103" si="34">IFERROR((R103-$G$1)/(R103-Q103)*100,"")</f>
        <v/>
      </c>
      <c r="T103" s="9">
        <f t="shared" ref="T103" si="35">R103-$H$1</f>
        <v>-45999</v>
      </c>
      <c r="U103" s="19"/>
      <c r="V103" s="46"/>
      <c r="W103" s="57"/>
      <c r="X103" s="56"/>
      <c r="Y103" s="41"/>
      <c r="Z103" s="9" t="str">
        <f t="shared" ref="Z103" si="36">IFERROR((Y103-$G$1)/(Y103-X103)*100,"")</f>
        <v/>
      </c>
      <c r="AA103" s="9"/>
      <c r="AB103" s="19"/>
      <c r="AC103" s="20"/>
      <c r="AD103" s="46"/>
      <c r="AE103" s="57"/>
      <c r="AF103" s="56"/>
      <c r="AG103" s="41"/>
      <c r="AH103" s="9" t="str">
        <f t="shared" ref="AH103" si="37">IFERROR((AG103-$G$1)/(AG103-AF103)*100,"")</f>
        <v/>
      </c>
      <c r="AI103" s="9"/>
      <c r="AJ103" s="19"/>
      <c r="AK103" s="20"/>
      <c r="AL103" s="62"/>
      <c r="AM103" s="62"/>
      <c r="AN103" s="62"/>
      <c r="AO103" s="62"/>
      <c r="AP103" s="62"/>
      <c r="AQ103" s="62"/>
      <c r="AR103" s="62"/>
      <c r="AS103" s="62"/>
      <c r="AT103" s="62"/>
      <c r="AU103" s="62"/>
      <c r="AV103" s="62"/>
      <c r="AW103" s="62"/>
    </row>
    <row r="104" spans="1:49" ht="22.15" customHeight="1">
      <c r="A104"/>
      <c r="B104"/>
      <c r="C104" s="58"/>
      <c r="D104" s="58"/>
      <c r="E104" s="58"/>
      <c r="F104" s="58"/>
      <c r="G104" s="58"/>
      <c r="H104" s="58"/>
      <c r="I104" s="58"/>
      <c r="J104" s="59"/>
      <c r="K104" s="58"/>
      <c r="L104" s="58"/>
      <c r="M104" s="58"/>
      <c r="N104" s="58"/>
      <c r="O104" s="58"/>
      <c r="P104" s="59"/>
      <c r="Q104" s="58"/>
      <c r="R104" s="58"/>
      <c r="S104" s="58"/>
      <c r="T104" s="58"/>
      <c r="U104" s="19"/>
      <c r="V104" s="58"/>
      <c r="W104" s="59"/>
      <c r="X104" s="58"/>
      <c r="Y104" s="58"/>
      <c r="Z104" s="58"/>
      <c r="AA104" s="58"/>
      <c r="AB104" s="19"/>
      <c r="AC104" s="20"/>
      <c r="AD104" s="58"/>
      <c r="AE104" s="59"/>
      <c r="AF104" s="58"/>
      <c r="AG104" s="58"/>
      <c r="AH104" s="58"/>
      <c r="AI104" s="58"/>
      <c r="AJ104" s="19"/>
      <c r="AK104" s="20"/>
      <c r="AL104" s="62"/>
      <c r="AM104" s="62"/>
      <c r="AN104" s="62"/>
      <c r="AO104" s="62"/>
      <c r="AP104" s="62"/>
      <c r="AQ104" s="62"/>
      <c r="AR104" s="62"/>
      <c r="AS104" s="62"/>
      <c r="AT104" s="62"/>
      <c r="AU104" s="62"/>
      <c r="AV104" s="62"/>
      <c r="AW104" s="62"/>
    </row>
    <row r="105" spans="1:49" ht="22.15" customHeight="1">
      <c r="A105"/>
      <c r="B105"/>
      <c r="C105" s="58"/>
      <c r="D105" s="58"/>
      <c r="E105" s="58"/>
      <c r="F105" s="58"/>
      <c r="G105" s="58"/>
      <c r="H105" s="58"/>
      <c r="I105" s="58"/>
      <c r="J105" s="59"/>
      <c r="K105" s="58"/>
      <c r="L105" s="58"/>
      <c r="M105" s="58"/>
      <c r="N105" s="58"/>
      <c r="O105" s="58"/>
      <c r="P105" s="59"/>
      <c r="Q105" s="58"/>
      <c r="R105" s="58"/>
      <c r="S105" s="58"/>
      <c r="T105" s="58"/>
      <c r="U105" s="19"/>
      <c r="V105" s="58"/>
      <c r="W105" s="59"/>
      <c r="X105" s="58"/>
      <c r="Y105" s="58"/>
      <c r="Z105" s="58"/>
      <c r="AA105" s="58"/>
      <c r="AB105" s="19"/>
      <c r="AC105" s="20"/>
      <c r="AD105" s="58"/>
      <c r="AE105" s="59"/>
      <c r="AF105" s="58"/>
      <c r="AG105" s="58"/>
      <c r="AH105" s="58"/>
      <c r="AI105" s="58"/>
      <c r="AJ105" s="19"/>
      <c r="AK105" s="20"/>
      <c r="AL105" s="62"/>
      <c r="AM105" s="62"/>
      <c r="AN105" s="62"/>
      <c r="AO105" s="62"/>
      <c r="AP105" s="62"/>
      <c r="AQ105" s="62"/>
      <c r="AR105" s="62"/>
      <c r="AS105" s="62"/>
      <c r="AT105" s="62"/>
      <c r="AU105" s="62"/>
      <c r="AV105" s="62"/>
      <c r="AW105" s="62"/>
    </row>
    <row r="106" spans="1:49" ht="22.15" customHeight="1">
      <c r="A106"/>
      <c r="B106"/>
      <c r="C106" s="58"/>
      <c r="D106" s="58"/>
      <c r="E106" s="58"/>
      <c r="F106" s="58"/>
      <c r="G106" s="58"/>
      <c r="H106" s="58"/>
      <c r="I106" s="58"/>
      <c r="J106" s="59"/>
      <c r="K106" s="58"/>
      <c r="L106" s="58"/>
      <c r="M106" s="58"/>
      <c r="N106" s="58"/>
      <c r="O106" s="58"/>
      <c r="P106" s="59"/>
      <c r="Q106" s="58"/>
      <c r="R106" s="58"/>
      <c r="S106" s="58"/>
      <c r="T106" s="58"/>
      <c r="U106" s="19"/>
      <c r="V106" s="58"/>
      <c r="W106" s="59"/>
      <c r="X106" s="58"/>
      <c r="Y106" s="58"/>
      <c r="Z106" s="58"/>
      <c r="AA106" s="58"/>
      <c r="AB106" s="19"/>
      <c r="AC106" s="20"/>
      <c r="AD106" s="58"/>
      <c r="AE106" s="59"/>
      <c r="AF106" s="58"/>
      <c r="AG106" s="58"/>
      <c r="AH106" s="58"/>
      <c r="AI106" s="58"/>
      <c r="AJ106" s="19"/>
      <c r="AK106" s="20"/>
      <c r="AL106" s="62"/>
      <c r="AM106" s="62"/>
      <c r="AN106" s="62"/>
      <c r="AO106" s="62"/>
      <c r="AP106" s="62"/>
      <c r="AQ106" s="62"/>
      <c r="AR106" s="62"/>
      <c r="AS106" s="62"/>
      <c r="AT106" s="62"/>
      <c r="AU106" s="62"/>
      <c r="AV106" s="62"/>
      <c r="AW106" s="62"/>
    </row>
    <row r="107" spans="1:49" ht="22.15" customHeight="1">
      <c r="A107"/>
      <c r="B107"/>
      <c r="C107" s="58"/>
      <c r="D107" s="58"/>
      <c r="E107" s="58"/>
      <c r="F107" s="58"/>
      <c r="G107" s="58"/>
      <c r="H107" s="58"/>
      <c r="I107" s="58"/>
      <c r="J107" s="59"/>
      <c r="K107" s="58"/>
      <c r="L107" s="58"/>
      <c r="M107" s="58"/>
      <c r="N107" s="58"/>
      <c r="O107" s="58"/>
      <c r="P107" s="59"/>
      <c r="Q107" s="58"/>
      <c r="R107" s="58"/>
      <c r="S107" s="58"/>
      <c r="T107" s="58"/>
      <c r="U107" s="60"/>
      <c r="V107" s="58"/>
      <c r="W107" s="59"/>
      <c r="X107" s="58"/>
      <c r="Y107" s="58"/>
      <c r="Z107" s="58"/>
      <c r="AA107" s="58"/>
      <c r="AB107" s="60"/>
      <c r="AD107" s="58"/>
      <c r="AE107" s="59"/>
      <c r="AF107" s="58"/>
      <c r="AG107" s="58"/>
      <c r="AH107" s="58"/>
      <c r="AI107" s="58"/>
      <c r="AJ107" s="60"/>
    </row>
    <row r="108" spans="1:49" ht="22.15" customHeight="1">
      <c r="A108"/>
      <c r="B108"/>
      <c r="C108" s="58"/>
      <c r="D108" s="58"/>
      <c r="E108" s="58"/>
      <c r="F108" s="58"/>
      <c r="G108" s="58"/>
      <c r="H108" s="58"/>
      <c r="I108" s="58"/>
      <c r="J108" s="59"/>
      <c r="K108" s="58"/>
      <c r="L108" s="58"/>
      <c r="M108" s="58"/>
      <c r="N108" s="58"/>
      <c r="O108" s="58"/>
      <c r="P108" s="59"/>
      <c r="Q108" s="58"/>
      <c r="R108" s="58"/>
      <c r="S108" s="58"/>
      <c r="T108" s="58"/>
      <c r="U108" s="60"/>
      <c r="V108" s="58"/>
      <c r="W108" s="59"/>
      <c r="X108" s="58"/>
      <c r="Y108" s="58"/>
      <c r="Z108" s="58"/>
      <c r="AA108" s="58"/>
      <c r="AB108" s="60"/>
      <c r="AD108" s="58"/>
      <c r="AE108" s="59"/>
      <c r="AF108" s="58"/>
      <c r="AG108" s="58"/>
      <c r="AH108" s="58"/>
      <c r="AI108" s="58"/>
      <c r="AJ108" s="60"/>
    </row>
    <row r="109" spans="1:49" ht="22.15" customHeight="1">
      <c r="A109"/>
      <c r="B109"/>
      <c r="C109" s="58"/>
      <c r="D109" s="58"/>
      <c r="E109" s="58"/>
      <c r="F109" s="58"/>
      <c r="G109" s="58"/>
      <c r="H109" s="58"/>
      <c r="I109" s="58"/>
      <c r="J109" s="59"/>
      <c r="K109" s="58"/>
      <c r="L109" s="58"/>
      <c r="M109" s="58"/>
      <c r="N109" s="58"/>
      <c r="O109" s="58"/>
      <c r="P109" s="59"/>
      <c r="Q109" s="58"/>
      <c r="R109" s="58"/>
      <c r="S109" s="58"/>
      <c r="T109" s="58"/>
      <c r="V109" s="58"/>
      <c r="W109" s="59"/>
      <c r="X109" s="58"/>
      <c r="Y109" s="58"/>
      <c r="Z109" s="58"/>
      <c r="AA109" s="58"/>
      <c r="AD109" s="58"/>
      <c r="AE109" s="59"/>
      <c r="AF109" s="58"/>
      <c r="AG109" s="58"/>
      <c r="AH109" s="58"/>
      <c r="AI109" s="58"/>
    </row>
    <row r="110" spans="1:49" ht="22.15" customHeight="1">
      <c r="A110"/>
      <c r="B110"/>
      <c r="C110" s="58"/>
      <c r="D110" s="58"/>
      <c r="E110" s="58"/>
      <c r="F110" s="58"/>
      <c r="I110" s="58"/>
      <c r="J110" s="59"/>
      <c r="K110" s="58"/>
      <c r="L110" s="58"/>
      <c r="O110" s="58"/>
      <c r="P110" s="59"/>
      <c r="Q110" s="58"/>
      <c r="R110" s="58"/>
      <c r="V110" s="58"/>
      <c r="W110" s="59"/>
      <c r="X110" s="58"/>
      <c r="Y110" s="58"/>
      <c r="AD110" s="58"/>
      <c r="AE110" s="59"/>
      <c r="AF110" s="58"/>
      <c r="AG110" s="58"/>
    </row>
  </sheetData>
  <phoneticPr fontId="9" type="noConversion"/>
  <conditionalFormatting sqref="G3:H103">
    <cfRule type="cellIs" dxfId="32" priority="37" stopIfTrue="1" operator="equal">
      <formula>50</formula>
    </cfRule>
    <cfRule type="cellIs" dxfId="31" priority="38" stopIfTrue="1" operator="lessThan">
      <formula>50</formula>
    </cfRule>
    <cfRule type="cellIs" dxfId="30" priority="39" stopIfTrue="1" operator="greaterThan">
      <formula>50</formula>
    </cfRule>
  </conditionalFormatting>
  <conditionalFormatting sqref="H3:H103">
    <cfRule type="cellIs" dxfId="29" priority="31" stopIfTrue="1" operator="between">
      <formula>15</formula>
      <formula>20</formula>
    </cfRule>
    <cfRule type="cellIs" dxfId="28" priority="32" stopIfTrue="1" operator="lessThan">
      <formula>15</formula>
    </cfRule>
    <cfRule type="cellIs" dxfId="27" priority="33" stopIfTrue="1" operator="greaterThan">
      <formula>20</formula>
    </cfRule>
    <cfRule type="cellIs" dxfId="26" priority="34" stopIfTrue="1" operator="between">
      <formula>15</formula>
      <formula>20</formula>
    </cfRule>
    <cfRule type="cellIs" dxfId="25" priority="35" stopIfTrue="1" operator="lessThan">
      <formula>15</formula>
    </cfRule>
    <cfRule type="cellIs" dxfId="24" priority="36" stopIfTrue="1" operator="greaterThan">
      <formula>20</formula>
    </cfRule>
  </conditionalFormatting>
  <conditionalFormatting sqref="M3:N103">
    <cfRule type="cellIs" dxfId="23" priority="28" stopIfTrue="1" operator="equal">
      <formula>50</formula>
    </cfRule>
    <cfRule type="cellIs" dxfId="22" priority="29" stopIfTrue="1" operator="lessThan">
      <formula>50</formula>
    </cfRule>
    <cfRule type="cellIs" dxfId="21" priority="30" stopIfTrue="1" operator="greaterThan">
      <formula>50</formula>
    </cfRule>
  </conditionalFormatting>
  <conditionalFormatting sqref="N3:N103">
    <cfRule type="cellIs" dxfId="20" priority="22" stopIfTrue="1" operator="between">
      <formula>15</formula>
      <formula>20</formula>
    </cfRule>
    <cfRule type="cellIs" dxfId="19" priority="23" stopIfTrue="1" operator="lessThan">
      <formula>15</formula>
    </cfRule>
    <cfRule type="cellIs" dxfId="18" priority="24" stopIfTrue="1" operator="greaterThan">
      <formula>20</formula>
    </cfRule>
    <cfRule type="cellIs" dxfId="17" priority="25" stopIfTrue="1" operator="between">
      <formula>15</formula>
      <formula>20</formula>
    </cfRule>
    <cfRule type="cellIs" dxfId="16" priority="26" stopIfTrue="1" operator="lessThan">
      <formula>15</formula>
    </cfRule>
    <cfRule type="cellIs" dxfId="15" priority="27" stopIfTrue="1" operator="greaterThan">
      <formula>20</formula>
    </cfRule>
  </conditionalFormatting>
  <conditionalFormatting sqref="S3:T103">
    <cfRule type="cellIs" dxfId="14" priority="19" stopIfTrue="1" operator="equal">
      <formula>50</formula>
    </cfRule>
    <cfRule type="cellIs" dxfId="13" priority="20" stopIfTrue="1" operator="lessThan">
      <formula>50</formula>
    </cfRule>
    <cfRule type="cellIs" dxfId="12" priority="21" stopIfTrue="1" operator="greaterThan">
      <formula>50</formula>
    </cfRule>
  </conditionalFormatting>
  <conditionalFormatting sqref="T3:T103">
    <cfRule type="cellIs" dxfId="11" priority="13" stopIfTrue="1" operator="between">
      <formula>15</formula>
      <formula>20</formula>
    </cfRule>
    <cfRule type="cellIs" dxfId="10" priority="14" stopIfTrue="1" operator="lessThan">
      <formula>15</formula>
    </cfRule>
    <cfRule type="cellIs" dxfId="9" priority="15" stopIfTrue="1" operator="greaterThan">
      <formula>20</formula>
    </cfRule>
    <cfRule type="cellIs" dxfId="8" priority="16" stopIfTrue="1" operator="between">
      <formula>15</formula>
      <formula>20</formula>
    </cfRule>
    <cfRule type="cellIs" dxfId="7" priority="17" stopIfTrue="1" operator="lessThan">
      <formula>15</formula>
    </cfRule>
    <cfRule type="cellIs" dxfId="6" priority="18" stopIfTrue="1" operator="greaterThan">
      <formula>20</formula>
    </cfRule>
  </conditionalFormatting>
  <conditionalFormatting sqref="Z3:AA103">
    <cfRule type="cellIs" dxfId="5" priority="10" stopIfTrue="1" operator="equal">
      <formula>50</formula>
    </cfRule>
    <cfRule type="cellIs" dxfId="4" priority="11" stopIfTrue="1" operator="lessThan">
      <formula>50</formula>
    </cfRule>
    <cfRule type="cellIs" dxfId="3" priority="12" stopIfTrue="1" operator="greaterThan">
      <formula>50</formula>
    </cfRule>
  </conditionalFormatting>
  <conditionalFormatting sqref="AH3:AI103">
    <cfRule type="cellIs" dxfId="2" priority="1" stopIfTrue="1" operator="equal">
      <formula>50</formula>
    </cfRule>
    <cfRule type="cellIs" dxfId="1" priority="2" stopIfTrue="1" operator="lessThan">
      <formula>50</formula>
    </cfRule>
    <cfRule type="cellIs" dxfId="0" priority="3" stopIfTrue="1" operator="greaterThan">
      <formula>50</formula>
    </cfRule>
  </conditionalFormatting>
  <pageMargins left="0.7" right="0.7" top="0.75" bottom="0.75" header="0.3" footer="0.3"/>
  <pageSetup paperSize="9"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Zver</cp:lastModifiedBy>
  <cp:lastPrinted>2024-10-09T13:18:46Z</cp:lastPrinted>
  <dcterms:created xsi:type="dcterms:W3CDTF">2015-06-05T18:19:34Z</dcterms:created>
  <dcterms:modified xsi:type="dcterms:W3CDTF">2025-12-22T13:08:24Z</dcterms:modified>
</cp:coreProperties>
</file>