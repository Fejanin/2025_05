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77" i="1"/>
  <c r="AK90"/>
  <c r="AK89"/>
  <c r="AC83"/>
  <c r="AC77"/>
  <c r="AJ96" l="1"/>
  <c r="AI96"/>
  <c r="AI97"/>
  <c r="AI98"/>
  <c r="AI99"/>
  <c r="AI100"/>
  <c r="AJ95"/>
  <c r="AI95"/>
  <c r="AJ94"/>
  <c r="AI94"/>
  <c r="AJ93"/>
  <c r="AI93"/>
  <c r="AJ92"/>
  <c r="AI92"/>
  <c r="AJ91"/>
  <c r="AI91"/>
  <c r="AJ90"/>
  <c r="AI90"/>
  <c r="AJ89"/>
  <c r="AI89"/>
  <c r="AJ88"/>
  <c r="AI88"/>
  <c r="AJ87"/>
  <c r="AI87"/>
  <c r="AJ86"/>
  <c r="AI86"/>
  <c r="AJ85"/>
  <c r="AI85"/>
  <c r="AJ84"/>
  <c r="AI84"/>
  <c r="AJ83"/>
  <c r="AI83"/>
  <c r="AJ82"/>
  <c r="AI82"/>
  <c r="AJ81"/>
  <c r="AI81"/>
  <c r="AJ80"/>
  <c r="AI80"/>
  <c r="AJ79"/>
  <c r="AI79"/>
  <c r="AJ78"/>
  <c r="AI78"/>
  <c r="AJ77"/>
  <c r="AI77"/>
  <c r="AJ76"/>
  <c r="AI76"/>
  <c r="AJ75"/>
  <c r="AI75"/>
  <c r="AJ74"/>
  <c r="AI74"/>
  <c r="AJ73"/>
  <c r="AI73"/>
  <c r="AJ72"/>
  <c r="AI72"/>
  <c r="AJ71"/>
  <c r="AI71"/>
  <c r="AJ70"/>
  <c r="AI70"/>
  <c r="AJ69"/>
  <c r="AI69"/>
  <c r="AJ68"/>
  <c r="AI68"/>
  <c r="AJ67"/>
  <c r="AI67"/>
  <c r="AJ66"/>
  <c r="AI66"/>
  <c r="AJ65"/>
  <c r="AI65"/>
  <c r="AJ64"/>
  <c r="AI64"/>
  <c r="AJ63"/>
  <c r="AI63"/>
  <c r="AJ62"/>
  <c r="AI62"/>
  <c r="AJ61"/>
  <c r="AI61"/>
  <c r="AJ60"/>
  <c r="AI60"/>
  <c r="AJ59"/>
  <c r="AI59"/>
  <c r="AJ58"/>
  <c r="AI58"/>
  <c r="AJ57"/>
  <c r="AI57"/>
  <c r="AJ56"/>
  <c r="AI56"/>
  <c r="AJ55"/>
  <c r="AI55"/>
  <c r="AJ54"/>
  <c r="AI54"/>
  <c r="AJ53"/>
  <c r="AI53"/>
  <c r="AJ52"/>
  <c r="AI52"/>
  <c r="AJ51"/>
  <c r="AI51"/>
  <c r="AJ50"/>
  <c r="AI50"/>
  <c r="AJ49"/>
  <c r="AI49"/>
  <c r="AJ48"/>
  <c r="AI48"/>
  <c r="AJ47"/>
  <c r="AI47"/>
  <c r="AJ46"/>
  <c r="AI46"/>
  <c r="AJ45"/>
  <c r="AI45"/>
  <c r="AJ44"/>
  <c r="AI44"/>
  <c r="AJ43"/>
  <c r="AI43"/>
  <c r="AJ42"/>
  <c r="AI42"/>
  <c r="AJ41"/>
  <c r="AI41"/>
  <c r="AJ40"/>
  <c r="AI40"/>
  <c r="AJ39"/>
  <c r="AI39"/>
  <c r="AJ38"/>
  <c r="AI38"/>
  <c r="AJ37"/>
  <c r="AI37"/>
  <c r="AJ36"/>
  <c r="AI36"/>
  <c r="AJ35"/>
  <c r="AI35"/>
  <c r="AJ34"/>
  <c r="AI34"/>
  <c r="AJ33"/>
  <c r="AI33"/>
  <c r="AJ32"/>
  <c r="AI32"/>
  <c r="AJ31"/>
  <c r="AI31"/>
  <c r="AJ30"/>
  <c r="AI30"/>
  <c r="AJ29"/>
  <c r="AI29"/>
  <c r="AJ28"/>
  <c r="AI28"/>
  <c r="AJ27"/>
  <c r="AI27"/>
  <c r="AJ26"/>
  <c r="AI26"/>
  <c r="AJ25"/>
  <c r="AI25"/>
  <c r="AJ24"/>
  <c r="AI24"/>
  <c r="AJ23"/>
  <c r="AI23"/>
  <c r="AJ22"/>
  <c r="AI22"/>
  <c r="AJ21"/>
  <c r="AI21"/>
  <c r="AJ20"/>
  <c r="AI20"/>
  <c r="AJ19"/>
  <c r="AI19"/>
  <c r="AJ18"/>
  <c r="AI18"/>
  <c r="AJ17"/>
  <c r="AI17"/>
  <c r="AJ16"/>
  <c r="AI16"/>
  <c r="AJ15"/>
  <c r="AI15"/>
  <c r="AJ14"/>
  <c r="AI14"/>
  <c r="AJ13"/>
  <c r="AI13"/>
  <c r="AJ12"/>
  <c r="AI12"/>
  <c r="AJ11"/>
  <c r="AI11"/>
  <c r="AJ10"/>
  <c r="AI10"/>
  <c r="AJ9"/>
  <c r="AI9"/>
  <c r="AJ8"/>
  <c r="AI8"/>
  <c r="AJ7"/>
  <c r="AI7"/>
  <c r="AJ6"/>
  <c r="AI6"/>
  <c r="AJ5"/>
  <c r="AI5"/>
  <c r="AJ4"/>
  <c r="AI4"/>
  <c r="AJ3"/>
  <c r="AI3"/>
  <c r="AJ1"/>
  <c r="AB95" l="1"/>
  <c r="AA95"/>
  <c r="AB94"/>
  <c r="AA94"/>
  <c r="AB93"/>
  <c r="AA93"/>
  <c r="AB92"/>
  <c r="AA92"/>
  <c r="AB91"/>
  <c r="AA91"/>
  <c r="AB90"/>
  <c r="AA90"/>
  <c r="AB89"/>
  <c r="AA89"/>
  <c r="AB88"/>
  <c r="AA88"/>
  <c r="AB87"/>
  <c r="AA87"/>
  <c r="AB86"/>
  <c r="AA86"/>
  <c r="AB85"/>
  <c r="AA85"/>
  <c r="AB84"/>
  <c r="AA84"/>
  <c r="AB83"/>
  <c r="AA83"/>
  <c r="AB82"/>
  <c r="AA82"/>
  <c r="AB81"/>
  <c r="AA81"/>
  <c r="AB80"/>
  <c r="AA80"/>
  <c r="AB79"/>
  <c r="AA79"/>
  <c r="AB78"/>
  <c r="AA78"/>
  <c r="AB77"/>
  <c r="AA77"/>
  <c r="AB76"/>
  <c r="AA76"/>
  <c r="AB75"/>
  <c r="AA75"/>
  <c r="AB74"/>
  <c r="AA74"/>
  <c r="AB73"/>
  <c r="AA73"/>
  <c r="AB72"/>
  <c r="AA72"/>
  <c r="AB71"/>
  <c r="AA71"/>
  <c r="AB70"/>
  <c r="AA70"/>
  <c r="AB69"/>
  <c r="AA69"/>
  <c r="AB68"/>
  <c r="AA68"/>
  <c r="AB67"/>
  <c r="AA67"/>
  <c r="AB66"/>
  <c r="AA66"/>
  <c r="AB65"/>
  <c r="AA65"/>
  <c r="AB64"/>
  <c r="AA64"/>
  <c r="AB63"/>
  <c r="AA63"/>
  <c r="AB62"/>
  <c r="AA62"/>
  <c r="AB61"/>
  <c r="AA61"/>
  <c r="AB60"/>
  <c r="AA60"/>
  <c r="AB59"/>
  <c r="AA59"/>
  <c r="AB58"/>
  <c r="AA58"/>
  <c r="AB57"/>
  <c r="AA57"/>
  <c r="AB56"/>
  <c r="AA56"/>
  <c r="AB55"/>
  <c r="AA55"/>
  <c r="AB54"/>
  <c r="AA54"/>
  <c r="AB53"/>
  <c r="AA53"/>
  <c r="AB52"/>
  <c r="AA52"/>
  <c r="AB51"/>
  <c r="AA51"/>
  <c r="AB50"/>
  <c r="AA50"/>
  <c r="AB49"/>
  <c r="AA49"/>
  <c r="AB48"/>
  <c r="AA48"/>
  <c r="AB47"/>
  <c r="AA47"/>
  <c r="AB46"/>
  <c r="AA46"/>
  <c r="AB45"/>
  <c r="AA45"/>
  <c r="AB44"/>
  <c r="AA44"/>
  <c r="AB43"/>
  <c r="AA43"/>
  <c r="AB42"/>
  <c r="AA42"/>
  <c r="AB41"/>
  <c r="AA41"/>
  <c r="AB40"/>
  <c r="AA40"/>
  <c r="AB39"/>
  <c r="AA39"/>
  <c r="AB38"/>
  <c r="AA38"/>
  <c r="AB37"/>
  <c r="AA37"/>
  <c r="AB36"/>
  <c r="AA36"/>
  <c r="AB35"/>
  <c r="AA35"/>
  <c r="AB34"/>
  <c r="AA34"/>
  <c r="AB33"/>
  <c r="AA33"/>
  <c r="AB32"/>
  <c r="AA32"/>
  <c r="AB31"/>
  <c r="AA31"/>
  <c r="AB30"/>
  <c r="AA30"/>
  <c r="AB29"/>
  <c r="AA29"/>
  <c r="AB28"/>
  <c r="AA28"/>
  <c r="AB27"/>
  <c r="AA27"/>
  <c r="AB26"/>
  <c r="AA26"/>
  <c r="AB25"/>
  <c r="AA25"/>
  <c r="AB24"/>
  <c r="AA24"/>
  <c r="AB23"/>
  <c r="AA23"/>
  <c r="AB22"/>
  <c r="AA22"/>
  <c r="AB21"/>
  <c r="AA21"/>
  <c r="AB20"/>
  <c r="AA20"/>
  <c r="AB19"/>
  <c r="AA19"/>
  <c r="AB18"/>
  <c r="AA18"/>
  <c r="AB17"/>
  <c r="AA17"/>
  <c r="AB16"/>
  <c r="AA16"/>
  <c r="AB15"/>
  <c r="AA15"/>
  <c r="AB14"/>
  <c r="AA14"/>
  <c r="AB13"/>
  <c r="AA13"/>
  <c r="AB12"/>
  <c r="AA12"/>
  <c r="AB11"/>
  <c r="AA11"/>
  <c r="AB10"/>
  <c r="AA10"/>
  <c r="AB9"/>
  <c r="AA9"/>
  <c r="AB8"/>
  <c r="AA8"/>
  <c r="AB7"/>
  <c r="AA7"/>
  <c r="AB6"/>
  <c r="AA6"/>
  <c r="AB5"/>
  <c r="AA5"/>
  <c r="AB4"/>
  <c r="AA4"/>
  <c r="AB3"/>
  <c r="AA3"/>
  <c r="S87"/>
  <c r="T87"/>
  <c r="G83"/>
  <c r="U86" l="1"/>
  <c r="U85" l="1"/>
  <c r="U84"/>
  <c r="U78"/>
  <c r="U79"/>
  <c r="U80"/>
  <c r="U81"/>
  <c r="U83"/>
  <c r="U77"/>
  <c r="U71"/>
  <c r="U76" l="1"/>
  <c r="U75"/>
  <c r="U74"/>
  <c r="U73"/>
  <c r="U72"/>
  <c r="T95"/>
  <c r="S95"/>
  <c r="T94"/>
  <c r="S94"/>
  <c r="T93"/>
  <c r="S93"/>
  <c r="T92"/>
  <c r="S92"/>
  <c r="T91"/>
  <c r="S91"/>
  <c r="T90"/>
  <c r="S90"/>
  <c r="T89"/>
  <c r="S89"/>
  <c r="T88"/>
  <c r="S88"/>
  <c r="T86"/>
  <c r="S86"/>
  <c r="T85"/>
  <c r="S85"/>
  <c r="T84"/>
  <c r="S84"/>
  <c r="T83"/>
  <c r="S83"/>
  <c r="T82"/>
  <c r="S82"/>
  <c r="T81"/>
  <c r="S81"/>
  <c r="T80"/>
  <c r="S80"/>
  <c r="T79"/>
  <c r="S79"/>
  <c r="T78"/>
  <c r="S78"/>
  <c r="T77"/>
  <c r="S77"/>
  <c r="T76"/>
  <c r="S76"/>
  <c r="T75"/>
  <c r="S75"/>
  <c r="T74"/>
  <c r="S74"/>
  <c r="T73"/>
  <c r="S73"/>
  <c r="T72"/>
  <c r="S72"/>
  <c r="T71"/>
  <c r="S71"/>
  <c r="T70"/>
  <c r="S70"/>
  <c r="T69"/>
  <c r="S69"/>
  <c r="T68"/>
  <c r="S68"/>
  <c r="T67"/>
  <c r="S67"/>
  <c r="T66"/>
  <c r="S66"/>
  <c r="T65"/>
  <c r="S65"/>
  <c r="T64"/>
  <c r="S64"/>
  <c r="T63"/>
  <c r="S63"/>
  <c r="T62"/>
  <c r="S62"/>
  <c r="T61"/>
  <c r="S61"/>
  <c r="T60"/>
  <c r="S60"/>
  <c r="T59"/>
  <c r="S59"/>
  <c r="T58"/>
  <c r="S58"/>
  <c r="T57"/>
  <c r="S57"/>
  <c r="T56"/>
  <c r="S56"/>
  <c r="T55"/>
  <c r="S55"/>
  <c r="T54"/>
  <c r="S54"/>
  <c r="T53"/>
  <c r="S53"/>
  <c r="T52"/>
  <c r="S52"/>
  <c r="T51"/>
  <c r="S51"/>
  <c r="T50"/>
  <c r="S50"/>
  <c r="T49"/>
  <c r="S49"/>
  <c r="T48"/>
  <c r="S48"/>
  <c r="T47"/>
  <c r="S47"/>
  <c r="T46"/>
  <c r="S46"/>
  <c r="T45"/>
  <c r="S45"/>
  <c r="T44"/>
  <c r="S44"/>
  <c r="T43"/>
  <c r="S43"/>
  <c r="T42"/>
  <c r="S42"/>
  <c r="T41"/>
  <c r="S41"/>
  <c r="T40"/>
  <c r="S40"/>
  <c r="T39"/>
  <c r="S39"/>
  <c r="T38"/>
  <c r="S38"/>
  <c r="T37"/>
  <c r="S37"/>
  <c r="T36"/>
  <c r="S36"/>
  <c r="T35"/>
  <c r="S35"/>
  <c r="T34"/>
  <c r="S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T8"/>
  <c r="S8"/>
  <c r="T7"/>
  <c r="S7"/>
  <c r="T6"/>
  <c r="S6"/>
  <c r="T5"/>
  <c r="S5"/>
  <c r="T4"/>
  <c r="S4"/>
  <c r="T3"/>
  <c r="S3"/>
  <c r="G71" l="1"/>
  <c r="M95"/>
  <c r="M93"/>
  <c r="M91"/>
  <c r="M89"/>
  <c r="M86"/>
  <c r="M84"/>
  <c r="M82"/>
  <c r="M80"/>
  <c r="M78"/>
  <c r="M76"/>
  <c r="M74"/>
  <c r="M72"/>
  <c r="M70"/>
  <c r="M68"/>
  <c r="M66"/>
  <c r="M64"/>
  <c r="M62"/>
  <c r="M60"/>
  <c r="M58"/>
  <c r="M56"/>
  <c r="M54"/>
  <c r="M52"/>
  <c r="M50"/>
  <c r="M48"/>
  <c r="M46"/>
  <c r="M44"/>
  <c r="M42"/>
  <c r="M40"/>
  <c r="M38"/>
  <c r="M36"/>
  <c r="M34"/>
  <c r="M32"/>
  <c r="M30"/>
  <c r="M28"/>
  <c r="M26"/>
  <c r="M24"/>
  <c r="M22"/>
  <c r="M20"/>
  <c r="M18"/>
  <c r="M16"/>
  <c r="M14"/>
  <c r="M12"/>
  <c r="M10"/>
  <c r="M9"/>
  <c r="M8"/>
  <c r="M7"/>
  <c r="M6"/>
  <c r="M5"/>
  <c r="M4"/>
  <c r="M3"/>
  <c r="M94"/>
  <c r="M92"/>
  <c r="M90"/>
  <c r="M88"/>
  <c r="M85"/>
  <c r="M83"/>
  <c r="M81"/>
  <c r="M79"/>
  <c r="M77"/>
  <c r="M75"/>
  <c r="M73"/>
  <c r="M71"/>
  <c r="M69"/>
  <c r="M67"/>
  <c r="M65"/>
  <c r="M63"/>
  <c r="M61"/>
  <c r="M59"/>
  <c r="M57"/>
  <c r="M55"/>
  <c r="M53"/>
  <c r="M51"/>
  <c r="M49"/>
  <c r="M47"/>
  <c r="M45"/>
  <c r="M43"/>
  <c r="M41"/>
  <c r="M39"/>
  <c r="M37"/>
  <c r="M35"/>
  <c r="M33"/>
  <c r="M31"/>
  <c r="M29"/>
  <c r="M27"/>
  <c r="M25"/>
  <c r="M23"/>
  <c r="M21"/>
  <c r="M19"/>
  <c r="M17"/>
  <c r="M15"/>
  <c r="M13"/>
  <c r="M11"/>
  <c r="H71"/>
  <c r="N95"/>
  <c r="N94"/>
  <c r="N93"/>
  <c r="N92"/>
  <c r="N91"/>
  <c r="N90"/>
  <c r="N89"/>
  <c r="N88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  <c r="N6"/>
  <c r="N5"/>
  <c r="N4"/>
  <c r="N3"/>
  <c r="H95"/>
  <c r="G95"/>
  <c r="H93"/>
  <c r="G93"/>
  <c r="H94"/>
  <c r="H92"/>
  <c r="G94"/>
  <c r="G92"/>
  <c r="G91"/>
  <c r="H91"/>
  <c r="H90"/>
  <c r="G90"/>
  <c r="H89"/>
  <c r="G89"/>
  <c r="H88"/>
  <c r="G88"/>
  <c r="H86"/>
  <c r="G86"/>
  <c r="H85"/>
  <c r="G85"/>
  <c r="H84"/>
  <c r="G84"/>
  <c r="H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<sst xmlns="http://schemas.openxmlformats.org/spreadsheetml/2006/main" count="501" uniqueCount="94">
  <si>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</si>
  <si>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</si>
  <si>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</si>
  <si>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</si>
  <si>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</si>
  <si>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</si>
  <si>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</si>
  <si>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</si>
  <si>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</si>
  <si>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</si>
  <si>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</si>
  <si>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</si>
  <si>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</si>
  <si>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</si>
  <si>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</si>
  <si>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</si>
  <si>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</si>
  <si>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</si>
  <si>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</si>
  <si>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</si>
  <si>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</si>
  <si>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</si>
  <si>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</si>
  <si>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</si>
  <si>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</si>
  <si>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</si>
  <si>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</si>
  <si>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</si>
  <si>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</si>
  <si>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</si>
  <si>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</si>
  <si>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</si>
  <si>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</si>
  <si>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</si>
  <si>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</si>
  <si>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</si>
  <si>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</si>
  <si>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</si>
  <si>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</si>
  <si>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</si>
  <si>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</si>
  <si>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</si>
  <si>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</si>
  <si>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</si>
  <si>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</si>
  <si>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</si>
  <si>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</si>
  <si>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</si>
  <si>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</si>
  <si>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</si>
  <si>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</si>
  <si>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</si>
  <si>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</si>
  <si>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</si>
  <si>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</si>
  <si>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</si>
  <si>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</si>
  <si>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</si>
  <si>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</si>
  <si>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</si>
  <si>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</si>
  <si>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</si>
  <si>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</si>
  <si>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</si>
  <si>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</si>
  <si>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</si>
  <si>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</si>
  <si>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</si>
  <si>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</si>
  <si>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</si>
  <si>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</si>
  <si>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</si>
  <si>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</si>
  <si>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</si>
  <si>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</si>
  <si>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</si>
  <si>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</si>
  <si>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</si>
  <si>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</si>
  <si>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</si>
  <si>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090  Мини-салями со вкусом бекона,  0.05кг, ядрена копоть   ПОКОМ, 4301032013</t>
  </si>
  <si>
    <t xml:space="preserve"> 318  Сосиски Датские ТМ Зареченские, ВЕС  ПОКОМ, SU002655</t>
  </si>
  <si>
    <t xml:space="preserve"> 250  Сардельки стародворские с говядиной в обол. NDX, ВЕС. ПОКОМ, SU000227</t>
  </si>
  <si>
    <t xml:space="preserve"> 263  Шпикачки Стародворские, ВЕС.  ПОКОМ, SU001728</t>
  </si>
  <si>
    <t xml:space="preserve"> 283  Сосиски Сочинки, ВЕС, ТМ Стародворье ПОКОМ, SU002725</t>
  </si>
  <si>
    <t xml:space="preserve"> 329  Сардельки Сочинки с сыром Стародворье ТМ, 0,4 кг. ПОКОМ, SU002759</t>
  </si>
  <si>
    <t xml:space="preserve"> 281  Сосиски Молочные для завтрака ТМ Особый рецепт, 0,4кг  ПОКОМ, SU002205</t>
  </si>
  <si>
    <t xml:space="preserve"> 062  Колбаса Кракушка пряная с сальцем, 0.3кг в/у п/к, БАВАРУШКА ПОКОМ, SU002252</t>
  </si>
  <si>
    <t>Продано</t>
  </si>
  <si>
    <t>Списано</t>
  </si>
  <si>
    <t xml:space="preserve"> 016  Сосиски Вязанка Молочные, Вязанка вискофан  ВЕС.ПОКОМ, SU001523</t>
  </si>
  <si>
    <t>ШТ</t>
  </si>
  <si>
    <t>КГ</t>
  </si>
  <si>
    <t xml:space="preserve"> 032  Сосиски Вязанка Сливочные, Вязанка амицел МГС, 0.45кг, ПОКОМ, 4301050983</t>
  </si>
</sst>
</file>

<file path=xl/styles.xml><?xml version="1.0" encoding="utf-8"?>
<styleSheet xmlns="http://schemas.openxmlformats.org/spreadsheetml/2006/main">
  <numFmts count="1">
    <numFmt numFmtId="164" formatCode="0.000;[Red]\-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6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2" xfId="2" applyBorder="1" applyAlignment="1">
      <alignment vertical="top" wrapText="1" indent="4"/>
    </xf>
    <xf numFmtId="0" fontId="8" fillId="0" borderId="2" xfId="2" applyNumberFormat="1" applyFont="1" applyBorder="1" applyAlignment="1">
      <alignment vertical="top" wrapText="1" indent="6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8" fillId="9" borderId="2" xfId="2" applyNumberFormat="1" applyFont="1" applyFill="1" applyBorder="1" applyAlignment="1">
      <alignment vertical="top" wrapText="1" indent="6"/>
    </xf>
    <xf numFmtId="0" fontId="0" fillId="8" borderId="0" xfId="0" applyFill="1" applyAlignment="1">
      <alignment horizontal="center" wrapText="1"/>
    </xf>
    <xf numFmtId="164" fontId="8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" fontId="8" fillId="0" borderId="2" xfId="2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8" fillId="9" borderId="2" xfId="2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2" fontId="4" fillId="3" borderId="3" xfId="0" applyNumberFormat="1" applyFont="1" applyFill="1" applyBorder="1" applyAlignment="1">
      <alignment horizontal="center" vertical="center" wrapText="1"/>
    </xf>
    <xf numFmtId="2" fontId="8" fillId="0" borderId="2" xfId="2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13" borderId="2" xfId="2" applyNumberFormat="1" applyFont="1" applyFill="1" applyBorder="1" applyAlignment="1">
      <alignment vertical="top" wrapText="1" indent="6"/>
    </xf>
    <xf numFmtId="2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2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8" fillId="9" borderId="9" xfId="2" applyNumberFormat="1" applyFont="1" applyFill="1" applyBorder="1" applyAlignment="1">
      <alignment vertical="top" wrapText="1" indent="6"/>
    </xf>
    <xf numFmtId="0" fontId="8" fillId="0" borderId="6" xfId="2" applyBorder="1" applyAlignment="1">
      <alignment vertical="top" wrapText="1" indent="6"/>
    </xf>
    <xf numFmtId="0" fontId="0" fillId="0" borderId="6" xfId="0" applyBorder="1"/>
    <xf numFmtId="0" fontId="0" fillId="0" borderId="10" xfId="0" applyBorder="1"/>
    <xf numFmtId="0" fontId="0" fillId="0" borderId="8" xfId="0" applyBorder="1"/>
    <xf numFmtId="14" fontId="0" fillId="0" borderId="1" xfId="0" applyNumberFormat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2" fontId="0" fillId="9" borderId="1" xfId="0" applyNumberFormat="1" applyFill="1" applyBorder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45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R111"/>
  <sheetViews>
    <sheetView tabSelected="1" topLeftCell="B1" zoomScale="85" zoomScaleNormal="85" workbookViewId="0">
      <pane xSplit="1" topLeftCell="AA1" activePane="topRight" state="frozen"/>
      <selection activeCell="B1" sqref="B1"/>
      <selection pane="topRight" activeCell="AS86" sqref="AS86"/>
    </sheetView>
  </sheetViews>
  <sheetFormatPr defaultColWidth="8.85546875" defaultRowHeight="15"/>
  <cols>
    <col min="1" max="1" width="4" style="1" customWidth="1"/>
    <col min="2" max="2" width="45" style="1" customWidth="1"/>
    <col min="3" max="3" width="4.140625" style="16" customWidth="1"/>
    <col min="4" max="4" width="7" style="17" customWidth="1"/>
    <col min="5" max="5" width="11.140625" style="18" customWidth="1"/>
    <col min="6" max="6" width="11" style="18" customWidth="1"/>
    <col min="7" max="7" width="12.7109375" style="16" customWidth="1"/>
    <col min="8" max="8" width="12" style="16" customWidth="1"/>
    <col min="9" max="9" width="4.140625" style="16" customWidth="1"/>
    <col min="10" max="10" width="6.42578125" style="17" customWidth="1"/>
    <col min="11" max="11" width="11.28515625" style="18" customWidth="1"/>
    <col min="12" max="12" width="10.140625" style="18" customWidth="1"/>
    <col min="13" max="13" width="10.5703125" style="16" customWidth="1"/>
    <col min="14" max="14" width="13.7109375" style="16" customWidth="1"/>
    <col min="15" max="15" width="4.140625" style="16" customWidth="1"/>
    <col min="16" max="16" width="6.42578125" style="17" customWidth="1"/>
    <col min="17" max="17" width="11.28515625" style="18" customWidth="1"/>
    <col min="18" max="18" width="10.140625" style="18" customWidth="1"/>
    <col min="19" max="19" width="10.5703125" style="16" customWidth="1"/>
    <col min="20" max="20" width="13.7109375" style="16" customWidth="1"/>
    <col min="21" max="21" width="23.28515625" style="17" customWidth="1"/>
    <col min="22" max="22" width="19.5703125" style="10" customWidth="1"/>
    <col min="23" max="23" width="4.140625" style="16" customWidth="1"/>
    <col min="24" max="24" width="6.42578125" style="17" customWidth="1"/>
    <col min="25" max="25" width="11.28515625" style="18" customWidth="1"/>
    <col min="26" max="26" width="10.140625" style="18" customWidth="1"/>
    <col min="27" max="27" width="10.5703125" style="16" customWidth="1"/>
    <col min="28" max="28" width="13.7109375" style="16" customWidth="1"/>
    <col min="29" max="29" width="23.28515625" style="17" customWidth="1"/>
    <col min="30" max="30" width="19.5703125" style="10" customWidth="1"/>
    <col min="31" max="31" width="4.140625" style="16" customWidth="1"/>
    <col min="32" max="32" width="6.42578125" style="17" customWidth="1"/>
    <col min="33" max="33" width="11.28515625" style="18" customWidth="1"/>
    <col min="34" max="34" width="10.140625" style="18" customWidth="1"/>
    <col min="35" max="35" width="10.5703125" style="16" customWidth="1"/>
    <col min="36" max="36" width="13.7109375" style="16" customWidth="1"/>
    <col min="37" max="37" width="23.28515625" style="17" customWidth="1"/>
    <col min="38" max="38" width="19.5703125" style="10" customWidth="1"/>
    <col min="39" max="39" width="29.42578125" style="1" customWidth="1"/>
    <col min="40" max="284" width="8.85546875" style="1"/>
    <col min="285" max="285" width="4" style="1" customWidth="1"/>
    <col min="286" max="286" width="59.7109375" style="1" customWidth="1"/>
    <col min="287" max="287" width="4.85546875" style="1" customWidth="1"/>
    <col min="288" max="288" width="9" style="1" customWidth="1"/>
    <col min="289" max="289" width="15.85546875" style="1" customWidth="1"/>
    <col min="290" max="290" width="15.7109375" style="1" customWidth="1"/>
    <col min="291" max="291" width="15.42578125" style="1" customWidth="1"/>
    <col min="292" max="292" width="17.140625" style="1" customWidth="1"/>
    <col min="293" max="293" width="37.85546875" style="1" customWidth="1"/>
    <col min="294" max="294" width="36.5703125" style="1" customWidth="1"/>
    <col min="295" max="295" width="29.42578125" style="1" customWidth="1"/>
    <col min="296" max="540" width="8.85546875" style="1"/>
    <col min="541" max="541" width="4" style="1" customWidth="1"/>
    <col min="542" max="542" width="59.7109375" style="1" customWidth="1"/>
    <col min="543" max="543" width="4.85546875" style="1" customWidth="1"/>
    <col min="544" max="544" width="9" style="1" customWidth="1"/>
    <col min="545" max="545" width="15.85546875" style="1" customWidth="1"/>
    <col min="546" max="546" width="15.7109375" style="1" customWidth="1"/>
    <col min="547" max="547" width="15.42578125" style="1" customWidth="1"/>
    <col min="548" max="548" width="17.140625" style="1" customWidth="1"/>
    <col min="549" max="549" width="37.85546875" style="1" customWidth="1"/>
    <col min="550" max="550" width="36.5703125" style="1" customWidth="1"/>
    <col min="551" max="551" width="29.42578125" style="1" customWidth="1"/>
    <col min="552" max="796" width="8.85546875" style="1"/>
    <col min="797" max="797" width="4" style="1" customWidth="1"/>
    <col min="798" max="798" width="59.7109375" style="1" customWidth="1"/>
    <col min="799" max="799" width="4.85546875" style="1" customWidth="1"/>
    <col min="800" max="800" width="9" style="1" customWidth="1"/>
    <col min="801" max="801" width="15.85546875" style="1" customWidth="1"/>
    <col min="802" max="802" width="15.7109375" style="1" customWidth="1"/>
    <col min="803" max="803" width="15.42578125" style="1" customWidth="1"/>
    <col min="804" max="804" width="17.140625" style="1" customWidth="1"/>
    <col min="805" max="805" width="37.85546875" style="1" customWidth="1"/>
    <col min="806" max="806" width="36.5703125" style="1" customWidth="1"/>
    <col min="807" max="807" width="29.42578125" style="1" customWidth="1"/>
    <col min="808" max="1052" width="8.85546875" style="1"/>
    <col min="1053" max="1053" width="4" style="1" customWidth="1"/>
    <col min="1054" max="1054" width="59.7109375" style="1" customWidth="1"/>
    <col min="1055" max="1055" width="4.85546875" style="1" customWidth="1"/>
    <col min="1056" max="1056" width="9" style="1" customWidth="1"/>
    <col min="1057" max="1057" width="15.85546875" style="1" customWidth="1"/>
    <col min="1058" max="1058" width="15.7109375" style="1" customWidth="1"/>
    <col min="1059" max="1059" width="15.42578125" style="1" customWidth="1"/>
    <col min="1060" max="1060" width="17.140625" style="1" customWidth="1"/>
    <col min="1061" max="1061" width="37.85546875" style="1" customWidth="1"/>
    <col min="1062" max="1062" width="36.5703125" style="1" customWidth="1"/>
    <col min="1063" max="1063" width="29.42578125" style="1" customWidth="1"/>
    <col min="1064" max="1308" width="8.85546875" style="1"/>
    <col min="1309" max="1309" width="4" style="1" customWidth="1"/>
    <col min="1310" max="1310" width="59.7109375" style="1" customWidth="1"/>
    <col min="1311" max="1311" width="4.85546875" style="1" customWidth="1"/>
    <col min="1312" max="1312" width="9" style="1" customWidth="1"/>
    <col min="1313" max="1313" width="15.85546875" style="1" customWidth="1"/>
    <col min="1314" max="1314" width="15.7109375" style="1" customWidth="1"/>
    <col min="1315" max="1315" width="15.42578125" style="1" customWidth="1"/>
    <col min="1316" max="1316" width="17.140625" style="1" customWidth="1"/>
    <col min="1317" max="1317" width="37.85546875" style="1" customWidth="1"/>
    <col min="1318" max="1318" width="36.5703125" style="1" customWidth="1"/>
    <col min="1319" max="1319" width="29.42578125" style="1" customWidth="1"/>
    <col min="1320" max="1564" width="8.85546875" style="1"/>
    <col min="1565" max="1565" width="4" style="1" customWidth="1"/>
    <col min="1566" max="1566" width="59.7109375" style="1" customWidth="1"/>
    <col min="1567" max="1567" width="4.85546875" style="1" customWidth="1"/>
    <col min="1568" max="1568" width="9" style="1" customWidth="1"/>
    <col min="1569" max="1569" width="15.85546875" style="1" customWidth="1"/>
    <col min="1570" max="1570" width="15.7109375" style="1" customWidth="1"/>
    <col min="1571" max="1571" width="15.42578125" style="1" customWidth="1"/>
    <col min="1572" max="1572" width="17.140625" style="1" customWidth="1"/>
    <col min="1573" max="1573" width="37.85546875" style="1" customWidth="1"/>
    <col min="1574" max="1574" width="36.5703125" style="1" customWidth="1"/>
    <col min="1575" max="1575" width="29.42578125" style="1" customWidth="1"/>
    <col min="1576" max="1820" width="8.85546875" style="1"/>
    <col min="1821" max="1821" width="4" style="1" customWidth="1"/>
    <col min="1822" max="1822" width="59.7109375" style="1" customWidth="1"/>
    <col min="1823" max="1823" width="4.85546875" style="1" customWidth="1"/>
    <col min="1824" max="1824" width="9" style="1" customWidth="1"/>
    <col min="1825" max="1825" width="15.85546875" style="1" customWidth="1"/>
    <col min="1826" max="1826" width="15.7109375" style="1" customWidth="1"/>
    <col min="1827" max="1827" width="15.42578125" style="1" customWidth="1"/>
    <col min="1828" max="1828" width="17.140625" style="1" customWidth="1"/>
    <col min="1829" max="1829" width="37.85546875" style="1" customWidth="1"/>
    <col min="1830" max="1830" width="36.5703125" style="1" customWidth="1"/>
    <col min="1831" max="1831" width="29.42578125" style="1" customWidth="1"/>
    <col min="1832" max="2076" width="8.85546875" style="1"/>
    <col min="2077" max="2077" width="4" style="1" customWidth="1"/>
    <col min="2078" max="2078" width="59.7109375" style="1" customWidth="1"/>
    <col min="2079" max="2079" width="4.85546875" style="1" customWidth="1"/>
    <col min="2080" max="2080" width="9" style="1" customWidth="1"/>
    <col min="2081" max="2081" width="15.85546875" style="1" customWidth="1"/>
    <col min="2082" max="2082" width="15.7109375" style="1" customWidth="1"/>
    <col min="2083" max="2083" width="15.42578125" style="1" customWidth="1"/>
    <col min="2084" max="2084" width="17.140625" style="1" customWidth="1"/>
    <col min="2085" max="2085" width="37.85546875" style="1" customWidth="1"/>
    <col min="2086" max="2086" width="36.5703125" style="1" customWidth="1"/>
    <col min="2087" max="2087" width="29.42578125" style="1" customWidth="1"/>
    <col min="2088" max="2332" width="8.85546875" style="1"/>
    <col min="2333" max="2333" width="4" style="1" customWidth="1"/>
    <col min="2334" max="2334" width="59.7109375" style="1" customWidth="1"/>
    <col min="2335" max="2335" width="4.85546875" style="1" customWidth="1"/>
    <col min="2336" max="2336" width="9" style="1" customWidth="1"/>
    <col min="2337" max="2337" width="15.85546875" style="1" customWidth="1"/>
    <col min="2338" max="2338" width="15.7109375" style="1" customWidth="1"/>
    <col min="2339" max="2339" width="15.42578125" style="1" customWidth="1"/>
    <col min="2340" max="2340" width="17.140625" style="1" customWidth="1"/>
    <col min="2341" max="2341" width="37.85546875" style="1" customWidth="1"/>
    <col min="2342" max="2342" width="36.5703125" style="1" customWidth="1"/>
    <col min="2343" max="2343" width="29.42578125" style="1" customWidth="1"/>
    <col min="2344" max="2588" width="8.85546875" style="1"/>
    <col min="2589" max="2589" width="4" style="1" customWidth="1"/>
    <col min="2590" max="2590" width="59.7109375" style="1" customWidth="1"/>
    <col min="2591" max="2591" width="4.85546875" style="1" customWidth="1"/>
    <col min="2592" max="2592" width="9" style="1" customWidth="1"/>
    <col min="2593" max="2593" width="15.85546875" style="1" customWidth="1"/>
    <col min="2594" max="2594" width="15.7109375" style="1" customWidth="1"/>
    <col min="2595" max="2595" width="15.42578125" style="1" customWidth="1"/>
    <col min="2596" max="2596" width="17.140625" style="1" customWidth="1"/>
    <col min="2597" max="2597" width="37.85546875" style="1" customWidth="1"/>
    <col min="2598" max="2598" width="36.5703125" style="1" customWidth="1"/>
    <col min="2599" max="2599" width="29.42578125" style="1" customWidth="1"/>
    <col min="2600" max="2844" width="8.85546875" style="1"/>
    <col min="2845" max="2845" width="4" style="1" customWidth="1"/>
    <col min="2846" max="2846" width="59.7109375" style="1" customWidth="1"/>
    <col min="2847" max="2847" width="4.85546875" style="1" customWidth="1"/>
    <col min="2848" max="2848" width="9" style="1" customWidth="1"/>
    <col min="2849" max="2849" width="15.85546875" style="1" customWidth="1"/>
    <col min="2850" max="2850" width="15.7109375" style="1" customWidth="1"/>
    <col min="2851" max="2851" width="15.42578125" style="1" customWidth="1"/>
    <col min="2852" max="2852" width="17.140625" style="1" customWidth="1"/>
    <col min="2853" max="2853" width="37.85546875" style="1" customWidth="1"/>
    <col min="2854" max="2854" width="36.5703125" style="1" customWidth="1"/>
    <col min="2855" max="2855" width="29.42578125" style="1" customWidth="1"/>
    <col min="2856" max="3100" width="8.85546875" style="1"/>
    <col min="3101" max="3101" width="4" style="1" customWidth="1"/>
    <col min="3102" max="3102" width="59.7109375" style="1" customWidth="1"/>
    <col min="3103" max="3103" width="4.85546875" style="1" customWidth="1"/>
    <col min="3104" max="3104" width="9" style="1" customWidth="1"/>
    <col min="3105" max="3105" width="15.85546875" style="1" customWidth="1"/>
    <col min="3106" max="3106" width="15.7109375" style="1" customWidth="1"/>
    <col min="3107" max="3107" width="15.42578125" style="1" customWidth="1"/>
    <col min="3108" max="3108" width="17.140625" style="1" customWidth="1"/>
    <col min="3109" max="3109" width="37.85546875" style="1" customWidth="1"/>
    <col min="3110" max="3110" width="36.5703125" style="1" customWidth="1"/>
    <col min="3111" max="3111" width="29.42578125" style="1" customWidth="1"/>
    <col min="3112" max="3356" width="8.85546875" style="1"/>
    <col min="3357" max="3357" width="4" style="1" customWidth="1"/>
    <col min="3358" max="3358" width="59.7109375" style="1" customWidth="1"/>
    <col min="3359" max="3359" width="4.85546875" style="1" customWidth="1"/>
    <col min="3360" max="3360" width="9" style="1" customWidth="1"/>
    <col min="3361" max="3361" width="15.85546875" style="1" customWidth="1"/>
    <col min="3362" max="3362" width="15.7109375" style="1" customWidth="1"/>
    <col min="3363" max="3363" width="15.42578125" style="1" customWidth="1"/>
    <col min="3364" max="3364" width="17.140625" style="1" customWidth="1"/>
    <col min="3365" max="3365" width="37.85546875" style="1" customWidth="1"/>
    <col min="3366" max="3366" width="36.5703125" style="1" customWidth="1"/>
    <col min="3367" max="3367" width="29.42578125" style="1" customWidth="1"/>
    <col min="3368" max="3612" width="8.85546875" style="1"/>
    <col min="3613" max="3613" width="4" style="1" customWidth="1"/>
    <col min="3614" max="3614" width="59.7109375" style="1" customWidth="1"/>
    <col min="3615" max="3615" width="4.85546875" style="1" customWidth="1"/>
    <col min="3616" max="3616" width="9" style="1" customWidth="1"/>
    <col min="3617" max="3617" width="15.85546875" style="1" customWidth="1"/>
    <col min="3618" max="3618" width="15.7109375" style="1" customWidth="1"/>
    <col min="3619" max="3619" width="15.42578125" style="1" customWidth="1"/>
    <col min="3620" max="3620" width="17.140625" style="1" customWidth="1"/>
    <col min="3621" max="3621" width="37.85546875" style="1" customWidth="1"/>
    <col min="3622" max="3622" width="36.5703125" style="1" customWidth="1"/>
    <col min="3623" max="3623" width="29.42578125" style="1" customWidth="1"/>
    <col min="3624" max="3868" width="8.85546875" style="1"/>
    <col min="3869" max="3869" width="4" style="1" customWidth="1"/>
    <col min="3870" max="3870" width="59.7109375" style="1" customWidth="1"/>
    <col min="3871" max="3871" width="4.85546875" style="1" customWidth="1"/>
    <col min="3872" max="3872" width="9" style="1" customWidth="1"/>
    <col min="3873" max="3873" width="15.85546875" style="1" customWidth="1"/>
    <col min="3874" max="3874" width="15.7109375" style="1" customWidth="1"/>
    <col min="3875" max="3875" width="15.42578125" style="1" customWidth="1"/>
    <col min="3876" max="3876" width="17.140625" style="1" customWidth="1"/>
    <col min="3877" max="3877" width="37.85546875" style="1" customWidth="1"/>
    <col min="3878" max="3878" width="36.5703125" style="1" customWidth="1"/>
    <col min="3879" max="3879" width="29.42578125" style="1" customWidth="1"/>
    <col min="3880" max="4124" width="8.85546875" style="1"/>
    <col min="4125" max="4125" width="4" style="1" customWidth="1"/>
    <col min="4126" max="4126" width="59.7109375" style="1" customWidth="1"/>
    <col min="4127" max="4127" width="4.85546875" style="1" customWidth="1"/>
    <col min="4128" max="4128" width="9" style="1" customWidth="1"/>
    <col min="4129" max="4129" width="15.85546875" style="1" customWidth="1"/>
    <col min="4130" max="4130" width="15.7109375" style="1" customWidth="1"/>
    <col min="4131" max="4131" width="15.42578125" style="1" customWidth="1"/>
    <col min="4132" max="4132" width="17.140625" style="1" customWidth="1"/>
    <col min="4133" max="4133" width="37.85546875" style="1" customWidth="1"/>
    <col min="4134" max="4134" width="36.5703125" style="1" customWidth="1"/>
    <col min="4135" max="4135" width="29.42578125" style="1" customWidth="1"/>
    <col min="4136" max="4380" width="8.85546875" style="1"/>
    <col min="4381" max="4381" width="4" style="1" customWidth="1"/>
    <col min="4382" max="4382" width="59.7109375" style="1" customWidth="1"/>
    <col min="4383" max="4383" width="4.85546875" style="1" customWidth="1"/>
    <col min="4384" max="4384" width="9" style="1" customWidth="1"/>
    <col min="4385" max="4385" width="15.85546875" style="1" customWidth="1"/>
    <col min="4386" max="4386" width="15.7109375" style="1" customWidth="1"/>
    <col min="4387" max="4387" width="15.42578125" style="1" customWidth="1"/>
    <col min="4388" max="4388" width="17.140625" style="1" customWidth="1"/>
    <col min="4389" max="4389" width="37.85546875" style="1" customWidth="1"/>
    <col min="4390" max="4390" width="36.5703125" style="1" customWidth="1"/>
    <col min="4391" max="4391" width="29.42578125" style="1" customWidth="1"/>
    <col min="4392" max="4636" width="8.85546875" style="1"/>
    <col min="4637" max="4637" width="4" style="1" customWidth="1"/>
    <col min="4638" max="4638" width="59.7109375" style="1" customWidth="1"/>
    <col min="4639" max="4639" width="4.85546875" style="1" customWidth="1"/>
    <col min="4640" max="4640" width="9" style="1" customWidth="1"/>
    <col min="4641" max="4641" width="15.85546875" style="1" customWidth="1"/>
    <col min="4642" max="4642" width="15.7109375" style="1" customWidth="1"/>
    <col min="4643" max="4643" width="15.42578125" style="1" customWidth="1"/>
    <col min="4644" max="4644" width="17.140625" style="1" customWidth="1"/>
    <col min="4645" max="4645" width="37.85546875" style="1" customWidth="1"/>
    <col min="4646" max="4646" width="36.5703125" style="1" customWidth="1"/>
    <col min="4647" max="4647" width="29.42578125" style="1" customWidth="1"/>
    <col min="4648" max="4892" width="8.85546875" style="1"/>
    <col min="4893" max="4893" width="4" style="1" customWidth="1"/>
    <col min="4894" max="4894" width="59.7109375" style="1" customWidth="1"/>
    <col min="4895" max="4895" width="4.85546875" style="1" customWidth="1"/>
    <col min="4896" max="4896" width="9" style="1" customWidth="1"/>
    <col min="4897" max="4897" width="15.85546875" style="1" customWidth="1"/>
    <col min="4898" max="4898" width="15.7109375" style="1" customWidth="1"/>
    <col min="4899" max="4899" width="15.42578125" style="1" customWidth="1"/>
    <col min="4900" max="4900" width="17.140625" style="1" customWidth="1"/>
    <col min="4901" max="4901" width="37.85546875" style="1" customWidth="1"/>
    <col min="4902" max="4902" width="36.5703125" style="1" customWidth="1"/>
    <col min="4903" max="4903" width="29.42578125" style="1" customWidth="1"/>
    <col min="4904" max="5148" width="8.85546875" style="1"/>
    <col min="5149" max="5149" width="4" style="1" customWidth="1"/>
    <col min="5150" max="5150" width="59.7109375" style="1" customWidth="1"/>
    <col min="5151" max="5151" width="4.85546875" style="1" customWidth="1"/>
    <col min="5152" max="5152" width="9" style="1" customWidth="1"/>
    <col min="5153" max="5153" width="15.85546875" style="1" customWidth="1"/>
    <col min="5154" max="5154" width="15.7109375" style="1" customWidth="1"/>
    <col min="5155" max="5155" width="15.42578125" style="1" customWidth="1"/>
    <col min="5156" max="5156" width="17.140625" style="1" customWidth="1"/>
    <col min="5157" max="5157" width="37.85546875" style="1" customWidth="1"/>
    <col min="5158" max="5158" width="36.5703125" style="1" customWidth="1"/>
    <col min="5159" max="5159" width="29.42578125" style="1" customWidth="1"/>
    <col min="5160" max="5404" width="8.85546875" style="1"/>
    <col min="5405" max="5405" width="4" style="1" customWidth="1"/>
    <col min="5406" max="5406" width="59.7109375" style="1" customWidth="1"/>
    <col min="5407" max="5407" width="4.85546875" style="1" customWidth="1"/>
    <col min="5408" max="5408" width="9" style="1" customWidth="1"/>
    <col min="5409" max="5409" width="15.85546875" style="1" customWidth="1"/>
    <col min="5410" max="5410" width="15.7109375" style="1" customWidth="1"/>
    <col min="5411" max="5411" width="15.42578125" style="1" customWidth="1"/>
    <col min="5412" max="5412" width="17.140625" style="1" customWidth="1"/>
    <col min="5413" max="5413" width="37.85546875" style="1" customWidth="1"/>
    <col min="5414" max="5414" width="36.5703125" style="1" customWidth="1"/>
    <col min="5415" max="5415" width="29.42578125" style="1" customWidth="1"/>
    <col min="5416" max="5660" width="8.85546875" style="1"/>
    <col min="5661" max="5661" width="4" style="1" customWidth="1"/>
    <col min="5662" max="5662" width="59.7109375" style="1" customWidth="1"/>
    <col min="5663" max="5663" width="4.85546875" style="1" customWidth="1"/>
    <col min="5664" max="5664" width="9" style="1" customWidth="1"/>
    <col min="5665" max="5665" width="15.85546875" style="1" customWidth="1"/>
    <col min="5666" max="5666" width="15.7109375" style="1" customWidth="1"/>
    <col min="5667" max="5667" width="15.42578125" style="1" customWidth="1"/>
    <col min="5668" max="5668" width="17.140625" style="1" customWidth="1"/>
    <col min="5669" max="5669" width="37.85546875" style="1" customWidth="1"/>
    <col min="5670" max="5670" width="36.5703125" style="1" customWidth="1"/>
    <col min="5671" max="5671" width="29.42578125" style="1" customWidth="1"/>
    <col min="5672" max="5916" width="8.85546875" style="1"/>
    <col min="5917" max="5917" width="4" style="1" customWidth="1"/>
    <col min="5918" max="5918" width="59.7109375" style="1" customWidth="1"/>
    <col min="5919" max="5919" width="4.85546875" style="1" customWidth="1"/>
    <col min="5920" max="5920" width="9" style="1" customWidth="1"/>
    <col min="5921" max="5921" width="15.85546875" style="1" customWidth="1"/>
    <col min="5922" max="5922" width="15.7109375" style="1" customWidth="1"/>
    <col min="5923" max="5923" width="15.42578125" style="1" customWidth="1"/>
    <col min="5924" max="5924" width="17.140625" style="1" customWidth="1"/>
    <col min="5925" max="5925" width="37.85546875" style="1" customWidth="1"/>
    <col min="5926" max="5926" width="36.5703125" style="1" customWidth="1"/>
    <col min="5927" max="5927" width="29.42578125" style="1" customWidth="1"/>
    <col min="5928" max="6172" width="8.85546875" style="1"/>
    <col min="6173" max="6173" width="4" style="1" customWidth="1"/>
    <col min="6174" max="6174" width="59.7109375" style="1" customWidth="1"/>
    <col min="6175" max="6175" width="4.85546875" style="1" customWidth="1"/>
    <col min="6176" max="6176" width="9" style="1" customWidth="1"/>
    <col min="6177" max="6177" width="15.85546875" style="1" customWidth="1"/>
    <col min="6178" max="6178" width="15.7109375" style="1" customWidth="1"/>
    <col min="6179" max="6179" width="15.42578125" style="1" customWidth="1"/>
    <col min="6180" max="6180" width="17.140625" style="1" customWidth="1"/>
    <col min="6181" max="6181" width="37.85546875" style="1" customWidth="1"/>
    <col min="6182" max="6182" width="36.5703125" style="1" customWidth="1"/>
    <col min="6183" max="6183" width="29.42578125" style="1" customWidth="1"/>
    <col min="6184" max="6428" width="8.85546875" style="1"/>
    <col min="6429" max="6429" width="4" style="1" customWidth="1"/>
    <col min="6430" max="6430" width="59.7109375" style="1" customWidth="1"/>
    <col min="6431" max="6431" width="4.85546875" style="1" customWidth="1"/>
    <col min="6432" max="6432" width="9" style="1" customWidth="1"/>
    <col min="6433" max="6433" width="15.85546875" style="1" customWidth="1"/>
    <col min="6434" max="6434" width="15.7109375" style="1" customWidth="1"/>
    <col min="6435" max="6435" width="15.42578125" style="1" customWidth="1"/>
    <col min="6436" max="6436" width="17.140625" style="1" customWidth="1"/>
    <col min="6437" max="6437" width="37.85546875" style="1" customWidth="1"/>
    <col min="6438" max="6438" width="36.5703125" style="1" customWidth="1"/>
    <col min="6439" max="6439" width="29.42578125" style="1" customWidth="1"/>
    <col min="6440" max="6684" width="8.85546875" style="1"/>
    <col min="6685" max="6685" width="4" style="1" customWidth="1"/>
    <col min="6686" max="6686" width="59.7109375" style="1" customWidth="1"/>
    <col min="6687" max="6687" width="4.85546875" style="1" customWidth="1"/>
    <col min="6688" max="6688" width="9" style="1" customWidth="1"/>
    <col min="6689" max="6689" width="15.85546875" style="1" customWidth="1"/>
    <col min="6690" max="6690" width="15.7109375" style="1" customWidth="1"/>
    <col min="6691" max="6691" width="15.42578125" style="1" customWidth="1"/>
    <col min="6692" max="6692" width="17.140625" style="1" customWidth="1"/>
    <col min="6693" max="6693" width="37.85546875" style="1" customWidth="1"/>
    <col min="6694" max="6694" width="36.5703125" style="1" customWidth="1"/>
    <col min="6695" max="6695" width="29.42578125" style="1" customWidth="1"/>
    <col min="6696" max="6940" width="8.85546875" style="1"/>
    <col min="6941" max="6941" width="4" style="1" customWidth="1"/>
    <col min="6942" max="6942" width="59.7109375" style="1" customWidth="1"/>
    <col min="6943" max="6943" width="4.85546875" style="1" customWidth="1"/>
    <col min="6944" max="6944" width="9" style="1" customWidth="1"/>
    <col min="6945" max="6945" width="15.85546875" style="1" customWidth="1"/>
    <col min="6946" max="6946" width="15.7109375" style="1" customWidth="1"/>
    <col min="6947" max="6947" width="15.42578125" style="1" customWidth="1"/>
    <col min="6948" max="6948" width="17.140625" style="1" customWidth="1"/>
    <col min="6949" max="6949" width="37.85546875" style="1" customWidth="1"/>
    <col min="6950" max="6950" width="36.5703125" style="1" customWidth="1"/>
    <col min="6951" max="6951" width="29.42578125" style="1" customWidth="1"/>
    <col min="6952" max="7196" width="8.85546875" style="1"/>
    <col min="7197" max="7197" width="4" style="1" customWidth="1"/>
    <col min="7198" max="7198" width="59.7109375" style="1" customWidth="1"/>
    <col min="7199" max="7199" width="4.85546875" style="1" customWidth="1"/>
    <col min="7200" max="7200" width="9" style="1" customWidth="1"/>
    <col min="7201" max="7201" width="15.85546875" style="1" customWidth="1"/>
    <col min="7202" max="7202" width="15.7109375" style="1" customWidth="1"/>
    <col min="7203" max="7203" width="15.42578125" style="1" customWidth="1"/>
    <col min="7204" max="7204" width="17.140625" style="1" customWidth="1"/>
    <col min="7205" max="7205" width="37.85546875" style="1" customWidth="1"/>
    <col min="7206" max="7206" width="36.5703125" style="1" customWidth="1"/>
    <col min="7207" max="7207" width="29.42578125" style="1" customWidth="1"/>
    <col min="7208" max="7452" width="8.85546875" style="1"/>
    <col min="7453" max="7453" width="4" style="1" customWidth="1"/>
    <col min="7454" max="7454" width="59.7109375" style="1" customWidth="1"/>
    <col min="7455" max="7455" width="4.85546875" style="1" customWidth="1"/>
    <col min="7456" max="7456" width="9" style="1" customWidth="1"/>
    <col min="7457" max="7457" width="15.85546875" style="1" customWidth="1"/>
    <col min="7458" max="7458" width="15.7109375" style="1" customWidth="1"/>
    <col min="7459" max="7459" width="15.42578125" style="1" customWidth="1"/>
    <col min="7460" max="7460" width="17.140625" style="1" customWidth="1"/>
    <col min="7461" max="7461" width="37.85546875" style="1" customWidth="1"/>
    <col min="7462" max="7462" width="36.5703125" style="1" customWidth="1"/>
    <col min="7463" max="7463" width="29.42578125" style="1" customWidth="1"/>
    <col min="7464" max="7708" width="8.85546875" style="1"/>
    <col min="7709" max="7709" width="4" style="1" customWidth="1"/>
    <col min="7710" max="7710" width="59.7109375" style="1" customWidth="1"/>
    <col min="7711" max="7711" width="4.85546875" style="1" customWidth="1"/>
    <col min="7712" max="7712" width="9" style="1" customWidth="1"/>
    <col min="7713" max="7713" width="15.85546875" style="1" customWidth="1"/>
    <col min="7714" max="7714" width="15.7109375" style="1" customWidth="1"/>
    <col min="7715" max="7715" width="15.42578125" style="1" customWidth="1"/>
    <col min="7716" max="7716" width="17.140625" style="1" customWidth="1"/>
    <col min="7717" max="7717" width="37.85546875" style="1" customWidth="1"/>
    <col min="7718" max="7718" width="36.5703125" style="1" customWidth="1"/>
    <col min="7719" max="7719" width="29.42578125" style="1" customWidth="1"/>
    <col min="7720" max="7964" width="8.85546875" style="1"/>
    <col min="7965" max="7965" width="4" style="1" customWidth="1"/>
    <col min="7966" max="7966" width="59.7109375" style="1" customWidth="1"/>
    <col min="7967" max="7967" width="4.85546875" style="1" customWidth="1"/>
    <col min="7968" max="7968" width="9" style="1" customWidth="1"/>
    <col min="7969" max="7969" width="15.85546875" style="1" customWidth="1"/>
    <col min="7970" max="7970" width="15.7109375" style="1" customWidth="1"/>
    <col min="7971" max="7971" width="15.42578125" style="1" customWidth="1"/>
    <col min="7972" max="7972" width="17.140625" style="1" customWidth="1"/>
    <col min="7973" max="7973" width="37.85546875" style="1" customWidth="1"/>
    <col min="7974" max="7974" width="36.5703125" style="1" customWidth="1"/>
    <col min="7975" max="7975" width="29.42578125" style="1" customWidth="1"/>
    <col min="7976" max="8220" width="8.85546875" style="1"/>
    <col min="8221" max="8221" width="4" style="1" customWidth="1"/>
    <col min="8222" max="8222" width="59.7109375" style="1" customWidth="1"/>
    <col min="8223" max="8223" width="4.85546875" style="1" customWidth="1"/>
    <col min="8224" max="8224" width="9" style="1" customWidth="1"/>
    <col min="8225" max="8225" width="15.85546875" style="1" customWidth="1"/>
    <col min="8226" max="8226" width="15.7109375" style="1" customWidth="1"/>
    <col min="8227" max="8227" width="15.42578125" style="1" customWidth="1"/>
    <col min="8228" max="8228" width="17.140625" style="1" customWidth="1"/>
    <col min="8229" max="8229" width="37.85546875" style="1" customWidth="1"/>
    <col min="8230" max="8230" width="36.5703125" style="1" customWidth="1"/>
    <col min="8231" max="8231" width="29.42578125" style="1" customWidth="1"/>
    <col min="8232" max="8476" width="8.85546875" style="1"/>
    <col min="8477" max="8477" width="4" style="1" customWidth="1"/>
    <col min="8478" max="8478" width="59.7109375" style="1" customWidth="1"/>
    <col min="8479" max="8479" width="4.85546875" style="1" customWidth="1"/>
    <col min="8480" max="8480" width="9" style="1" customWidth="1"/>
    <col min="8481" max="8481" width="15.85546875" style="1" customWidth="1"/>
    <col min="8482" max="8482" width="15.7109375" style="1" customWidth="1"/>
    <col min="8483" max="8483" width="15.42578125" style="1" customWidth="1"/>
    <col min="8484" max="8484" width="17.140625" style="1" customWidth="1"/>
    <col min="8485" max="8485" width="37.85546875" style="1" customWidth="1"/>
    <col min="8486" max="8486" width="36.5703125" style="1" customWidth="1"/>
    <col min="8487" max="8487" width="29.42578125" style="1" customWidth="1"/>
    <col min="8488" max="8732" width="8.85546875" style="1"/>
    <col min="8733" max="8733" width="4" style="1" customWidth="1"/>
    <col min="8734" max="8734" width="59.7109375" style="1" customWidth="1"/>
    <col min="8735" max="8735" width="4.85546875" style="1" customWidth="1"/>
    <col min="8736" max="8736" width="9" style="1" customWidth="1"/>
    <col min="8737" max="8737" width="15.85546875" style="1" customWidth="1"/>
    <col min="8738" max="8738" width="15.7109375" style="1" customWidth="1"/>
    <col min="8739" max="8739" width="15.42578125" style="1" customWidth="1"/>
    <col min="8740" max="8740" width="17.140625" style="1" customWidth="1"/>
    <col min="8741" max="8741" width="37.85546875" style="1" customWidth="1"/>
    <col min="8742" max="8742" width="36.5703125" style="1" customWidth="1"/>
    <col min="8743" max="8743" width="29.42578125" style="1" customWidth="1"/>
    <col min="8744" max="8988" width="8.85546875" style="1"/>
    <col min="8989" max="8989" width="4" style="1" customWidth="1"/>
    <col min="8990" max="8990" width="59.7109375" style="1" customWidth="1"/>
    <col min="8991" max="8991" width="4.85546875" style="1" customWidth="1"/>
    <col min="8992" max="8992" width="9" style="1" customWidth="1"/>
    <col min="8993" max="8993" width="15.85546875" style="1" customWidth="1"/>
    <col min="8994" max="8994" width="15.7109375" style="1" customWidth="1"/>
    <col min="8995" max="8995" width="15.42578125" style="1" customWidth="1"/>
    <col min="8996" max="8996" width="17.140625" style="1" customWidth="1"/>
    <col min="8997" max="8997" width="37.85546875" style="1" customWidth="1"/>
    <col min="8998" max="8998" width="36.5703125" style="1" customWidth="1"/>
    <col min="8999" max="8999" width="29.42578125" style="1" customWidth="1"/>
    <col min="9000" max="9244" width="8.85546875" style="1"/>
    <col min="9245" max="9245" width="4" style="1" customWidth="1"/>
    <col min="9246" max="9246" width="59.7109375" style="1" customWidth="1"/>
    <col min="9247" max="9247" width="4.85546875" style="1" customWidth="1"/>
    <col min="9248" max="9248" width="9" style="1" customWidth="1"/>
    <col min="9249" max="9249" width="15.85546875" style="1" customWidth="1"/>
    <col min="9250" max="9250" width="15.7109375" style="1" customWidth="1"/>
    <col min="9251" max="9251" width="15.42578125" style="1" customWidth="1"/>
    <col min="9252" max="9252" width="17.140625" style="1" customWidth="1"/>
    <col min="9253" max="9253" width="37.85546875" style="1" customWidth="1"/>
    <col min="9254" max="9254" width="36.5703125" style="1" customWidth="1"/>
    <col min="9255" max="9255" width="29.42578125" style="1" customWidth="1"/>
    <col min="9256" max="9500" width="8.85546875" style="1"/>
    <col min="9501" max="9501" width="4" style="1" customWidth="1"/>
    <col min="9502" max="9502" width="59.7109375" style="1" customWidth="1"/>
    <col min="9503" max="9503" width="4.85546875" style="1" customWidth="1"/>
    <col min="9504" max="9504" width="9" style="1" customWidth="1"/>
    <col min="9505" max="9505" width="15.85546875" style="1" customWidth="1"/>
    <col min="9506" max="9506" width="15.7109375" style="1" customWidth="1"/>
    <col min="9507" max="9507" width="15.42578125" style="1" customWidth="1"/>
    <col min="9508" max="9508" width="17.140625" style="1" customWidth="1"/>
    <col min="9509" max="9509" width="37.85546875" style="1" customWidth="1"/>
    <col min="9510" max="9510" width="36.5703125" style="1" customWidth="1"/>
    <col min="9511" max="9511" width="29.42578125" style="1" customWidth="1"/>
    <col min="9512" max="9756" width="8.85546875" style="1"/>
    <col min="9757" max="9757" width="4" style="1" customWidth="1"/>
    <col min="9758" max="9758" width="59.7109375" style="1" customWidth="1"/>
    <col min="9759" max="9759" width="4.85546875" style="1" customWidth="1"/>
    <col min="9760" max="9760" width="9" style="1" customWidth="1"/>
    <col min="9761" max="9761" width="15.85546875" style="1" customWidth="1"/>
    <col min="9762" max="9762" width="15.7109375" style="1" customWidth="1"/>
    <col min="9763" max="9763" width="15.42578125" style="1" customWidth="1"/>
    <col min="9764" max="9764" width="17.140625" style="1" customWidth="1"/>
    <col min="9765" max="9765" width="37.85546875" style="1" customWidth="1"/>
    <col min="9766" max="9766" width="36.5703125" style="1" customWidth="1"/>
    <col min="9767" max="9767" width="29.42578125" style="1" customWidth="1"/>
    <col min="9768" max="10012" width="8.85546875" style="1"/>
    <col min="10013" max="10013" width="4" style="1" customWidth="1"/>
    <col min="10014" max="10014" width="59.7109375" style="1" customWidth="1"/>
    <col min="10015" max="10015" width="4.85546875" style="1" customWidth="1"/>
    <col min="10016" max="10016" width="9" style="1" customWidth="1"/>
    <col min="10017" max="10017" width="15.85546875" style="1" customWidth="1"/>
    <col min="10018" max="10018" width="15.7109375" style="1" customWidth="1"/>
    <col min="10019" max="10019" width="15.42578125" style="1" customWidth="1"/>
    <col min="10020" max="10020" width="17.140625" style="1" customWidth="1"/>
    <col min="10021" max="10021" width="37.85546875" style="1" customWidth="1"/>
    <col min="10022" max="10022" width="36.5703125" style="1" customWidth="1"/>
    <col min="10023" max="10023" width="29.42578125" style="1" customWidth="1"/>
    <col min="10024" max="10268" width="8.85546875" style="1"/>
    <col min="10269" max="10269" width="4" style="1" customWidth="1"/>
    <col min="10270" max="10270" width="59.7109375" style="1" customWidth="1"/>
    <col min="10271" max="10271" width="4.85546875" style="1" customWidth="1"/>
    <col min="10272" max="10272" width="9" style="1" customWidth="1"/>
    <col min="10273" max="10273" width="15.85546875" style="1" customWidth="1"/>
    <col min="10274" max="10274" width="15.7109375" style="1" customWidth="1"/>
    <col min="10275" max="10275" width="15.42578125" style="1" customWidth="1"/>
    <col min="10276" max="10276" width="17.140625" style="1" customWidth="1"/>
    <col min="10277" max="10277" width="37.85546875" style="1" customWidth="1"/>
    <col min="10278" max="10278" width="36.5703125" style="1" customWidth="1"/>
    <col min="10279" max="10279" width="29.42578125" style="1" customWidth="1"/>
    <col min="10280" max="10524" width="8.85546875" style="1"/>
    <col min="10525" max="10525" width="4" style="1" customWidth="1"/>
    <col min="10526" max="10526" width="59.7109375" style="1" customWidth="1"/>
    <col min="10527" max="10527" width="4.85546875" style="1" customWidth="1"/>
    <col min="10528" max="10528" width="9" style="1" customWidth="1"/>
    <col min="10529" max="10529" width="15.85546875" style="1" customWidth="1"/>
    <col min="10530" max="10530" width="15.7109375" style="1" customWidth="1"/>
    <col min="10531" max="10531" width="15.42578125" style="1" customWidth="1"/>
    <col min="10532" max="10532" width="17.140625" style="1" customWidth="1"/>
    <col min="10533" max="10533" width="37.85546875" style="1" customWidth="1"/>
    <col min="10534" max="10534" width="36.5703125" style="1" customWidth="1"/>
    <col min="10535" max="10535" width="29.42578125" style="1" customWidth="1"/>
    <col min="10536" max="10780" width="8.85546875" style="1"/>
    <col min="10781" max="10781" width="4" style="1" customWidth="1"/>
    <col min="10782" max="10782" width="59.7109375" style="1" customWidth="1"/>
    <col min="10783" max="10783" width="4.85546875" style="1" customWidth="1"/>
    <col min="10784" max="10784" width="9" style="1" customWidth="1"/>
    <col min="10785" max="10785" width="15.85546875" style="1" customWidth="1"/>
    <col min="10786" max="10786" width="15.7109375" style="1" customWidth="1"/>
    <col min="10787" max="10787" width="15.42578125" style="1" customWidth="1"/>
    <col min="10788" max="10788" width="17.140625" style="1" customWidth="1"/>
    <col min="10789" max="10789" width="37.85546875" style="1" customWidth="1"/>
    <col min="10790" max="10790" width="36.5703125" style="1" customWidth="1"/>
    <col min="10791" max="10791" width="29.42578125" style="1" customWidth="1"/>
    <col min="10792" max="11036" width="8.85546875" style="1"/>
    <col min="11037" max="11037" width="4" style="1" customWidth="1"/>
    <col min="11038" max="11038" width="59.7109375" style="1" customWidth="1"/>
    <col min="11039" max="11039" width="4.85546875" style="1" customWidth="1"/>
    <col min="11040" max="11040" width="9" style="1" customWidth="1"/>
    <col min="11041" max="11041" width="15.85546875" style="1" customWidth="1"/>
    <col min="11042" max="11042" width="15.7109375" style="1" customWidth="1"/>
    <col min="11043" max="11043" width="15.42578125" style="1" customWidth="1"/>
    <col min="11044" max="11044" width="17.140625" style="1" customWidth="1"/>
    <col min="11045" max="11045" width="37.85546875" style="1" customWidth="1"/>
    <col min="11046" max="11046" width="36.5703125" style="1" customWidth="1"/>
    <col min="11047" max="11047" width="29.42578125" style="1" customWidth="1"/>
    <col min="11048" max="11292" width="8.85546875" style="1"/>
    <col min="11293" max="11293" width="4" style="1" customWidth="1"/>
    <col min="11294" max="11294" width="59.7109375" style="1" customWidth="1"/>
    <col min="11295" max="11295" width="4.85546875" style="1" customWidth="1"/>
    <col min="11296" max="11296" width="9" style="1" customWidth="1"/>
    <col min="11297" max="11297" width="15.85546875" style="1" customWidth="1"/>
    <col min="11298" max="11298" width="15.7109375" style="1" customWidth="1"/>
    <col min="11299" max="11299" width="15.42578125" style="1" customWidth="1"/>
    <col min="11300" max="11300" width="17.140625" style="1" customWidth="1"/>
    <col min="11301" max="11301" width="37.85546875" style="1" customWidth="1"/>
    <col min="11302" max="11302" width="36.5703125" style="1" customWidth="1"/>
    <col min="11303" max="11303" width="29.42578125" style="1" customWidth="1"/>
    <col min="11304" max="11548" width="8.85546875" style="1"/>
    <col min="11549" max="11549" width="4" style="1" customWidth="1"/>
    <col min="11550" max="11550" width="59.7109375" style="1" customWidth="1"/>
    <col min="11551" max="11551" width="4.85546875" style="1" customWidth="1"/>
    <col min="11552" max="11552" width="9" style="1" customWidth="1"/>
    <col min="11553" max="11553" width="15.85546875" style="1" customWidth="1"/>
    <col min="11554" max="11554" width="15.7109375" style="1" customWidth="1"/>
    <col min="11555" max="11555" width="15.42578125" style="1" customWidth="1"/>
    <col min="11556" max="11556" width="17.140625" style="1" customWidth="1"/>
    <col min="11557" max="11557" width="37.85546875" style="1" customWidth="1"/>
    <col min="11558" max="11558" width="36.5703125" style="1" customWidth="1"/>
    <col min="11559" max="11559" width="29.42578125" style="1" customWidth="1"/>
    <col min="11560" max="11804" width="8.85546875" style="1"/>
    <col min="11805" max="11805" width="4" style="1" customWidth="1"/>
    <col min="11806" max="11806" width="59.7109375" style="1" customWidth="1"/>
    <col min="11807" max="11807" width="4.85546875" style="1" customWidth="1"/>
    <col min="11808" max="11808" width="9" style="1" customWidth="1"/>
    <col min="11809" max="11809" width="15.85546875" style="1" customWidth="1"/>
    <col min="11810" max="11810" width="15.7109375" style="1" customWidth="1"/>
    <col min="11811" max="11811" width="15.42578125" style="1" customWidth="1"/>
    <col min="11812" max="11812" width="17.140625" style="1" customWidth="1"/>
    <col min="11813" max="11813" width="37.85546875" style="1" customWidth="1"/>
    <col min="11814" max="11814" width="36.5703125" style="1" customWidth="1"/>
    <col min="11815" max="11815" width="29.42578125" style="1" customWidth="1"/>
    <col min="11816" max="12060" width="8.85546875" style="1"/>
    <col min="12061" max="12061" width="4" style="1" customWidth="1"/>
    <col min="12062" max="12062" width="59.7109375" style="1" customWidth="1"/>
    <col min="12063" max="12063" width="4.85546875" style="1" customWidth="1"/>
    <col min="12064" max="12064" width="9" style="1" customWidth="1"/>
    <col min="12065" max="12065" width="15.85546875" style="1" customWidth="1"/>
    <col min="12066" max="12066" width="15.7109375" style="1" customWidth="1"/>
    <col min="12067" max="12067" width="15.42578125" style="1" customWidth="1"/>
    <col min="12068" max="12068" width="17.140625" style="1" customWidth="1"/>
    <col min="12069" max="12069" width="37.85546875" style="1" customWidth="1"/>
    <col min="12070" max="12070" width="36.5703125" style="1" customWidth="1"/>
    <col min="12071" max="12071" width="29.42578125" style="1" customWidth="1"/>
    <col min="12072" max="12316" width="8.85546875" style="1"/>
    <col min="12317" max="12317" width="4" style="1" customWidth="1"/>
    <col min="12318" max="12318" width="59.7109375" style="1" customWidth="1"/>
    <col min="12319" max="12319" width="4.85546875" style="1" customWidth="1"/>
    <col min="12320" max="12320" width="9" style="1" customWidth="1"/>
    <col min="12321" max="12321" width="15.85546875" style="1" customWidth="1"/>
    <col min="12322" max="12322" width="15.7109375" style="1" customWidth="1"/>
    <col min="12323" max="12323" width="15.42578125" style="1" customWidth="1"/>
    <col min="12324" max="12324" width="17.140625" style="1" customWidth="1"/>
    <col min="12325" max="12325" width="37.85546875" style="1" customWidth="1"/>
    <col min="12326" max="12326" width="36.5703125" style="1" customWidth="1"/>
    <col min="12327" max="12327" width="29.42578125" style="1" customWidth="1"/>
    <col min="12328" max="12572" width="8.85546875" style="1"/>
    <col min="12573" max="12573" width="4" style="1" customWidth="1"/>
    <col min="12574" max="12574" width="59.7109375" style="1" customWidth="1"/>
    <col min="12575" max="12575" width="4.85546875" style="1" customWidth="1"/>
    <col min="12576" max="12576" width="9" style="1" customWidth="1"/>
    <col min="12577" max="12577" width="15.85546875" style="1" customWidth="1"/>
    <col min="12578" max="12578" width="15.7109375" style="1" customWidth="1"/>
    <col min="12579" max="12579" width="15.42578125" style="1" customWidth="1"/>
    <col min="12580" max="12580" width="17.140625" style="1" customWidth="1"/>
    <col min="12581" max="12581" width="37.85546875" style="1" customWidth="1"/>
    <col min="12582" max="12582" width="36.5703125" style="1" customWidth="1"/>
    <col min="12583" max="12583" width="29.42578125" style="1" customWidth="1"/>
    <col min="12584" max="12828" width="8.85546875" style="1"/>
    <col min="12829" max="12829" width="4" style="1" customWidth="1"/>
    <col min="12830" max="12830" width="59.7109375" style="1" customWidth="1"/>
    <col min="12831" max="12831" width="4.85546875" style="1" customWidth="1"/>
    <col min="12832" max="12832" width="9" style="1" customWidth="1"/>
    <col min="12833" max="12833" width="15.85546875" style="1" customWidth="1"/>
    <col min="12834" max="12834" width="15.7109375" style="1" customWidth="1"/>
    <col min="12835" max="12835" width="15.42578125" style="1" customWidth="1"/>
    <col min="12836" max="12836" width="17.140625" style="1" customWidth="1"/>
    <col min="12837" max="12837" width="37.85546875" style="1" customWidth="1"/>
    <col min="12838" max="12838" width="36.5703125" style="1" customWidth="1"/>
    <col min="12839" max="12839" width="29.42578125" style="1" customWidth="1"/>
    <col min="12840" max="13084" width="8.85546875" style="1"/>
    <col min="13085" max="13085" width="4" style="1" customWidth="1"/>
    <col min="13086" max="13086" width="59.7109375" style="1" customWidth="1"/>
    <col min="13087" max="13087" width="4.85546875" style="1" customWidth="1"/>
    <col min="13088" max="13088" width="9" style="1" customWidth="1"/>
    <col min="13089" max="13089" width="15.85546875" style="1" customWidth="1"/>
    <col min="13090" max="13090" width="15.7109375" style="1" customWidth="1"/>
    <col min="13091" max="13091" width="15.42578125" style="1" customWidth="1"/>
    <col min="13092" max="13092" width="17.140625" style="1" customWidth="1"/>
    <col min="13093" max="13093" width="37.85546875" style="1" customWidth="1"/>
    <col min="13094" max="13094" width="36.5703125" style="1" customWidth="1"/>
    <col min="13095" max="13095" width="29.42578125" style="1" customWidth="1"/>
    <col min="13096" max="13340" width="8.85546875" style="1"/>
    <col min="13341" max="13341" width="4" style="1" customWidth="1"/>
    <col min="13342" max="13342" width="59.7109375" style="1" customWidth="1"/>
    <col min="13343" max="13343" width="4.85546875" style="1" customWidth="1"/>
    <col min="13344" max="13344" width="9" style="1" customWidth="1"/>
    <col min="13345" max="13345" width="15.85546875" style="1" customWidth="1"/>
    <col min="13346" max="13346" width="15.7109375" style="1" customWidth="1"/>
    <col min="13347" max="13347" width="15.42578125" style="1" customWidth="1"/>
    <col min="13348" max="13348" width="17.140625" style="1" customWidth="1"/>
    <col min="13349" max="13349" width="37.85546875" style="1" customWidth="1"/>
    <col min="13350" max="13350" width="36.5703125" style="1" customWidth="1"/>
    <col min="13351" max="13351" width="29.42578125" style="1" customWidth="1"/>
    <col min="13352" max="13596" width="8.85546875" style="1"/>
    <col min="13597" max="13597" width="4" style="1" customWidth="1"/>
    <col min="13598" max="13598" width="59.7109375" style="1" customWidth="1"/>
    <col min="13599" max="13599" width="4.85546875" style="1" customWidth="1"/>
    <col min="13600" max="13600" width="9" style="1" customWidth="1"/>
    <col min="13601" max="13601" width="15.85546875" style="1" customWidth="1"/>
    <col min="13602" max="13602" width="15.7109375" style="1" customWidth="1"/>
    <col min="13603" max="13603" width="15.42578125" style="1" customWidth="1"/>
    <col min="13604" max="13604" width="17.140625" style="1" customWidth="1"/>
    <col min="13605" max="13605" width="37.85546875" style="1" customWidth="1"/>
    <col min="13606" max="13606" width="36.5703125" style="1" customWidth="1"/>
    <col min="13607" max="13607" width="29.42578125" style="1" customWidth="1"/>
    <col min="13608" max="13852" width="8.85546875" style="1"/>
    <col min="13853" max="13853" width="4" style="1" customWidth="1"/>
    <col min="13854" max="13854" width="59.7109375" style="1" customWidth="1"/>
    <col min="13855" max="13855" width="4.85546875" style="1" customWidth="1"/>
    <col min="13856" max="13856" width="9" style="1" customWidth="1"/>
    <col min="13857" max="13857" width="15.85546875" style="1" customWidth="1"/>
    <col min="13858" max="13858" width="15.7109375" style="1" customWidth="1"/>
    <col min="13859" max="13859" width="15.42578125" style="1" customWidth="1"/>
    <col min="13860" max="13860" width="17.140625" style="1" customWidth="1"/>
    <col min="13861" max="13861" width="37.85546875" style="1" customWidth="1"/>
    <col min="13862" max="13862" width="36.5703125" style="1" customWidth="1"/>
    <col min="13863" max="13863" width="29.42578125" style="1" customWidth="1"/>
    <col min="13864" max="14108" width="8.85546875" style="1"/>
    <col min="14109" max="14109" width="4" style="1" customWidth="1"/>
    <col min="14110" max="14110" width="59.7109375" style="1" customWidth="1"/>
    <col min="14111" max="14111" width="4.85546875" style="1" customWidth="1"/>
    <col min="14112" max="14112" width="9" style="1" customWidth="1"/>
    <col min="14113" max="14113" width="15.85546875" style="1" customWidth="1"/>
    <col min="14114" max="14114" width="15.7109375" style="1" customWidth="1"/>
    <col min="14115" max="14115" width="15.42578125" style="1" customWidth="1"/>
    <col min="14116" max="14116" width="17.140625" style="1" customWidth="1"/>
    <col min="14117" max="14117" width="37.85546875" style="1" customWidth="1"/>
    <col min="14118" max="14118" width="36.5703125" style="1" customWidth="1"/>
    <col min="14119" max="14119" width="29.42578125" style="1" customWidth="1"/>
    <col min="14120" max="14364" width="8.85546875" style="1"/>
    <col min="14365" max="14365" width="4" style="1" customWidth="1"/>
    <col min="14366" max="14366" width="59.7109375" style="1" customWidth="1"/>
    <col min="14367" max="14367" width="4.85546875" style="1" customWidth="1"/>
    <col min="14368" max="14368" width="9" style="1" customWidth="1"/>
    <col min="14369" max="14369" width="15.85546875" style="1" customWidth="1"/>
    <col min="14370" max="14370" width="15.7109375" style="1" customWidth="1"/>
    <col min="14371" max="14371" width="15.42578125" style="1" customWidth="1"/>
    <col min="14372" max="14372" width="17.140625" style="1" customWidth="1"/>
    <col min="14373" max="14373" width="37.85546875" style="1" customWidth="1"/>
    <col min="14374" max="14374" width="36.5703125" style="1" customWidth="1"/>
    <col min="14375" max="14375" width="29.42578125" style="1" customWidth="1"/>
    <col min="14376" max="14620" width="8.85546875" style="1"/>
    <col min="14621" max="14621" width="4" style="1" customWidth="1"/>
    <col min="14622" max="14622" width="59.7109375" style="1" customWidth="1"/>
    <col min="14623" max="14623" width="4.85546875" style="1" customWidth="1"/>
    <col min="14624" max="14624" width="9" style="1" customWidth="1"/>
    <col min="14625" max="14625" width="15.85546875" style="1" customWidth="1"/>
    <col min="14626" max="14626" width="15.7109375" style="1" customWidth="1"/>
    <col min="14627" max="14627" width="15.42578125" style="1" customWidth="1"/>
    <col min="14628" max="14628" width="17.140625" style="1" customWidth="1"/>
    <col min="14629" max="14629" width="37.85546875" style="1" customWidth="1"/>
    <col min="14630" max="14630" width="36.5703125" style="1" customWidth="1"/>
    <col min="14631" max="14631" width="29.42578125" style="1" customWidth="1"/>
    <col min="14632" max="14876" width="8.85546875" style="1"/>
    <col min="14877" max="14877" width="4" style="1" customWidth="1"/>
    <col min="14878" max="14878" width="59.7109375" style="1" customWidth="1"/>
    <col min="14879" max="14879" width="4.85546875" style="1" customWidth="1"/>
    <col min="14880" max="14880" width="9" style="1" customWidth="1"/>
    <col min="14881" max="14881" width="15.85546875" style="1" customWidth="1"/>
    <col min="14882" max="14882" width="15.7109375" style="1" customWidth="1"/>
    <col min="14883" max="14883" width="15.42578125" style="1" customWidth="1"/>
    <col min="14884" max="14884" width="17.140625" style="1" customWidth="1"/>
    <col min="14885" max="14885" width="37.85546875" style="1" customWidth="1"/>
    <col min="14886" max="14886" width="36.5703125" style="1" customWidth="1"/>
    <col min="14887" max="14887" width="29.42578125" style="1" customWidth="1"/>
    <col min="14888" max="15132" width="8.85546875" style="1"/>
    <col min="15133" max="15133" width="4" style="1" customWidth="1"/>
    <col min="15134" max="15134" width="59.7109375" style="1" customWidth="1"/>
    <col min="15135" max="15135" width="4.85546875" style="1" customWidth="1"/>
    <col min="15136" max="15136" width="9" style="1" customWidth="1"/>
    <col min="15137" max="15137" width="15.85546875" style="1" customWidth="1"/>
    <col min="15138" max="15138" width="15.7109375" style="1" customWidth="1"/>
    <col min="15139" max="15139" width="15.42578125" style="1" customWidth="1"/>
    <col min="15140" max="15140" width="17.140625" style="1" customWidth="1"/>
    <col min="15141" max="15141" width="37.85546875" style="1" customWidth="1"/>
    <col min="15142" max="15142" width="36.5703125" style="1" customWidth="1"/>
    <col min="15143" max="15143" width="29.42578125" style="1" customWidth="1"/>
    <col min="15144" max="15388" width="8.85546875" style="1"/>
    <col min="15389" max="15389" width="4" style="1" customWidth="1"/>
    <col min="15390" max="15390" width="59.7109375" style="1" customWidth="1"/>
    <col min="15391" max="15391" width="4.85546875" style="1" customWidth="1"/>
    <col min="15392" max="15392" width="9" style="1" customWidth="1"/>
    <col min="15393" max="15393" width="15.85546875" style="1" customWidth="1"/>
    <col min="15394" max="15394" width="15.7109375" style="1" customWidth="1"/>
    <col min="15395" max="15395" width="15.42578125" style="1" customWidth="1"/>
    <col min="15396" max="15396" width="17.140625" style="1" customWidth="1"/>
    <col min="15397" max="15397" width="37.85546875" style="1" customWidth="1"/>
    <col min="15398" max="15398" width="36.5703125" style="1" customWidth="1"/>
    <col min="15399" max="15399" width="29.42578125" style="1" customWidth="1"/>
    <col min="15400" max="15644" width="8.85546875" style="1"/>
    <col min="15645" max="15645" width="4" style="1" customWidth="1"/>
    <col min="15646" max="15646" width="59.7109375" style="1" customWidth="1"/>
    <col min="15647" max="15647" width="4.85546875" style="1" customWidth="1"/>
    <col min="15648" max="15648" width="9" style="1" customWidth="1"/>
    <col min="15649" max="15649" width="15.85546875" style="1" customWidth="1"/>
    <col min="15650" max="15650" width="15.7109375" style="1" customWidth="1"/>
    <col min="15651" max="15651" width="15.42578125" style="1" customWidth="1"/>
    <col min="15652" max="15652" width="17.140625" style="1" customWidth="1"/>
    <col min="15653" max="15653" width="37.85546875" style="1" customWidth="1"/>
    <col min="15654" max="15654" width="36.5703125" style="1" customWidth="1"/>
    <col min="15655" max="15655" width="29.42578125" style="1" customWidth="1"/>
    <col min="15656" max="15900" width="8.85546875" style="1"/>
    <col min="15901" max="15901" width="4" style="1" customWidth="1"/>
    <col min="15902" max="15902" width="59.7109375" style="1" customWidth="1"/>
    <col min="15903" max="15903" width="4.85546875" style="1" customWidth="1"/>
    <col min="15904" max="15904" width="9" style="1" customWidth="1"/>
    <col min="15905" max="15905" width="15.85546875" style="1" customWidth="1"/>
    <col min="15906" max="15906" width="15.7109375" style="1" customWidth="1"/>
    <col min="15907" max="15907" width="15.42578125" style="1" customWidth="1"/>
    <col min="15908" max="15908" width="17.140625" style="1" customWidth="1"/>
    <col min="15909" max="15909" width="37.85546875" style="1" customWidth="1"/>
    <col min="15910" max="15910" width="36.5703125" style="1" customWidth="1"/>
    <col min="15911" max="15911" width="29.42578125" style="1" customWidth="1"/>
    <col min="15912" max="16156" width="8.85546875" style="1"/>
    <col min="16157" max="16157" width="4" style="1" customWidth="1"/>
    <col min="16158" max="16158" width="59.7109375" style="1" customWidth="1"/>
    <col min="16159" max="16159" width="4.85546875" style="1" customWidth="1"/>
    <col min="16160" max="16160" width="9" style="1" customWidth="1"/>
    <col min="16161" max="16161" width="15.85546875" style="1" customWidth="1"/>
    <col min="16162" max="16162" width="15.7109375" style="1" customWidth="1"/>
    <col min="16163" max="16163" width="15.42578125" style="1" customWidth="1"/>
    <col min="16164" max="16164" width="17.140625" style="1" customWidth="1"/>
    <col min="16165" max="16165" width="37.85546875" style="1" customWidth="1"/>
    <col min="16166" max="16166" width="36.5703125" style="1" customWidth="1"/>
    <col min="16167" max="16167" width="29.42578125" style="1" customWidth="1"/>
    <col min="16168" max="16384" width="8.85546875" style="1"/>
  </cols>
  <sheetData>
    <row r="1" spans="1:44" ht="22.15" customHeight="1">
      <c r="G1" s="19">
        <v>45999</v>
      </c>
      <c r="H1" s="19">
        <v>45999</v>
      </c>
      <c r="M1" s="19">
        <v>46002</v>
      </c>
      <c r="N1" s="19">
        <v>46002</v>
      </c>
      <c r="S1" s="19">
        <v>46006</v>
      </c>
      <c r="T1" s="19">
        <v>46006</v>
      </c>
      <c r="U1" s="20" t="s">
        <v>88</v>
      </c>
      <c r="V1" s="14" t="s">
        <v>89</v>
      </c>
      <c r="AA1" s="19">
        <v>46010</v>
      </c>
      <c r="AB1" s="19">
        <v>46010</v>
      </c>
      <c r="AC1" s="20" t="s">
        <v>88</v>
      </c>
      <c r="AD1" s="14" t="s">
        <v>89</v>
      </c>
      <c r="AI1" s="19">
        <v>46013</v>
      </c>
      <c r="AJ1" s="19">
        <f ca="1">TODAY()</f>
        <v>46013</v>
      </c>
      <c r="AK1" s="20" t="s">
        <v>88</v>
      </c>
      <c r="AL1" s="14" t="s">
        <v>89</v>
      </c>
    </row>
    <row r="2" spans="1:44" ht="30" customHeight="1">
      <c r="A2"/>
      <c r="B2" s="2" t="s">
        <v>0</v>
      </c>
      <c r="C2" s="21" t="s">
        <v>1</v>
      </c>
      <c r="D2" s="12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21" t="s">
        <v>1</v>
      </c>
      <c r="J2" s="12" t="s">
        <v>2</v>
      </c>
      <c r="K2" s="3" t="s">
        <v>3</v>
      </c>
      <c r="L2" s="3" t="s">
        <v>4</v>
      </c>
      <c r="M2" s="4" t="s">
        <v>5</v>
      </c>
      <c r="N2" s="4" t="s">
        <v>6</v>
      </c>
      <c r="O2" s="21" t="s">
        <v>1</v>
      </c>
      <c r="P2" s="12" t="s">
        <v>2</v>
      </c>
      <c r="Q2" s="3" t="s">
        <v>3</v>
      </c>
      <c r="R2" s="3" t="s">
        <v>4</v>
      </c>
      <c r="S2" s="4" t="s">
        <v>5</v>
      </c>
      <c r="T2" s="4" t="s">
        <v>6</v>
      </c>
      <c r="U2" s="22"/>
      <c r="V2" s="11"/>
      <c r="W2" s="21" t="s">
        <v>1</v>
      </c>
      <c r="X2" s="12" t="s">
        <v>2</v>
      </c>
      <c r="Y2" s="3" t="s">
        <v>3</v>
      </c>
      <c r="Z2" s="3" t="s">
        <v>4</v>
      </c>
      <c r="AA2" s="4" t="s">
        <v>5</v>
      </c>
      <c r="AB2" s="4" t="s">
        <v>6</v>
      </c>
      <c r="AC2" s="22"/>
      <c r="AD2" s="11"/>
      <c r="AE2" s="21" t="s">
        <v>1</v>
      </c>
      <c r="AF2" s="12" t="s">
        <v>2</v>
      </c>
      <c r="AG2" s="3" t="s">
        <v>3</v>
      </c>
      <c r="AH2" s="3" t="s">
        <v>4</v>
      </c>
      <c r="AI2" s="4" t="s">
        <v>5</v>
      </c>
      <c r="AJ2" s="4" t="s">
        <v>6</v>
      </c>
      <c r="AK2" s="22"/>
      <c r="AL2" s="11"/>
    </row>
    <row r="3" spans="1:44" ht="22.15" hidden="1" customHeight="1">
      <c r="A3"/>
      <c r="B3" s="5" t="s">
        <v>7</v>
      </c>
      <c r="C3" s="23" t="s">
        <v>8</v>
      </c>
      <c r="D3" s="24">
        <v>124</v>
      </c>
      <c r="E3" s="25">
        <v>45254</v>
      </c>
      <c r="F3" s="25">
        <v>45299</v>
      </c>
      <c r="G3" s="6">
        <f t="shared" ref="G3:G37" si="0">IFERROR((F3-$G$1)/(F3-E3)*100,"")</f>
        <v>-1555.5555555555554</v>
      </c>
      <c r="H3" s="6">
        <f t="shared" ref="H3:H37" si="1">F3-$H$1</f>
        <v>-700</v>
      </c>
      <c r="I3" s="23" t="s">
        <v>8</v>
      </c>
      <c r="J3" s="24">
        <v>124</v>
      </c>
      <c r="K3" s="25">
        <v>45254</v>
      </c>
      <c r="L3" s="25">
        <v>45299</v>
      </c>
      <c r="M3" s="6">
        <f t="shared" ref="M3:M37" si="2">IFERROR((L3-$G$1)/(L3-K3)*100,"")</f>
        <v>-1555.5555555555554</v>
      </c>
      <c r="N3" s="6">
        <f t="shared" ref="N3:N37" si="3">L3-$H$1</f>
        <v>-700</v>
      </c>
      <c r="O3" s="23" t="s">
        <v>8</v>
      </c>
      <c r="P3" s="24">
        <v>124</v>
      </c>
      <c r="Q3" s="25">
        <v>45254</v>
      </c>
      <c r="R3" s="25">
        <v>45299</v>
      </c>
      <c r="S3" s="6">
        <f t="shared" ref="S3:S37" si="4">IFERROR((R3-$G$1)/(R3-Q3)*100,"")</f>
        <v>-1555.5555555555554</v>
      </c>
      <c r="T3" s="6">
        <f t="shared" ref="T3:T37" si="5">R3-$H$1</f>
        <v>-700</v>
      </c>
      <c r="U3" s="22"/>
      <c r="V3" s="11"/>
      <c r="W3" s="23" t="s">
        <v>8</v>
      </c>
      <c r="X3" s="24">
        <v>124</v>
      </c>
      <c r="Y3" s="25">
        <v>45254</v>
      </c>
      <c r="Z3" s="25">
        <v>45299</v>
      </c>
      <c r="AA3" s="6">
        <f t="shared" ref="AA3:AA37" si="6">IFERROR((Z3-$G$1)/(Z3-Y3)*100,"")</f>
        <v>-1555.5555555555554</v>
      </c>
      <c r="AB3" s="6">
        <f t="shared" ref="AB3:AB37" si="7">Z3-$H$1</f>
        <v>-700</v>
      </c>
      <c r="AC3" s="22"/>
      <c r="AD3" s="11"/>
      <c r="AE3" s="23" t="s">
        <v>8</v>
      </c>
      <c r="AF3" s="24">
        <v>124</v>
      </c>
      <c r="AG3" s="25">
        <v>45254</v>
      </c>
      <c r="AH3" s="25">
        <v>45299</v>
      </c>
      <c r="AI3" s="6">
        <f t="shared" ref="AI3:AI37" si="8">IFERROR((AH3-$G$1)/(AH3-AG3)*100,"")</f>
        <v>-1555.5555555555554</v>
      </c>
      <c r="AJ3" s="6">
        <f t="shared" ref="AJ3:AJ37" si="9">AH3-$H$1</f>
        <v>-700</v>
      </c>
      <c r="AK3" s="22"/>
      <c r="AL3" s="11"/>
      <c r="AN3" s="60"/>
      <c r="AO3" s="60"/>
      <c r="AP3" s="60"/>
      <c r="AQ3" s="60"/>
      <c r="AR3" s="60"/>
    </row>
    <row r="4" spans="1:44" ht="22.15" hidden="1" customHeight="1">
      <c r="A4"/>
      <c r="B4" s="5" t="s">
        <v>9</v>
      </c>
      <c r="C4" s="23" t="s">
        <v>8</v>
      </c>
      <c r="D4" s="24">
        <v>115</v>
      </c>
      <c r="E4" s="25">
        <v>45254</v>
      </c>
      <c r="F4" s="25">
        <v>45299</v>
      </c>
      <c r="G4" s="6">
        <f t="shared" si="0"/>
        <v>-1555.5555555555554</v>
      </c>
      <c r="H4" s="6">
        <f t="shared" si="1"/>
        <v>-700</v>
      </c>
      <c r="I4" s="23" t="s">
        <v>8</v>
      </c>
      <c r="J4" s="24">
        <v>115</v>
      </c>
      <c r="K4" s="25">
        <v>45254</v>
      </c>
      <c r="L4" s="25">
        <v>45299</v>
      </c>
      <c r="M4" s="6">
        <f t="shared" si="2"/>
        <v>-1555.5555555555554</v>
      </c>
      <c r="N4" s="6">
        <f t="shared" si="3"/>
        <v>-700</v>
      </c>
      <c r="O4" s="23" t="s">
        <v>8</v>
      </c>
      <c r="P4" s="24">
        <v>115</v>
      </c>
      <c r="Q4" s="25">
        <v>45254</v>
      </c>
      <c r="R4" s="25">
        <v>45299</v>
      </c>
      <c r="S4" s="6">
        <f t="shared" si="4"/>
        <v>-1555.5555555555554</v>
      </c>
      <c r="T4" s="6">
        <f t="shared" si="5"/>
        <v>-700</v>
      </c>
      <c r="U4" s="22"/>
      <c r="V4" s="11"/>
      <c r="W4" s="23" t="s">
        <v>8</v>
      </c>
      <c r="X4" s="24">
        <v>115</v>
      </c>
      <c r="Y4" s="25">
        <v>45254</v>
      </c>
      <c r="Z4" s="25">
        <v>45299</v>
      </c>
      <c r="AA4" s="6">
        <f t="shared" si="6"/>
        <v>-1555.5555555555554</v>
      </c>
      <c r="AB4" s="6">
        <f t="shared" si="7"/>
        <v>-700</v>
      </c>
      <c r="AC4" s="22"/>
      <c r="AD4" s="11"/>
      <c r="AE4" s="23" t="s">
        <v>8</v>
      </c>
      <c r="AF4" s="24">
        <v>115</v>
      </c>
      <c r="AG4" s="25">
        <v>45254</v>
      </c>
      <c r="AH4" s="25">
        <v>45299</v>
      </c>
      <c r="AI4" s="6">
        <f t="shared" si="8"/>
        <v>-1555.5555555555554</v>
      </c>
      <c r="AJ4" s="6">
        <f t="shared" si="9"/>
        <v>-700</v>
      </c>
      <c r="AK4" s="22"/>
      <c r="AL4" s="11"/>
      <c r="AN4" s="61" t="s">
        <v>10</v>
      </c>
      <c r="AO4" s="61"/>
      <c r="AP4" s="61"/>
      <c r="AQ4" s="61"/>
      <c r="AR4" s="61"/>
    </row>
    <row r="5" spans="1:44" ht="22.15" hidden="1" customHeight="1">
      <c r="A5"/>
      <c r="B5" s="5" t="s">
        <v>11</v>
      </c>
      <c r="C5" s="23" t="s">
        <v>8</v>
      </c>
      <c r="D5" s="24">
        <v>54</v>
      </c>
      <c r="E5" s="26">
        <v>45256</v>
      </c>
      <c r="F5" s="26">
        <v>45301</v>
      </c>
      <c r="G5" s="6">
        <f t="shared" si="0"/>
        <v>-1551.1111111111111</v>
      </c>
      <c r="H5" s="6">
        <f t="shared" si="1"/>
        <v>-698</v>
      </c>
      <c r="I5" s="23" t="s">
        <v>8</v>
      </c>
      <c r="J5" s="24">
        <v>54</v>
      </c>
      <c r="K5" s="26">
        <v>45256</v>
      </c>
      <c r="L5" s="26">
        <v>45301</v>
      </c>
      <c r="M5" s="6">
        <f t="shared" si="2"/>
        <v>-1551.1111111111111</v>
      </c>
      <c r="N5" s="6">
        <f t="shared" si="3"/>
        <v>-698</v>
      </c>
      <c r="O5" s="23" t="s">
        <v>8</v>
      </c>
      <c r="P5" s="24">
        <v>54</v>
      </c>
      <c r="Q5" s="26">
        <v>45256</v>
      </c>
      <c r="R5" s="26">
        <v>45301</v>
      </c>
      <c r="S5" s="6">
        <f t="shared" si="4"/>
        <v>-1551.1111111111111</v>
      </c>
      <c r="T5" s="6">
        <f t="shared" si="5"/>
        <v>-698</v>
      </c>
      <c r="U5" s="22"/>
      <c r="V5" s="11"/>
      <c r="W5" s="23" t="s">
        <v>8</v>
      </c>
      <c r="X5" s="24">
        <v>54</v>
      </c>
      <c r="Y5" s="26">
        <v>45256</v>
      </c>
      <c r="Z5" s="26">
        <v>45301</v>
      </c>
      <c r="AA5" s="6">
        <f t="shared" si="6"/>
        <v>-1551.1111111111111</v>
      </c>
      <c r="AB5" s="6">
        <f t="shared" si="7"/>
        <v>-698</v>
      </c>
      <c r="AC5" s="22"/>
      <c r="AD5" s="11"/>
      <c r="AE5" s="23" t="s">
        <v>8</v>
      </c>
      <c r="AF5" s="24">
        <v>54</v>
      </c>
      <c r="AG5" s="26">
        <v>45256</v>
      </c>
      <c r="AH5" s="26">
        <v>45301</v>
      </c>
      <c r="AI5" s="6">
        <f t="shared" si="8"/>
        <v>-1551.1111111111111</v>
      </c>
      <c r="AJ5" s="6">
        <f t="shared" si="9"/>
        <v>-698</v>
      </c>
      <c r="AK5" s="22"/>
      <c r="AL5" s="11"/>
      <c r="AN5" s="61"/>
      <c r="AO5" s="61"/>
      <c r="AP5" s="61"/>
      <c r="AQ5" s="61"/>
      <c r="AR5" s="61"/>
    </row>
    <row r="6" spans="1:44" ht="22.15" hidden="1" customHeight="1">
      <c r="A6"/>
      <c r="B6" s="5" t="s">
        <v>12</v>
      </c>
      <c r="C6" s="23" t="s">
        <v>8</v>
      </c>
      <c r="D6" s="24">
        <v>65</v>
      </c>
      <c r="E6" s="26">
        <v>45268</v>
      </c>
      <c r="F6" s="26">
        <v>45303</v>
      </c>
      <c r="G6" s="6">
        <f t="shared" si="0"/>
        <v>-1988.5714285714287</v>
      </c>
      <c r="H6" s="6">
        <f t="shared" si="1"/>
        <v>-696</v>
      </c>
      <c r="I6" s="23" t="s">
        <v>8</v>
      </c>
      <c r="J6" s="24">
        <v>65</v>
      </c>
      <c r="K6" s="26">
        <v>45268</v>
      </c>
      <c r="L6" s="26">
        <v>45303</v>
      </c>
      <c r="M6" s="6">
        <f t="shared" si="2"/>
        <v>-1988.5714285714287</v>
      </c>
      <c r="N6" s="6">
        <f t="shared" si="3"/>
        <v>-696</v>
      </c>
      <c r="O6" s="23" t="s">
        <v>8</v>
      </c>
      <c r="P6" s="24">
        <v>65</v>
      </c>
      <c r="Q6" s="26">
        <v>45268</v>
      </c>
      <c r="R6" s="26">
        <v>45303</v>
      </c>
      <c r="S6" s="6">
        <f t="shared" si="4"/>
        <v>-1988.5714285714287</v>
      </c>
      <c r="T6" s="6">
        <f t="shared" si="5"/>
        <v>-696</v>
      </c>
      <c r="U6" s="22"/>
      <c r="V6" s="11"/>
      <c r="W6" s="23" t="s">
        <v>8</v>
      </c>
      <c r="X6" s="24">
        <v>65</v>
      </c>
      <c r="Y6" s="26">
        <v>45268</v>
      </c>
      <c r="Z6" s="26">
        <v>45303</v>
      </c>
      <c r="AA6" s="6">
        <f t="shared" si="6"/>
        <v>-1988.5714285714287</v>
      </c>
      <c r="AB6" s="6">
        <f t="shared" si="7"/>
        <v>-696</v>
      </c>
      <c r="AC6" s="22"/>
      <c r="AD6" s="11"/>
      <c r="AE6" s="23" t="s">
        <v>8</v>
      </c>
      <c r="AF6" s="24">
        <v>65</v>
      </c>
      <c r="AG6" s="26">
        <v>45268</v>
      </c>
      <c r="AH6" s="26">
        <v>45303</v>
      </c>
      <c r="AI6" s="6">
        <f t="shared" si="8"/>
        <v>-1988.5714285714287</v>
      </c>
      <c r="AJ6" s="6">
        <f t="shared" si="9"/>
        <v>-696</v>
      </c>
      <c r="AK6" s="22"/>
      <c r="AL6" s="11"/>
      <c r="AN6" s="7"/>
      <c r="AO6" s="7"/>
      <c r="AP6" s="7"/>
      <c r="AQ6" s="7"/>
      <c r="AR6" s="7"/>
    </row>
    <row r="7" spans="1:44" ht="22.15" hidden="1" customHeight="1">
      <c r="A7"/>
      <c r="B7" s="5" t="s">
        <v>13</v>
      </c>
      <c r="C7" s="23" t="s">
        <v>8</v>
      </c>
      <c r="D7" s="24">
        <v>32</v>
      </c>
      <c r="E7" s="26">
        <v>45269</v>
      </c>
      <c r="F7" s="26">
        <v>45304</v>
      </c>
      <c r="G7" s="6">
        <f t="shared" si="0"/>
        <v>-1985.7142857142858</v>
      </c>
      <c r="H7" s="6">
        <f t="shared" si="1"/>
        <v>-695</v>
      </c>
      <c r="I7" s="23" t="s">
        <v>8</v>
      </c>
      <c r="J7" s="24">
        <v>32</v>
      </c>
      <c r="K7" s="26">
        <v>45269</v>
      </c>
      <c r="L7" s="26">
        <v>45304</v>
      </c>
      <c r="M7" s="6">
        <f t="shared" si="2"/>
        <v>-1985.7142857142858</v>
      </c>
      <c r="N7" s="6">
        <f t="shared" si="3"/>
        <v>-695</v>
      </c>
      <c r="O7" s="23" t="s">
        <v>8</v>
      </c>
      <c r="P7" s="24">
        <v>32</v>
      </c>
      <c r="Q7" s="26">
        <v>45269</v>
      </c>
      <c r="R7" s="26">
        <v>45304</v>
      </c>
      <c r="S7" s="6">
        <f t="shared" si="4"/>
        <v>-1985.7142857142858</v>
      </c>
      <c r="T7" s="6">
        <f t="shared" si="5"/>
        <v>-695</v>
      </c>
      <c r="U7" s="22"/>
      <c r="V7" s="11"/>
      <c r="W7" s="23" t="s">
        <v>8</v>
      </c>
      <c r="X7" s="24">
        <v>32</v>
      </c>
      <c r="Y7" s="26">
        <v>45269</v>
      </c>
      <c r="Z7" s="26">
        <v>45304</v>
      </c>
      <c r="AA7" s="6">
        <f t="shared" si="6"/>
        <v>-1985.7142857142858</v>
      </c>
      <c r="AB7" s="6">
        <f t="shared" si="7"/>
        <v>-695</v>
      </c>
      <c r="AC7" s="22"/>
      <c r="AD7" s="11"/>
      <c r="AE7" s="23" t="s">
        <v>8</v>
      </c>
      <c r="AF7" s="24">
        <v>32</v>
      </c>
      <c r="AG7" s="26">
        <v>45269</v>
      </c>
      <c r="AH7" s="26">
        <v>45304</v>
      </c>
      <c r="AI7" s="6">
        <f t="shared" si="8"/>
        <v>-1985.7142857142858</v>
      </c>
      <c r="AJ7" s="6">
        <f t="shared" si="9"/>
        <v>-695</v>
      </c>
      <c r="AK7" s="22"/>
      <c r="AL7" s="11"/>
      <c r="AN7" s="62"/>
      <c r="AO7" s="62"/>
      <c r="AP7" s="62"/>
      <c r="AQ7" s="62"/>
      <c r="AR7" s="62"/>
    </row>
    <row r="8" spans="1:44" ht="22.15" hidden="1" customHeight="1">
      <c r="A8"/>
      <c r="B8" s="5" t="s">
        <v>14</v>
      </c>
      <c r="C8" s="23" t="s">
        <v>15</v>
      </c>
      <c r="D8" s="24">
        <v>217.8</v>
      </c>
      <c r="E8" s="26">
        <v>45275</v>
      </c>
      <c r="F8" s="26">
        <v>45305</v>
      </c>
      <c r="G8" s="6">
        <f t="shared" si="0"/>
        <v>-2313.3333333333335</v>
      </c>
      <c r="H8" s="6">
        <f t="shared" si="1"/>
        <v>-694</v>
      </c>
      <c r="I8" s="23" t="s">
        <v>15</v>
      </c>
      <c r="J8" s="24">
        <v>217.8</v>
      </c>
      <c r="K8" s="26">
        <v>45275</v>
      </c>
      <c r="L8" s="26">
        <v>45305</v>
      </c>
      <c r="M8" s="6">
        <f t="shared" si="2"/>
        <v>-2313.3333333333335</v>
      </c>
      <c r="N8" s="6">
        <f t="shared" si="3"/>
        <v>-694</v>
      </c>
      <c r="O8" s="23" t="s">
        <v>15</v>
      </c>
      <c r="P8" s="24">
        <v>217.8</v>
      </c>
      <c r="Q8" s="26">
        <v>45275</v>
      </c>
      <c r="R8" s="26">
        <v>45305</v>
      </c>
      <c r="S8" s="6">
        <f t="shared" si="4"/>
        <v>-2313.3333333333335</v>
      </c>
      <c r="T8" s="6">
        <f t="shared" si="5"/>
        <v>-694</v>
      </c>
      <c r="U8" s="22"/>
      <c r="V8" s="11"/>
      <c r="W8" s="23" t="s">
        <v>15</v>
      </c>
      <c r="X8" s="24">
        <v>217.8</v>
      </c>
      <c r="Y8" s="26">
        <v>45275</v>
      </c>
      <c r="Z8" s="26">
        <v>45305</v>
      </c>
      <c r="AA8" s="6">
        <f t="shared" si="6"/>
        <v>-2313.3333333333335</v>
      </c>
      <c r="AB8" s="6">
        <f t="shared" si="7"/>
        <v>-694</v>
      </c>
      <c r="AC8" s="22"/>
      <c r="AD8" s="11"/>
      <c r="AE8" s="23" t="s">
        <v>15</v>
      </c>
      <c r="AF8" s="24">
        <v>217.8</v>
      </c>
      <c r="AG8" s="26">
        <v>45275</v>
      </c>
      <c r="AH8" s="26">
        <v>45305</v>
      </c>
      <c r="AI8" s="6">
        <f t="shared" si="8"/>
        <v>-2313.3333333333335</v>
      </c>
      <c r="AJ8" s="6">
        <f t="shared" si="9"/>
        <v>-694</v>
      </c>
      <c r="AK8" s="22"/>
      <c r="AL8" s="11"/>
      <c r="AN8" s="60"/>
      <c r="AO8" s="60"/>
      <c r="AP8" s="60"/>
      <c r="AQ8" s="60"/>
      <c r="AR8" s="60"/>
    </row>
    <row r="9" spans="1:44" ht="22.15" hidden="1" customHeight="1">
      <c r="A9"/>
      <c r="B9" s="5" t="s">
        <v>16</v>
      </c>
      <c r="C9" s="23" t="s">
        <v>15</v>
      </c>
      <c r="D9" s="24">
        <v>68.8</v>
      </c>
      <c r="E9" s="26">
        <v>45265</v>
      </c>
      <c r="F9" s="26">
        <v>45305</v>
      </c>
      <c r="G9" s="6">
        <f t="shared" si="0"/>
        <v>-1735.0000000000002</v>
      </c>
      <c r="H9" s="6">
        <f t="shared" si="1"/>
        <v>-694</v>
      </c>
      <c r="I9" s="23" t="s">
        <v>15</v>
      </c>
      <c r="J9" s="24">
        <v>68.8</v>
      </c>
      <c r="K9" s="26">
        <v>45265</v>
      </c>
      <c r="L9" s="26">
        <v>45305</v>
      </c>
      <c r="M9" s="6">
        <f t="shared" si="2"/>
        <v>-1735.0000000000002</v>
      </c>
      <c r="N9" s="6">
        <f t="shared" si="3"/>
        <v>-694</v>
      </c>
      <c r="O9" s="23" t="s">
        <v>15</v>
      </c>
      <c r="P9" s="24">
        <v>68.8</v>
      </c>
      <c r="Q9" s="26">
        <v>45265</v>
      </c>
      <c r="R9" s="26">
        <v>45305</v>
      </c>
      <c r="S9" s="6">
        <f t="shared" si="4"/>
        <v>-1735.0000000000002</v>
      </c>
      <c r="T9" s="6">
        <f t="shared" si="5"/>
        <v>-694</v>
      </c>
      <c r="U9" s="22"/>
      <c r="V9" s="11"/>
      <c r="W9" s="23" t="s">
        <v>15</v>
      </c>
      <c r="X9" s="24">
        <v>68.8</v>
      </c>
      <c r="Y9" s="26">
        <v>45265</v>
      </c>
      <c r="Z9" s="26">
        <v>45305</v>
      </c>
      <c r="AA9" s="6">
        <f t="shared" si="6"/>
        <v>-1735.0000000000002</v>
      </c>
      <c r="AB9" s="6">
        <f t="shared" si="7"/>
        <v>-694</v>
      </c>
      <c r="AC9" s="22"/>
      <c r="AD9" s="11"/>
      <c r="AE9" s="23" t="s">
        <v>15</v>
      </c>
      <c r="AF9" s="24">
        <v>68.8</v>
      </c>
      <c r="AG9" s="26">
        <v>45265</v>
      </c>
      <c r="AH9" s="26">
        <v>45305</v>
      </c>
      <c r="AI9" s="6">
        <f t="shared" si="8"/>
        <v>-1735.0000000000002</v>
      </c>
      <c r="AJ9" s="6">
        <f t="shared" si="9"/>
        <v>-694</v>
      </c>
      <c r="AK9" s="22"/>
      <c r="AL9" s="11"/>
      <c r="AN9" s="61" t="s">
        <v>17</v>
      </c>
      <c r="AO9" s="61"/>
      <c r="AP9" s="61"/>
      <c r="AQ9" s="61"/>
      <c r="AR9" s="61"/>
    </row>
    <row r="10" spans="1:44" ht="22.15" hidden="1" customHeight="1">
      <c r="A10"/>
      <c r="B10" s="5" t="s">
        <v>18</v>
      </c>
      <c r="C10" s="23" t="s">
        <v>15</v>
      </c>
      <c r="D10" s="24">
        <v>42.16</v>
      </c>
      <c r="E10" s="26">
        <v>45260</v>
      </c>
      <c r="F10" s="26">
        <v>45305</v>
      </c>
      <c r="G10" s="6">
        <f t="shared" si="0"/>
        <v>-1542.2222222222222</v>
      </c>
      <c r="H10" s="6">
        <f t="shared" si="1"/>
        <v>-694</v>
      </c>
      <c r="I10" s="23" t="s">
        <v>15</v>
      </c>
      <c r="J10" s="24">
        <v>42.16</v>
      </c>
      <c r="K10" s="26">
        <v>45260</v>
      </c>
      <c r="L10" s="26">
        <v>45305</v>
      </c>
      <c r="M10" s="6">
        <f t="shared" si="2"/>
        <v>-1542.2222222222222</v>
      </c>
      <c r="N10" s="6">
        <f t="shared" si="3"/>
        <v>-694</v>
      </c>
      <c r="O10" s="23" t="s">
        <v>15</v>
      </c>
      <c r="P10" s="24">
        <v>42.16</v>
      </c>
      <c r="Q10" s="26">
        <v>45260</v>
      </c>
      <c r="R10" s="26">
        <v>45305</v>
      </c>
      <c r="S10" s="6">
        <f t="shared" si="4"/>
        <v>-1542.2222222222222</v>
      </c>
      <c r="T10" s="6">
        <f t="shared" si="5"/>
        <v>-694</v>
      </c>
      <c r="U10" s="22"/>
      <c r="V10" s="11"/>
      <c r="W10" s="23" t="s">
        <v>15</v>
      </c>
      <c r="X10" s="24">
        <v>42.16</v>
      </c>
      <c r="Y10" s="26">
        <v>45260</v>
      </c>
      <c r="Z10" s="26">
        <v>45305</v>
      </c>
      <c r="AA10" s="6">
        <f t="shared" si="6"/>
        <v>-1542.2222222222222</v>
      </c>
      <c r="AB10" s="6">
        <f t="shared" si="7"/>
        <v>-694</v>
      </c>
      <c r="AC10" s="22"/>
      <c r="AD10" s="11"/>
      <c r="AE10" s="23" t="s">
        <v>15</v>
      </c>
      <c r="AF10" s="24">
        <v>42.16</v>
      </c>
      <c r="AG10" s="26">
        <v>45260</v>
      </c>
      <c r="AH10" s="26">
        <v>45305</v>
      </c>
      <c r="AI10" s="6">
        <f t="shared" si="8"/>
        <v>-1542.2222222222222</v>
      </c>
      <c r="AJ10" s="6">
        <f t="shared" si="9"/>
        <v>-694</v>
      </c>
      <c r="AK10" s="22"/>
      <c r="AL10" s="11"/>
      <c r="AN10" s="61"/>
      <c r="AO10" s="61"/>
      <c r="AP10" s="61"/>
      <c r="AQ10" s="61"/>
      <c r="AR10" s="61"/>
    </row>
    <row r="11" spans="1:44" ht="22.15" hidden="1" customHeight="1">
      <c r="A11"/>
      <c r="B11" s="5" t="s">
        <v>19</v>
      </c>
      <c r="C11" s="23" t="s">
        <v>15</v>
      </c>
      <c r="D11" s="24">
        <v>205.58</v>
      </c>
      <c r="E11" s="26">
        <v>45276</v>
      </c>
      <c r="F11" s="26">
        <v>45306</v>
      </c>
      <c r="G11" s="6">
        <f t="shared" si="0"/>
        <v>-2310</v>
      </c>
      <c r="H11" s="6">
        <f t="shared" si="1"/>
        <v>-693</v>
      </c>
      <c r="I11" s="23" t="s">
        <v>15</v>
      </c>
      <c r="J11" s="24">
        <v>205.58</v>
      </c>
      <c r="K11" s="26">
        <v>45276</v>
      </c>
      <c r="L11" s="26">
        <v>45306</v>
      </c>
      <c r="M11" s="6">
        <f t="shared" si="2"/>
        <v>-2310</v>
      </c>
      <c r="N11" s="6">
        <f t="shared" si="3"/>
        <v>-693</v>
      </c>
      <c r="O11" s="23" t="s">
        <v>15</v>
      </c>
      <c r="P11" s="24">
        <v>205.58</v>
      </c>
      <c r="Q11" s="26">
        <v>45276</v>
      </c>
      <c r="R11" s="26">
        <v>45306</v>
      </c>
      <c r="S11" s="6">
        <f t="shared" si="4"/>
        <v>-2310</v>
      </c>
      <c r="T11" s="6">
        <f t="shared" si="5"/>
        <v>-693</v>
      </c>
      <c r="U11" s="22"/>
      <c r="V11" s="11"/>
      <c r="W11" s="23" t="s">
        <v>15</v>
      </c>
      <c r="X11" s="24">
        <v>205.58</v>
      </c>
      <c r="Y11" s="26">
        <v>45276</v>
      </c>
      <c r="Z11" s="26">
        <v>45306</v>
      </c>
      <c r="AA11" s="6">
        <f t="shared" si="6"/>
        <v>-2310</v>
      </c>
      <c r="AB11" s="6">
        <f t="shared" si="7"/>
        <v>-693</v>
      </c>
      <c r="AC11" s="22"/>
      <c r="AD11" s="11"/>
      <c r="AE11" s="23" t="s">
        <v>15</v>
      </c>
      <c r="AF11" s="24">
        <v>205.58</v>
      </c>
      <c r="AG11" s="26">
        <v>45276</v>
      </c>
      <c r="AH11" s="26">
        <v>45306</v>
      </c>
      <c r="AI11" s="6">
        <f t="shared" si="8"/>
        <v>-2310</v>
      </c>
      <c r="AJ11" s="6">
        <f t="shared" si="9"/>
        <v>-693</v>
      </c>
      <c r="AK11" s="22"/>
      <c r="AL11" s="11"/>
    </row>
    <row r="12" spans="1:44" ht="22.15" hidden="1" customHeight="1">
      <c r="A12"/>
      <c r="B12" s="5" t="s">
        <v>20</v>
      </c>
      <c r="C12" s="23" t="s">
        <v>15</v>
      </c>
      <c r="D12" s="24">
        <v>12</v>
      </c>
      <c r="E12" s="26">
        <v>45256</v>
      </c>
      <c r="F12" s="26">
        <v>45306</v>
      </c>
      <c r="G12" s="6">
        <f t="shared" si="0"/>
        <v>-1386</v>
      </c>
      <c r="H12" s="6">
        <f t="shared" si="1"/>
        <v>-693</v>
      </c>
      <c r="I12" s="23" t="s">
        <v>15</v>
      </c>
      <c r="J12" s="24">
        <v>12</v>
      </c>
      <c r="K12" s="26">
        <v>45256</v>
      </c>
      <c r="L12" s="26">
        <v>45306</v>
      </c>
      <c r="M12" s="6">
        <f t="shared" si="2"/>
        <v>-1386</v>
      </c>
      <c r="N12" s="6">
        <f t="shared" si="3"/>
        <v>-693</v>
      </c>
      <c r="O12" s="23" t="s">
        <v>15</v>
      </c>
      <c r="P12" s="24">
        <v>12</v>
      </c>
      <c r="Q12" s="26">
        <v>45256</v>
      </c>
      <c r="R12" s="26">
        <v>45306</v>
      </c>
      <c r="S12" s="6">
        <f t="shared" si="4"/>
        <v>-1386</v>
      </c>
      <c r="T12" s="6">
        <f t="shared" si="5"/>
        <v>-693</v>
      </c>
      <c r="U12" s="22"/>
      <c r="V12" s="11"/>
      <c r="W12" s="23" t="s">
        <v>15</v>
      </c>
      <c r="X12" s="24">
        <v>12</v>
      </c>
      <c r="Y12" s="26">
        <v>45256</v>
      </c>
      <c r="Z12" s="26">
        <v>45306</v>
      </c>
      <c r="AA12" s="6">
        <f t="shared" si="6"/>
        <v>-1386</v>
      </c>
      <c r="AB12" s="6">
        <f t="shared" si="7"/>
        <v>-693</v>
      </c>
      <c r="AC12" s="22"/>
      <c r="AD12" s="11"/>
      <c r="AE12" s="23" t="s">
        <v>15</v>
      </c>
      <c r="AF12" s="24">
        <v>12</v>
      </c>
      <c r="AG12" s="26">
        <v>45256</v>
      </c>
      <c r="AH12" s="26">
        <v>45306</v>
      </c>
      <c r="AI12" s="6">
        <f t="shared" si="8"/>
        <v>-1386</v>
      </c>
      <c r="AJ12" s="6">
        <f t="shared" si="9"/>
        <v>-693</v>
      </c>
      <c r="AK12" s="22"/>
      <c r="AL12" s="11"/>
    </row>
    <row r="13" spans="1:44" ht="22.15" hidden="1" customHeight="1">
      <c r="A13"/>
      <c r="B13" s="5" t="s">
        <v>21</v>
      </c>
      <c r="C13" s="23" t="s">
        <v>15</v>
      </c>
      <c r="D13" s="24">
        <v>89.266999999999996</v>
      </c>
      <c r="E13" s="26">
        <v>45276</v>
      </c>
      <c r="F13" s="26">
        <v>45306</v>
      </c>
      <c r="G13" s="6">
        <f t="shared" si="0"/>
        <v>-2310</v>
      </c>
      <c r="H13" s="6">
        <f t="shared" si="1"/>
        <v>-693</v>
      </c>
      <c r="I13" s="23" t="s">
        <v>15</v>
      </c>
      <c r="J13" s="24">
        <v>89.266999999999996</v>
      </c>
      <c r="K13" s="26">
        <v>45276</v>
      </c>
      <c r="L13" s="26">
        <v>45306</v>
      </c>
      <c r="M13" s="6">
        <f t="shared" si="2"/>
        <v>-2310</v>
      </c>
      <c r="N13" s="6">
        <f t="shared" si="3"/>
        <v>-693</v>
      </c>
      <c r="O13" s="23" t="s">
        <v>15</v>
      </c>
      <c r="P13" s="24">
        <v>89.266999999999996</v>
      </c>
      <c r="Q13" s="26">
        <v>45276</v>
      </c>
      <c r="R13" s="26">
        <v>45306</v>
      </c>
      <c r="S13" s="6">
        <f t="shared" si="4"/>
        <v>-2310</v>
      </c>
      <c r="T13" s="6">
        <f t="shared" si="5"/>
        <v>-693</v>
      </c>
      <c r="U13" s="22"/>
      <c r="V13" s="11"/>
      <c r="W13" s="23" t="s">
        <v>15</v>
      </c>
      <c r="X13" s="24">
        <v>89.266999999999996</v>
      </c>
      <c r="Y13" s="26">
        <v>45276</v>
      </c>
      <c r="Z13" s="26">
        <v>45306</v>
      </c>
      <c r="AA13" s="6">
        <f t="shared" si="6"/>
        <v>-2310</v>
      </c>
      <c r="AB13" s="6">
        <f t="shared" si="7"/>
        <v>-693</v>
      </c>
      <c r="AC13" s="22"/>
      <c r="AD13" s="11"/>
      <c r="AE13" s="23" t="s">
        <v>15</v>
      </c>
      <c r="AF13" s="24">
        <v>89.266999999999996</v>
      </c>
      <c r="AG13" s="26">
        <v>45276</v>
      </c>
      <c r="AH13" s="26">
        <v>45306</v>
      </c>
      <c r="AI13" s="6">
        <f t="shared" si="8"/>
        <v>-2310</v>
      </c>
      <c r="AJ13" s="6">
        <f t="shared" si="9"/>
        <v>-693</v>
      </c>
      <c r="AK13" s="22"/>
      <c r="AL13" s="11"/>
    </row>
    <row r="14" spans="1:44" ht="22.15" hidden="1" customHeight="1">
      <c r="A14"/>
      <c r="B14" s="5" t="s">
        <v>22</v>
      </c>
      <c r="C14" s="23" t="s">
        <v>15</v>
      </c>
      <c r="D14" s="24">
        <v>57.1</v>
      </c>
      <c r="E14" s="26">
        <v>45229</v>
      </c>
      <c r="F14" s="26">
        <v>45306</v>
      </c>
      <c r="G14" s="6">
        <f t="shared" si="0"/>
        <v>-900</v>
      </c>
      <c r="H14" s="6">
        <f t="shared" si="1"/>
        <v>-693</v>
      </c>
      <c r="I14" s="23" t="s">
        <v>15</v>
      </c>
      <c r="J14" s="24">
        <v>57.1</v>
      </c>
      <c r="K14" s="26">
        <v>45229</v>
      </c>
      <c r="L14" s="26">
        <v>45306</v>
      </c>
      <c r="M14" s="6">
        <f t="shared" si="2"/>
        <v>-900</v>
      </c>
      <c r="N14" s="6">
        <f t="shared" si="3"/>
        <v>-693</v>
      </c>
      <c r="O14" s="23" t="s">
        <v>15</v>
      </c>
      <c r="P14" s="24">
        <v>57.1</v>
      </c>
      <c r="Q14" s="26">
        <v>45229</v>
      </c>
      <c r="R14" s="26">
        <v>45306</v>
      </c>
      <c r="S14" s="6">
        <f t="shared" si="4"/>
        <v>-900</v>
      </c>
      <c r="T14" s="6">
        <f t="shared" si="5"/>
        <v>-693</v>
      </c>
      <c r="U14" s="22" t="s">
        <v>23</v>
      </c>
      <c r="V14" s="11"/>
      <c r="W14" s="23" t="s">
        <v>15</v>
      </c>
      <c r="X14" s="24">
        <v>57.1</v>
      </c>
      <c r="Y14" s="26">
        <v>45229</v>
      </c>
      <c r="Z14" s="26">
        <v>45306</v>
      </c>
      <c r="AA14" s="6">
        <f t="shared" si="6"/>
        <v>-900</v>
      </c>
      <c r="AB14" s="6">
        <f t="shared" si="7"/>
        <v>-693</v>
      </c>
      <c r="AC14" s="22" t="s">
        <v>23</v>
      </c>
      <c r="AD14" s="11"/>
      <c r="AE14" s="23" t="s">
        <v>15</v>
      </c>
      <c r="AF14" s="24">
        <v>57.1</v>
      </c>
      <c r="AG14" s="26">
        <v>45229</v>
      </c>
      <c r="AH14" s="26">
        <v>45306</v>
      </c>
      <c r="AI14" s="6">
        <f t="shared" si="8"/>
        <v>-900</v>
      </c>
      <c r="AJ14" s="6">
        <f t="shared" si="9"/>
        <v>-693</v>
      </c>
      <c r="AK14" s="22" t="s">
        <v>23</v>
      </c>
      <c r="AL14" s="11"/>
    </row>
    <row r="15" spans="1:44" ht="22.15" hidden="1" customHeight="1">
      <c r="A15"/>
      <c r="B15" s="5" t="s">
        <v>24</v>
      </c>
      <c r="C15" s="23" t="s">
        <v>15</v>
      </c>
      <c r="D15" s="24">
        <v>159.1</v>
      </c>
      <c r="E15" s="26">
        <v>45262</v>
      </c>
      <c r="F15" s="26">
        <v>45307</v>
      </c>
      <c r="G15" s="6">
        <f t="shared" si="0"/>
        <v>-1537.7777777777778</v>
      </c>
      <c r="H15" s="6">
        <f t="shared" si="1"/>
        <v>-692</v>
      </c>
      <c r="I15" s="23" t="s">
        <v>15</v>
      </c>
      <c r="J15" s="24">
        <v>159.1</v>
      </c>
      <c r="K15" s="26">
        <v>45262</v>
      </c>
      <c r="L15" s="26">
        <v>45307</v>
      </c>
      <c r="M15" s="6">
        <f t="shared" si="2"/>
        <v>-1537.7777777777778</v>
      </c>
      <c r="N15" s="6">
        <f t="shared" si="3"/>
        <v>-692</v>
      </c>
      <c r="O15" s="23" t="s">
        <v>15</v>
      </c>
      <c r="P15" s="24">
        <v>159.1</v>
      </c>
      <c r="Q15" s="26">
        <v>45262</v>
      </c>
      <c r="R15" s="26">
        <v>45307</v>
      </c>
      <c r="S15" s="6">
        <f t="shared" si="4"/>
        <v>-1537.7777777777778</v>
      </c>
      <c r="T15" s="6">
        <f t="shared" si="5"/>
        <v>-692</v>
      </c>
      <c r="U15" s="22"/>
      <c r="V15" s="11"/>
      <c r="W15" s="23" t="s">
        <v>15</v>
      </c>
      <c r="X15" s="24">
        <v>159.1</v>
      </c>
      <c r="Y15" s="26">
        <v>45262</v>
      </c>
      <c r="Z15" s="26">
        <v>45307</v>
      </c>
      <c r="AA15" s="6">
        <f t="shared" si="6"/>
        <v>-1537.7777777777778</v>
      </c>
      <c r="AB15" s="6">
        <f t="shared" si="7"/>
        <v>-692</v>
      </c>
      <c r="AC15" s="22"/>
      <c r="AD15" s="11"/>
      <c r="AE15" s="23" t="s">
        <v>15</v>
      </c>
      <c r="AF15" s="24">
        <v>159.1</v>
      </c>
      <c r="AG15" s="26">
        <v>45262</v>
      </c>
      <c r="AH15" s="26">
        <v>45307</v>
      </c>
      <c r="AI15" s="6">
        <f t="shared" si="8"/>
        <v>-1537.7777777777778</v>
      </c>
      <c r="AJ15" s="6">
        <f t="shared" si="9"/>
        <v>-692</v>
      </c>
      <c r="AK15" s="22"/>
      <c r="AL15" s="11"/>
    </row>
    <row r="16" spans="1:44" ht="22.15" hidden="1" customHeight="1">
      <c r="A16"/>
      <c r="B16" s="5" t="s">
        <v>25</v>
      </c>
      <c r="C16" s="23" t="s">
        <v>15</v>
      </c>
      <c r="D16" s="24">
        <v>218.5</v>
      </c>
      <c r="E16" s="26">
        <v>45277</v>
      </c>
      <c r="F16" s="26">
        <v>45307</v>
      </c>
      <c r="G16" s="6">
        <f t="shared" si="0"/>
        <v>-2306.6666666666665</v>
      </c>
      <c r="H16" s="6">
        <f t="shared" si="1"/>
        <v>-692</v>
      </c>
      <c r="I16" s="23" t="s">
        <v>15</v>
      </c>
      <c r="J16" s="24">
        <v>218.5</v>
      </c>
      <c r="K16" s="26">
        <v>45277</v>
      </c>
      <c r="L16" s="26">
        <v>45307</v>
      </c>
      <c r="M16" s="6">
        <f t="shared" si="2"/>
        <v>-2306.6666666666665</v>
      </c>
      <c r="N16" s="6">
        <f t="shared" si="3"/>
        <v>-692</v>
      </c>
      <c r="O16" s="23" t="s">
        <v>15</v>
      </c>
      <c r="P16" s="24">
        <v>218.5</v>
      </c>
      <c r="Q16" s="26">
        <v>45277</v>
      </c>
      <c r="R16" s="26">
        <v>45307</v>
      </c>
      <c r="S16" s="6">
        <f t="shared" si="4"/>
        <v>-2306.6666666666665</v>
      </c>
      <c r="T16" s="6">
        <f t="shared" si="5"/>
        <v>-692</v>
      </c>
      <c r="U16" s="22"/>
      <c r="V16" s="11"/>
      <c r="W16" s="23" t="s">
        <v>15</v>
      </c>
      <c r="X16" s="24">
        <v>218.5</v>
      </c>
      <c r="Y16" s="26">
        <v>45277</v>
      </c>
      <c r="Z16" s="26">
        <v>45307</v>
      </c>
      <c r="AA16" s="6">
        <f t="shared" si="6"/>
        <v>-2306.6666666666665</v>
      </c>
      <c r="AB16" s="6">
        <f t="shared" si="7"/>
        <v>-692</v>
      </c>
      <c r="AC16" s="22"/>
      <c r="AD16" s="11"/>
      <c r="AE16" s="23" t="s">
        <v>15</v>
      </c>
      <c r="AF16" s="24">
        <v>218.5</v>
      </c>
      <c r="AG16" s="26">
        <v>45277</v>
      </c>
      <c r="AH16" s="26">
        <v>45307</v>
      </c>
      <c r="AI16" s="6">
        <f t="shared" si="8"/>
        <v>-2306.6666666666665</v>
      </c>
      <c r="AJ16" s="6">
        <f t="shared" si="9"/>
        <v>-692</v>
      </c>
      <c r="AK16" s="22"/>
      <c r="AL16" s="11"/>
    </row>
    <row r="17" spans="1:38" ht="22.15" hidden="1" customHeight="1">
      <c r="A17"/>
      <c r="B17" s="5" t="s">
        <v>26</v>
      </c>
      <c r="C17" s="23" t="s">
        <v>15</v>
      </c>
      <c r="D17" s="24">
        <v>187.7</v>
      </c>
      <c r="E17" s="26">
        <v>45267</v>
      </c>
      <c r="F17" s="26">
        <v>45307</v>
      </c>
      <c r="G17" s="6">
        <f t="shared" si="0"/>
        <v>-1730</v>
      </c>
      <c r="H17" s="6">
        <f t="shared" si="1"/>
        <v>-692</v>
      </c>
      <c r="I17" s="23" t="s">
        <v>15</v>
      </c>
      <c r="J17" s="24">
        <v>187.7</v>
      </c>
      <c r="K17" s="26">
        <v>45267</v>
      </c>
      <c r="L17" s="26">
        <v>45307</v>
      </c>
      <c r="M17" s="6">
        <f t="shared" si="2"/>
        <v>-1730</v>
      </c>
      <c r="N17" s="6">
        <f t="shared" si="3"/>
        <v>-692</v>
      </c>
      <c r="O17" s="23" t="s">
        <v>15</v>
      </c>
      <c r="P17" s="24">
        <v>187.7</v>
      </c>
      <c r="Q17" s="26">
        <v>45267</v>
      </c>
      <c r="R17" s="26">
        <v>45307</v>
      </c>
      <c r="S17" s="6">
        <f t="shared" si="4"/>
        <v>-1730</v>
      </c>
      <c r="T17" s="6">
        <f t="shared" si="5"/>
        <v>-692</v>
      </c>
      <c r="U17" s="22"/>
      <c r="V17" s="11"/>
      <c r="W17" s="23" t="s">
        <v>15</v>
      </c>
      <c r="X17" s="24">
        <v>187.7</v>
      </c>
      <c r="Y17" s="26">
        <v>45267</v>
      </c>
      <c r="Z17" s="26">
        <v>45307</v>
      </c>
      <c r="AA17" s="6">
        <f t="shared" si="6"/>
        <v>-1730</v>
      </c>
      <c r="AB17" s="6">
        <f t="shared" si="7"/>
        <v>-692</v>
      </c>
      <c r="AC17" s="22"/>
      <c r="AD17" s="11"/>
      <c r="AE17" s="23" t="s">
        <v>15</v>
      </c>
      <c r="AF17" s="24">
        <v>187.7</v>
      </c>
      <c r="AG17" s="26">
        <v>45267</v>
      </c>
      <c r="AH17" s="26">
        <v>45307</v>
      </c>
      <c r="AI17" s="6">
        <f t="shared" si="8"/>
        <v>-1730</v>
      </c>
      <c r="AJ17" s="6">
        <f t="shared" si="9"/>
        <v>-692</v>
      </c>
      <c r="AK17" s="22"/>
      <c r="AL17" s="11"/>
    </row>
    <row r="18" spans="1:38" ht="22.15" hidden="1" customHeight="1">
      <c r="A18"/>
      <c r="B18" s="5" t="s">
        <v>27</v>
      </c>
      <c r="C18" s="23" t="s">
        <v>8</v>
      </c>
      <c r="D18" s="24">
        <v>77</v>
      </c>
      <c r="E18" s="26">
        <v>45268</v>
      </c>
      <c r="F18" s="26">
        <v>45308</v>
      </c>
      <c r="G18" s="6">
        <f t="shared" si="0"/>
        <v>-1727.4999999999998</v>
      </c>
      <c r="H18" s="6">
        <f t="shared" si="1"/>
        <v>-691</v>
      </c>
      <c r="I18" s="23" t="s">
        <v>8</v>
      </c>
      <c r="J18" s="24">
        <v>77</v>
      </c>
      <c r="K18" s="26">
        <v>45268</v>
      </c>
      <c r="L18" s="26">
        <v>45308</v>
      </c>
      <c r="M18" s="6">
        <f t="shared" si="2"/>
        <v>-1727.4999999999998</v>
      </c>
      <c r="N18" s="6">
        <f t="shared" si="3"/>
        <v>-691</v>
      </c>
      <c r="O18" s="23" t="s">
        <v>8</v>
      </c>
      <c r="P18" s="24">
        <v>77</v>
      </c>
      <c r="Q18" s="26">
        <v>45268</v>
      </c>
      <c r="R18" s="26">
        <v>45308</v>
      </c>
      <c r="S18" s="6">
        <f t="shared" si="4"/>
        <v>-1727.4999999999998</v>
      </c>
      <c r="T18" s="6">
        <f t="shared" si="5"/>
        <v>-691</v>
      </c>
      <c r="U18" s="22"/>
      <c r="V18" s="11"/>
      <c r="W18" s="23" t="s">
        <v>8</v>
      </c>
      <c r="X18" s="24">
        <v>77</v>
      </c>
      <c r="Y18" s="26">
        <v>45268</v>
      </c>
      <c r="Z18" s="26">
        <v>45308</v>
      </c>
      <c r="AA18" s="6">
        <f t="shared" si="6"/>
        <v>-1727.4999999999998</v>
      </c>
      <c r="AB18" s="6">
        <f t="shared" si="7"/>
        <v>-691</v>
      </c>
      <c r="AC18" s="22"/>
      <c r="AD18" s="11"/>
      <c r="AE18" s="23" t="s">
        <v>8</v>
      </c>
      <c r="AF18" s="24">
        <v>77</v>
      </c>
      <c r="AG18" s="26">
        <v>45268</v>
      </c>
      <c r="AH18" s="26">
        <v>45308</v>
      </c>
      <c r="AI18" s="6">
        <f t="shared" si="8"/>
        <v>-1727.4999999999998</v>
      </c>
      <c r="AJ18" s="6">
        <f t="shared" si="9"/>
        <v>-691</v>
      </c>
      <c r="AK18" s="22"/>
      <c r="AL18" s="11"/>
    </row>
    <row r="19" spans="1:38" ht="22.15" hidden="1" customHeight="1">
      <c r="A19"/>
      <c r="B19" s="5" t="s">
        <v>28</v>
      </c>
      <c r="C19" s="23" t="s">
        <v>8</v>
      </c>
      <c r="D19" s="24">
        <v>241</v>
      </c>
      <c r="E19" s="26">
        <v>45268</v>
      </c>
      <c r="F19" s="26">
        <v>45308</v>
      </c>
      <c r="G19" s="6">
        <f t="shared" si="0"/>
        <v>-1727.4999999999998</v>
      </c>
      <c r="H19" s="6">
        <f t="shared" si="1"/>
        <v>-691</v>
      </c>
      <c r="I19" s="23" t="s">
        <v>8</v>
      </c>
      <c r="J19" s="24">
        <v>241</v>
      </c>
      <c r="K19" s="26">
        <v>45268</v>
      </c>
      <c r="L19" s="26">
        <v>45308</v>
      </c>
      <c r="M19" s="6">
        <f t="shared" si="2"/>
        <v>-1727.4999999999998</v>
      </c>
      <c r="N19" s="6">
        <f t="shared" si="3"/>
        <v>-691</v>
      </c>
      <c r="O19" s="23" t="s">
        <v>8</v>
      </c>
      <c r="P19" s="24">
        <v>241</v>
      </c>
      <c r="Q19" s="26">
        <v>45268</v>
      </c>
      <c r="R19" s="26">
        <v>45308</v>
      </c>
      <c r="S19" s="6">
        <f t="shared" si="4"/>
        <v>-1727.4999999999998</v>
      </c>
      <c r="T19" s="6">
        <f t="shared" si="5"/>
        <v>-691</v>
      </c>
      <c r="U19" s="22"/>
      <c r="V19" s="11"/>
      <c r="W19" s="23" t="s">
        <v>8</v>
      </c>
      <c r="X19" s="24">
        <v>241</v>
      </c>
      <c r="Y19" s="26">
        <v>45268</v>
      </c>
      <c r="Z19" s="26">
        <v>45308</v>
      </c>
      <c r="AA19" s="6">
        <f t="shared" si="6"/>
        <v>-1727.4999999999998</v>
      </c>
      <c r="AB19" s="6">
        <f t="shared" si="7"/>
        <v>-691</v>
      </c>
      <c r="AC19" s="22"/>
      <c r="AD19" s="11"/>
      <c r="AE19" s="23" t="s">
        <v>8</v>
      </c>
      <c r="AF19" s="24">
        <v>241</v>
      </c>
      <c r="AG19" s="26">
        <v>45268</v>
      </c>
      <c r="AH19" s="26">
        <v>45308</v>
      </c>
      <c r="AI19" s="6">
        <f t="shared" si="8"/>
        <v>-1727.4999999999998</v>
      </c>
      <c r="AJ19" s="6">
        <f t="shared" si="9"/>
        <v>-691</v>
      </c>
      <c r="AK19" s="22"/>
      <c r="AL19" s="11"/>
    </row>
    <row r="20" spans="1:38" ht="22.15" hidden="1" customHeight="1">
      <c r="A20"/>
      <c r="B20" s="5" t="s">
        <v>29</v>
      </c>
      <c r="C20" s="23" t="s">
        <v>8</v>
      </c>
      <c r="D20" s="24">
        <v>354</v>
      </c>
      <c r="E20" s="26">
        <v>45268</v>
      </c>
      <c r="F20" s="26">
        <v>45308</v>
      </c>
      <c r="G20" s="6">
        <f t="shared" si="0"/>
        <v>-1727.4999999999998</v>
      </c>
      <c r="H20" s="6">
        <f t="shared" si="1"/>
        <v>-691</v>
      </c>
      <c r="I20" s="23" t="s">
        <v>8</v>
      </c>
      <c r="J20" s="24">
        <v>354</v>
      </c>
      <c r="K20" s="26">
        <v>45268</v>
      </c>
      <c r="L20" s="26">
        <v>45308</v>
      </c>
      <c r="M20" s="6">
        <f t="shared" si="2"/>
        <v>-1727.4999999999998</v>
      </c>
      <c r="N20" s="6">
        <f t="shared" si="3"/>
        <v>-691</v>
      </c>
      <c r="O20" s="23" t="s">
        <v>8</v>
      </c>
      <c r="P20" s="24">
        <v>354</v>
      </c>
      <c r="Q20" s="26">
        <v>45268</v>
      </c>
      <c r="R20" s="26">
        <v>45308</v>
      </c>
      <c r="S20" s="6">
        <f t="shared" si="4"/>
        <v>-1727.4999999999998</v>
      </c>
      <c r="T20" s="6">
        <f t="shared" si="5"/>
        <v>-691</v>
      </c>
      <c r="U20" s="22"/>
      <c r="V20" s="11"/>
      <c r="W20" s="23" t="s">
        <v>8</v>
      </c>
      <c r="X20" s="24">
        <v>354</v>
      </c>
      <c r="Y20" s="26">
        <v>45268</v>
      </c>
      <c r="Z20" s="26">
        <v>45308</v>
      </c>
      <c r="AA20" s="6">
        <f t="shared" si="6"/>
        <v>-1727.4999999999998</v>
      </c>
      <c r="AB20" s="6">
        <f t="shared" si="7"/>
        <v>-691</v>
      </c>
      <c r="AC20" s="22"/>
      <c r="AD20" s="11"/>
      <c r="AE20" s="23" t="s">
        <v>8</v>
      </c>
      <c r="AF20" s="24">
        <v>354</v>
      </c>
      <c r="AG20" s="26">
        <v>45268</v>
      </c>
      <c r="AH20" s="26">
        <v>45308</v>
      </c>
      <c r="AI20" s="6">
        <f t="shared" si="8"/>
        <v>-1727.4999999999998</v>
      </c>
      <c r="AJ20" s="6">
        <f t="shared" si="9"/>
        <v>-691</v>
      </c>
      <c r="AK20" s="22"/>
      <c r="AL20" s="11"/>
    </row>
    <row r="21" spans="1:38" ht="22.15" hidden="1" customHeight="1">
      <c r="A21"/>
      <c r="B21" s="5" t="s">
        <v>30</v>
      </c>
      <c r="C21" s="23" t="s">
        <v>8</v>
      </c>
      <c r="D21" s="24">
        <v>3</v>
      </c>
      <c r="E21" s="26">
        <v>45270</v>
      </c>
      <c r="F21" s="26">
        <v>45310</v>
      </c>
      <c r="G21" s="6">
        <f t="shared" si="0"/>
        <v>-1722.5000000000002</v>
      </c>
      <c r="H21" s="6">
        <f t="shared" si="1"/>
        <v>-689</v>
      </c>
      <c r="I21" s="23" t="s">
        <v>8</v>
      </c>
      <c r="J21" s="24">
        <v>3</v>
      </c>
      <c r="K21" s="26">
        <v>45270</v>
      </c>
      <c r="L21" s="26">
        <v>45310</v>
      </c>
      <c r="M21" s="6">
        <f t="shared" si="2"/>
        <v>-1722.5000000000002</v>
      </c>
      <c r="N21" s="6">
        <f t="shared" si="3"/>
        <v>-689</v>
      </c>
      <c r="O21" s="23" t="s">
        <v>8</v>
      </c>
      <c r="P21" s="24">
        <v>3</v>
      </c>
      <c r="Q21" s="26">
        <v>45270</v>
      </c>
      <c r="R21" s="26">
        <v>45310</v>
      </c>
      <c r="S21" s="6">
        <f t="shared" si="4"/>
        <v>-1722.5000000000002</v>
      </c>
      <c r="T21" s="6">
        <f t="shared" si="5"/>
        <v>-689</v>
      </c>
      <c r="U21" s="22"/>
      <c r="V21" s="11"/>
      <c r="W21" s="23" t="s">
        <v>8</v>
      </c>
      <c r="X21" s="24">
        <v>3</v>
      </c>
      <c r="Y21" s="26">
        <v>45270</v>
      </c>
      <c r="Z21" s="26">
        <v>45310</v>
      </c>
      <c r="AA21" s="6">
        <f t="shared" si="6"/>
        <v>-1722.5000000000002</v>
      </c>
      <c r="AB21" s="6">
        <f t="shared" si="7"/>
        <v>-689</v>
      </c>
      <c r="AC21" s="22"/>
      <c r="AD21" s="11"/>
      <c r="AE21" s="23" t="s">
        <v>8</v>
      </c>
      <c r="AF21" s="24">
        <v>3</v>
      </c>
      <c r="AG21" s="26">
        <v>45270</v>
      </c>
      <c r="AH21" s="26">
        <v>45310</v>
      </c>
      <c r="AI21" s="6">
        <f t="shared" si="8"/>
        <v>-1722.5000000000002</v>
      </c>
      <c r="AJ21" s="6">
        <f t="shared" si="9"/>
        <v>-689</v>
      </c>
      <c r="AK21" s="22"/>
      <c r="AL21" s="11"/>
    </row>
    <row r="22" spans="1:38" ht="22.15" hidden="1" customHeight="1">
      <c r="A22"/>
      <c r="B22" s="5" t="s">
        <v>31</v>
      </c>
      <c r="C22" s="23" t="s">
        <v>8</v>
      </c>
      <c r="D22" s="24">
        <v>45</v>
      </c>
      <c r="E22" s="26">
        <v>45268</v>
      </c>
      <c r="F22" s="26">
        <v>45311</v>
      </c>
      <c r="G22" s="6">
        <f t="shared" si="0"/>
        <v>-1600</v>
      </c>
      <c r="H22" s="6">
        <f t="shared" si="1"/>
        <v>-688</v>
      </c>
      <c r="I22" s="23" t="s">
        <v>8</v>
      </c>
      <c r="J22" s="24">
        <v>45</v>
      </c>
      <c r="K22" s="26">
        <v>45268</v>
      </c>
      <c r="L22" s="26">
        <v>45311</v>
      </c>
      <c r="M22" s="6">
        <f t="shared" si="2"/>
        <v>-1600</v>
      </c>
      <c r="N22" s="6">
        <f t="shared" si="3"/>
        <v>-688</v>
      </c>
      <c r="O22" s="23" t="s">
        <v>8</v>
      </c>
      <c r="P22" s="24">
        <v>45</v>
      </c>
      <c r="Q22" s="26">
        <v>45268</v>
      </c>
      <c r="R22" s="26">
        <v>45311</v>
      </c>
      <c r="S22" s="6">
        <f t="shared" si="4"/>
        <v>-1600</v>
      </c>
      <c r="T22" s="6">
        <f t="shared" si="5"/>
        <v>-688</v>
      </c>
      <c r="U22" s="22"/>
      <c r="V22" s="11"/>
      <c r="W22" s="23" t="s">
        <v>8</v>
      </c>
      <c r="X22" s="24">
        <v>45</v>
      </c>
      <c r="Y22" s="26">
        <v>45268</v>
      </c>
      <c r="Z22" s="26">
        <v>45311</v>
      </c>
      <c r="AA22" s="6">
        <f t="shared" si="6"/>
        <v>-1600</v>
      </c>
      <c r="AB22" s="6">
        <f t="shared" si="7"/>
        <v>-688</v>
      </c>
      <c r="AC22" s="22"/>
      <c r="AD22" s="11"/>
      <c r="AE22" s="23" t="s">
        <v>8</v>
      </c>
      <c r="AF22" s="24">
        <v>45</v>
      </c>
      <c r="AG22" s="26">
        <v>45268</v>
      </c>
      <c r="AH22" s="26">
        <v>45311</v>
      </c>
      <c r="AI22" s="6">
        <f t="shared" si="8"/>
        <v>-1600</v>
      </c>
      <c r="AJ22" s="6">
        <f t="shared" si="9"/>
        <v>-688</v>
      </c>
      <c r="AK22" s="22"/>
      <c r="AL22" s="11"/>
    </row>
    <row r="23" spans="1:38" ht="22.15" hidden="1" customHeight="1">
      <c r="A23"/>
      <c r="B23" s="5" t="s">
        <v>32</v>
      </c>
      <c r="C23" s="23" t="s">
        <v>15</v>
      </c>
      <c r="D23" s="24">
        <v>97.5</v>
      </c>
      <c r="E23" s="26">
        <v>45268</v>
      </c>
      <c r="F23" s="26">
        <v>45311</v>
      </c>
      <c r="G23" s="6">
        <f t="shared" si="0"/>
        <v>-1600</v>
      </c>
      <c r="H23" s="6">
        <f t="shared" si="1"/>
        <v>-688</v>
      </c>
      <c r="I23" s="23" t="s">
        <v>15</v>
      </c>
      <c r="J23" s="24">
        <v>97.5</v>
      </c>
      <c r="K23" s="26">
        <v>45268</v>
      </c>
      <c r="L23" s="26">
        <v>45311</v>
      </c>
      <c r="M23" s="6">
        <f t="shared" si="2"/>
        <v>-1600</v>
      </c>
      <c r="N23" s="6">
        <f t="shared" si="3"/>
        <v>-688</v>
      </c>
      <c r="O23" s="23" t="s">
        <v>15</v>
      </c>
      <c r="P23" s="24">
        <v>97.5</v>
      </c>
      <c r="Q23" s="26">
        <v>45268</v>
      </c>
      <c r="R23" s="26">
        <v>45311</v>
      </c>
      <c r="S23" s="6">
        <f t="shared" si="4"/>
        <v>-1600</v>
      </c>
      <c r="T23" s="6">
        <f t="shared" si="5"/>
        <v>-688</v>
      </c>
      <c r="U23" s="22"/>
      <c r="V23" s="11"/>
      <c r="W23" s="23" t="s">
        <v>15</v>
      </c>
      <c r="X23" s="24">
        <v>97.5</v>
      </c>
      <c r="Y23" s="26">
        <v>45268</v>
      </c>
      <c r="Z23" s="26">
        <v>45311</v>
      </c>
      <c r="AA23" s="6">
        <f t="shared" si="6"/>
        <v>-1600</v>
      </c>
      <c r="AB23" s="6">
        <f t="shared" si="7"/>
        <v>-688</v>
      </c>
      <c r="AC23" s="22"/>
      <c r="AD23" s="11"/>
      <c r="AE23" s="23" t="s">
        <v>15</v>
      </c>
      <c r="AF23" s="24">
        <v>97.5</v>
      </c>
      <c r="AG23" s="26">
        <v>45268</v>
      </c>
      <c r="AH23" s="26">
        <v>45311</v>
      </c>
      <c r="AI23" s="6">
        <f t="shared" si="8"/>
        <v>-1600</v>
      </c>
      <c r="AJ23" s="6">
        <f t="shared" si="9"/>
        <v>-688</v>
      </c>
      <c r="AK23" s="22"/>
      <c r="AL23" s="11"/>
    </row>
    <row r="24" spans="1:38" ht="22.15" hidden="1" customHeight="1">
      <c r="A24"/>
      <c r="B24" s="5" t="s">
        <v>33</v>
      </c>
      <c r="C24" s="23" t="s">
        <v>15</v>
      </c>
      <c r="D24" s="24">
        <v>85.93</v>
      </c>
      <c r="E24" s="26">
        <v>45276</v>
      </c>
      <c r="F24" s="26">
        <v>45311</v>
      </c>
      <c r="G24" s="6">
        <f t="shared" si="0"/>
        <v>-1965.7142857142858</v>
      </c>
      <c r="H24" s="6">
        <f t="shared" si="1"/>
        <v>-688</v>
      </c>
      <c r="I24" s="23" t="s">
        <v>15</v>
      </c>
      <c r="J24" s="24">
        <v>85.93</v>
      </c>
      <c r="K24" s="26">
        <v>45276</v>
      </c>
      <c r="L24" s="26">
        <v>45311</v>
      </c>
      <c r="M24" s="6">
        <f t="shared" si="2"/>
        <v>-1965.7142857142858</v>
      </c>
      <c r="N24" s="6">
        <f t="shared" si="3"/>
        <v>-688</v>
      </c>
      <c r="O24" s="23" t="s">
        <v>15</v>
      </c>
      <c r="P24" s="24">
        <v>85.93</v>
      </c>
      <c r="Q24" s="26">
        <v>45276</v>
      </c>
      <c r="R24" s="26">
        <v>45311</v>
      </c>
      <c r="S24" s="6">
        <f t="shared" si="4"/>
        <v>-1965.7142857142858</v>
      </c>
      <c r="T24" s="6">
        <f t="shared" si="5"/>
        <v>-688</v>
      </c>
      <c r="U24" s="22"/>
      <c r="V24" s="11"/>
      <c r="W24" s="23" t="s">
        <v>15</v>
      </c>
      <c r="X24" s="24">
        <v>85.93</v>
      </c>
      <c r="Y24" s="26">
        <v>45276</v>
      </c>
      <c r="Z24" s="26">
        <v>45311</v>
      </c>
      <c r="AA24" s="6">
        <f t="shared" si="6"/>
        <v>-1965.7142857142858</v>
      </c>
      <c r="AB24" s="6">
        <f t="shared" si="7"/>
        <v>-688</v>
      </c>
      <c r="AC24" s="22"/>
      <c r="AD24" s="11"/>
      <c r="AE24" s="23" t="s">
        <v>15</v>
      </c>
      <c r="AF24" s="24">
        <v>85.93</v>
      </c>
      <c r="AG24" s="26">
        <v>45276</v>
      </c>
      <c r="AH24" s="26">
        <v>45311</v>
      </c>
      <c r="AI24" s="6">
        <f t="shared" si="8"/>
        <v>-1965.7142857142858</v>
      </c>
      <c r="AJ24" s="6">
        <f t="shared" si="9"/>
        <v>-688</v>
      </c>
      <c r="AK24" s="22"/>
      <c r="AL24" s="11"/>
    </row>
    <row r="25" spans="1:38" ht="22.15" hidden="1" customHeight="1">
      <c r="A25"/>
      <c r="B25" s="5" t="s">
        <v>34</v>
      </c>
      <c r="C25" s="23" t="s">
        <v>15</v>
      </c>
      <c r="D25" s="24">
        <v>216.8</v>
      </c>
      <c r="E25" s="26">
        <v>45267</v>
      </c>
      <c r="F25" s="26">
        <v>45312</v>
      </c>
      <c r="G25" s="6">
        <f t="shared" si="0"/>
        <v>-1526.6666666666667</v>
      </c>
      <c r="H25" s="6">
        <f t="shared" si="1"/>
        <v>-687</v>
      </c>
      <c r="I25" s="23" t="s">
        <v>15</v>
      </c>
      <c r="J25" s="24">
        <v>216.8</v>
      </c>
      <c r="K25" s="26">
        <v>45267</v>
      </c>
      <c r="L25" s="26">
        <v>45312</v>
      </c>
      <c r="M25" s="6">
        <f t="shared" si="2"/>
        <v>-1526.6666666666667</v>
      </c>
      <c r="N25" s="6">
        <f t="shared" si="3"/>
        <v>-687</v>
      </c>
      <c r="O25" s="23" t="s">
        <v>15</v>
      </c>
      <c r="P25" s="24">
        <v>216.8</v>
      </c>
      <c r="Q25" s="26">
        <v>45267</v>
      </c>
      <c r="R25" s="26">
        <v>45312</v>
      </c>
      <c r="S25" s="6">
        <f t="shared" si="4"/>
        <v>-1526.6666666666667</v>
      </c>
      <c r="T25" s="6">
        <f t="shared" si="5"/>
        <v>-687</v>
      </c>
      <c r="U25" s="22"/>
      <c r="V25" s="11"/>
      <c r="W25" s="23" t="s">
        <v>15</v>
      </c>
      <c r="X25" s="24">
        <v>216.8</v>
      </c>
      <c r="Y25" s="26">
        <v>45267</v>
      </c>
      <c r="Z25" s="26">
        <v>45312</v>
      </c>
      <c r="AA25" s="6">
        <f t="shared" si="6"/>
        <v>-1526.6666666666667</v>
      </c>
      <c r="AB25" s="6">
        <f t="shared" si="7"/>
        <v>-687</v>
      </c>
      <c r="AC25" s="22"/>
      <c r="AD25" s="11"/>
      <c r="AE25" s="23" t="s">
        <v>15</v>
      </c>
      <c r="AF25" s="24">
        <v>216.8</v>
      </c>
      <c r="AG25" s="26">
        <v>45267</v>
      </c>
      <c r="AH25" s="26">
        <v>45312</v>
      </c>
      <c r="AI25" s="6">
        <f t="shared" si="8"/>
        <v>-1526.6666666666667</v>
      </c>
      <c r="AJ25" s="6">
        <f t="shared" si="9"/>
        <v>-687</v>
      </c>
      <c r="AK25" s="22"/>
      <c r="AL25" s="11"/>
    </row>
    <row r="26" spans="1:38" ht="22.15" hidden="1" customHeight="1">
      <c r="A26"/>
      <c r="B26" s="5" t="s">
        <v>35</v>
      </c>
      <c r="C26" s="23" t="s">
        <v>15</v>
      </c>
      <c r="D26" s="24">
        <v>170.9</v>
      </c>
      <c r="E26" s="26">
        <v>45277</v>
      </c>
      <c r="F26" s="26">
        <v>45312</v>
      </c>
      <c r="G26" s="6">
        <f t="shared" si="0"/>
        <v>-1962.8571428571429</v>
      </c>
      <c r="H26" s="6">
        <f t="shared" si="1"/>
        <v>-687</v>
      </c>
      <c r="I26" s="23" t="s">
        <v>15</v>
      </c>
      <c r="J26" s="24">
        <v>170.9</v>
      </c>
      <c r="K26" s="26">
        <v>45277</v>
      </c>
      <c r="L26" s="26">
        <v>45312</v>
      </c>
      <c r="M26" s="6">
        <f t="shared" si="2"/>
        <v>-1962.8571428571429</v>
      </c>
      <c r="N26" s="6">
        <f t="shared" si="3"/>
        <v>-687</v>
      </c>
      <c r="O26" s="23" t="s">
        <v>15</v>
      </c>
      <c r="P26" s="24">
        <v>170.9</v>
      </c>
      <c r="Q26" s="26">
        <v>45277</v>
      </c>
      <c r="R26" s="26">
        <v>45312</v>
      </c>
      <c r="S26" s="6">
        <f t="shared" si="4"/>
        <v>-1962.8571428571429</v>
      </c>
      <c r="T26" s="6">
        <f t="shared" si="5"/>
        <v>-687</v>
      </c>
      <c r="U26" s="22"/>
      <c r="V26" s="11"/>
      <c r="W26" s="23" t="s">
        <v>15</v>
      </c>
      <c r="X26" s="24">
        <v>170.9</v>
      </c>
      <c r="Y26" s="26">
        <v>45277</v>
      </c>
      <c r="Z26" s="26">
        <v>45312</v>
      </c>
      <c r="AA26" s="6">
        <f t="shared" si="6"/>
        <v>-1962.8571428571429</v>
      </c>
      <c r="AB26" s="6">
        <f t="shared" si="7"/>
        <v>-687</v>
      </c>
      <c r="AC26" s="22"/>
      <c r="AD26" s="11"/>
      <c r="AE26" s="23" t="s">
        <v>15</v>
      </c>
      <c r="AF26" s="24">
        <v>170.9</v>
      </c>
      <c r="AG26" s="26">
        <v>45277</v>
      </c>
      <c r="AH26" s="26">
        <v>45312</v>
      </c>
      <c r="AI26" s="6">
        <f t="shared" si="8"/>
        <v>-1962.8571428571429</v>
      </c>
      <c r="AJ26" s="6">
        <f t="shared" si="9"/>
        <v>-687</v>
      </c>
      <c r="AK26" s="22"/>
      <c r="AL26" s="11"/>
    </row>
    <row r="27" spans="1:38" ht="22.15" hidden="1" customHeight="1">
      <c r="A27"/>
      <c r="B27" s="5" t="s">
        <v>36</v>
      </c>
      <c r="C27" s="23" t="s">
        <v>15</v>
      </c>
      <c r="D27" s="24">
        <v>159.9</v>
      </c>
      <c r="E27" s="26">
        <v>45277</v>
      </c>
      <c r="F27" s="26">
        <v>45312</v>
      </c>
      <c r="G27" s="6">
        <f t="shared" si="0"/>
        <v>-1962.8571428571429</v>
      </c>
      <c r="H27" s="6">
        <f t="shared" si="1"/>
        <v>-687</v>
      </c>
      <c r="I27" s="23" t="s">
        <v>15</v>
      </c>
      <c r="J27" s="24">
        <v>159.9</v>
      </c>
      <c r="K27" s="26">
        <v>45277</v>
      </c>
      <c r="L27" s="26">
        <v>45312</v>
      </c>
      <c r="M27" s="6">
        <f t="shared" si="2"/>
        <v>-1962.8571428571429</v>
      </c>
      <c r="N27" s="6">
        <f t="shared" si="3"/>
        <v>-687</v>
      </c>
      <c r="O27" s="23" t="s">
        <v>15</v>
      </c>
      <c r="P27" s="24">
        <v>159.9</v>
      </c>
      <c r="Q27" s="26">
        <v>45277</v>
      </c>
      <c r="R27" s="26">
        <v>45312</v>
      </c>
      <c r="S27" s="6">
        <f t="shared" si="4"/>
        <v>-1962.8571428571429</v>
      </c>
      <c r="T27" s="6">
        <f t="shared" si="5"/>
        <v>-687</v>
      </c>
      <c r="U27" s="22"/>
      <c r="V27" s="11"/>
      <c r="W27" s="23" t="s">
        <v>15</v>
      </c>
      <c r="X27" s="24">
        <v>159.9</v>
      </c>
      <c r="Y27" s="26">
        <v>45277</v>
      </c>
      <c r="Z27" s="26">
        <v>45312</v>
      </c>
      <c r="AA27" s="6">
        <f t="shared" si="6"/>
        <v>-1962.8571428571429</v>
      </c>
      <c r="AB27" s="6">
        <f t="shared" si="7"/>
        <v>-687</v>
      </c>
      <c r="AC27" s="22"/>
      <c r="AD27" s="11"/>
      <c r="AE27" s="23" t="s">
        <v>15</v>
      </c>
      <c r="AF27" s="24">
        <v>159.9</v>
      </c>
      <c r="AG27" s="26">
        <v>45277</v>
      </c>
      <c r="AH27" s="26">
        <v>45312</v>
      </c>
      <c r="AI27" s="6">
        <f t="shared" si="8"/>
        <v>-1962.8571428571429</v>
      </c>
      <c r="AJ27" s="6">
        <f t="shared" si="9"/>
        <v>-687</v>
      </c>
      <c r="AK27" s="22"/>
      <c r="AL27" s="11"/>
    </row>
    <row r="28" spans="1:38" ht="22.15" hidden="1" customHeight="1">
      <c r="A28"/>
      <c r="B28" s="5" t="s">
        <v>37</v>
      </c>
      <c r="C28" s="23" t="s">
        <v>15</v>
      </c>
      <c r="D28" s="24">
        <v>358.6</v>
      </c>
      <c r="E28" s="26">
        <v>45272</v>
      </c>
      <c r="F28" s="26">
        <v>45312</v>
      </c>
      <c r="G28" s="6">
        <f t="shared" si="0"/>
        <v>-1717.5</v>
      </c>
      <c r="H28" s="6">
        <f t="shared" si="1"/>
        <v>-687</v>
      </c>
      <c r="I28" s="23" t="s">
        <v>15</v>
      </c>
      <c r="J28" s="24">
        <v>358.6</v>
      </c>
      <c r="K28" s="26">
        <v>45272</v>
      </c>
      <c r="L28" s="26">
        <v>45312</v>
      </c>
      <c r="M28" s="6">
        <f t="shared" si="2"/>
        <v>-1717.5</v>
      </c>
      <c r="N28" s="6">
        <f t="shared" si="3"/>
        <v>-687</v>
      </c>
      <c r="O28" s="23" t="s">
        <v>15</v>
      </c>
      <c r="P28" s="24">
        <v>358.6</v>
      </c>
      <c r="Q28" s="26">
        <v>45272</v>
      </c>
      <c r="R28" s="26">
        <v>45312</v>
      </c>
      <c r="S28" s="6">
        <f t="shared" si="4"/>
        <v>-1717.5</v>
      </c>
      <c r="T28" s="6">
        <f t="shared" si="5"/>
        <v>-687</v>
      </c>
      <c r="U28" s="22"/>
      <c r="V28" s="11"/>
      <c r="W28" s="23" t="s">
        <v>15</v>
      </c>
      <c r="X28" s="24">
        <v>358.6</v>
      </c>
      <c r="Y28" s="26">
        <v>45272</v>
      </c>
      <c r="Z28" s="26">
        <v>45312</v>
      </c>
      <c r="AA28" s="6">
        <f t="shared" si="6"/>
        <v>-1717.5</v>
      </c>
      <c r="AB28" s="6">
        <f t="shared" si="7"/>
        <v>-687</v>
      </c>
      <c r="AC28" s="22"/>
      <c r="AD28" s="11"/>
      <c r="AE28" s="23" t="s">
        <v>15</v>
      </c>
      <c r="AF28" s="24">
        <v>358.6</v>
      </c>
      <c r="AG28" s="26">
        <v>45272</v>
      </c>
      <c r="AH28" s="26">
        <v>45312</v>
      </c>
      <c r="AI28" s="6">
        <f t="shared" si="8"/>
        <v>-1717.5</v>
      </c>
      <c r="AJ28" s="6">
        <f t="shared" si="9"/>
        <v>-687</v>
      </c>
      <c r="AK28" s="22"/>
      <c r="AL28" s="11"/>
    </row>
    <row r="29" spans="1:38" ht="22.15" hidden="1" customHeight="1">
      <c r="A29"/>
      <c r="B29" s="5" t="s">
        <v>38</v>
      </c>
      <c r="C29" s="23" t="s">
        <v>8</v>
      </c>
      <c r="D29" s="24">
        <v>94</v>
      </c>
      <c r="E29" s="26">
        <v>45268</v>
      </c>
      <c r="F29" s="26">
        <v>45313</v>
      </c>
      <c r="G29" s="6">
        <f t="shared" si="0"/>
        <v>-1524.4444444444443</v>
      </c>
      <c r="H29" s="6">
        <f t="shared" si="1"/>
        <v>-686</v>
      </c>
      <c r="I29" s="23" t="s">
        <v>8</v>
      </c>
      <c r="J29" s="24">
        <v>94</v>
      </c>
      <c r="K29" s="26">
        <v>45268</v>
      </c>
      <c r="L29" s="26">
        <v>45313</v>
      </c>
      <c r="M29" s="6">
        <f t="shared" si="2"/>
        <v>-1524.4444444444443</v>
      </c>
      <c r="N29" s="6">
        <f t="shared" si="3"/>
        <v>-686</v>
      </c>
      <c r="O29" s="23" t="s">
        <v>8</v>
      </c>
      <c r="P29" s="24">
        <v>94</v>
      </c>
      <c r="Q29" s="26">
        <v>45268</v>
      </c>
      <c r="R29" s="26">
        <v>45313</v>
      </c>
      <c r="S29" s="6">
        <f t="shared" si="4"/>
        <v>-1524.4444444444443</v>
      </c>
      <c r="T29" s="6">
        <f t="shared" si="5"/>
        <v>-686</v>
      </c>
      <c r="U29" s="22"/>
      <c r="V29" s="11"/>
      <c r="W29" s="23" t="s">
        <v>8</v>
      </c>
      <c r="X29" s="24">
        <v>94</v>
      </c>
      <c r="Y29" s="26">
        <v>45268</v>
      </c>
      <c r="Z29" s="26">
        <v>45313</v>
      </c>
      <c r="AA29" s="6">
        <f t="shared" si="6"/>
        <v>-1524.4444444444443</v>
      </c>
      <c r="AB29" s="6">
        <f t="shared" si="7"/>
        <v>-686</v>
      </c>
      <c r="AC29" s="22"/>
      <c r="AD29" s="11"/>
      <c r="AE29" s="23" t="s">
        <v>8</v>
      </c>
      <c r="AF29" s="24">
        <v>94</v>
      </c>
      <c r="AG29" s="26">
        <v>45268</v>
      </c>
      <c r="AH29" s="26">
        <v>45313</v>
      </c>
      <c r="AI29" s="6">
        <f t="shared" si="8"/>
        <v>-1524.4444444444443</v>
      </c>
      <c r="AJ29" s="6">
        <f t="shared" si="9"/>
        <v>-686</v>
      </c>
      <c r="AK29" s="22"/>
      <c r="AL29" s="11"/>
    </row>
    <row r="30" spans="1:38" ht="22.15" hidden="1" customHeight="1">
      <c r="A30"/>
      <c r="B30" s="5" t="s">
        <v>39</v>
      </c>
      <c r="C30" s="23" t="s">
        <v>8</v>
      </c>
      <c r="D30" s="24">
        <v>134</v>
      </c>
      <c r="E30" s="26">
        <v>45268</v>
      </c>
      <c r="F30" s="26">
        <v>45313</v>
      </c>
      <c r="G30" s="6">
        <f t="shared" si="0"/>
        <v>-1524.4444444444443</v>
      </c>
      <c r="H30" s="6">
        <f t="shared" si="1"/>
        <v>-686</v>
      </c>
      <c r="I30" s="23" t="s">
        <v>8</v>
      </c>
      <c r="J30" s="24">
        <v>134</v>
      </c>
      <c r="K30" s="26">
        <v>45268</v>
      </c>
      <c r="L30" s="26">
        <v>45313</v>
      </c>
      <c r="M30" s="6">
        <f t="shared" si="2"/>
        <v>-1524.4444444444443</v>
      </c>
      <c r="N30" s="6">
        <f t="shared" si="3"/>
        <v>-686</v>
      </c>
      <c r="O30" s="23" t="s">
        <v>8</v>
      </c>
      <c r="P30" s="24">
        <v>134</v>
      </c>
      <c r="Q30" s="26">
        <v>45268</v>
      </c>
      <c r="R30" s="26">
        <v>45313</v>
      </c>
      <c r="S30" s="6">
        <f t="shared" si="4"/>
        <v>-1524.4444444444443</v>
      </c>
      <c r="T30" s="6">
        <f t="shared" si="5"/>
        <v>-686</v>
      </c>
      <c r="U30" s="22"/>
      <c r="V30" s="11"/>
      <c r="W30" s="23" t="s">
        <v>8</v>
      </c>
      <c r="X30" s="24">
        <v>134</v>
      </c>
      <c r="Y30" s="26">
        <v>45268</v>
      </c>
      <c r="Z30" s="26">
        <v>45313</v>
      </c>
      <c r="AA30" s="6">
        <f t="shared" si="6"/>
        <v>-1524.4444444444443</v>
      </c>
      <c r="AB30" s="6">
        <f t="shared" si="7"/>
        <v>-686</v>
      </c>
      <c r="AC30" s="22"/>
      <c r="AD30" s="11"/>
      <c r="AE30" s="23" t="s">
        <v>8</v>
      </c>
      <c r="AF30" s="24">
        <v>134</v>
      </c>
      <c r="AG30" s="26">
        <v>45268</v>
      </c>
      <c r="AH30" s="26">
        <v>45313</v>
      </c>
      <c r="AI30" s="6">
        <f t="shared" si="8"/>
        <v>-1524.4444444444443</v>
      </c>
      <c r="AJ30" s="6">
        <f t="shared" si="9"/>
        <v>-686</v>
      </c>
      <c r="AK30" s="22"/>
      <c r="AL30" s="11"/>
    </row>
    <row r="31" spans="1:38" ht="22.15" hidden="1" customHeight="1">
      <c r="A31"/>
      <c r="B31" s="5" t="s">
        <v>40</v>
      </c>
      <c r="C31" s="23" t="s">
        <v>8</v>
      </c>
      <c r="D31" s="24">
        <v>2</v>
      </c>
      <c r="E31" s="26">
        <v>45268</v>
      </c>
      <c r="F31" s="26">
        <v>45313</v>
      </c>
      <c r="G31" s="6">
        <f t="shared" si="0"/>
        <v>-1524.4444444444443</v>
      </c>
      <c r="H31" s="6">
        <f t="shared" si="1"/>
        <v>-686</v>
      </c>
      <c r="I31" s="23" t="s">
        <v>8</v>
      </c>
      <c r="J31" s="24">
        <v>2</v>
      </c>
      <c r="K31" s="26">
        <v>45268</v>
      </c>
      <c r="L31" s="26">
        <v>45313</v>
      </c>
      <c r="M31" s="6">
        <f t="shared" si="2"/>
        <v>-1524.4444444444443</v>
      </c>
      <c r="N31" s="6">
        <f t="shared" si="3"/>
        <v>-686</v>
      </c>
      <c r="O31" s="23" t="s">
        <v>8</v>
      </c>
      <c r="P31" s="24">
        <v>2</v>
      </c>
      <c r="Q31" s="26">
        <v>45268</v>
      </c>
      <c r="R31" s="26">
        <v>45313</v>
      </c>
      <c r="S31" s="6">
        <f t="shared" si="4"/>
        <v>-1524.4444444444443</v>
      </c>
      <c r="T31" s="6">
        <f t="shared" si="5"/>
        <v>-686</v>
      </c>
      <c r="U31" s="22"/>
      <c r="V31" s="11"/>
      <c r="W31" s="23" t="s">
        <v>8</v>
      </c>
      <c r="X31" s="24">
        <v>2</v>
      </c>
      <c r="Y31" s="26">
        <v>45268</v>
      </c>
      <c r="Z31" s="26">
        <v>45313</v>
      </c>
      <c r="AA31" s="6">
        <f t="shared" si="6"/>
        <v>-1524.4444444444443</v>
      </c>
      <c r="AB31" s="6">
        <f t="shared" si="7"/>
        <v>-686</v>
      </c>
      <c r="AC31" s="22"/>
      <c r="AD31" s="11"/>
      <c r="AE31" s="23" t="s">
        <v>8</v>
      </c>
      <c r="AF31" s="24">
        <v>2</v>
      </c>
      <c r="AG31" s="26">
        <v>45268</v>
      </c>
      <c r="AH31" s="26">
        <v>45313</v>
      </c>
      <c r="AI31" s="6">
        <f t="shared" si="8"/>
        <v>-1524.4444444444443</v>
      </c>
      <c r="AJ31" s="6">
        <f t="shared" si="9"/>
        <v>-686</v>
      </c>
      <c r="AK31" s="22"/>
      <c r="AL31" s="11"/>
    </row>
    <row r="32" spans="1:38" ht="22.15" hidden="1" customHeight="1">
      <c r="A32"/>
      <c r="B32" s="5" t="s">
        <v>41</v>
      </c>
      <c r="C32" s="23" t="s">
        <v>15</v>
      </c>
      <c r="D32" s="24">
        <v>273.39999999999998</v>
      </c>
      <c r="E32" s="26">
        <v>45268</v>
      </c>
      <c r="F32" s="26">
        <v>45313</v>
      </c>
      <c r="G32" s="6">
        <f t="shared" si="0"/>
        <v>-1524.4444444444443</v>
      </c>
      <c r="H32" s="6">
        <f t="shared" si="1"/>
        <v>-686</v>
      </c>
      <c r="I32" s="23" t="s">
        <v>15</v>
      </c>
      <c r="J32" s="24">
        <v>273.39999999999998</v>
      </c>
      <c r="K32" s="26">
        <v>45268</v>
      </c>
      <c r="L32" s="26">
        <v>45313</v>
      </c>
      <c r="M32" s="6">
        <f t="shared" si="2"/>
        <v>-1524.4444444444443</v>
      </c>
      <c r="N32" s="6">
        <f t="shared" si="3"/>
        <v>-686</v>
      </c>
      <c r="O32" s="23" t="s">
        <v>15</v>
      </c>
      <c r="P32" s="24">
        <v>273.39999999999998</v>
      </c>
      <c r="Q32" s="26">
        <v>45268</v>
      </c>
      <c r="R32" s="26">
        <v>45313</v>
      </c>
      <c r="S32" s="6">
        <f t="shared" si="4"/>
        <v>-1524.4444444444443</v>
      </c>
      <c r="T32" s="6">
        <f t="shared" si="5"/>
        <v>-686</v>
      </c>
      <c r="U32" s="22"/>
      <c r="V32" s="11"/>
      <c r="W32" s="23" t="s">
        <v>15</v>
      </c>
      <c r="X32" s="24">
        <v>273.39999999999998</v>
      </c>
      <c r="Y32" s="26">
        <v>45268</v>
      </c>
      <c r="Z32" s="26">
        <v>45313</v>
      </c>
      <c r="AA32" s="6">
        <f t="shared" si="6"/>
        <v>-1524.4444444444443</v>
      </c>
      <c r="AB32" s="6">
        <f t="shared" si="7"/>
        <v>-686</v>
      </c>
      <c r="AC32" s="22"/>
      <c r="AD32" s="11"/>
      <c r="AE32" s="23" t="s">
        <v>15</v>
      </c>
      <c r="AF32" s="24">
        <v>273.39999999999998</v>
      </c>
      <c r="AG32" s="26">
        <v>45268</v>
      </c>
      <c r="AH32" s="26">
        <v>45313</v>
      </c>
      <c r="AI32" s="6">
        <f t="shared" si="8"/>
        <v>-1524.4444444444443</v>
      </c>
      <c r="AJ32" s="6">
        <f t="shared" si="9"/>
        <v>-686</v>
      </c>
      <c r="AK32" s="22"/>
      <c r="AL32" s="11"/>
    </row>
    <row r="33" spans="1:38" ht="22.15" hidden="1" customHeight="1">
      <c r="A33"/>
      <c r="B33" s="5" t="s">
        <v>42</v>
      </c>
      <c r="C33" s="23" t="s">
        <v>15</v>
      </c>
      <c r="D33" s="24">
        <v>160.19999999999999</v>
      </c>
      <c r="E33" s="26">
        <v>45274</v>
      </c>
      <c r="F33" s="26">
        <v>45314</v>
      </c>
      <c r="G33" s="6">
        <f t="shared" si="0"/>
        <v>-1712.5</v>
      </c>
      <c r="H33" s="6">
        <f t="shared" si="1"/>
        <v>-685</v>
      </c>
      <c r="I33" s="23" t="s">
        <v>15</v>
      </c>
      <c r="J33" s="24">
        <v>160.19999999999999</v>
      </c>
      <c r="K33" s="26">
        <v>45274</v>
      </c>
      <c r="L33" s="26">
        <v>45314</v>
      </c>
      <c r="M33" s="6">
        <f t="shared" si="2"/>
        <v>-1712.5</v>
      </c>
      <c r="N33" s="6">
        <f t="shared" si="3"/>
        <v>-685</v>
      </c>
      <c r="O33" s="23" t="s">
        <v>15</v>
      </c>
      <c r="P33" s="24">
        <v>160.19999999999999</v>
      </c>
      <c r="Q33" s="26">
        <v>45274</v>
      </c>
      <c r="R33" s="26">
        <v>45314</v>
      </c>
      <c r="S33" s="6">
        <f t="shared" si="4"/>
        <v>-1712.5</v>
      </c>
      <c r="T33" s="6">
        <f t="shared" si="5"/>
        <v>-685</v>
      </c>
      <c r="U33" s="22"/>
      <c r="V33" s="11"/>
      <c r="W33" s="23" t="s">
        <v>15</v>
      </c>
      <c r="X33" s="24">
        <v>160.19999999999999</v>
      </c>
      <c r="Y33" s="26">
        <v>45274</v>
      </c>
      <c r="Z33" s="26">
        <v>45314</v>
      </c>
      <c r="AA33" s="6">
        <f t="shared" si="6"/>
        <v>-1712.5</v>
      </c>
      <c r="AB33" s="6">
        <f t="shared" si="7"/>
        <v>-685</v>
      </c>
      <c r="AC33" s="22"/>
      <c r="AD33" s="11"/>
      <c r="AE33" s="23" t="s">
        <v>15</v>
      </c>
      <c r="AF33" s="24">
        <v>160.19999999999999</v>
      </c>
      <c r="AG33" s="26">
        <v>45274</v>
      </c>
      <c r="AH33" s="26">
        <v>45314</v>
      </c>
      <c r="AI33" s="6">
        <f t="shared" si="8"/>
        <v>-1712.5</v>
      </c>
      <c r="AJ33" s="6">
        <f t="shared" si="9"/>
        <v>-685</v>
      </c>
      <c r="AK33" s="22"/>
      <c r="AL33" s="11"/>
    </row>
    <row r="34" spans="1:38" ht="22.15" hidden="1" customHeight="1">
      <c r="A34"/>
      <c r="B34" s="5" t="s">
        <v>43</v>
      </c>
      <c r="C34" s="23" t="s">
        <v>15</v>
      </c>
      <c r="D34" s="24">
        <v>351.4</v>
      </c>
      <c r="E34" s="26">
        <v>45275</v>
      </c>
      <c r="F34" s="26">
        <v>45315</v>
      </c>
      <c r="G34" s="6">
        <f t="shared" si="0"/>
        <v>-1710.0000000000002</v>
      </c>
      <c r="H34" s="6">
        <f t="shared" si="1"/>
        <v>-684</v>
      </c>
      <c r="I34" s="23" t="s">
        <v>15</v>
      </c>
      <c r="J34" s="24">
        <v>351.4</v>
      </c>
      <c r="K34" s="26">
        <v>45275</v>
      </c>
      <c r="L34" s="26">
        <v>45315</v>
      </c>
      <c r="M34" s="6">
        <f t="shared" si="2"/>
        <v>-1710.0000000000002</v>
      </c>
      <c r="N34" s="6">
        <f t="shared" si="3"/>
        <v>-684</v>
      </c>
      <c r="O34" s="23" t="s">
        <v>15</v>
      </c>
      <c r="P34" s="24">
        <v>351.4</v>
      </c>
      <c r="Q34" s="26">
        <v>45275</v>
      </c>
      <c r="R34" s="26">
        <v>45315</v>
      </c>
      <c r="S34" s="6">
        <f t="shared" si="4"/>
        <v>-1710.0000000000002</v>
      </c>
      <c r="T34" s="6">
        <f t="shared" si="5"/>
        <v>-684</v>
      </c>
      <c r="U34" s="22"/>
      <c r="V34" s="11"/>
      <c r="W34" s="23" t="s">
        <v>15</v>
      </c>
      <c r="X34" s="24">
        <v>351.4</v>
      </c>
      <c r="Y34" s="26">
        <v>45275</v>
      </c>
      <c r="Z34" s="26">
        <v>45315</v>
      </c>
      <c r="AA34" s="6">
        <f t="shared" si="6"/>
        <v>-1710.0000000000002</v>
      </c>
      <c r="AB34" s="6">
        <f t="shared" si="7"/>
        <v>-684</v>
      </c>
      <c r="AC34" s="22"/>
      <c r="AD34" s="11"/>
      <c r="AE34" s="23" t="s">
        <v>15</v>
      </c>
      <c r="AF34" s="24">
        <v>351.4</v>
      </c>
      <c r="AG34" s="26">
        <v>45275</v>
      </c>
      <c r="AH34" s="26">
        <v>45315</v>
      </c>
      <c r="AI34" s="6">
        <f t="shared" si="8"/>
        <v>-1710.0000000000002</v>
      </c>
      <c r="AJ34" s="6">
        <f t="shared" si="9"/>
        <v>-684</v>
      </c>
      <c r="AK34" s="22"/>
      <c r="AL34" s="11"/>
    </row>
    <row r="35" spans="1:38" ht="22.15" hidden="1" customHeight="1">
      <c r="A35"/>
      <c r="B35" s="5" t="s">
        <v>44</v>
      </c>
      <c r="C35" s="23" t="s">
        <v>15</v>
      </c>
      <c r="D35" s="24">
        <v>19.004000000000001</v>
      </c>
      <c r="E35" s="26">
        <v>45275</v>
      </c>
      <c r="F35" s="26">
        <v>45315</v>
      </c>
      <c r="G35" s="6">
        <f t="shared" si="0"/>
        <v>-1710.0000000000002</v>
      </c>
      <c r="H35" s="6">
        <f t="shared" si="1"/>
        <v>-684</v>
      </c>
      <c r="I35" s="23" t="s">
        <v>15</v>
      </c>
      <c r="J35" s="24">
        <v>19.004000000000001</v>
      </c>
      <c r="K35" s="26">
        <v>45275</v>
      </c>
      <c r="L35" s="26">
        <v>45315</v>
      </c>
      <c r="M35" s="6">
        <f t="shared" si="2"/>
        <v>-1710.0000000000002</v>
      </c>
      <c r="N35" s="6">
        <f t="shared" si="3"/>
        <v>-684</v>
      </c>
      <c r="O35" s="23" t="s">
        <v>15</v>
      </c>
      <c r="P35" s="24">
        <v>19.004000000000001</v>
      </c>
      <c r="Q35" s="26">
        <v>45275</v>
      </c>
      <c r="R35" s="26">
        <v>45315</v>
      </c>
      <c r="S35" s="6">
        <f t="shared" si="4"/>
        <v>-1710.0000000000002</v>
      </c>
      <c r="T35" s="6">
        <f t="shared" si="5"/>
        <v>-684</v>
      </c>
      <c r="U35" s="22"/>
      <c r="V35" s="11"/>
      <c r="W35" s="23" t="s">
        <v>15</v>
      </c>
      <c r="X35" s="24">
        <v>19.004000000000001</v>
      </c>
      <c r="Y35" s="26">
        <v>45275</v>
      </c>
      <c r="Z35" s="26">
        <v>45315</v>
      </c>
      <c r="AA35" s="6">
        <f t="shared" si="6"/>
        <v>-1710.0000000000002</v>
      </c>
      <c r="AB35" s="6">
        <f t="shared" si="7"/>
        <v>-684</v>
      </c>
      <c r="AC35" s="22"/>
      <c r="AD35" s="11"/>
      <c r="AE35" s="23" t="s">
        <v>15</v>
      </c>
      <c r="AF35" s="24">
        <v>19.004000000000001</v>
      </c>
      <c r="AG35" s="26">
        <v>45275</v>
      </c>
      <c r="AH35" s="26">
        <v>45315</v>
      </c>
      <c r="AI35" s="6">
        <f t="shared" si="8"/>
        <v>-1710.0000000000002</v>
      </c>
      <c r="AJ35" s="6">
        <f t="shared" si="9"/>
        <v>-684</v>
      </c>
      <c r="AK35" s="22"/>
      <c r="AL35" s="11"/>
    </row>
    <row r="36" spans="1:38" ht="22.15" hidden="1" customHeight="1">
      <c r="A36"/>
      <c r="B36" s="5" t="s">
        <v>45</v>
      </c>
      <c r="C36" s="23" t="s">
        <v>15</v>
      </c>
      <c r="D36" s="24">
        <v>6.56</v>
      </c>
      <c r="E36" s="26"/>
      <c r="F36" s="26"/>
      <c r="G36" s="6" t="str">
        <f t="shared" si="0"/>
        <v/>
      </c>
      <c r="H36" s="6">
        <f t="shared" si="1"/>
        <v>-45999</v>
      </c>
      <c r="I36" s="23" t="s">
        <v>15</v>
      </c>
      <c r="J36" s="24">
        <v>6.56</v>
      </c>
      <c r="K36" s="26"/>
      <c r="L36" s="26"/>
      <c r="M36" s="6" t="str">
        <f t="shared" si="2"/>
        <v/>
      </c>
      <c r="N36" s="6">
        <f t="shared" si="3"/>
        <v>-45999</v>
      </c>
      <c r="O36" s="23" t="s">
        <v>15</v>
      </c>
      <c r="P36" s="24">
        <v>6.56</v>
      </c>
      <c r="Q36" s="26"/>
      <c r="R36" s="26"/>
      <c r="S36" s="6" t="str">
        <f t="shared" si="4"/>
        <v/>
      </c>
      <c r="T36" s="6">
        <f t="shared" si="5"/>
        <v>-45999</v>
      </c>
      <c r="U36" s="22"/>
      <c r="V36" s="11"/>
      <c r="W36" s="23" t="s">
        <v>15</v>
      </c>
      <c r="X36" s="24">
        <v>6.56</v>
      </c>
      <c r="Y36" s="26"/>
      <c r="Z36" s="26"/>
      <c r="AA36" s="6" t="str">
        <f t="shared" si="6"/>
        <v/>
      </c>
      <c r="AB36" s="6">
        <f t="shared" si="7"/>
        <v>-45999</v>
      </c>
      <c r="AC36" s="22"/>
      <c r="AD36" s="11"/>
      <c r="AE36" s="23" t="s">
        <v>15</v>
      </c>
      <c r="AF36" s="24">
        <v>6.56</v>
      </c>
      <c r="AG36" s="26"/>
      <c r="AH36" s="26"/>
      <c r="AI36" s="6" t="str">
        <f t="shared" si="8"/>
        <v/>
      </c>
      <c r="AJ36" s="6">
        <f t="shared" si="9"/>
        <v>-45999</v>
      </c>
      <c r="AK36" s="22"/>
      <c r="AL36" s="11"/>
    </row>
    <row r="37" spans="1:38" ht="22.15" hidden="1" customHeight="1">
      <c r="A37"/>
      <c r="B37" s="5" t="s">
        <v>46</v>
      </c>
      <c r="C37" s="23" t="s">
        <v>15</v>
      </c>
      <c r="D37" s="24">
        <v>115.69499999999999</v>
      </c>
      <c r="E37" s="26">
        <v>45276</v>
      </c>
      <c r="F37" s="26">
        <v>45316</v>
      </c>
      <c r="G37" s="6">
        <f t="shared" si="0"/>
        <v>-1707.5</v>
      </c>
      <c r="H37" s="6">
        <f t="shared" si="1"/>
        <v>-683</v>
      </c>
      <c r="I37" s="23" t="s">
        <v>15</v>
      </c>
      <c r="J37" s="24">
        <v>115.69499999999999</v>
      </c>
      <c r="K37" s="26">
        <v>45276</v>
      </c>
      <c r="L37" s="26">
        <v>45316</v>
      </c>
      <c r="M37" s="6">
        <f t="shared" si="2"/>
        <v>-1707.5</v>
      </c>
      <c r="N37" s="6">
        <f t="shared" si="3"/>
        <v>-683</v>
      </c>
      <c r="O37" s="23" t="s">
        <v>15</v>
      </c>
      <c r="P37" s="24">
        <v>115.69499999999999</v>
      </c>
      <c r="Q37" s="26">
        <v>45276</v>
      </c>
      <c r="R37" s="26">
        <v>45316</v>
      </c>
      <c r="S37" s="6">
        <f t="shared" si="4"/>
        <v>-1707.5</v>
      </c>
      <c r="T37" s="6">
        <f t="shared" si="5"/>
        <v>-683</v>
      </c>
      <c r="U37" s="22"/>
      <c r="V37" s="11"/>
      <c r="W37" s="23" t="s">
        <v>15</v>
      </c>
      <c r="X37" s="24">
        <v>115.69499999999999</v>
      </c>
      <c r="Y37" s="26">
        <v>45276</v>
      </c>
      <c r="Z37" s="26">
        <v>45316</v>
      </c>
      <c r="AA37" s="6">
        <f t="shared" si="6"/>
        <v>-1707.5</v>
      </c>
      <c r="AB37" s="6">
        <f t="shared" si="7"/>
        <v>-683</v>
      </c>
      <c r="AC37" s="22"/>
      <c r="AD37" s="11"/>
      <c r="AE37" s="23" t="s">
        <v>15</v>
      </c>
      <c r="AF37" s="24">
        <v>115.69499999999999</v>
      </c>
      <c r="AG37" s="26">
        <v>45276</v>
      </c>
      <c r="AH37" s="26">
        <v>45316</v>
      </c>
      <c r="AI37" s="6">
        <f t="shared" si="8"/>
        <v>-1707.5</v>
      </c>
      <c r="AJ37" s="6">
        <f t="shared" si="9"/>
        <v>-683</v>
      </c>
      <c r="AK37" s="22"/>
      <c r="AL37" s="11"/>
    </row>
    <row r="38" spans="1:38" ht="22.15" hidden="1" customHeight="1">
      <c r="A38"/>
      <c r="B38" s="5" t="s">
        <v>47</v>
      </c>
      <c r="C38" s="23" t="s">
        <v>8</v>
      </c>
      <c r="D38" s="24">
        <v>234</v>
      </c>
      <c r="E38" s="26">
        <v>45260</v>
      </c>
      <c r="F38" s="26">
        <v>45320</v>
      </c>
      <c r="G38" s="6">
        <f>IFERROR((F38-$G$1)/(F38-E38)*100,"")</f>
        <v>-1131.6666666666667</v>
      </c>
      <c r="H38" s="6">
        <f>F38-$H$1</f>
        <v>-679</v>
      </c>
      <c r="I38" s="23" t="s">
        <v>8</v>
      </c>
      <c r="J38" s="24">
        <v>234</v>
      </c>
      <c r="K38" s="26">
        <v>45260</v>
      </c>
      <c r="L38" s="26">
        <v>45320</v>
      </c>
      <c r="M38" s="6">
        <f>IFERROR((L38-$G$1)/(L38-K38)*100,"")</f>
        <v>-1131.6666666666667</v>
      </c>
      <c r="N38" s="6">
        <f>L38-$H$1</f>
        <v>-679</v>
      </c>
      <c r="O38" s="23" t="s">
        <v>8</v>
      </c>
      <c r="P38" s="24">
        <v>234</v>
      </c>
      <c r="Q38" s="26">
        <v>45260</v>
      </c>
      <c r="R38" s="26">
        <v>45320</v>
      </c>
      <c r="S38" s="6">
        <f>IFERROR((R38-$G$1)/(R38-Q38)*100,"")</f>
        <v>-1131.6666666666667</v>
      </c>
      <c r="T38" s="6">
        <f>R38-$H$1</f>
        <v>-679</v>
      </c>
      <c r="U38" s="22"/>
      <c r="V38" s="11"/>
      <c r="W38" s="23" t="s">
        <v>8</v>
      </c>
      <c r="X38" s="24">
        <v>234</v>
      </c>
      <c r="Y38" s="26">
        <v>45260</v>
      </c>
      <c r="Z38" s="26">
        <v>45320</v>
      </c>
      <c r="AA38" s="6">
        <f>IFERROR((Z38-$G$1)/(Z38-Y38)*100,"")</f>
        <v>-1131.6666666666667</v>
      </c>
      <c r="AB38" s="6">
        <f>Z38-$H$1</f>
        <v>-679</v>
      </c>
      <c r="AC38" s="22"/>
      <c r="AD38" s="11"/>
      <c r="AE38" s="23" t="s">
        <v>8</v>
      </c>
      <c r="AF38" s="24">
        <v>234</v>
      </c>
      <c r="AG38" s="26">
        <v>45260</v>
      </c>
      <c r="AH38" s="26">
        <v>45320</v>
      </c>
      <c r="AI38" s="6">
        <f>IFERROR((AH38-$G$1)/(AH38-AG38)*100,"")</f>
        <v>-1131.6666666666667</v>
      </c>
      <c r="AJ38" s="6">
        <f>AH38-$H$1</f>
        <v>-679</v>
      </c>
      <c r="AK38" s="22"/>
      <c r="AL38" s="11"/>
    </row>
    <row r="39" spans="1:38" ht="22.15" hidden="1" customHeight="1">
      <c r="A39"/>
      <c r="B39" s="5" t="s">
        <v>48</v>
      </c>
      <c r="C39" s="23" t="s">
        <v>8</v>
      </c>
      <c r="D39" s="24">
        <v>480</v>
      </c>
      <c r="E39" s="26"/>
      <c r="F39" s="26"/>
      <c r="G39" s="6" t="str">
        <f t="shared" ref="G39:G71" si="10">IFERROR((F39-$G$1)/(F39-E39)*100,"")</f>
        <v/>
      </c>
      <c r="H39" s="6">
        <f t="shared" ref="H39:H71" si="11">F39-$H$1</f>
        <v>-45999</v>
      </c>
      <c r="I39" s="23" t="s">
        <v>8</v>
      </c>
      <c r="J39" s="24">
        <v>480</v>
      </c>
      <c r="K39" s="26"/>
      <c r="L39" s="26"/>
      <c r="M39" s="6" t="str">
        <f t="shared" ref="M39:M95" si="12">IFERROR((L39-$G$1)/(L39-K39)*100,"")</f>
        <v/>
      </c>
      <c r="N39" s="6">
        <f t="shared" ref="N39:N95" si="13">L39-$H$1</f>
        <v>-45999</v>
      </c>
      <c r="O39" s="23" t="s">
        <v>8</v>
      </c>
      <c r="P39" s="24">
        <v>480</v>
      </c>
      <c r="Q39" s="26"/>
      <c r="R39" s="26"/>
      <c r="S39" s="6" t="str">
        <f t="shared" ref="S39:S95" si="14">IFERROR((R39-$G$1)/(R39-Q39)*100,"")</f>
        <v/>
      </c>
      <c r="T39" s="6">
        <f t="shared" ref="T39:T95" si="15">R39-$H$1</f>
        <v>-45999</v>
      </c>
      <c r="U39" s="22"/>
      <c r="V39" s="11"/>
      <c r="W39" s="23" t="s">
        <v>8</v>
      </c>
      <c r="X39" s="24">
        <v>480</v>
      </c>
      <c r="Y39" s="26"/>
      <c r="Z39" s="26"/>
      <c r="AA39" s="6" t="str">
        <f t="shared" ref="AA39:AA95" si="16">IFERROR((Z39-$G$1)/(Z39-Y39)*100,"")</f>
        <v/>
      </c>
      <c r="AB39" s="6">
        <f t="shared" ref="AB39:AB95" si="17">Z39-$H$1</f>
        <v>-45999</v>
      </c>
      <c r="AC39" s="22"/>
      <c r="AD39" s="11"/>
      <c r="AE39" s="23" t="s">
        <v>8</v>
      </c>
      <c r="AF39" s="24">
        <v>480</v>
      </c>
      <c r="AG39" s="26"/>
      <c r="AH39" s="26"/>
      <c r="AI39" s="6" t="str">
        <f t="shared" ref="AI39:AI100" si="18">IFERROR((AH39-$G$1)/(AH39-AG39)*100,"")</f>
        <v/>
      </c>
      <c r="AJ39" s="6">
        <f t="shared" ref="AJ39:AJ96" si="19">AH39-$H$1</f>
        <v>-45999</v>
      </c>
      <c r="AK39" s="22"/>
      <c r="AL39" s="11"/>
    </row>
    <row r="40" spans="1:38" ht="22.15" hidden="1" customHeight="1">
      <c r="A40"/>
      <c r="B40" s="5" t="s">
        <v>49</v>
      </c>
      <c r="C40" s="23" t="s">
        <v>8</v>
      </c>
      <c r="D40" s="24">
        <v>480</v>
      </c>
      <c r="E40" s="26"/>
      <c r="F40" s="26"/>
      <c r="G40" s="6" t="str">
        <f t="shared" si="10"/>
        <v/>
      </c>
      <c r="H40" s="6">
        <f t="shared" si="11"/>
        <v>-45999</v>
      </c>
      <c r="I40" s="23" t="s">
        <v>8</v>
      </c>
      <c r="J40" s="24">
        <v>480</v>
      </c>
      <c r="K40" s="26"/>
      <c r="L40" s="26"/>
      <c r="M40" s="6" t="str">
        <f t="shared" si="12"/>
        <v/>
      </c>
      <c r="N40" s="6">
        <f t="shared" si="13"/>
        <v>-45999</v>
      </c>
      <c r="O40" s="23" t="s">
        <v>8</v>
      </c>
      <c r="P40" s="24">
        <v>480</v>
      </c>
      <c r="Q40" s="26"/>
      <c r="R40" s="26"/>
      <c r="S40" s="6" t="str">
        <f t="shared" si="14"/>
        <v/>
      </c>
      <c r="T40" s="6">
        <f t="shared" si="15"/>
        <v>-45999</v>
      </c>
      <c r="U40" s="22"/>
      <c r="V40" s="11"/>
      <c r="W40" s="23" t="s">
        <v>8</v>
      </c>
      <c r="X40" s="24">
        <v>480</v>
      </c>
      <c r="Y40" s="26"/>
      <c r="Z40" s="26"/>
      <c r="AA40" s="6" t="str">
        <f t="shared" si="16"/>
        <v/>
      </c>
      <c r="AB40" s="6">
        <f t="shared" si="17"/>
        <v>-45999</v>
      </c>
      <c r="AC40" s="22"/>
      <c r="AD40" s="11"/>
      <c r="AE40" s="23" t="s">
        <v>8</v>
      </c>
      <c r="AF40" s="24">
        <v>480</v>
      </c>
      <c r="AG40" s="26"/>
      <c r="AH40" s="26"/>
      <c r="AI40" s="6" t="str">
        <f t="shared" si="18"/>
        <v/>
      </c>
      <c r="AJ40" s="6">
        <f t="shared" si="19"/>
        <v>-45999</v>
      </c>
      <c r="AK40" s="22"/>
      <c r="AL40" s="11"/>
    </row>
    <row r="41" spans="1:38" ht="22.15" hidden="1" customHeight="1">
      <c r="A41"/>
      <c r="B41" s="5" t="s">
        <v>50</v>
      </c>
      <c r="C41" s="23" t="s">
        <v>8</v>
      </c>
      <c r="D41" s="24">
        <v>2136</v>
      </c>
      <c r="E41" s="26"/>
      <c r="F41" s="26"/>
      <c r="G41" s="6" t="str">
        <f t="shared" si="10"/>
        <v/>
      </c>
      <c r="H41" s="6">
        <f t="shared" si="11"/>
        <v>-45999</v>
      </c>
      <c r="I41" s="23" t="s">
        <v>8</v>
      </c>
      <c r="J41" s="24">
        <v>2136</v>
      </c>
      <c r="K41" s="26"/>
      <c r="L41" s="26"/>
      <c r="M41" s="6" t="str">
        <f t="shared" si="12"/>
        <v/>
      </c>
      <c r="N41" s="6">
        <f t="shared" si="13"/>
        <v>-45999</v>
      </c>
      <c r="O41" s="23" t="s">
        <v>8</v>
      </c>
      <c r="P41" s="24">
        <v>2136</v>
      </c>
      <c r="Q41" s="26"/>
      <c r="R41" s="26"/>
      <c r="S41" s="6" t="str">
        <f t="shared" si="14"/>
        <v/>
      </c>
      <c r="T41" s="6">
        <f t="shared" si="15"/>
        <v>-45999</v>
      </c>
      <c r="U41" s="22"/>
      <c r="V41" s="11"/>
      <c r="W41" s="23" t="s">
        <v>8</v>
      </c>
      <c r="X41" s="24">
        <v>2136</v>
      </c>
      <c r="Y41" s="26"/>
      <c r="Z41" s="26"/>
      <c r="AA41" s="6" t="str">
        <f t="shared" si="16"/>
        <v/>
      </c>
      <c r="AB41" s="6">
        <f t="shared" si="17"/>
        <v>-45999</v>
      </c>
      <c r="AC41" s="22"/>
      <c r="AD41" s="11"/>
      <c r="AE41" s="23" t="s">
        <v>8</v>
      </c>
      <c r="AF41" s="24">
        <v>2136</v>
      </c>
      <c r="AG41" s="26"/>
      <c r="AH41" s="26"/>
      <c r="AI41" s="6" t="str">
        <f t="shared" si="18"/>
        <v/>
      </c>
      <c r="AJ41" s="6">
        <f t="shared" si="19"/>
        <v>-45999</v>
      </c>
      <c r="AK41" s="22"/>
      <c r="AL41" s="11"/>
    </row>
    <row r="42" spans="1:38" ht="22.15" hidden="1" customHeight="1">
      <c r="A42"/>
      <c r="B42" s="5" t="s">
        <v>51</v>
      </c>
      <c r="C42" s="23" t="s">
        <v>8</v>
      </c>
      <c r="D42" s="24">
        <v>192</v>
      </c>
      <c r="E42" s="26"/>
      <c r="F42" s="26"/>
      <c r="G42" s="6" t="str">
        <f t="shared" si="10"/>
        <v/>
      </c>
      <c r="H42" s="6">
        <f t="shared" si="11"/>
        <v>-45999</v>
      </c>
      <c r="I42" s="23" t="s">
        <v>8</v>
      </c>
      <c r="J42" s="24">
        <v>192</v>
      </c>
      <c r="K42" s="26"/>
      <c r="L42" s="26"/>
      <c r="M42" s="6" t="str">
        <f t="shared" si="12"/>
        <v/>
      </c>
      <c r="N42" s="6">
        <f t="shared" si="13"/>
        <v>-45999</v>
      </c>
      <c r="O42" s="23" t="s">
        <v>8</v>
      </c>
      <c r="P42" s="24">
        <v>192</v>
      </c>
      <c r="Q42" s="26"/>
      <c r="R42" s="26"/>
      <c r="S42" s="6" t="str">
        <f t="shared" si="14"/>
        <v/>
      </c>
      <c r="T42" s="6">
        <f t="shared" si="15"/>
        <v>-45999</v>
      </c>
      <c r="U42" s="22"/>
      <c r="V42" s="11"/>
      <c r="W42" s="23" t="s">
        <v>8</v>
      </c>
      <c r="X42" s="24">
        <v>192</v>
      </c>
      <c r="Y42" s="26"/>
      <c r="Z42" s="26"/>
      <c r="AA42" s="6" t="str">
        <f t="shared" si="16"/>
        <v/>
      </c>
      <c r="AB42" s="6">
        <f t="shared" si="17"/>
        <v>-45999</v>
      </c>
      <c r="AC42" s="22"/>
      <c r="AD42" s="11"/>
      <c r="AE42" s="23" t="s">
        <v>8</v>
      </c>
      <c r="AF42" s="24">
        <v>192</v>
      </c>
      <c r="AG42" s="26"/>
      <c r="AH42" s="26"/>
      <c r="AI42" s="6" t="str">
        <f t="shared" si="18"/>
        <v/>
      </c>
      <c r="AJ42" s="6">
        <f t="shared" si="19"/>
        <v>-45999</v>
      </c>
      <c r="AK42" s="22"/>
      <c r="AL42" s="11"/>
    </row>
    <row r="43" spans="1:38" ht="22.15" hidden="1" customHeight="1">
      <c r="A43"/>
      <c r="B43" s="5" t="s">
        <v>52</v>
      </c>
      <c r="C43" s="23" t="s">
        <v>8</v>
      </c>
      <c r="D43" s="24">
        <v>192</v>
      </c>
      <c r="E43" s="26"/>
      <c r="F43" s="26"/>
      <c r="G43" s="6" t="str">
        <f t="shared" si="10"/>
        <v/>
      </c>
      <c r="H43" s="6">
        <f t="shared" si="11"/>
        <v>-45999</v>
      </c>
      <c r="I43" s="23" t="s">
        <v>8</v>
      </c>
      <c r="J43" s="24">
        <v>192</v>
      </c>
      <c r="K43" s="26"/>
      <c r="L43" s="26"/>
      <c r="M43" s="6" t="str">
        <f t="shared" si="12"/>
        <v/>
      </c>
      <c r="N43" s="6">
        <f t="shared" si="13"/>
        <v>-45999</v>
      </c>
      <c r="O43" s="23" t="s">
        <v>8</v>
      </c>
      <c r="P43" s="24">
        <v>192</v>
      </c>
      <c r="Q43" s="26"/>
      <c r="R43" s="26"/>
      <c r="S43" s="6" t="str">
        <f t="shared" si="14"/>
        <v/>
      </c>
      <c r="T43" s="6">
        <f t="shared" si="15"/>
        <v>-45999</v>
      </c>
      <c r="U43" s="22"/>
      <c r="V43" s="11"/>
      <c r="W43" s="23" t="s">
        <v>8</v>
      </c>
      <c r="X43" s="24">
        <v>192</v>
      </c>
      <c r="Y43" s="26"/>
      <c r="Z43" s="26"/>
      <c r="AA43" s="6" t="str">
        <f t="shared" si="16"/>
        <v/>
      </c>
      <c r="AB43" s="6">
        <f t="shared" si="17"/>
        <v>-45999</v>
      </c>
      <c r="AC43" s="22"/>
      <c r="AD43" s="11"/>
      <c r="AE43" s="23" t="s">
        <v>8</v>
      </c>
      <c r="AF43" s="24">
        <v>192</v>
      </c>
      <c r="AG43" s="26"/>
      <c r="AH43" s="26"/>
      <c r="AI43" s="6" t="str">
        <f t="shared" si="18"/>
        <v/>
      </c>
      <c r="AJ43" s="6">
        <f t="shared" si="19"/>
        <v>-45999</v>
      </c>
      <c r="AK43" s="22"/>
      <c r="AL43" s="11"/>
    </row>
    <row r="44" spans="1:38" ht="22.15" hidden="1" customHeight="1">
      <c r="A44"/>
      <c r="B44" s="5" t="s">
        <v>53</v>
      </c>
      <c r="C44" s="23" t="s">
        <v>8</v>
      </c>
      <c r="D44" s="24">
        <v>2368</v>
      </c>
      <c r="E44" s="26"/>
      <c r="F44" s="26"/>
      <c r="G44" s="6" t="str">
        <f t="shared" si="10"/>
        <v/>
      </c>
      <c r="H44" s="6">
        <f t="shared" si="11"/>
        <v>-45999</v>
      </c>
      <c r="I44" s="23" t="s">
        <v>8</v>
      </c>
      <c r="J44" s="24">
        <v>2368</v>
      </c>
      <c r="K44" s="26"/>
      <c r="L44" s="26"/>
      <c r="M44" s="6" t="str">
        <f t="shared" si="12"/>
        <v/>
      </c>
      <c r="N44" s="6">
        <f t="shared" si="13"/>
        <v>-45999</v>
      </c>
      <c r="O44" s="23" t="s">
        <v>8</v>
      </c>
      <c r="P44" s="24">
        <v>2368</v>
      </c>
      <c r="Q44" s="26"/>
      <c r="R44" s="26"/>
      <c r="S44" s="6" t="str">
        <f t="shared" si="14"/>
        <v/>
      </c>
      <c r="T44" s="6">
        <f t="shared" si="15"/>
        <v>-45999</v>
      </c>
      <c r="U44" s="22"/>
      <c r="V44" s="11"/>
      <c r="W44" s="23" t="s">
        <v>8</v>
      </c>
      <c r="X44" s="24">
        <v>2368</v>
      </c>
      <c r="Y44" s="26"/>
      <c r="Z44" s="26"/>
      <c r="AA44" s="6" t="str">
        <f t="shared" si="16"/>
        <v/>
      </c>
      <c r="AB44" s="6">
        <f t="shared" si="17"/>
        <v>-45999</v>
      </c>
      <c r="AC44" s="22"/>
      <c r="AD44" s="11"/>
      <c r="AE44" s="23" t="s">
        <v>8</v>
      </c>
      <c r="AF44" s="24">
        <v>2368</v>
      </c>
      <c r="AG44" s="26"/>
      <c r="AH44" s="26"/>
      <c r="AI44" s="6" t="str">
        <f t="shared" si="18"/>
        <v/>
      </c>
      <c r="AJ44" s="6">
        <f t="shared" si="19"/>
        <v>-45999</v>
      </c>
      <c r="AK44" s="22"/>
      <c r="AL44" s="11"/>
    </row>
    <row r="45" spans="1:38" ht="22.15" hidden="1" customHeight="1">
      <c r="A45"/>
      <c r="B45" s="5" t="s">
        <v>54</v>
      </c>
      <c r="C45" s="23" t="s">
        <v>8</v>
      </c>
      <c r="D45" s="24">
        <v>836</v>
      </c>
      <c r="E45" s="26"/>
      <c r="F45" s="26"/>
      <c r="G45" s="6" t="str">
        <f t="shared" si="10"/>
        <v/>
      </c>
      <c r="H45" s="6">
        <f t="shared" si="11"/>
        <v>-45999</v>
      </c>
      <c r="I45" s="23" t="s">
        <v>8</v>
      </c>
      <c r="J45" s="24">
        <v>836</v>
      </c>
      <c r="K45" s="26"/>
      <c r="L45" s="26"/>
      <c r="M45" s="6" t="str">
        <f t="shared" si="12"/>
        <v/>
      </c>
      <c r="N45" s="6">
        <f t="shared" si="13"/>
        <v>-45999</v>
      </c>
      <c r="O45" s="23" t="s">
        <v>8</v>
      </c>
      <c r="P45" s="24">
        <v>836</v>
      </c>
      <c r="Q45" s="26"/>
      <c r="R45" s="26"/>
      <c r="S45" s="6" t="str">
        <f t="shared" si="14"/>
        <v/>
      </c>
      <c r="T45" s="6">
        <f t="shared" si="15"/>
        <v>-45999</v>
      </c>
      <c r="U45" s="22"/>
      <c r="V45" s="11"/>
      <c r="W45" s="23" t="s">
        <v>8</v>
      </c>
      <c r="X45" s="24">
        <v>836</v>
      </c>
      <c r="Y45" s="26"/>
      <c r="Z45" s="26"/>
      <c r="AA45" s="6" t="str">
        <f t="shared" si="16"/>
        <v/>
      </c>
      <c r="AB45" s="6">
        <f t="shared" si="17"/>
        <v>-45999</v>
      </c>
      <c r="AC45" s="22"/>
      <c r="AD45" s="11"/>
      <c r="AE45" s="23" t="s">
        <v>8</v>
      </c>
      <c r="AF45" s="24">
        <v>836</v>
      </c>
      <c r="AG45" s="26"/>
      <c r="AH45" s="26"/>
      <c r="AI45" s="6" t="str">
        <f t="shared" si="18"/>
        <v/>
      </c>
      <c r="AJ45" s="6">
        <f t="shared" si="19"/>
        <v>-45999</v>
      </c>
      <c r="AK45" s="22"/>
      <c r="AL45" s="11"/>
    </row>
    <row r="46" spans="1:38" ht="22.15" hidden="1" customHeight="1">
      <c r="A46"/>
      <c r="B46" s="5" t="s">
        <v>55</v>
      </c>
      <c r="C46" s="23" t="s">
        <v>8</v>
      </c>
      <c r="D46" s="24">
        <v>620</v>
      </c>
      <c r="E46" s="26"/>
      <c r="F46" s="26"/>
      <c r="G46" s="6" t="str">
        <f t="shared" si="10"/>
        <v/>
      </c>
      <c r="H46" s="6">
        <f t="shared" si="11"/>
        <v>-45999</v>
      </c>
      <c r="I46" s="23" t="s">
        <v>8</v>
      </c>
      <c r="J46" s="24">
        <v>620</v>
      </c>
      <c r="K46" s="26"/>
      <c r="L46" s="26"/>
      <c r="M46" s="6" t="str">
        <f t="shared" si="12"/>
        <v/>
      </c>
      <c r="N46" s="6">
        <f t="shared" si="13"/>
        <v>-45999</v>
      </c>
      <c r="O46" s="23" t="s">
        <v>8</v>
      </c>
      <c r="P46" s="24">
        <v>620</v>
      </c>
      <c r="Q46" s="26"/>
      <c r="R46" s="26"/>
      <c r="S46" s="6" t="str">
        <f t="shared" si="14"/>
        <v/>
      </c>
      <c r="T46" s="6">
        <f t="shared" si="15"/>
        <v>-45999</v>
      </c>
      <c r="U46" s="22"/>
      <c r="V46" s="11"/>
      <c r="W46" s="23" t="s">
        <v>8</v>
      </c>
      <c r="X46" s="24">
        <v>620</v>
      </c>
      <c r="Y46" s="26"/>
      <c r="Z46" s="26"/>
      <c r="AA46" s="6" t="str">
        <f t="shared" si="16"/>
        <v/>
      </c>
      <c r="AB46" s="6">
        <f t="shared" si="17"/>
        <v>-45999</v>
      </c>
      <c r="AC46" s="22"/>
      <c r="AD46" s="11"/>
      <c r="AE46" s="23" t="s">
        <v>8</v>
      </c>
      <c r="AF46" s="24">
        <v>620</v>
      </c>
      <c r="AG46" s="26"/>
      <c r="AH46" s="26"/>
      <c r="AI46" s="6" t="str">
        <f t="shared" si="18"/>
        <v/>
      </c>
      <c r="AJ46" s="6">
        <f t="shared" si="19"/>
        <v>-45999</v>
      </c>
      <c r="AK46" s="22"/>
      <c r="AL46" s="11"/>
    </row>
    <row r="47" spans="1:38" ht="22.15" hidden="1" customHeight="1">
      <c r="A47"/>
      <c r="B47" s="5" t="s">
        <v>56</v>
      </c>
      <c r="C47" s="23" t="s">
        <v>8</v>
      </c>
      <c r="D47" s="24">
        <v>1484</v>
      </c>
      <c r="E47" s="26"/>
      <c r="F47" s="26"/>
      <c r="G47" s="6" t="str">
        <f t="shared" si="10"/>
        <v/>
      </c>
      <c r="H47" s="6">
        <f t="shared" si="11"/>
        <v>-45999</v>
      </c>
      <c r="I47" s="23" t="s">
        <v>8</v>
      </c>
      <c r="J47" s="24">
        <v>1484</v>
      </c>
      <c r="K47" s="26"/>
      <c r="L47" s="26"/>
      <c r="M47" s="6" t="str">
        <f t="shared" si="12"/>
        <v/>
      </c>
      <c r="N47" s="6">
        <f t="shared" si="13"/>
        <v>-45999</v>
      </c>
      <c r="O47" s="23" t="s">
        <v>8</v>
      </c>
      <c r="P47" s="24">
        <v>1484</v>
      </c>
      <c r="Q47" s="26"/>
      <c r="R47" s="26"/>
      <c r="S47" s="6" t="str">
        <f t="shared" si="14"/>
        <v/>
      </c>
      <c r="T47" s="6">
        <f t="shared" si="15"/>
        <v>-45999</v>
      </c>
      <c r="U47" s="22"/>
      <c r="V47" s="11"/>
      <c r="W47" s="23" t="s">
        <v>8</v>
      </c>
      <c r="X47" s="24">
        <v>1484</v>
      </c>
      <c r="Y47" s="26"/>
      <c r="Z47" s="26"/>
      <c r="AA47" s="6" t="str">
        <f t="shared" si="16"/>
        <v/>
      </c>
      <c r="AB47" s="6">
        <f t="shared" si="17"/>
        <v>-45999</v>
      </c>
      <c r="AC47" s="22"/>
      <c r="AD47" s="11"/>
      <c r="AE47" s="23" t="s">
        <v>8</v>
      </c>
      <c r="AF47" s="24">
        <v>1484</v>
      </c>
      <c r="AG47" s="26"/>
      <c r="AH47" s="26"/>
      <c r="AI47" s="6" t="str">
        <f t="shared" si="18"/>
        <v/>
      </c>
      <c r="AJ47" s="6">
        <f t="shared" si="19"/>
        <v>-45999</v>
      </c>
      <c r="AK47" s="22"/>
      <c r="AL47" s="11"/>
    </row>
    <row r="48" spans="1:38" ht="22.15" hidden="1" customHeight="1">
      <c r="A48"/>
      <c r="B48" s="5" t="s">
        <v>57</v>
      </c>
      <c r="C48" s="23" t="s">
        <v>8</v>
      </c>
      <c r="D48" s="24">
        <v>644</v>
      </c>
      <c r="E48" s="26"/>
      <c r="F48" s="26"/>
      <c r="G48" s="6" t="str">
        <f t="shared" si="10"/>
        <v/>
      </c>
      <c r="H48" s="6">
        <f t="shared" si="11"/>
        <v>-45999</v>
      </c>
      <c r="I48" s="23" t="s">
        <v>8</v>
      </c>
      <c r="J48" s="24">
        <v>644</v>
      </c>
      <c r="K48" s="26"/>
      <c r="L48" s="26"/>
      <c r="M48" s="6" t="str">
        <f t="shared" si="12"/>
        <v/>
      </c>
      <c r="N48" s="6">
        <f t="shared" si="13"/>
        <v>-45999</v>
      </c>
      <c r="O48" s="23" t="s">
        <v>8</v>
      </c>
      <c r="P48" s="24">
        <v>644</v>
      </c>
      <c r="Q48" s="26"/>
      <c r="R48" s="26"/>
      <c r="S48" s="6" t="str">
        <f t="shared" si="14"/>
        <v/>
      </c>
      <c r="T48" s="6">
        <f t="shared" si="15"/>
        <v>-45999</v>
      </c>
      <c r="U48" s="22"/>
      <c r="V48" s="11"/>
      <c r="W48" s="23" t="s">
        <v>8</v>
      </c>
      <c r="X48" s="24">
        <v>644</v>
      </c>
      <c r="Y48" s="26"/>
      <c r="Z48" s="26"/>
      <c r="AA48" s="6" t="str">
        <f t="shared" si="16"/>
        <v/>
      </c>
      <c r="AB48" s="6">
        <f t="shared" si="17"/>
        <v>-45999</v>
      </c>
      <c r="AC48" s="22"/>
      <c r="AD48" s="11"/>
      <c r="AE48" s="23" t="s">
        <v>8</v>
      </c>
      <c r="AF48" s="24">
        <v>644</v>
      </c>
      <c r="AG48" s="26"/>
      <c r="AH48" s="26"/>
      <c r="AI48" s="6" t="str">
        <f t="shared" si="18"/>
        <v/>
      </c>
      <c r="AJ48" s="6">
        <f t="shared" si="19"/>
        <v>-45999</v>
      </c>
      <c r="AK48" s="22"/>
      <c r="AL48" s="11"/>
    </row>
    <row r="49" spans="1:38" ht="22.15" hidden="1" customHeight="1">
      <c r="A49"/>
      <c r="B49" s="5" t="s">
        <v>58</v>
      </c>
      <c r="C49" s="23" t="s">
        <v>8</v>
      </c>
      <c r="D49" s="24">
        <v>716</v>
      </c>
      <c r="E49" s="26"/>
      <c r="F49" s="26"/>
      <c r="G49" s="6" t="str">
        <f t="shared" si="10"/>
        <v/>
      </c>
      <c r="H49" s="6">
        <f t="shared" si="11"/>
        <v>-45999</v>
      </c>
      <c r="I49" s="23" t="s">
        <v>8</v>
      </c>
      <c r="J49" s="24">
        <v>716</v>
      </c>
      <c r="K49" s="26"/>
      <c r="L49" s="26"/>
      <c r="M49" s="6" t="str">
        <f t="shared" si="12"/>
        <v/>
      </c>
      <c r="N49" s="6">
        <f t="shared" si="13"/>
        <v>-45999</v>
      </c>
      <c r="O49" s="23" t="s">
        <v>8</v>
      </c>
      <c r="P49" s="24">
        <v>716</v>
      </c>
      <c r="Q49" s="26"/>
      <c r="R49" s="26"/>
      <c r="S49" s="6" t="str">
        <f t="shared" si="14"/>
        <v/>
      </c>
      <c r="T49" s="6">
        <f t="shared" si="15"/>
        <v>-45999</v>
      </c>
      <c r="U49" s="22"/>
      <c r="V49" s="11"/>
      <c r="W49" s="23" t="s">
        <v>8</v>
      </c>
      <c r="X49" s="24">
        <v>716</v>
      </c>
      <c r="Y49" s="26"/>
      <c r="Z49" s="26"/>
      <c r="AA49" s="6" t="str">
        <f t="shared" si="16"/>
        <v/>
      </c>
      <c r="AB49" s="6">
        <f t="shared" si="17"/>
        <v>-45999</v>
      </c>
      <c r="AC49" s="22"/>
      <c r="AD49" s="11"/>
      <c r="AE49" s="23" t="s">
        <v>8</v>
      </c>
      <c r="AF49" s="24">
        <v>716</v>
      </c>
      <c r="AG49" s="26"/>
      <c r="AH49" s="26"/>
      <c r="AI49" s="6" t="str">
        <f t="shared" si="18"/>
        <v/>
      </c>
      <c r="AJ49" s="6">
        <f t="shared" si="19"/>
        <v>-45999</v>
      </c>
      <c r="AK49" s="22"/>
      <c r="AL49" s="11"/>
    </row>
    <row r="50" spans="1:38" ht="22.15" hidden="1" customHeight="1">
      <c r="A50"/>
      <c r="B50" s="5" t="s">
        <v>59</v>
      </c>
      <c r="C50" s="23" t="s">
        <v>8</v>
      </c>
      <c r="D50" s="24">
        <v>500</v>
      </c>
      <c r="E50" s="26"/>
      <c r="F50" s="26"/>
      <c r="G50" s="6" t="str">
        <f t="shared" si="10"/>
        <v/>
      </c>
      <c r="H50" s="6">
        <f t="shared" si="11"/>
        <v>-45999</v>
      </c>
      <c r="I50" s="23" t="s">
        <v>8</v>
      </c>
      <c r="J50" s="24">
        <v>500</v>
      </c>
      <c r="K50" s="26"/>
      <c r="L50" s="26"/>
      <c r="M50" s="6" t="str">
        <f t="shared" si="12"/>
        <v/>
      </c>
      <c r="N50" s="6">
        <f t="shared" si="13"/>
        <v>-45999</v>
      </c>
      <c r="O50" s="23" t="s">
        <v>8</v>
      </c>
      <c r="P50" s="24">
        <v>500</v>
      </c>
      <c r="Q50" s="26"/>
      <c r="R50" s="26"/>
      <c r="S50" s="6" t="str">
        <f t="shared" si="14"/>
        <v/>
      </c>
      <c r="T50" s="6">
        <f t="shared" si="15"/>
        <v>-45999</v>
      </c>
      <c r="U50" s="22"/>
      <c r="V50" s="11"/>
      <c r="W50" s="23" t="s">
        <v>8</v>
      </c>
      <c r="X50" s="24">
        <v>500</v>
      </c>
      <c r="Y50" s="26"/>
      <c r="Z50" s="26"/>
      <c r="AA50" s="6" t="str">
        <f t="shared" si="16"/>
        <v/>
      </c>
      <c r="AB50" s="6">
        <f t="shared" si="17"/>
        <v>-45999</v>
      </c>
      <c r="AC50" s="22"/>
      <c r="AD50" s="11"/>
      <c r="AE50" s="23" t="s">
        <v>8</v>
      </c>
      <c r="AF50" s="24">
        <v>500</v>
      </c>
      <c r="AG50" s="26"/>
      <c r="AH50" s="26"/>
      <c r="AI50" s="6" t="str">
        <f t="shared" si="18"/>
        <v/>
      </c>
      <c r="AJ50" s="6">
        <f t="shared" si="19"/>
        <v>-45999</v>
      </c>
      <c r="AK50" s="22"/>
      <c r="AL50" s="11"/>
    </row>
    <row r="51" spans="1:38" ht="22.15" hidden="1" customHeight="1">
      <c r="A51"/>
      <c r="B51" s="5" t="s">
        <v>60</v>
      </c>
      <c r="C51" s="23" t="s">
        <v>8</v>
      </c>
      <c r="D51" s="24">
        <v>956</v>
      </c>
      <c r="E51" s="26"/>
      <c r="F51" s="26"/>
      <c r="G51" s="6" t="str">
        <f t="shared" si="10"/>
        <v/>
      </c>
      <c r="H51" s="6">
        <f t="shared" si="11"/>
        <v>-45999</v>
      </c>
      <c r="I51" s="23" t="s">
        <v>8</v>
      </c>
      <c r="J51" s="24">
        <v>956</v>
      </c>
      <c r="K51" s="26"/>
      <c r="L51" s="26"/>
      <c r="M51" s="6" t="str">
        <f t="shared" si="12"/>
        <v/>
      </c>
      <c r="N51" s="6">
        <f t="shared" si="13"/>
        <v>-45999</v>
      </c>
      <c r="O51" s="23" t="s">
        <v>8</v>
      </c>
      <c r="P51" s="24">
        <v>956</v>
      </c>
      <c r="Q51" s="26"/>
      <c r="R51" s="26"/>
      <c r="S51" s="6" t="str">
        <f t="shared" si="14"/>
        <v/>
      </c>
      <c r="T51" s="6">
        <f t="shared" si="15"/>
        <v>-45999</v>
      </c>
      <c r="U51" s="22"/>
      <c r="V51" s="11"/>
      <c r="W51" s="23" t="s">
        <v>8</v>
      </c>
      <c r="X51" s="24">
        <v>956</v>
      </c>
      <c r="Y51" s="26"/>
      <c r="Z51" s="26"/>
      <c r="AA51" s="6" t="str">
        <f t="shared" si="16"/>
        <v/>
      </c>
      <c r="AB51" s="6">
        <f t="shared" si="17"/>
        <v>-45999</v>
      </c>
      <c r="AC51" s="22"/>
      <c r="AD51" s="11"/>
      <c r="AE51" s="23" t="s">
        <v>8</v>
      </c>
      <c r="AF51" s="24">
        <v>956</v>
      </c>
      <c r="AG51" s="26"/>
      <c r="AH51" s="26"/>
      <c r="AI51" s="6" t="str">
        <f t="shared" si="18"/>
        <v/>
      </c>
      <c r="AJ51" s="6">
        <f t="shared" si="19"/>
        <v>-45999</v>
      </c>
      <c r="AK51" s="22"/>
      <c r="AL51" s="11"/>
    </row>
    <row r="52" spans="1:38" ht="22.15" hidden="1" customHeight="1">
      <c r="A52"/>
      <c r="B52" s="5" t="s">
        <v>61</v>
      </c>
      <c r="C52" s="23" t="s">
        <v>8</v>
      </c>
      <c r="D52" s="24">
        <v>2012</v>
      </c>
      <c r="E52" s="26"/>
      <c r="F52" s="26"/>
      <c r="G52" s="6" t="str">
        <f t="shared" si="10"/>
        <v/>
      </c>
      <c r="H52" s="6">
        <f t="shared" si="11"/>
        <v>-45999</v>
      </c>
      <c r="I52" s="23" t="s">
        <v>8</v>
      </c>
      <c r="J52" s="24">
        <v>2012</v>
      </c>
      <c r="K52" s="26"/>
      <c r="L52" s="26"/>
      <c r="M52" s="6" t="str">
        <f t="shared" si="12"/>
        <v/>
      </c>
      <c r="N52" s="6">
        <f t="shared" si="13"/>
        <v>-45999</v>
      </c>
      <c r="O52" s="23" t="s">
        <v>8</v>
      </c>
      <c r="P52" s="24">
        <v>2012</v>
      </c>
      <c r="Q52" s="26"/>
      <c r="R52" s="26"/>
      <c r="S52" s="6" t="str">
        <f t="shared" si="14"/>
        <v/>
      </c>
      <c r="T52" s="6">
        <f t="shared" si="15"/>
        <v>-45999</v>
      </c>
      <c r="U52" s="22"/>
      <c r="V52" s="11"/>
      <c r="W52" s="23" t="s">
        <v>8</v>
      </c>
      <c r="X52" s="24">
        <v>2012</v>
      </c>
      <c r="Y52" s="26"/>
      <c r="Z52" s="26"/>
      <c r="AA52" s="6" t="str">
        <f t="shared" si="16"/>
        <v/>
      </c>
      <c r="AB52" s="6">
        <f t="shared" si="17"/>
        <v>-45999</v>
      </c>
      <c r="AC52" s="22"/>
      <c r="AD52" s="11"/>
      <c r="AE52" s="23" t="s">
        <v>8</v>
      </c>
      <c r="AF52" s="24">
        <v>2012</v>
      </c>
      <c r="AG52" s="26"/>
      <c r="AH52" s="26"/>
      <c r="AI52" s="6" t="str">
        <f t="shared" si="18"/>
        <v/>
      </c>
      <c r="AJ52" s="6">
        <f t="shared" si="19"/>
        <v>-45999</v>
      </c>
      <c r="AK52" s="22"/>
      <c r="AL52" s="11"/>
    </row>
    <row r="53" spans="1:38" ht="22.15" hidden="1" customHeight="1">
      <c r="A53"/>
      <c r="B53" s="5" t="s">
        <v>62</v>
      </c>
      <c r="C53" s="23" t="s">
        <v>8</v>
      </c>
      <c r="D53" s="24">
        <v>740</v>
      </c>
      <c r="E53" s="26"/>
      <c r="F53" s="26"/>
      <c r="G53" s="6" t="str">
        <f t="shared" si="10"/>
        <v/>
      </c>
      <c r="H53" s="6">
        <f t="shared" si="11"/>
        <v>-45999</v>
      </c>
      <c r="I53" s="23" t="s">
        <v>8</v>
      </c>
      <c r="J53" s="24">
        <v>740</v>
      </c>
      <c r="K53" s="26"/>
      <c r="L53" s="26"/>
      <c r="M53" s="6" t="str">
        <f t="shared" si="12"/>
        <v/>
      </c>
      <c r="N53" s="6">
        <f t="shared" si="13"/>
        <v>-45999</v>
      </c>
      <c r="O53" s="23" t="s">
        <v>8</v>
      </c>
      <c r="P53" s="24">
        <v>740</v>
      </c>
      <c r="Q53" s="26"/>
      <c r="R53" s="26"/>
      <c r="S53" s="6" t="str">
        <f t="shared" si="14"/>
        <v/>
      </c>
      <c r="T53" s="6">
        <f t="shared" si="15"/>
        <v>-45999</v>
      </c>
      <c r="U53" s="22"/>
      <c r="V53" s="11"/>
      <c r="W53" s="23" t="s">
        <v>8</v>
      </c>
      <c r="X53" s="24">
        <v>740</v>
      </c>
      <c r="Y53" s="26"/>
      <c r="Z53" s="26"/>
      <c r="AA53" s="6" t="str">
        <f t="shared" si="16"/>
        <v/>
      </c>
      <c r="AB53" s="6">
        <f t="shared" si="17"/>
        <v>-45999</v>
      </c>
      <c r="AC53" s="22"/>
      <c r="AD53" s="11"/>
      <c r="AE53" s="23" t="s">
        <v>8</v>
      </c>
      <c r="AF53" s="24">
        <v>740</v>
      </c>
      <c r="AG53" s="26"/>
      <c r="AH53" s="26"/>
      <c r="AI53" s="6" t="str">
        <f t="shared" si="18"/>
        <v/>
      </c>
      <c r="AJ53" s="6">
        <f t="shared" si="19"/>
        <v>-45999</v>
      </c>
      <c r="AK53" s="22"/>
      <c r="AL53" s="11"/>
    </row>
    <row r="54" spans="1:38" ht="22.15" hidden="1" customHeight="1">
      <c r="A54"/>
      <c r="B54" s="5" t="s">
        <v>63</v>
      </c>
      <c r="C54" s="23" t="s">
        <v>8</v>
      </c>
      <c r="D54" s="24">
        <v>92</v>
      </c>
      <c r="E54" s="26"/>
      <c r="F54" s="26"/>
      <c r="G54" s="6" t="str">
        <f t="shared" si="10"/>
        <v/>
      </c>
      <c r="H54" s="6">
        <f t="shared" si="11"/>
        <v>-45999</v>
      </c>
      <c r="I54" s="23" t="s">
        <v>8</v>
      </c>
      <c r="J54" s="24">
        <v>92</v>
      </c>
      <c r="K54" s="26"/>
      <c r="L54" s="26"/>
      <c r="M54" s="6" t="str">
        <f t="shared" si="12"/>
        <v/>
      </c>
      <c r="N54" s="6">
        <f t="shared" si="13"/>
        <v>-45999</v>
      </c>
      <c r="O54" s="23" t="s">
        <v>8</v>
      </c>
      <c r="P54" s="24">
        <v>92</v>
      </c>
      <c r="Q54" s="26"/>
      <c r="R54" s="26"/>
      <c r="S54" s="6" t="str">
        <f t="shared" si="14"/>
        <v/>
      </c>
      <c r="T54" s="6">
        <f t="shared" si="15"/>
        <v>-45999</v>
      </c>
      <c r="U54" s="22"/>
      <c r="V54" s="11"/>
      <c r="W54" s="23" t="s">
        <v>8</v>
      </c>
      <c r="X54" s="24">
        <v>92</v>
      </c>
      <c r="Y54" s="26"/>
      <c r="Z54" s="26"/>
      <c r="AA54" s="6" t="str">
        <f t="shared" si="16"/>
        <v/>
      </c>
      <c r="AB54" s="6">
        <f t="shared" si="17"/>
        <v>-45999</v>
      </c>
      <c r="AC54" s="22"/>
      <c r="AD54" s="11"/>
      <c r="AE54" s="23" t="s">
        <v>8</v>
      </c>
      <c r="AF54" s="24">
        <v>92</v>
      </c>
      <c r="AG54" s="26"/>
      <c r="AH54" s="26"/>
      <c r="AI54" s="6" t="str">
        <f t="shared" si="18"/>
        <v/>
      </c>
      <c r="AJ54" s="6">
        <f t="shared" si="19"/>
        <v>-45999</v>
      </c>
      <c r="AK54" s="22"/>
      <c r="AL54" s="11"/>
    </row>
    <row r="55" spans="1:38" ht="22.15" hidden="1" customHeight="1">
      <c r="A55"/>
      <c r="B55" s="5" t="s">
        <v>64</v>
      </c>
      <c r="C55" s="23" t="s">
        <v>8</v>
      </c>
      <c r="D55" s="24">
        <v>636</v>
      </c>
      <c r="E55" s="26"/>
      <c r="F55" s="26"/>
      <c r="G55" s="6" t="str">
        <f t="shared" si="10"/>
        <v/>
      </c>
      <c r="H55" s="6">
        <f t="shared" si="11"/>
        <v>-45999</v>
      </c>
      <c r="I55" s="23" t="s">
        <v>8</v>
      </c>
      <c r="J55" s="24">
        <v>636</v>
      </c>
      <c r="K55" s="26"/>
      <c r="L55" s="26"/>
      <c r="M55" s="6" t="str">
        <f t="shared" si="12"/>
        <v/>
      </c>
      <c r="N55" s="6">
        <f t="shared" si="13"/>
        <v>-45999</v>
      </c>
      <c r="O55" s="23" t="s">
        <v>8</v>
      </c>
      <c r="P55" s="24">
        <v>636</v>
      </c>
      <c r="Q55" s="26"/>
      <c r="R55" s="26"/>
      <c r="S55" s="6" t="str">
        <f t="shared" si="14"/>
        <v/>
      </c>
      <c r="T55" s="6">
        <f t="shared" si="15"/>
        <v>-45999</v>
      </c>
      <c r="U55" s="22"/>
      <c r="V55" s="11"/>
      <c r="W55" s="23" t="s">
        <v>8</v>
      </c>
      <c r="X55" s="24">
        <v>636</v>
      </c>
      <c r="Y55" s="26"/>
      <c r="Z55" s="26"/>
      <c r="AA55" s="6" t="str">
        <f t="shared" si="16"/>
        <v/>
      </c>
      <c r="AB55" s="6">
        <f t="shared" si="17"/>
        <v>-45999</v>
      </c>
      <c r="AC55" s="22"/>
      <c r="AD55" s="11"/>
      <c r="AE55" s="23" t="s">
        <v>8</v>
      </c>
      <c r="AF55" s="24">
        <v>636</v>
      </c>
      <c r="AG55" s="26"/>
      <c r="AH55" s="26"/>
      <c r="AI55" s="6" t="str">
        <f t="shared" si="18"/>
        <v/>
      </c>
      <c r="AJ55" s="6">
        <f t="shared" si="19"/>
        <v>-45999</v>
      </c>
      <c r="AK55" s="22"/>
      <c r="AL55" s="11"/>
    </row>
    <row r="56" spans="1:38" ht="22.15" hidden="1" customHeight="1">
      <c r="A56"/>
      <c r="B56" s="5" t="s">
        <v>65</v>
      </c>
      <c r="C56" s="23" t="s">
        <v>8</v>
      </c>
      <c r="D56" s="24">
        <v>636</v>
      </c>
      <c r="E56" s="26"/>
      <c r="F56" s="26"/>
      <c r="G56" s="6" t="str">
        <f t="shared" si="10"/>
        <v/>
      </c>
      <c r="H56" s="6">
        <f t="shared" si="11"/>
        <v>-45999</v>
      </c>
      <c r="I56" s="23" t="s">
        <v>8</v>
      </c>
      <c r="J56" s="24">
        <v>636</v>
      </c>
      <c r="K56" s="26"/>
      <c r="L56" s="26"/>
      <c r="M56" s="6" t="str">
        <f t="shared" si="12"/>
        <v/>
      </c>
      <c r="N56" s="6">
        <f t="shared" si="13"/>
        <v>-45999</v>
      </c>
      <c r="O56" s="23" t="s">
        <v>8</v>
      </c>
      <c r="P56" s="24">
        <v>636</v>
      </c>
      <c r="Q56" s="26"/>
      <c r="R56" s="26"/>
      <c r="S56" s="6" t="str">
        <f t="shared" si="14"/>
        <v/>
      </c>
      <c r="T56" s="6">
        <f t="shared" si="15"/>
        <v>-45999</v>
      </c>
      <c r="U56" s="22"/>
      <c r="V56" s="11"/>
      <c r="W56" s="23" t="s">
        <v>8</v>
      </c>
      <c r="X56" s="24">
        <v>636</v>
      </c>
      <c r="Y56" s="26"/>
      <c r="Z56" s="26"/>
      <c r="AA56" s="6" t="str">
        <f t="shared" si="16"/>
        <v/>
      </c>
      <c r="AB56" s="6">
        <f t="shared" si="17"/>
        <v>-45999</v>
      </c>
      <c r="AC56" s="22"/>
      <c r="AD56" s="11"/>
      <c r="AE56" s="23" t="s">
        <v>8</v>
      </c>
      <c r="AF56" s="24">
        <v>636</v>
      </c>
      <c r="AG56" s="26"/>
      <c r="AH56" s="26"/>
      <c r="AI56" s="6" t="str">
        <f t="shared" si="18"/>
        <v/>
      </c>
      <c r="AJ56" s="6">
        <f t="shared" si="19"/>
        <v>-45999</v>
      </c>
      <c r="AK56" s="22"/>
      <c r="AL56" s="11"/>
    </row>
    <row r="57" spans="1:38" ht="22.15" hidden="1" customHeight="1">
      <c r="A57"/>
      <c r="B57" s="5" t="s">
        <v>66</v>
      </c>
      <c r="C57" s="23" t="s">
        <v>8</v>
      </c>
      <c r="D57" s="24">
        <v>620</v>
      </c>
      <c r="E57" s="26"/>
      <c r="F57" s="26"/>
      <c r="G57" s="6" t="str">
        <f t="shared" si="10"/>
        <v/>
      </c>
      <c r="H57" s="6">
        <f t="shared" si="11"/>
        <v>-45999</v>
      </c>
      <c r="I57" s="23" t="s">
        <v>8</v>
      </c>
      <c r="J57" s="24">
        <v>620</v>
      </c>
      <c r="K57" s="26"/>
      <c r="L57" s="26"/>
      <c r="M57" s="6" t="str">
        <f t="shared" si="12"/>
        <v/>
      </c>
      <c r="N57" s="6">
        <f t="shared" si="13"/>
        <v>-45999</v>
      </c>
      <c r="O57" s="23" t="s">
        <v>8</v>
      </c>
      <c r="P57" s="24">
        <v>620</v>
      </c>
      <c r="Q57" s="26"/>
      <c r="R57" s="26"/>
      <c r="S57" s="6" t="str">
        <f t="shared" si="14"/>
        <v/>
      </c>
      <c r="T57" s="6">
        <f t="shared" si="15"/>
        <v>-45999</v>
      </c>
      <c r="U57" s="22"/>
      <c r="V57" s="11"/>
      <c r="W57" s="23" t="s">
        <v>8</v>
      </c>
      <c r="X57" s="24">
        <v>620</v>
      </c>
      <c r="Y57" s="26"/>
      <c r="Z57" s="26"/>
      <c r="AA57" s="6" t="str">
        <f t="shared" si="16"/>
        <v/>
      </c>
      <c r="AB57" s="6">
        <f t="shared" si="17"/>
        <v>-45999</v>
      </c>
      <c r="AC57" s="22"/>
      <c r="AD57" s="11"/>
      <c r="AE57" s="23" t="s">
        <v>8</v>
      </c>
      <c r="AF57" s="24">
        <v>620</v>
      </c>
      <c r="AG57" s="26"/>
      <c r="AH57" s="26"/>
      <c r="AI57" s="6" t="str">
        <f t="shared" si="18"/>
        <v/>
      </c>
      <c r="AJ57" s="6">
        <f t="shared" si="19"/>
        <v>-45999</v>
      </c>
      <c r="AK57" s="22"/>
      <c r="AL57" s="11"/>
    </row>
    <row r="58" spans="1:38" ht="22.15" hidden="1" customHeight="1">
      <c r="A58"/>
      <c r="B58" s="5" t="s">
        <v>67</v>
      </c>
      <c r="C58" s="23" t="s">
        <v>8</v>
      </c>
      <c r="D58" s="24">
        <v>636</v>
      </c>
      <c r="E58" s="26"/>
      <c r="F58" s="26"/>
      <c r="G58" s="6" t="str">
        <f t="shared" si="10"/>
        <v/>
      </c>
      <c r="H58" s="6">
        <f t="shared" si="11"/>
        <v>-45999</v>
      </c>
      <c r="I58" s="23" t="s">
        <v>8</v>
      </c>
      <c r="J58" s="24">
        <v>636</v>
      </c>
      <c r="K58" s="26"/>
      <c r="L58" s="26"/>
      <c r="M58" s="6" t="str">
        <f t="shared" si="12"/>
        <v/>
      </c>
      <c r="N58" s="6">
        <f t="shared" si="13"/>
        <v>-45999</v>
      </c>
      <c r="O58" s="23" t="s">
        <v>8</v>
      </c>
      <c r="P58" s="24">
        <v>636</v>
      </c>
      <c r="Q58" s="26"/>
      <c r="R58" s="26"/>
      <c r="S58" s="6" t="str">
        <f t="shared" si="14"/>
        <v/>
      </c>
      <c r="T58" s="6">
        <f t="shared" si="15"/>
        <v>-45999</v>
      </c>
      <c r="U58" s="22"/>
      <c r="V58" s="11"/>
      <c r="W58" s="23" t="s">
        <v>8</v>
      </c>
      <c r="X58" s="24">
        <v>636</v>
      </c>
      <c r="Y58" s="26"/>
      <c r="Z58" s="26"/>
      <c r="AA58" s="6" t="str">
        <f t="shared" si="16"/>
        <v/>
      </c>
      <c r="AB58" s="6">
        <f t="shared" si="17"/>
        <v>-45999</v>
      </c>
      <c r="AC58" s="22"/>
      <c r="AD58" s="11"/>
      <c r="AE58" s="23" t="s">
        <v>8</v>
      </c>
      <c r="AF58" s="24">
        <v>636</v>
      </c>
      <c r="AG58" s="26"/>
      <c r="AH58" s="26"/>
      <c r="AI58" s="6" t="str">
        <f t="shared" si="18"/>
        <v/>
      </c>
      <c r="AJ58" s="6">
        <f t="shared" si="19"/>
        <v>-45999</v>
      </c>
      <c r="AK58" s="22"/>
      <c r="AL58" s="11"/>
    </row>
    <row r="59" spans="1:38" ht="22.15" hidden="1" customHeight="1">
      <c r="A59"/>
      <c r="B59" s="5" t="s">
        <v>68</v>
      </c>
      <c r="C59" s="23" t="s">
        <v>8</v>
      </c>
      <c r="D59" s="24">
        <v>3844</v>
      </c>
      <c r="E59" s="26"/>
      <c r="F59" s="26"/>
      <c r="G59" s="6" t="str">
        <f t="shared" si="10"/>
        <v/>
      </c>
      <c r="H59" s="6">
        <f t="shared" si="11"/>
        <v>-45999</v>
      </c>
      <c r="I59" s="23" t="s">
        <v>8</v>
      </c>
      <c r="J59" s="24">
        <v>3844</v>
      </c>
      <c r="K59" s="26"/>
      <c r="L59" s="26"/>
      <c r="M59" s="6" t="str">
        <f t="shared" si="12"/>
        <v/>
      </c>
      <c r="N59" s="6">
        <f t="shared" si="13"/>
        <v>-45999</v>
      </c>
      <c r="O59" s="23" t="s">
        <v>8</v>
      </c>
      <c r="P59" s="24">
        <v>3844</v>
      </c>
      <c r="Q59" s="26"/>
      <c r="R59" s="26"/>
      <c r="S59" s="6" t="str">
        <f t="shared" si="14"/>
        <v/>
      </c>
      <c r="T59" s="6">
        <f t="shared" si="15"/>
        <v>-45999</v>
      </c>
      <c r="U59" s="22"/>
      <c r="V59" s="11"/>
      <c r="W59" s="23" t="s">
        <v>8</v>
      </c>
      <c r="X59" s="24">
        <v>3844</v>
      </c>
      <c r="Y59" s="26"/>
      <c r="Z59" s="26"/>
      <c r="AA59" s="6" t="str">
        <f t="shared" si="16"/>
        <v/>
      </c>
      <c r="AB59" s="6">
        <f t="shared" si="17"/>
        <v>-45999</v>
      </c>
      <c r="AC59" s="22"/>
      <c r="AD59" s="11"/>
      <c r="AE59" s="23" t="s">
        <v>8</v>
      </c>
      <c r="AF59" s="24">
        <v>3844</v>
      </c>
      <c r="AG59" s="26"/>
      <c r="AH59" s="26"/>
      <c r="AI59" s="6" t="str">
        <f t="shared" si="18"/>
        <v/>
      </c>
      <c r="AJ59" s="6">
        <f t="shared" si="19"/>
        <v>-45999</v>
      </c>
      <c r="AK59" s="22"/>
      <c r="AL59" s="11"/>
    </row>
    <row r="60" spans="1:38" ht="22.15" hidden="1" customHeight="1">
      <c r="A60"/>
      <c r="B60" s="5" t="s">
        <v>69</v>
      </c>
      <c r="C60" s="23" t="s">
        <v>8</v>
      </c>
      <c r="D60" s="24">
        <v>3244</v>
      </c>
      <c r="E60" s="26"/>
      <c r="F60" s="26"/>
      <c r="G60" s="6" t="str">
        <f t="shared" si="10"/>
        <v/>
      </c>
      <c r="H60" s="6">
        <f t="shared" si="11"/>
        <v>-45999</v>
      </c>
      <c r="I60" s="23" t="s">
        <v>8</v>
      </c>
      <c r="J60" s="24">
        <v>3244</v>
      </c>
      <c r="K60" s="26"/>
      <c r="L60" s="26"/>
      <c r="M60" s="6" t="str">
        <f t="shared" si="12"/>
        <v/>
      </c>
      <c r="N60" s="6">
        <f t="shared" si="13"/>
        <v>-45999</v>
      </c>
      <c r="O60" s="23" t="s">
        <v>8</v>
      </c>
      <c r="P60" s="24">
        <v>3244</v>
      </c>
      <c r="Q60" s="26"/>
      <c r="R60" s="26"/>
      <c r="S60" s="6" t="str">
        <f t="shared" si="14"/>
        <v/>
      </c>
      <c r="T60" s="6">
        <f t="shared" si="15"/>
        <v>-45999</v>
      </c>
      <c r="U60" s="22"/>
      <c r="V60" s="11"/>
      <c r="W60" s="23" t="s">
        <v>8</v>
      </c>
      <c r="X60" s="24">
        <v>3244</v>
      </c>
      <c r="Y60" s="26"/>
      <c r="Z60" s="26"/>
      <c r="AA60" s="6" t="str">
        <f t="shared" si="16"/>
        <v/>
      </c>
      <c r="AB60" s="6">
        <f t="shared" si="17"/>
        <v>-45999</v>
      </c>
      <c r="AC60" s="22"/>
      <c r="AD60" s="11"/>
      <c r="AE60" s="23" t="s">
        <v>8</v>
      </c>
      <c r="AF60" s="24">
        <v>3244</v>
      </c>
      <c r="AG60" s="26"/>
      <c r="AH60" s="26"/>
      <c r="AI60" s="6" t="str">
        <f t="shared" si="18"/>
        <v/>
      </c>
      <c r="AJ60" s="6">
        <f t="shared" si="19"/>
        <v>-45999</v>
      </c>
      <c r="AK60" s="22"/>
      <c r="AL60" s="11"/>
    </row>
    <row r="61" spans="1:38" ht="22.15" hidden="1" customHeight="1">
      <c r="A61"/>
      <c r="B61" s="5" t="s">
        <v>70</v>
      </c>
      <c r="C61" s="23" t="s">
        <v>8</v>
      </c>
      <c r="D61" s="24">
        <v>3244</v>
      </c>
      <c r="E61" s="26"/>
      <c r="F61" s="26"/>
      <c r="G61" s="6" t="str">
        <f t="shared" si="10"/>
        <v/>
      </c>
      <c r="H61" s="6">
        <f t="shared" si="11"/>
        <v>-45999</v>
      </c>
      <c r="I61" s="23" t="s">
        <v>8</v>
      </c>
      <c r="J61" s="24">
        <v>3244</v>
      </c>
      <c r="K61" s="26"/>
      <c r="L61" s="26"/>
      <c r="M61" s="6" t="str">
        <f t="shared" si="12"/>
        <v/>
      </c>
      <c r="N61" s="6">
        <f t="shared" si="13"/>
        <v>-45999</v>
      </c>
      <c r="O61" s="23" t="s">
        <v>8</v>
      </c>
      <c r="P61" s="24">
        <v>3244</v>
      </c>
      <c r="Q61" s="26"/>
      <c r="R61" s="26"/>
      <c r="S61" s="6" t="str">
        <f t="shared" si="14"/>
        <v/>
      </c>
      <c r="T61" s="6">
        <f t="shared" si="15"/>
        <v>-45999</v>
      </c>
      <c r="U61" s="22"/>
      <c r="V61" s="11"/>
      <c r="W61" s="23" t="s">
        <v>8</v>
      </c>
      <c r="X61" s="24">
        <v>3244</v>
      </c>
      <c r="Y61" s="26"/>
      <c r="Z61" s="26"/>
      <c r="AA61" s="6" t="str">
        <f t="shared" si="16"/>
        <v/>
      </c>
      <c r="AB61" s="6">
        <f t="shared" si="17"/>
        <v>-45999</v>
      </c>
      <c r="AC61" s="22"/>
      <c r="AD61" s="11"/>
      <c r="AE61" s="23" t="s">
        <v>8</v>
      </c>
      <c r="AF61" s="24">
        <v>3244</v>
      </c>
      <c r="AG61" s="26"/>
      <c r="AH61" s="26"/>
      <c r="AI61" s="6" t="str">
        <f t="shared" si="18"/>
        <v/>
      </c>
      <c r="AJ61" s="6">
        <f t="shared" si="19"/>
        <v>-45999</v>
      </c>
      <c r="AK61" s="22"/>
      <c r="AL61" s="11"/>
    </row>
    <row r="62" spans="1:38" ht="22.15" hidden="1" customHeight="1">
      <c r="A62"/>
      <c r="B62" s="5" t="s">
        <v>71</v>
      </c>
      <c r="C62" s="23" t="s">
        <v>8</v>
      </c>
      <c r="D62" s="24">
        <v>3268</v>
      </c>
      <c r="E62" s="26"/>
      <c r="F62" s="26"/>
      <c r="G62" s="6" t="str">
        <f t="shared" si="10"/>
        <v/>
      </c>
      <c r="H62" s="6">
        <f t="shared" si="11"/>
        <v>-45999</v>
      </c>
      <c r="I62" s="23" t="s">
        <v>8</v>
      </c>
      <c r="J62" s="24">
        <v>3268</v>
      </c>
      <c r="K62" s="26"/>
      <c r="L62" s="26"/>
      <c r="M62" s="6" t="str">
        <f t="shared" si="12"/>
        <v/>
      </c>
      <c r="N62" s="6">
        <f t="shared" si="13"/>
        <v>-45999</v>
      </c>
      <c r="O62" s="23" t="s">
        <v>8</v>
      </c>
      <c r="P62" s="24">
        <v>3268</v>
      </c>
      <c r="Q62" s="26"/>
      <c r="R62" s="26"/>
      <c r="S62" s="6" t="str">
        <f t="shared" si="14"/>
        <v/>
      </c>
      <c r="T62" s="6">
        <f t="shared" si="15"/>
        <v>-45999</v>
      </c>
      <c r="U62" s="22"/>
      <c r="V62" s="11"/>
      <c r="W62" s="23" t="s">
        <v>8</v>
      </c>
      <c r="X62" s="24">
        <v>3268</v>
      </c>
      <c r="Y62" s="26"/>
      <c r="Z62" s="26"/>
      <c r="AA62" s="6" t="str">
        <f t="shared" si="16"/>
        <v/>
      </c>
      <c r="AB62" s="6">
        <f t="shared" si="17"/>
        <v>-45999</v>
      </c>
      <c r="AC62" s="22"/>
      <c r="AD62" s="11"/>
      <c r="AE62" s="23" t="s">
        <v>8</v>
      </c>
      <c r="AF62" s="24">
        <v>3268</v>
      </c>
      <c r="AG62" s="26"/>
      <c r="AH62" s="26"/>
      <c r="AI62" s="6" t="str">
        <f t="shared" si="18"/>
        <v/>
      </c>
      <c r="AJ62" s="6">
        <f t="shared" si="19"/>
        <v>-45999</v>
      </c>
      <c r="AK62" s="22"/>
      <c r="AL62" s="11"/>
    </row>
    <row r="63" spans="1:38" ht="22.15" hidden="1" customHeight="1">
      <c r="A63"/>
      <c r="B63" s="5" t="s">
        <v>72</v>
      </c>
      <c r="C63" s="23" t="s">
        <v>8</v>
      </c>
      <c r="D63" s="24">
        <v>1608</v>
      </c>
      <c r="E63" s="26"/>
      <c r="F63" s="26"/>
      <c r="G63" s="6" t="str">
        <f t="shared" si="10"/>
        <v/>
      </c>
      <c r="H63" s="6">
        <f t="shared" si="11"/>
        <v>-45999</v>
      </c>
      <c r="I63" s="23" t="s">
        <v>8</v>
      </c>
      <c r="J63" s="24">
        <v>1608</v>
      </c>
      <c r="K63" s="26"/>
      <c r="L63" s="26"/>
      <c r="M63" s="6" t="str">
        <f t="shared" si="12"/>
        <v/>
      </c>
      <c r="N63" s="6">
        <f t="shared" si="13"/>
        <v>-45999</v>
      </c>
      <c r="O63" s="23" t="s">
        <v>8</v>
      </c>
      <c r="P63" s="24">
        <v>1608</v>
      </c>
      <c r="Q63" s="26"/>
      <c r="R63" s="26"/>
      <c r="S63" s="6" t="str">
        <f t="shared" si="14"/>
        <v/>
      </c>
      <c r="T63" s="6">
        <f t="shared" si="15"/>
        <v>-45999</v>
      </c>
      <c r="U63" s="22"/>
      <c r="V63" s="11"/>
      <c r="W63" s="23" t="s">
        <v>8</v>
      </c>
      <c r="X63" s="24">
        <v>1608</v>
      </c>
      <c r="Y63" s="26"/>
      <c r="Z63" s="26"/>
      <c r="AA63" s="6" t="str">
        <f t="shared" si="16"/>
        <v/>
      </c>
      <c r="AB63" s="6">
        <f t="shared" si="17"/>
        <v>-45999</v>
      </c>
      <c r="AC63" s="22"/>
      <c r="AD63" s="11"/>
      <c r="AE63" s="23" t="s">
        <v>8</v>
      </c>
      <c r="AF63" s="24">
        <v>1608</v>
      </c>
      <c r="AG63" s="26"/>
      <c r="AH63" s="26"/>
      <c r="AI63" s="6" t="str">
        <f t="shared" si="18"/>
        <v/>
      </c>
      <c r="AJ63" s="6">
        <f t="shared" si="19"/>
        <v>-45999</v>
      </c>
      <c r="AK63" s="22"/>
      <c r="AL63" s="11"/>
    </row>
    <row r="64" spans="1:38" ht="22.15" hidden="1" customHeight="1">
      <c r="A64"/>
      <c r="B64" s="5" t="s">
        <v>73</v>
      </c>
      <c r="C64" s="23" t="s">
        <v>8</v>
      </c>
      <c r="D64" s="24">
        <v>1284</v>
      </c>
      <c r="E64" s="26"/>
      <c r="F64" s="26"/>
      <c r="G64" s="6" t="str">
        <f t="shared" si="10"/>
        <v/>
      </c>
      <c r="H64" s="6">
        <f t="shared" si="11"/>
        <v>-45999</v>
      </c>
      <c r="I64" s="23" t="s">
        <v>8</v>
      </c>
      <c r="J64" s="24">
        <v>1284</v>
      </c>
      <c r="K64" s="26"/>
      <c r="L64" s="26"/>
      <c r="M64" s="6" t="str">
        <f t="shared" si="12"/>
        <v/>
      </c>
      <c r="N64" s="6">
        <f t="shared" si="13"/>
        <v>-45999</v>
      </c>
      <c r="O64" s="23" t="s">
        <v>8</v>
      </c>
      <c r="P64" s="24">
        <v>1284</v>
      </c>
      <c r="Q64" s="26"/>
      <c r="R64" s="26"/>
      <c r="S64" s="6" t="str">
        <f t="shared" si="14"/>
        <v/>
      </c>
      <c r="T64" s="6">
        <f t="shared" si="15"/>
        <v>-45999</v>
      </c>
      <c r="U64" s="22"/>
      <c r="V64" s="11"/>
      <c r="W64" s="23" t="s">
        <v>8</v>
      </c>
      <c r="X64" s="24">
        <v>1284</v>
      </c>
      <c r="Y64" s="26"/>
      <c r="Z64" s="26"/>
      <c r="AA64" s="6" t="str">
        <f t="shared" si="16"/>
        <v/>
      </c>
      <c r="AB64" s="6">
        <f t="shared" si="17"/>
        <v>-45999</v>
      </c>
      <c r="AC64" s="22"/>
      <c r="AD64" s="11"/>
      <c r="AE64" s="23" t="s">
        <v>8</v>
      </c>
      <c r="AF64" s="24">
        <v>1284</v>
      </c>
      <c r="AG64" s="26"/>
      <c r="AH64" s="26"/>
      <c r="AI64" s="6" t="str">
        <f t="shared" si="18"/>
        <v/>
      </c>
      <c r="AJ64" s="6">
        <f t="shared" si="19"/>
        <v>-45999</v>
      </c>
      <c r="AK64" s="22"/>
      <c r="AL64" s="11"/>
    </row>
    <row r="65" spans="1:38" ht="22.15" hidden="1" customHeight="1">
      <c r="A65"/>
      <c r="B65" s="5" t="s">
        <v>74</v>
      </c>
      <c r="C65" s="23" t="s">
        <v>8</v>
      </c>
      <c r="D65" s="24">
        <v>1266</v>
      </c>
      <c r="E65" s="26"/>
      <c r="F65" s="26"/>
      <c r="G65" s="6" t="str">
        <f t="shared" si="10"/>
        <v/>
      </c>
      <c r="H65" s="6">
        <f t="shared" si="11"/>
        <v>-45999</v>
      </c>
      <c r="I65" s="23" t="s">
        <v>8</v>
      </c>
      <c r="J65" s="24">
        <v>1266</v>
      </c>
      <c r="K65" s="26"/>
      <c r="L65" s="26"/>
      <c r="M65" s="6" t="str">
        <f t="shared" si="12"/>
        <v/>
      </c>
      <c r="N65" s="6">
        <f t="shared" si="13"/>
        <v>-45999</v>
      </c>
      <c r="O65" s="23" t="s">
        <v>8</v>
      </c>
      <c r="P65" s="24">
        <v>1266</v>
      </c>
      <c r="Q65" s="26"/>
      <c r="R65" s="26"/>
      <c r="S65" s="6" t="str">
        <f t="shared" si="14"/>
        <v/>
      </c>
      <c r="T65" s="6">
        <f t="shared" si="15"/>
        <v>-45999</v>
      </c>
      <c r="U65" s="22"/>
      <c r="V65" s="11"/>
      <c r="W65" s="23" t="s">
        <v>8</v>
      </c>
      <c r="X65" s="24">
        <v>1266</v>
      </c>
      <c r="Y65" s="26"/>
      <c r="Z65" s="26"/>
      <c r="AA65" s="6" t="str">
        <f t="shared" si="16"/>
        <v/>
      </c>
      <c r="AB65" s="6">
        <f t="shared" si="17"/>
        <v>-45999</v>
      </c>
      <c r="AC65" s="22"/>
      <c r="AD65" s="11"/>
      <c r="AE65" s="23" t="s">
        <v>8</v>
      </c>
      <c r="AF65" s="24">
        <v>1266</v>
      </c>
      <c r="AG65" s="26"/>
      <c r="AH65" s="26"/>
      <c r="AI65" s="6" t="str">
        <f t="shared" si="18"/>
        <v/>
      </c>
      <c r="AJ65" s="6">
        <f t="shared" si="19"/>
        <v>-45999</v>
      </c>
      <c r="AK65" s="22"/>
      <c r="AL65" s="11"/>
    </row>
    <row r="66" spans="1:38" ht="22.15" hidden="1" customHeight="1">
      <c r="A66"/>
      <c r="B66" s="5" t="s">
        <v>75</v>
      </c>
      <c r="C66" s="23" t="s">
        <v>8</v>
      </c>
      <c r="D66" s="24">
        <v>1278</v>
      </c>
      <c r="E66" s="26"/>
      <c r="F66" s="26"/>
      <c r="G66" s="6" t="str">
        <f t="shared" si="10"/>
        <v/>
      </c>
      <c r="H66" s="6">
        <f t="shared" si="11"/>
        <v>-45999</v>
      </c>
      <c r="I66" s="23" t="s">
        <v>8</v>
      </c>
      <c r="J66" s="24">
        <v>1278</v>
      </c>
      <c r="K66" s="26"/>
      <c r="L66" s="26"/>
      <c r="M66" s="6" t="str">
        <f t="shared" si="12"/>
        <v/>
      </c>
      <c r="N66" s="6">
        <f t="shared" si="13"/>
        <v>-45999</v>
      </c>
      <c r="O66" s="23" t="s">
        <v>8</v>
      </c>
      <c r="P66" s="24">
        <v>1278</v>
      </c>
      <c r="Q66" s="26"/>
      <c r="R66" s="26"/>
      <c r="S66" s="6" t="str">
        <f t="shared" si="14"/>
        <v/>
      </c>
      <c r="T66" s="6">
        <f t="shared" si="15"/>
        <v>-45999</v>
      </c>
      <c r="U66" s="22"/>
      <c r="V66" s="11"/>
      <c r="W66" s="23" t="s">
        <v>8</v>
      </c>
      <c r="X66" s="24">
        <v>1278</v>
      </c>
      <c r="Y66" s="26"/>
      <c r="Z66" s="26"/>
      <c r="AA66" s="6" t="str">
        <f t="shared" si="16"/>
        <v/>
      </c>
      <c r="AB66" s="6">
        <f t="shared" si="17"/>
        <v>-45999</v>
      </c>
      <c r="AC66" s="22"/>
      <c r="AD66" s="11"/>
      <c r="AE66" s="23" t="s">
        <v>8</v>
      </c>
      <c r="AF66" s="24">
        <v>1278</v>
      </c>
      <c r="AG66" s="26"/>
      <c r="AH66" s="26"/>
      <c r="AI66" s="6" t="str">
        <f t="shared" si="18"/>
        <v/>
      </c>
      <c r="AJ66" s="6">
        <f t="shared" si="19"/>
        <v>-45999</v>
      </c>
      <c r="AK66" s="22"/>
      <c r="AL66" s="11"/>
    </row>
    <row r="67" spans="1:38" ht="22.15" hidden="1" customHeight="1">
      <c r="A67"/>
      <c r="B67" s="5" t="s">
        <v>76</v>
      </c>
      <c r="C67" s="23" t="s">
        <v>8</v>
      </c>
      <c r="D67" s="24">
        <v>300</v>
      </c>
      <c r="E67" s="26"/>
      <c r="F67" s="26"/>
      <c r="G67" s="6" t="str">
        <f t="shared" si="10"/>
        <v/>
      </c>
      <c r="H67" s="6">
        <f t="shared" si="11"/>
        <v>-45999</v>
      </c>
      <c r="I67" s="23" t="s">
        <v>8</v>
      </c>
      <c r="J67" s="24">
        <v>300</v>
      </c>
      <c r="K67" s="26"/>
      <c r="L67" s="26"/>
      <c r="M67" s="6" t="str">
        <f t="shared" si="12"/>
        <v/>
      </c>
      <c r="N67" s="6">
        <f t="shared" si="13"/>
        <v>-45999</v>
      </c>
      <c r="O67" s="23" t="s">
        <v>8</v>
      </c>
      <c r="P67" s="24">
        <v>300</v>
      </c>
      <c r="Q67" s="26"/>
      <c r="R67" s="26"/>
      <c r="S67" s="6" t="str">
        <f t="shared" si="14"/>
        <v/>
      </c>
      <c r="T67" s="6">
        <f t="shared" si="15"/>
        <v>-45999</v>
      </c>
      <c r="U67" s="22"/>
      <c r="V67" s="11"/>
      <c r="W67" s="23" t="s">
        <v>8</v>
      </c>
      <c r="X67" s="24">
        <v>300</v>
      </c>
      <c r="Y67" s="26"/>
      <c r="Z67" s="26"/>
      <c r="AA67" s="6" t="str">
        <f t="shared" si="16"/>
        <v/>
      </c>
      <c r="AB67" s="6">
        <f t="shared" si="17"/>
        <v>-45999</v>
      </c>
      <c r="AC67" s="22"/>
      <c r="AD67" s="11"/>
      <c r="AE67" s="23" t="s">
        <v>8</v>
      </c>
      <c r="AF67" s="24">
        <v>300</v>
      </c>
      <c r="AG67" s="26"/>
      <c r="AH67" s="26"/>
      <c r="AI67" s="6" t="str">
        <f t="shared" si="18"/>
        <v/>
      </c>
      <c r="AJ67" s="6">
        <f t="shared" si="19"/>
        <v>-45999</v>
      </c>
      <c r="AK67" s="22"/>
      <c r="AL67" s="11"/>
    </row>
    <row r="68" spans="1:38" ht="22.15" hidden="1" customHeight="1">
      <c r="A68"/>
      <c r="B68" s="5" t="s">
        <v>77</v>
      </c>
      <c r="C68" s="23" t="s">
        <v>8</v>
      </c>
      <c r="D68" s="24">
        <v>306</v>
      </c>
      <c r="E68" s="26"/>
      <c r="F68" s="26"/>
      <c r="G68" s="6" t="str">
        <f t="shared" si="10"/>
        <v/>
      </c>
      <c r="H68" s="6">
        <f t="shared" si="11"/>
        <v>-45999</v>
      </c>
      <c r="I68" s="23" t="s">
        <v>8</v>
      </c>
      <c r="J68" s="24">
        <v>306</v>
      </c>
      <c r="K68" s="26"/>
      <c r="L68" s="26"/>
      <c r="M68" s="6" t="str">
        <f t="shared" si="12"/>
        <v/>
      </c>
      <c r="N68" s="6">
        <f t="shared" si="13"/>
        <v>-45999</v>
      </c>
      <c r="O68" s="23" t="s">
        <v>8</v>
      </c>
      <c r="P68" s="24">
        <v>306</v>
      </c>
      <c r="Q68" s="26"/>
      <c r="R68" s="26"/>
      <c r="S68" s="6" t="str">
        <f t="shared" si="14"/>
        <v/>
      </c>
      <c r="T68" s="6">
        <f t="shared" si="15"/>
        <v>-45999</v>
      </c>
      <c r="U68" s="22"/>
      <c r="V68" s="11"/>
      <c r="W68" s="23" t="s">
        <v>8</v>
      </c>
      <c r="X68" s="24">
        <v>306</v>
      </c>
      <c r="Y68" s="26"/>
      <c r="Z68" s="26"/>
      <c r="AA68" s="6" t="str">
        <f t="shared" si="16"/>
        <v/>
      </c>
      <c r="AB68" s="6">
        <f t="shared" si="17"/>
        <v>-45999</v>
      </c>
      <c r="AC68" s="22"/>
      <c r="AD68" s="11"/>
      <c r="AE68" s="23" t="s">
        <v>8</v>
      </c>
      <c r="AF68" s="24">
        <v>306</v>
      </c>
      <c r="AG68" s="26"/>
      <c r="AH68" s="26"/>
      <c r="AI68" s="6" t="str">
        <f t="shared" si="18"/>
        <v/>
      </c>
      <c r="AJ68" s="6">
        <f t="shared" si="19"/>
        <v>-45999</v>
      </c>
      <c r="AK68" s="22"/>
      <c r="AL68" s="11"/>
    </row>
    <row r="69" spans="1:38" ht="22.15" hidden="1" customHeight="1">
      <c r="A69"/>
      <c r="B69" s="5" t="s">
        <v>78</v>
      </c>
      <c r="C69" s="23" t="s">
        <v>8</v>
      </c>
      <c r="D69" s="24">
        <v>1296</v>
      </c>
      <c r="E69" s="26"/>
      <c r="F69" s="26"/>
      <c r="G69" s="6" t="str">
        <f t="shared" si="10"/>
        <v/>
      </c>
      <c r="H69" s="6">
        <f t="shared" si="11"/>
        <v>-45999</v>
      </c>
      <c r="I69" s="23" t="s">
        <v>8</v>
      </c>
      <c r="J69" s="24">
        <v>1296</v>
      </c>
      <c r="K69" s="26"/>
      <c r="L69" s="26"/>
      <c r="M69" s="6" t="str">
        <f t="shared" si="12"/>
        <v/>
      </c>
      <c r="N69" s="6">
        <f t="shared" si="13"/>
        <v>-45999</v>
      </c>
      <c r="O69" s="23" t="s">
        <v>8</v>
      </c>
      <c r="P69" s="24">
        <v>1296</v>
      </c>
      <c r="Q69" s="26"/>
      <c r="R69" s="26"/>
      <c r="S69" s="6" t="str">
        <f t="shared" si="14"/>
        <v/>
      </c>
      <c r="T69" s="6">
        <f t="shared" si="15"/>
        <v>-45999</v>
      </c>
      <c r="U69" s="22"/>
      <c r="V69" s="11"/>
      <c r="W69" s="23" t="s">
        <v>8</v>
      </c>
      <c r="X69" s="24">
        <v>1296</v>
      </c>
      <c r="Y69" s="26"/>
      <c r="Z69" s="26"/>
      <c r="AA69" s="6" t="str">
        <f t="shared" si="16"/>
        <v/>
      </c>
      <c r="AB69" s="6">
        <f t="shared" si="17"/>
        <v>-45999</v>
      </c>
      <c r="AC69" s="22"/>
      <c r="AD69" s="11"/>
      <c r="AE69" s="23" t="s">
        <v>8</v>
      </c>
      <c r="AF69" s="24">
        <v>1296</v>
      </c>
      <c r="AG69" s="26"/>
      <c r="AH69" s="26"/>
      <c r="AI69" s="6" t="str">
        <f t="shared" si="18"/>
        <v/>
      </c>
      <c r="AJ69" s="6">
        <f t="shared" si="19"/>
        <v>-45999</v>
      </c>
      <c r="AK69" s="22"/>
      <c r="AL69" s="11"/>
    </row>
    <row r="70" spans="1:38" ht="22.15" hidden="1" customHeight="1">
      <c r="A70"/>
      <c r="B70" s="5" t="s">
        <v>79</v>
      </c>
      <c r="C70" s="23" t="s">
        <v>8</v>
      </c>
      <c r="D70" s="24">
        <v>414</v>
      </c>
      <c r="E70" s="26"/>
      <c r="F70" s="26"/>
      <c r="G70" s="6" t="str">
        <f t="shared" si="10"/>
        <v/>
      </c>
      <c r="H70" s="6">
        <f t="shared" si="11"/>
        <v>-45999</v>
      </c>
      <c r="I70" s="23" t="s">
        <v>8</v>
      </c>
      <c r="J70" s="24">
        <v>414</v>
      </c>
      <c r="K70" s="26"/>
      <c r="L70" s="26"/>
      <c r="M70" s="6" t="str">
        <f t="shared" si="12"/>
        <v/>
      </c>
      <c r="N70" s="6">
        <f t="shared" si="13"/>
        <v>-45999</v>
      </c>
      <c r="O70" s="23" t="s">
        <v>8</v>
      </c>
      <c r="P70" s="24">
        <v>414</v>
      </c>
      <c r="Q70" s="26"/>
      <c r="R70" s="26"/>
      <c r="S70" s="6" t="str">
        <f t="shared" si="14"/>
        <v/>
      </c>
      <c r="T70" s="6">
        <f t="shared" si="15"/>
        <v>-45999</v>
      </c>
      <c r="U70" s="22"/>
      <c r="V70" s="11"/>
      <c r="W70" s="23" t="s">
        <v>8</v>
      </c>
      <c r="X70" s="24">
        <v>414</v>
      </c>
      <c r="Y70" s="26"/>
      <c r="Z70" s="26"/>
      <c r="AA70" s="6" t="str">
        <f t="shared" si="16"/>
        <v/>
      </c>
      <c r="AB70" s="6">
        <f t="shared" si="17"/>
        <v>-45999</v>
      </c>
      <c r="AC70" s="22"/>
      <c r="AD70" s="11"/>
      <c r="AE70" s="23" t="s">
        <v>8</v>
      </c>
      <c r="AF70" s="24">
        <v>414</v>
      </c>
      <c r="AG70" s="26"/>
      <c r="AH70" s="26"/>
      <c r="AI70" s="6" t="str">
        <f t="shared" si="18"/>
        <v/>
      </c>
      <c r="AJ70" s="6">
        <f t="shared" si="19"/>
        <v>-45999</v>
      </c>
      <c r="AK70" s="22"/>
      <c r="AL70" s="11"/>
    </row>
    <row r="71" spans="1:38" ht="22.15" customHeight="1">
      <c r="A71"/>
      <c r="B71" s="13" t="s">
        <v>81</v>
      </c>
      <c r="C71" s="23" t="s">
        <v>15</v>
      </c>
      <c r="D71" s="27">
        <v>15</v>
      </c>
      <c r="E71" s="28">
        <v>45964</v>
      </c>
      <c r="F71" s="26">
        <v>46009</v>
      </c>
      <c r="G71" s="6">
        <f t="shared" si="10"/>
        <v>22.222222222222221</v>
      </c>
      <c r="H71" s="6">
        <f t="shared" si="11"/>
        <v>10</v>
      </c>
      <c r="I71" s="23"/>
      <c r="J71" s="29"/>
      <c r="K71" s="28"/>
      <c r="L71" s="26"/>
      <c r="M71" s="6" t="str">
        <f t="shared" si="12"/>
        <v/>
      </c>
      <c r="N71" s="6">
        <f t="shared" si="13"/>
        <v>-45999</v>
      </c>
      <c r="O71" s="23"/>
      <c r="P71" s="29"/>
      <c r="Q71" s="28"/>
      <c r="R71" s="26"/>
      <c r="S71" s="6" t="str">
        <f t="shared" si="14"/>
        <v/>
      </c>
      <c r="T71" s="6">
        <f t="shared" si="15"/>
        <v>-45999</v>
      </c>
      <c r="U71" s="30">
        <f>D71-P71</f>
        <v>15</v>
      </c>
      <c r="V71" s="11"/>
      <c r="W71" s="23"/>
      <c r="X71" s="29"/>
      <c r="Y71" s="28"/>
      <c r="Z71" s="26"/>
      <c r="AA71" s="6" t="str">
        <f t="shared" si="16"/>
        <v/>
      </c>
      <c r="AB71" s="6">
        <f t="shared" si="17"/>
        <v>-45999</v>
      </c>
      <c r="AC71" s="37"/>
      <c r="AD71" s="11"/>
      <c r="AE71" s="23"/>
      <c r="AF71" s="29"/>
      <c r="AG71" s="28"/>
      <c r="AH71" s="26"/>
      <c r="AI71" s="6" t="str">
        <f t="shared" si="18"/>
        <v/>
      </c>
      <c r="AJ71" s="6">
        <f t="shared" si="19"/>
        <v>-45999</v>
      </c>
      <c r="AK71" s="37"/>
      <c r="AL71" s="11"/>
    </row>
    <row r="72" spans="1:38" ht="22.15" hidden="1" customHeight="1">
      <c r="A72"/>
      <c r="B72" s="8"/>
      <c r="C72" s="23"/>
      <c r="D72" s="27"/>
      <c r="E72" s="26"/>
      <c r="F72" s="26"/>
      <c r="G72" s="6" t="str">
        <f t="shared" ref="G72:G82" si="20">IFERROR((F72-$G$1)/(F72-E72)*100,"")</f>
        <v/>
      </c>
      <c r="H72" s="6">
        <f t="shared" ref="H72:H82" si="21">F72-$H$1</f>
        <v>-45999</v>
      </c>
      <c r="I72" s="23"/>
      <c r="J72" s="27"/>
      <c r="K72" s="26"/>
      <c r="L72" s="26"/>
      <c r="M72" s="6" t="str">
        <f t="shared" si="12"/>
        <v/>
      </c>
      <c r="N72" s="6">
        <f t="shared" si="13"/>
        <v>-45999</v>
      </c>
      <c r="O72" s="23"/>
      <c r="P72" s="27"/>
      <c r="Q72" s="26"/>
      <c r="R72" s="26"/>
      <c r="S72" s="6" t="str">
        <f t="shared" si="14"/>
        <v/>
      </c>
      <c r="T72" s="6">
        <f t="shared" si="15"/>
        <v>-45999</v>
      </c>
      <c r="U72" s="22">
        <f t="shared" ref="U72:U76" si="22">L72-P72</f>
        <v>0</v>
      </c>
      <c r="V72" s="11"/>
      <c r="W72" s="23"/>
      <c r="X72" s="27"/>
      <c r="Y72" s="26"/>
      <c r="Z72" s="26"/>
      <c r="AA72" s="6" t="str">
        <f t="shared" si="16"/>
        <v/>
      </c>
      <c r="AB72" s="6">
        <f t="shared" si="17"/>
        <v>-45999</v>
      </c>
      <c r="AC72" s="22"/>
      <c r="AD72" s="11"/>
      <c r="AE72" s="23"/>
      <c r="AF72" s="27"/>
      <c r="AG72" s="26"/>
      <c r="AH72" s="26"/>
      <c r="AI72" s="6" t="str">
        <f t="shared" si="18"/>
        <v/>
      </c>
      <c r="AJ72" s="6">
        <f t="shared" si="19"/>
        <v>-45999</v>
      </c>
      <c r="AK72" s="37"/>
      <c r="AL72" s="11"/>
    </row>
    <row r="73" spans="1:38" ht="22.15" hidden="1" customHeight="1">
      <c r="A73"/>
      <c r="B73" s="8"/>
      <c r="C73" s="23"/>
      <c r="D73" s="27"/>
      <c r="E73" s="26"/>
      <c r="F73" s="26"/>
      <c r="G73" s="6" t="str">
        <f t="shared" si="20"/>
        <v/>
      </c>
      <c r="H73" s="6">
        <f t="shared" si="21"/>
        <v>-45999</v>
      </c>
      <c r="I73" s="23"/>
      <c r="J73" s="27"/>
      <c r="K73" s="26"/>
      <c r="L73" s="26"/>
      <c r="M73" s="6" t="str">
        <f t="shared" si="12"/>
        <v/>
      </c>
      <c r="N73" s="6">
        <f t="shared" si="13"/>
        <v>-45999</v>
      </c>
      <c r="O73" s="23"/>
      <c r="P73" s="27"/>
      <c r="Q73" s="26"/>
      <c r="R73" s="26"/>
      <c r="S73" s="6" t="str">
        <f t="shared" si="14"/>
        <v/>
      </c>
      <c r="T73" s="6">
        <f t="shared" si="15"/>
        <v>-45999</v>
      </c>
      <c r="U73" s="22">
        <f t="shared" si="22"/>
        <v>0</v>
      </c>
      <c r="V73" s="11"/>
      <c r="W73" s="23"/>
      <c r="X73" s="27"/>
      <c r="Y73" s="26"/>
      <c r="Z73" s="26"/>
      <c r="AA73" s="6" t="str">
        <f t="shared" si="16"/>
        <v/>
      </c>
      <c r="AB73" s="6">
        <f t="shared" si="17"/>
        <v>-45999</v>
      </c>
      <c r="AC73" s="22"/>
      <c r="AD73" s="11"/>
      <c r="AE73" s="23"/>
      <c r="AF73" s="27"/>
      <c r="AG73" s="26"/>
      <c r="AH73" s="26"/>
      <c r="AI73" s="6" t="str">
        <f t="shared" si="18"/>
        <v/>
      </c>
      <c r="AJ73" s="6">
        <f t="shared" si="19"/>
        <v>-45999</v>
      </c>
      <c r="AK73" s="37"/>
      <c r="AL73" s="11"/>
    </row>
    <row r="74" spans="1:38" ht="22.15" hidden="1" customHeight="1">
      <c r="A74"/>
      <c r="B74" s="8"/>
      <c r="C74" s="23"/>
      <c r="D74" s="27"/>
      <c r="E74" s="26"/>
      <c r="F74" s="26"/>
      <c r="G74" s="6" t="str">
        <f t="shared" si="20"/>
        <v/>
      </c>
      <c r="H74" s="6">
        <f t="shared" si="21"/>
        <v>-45999</v>
      </c>
      <c r="I74" s="23"/>
      <c r="J74" s="27"/>
      <c r="K74" s="26"/>
      <c r="L74" s="26"/>
      <c r="M74" s="6" t="str">
        <f t="shared" si="12"/>
        <v/>
      </c>
      <c r="N74" s="6">
        <f t="shared" si="13"/>
        <v>-45999</v>
      </c>
      <c r="O74" s="23"/>
      <c r="P74" s="27"/>
      <c r="Q74" s="26"/>
      <c r="R74" s="26"/>
      <c r="S74" s="6" t="str">
        <f t="shared" si="14"/>
        <v/>
      </c>
      <c r="T74" s="6">
        <f t="shared" si="15"/>
        <v>-45999</v>
      </c>
      <c r="U74" s="22">
        <f t="shared" si="22"/>
        <v>0</v>
      </c>
      <c r="V74" s="11"/>
      <c r="W74" s="23"/>
      <c r="X74" s="27"/>
      <c r="Y74" s="26"/>
      <c r="Z74" s="26"/>
      <c r="AA74" s="6" t="str">
        <f t="shared" si="16"/>
        <v/>
      </c>
      <c r="AB74" s="6">
        <f t="shared" si="17"/>
        <v>-45999</v>
      </c>
      <c r="AC74" s="22"/>
      <c r="AD74" s="11"/>
      <c r="AE74" s="23"/>
      <c r="AF74" s="27"/>
      <c r="AG74" s="26"/>
      <c r="AH74" s="26"/>
      <c r="AI74" s="6" t="str">
        <f t="shared" si="18"/>
        <v/>
      </c>
      <c r="AJ74" s="6">
        <f t="shared" si="19"/>
        <v>-45999</v>
      </c>
      <c r="AK74" s="37"/>
      <c r="AL74" s="11"/>
    </row>
    <row r="75" spans="1:38" ht="22.15" hidden="1" customHeight="1">
      <c r="A75"/>
      <c r="B75" s="8"/>
      <c r="C75" s="23"/>
      <c r="D75" s="27"/>
      <c r="E75" s="26"/>
      <c r="F75" s="26"/>
      <c r="G75" s="6" t="str">
        <f t="shared" si="20"/>
        <v/>
      </c>
      <c r="H75" s="6">
        <f t="shared" si="21"/>
        <v>-45999</v>
      </c>
      <c r="I75" s="23"/>
      <c r="J75" s="27"/>
      <c r="K75" s="26"/>
      <c r="L75" s="26"/>
      <c r="M75" s="6" t="str">
        <f t="shared" si="12"/>
        <v/>
      </c>
      <c r="N75" s="6">
        <f t="shared" si="13"/>
        <v>-45999</v>
      </c>
      <c r="O75" s="23"/>
      <c r="P75" s="27"/>
      <c r="Q75" s="26"/>
      <c r="R75" s="26"/>
      <c r="S75" s="6" t="str">
        <f t="shared" si="14"/>
        <v/>
      </c>
      <c r="T75" s="6">
        <f t="shared" si="15"/>
        <v>-45999</v>
      </c>
      <c r="U75" s="22">
        <f t="shared" si="22"/>
        <v>0</v>
      </c>
      <c r="V75" s="11"/>
      <c r="W75" s="23"/>
      <c r="X75" s="27"/>
      <c r="Y75" s="26"/>
      <c r="Z75" s="26"/>
      <c r="AA75" s="6" t="str">
        <f t="shared" si="16"/>
        <v/>
      </c>
      <c r="AB75" s="6">
        <f t="shared" si="17"/>
        <v>-45999</v>
      </c>
      <c r="AC75" s="22"/>
      <c r="AD75" s="11"/>
      <c r="AE75" s="23"/>
      <c r="AF75" s="27"/>
      <c r="AG75" s="26"/>
      <c r="AH75" s="26"/>
      <c r="AI75" s="6" t="str">
        <f t="shared" si="18"/>
        <v/>
      </c>
      <c r="AJ75" s="6">
        <f t="shared" si="19"/>
        <v>-45999</v>
      </c>
      <c r="AK75" s="37"/>
      <c r="AL75" s="11"/>
    </row>
    <row r="76" spans="1:38" ht="22.15" hidden="1" customHeight="1">
      <c r="A76"/>
      <c r="B76" s="8"/>
      <c r="C76" s="23"/>
      <c r="D76" s="27"/>
      <c r="E76" s="26"/>
      <c r="F76" s="26"/>
      <c r="G76" s="6" t="str">
        <f t="shared" si="20"/>
        <v/>
      </c>
      <c r="H76" s="6">
        <f t="shared" si="21"/>
        <v>-45999</v>
      </c>
      <c r="I76" s="23"/>
      <c r="J76" s="27"/>
      <c r="K76" s="26"/>
      <c r="L76" s="26"/>
      <c r="M76" s="6" t="str">
        <f t="shared" si="12"/>
        <v/>
      </c>
      <c r="N76" s="6">
        <f t="shared" si="13"/>
        <v>-45999</v>
      </c>
      <c r="O76" s="23"/>
      <c r="P76" s="27"/>
      <c r="Q76" s="26"/>
      <c r="R76" s="26"/>
      <c r="S76" s="6" t="str">
        <f t="shared" si="14"/>
        <v/>
      </c>
      <c r="T76" s="6">
        <f t="shared" si="15"/>
        <v>-45999</v>
      </c>
      <c r="U76" s="22">
        <f t="shared" si="22"/>
        <v>0</v>
      </c>
      <c r="V76" s="11"/>
      <c r="W76" s="23"/>
      <c r="X76" s="27"/>
      <c r="Y76" s="26"/>
      <c r="Z76" s="26"/>
      <c r="AA76" s="6" t="str">
        <f t="shared" si="16"/>
        <v/>
      </c>
      <c r="AB76" s="6">
        <f t="shared" si="17"/>
        <v>-45999</v>
      </c>
      <c r="AC76" s="22"/>
      <c r="AD76" s="11"/>
      <c r="AE76" s="23"/>
      <c r="AF76" s="27"/>
      <c r="AG76" s="26"/>
      <c r="AH76" s="26"/>
      <c r="AI76" s="6" t="str">
        <f t="shared" si="18"/>
        <v/>
      </c>
      <c r="AJ76" s="6">
        <f t="shared" si="19"/>
        <v>-45999</v>
      </c>
      <c r="AK76" s="37"/>
      <c r="AL76" s="11"/>
    </row>
    <row r="77" spans="1:38" ht="22.15" customHeight="1">
      <c r="A77"/>
      <c r="B77" s="40" t="s">
        <v>80</v>
      </c>
      <c r="C77" s="23" t="s">
        <v>8</v>
      </c>
      <c r="D77" s="27">
        <v>13</v>
      </c>
      <c r="E77" s="26">
        <v>45892</v>
      </c>
      <c r="F77" s="26">
        <v>46012</v>
      </c>
      <c r="G77" s="6">
        <f t="shared" si="20"/>
        <v>10.833333333333334</v>
      </c>
      <c r="H77" s="6">
        <f t="shared" si="21"/>
        <v>13</v>
      </c>
      <c r="I77" s="23" t="s">
        <v>8</v>
      </c>
      <c r="J77" s="27">
        <v>13</v>
      </c>
      <c r="K77" s="26">
        <v>45892</v>
      </c>
      <c r="L77" s="26">
        <v>46012</v>
      </c>
      <c r="M77" s="6">
        <f t="shared" si="12"/>
        <v>10.833333333333334</v>
      </c>
      <c r="N77" s="6">
        <f t="shared" si="13"/>
        <v>13</v>
      </c>
      <c r="O77" s="23" t="s">
        <v>8</v>
      </c>
      <c r="P77" s="27">
        <v>13</v>
      </c>
      <c r="Q77" s="26">
        <v>45892</v>
      </c>
      <c r="R77" s="26">
        <v>46012</v>
      </c>
      <c r="S77" s="6">
        <f t="shared" si="14"/>
        <v>10.833333333333334</v>
      </c>
      <c r="T77" s="6">
        <f t="shared" si="15"/>
        <v>13</v>
      </c>
      <c r="U77" s="31">
        <f>D77-P77</f>
        <v>0</v>
      </c>
      <c r="V77" s="11"/>
      <c r="W77" s="23" t="s">
        <v>8</v>
      </c>
      <c r="X77" s="27">
        <v>13</v>
      </c>
      <c r="Y77" s="26">
        <v>45892</v>
      </c>
      <c r="Z77" s="26">
        <v>46012</v>
      </c>
      <c r="AA77" s="6">
        <f t="shared" si="16"/>
        <v>10.833333333333334</v>
      </c>
      <c r="AB77" s="6">
        <f t="shared" si="17"/>
        <v>13</v>
      </c>
      <c r="AC77" s="31">
        <f>J77-P77</f>
        <v>0</v>
      </c>
      <c r="AD77" s="11"/>
      <c r="AE77" s="23"/>
      <c r="AF77" s="27"/>
      <c r="AG77" s="26"/>
      <c r="AH77" s="26"/>
      <c r="AI77" s="6" t="str">
        <f t="shared" si="18"/>
        <v/>
      </c>
      <c r="AJ77" s="6">
        <f t="shared" si="19"/>
        <v>-45999</v>
      </c>
      <c r="AK77" s="63">
        <f>X77-AF77</f>
        <v>13</v>
      </c>
      <c r="AL77" s="11"/>
    </row>
    <row r="78" spans="1:38" ht="22.15" customHeight="1">
      <c r="A78"/>
      <c r="B78" s="13" t="s">
        <v>82</v>
      </c>
      <c r="C78" s="23" t="s">
        <v>15</v>
      </c>
      <c r="D78" s="27">
        <v>93.518000000000001</v>
      </c>
      <c r="E78" s="26">
        <v>45977</v>
      </c>
      <c r="F78" s="26">
        <v>46007</v>
      </c>
      <c r="G78" s="6">
        <f t="shared" si="20"/>
        <v>26.666666666666668</v>
      </c>
      <c r="H78" s="6">
        <f t="shared" si="21"/>
        <v>8</v>
      </c>
      <c r="I78" s="23" t="s">
        <v>15</v>
      </c>
      <c r="J78" s="27">
        <v>25.765999999999998</v>
      </c>
      <c r="K78" s="26">
        <v>45977</v>
      </c>
      <c r="L78" s="26">
        <v>46007</v>
      </c>
      <c r="M78" s="6">
        <f t="shared" si="12"/>
        <v>26.666666666666668</v>
      </c>
      <c r="N78" s="6">
        <f t="shared" si="13"/>
        <v>8</v>
      </c>
      <c r="O78" s="23"/>
      <c r="P78" s="27"/>
      <c r="Q78" s="26"/>
      <c r="R78" s="26"/>
      <c r="S78" s="6" t="str">
        <f t="shared" si="14"/>
        <v/>
      </c>
      <c r="T78" s="6">
        <f t="shared" si="15"/>
        <v>-45999</v>
      </c>
      <c r="U78" s="32">
        <f t="shared" ref="U78:U83" si="23">D78-P78</f>
        <v>93.518000000000001</v>
      </c>
      <c r="V78" s="11"/>
      <c r="W78" s="23"/>
      <c r="X78" s="27"/>
      <c r="Y78" s="26"/>
      <c r="Z78" s="26"/>
      <c r="AA78" s="6" t="str">
        <f t="shared" si="16"/>
        <v/>
      </c>
      <c r="AB78" s="6">
        <f t="shared" si="17"/>
        <v>-45999</v>
      </c>
      <c r="AC78" s="37"/>
      <c r="AD78" s="11"/>
      <c r="AE78" s="23"/>
      <c r="AF78" s="27"/>
      <c r="AG78" s="26"/>
      <c r="AH78" s="26"/>
      <c r="AI78" s="6" t="str">
        <f t="shared" si="18"/>
        <v/>
      </c>
      <c r="AJ78" s="6">
        <f t="shared" si="19"/>
        <v>-45999</v>
      </c>
      <c r="AK78" s="37"/>
      <c r="AL78" s="11"/>
    </row>
    <row r="79" spans="1:38" ht="22.15" customHeight="1">
      <c r="A79"/>
      <c r="B79" s="13" t="s">
        <v>83</v>
      </c>
      <c r="C79" s="23" t="s">
        <v>15</v>
      </c>
      <c r="D79" s="27">
        <v>26.315999999999999</v>
      </c>
      <c r="E79" s="26">
        <v>45982</v>
      </c>
      <c r="F79" s="26">
        <v>46012</v>
      </c>
      <c r="G79" s="6">
        <f t="shared" si="20"/>
        <v>43.333333333333336</v>
      </c>
      <c r="H79" s="6">
        <f t="shared" si="21"/>
        <v>13</v>
      </c>
      <c r="I79" s="23"/>
      <c r="J79" s="29"/>
      <c r="K79" s="26"/>
      <c r="L79" s="26"/>
      <c r="M79" s="6" t="str">
        <f t="shared" si="12"/>
        <v/>
      </c>
      <c r="N79" s="6">
        <f t="shared" si="13"/>
        <v>-45999</v>
      </c>
      <c r="O79" s="23"/>
      <c r="P79" s="29"/>
      <c r="Q79" s="26"/>
      <c r="R79" s="26"/>
      <c r="S79" s="6" t="str">
        <f t="shared" si="14"/>
        <v/>
      </c>
      <c r="T79" s="6">
        <f t="shared" si="15"/>
        <v>-45999</v>
      </c>
      <c r="U79" s="32">
        <f t="shared" si="23"/>
        <v>26.315999999999999</v>
      </c>
      <c r="V79" s="11"/>
      <c r="W79" s="23"/>
      <c r="X79" s="29"/>
      <c r="Y79" s="26"/>
      <c r="Z79" s="26"/>
      <c r="AA79" s="6" t="str">
        <f t="shared" si="16"/>
        <v/>
      </c>
      <c r="AB79" s="6">
        <f t="shared" si="17"/>
        <v>-45999</v>
      </c>
      <c r="AC79" s="37"/>
      <c r="AD79" s="11"/>
      <c r="AE79" s="23"/>
      <c r="AF79" s="29"/>
      <c r="AG79" s="26"/>
      <c r="AH79" s="26"/>
      <c r="AI79" s="6" t="str">
        <f t="shared" si="18"/>
        <v/>
      </c>
      <c r="AJ79" s="6">
        <f t="shared" si="19"/>
        <v>-45999</v>
      </c>
      <c r="AK79" s="37"/>
      <c r="AL79" s="11"/>
    </row>
    <row r="80" spans="1:38" ht="22.15" customHeight="1">
      <c r="A80"/>
      <c r="B80" s="13" t="s">
        <v>84</v>
      </c>
      <c r="C80" s="23" t="s">
        <v>15</v>
      </c>
      <c r="D80" s="27">
        <v>25</v>
      </c>
      <c r="E80" s="26">
        <v>45973</v>
      </c>
      <c r="F80" s="26">
        <v>46018</v>
      </c>
      <c r="G80" s="6">
        <f t="shared" si="20"/>
        <v>42.222222222222221</v>
      </c>
      <c r="H80" s="6">
        <f t="shared" si="21"/>
        <v>19</v>
      </c>
      <c r="I80" s="23" t="s">
        <v>15</v>
      </c>
      <c r="J80" s="27">
        <v>25</v>
      </c>
      <c r="K80" s="26">
        <v>45973</v>
      </c>
      <c r="L80" s="26">
        <v>46018</v>
      </c>
      <c r="M80" s="6">
        <f t="shared" si="12"/>
        <v>42.222222222222221</v>
      </c>
      <c r="N80" s="6">
        <f t="shared" si="13"/>
        <v>19</v>
      </c>
      <c r="O80" s="23"/>
      <c r="P80" s="27"/>
      <c r="Q80" s="26"/>
      <c r="R80" s="26"/>
      <c r="S80" s="6" t="str">
        <f t="shared" si="14"/>
        <v/>
      </c>
      <c r="T80" s="6">
        <f t="shared" si="15"/>
        <v>-45999</v>
      </c>
      <c r="U80" s="32">
        <f t="shared" si="23"/>
        <v>25</v>
      </c>
      <c r="V80" s="11"/>
      <c r="W80" s="23"/>
      <c r="X80" s="27"/>
      <c r="Y80" s="26"/>
      <c r="Z80" s="26"/>
      <c r="AA80" s="6" t="str">
        <f t="shared" si="16"/>
        <v/>
      </c>
      <c r="AB80" s="6">
        <f t="shared" si="17"/>
        <v>-45999</v>
      </c>
      <c r="AC80" s="37"/>
      <c r="AD80" s="11"/>
      <c r="AE80" s="23"/>
      <c r="AF80" s="27"/>
      <c r="AG80" s="26"/>
      <c r="AH80" s="26"/>
      <c r="AI80" s="6" t="str">
        <f t="shared" si="18"/>
        <v/>
      </c>
      <c r="AJ80" s="6">
        <f t="shared" si="19"/>
        <v>-45999</v>
      </c>
      <c r="AK80" s="37"/>
      <c r="AL80" s="11"/>
    </row>
    <row r="81" spans="1:38" ht="22.15" customHeight="1">
      <c r="A81"/>
      <c r="B81" s="13" t="s">
        <v>85</v>
      </c>
      <c r="C81" s="33" t="s">
        <v>8</v>
      </c>
      <c r="D81" s="34">
        <v>36</v>
      </c>
      <c r="E81" s="26">
        <v>45970</v>
      </c>
      <c r="F81" s="26">
        <v>46010</v>
      </c>
      <c r="G81" s="6">
        <f t="shared" si="20"/>
        <v>27.500000000000004</v>
      </c>
      <c r="H81" s="6">
        <f t="shared" si="21"/>
        <v>11</v>
      </c>
      <c r="I81" s="33" t="s">
        <v>8</v>
      </c>
      <c r="J81" s="34">
        <v>22</v>
      </c>
      <c r="K81" s="26">
        <v>45970</v>
      </c>
      <c r="L81" s="26">
        <v>46010</v>
      </c>
      <c r="M81" s="6">
        <f t="shared" si="12"/>
        <v>27.500000000000004</v>
      </c>
      <c r="N81" s="6">
        <f t="shared" si="13"/>
        <v>11</v>
      </c>
      <c r="O81" s="33"/>
      <c r="P81" s="34"/>
      <c r="Q81" s="26"/>
      <c r="R81" s="26"/>
      <c r="S81" s="6" t="str">
        <f t="shared" si="14"/>
        <v/>
      </c>
      <c r="T81" s="6">
        <f t="shared" si="15"/>
        <v>-45999</v>
      </c>
      <c r="U81" s="32">
        <f t="shared" si="23"/>
        <v>36</v>
      </c>
      <c r="V81" s="11"/>
      <c r="W81" s="33"/>
      <c r="X81" s="34"/>
      <c r="Y81" s="26"/>
      <c r="Z81" s="26"/>
      <c r="AA81" s="6" t="str">
        <f t="shared" si="16"/>
        <v/>
      </c>
      <c r="AB81" s="6">
        <f t="shared" si="17"/>
        <v>-45999</v>
      </c>
      <c r="AC81" s="37"/>
      <c r="AD81" s="11"/>
      <c r="AE81" s="33"/>
      <c r="AF81" s="34"/>
      <c r="AG81" s="26"/>
      <c r="AH81" s="26"/>
      <c r="AI81" s="6" t="str">
        <f t="shared" si="18"/>
        <v/>
      </c>
      <c r="AJ81" s="6">
        <f t="shared" si="19"/>
        <v>-45999</v>
      </c>
      <c r="AK81" s="37"/>
      <c r="AL81" s="11"/>
    </row>
    <row r="82" spans="1:38" ht="22.15" customHeight="1">
      <c r="A82"/>
      <c r="B82" s="9"/>
      <c r="C82" s="15"/>
      <c r="D82" s="35"/>
      <c r="E82" s="36"/>
      <c r="F82" s="15"/>
      <c r="G82" s="6" t="str">
        <f t="shared" si="20"/>
        <v/>
      </c>
      <c r="H82" s="6">
        <f t="shared" si="21"/>
        <v>-45999</v>
      </c>
      <c r="I82" s="15"/>
      <c r="J82" s="35"/>
      <c r="K82" s="36"/>
      <c r="L82" s="15"/>
      <c r="M82" s="6" t="str">
        <f t="shared" si="12"/>
        <v/>
      </c>
      <c r="N82" s="6">
        <f t="shared" si="13"/>
        <v>-45999</v>
      </c>
      <c r="O82" s="15"/>
      <c r="P82" s="35"/>
      <c r="Q82" s="36"/>
      <c r="R82" s="15"/>
      <c r="S82" s="6" t="str">
        <f t="shared" si="14"/>
        <v/>
      </c>
      <c r="T82" s="6">
        <f t="shared" si="15"/>
        <v>-45999</v>
      </c>
      <c r="U82" s="37"/>
      <c r="V82" s="11"/>
      <c r="W82" s="15"/>
      <c r="X82" s="35"/>
      <c r="Y82" s="36"/>
      <c r="Z82" s="15"/>
      <c r="AA82" s="6" t="str">
        <f t="shared" si="16"/>
        <v/>
      </c>
      <c r="AB82" s="6">
        <f t="shared" si="17"/>
        <v>-45999</v>
      </c>
      <c r="AC82" s="37"/>
      <c r="AD82" s="11"/>
      <c r="AE82" s="15"/>
      <c r="AF82" s="35"/>
      <c r="AG82" s="36"/>
      <c r="AH82" s="15"/>
      <c r="AI82" s="6" t="str">
        <f t="shared" si="18"/>
        <v/>
      </c>
      <c r="AJ82" s="6">
        <f t="shared" si="19"/>
        <v>-45999</v>
      </c>
      <c r="AK82" s="37"/>
      <c r="AL82" s="11"/>
    </row>
    <row r="83" spans="1:38" ht="22.15" customHeight="1">
      <c r="A83"/>
      <c r="B83" s="40" t="s">
        <v>86</v>
      </c>
      <c r="C83" s="23" t="s">
        <v>8</v>
      </c>
      <c r="D83" s="27">
        <v>233</v>
      </c>
      <c r="E83" s="26">
        <v>45979</v>
      </c>
      <c r="F83" s="26">
        <v>46019</v>
      </c>
      <c r="G83" s="6">
        <f>IFERROR((F83-$G$1)/(F83-E83)*100,"")</f>
        <v>50</v>
      </c>
      <c r="H83" s="6">
        <f t="shared" ref="H83" si="24">F83-$H$1</f>
        <v>20</v>
      </c>
      <c r="I83" s="23" t="s">
        <v>8</v>
      </c>
      <c r="J83" s="27">
        <v>204</v>
      </c>
      <c r="K83" s="26">
        <v>45979</v>
      </c>
      <c r="L83" s="26">
        <v>46019</v>
      </c>
      <c r="M83" s="6">
        <f t="shared" si="12"/>
        <v>50</v>
      </c>
      <c r="N83" s="6">
        <f t="shared" si="13"/>
        <v>20</v>
      </c>
      <c r="O83" s="23" t="s">
        <v>8</v>
      </c>
      <c r="P83" s="27">
        <v>202</v>
      </c>
      <c r="Q83" s="26">
        <v>45979</v>
      </c>
      <c r="R83" s="26">
        <v>46019</v>
      </c>
      <c r="S83" s="6">
        <f t="shared" si="14"/>
        <v>50</v>
      </c>
      <c r="T83" s="6">
        <f t="shared" si="15"/>
        <v>20</v>
      </c>
      <c r="U83" s="31">
        <f t="shared" si="23"/>
        <v>31</v>
      </c>
      <c r="V83" s="11"/>
      <c r="W83" s="23"/>
      <c r="X83" s="27"/>
      <c r="Y83" s="26"/>
      <c r="Z83" s="26"/>
      <c r="AA83" s="6" t="str">
        <f t="shared" si="16"/>
        <v/>
      </c>
      <c r="AB83" s="6">
        <f t="shared" si="17"/>
        <v>-45999</v>
      </c>
      <c r="AC83" s="30">
        <f>D83-W83</f>
        <v>233</v>
      </c>
      <c r="AD83" s="11"/>
      <c r="AE83" s="23"/>
      <c r="AF83" s="27"/>
      <c r="AG83" s="26"/>
      <c r="AH83" s="26"/>
      <c r="AI83" s="6" t="str">
        <f t="shared" si="18"/>
        <v/>
      </c>
      <c r="AJ83" s="6">
        <f t="shared" si="19"/>
        <v>-45999</v>
      </c>
      <c r="AK83" s="37"/>
      <c r="AL83" s="11"/>
    </row>
    <row r="84" spans="1:38" ht="22.15" customHeight="1">
      <c r="A84"/>
      <c r="B84" s="13" t="s">
        <v>87</v>
      </c>
      <c r="C84" s="23"/>
      <c r="D84" s="24"/>
      <c r="E84" s="26"/>
      <c r="F84" s="26"/>
      <c r="G84" s="6" t="str">
        <f t="shared" ref="G84:G86" si="25">IFERROR((F84-$G$1)/(F84-E84)*100,"")</f>
        <v/>
      </c>
      <c r="H84" s="6">
        <f t="shared" ref="H84:H86" si="26">F84-$H$1</f>
        <v>-45999</v>
      </c>
      <c r="I84" s="23" t="s">
        <v>8</v>
      </c>
      <c r="J84" s="24">
        <v>7</v>
      </c>
      <c r="K84" s="26">
        <v>45976</v>
      </c>
      <c r="L84" s="26">
        <v>46016</v>
      </c>
      <c r="M84" s="6">
        <f t="shared" si="12"/>
        <v>42.5</v>
      </c>
      <c r="N84" s="6">
        <f t="shared" si="13"/>
        <v>17</v>
      </c>
      <c r="O84" s="23"/>
      <c r="P84" s="24"/>
      <c r="Q84" s="26"/>
      <c r="R84" s="26"/>
      <c r="S84" s="6" t="str">
        <f t="shared" si="14"/>
        <v/>
      </c>
      <c r="T84" s="6">
        <f t="shared" si="15"/>
        <v>-45999</v>
      </c>
      <c r="U84" s="30">
        <f>J84-P84</f>
        <v>7</v>
      </c>
      <c r="V84" s="11"/>
      <c r="W84" s="23"/>
      <c r="X84" s="24"/>
      <c r="Y84" s="26"/>
      <c r="Z84" s="26"/>
      <c r="AA84" s="6" t="str">
        <f t="shared" si="16"/>
        <v/>
      </c>
      <c r="AB84" s="6">
        <f t="shared" si="17"/>
        <v>-45999</v>
      </c>
      <c r="AC84" s="37"/>
      <c r="AD84" s="11"/>
      <c r="AE84" s="23"/>
      <c r="AF84" s="24"/>
      <c r="AG84" s="26"/>
      <c r="AH84" s="26"/>
      <c r="AI84" s="6" t="str">
        <f t="shared" si="18"/>
        <v/>
      </c>
      <c r="AJ84" s="6">
        <f t="shared" si="19"/>
        <v>-45999</v>
      </c>
      <c r="AK84" s="37"/>
      <c r="AL84" s="11"/>
    </row>
    <row r="85" spans="1:38" ht="22.15" customHeight="1">
      <c r="A85"/>
      <c r="B85" s="13" t="s">
        <v>86</v>
      </c>
      <c r="C85" s="23"/>
      <c r="D85" s="27"/>
      <c r="E85" s="26"/>
      <c r="F85" s="26"/>
      <c r="G85" s="6" t="str">
        <f t="shared" si="25"/>
        <v/>
      </c>
      <c r="H85" s="6">
        <f t="shared" si="26"/>
        <v>-45999</v>
      </c>
      <c r="I85" s="23" t="s">
        <v>8</v>
      </c>
      <c r="J85" s="27">
        <v>21</v>
      </c>
      <c r="K85" s="26">
        <v>45974</v>
      </c>
      <c r="L85" s="26">
        <v>46014</v>
      </c>
      <c r="M85" s="6">
        <f t="shared" si="12"/>
        <v>37.5</v>
      </c>
      <c r="N85" s="6">
        <f t="shared" si="13"/>
        <v>15</v>
      </c>
      <c r="O85" s="23"/>
      <c r="P85" s="27"/>
      <c r="Q85" s="26"/>
      <c r="R85" s="26"/>
      <c r="S85" s="6" t="str">
        <f t="shared" si="14"/>
        <v/>
      </c>
      <c r="T85" s="6">
        <f t="shared" si="15"/>
        <v>-45999</v>
      </c>
      <c r="U85" s="30">
        <f>J85-P85</f>
        <v>21</v>
      </c>
      <c r="V85" s="11"/>
      <c r="W85" s="23"/>
      <c r="X85" s="27"/>
      <c r="Y85" s="26"/>
      <c r="Z85" s="26"/>
      <c r="AA85" s="6" t="str">
        <f t="shared" si="16"/>
        <v/>
      </c>
      <c r="AB85" s="6">
        <f t="shared" si="17"/>
        <v>-45999</v>
      </c>
      <c r="AC85" s="37"/>
      <c r="AD85" s="11"/>
      <c r="AE85" s="23"/>
      <c r="AF85" s="27"/>
      <c r="AG85" s="26"/>
      <c r="AH85" s="26"/>
      <c r="AI85" s="6" t="str">
        <f t="shared" si="18"/>
        <v/>
      </c>
      <c r="AJ85" s="6">
        <f t="shared" si="19"/>
        <v>-45999</v>
      </c>
      <c r="AK85" s="37"/>
      <c r="AL85" s="11"/>
    </row>
    <row r="86" spans="1:38" ht="22.15" customHeight="1">
      <c r="A86"/>
      <c r="B86" s="9" t="s">
        <v>85</v>
      </c>
      <c r="C86" s="23"/>
      <c r="D86" s="27"/>
      <c r="E86" s="26"/>
      <c r="F86" s="26"/>
      <c r="G86" s="6" t="str">
        <f t="shared" si="25"/>
        <v/>
      </c>
      <c r="H86" s="6">
        <f t="shared" si="26"/>
        <v>-45999</v>
      </c>
      <c r="I86" s="23" t="s">
        <v>8</v>
      </c>
      <c r="J86" s="27">
        <v>46</v>
      </c>
      <c r="K86" s="26">
        <v>45975</v>
      </c>
      <c r="L86" s="26">
        <v>46015</v>
      </c>
      <c r="M86" s="6">
        <f t="shared" si="12"/>
        <v>40</v>
      </c>
      <c r="N86" s="6">
        <f t="shared" si="13"/>
        <v>16</v>
      </c>
      <c r="O86" s="23" t="s">
        <v>8</v>
      </c>
      <c r="P86" s="27">
        <v>10</v>
      </c>
      <c r="Q86" s="26">
        <v>45975</v>
      </c>
      <c r="R86" s="26">
        <v>46015</v>
      </c>
      <c r="S86" s="6">
        <f t="shared" si="14"/>
        <v>40</v>
      </c>
      <c r="T86" s="6">
        <f t="shared" si="15"/>
        <v>16</v>
      </c>
      <c r="U86" s="37">
        <f>J86-P86</f>
        <v>36</v>
      </c>
      <c r="V86" s="11"/>
      <c r="W86" s="23"/>
      <c r="X86" s="27"/>
      <c r="Y86" s="26"/>
      <c r="Z86" s="26"/>
      <c r="AA86" s="6" t="str">
        <f t="shared" si="16"/>
        <v/>
      </c>
      <c r="AB86" s="6">
        <f t="shared" si="17"/>
        <v>-45999</v>
      </c>
      <c r="AC86" s="37"/>
      <c r="AD86" s="11"/>
      <c r="AE86" s="23"/>
      <c r="AF86" s="27"/>
      <c r="AG86" s="26"/>
      <c r="AH86" s="26"/>
      <c r="AI86" s="6" t="str">
        <f t="shared" si="18"/>
        <v/>
      </c>
      <c r="AJ86" s="6">
        <f t="shared" si="19"/>
        <v>-45999</v>
      </c>
      <c r="AK86" s="37"/>
      <c r="AL86" s="11"/>
    </row>
    <row r="87" spans="1:38" ht="22.15" customHeight="1">
      <c r="A87"/>
      <c r="B87" s="9"/>
      <c r="C87" s="23"/>
      <c r="D87" s="27"/>
      <c r="E87" s="26"/>
      <c r="F87" s="26"/>
      <c r="G87" s="6"/>
      <c r="H87" s="6"/>
      <c r="I87" s="23"/>
      <c r="J87" s="27"/>
      <c r="K87" s="26"/>
      <c r="L87" s="26"/>
      <c r="M87" s="6"/>
      <c r="N87" s="6"/>
      <c r="O87" s="23" t="s">
        <v>8</v>
      </c>
      <c r="P87" s="27">
        <v>30</v>
      </c>
      <c r="Q87" s="26">
        <v>45982</v>
      </c>
      <c r="R87" s="26">
        <v>46022</v>
      </c>
      <c r="S87" s="6">
        <f t="shared" ref="S87" si="27">IFERROR((R87-$G$1)/(R87-Q87)*100,"")</f>
        <v>57.499999999999993</v>
      </c>
      <c r="T87" s="6">
        <f t="shared" ref="T87" si="28">R87-$H$1</f>
        <v>23</v>
      </c>
      <c r="U87" s="37"/>
      <c r="V87" s="11"/>
      <c r="W87" s="23"/>
      <c r="X87" s="27"/>
      <c r="Y87" s="26"/>
      <c r="Z87" s="26"/>
      <c r="AA87" s="6" t="str">
        <f t="shared" si="16"/>
        <v/>
      </c>
      <c r="AB87" s="6">
        <f t="shared" si="17"/>
        <v>-45999</v>
      </c>
      <c r="AC87" s="37"/>
      <c r="AD87" s="11"/>
      <c r="AE87" s="23"/>
      <c r="AF87" s="27"/>
      <c r="AG87" s="26"/>
      <c r="AH87" s="26"/>
      <c r="AI87" s="6" t="str">
        <f t="shared" si="18"/>
        <v/>
      </c>
      <c r="AJ87" s="6">
        <f t="shared" si="19"/>
        <v>-45999</v>
      </c>
      <c r="AK87" s="37"/>
      <c r="AL87" s="11"/>
    </row>
    <row r="88" spans="1:38" ht="22.15" customHeight="1">
      <c r="A88"/>
      <c r="B88" s="9" t="s">
        <v>90</v>
      </c>
      <c r="C88" s="23"/>
      <c r="D88" s="27"/>
      <c r="E88" s="26"/>
      <c r="F88" s="26"/>
      <c r="G88" s="6" t="str">
        <f t="shared" ref="G88" si="29">IFERROR((F88-$G$1)/(F88-E88)*100,"")</f>
        <v/>
      </c>
      <c r="H88" s="6">
        <f t="shared" ref="H88" si="30">F88-$H$1</f>
        <v>-45999</v>
      </c>
      <c r="I88" s="23"/>
      <c r="J88" s="27"/>
      <c r="K88" s="26"/>
      <c r="L88" s="26"/>
      <c r="M88" s="6" t="str">
        <f t="shared" si="12"/>
        <v/>
      </c>
      <c r="N88" s="6">
        <f t="shared" si="13"/>
        <v>-45999</v>
      </c>
      <c r="O88" s="23" t="s">
        <v>15</v>
      </c>
      <c r="P88" s="27">
        <v>12</v>
      </c>
      <c r="Q88" s="26">
        <v>45973</v>
      </c>
      <c r="R88" s="26">
        <v>46018</v>
      </c>
      <c r="S88" s="6">
        <f t="shared" si="14"/>
        <v>42.222222222222221</v>
      </c>
      <c r="T88" s="6">
        <f t="shared" si="15"/>
        <v>19</v>
      </c>
      <c r="U88" s="37"/>
      <c r="V88" s="11"/>
      <c r="W88" s="23" t="s">
        <v>15</v>
      </c>
      <c r="X88" s="27">
        <v>12</v>
      </c>
      <c r="Y88" s="26">
        <v>45973</v>
      </c>
      <c r="Z88" s="26">
        <v>46018</v>
      </c>
      <c r="AA88" s="6">
        <f t="shared" si="16"/>
        <v>42.222222222222221</v>
      </c>
      <c r="AB88" s="6">
        <f t="shared" si="17"/>
        <v>19</v>
      </c>
      <c r="AC88" s="37"/>
      <c r="AD88" s="11"/>
      <c r="AE88" s="23"/>
      <c r="AF88" s="27"/>
      <c r="AG88" s="26"/>
      <c r="AH88" s="26"/>
      <c r="AI88" s="6" t="str">
        <f t="shared" si="18"/>
        <v/>
      </c>
      <c r="AJ88" s="6">
        <f t="shared" si="19"/>
        <v>-45999</v>
      </c>
      <c r="AK88" s="37"/>
      <c r="AL88" s="11"/>
    </row>
    <row r="89" spans="1:38" ht="22.15" customHeight="1">
      <c r="A89"/>
      <c r="B89" s="13" t="s">
        <v>84</v>
      </c>
      <c r="C89" s="23"/>
      <c r="D89" s="27"/>
      <c r="E89" s="26"/>
      <c r="F89" s="26"/>
      <c r="G89" s="6" t="str">
        <f t="shared" ref="G89:G91" si="31">IFERROR((F89-$G$1)/(F89-E89)*100,"")</f>
        <v/>
      </c>
      <c r="H89" s="6">
        <f t="shared" ref="H89:H91" si="32">F89-$H$1</f>
        <v>-45999</v>
      </c>
      <c r="I89" s="23"/>
      <c r="J89" s="27"/>
      <c r="K89" s="26"/>
      <c r="L89" s="26"/>
      <c r="M89" s="6" t="str">
        <f t="shared" si="12"/>
        <v/>
      </c>
      <c r="N89" s="6">
        <f t="shared" si="13"/>
        <v>-45999</v>
      </c>
      <c r="O89" s="23"/>
      <c r="P89" s="27"/>
      <c r="Q89" s="26"/>
      <c r="R89" s="26"/>
      <c r="S89" s="6" t="str">
        <f t="shared" si="14"/>
        <v/>
      </c>
      <c r="T89" s="6">
        <f t="shared" si="15"/>
        <v>-45999</v>
      </c>
      <c r="U89" s="37"/>
      <c r="V89" s="11"/>
      <c r="W89" s="23" t="s">
        <v>92</v>
      </c>
      <c r="X89" s="27">
        <v>18.225999999999999</v>
      </c>
      <c r="Y89" s="26">
        <v>45976</v>
      </c>
      <c r="Z89" s="26">
        <v>46021</v>
      </c>
      <c r="AA89" s="6">
        <f t="shared" si="16"/>
        <v>48.888888888888886</v>
      </c>
      <c r="AB89" s="6">
        <f t="shared" si="17"/>
        <v>22</v>
      </c>
      <c r="AC89" s="37"/>
      <c r="AD89" s="11"/>
      <c r="AE89" s="23" t="s">
        <v>92</v>
      </c>
      <c r="AF89" s="27">
        <v>15.45</v>
      </c>
      <c r="AG89" s="26">
        <v>45976</v>
      </c>
      <c r="AH89" s="26">
        <v>46021</v>
      </c>
      <c r="AI89" s="6">
        <f t="shared" si="18"/>
        <v>48.888888888888886</v>
      </c>
      <c r="AJ89" s="6">
        <f t="shared" si="19"/>
        <v>22</v>
      </c>
      <c r="AK89" s="37">
        <f>X89-AF89</f>
        <v>2.7759999999999998</v>
      </c>
      <c r="AL89" s="11"/>
    </row>
    <row r="90" spans="1:38" ht="22.15" customHeight="1">
      <c r="A90"/>
      <c r="B90" s="13" t="s">
        <v>87</v>
      </c>
      <c r="C90" s="23"/>
      <c r="D90" s="27"/>
      <c r="E90" s="26"/>
      <c r="F90" s="26"/>
      <c r="G90" s="6" t="str">
        <f t="shared" si="31"/>
        <v/>
      </c>
      <c r="H90" s="6">
        <f t="shared" si="32"/>
        <v>-45999</v>
      </c>
      <c r="I90" s="23"/>
      <c r="J90" s="27"/>
      <c r="K90" s="26"/>
      <c r="L90" s="26"/>
      <c r="M90" s="6" t="str">
        <f t="shared" si="12"/>
        <v/>
      </c>
      <c r="N90" s="6">
        <f t="shared" si="13"/>
        <v>-45999</v>
      </c>
      <c r="O90" s="23"/>
      <c r="P90" s="27"/>
      <c r="Q90" s="26"/>
      <c r="R90" s="26"/>
      <c r="S90" s="6" t="str">
        <f t="shared" si="14"/>
        <v/>
      </c>
      <c r="T90" s="6">
        <f t="shared" si="15"/>
        <v>-45999</v>
      </c>
      <c r="U90" s="22"/>
      <c r="V90" s="11"/>
      <c r="W90" s="23" t="s">
        <v>91</v>
      </c>
      <c r="X90" s="27">
        <v>3</v>
      </c>
      <c r="Y90" s="26">
        <v>45982</v>
      </c>
      <c r="Z90" s="26">
        <v>46022</v>
      </c>
      <c r="AA90" s="6">
        <f t="shared" si="16"/>
        <v>57.499999999999993</v>
      </c>
      <c r="AB90" s="6">
        <f t="shared" si="17"/>
        <v>23</v>
      </c>
      <c r="AC90" s="22"/>
      <c r="AD90" s="11"/>
      <c r="AE90" s="23" t="s">
        <v>91</v>
      </c>
      <c r="AF90" s="27">
        <v>3</v>
      </c>
      <c r="AG90" s="26">
        <v>45982</v>
      </c>
      <c r="AH90" s="26">
        <v>46022</v>
      </c>
      <c r="AI90" s="6">
        <f t="shared" si="18"/>
        <v>57.499999999999993</v>
      </c>
      <c r="AJ90" s="6">
        <f t="shared" si="19"/>
        <v>23</v>
      </c>
      <c r="AK90" s="31">
        <f>X90-AF90</f>
        <v>0</v>
      </c>
      <c r="AL90" s="11"/>
    </row>
    <row r="91" spans="1:38" ht="22.15" customHeight="1">
      <c r="A91"/>
      <c r="B91" s="40" t="s">
        <v>86</v>
      </c>
      <c r="C91" s="23"/>
      <c r="D91" s="27"/>
      <c r="E91" s="26"/>
      <c r="F91" s="26"/>
      <c r="G91" s="6" t="str">
        <f t="shared" si="31"/>
        <v/>
      </c>
      <c r="H91" s="6">
        <f t="shared" si="32"/>
        <v>-45999</v>
      </c>
      <c r="I91" s="23"/>
      <c r="J91" s="27"/>
      <c r="K91" s="26"/>
      <c r="L91" s="26"/>
      <c r="M91" s="6" t="str">
        <f t="shared" si="12"/>
        <v/>
      </c>
      <c r="N91" s="6">
        <f t="shared" si="13"/>
        <v>-45999</v>
      </c>
      <c r="O91" s="23"/>
      <c r="P91" s="27"/>
      <c r="Q91" s="26"/>
      <c r="R91" s="26"/>
      <c r="S91" s="6" t="str">
        <f t="shared" si="14"/>
        <v/>
      </c>
      <c r="T91" s="6">
        <f t="shared" si="15"/>
        <v>-45999</v>
      </c>
      <c r="U91" s="22"/>
      <c r="V91" s="11"/>
      <c r="W91" s="23"/>
      <c r="X91" s="27"/>
      <c r="Y91" s="26"/>
      <c r="Z91" s="26"/>
      <c r="AA91" s="6" t="str">
        <f t="shared" si="16"/>
        <v/>
      </c>
      <c r="AB91" s="6">
        <f t="shared" si="17"/>
        <v>-45999</v>
      </c>
      <c r="AC91" s="22"/>
      <c r="AD91" s="11"/>
      <c r="AE91" s="23" t="s">
        <v>91</v>
      </c>
      <c r="AF91" s="27">
        <v>170</v>
      </c>
      <c r="AG91" s="26">
        <v>45979</v>
      </c>
      <c r="AH91" s="26">
        <v>46019</v>
      </c>
      <c r="AI91" s="6">
        <f t="shared" si="18"/>
        <v>50</v>
      </c>
      <c r="AJ91" s="6">
        <f t="shared" si="19"/>
        <v>20</v>
      </c>
      <c r="AK91" s="22"/>
      <c r="AL91" s="11"/>
    </row>
    <row r="92" spans="1:38" ht="22.15" customHeight="1">
      <c r="A92"/>
      <c r="B92" s="13" t="s">
        <v>82</v>
      </c>
      <c r="C92" s="23"/>
      <c r="D92" s="27"/>
      <c r="E92" s="26"/>
      <c r="F92" s="26"/>
      <c r="G92" s="6" t="str">
        <f t="shared" ref="G92:G95" si="33">IFERROR((F92-$G$1)/(F92-E92)*100,"")</f>
        <v/>
      </c>
      <c r="H92" s="6">
        <f t="shared" ref="H92:H95" si="34">F92-$H$1</f>
        <v>-45999</v>
      </c>
      <c r="I92" s="23"/>
      <c r="J92" s="27"/>
      <c r="K92" s="26"/>
      <c r="L92" s="26"/>
      <c r="M92" s="6" t="str">
        <f t="shared" si="12"/>
        <v/>
      </c>
      <c r="N92" s="6">
        <f t="shared" si="13"/>
        <v>-45999</v>
      </c>
      <c r="O92" s="23"/>
      <c r="P92" s="27"/>
      <c r="Q92" s="26"/>
      <c r="R92" s="26"/>
      <c r="S92" s="6" t="str">
        <f t="shared" si="14"/>
        <v/>
      </c>
      <c r="T92" s="6">
        <f t="shared" si="15"/>
        <v>-45999</v>
      </c>
      <c r="U92" s="22"/>
      <c r="V92" s="11"/>
      <c r="W92" s="23"/>
      <c r="X92" s="27"/>
      <c r="Y92" s="26"/>
      <c r="Z92" s="26"/>
      <c r="AA92" s="6" t="str">
        <f t="shared" si="16"/>
        <v/>
      </c>
      <c r="AB92" s="6">
        <f t="shared" si="17"/>
        <v>-45999</v>
      </c>
      <c r="AC92" s="22"/>
      <c r="AD92" s="11"/>
      <c r="AE92" s="23" t="s">
        <v>92</v>
      </c>
      <c r="AF92" s="27">
        <v>48.203000000000003</v>
      </c>
      <c r="AG92" s="26">
        <v>46002</v>
      </c>
      <c r="AH92" s="26">
        <v>46032</v>
      </c>
      <c r="AI92" s="6">
        <f t="shared" si="18"/>
        <v>110.00000000000001</v>
      </c>
      <c r="AJ92" s="6">
        <f t="shared" si="19"/>
        <v>33</v>
      </c>
      <c r="AK92" s="22"/>
      <c r="AL92" s="11"/>
    </row>
    <row r="93" spans="1:38" ht="22.15" customHeight="1">
      <c r="A93"/>
      <c r="B93" s="13" t="s">
        <v>83</v>
      </c>
      <c r="C93" s="23"/>
      <c r="D93" s="27"/>
      <c r="E93" s="26"/>
      <c r="F93" s="26"/>
      <c r="G93" s="6" t="str">
        <f t="shared" si="33"/>
        <v/>
      </c>
      <c r="H93" s="6">
        <f t="shared" si="34"/>
        <v>-45999</v>
      </c>
      <c r="I93" s="23"/>
      <c r="J93" s="27"/>
      <c r="K93" s="26"/>
      <c r="L93" s="26"/>
      <c r="M93" s="6" t="str">
        <f t="shared" si="12"/>
        <v/>
      </c>
      <c r="N93" s="6">
        <f t="shared" si="13"/>
        <v>-45999</v>
      </c>
      <c r="O93" s="23"/>
      <c r="P93" s="27"/>
      <c r="Q93" s="26"/>
      <c r="R93" s="26"/>
      <c r="S93" s="6" t="str">
        <f t="shared" si="14"/>
        <v/>
      </c>
      <c r="T93" s="6">
        <f t="shared" si="15"/>
        <v>-45999</v>
      </c>
      <c r="U93" s="22"/>
      <c r="V93" s="11"/>
      <c r="W93" s="23"/>
      <c r="X93" s="27"/>
      <c r="Y93" s="26"/>
      <c r="Z93" s="26"/>
      <c r="AA93" s="6" t="str">
        <f t="shared" si="16"/>
        <v/>
      </c>
      <c r="AB93" s="6">
        <f t="shared" si="17"/>
        <v>-45999</v>
      </c>
      <c r="AC93" s="22"/>
      <c r="AD93" s="11"/>
      <c r="AE93" s="23" t="s">
        <v>92</v>
      </c>
      <c r="AF93" s="27">
        <v>18.73</v>
      </c>
      <c r="AG93" s="26">
        <v>45995</v>
      </c>
      <c r="AH93" s="26">
        <v>46025</v>
      </c>
      <c r="AI93" s="6">
        <f t="shared" si="18"/>
        <v>86.666666666666671</v>
      </c>
      <c r="AJ93" s="6">
        <f t="shared" si="19"/>
        <v>26</v>
      </c>
      <c r="AK93" s="22"/>
      <c r="AL93" s="11"/>
    </row>
    <row r="94" spans="1:38" ht="22.15" customHeight="1">
      <c r="A94" s="57"/>
      <c r="B94" s="54" t="s">
        <v>83</v>
      </c>
      <c r="C94" s="23"/>
      <c r="D94" s="27"/>
      <c r="E94" s="26"/>
      <c r="F94" s="26"/>
      <c r="G94" s="6" t="str">
        <f t="shared" si="33"/>
        <v/>
      </c>
      <c r="H94" s="6">
        <f t="shared" si="34"/>
        <v>-45999</v>
      </c>
      <c r="I94" s="23"/>
      <c r="J94" s="27"/>
      <c r="K94" s="26"/>
      <c r="L94" s="26"/>
      <c r="M94" s="6" t="str">
        <f t="shared" si="12"/>
        <v/>
      </c>
      <c r="N94" s="6">
        <f t="shared" si="13"/>
        <v>-45999</v>
      </c>
      <c r="O94" s="23"/>
      <c r="P94" s="27"/>
      <c r="Q94" s="26"/>
      <c r="R94" s="26"/>
      <c r="S94" s="6" t="str">
        <f t="shared" si="14"/>
        <v/>
      </c>
      <c r="T94" s="6">
        <f t="shared" si="15"/>
        <v>-45999</v>
      </c>
      <c r="U94" s="22"/>
      <c r="V94" s="11"/>
      <c r="W94" s="23"/>
      <c r="X94" s="27"/>
      <c r="Y94" s="26"/>
      <c r="Z94" s="26"/>
      <c r="AA94" s="6" t="str">
        <f t="shared" si="16"/>
        <v/>
      </c>
      <c r="AB94" s="6">
        <f t="shared" si="17"/>
        <v>-45999</v>
      </c>
      <c r="AC94" s="22"/>
      <c r="AD94" s="11"/>
      <c r="AE94" s="23" t="s">
        <v>92</v>
      </c>
      <c r="AF94" s="27">
        <v>62.65</v>
      </c>
      <c r="AG94" s="26">
        <v>45998</v>
      </c>
      <c r="AH94" s="26">
        <v>46028</v>
      </c>
      <c r="AI94" s="6">
        <f t="shared" si="18"/>
        <v>96.666666666666671</v>
      </c>
      <c r="AJ94" s="6">
        <f t="shared" si="19"/>
        <v>29</v>
      </c>
      <c r="AK94" s="22"/>
      <c r="AL94" s="11"/>
    </row>
    <row r="95" spans="1:38" ht="22.15" customHeight="1">
      <c r="A95" s="57"/>
      <c r="B95" s="9" t="s">
        <v>93</v>
      </c>
      <c r="C95" s="23"/>
      <c r="D95" s="27"/>
      <c r="E95" s="26"/>
      <c r="F95" s="26"/>
      <c r="G95" s="6" t="str">
        <f t="shared" si="33"/>
        <v/>
      </c>
      <c r="H95" s="6">
        <f t="shared" si="34"/>
        <v>-45999</v>
      </c>
      <c r="I95" s="23"/>
      <c r="J95" s="27"/>
      <c r="K95" s="26"/>
      <c r="L95" s="26"/>
      <c r="M95" s="6" t="str">
        <f t="shared" si="12"/>
        <v/>
      </c>
      <c r="N95" s="6">
        <f t="shared" si="13"/>
        <v>-45999</v>
      </c>
      <c r="O95" s="23"/>
      <c r="P95" s="27"/>
      <c r="Q95" s="26"/>
      <c r="R95" s="26"/>
      <c r="S95" s="6" t="str">
        <f t="shared" si="14"/>
        <v/>
      </c>
      <c r="T95" s="6">
        <f t="shared" si="15"/>
        <v>-45999</v>
      </c>
      <c r="U95" s="22"/>
      <c r="V95" s="11"/>
      <c r="W95" s="23"/>
      <c r="X95" s="27"/>
      <c r="Y95" s="26"/>
      <c r="Z95" s="26"/>
      <c r="AA95" s="6" t="str">
        <f t="shared" si="16"/>
        <v/>
      </c>
      <c r="AB95" s="6">
        <f t="shared" si="17"/>
        <v>-45999</v>
      </c>
      <c r="AC95" s="22"/>
      <c r="AD95" s="11"/>
      <c r="AE95" s="23" t="s">
        <v>91</v>
      </c>
      <c r="AF95" s="27">
        <v>96</v>
      </c>
      <c r="AG95" s="26">
        <v>45982</v>
      </c>
      <c r="AH95" s="26">
        <v>46027</v>
      </c>
      <c r="AI95" s="6">
        <f t="shared" si="18"/>
        <v>62.222222222222221</v>
      </c>
      <c r="AJ95" s="6">
        <f t="shared" si="19"/>
        <v>28</v>
      </c>
      <c r="AK95" s="22"/>
      <c r="AL95" s="11"/>
    </row>
    <row r="96" spans="1:38" ht="22.15" customHeight="1">
      <c r="A96" s="57"/>
      <c r="B96" s="9" t="s">
        <v>93</v>
      </c>
      <c r="C96" s="38"/>
      <c r="D96" s="39"/>
      <c r="E96" s="38"/>
      <c r="F96" s="38"/>
      <c r="G96" s="38"/>
      <c r="H96" s="38"/>
      <c r="I96" s="38"/>
      <c r="J96" s="39"/>
      <c r="K96" s="38"/>
      <c r="L96" s="38"/>
      <c r="M96" s="38"/>
      <c r="N96" s="38"/>
      <c r="O96" s="38"/>
      <c r="P96" s="39"/>
      <c r="Q96" s="38"/>
      <c r="R96" s="38"/>
      <c r="S96" s="38"/>
      <c r="T96" s="38"/>
      <c r="U96" s="41"/>
      <c r="V96" s="42"/>
      <c r="W96" s="38"/>
      <c r="X96" s="39"/>
      <c r="Y96" s="38"/>
      <c r="Z96" s="38"/>
      <c r="AA96" s="38"/>
      <c r="AB96" s="38"/>
      <c r="AC96" s="41"/>
      <c r="AD96" s="42"/>
      <c r="AE96" s="50" t="s">
        <v>91</v>
      </c>
      <c r="AF96" s="39">
        <v>14</v>
      </c>
      <c r="AG96" s="59">
        <v>45990</v>
      </c>
      <c r="AH96" s="28">
        <v>46035</v>
      </c>
      <c r="AI96" s="6">
        <f t="shared" si="18"/>
        <v>80</v>
      </c>
      <c r="AJ96" s="38">
        <f t="shared" si="19"/>
        <v>36</v>
      </c>
      <c r="AK96" s="22"/>
      <c r="AL96" s="11"/>
    </row>
    <row r="97" spans="1:38" ht="22.15" customHeight="1">
      <c r="A97" s="57"/>
      <c r="B97" s="55"/>
      <c r="C97" s="45"/>
      <c r="D97" s="46"/>
      <c r="E97" s="45"/>
      <c r="F97" s="45"/>
      <c r="G97" s="45"/>
      <c r="H97" s="45"/>
      <c r="I97" s="45"/>
      <c r="J97" s="46"/>
      <c r="K97" s="45"/>
      <c r="L97" s="45"/>
      <c r="M97" s="45"/>
      <c r="N97" s="45"/>
      <c r="O97" s="45"/>
      <c r="P97" s="46"/>
      <c r="Q97" s="45"/>
      <c r="R97" s="45"/>
      <c r="S97" s="45"/>
      <c r="T97" s="45"/>
      <c r="U97" s="22"/>
      <c r="V97" s="11"/>
      <c r="W97" s="45"/>
      <c r="X97" s="46"/>
      <c r="Y97" s="45"/>
      <c r="Z97" s="45"/>
      <c r="AA97" s="45"/>
      <c r="AB97" s="45"/>
      <c r="AC97" s="22"/>
      <c r="AD97" s="11"/>
      <c r="AE97" s="45"/>
      <c r="AF97" s="49"/>
      <c r="AG97" s="45"/>
      <c r="AH97" s="48"/>
      <c r="AI97" s="6" t="str">
        <f t="shared" si="18"/>
        <v/>
      </c>
      <c r="AJ97" s="45"/>
      <c r="AK97" s="22"/>
      <c r="AL97" s="11"/>
    </row>
    <row r="98" spans="1:38" ht="22.15" customHeight="1">
      <c r="A98" s="57"/>
      <c r="B98" s="56"/>
      <c r="C98" s="45"/>
      <c r="D98" s="46"/>
      <c r="E98" s="45"/>
      <c r="F98" s="45"/>
      <c r="G98" s="45"/>
      <c r="H98" s="45"/>
      <c r="I98" s="45"/>
      <c r="J98" s="46"/>
      <c r="K98" s="45"/>
      <c r="L98" s="45"/>
      <c r="M98" s="45"/>
      <c r="N98" s="45"/>
      <c r="O98" s="45"/>
      <c r="P98" s="46"/>
      <c r="Q98" s="45"/>
      <c r="R98" s="45"/>
      <c r="S98" s="45"/>
      <c r="T98" s="45"/>
      <c r="U98" s="22"/>
      <c r="V98" s="11"/>
      <c r="W98" s="45"/>
      <c r="X98" s="46"/>
      <c r="Y98" s="45"/>
      <c r="Z98" s="45"/>
      <c r="AA98" s="45"/>
      <c r="AB98" s="45"/>
      <c r="AC98" s="22"/>
      <c r="AD98" s="11"/>
      <c r="AE98" s="45"/>
      <c r="AF98" s="49"/>
      <c r="AG98" s="45"/>
      <c r="AH98" s="48"/>
      <c r="AI98" s="6" t="str">
        <f t="shared" si="18"/>
        <v/>
      </c>
      <c r="AJ98" s="45"/>
      <c r="AK98" s="22"/>
      <c r="AL98" s="11"/>
    </row>
    <row r="99" spans="1:38" ht="22.15" customHeight="1">
      <c r="A99" s="58"/>
      <c r="B99"/>
      <c r="C99" s="38"/>
      <c r="D99" s="39"/>
      <c r="E99" s="38"/>
      <c r="F99" s="38"/>
      <c r="G99" s="38"/>
      <c r="H99" s="38"/>
      <c r="I99" s="38"/>
      <c r="J99" s="39"/>
      <c r="K99" s="38"/>
      <c r="L99" s="38"/>
      <c r="M99" s="38"/>
      <c r="N99" s="38"/>
      <c r="O99" s="38"/>
      <c r="P99" s="39"/>
      <c r="Q99" s="38"/>
      <c r="R99" s="38"/>
      <c r="S99" s="38"/>
      <c r="T99" s="38"/>
      <c r="U99" s="52"/>
      <c r="V99" s="53"/>
      <c r="W99" s="38"/>
      <c r="X99" s="39"/>
      <c r="Y99" s="38"/>
      <c r="Z99" s="38"/>
      <c r="AA99" s="38"/>
      <c r="AB99" s="38"/>
      <c r="AC99" s="52"/>
      <c r="AD99" s="53"/>
      <c r="AE99" s="51"/>
      <c r="AF99" s="39"/>
      <c r="AG99" s="50"/>
      <c r="AH99" s="38"/>
      <c r="AI99" s="6" t="str">
        <f t="shared" si="18"/>
        <v/>
      </c>
      <c r="AJ99" s="38"/>
      <c r="AK99" s="22"/>
      <c r="AL99" s="11"/>
    </row>
    <row r="100" spans="1:38" ht="22.15" customHeight="1">
      <c r="A100" s="47"/>
      <c r="B100" s="47"/>
      <c r="C100" s="45"/>
      <c r="D100" s="46"/>
      <c r="E100" s="45"/>
      <c r="F100" s="45"/>
      <c r="G100" s="45"/>
      <c r="H100" s="45"/>
      <c r="I100" s="45"/>
      <c r="J100" s="46"/>
      <c r="K100" s="45"/>
      <c r="L100" s="45"/>
      <c r="M100" s="45"/>
      <c r="N100" s="45"/>
      <c r="O100" s="45"/>
      <c r="P100" s="46"/>
      <c r="Q100" s="45"/>
      <c r="R100" s="45"/>
      <c r="S100" s="45"/>
      <c r="T100" s="45"/>
      <c r="U100" s="22"/>
      <c r="V100" s="11"/>
      <c r="W100" s="45"/>
      <c r="X100" s="46"/>
      <c r="Y100" s="45"/>
      <c r="Z100" s="45"/>
      <c r="AA100" s="45"/>
      <c r="AB100" s="45"/>
      <c r="AC100" s="22"/>
      <c r="AD100" s="11"/>
      <c r="AE100" s="45"/>
      <c r="AF100" s="46"/>
      <c r="AG100" s="45"/>
      <c r="AH100" s="45"/>
      <c r="AI100" s="6" t="str">
        <f t="shared" si="18"/>
        <v/>
      </c>
      <c r="AJ100" s="45"/>
      <c r="AK100" s="22"/>
      <c r="AL100" s="11"/>
    </row>
    <row r="101" spans="1:38" ht="22.15" customHeight="1">
      <c r="A101"/>
      <c r="B101"/>
      <c r="C101" s="38"/>
      <c r="D101" s="39"/>
      <c r="E101" s="38"/>
      <c r="F101" s="38"/>
      <c r="G101" s="38"/>
      <c r="H101" s="38"/>
      <c r="I101" s="38"/>
      <c r="J101" s="39"/>
      <c r="K101" s="38"/>
      <c r="L101" s="38"/>
      <c r="M101" s="38"/>
      <c r="N101" s="38"/>
      <c r="O101" s="38"/>
      <c r="P101" s="39"/>
      <c r="Q101" s="38"/>
      <c r="R101" s="38"/>
      <c r="S101" s="38"/>
      <c r="T101" s="38"/>
      <c r="U101" s="43"/>
      <c r="V101" s="44"/>
      <c r="W101" s="38"/>
      <c r="X101" s="39"/>
      <c r="Y101" s="38"/>
      <c r="Z101" s="38"/>
      <c r="AA101" s="38"/>
      <c r="AB101" s="38"/>
      <c r="AC101" s="43"/>
      <c r="AD101" s="44"/>
      <c r="AE101" s="38"/>
      <c r="AF101" s="39"/>
      <c r="AG101" s="38"/>
      <c r="AH101" s="38"/>
      <c r="AI101" s="38"/>
      <c r="AJ101" s="38"/>
      <c r="AK101" s="22"/>
      <c r="AL101" s="11"/>
    </row>
    <row r="102" spans="1:38" ht="22.15" customHeight="1">
      <c r="A102"/>
      <c r="B102"/>
      <c r="C102" s="38"/>
      <c r="D102" s="39"/>
      <c r="E102" s="38"/>
      <c r="F102" s="38"/>
      <c r="G102" s="38"/>
      <c r="H102" s="38"/>
      <c r="I102" s="38"/>
      <c r="J102" s="39"/>
      <c r="K102" s="38"/>
      <c r="L102" s="38"/>
      <c r="M102" s="38"/>
      <c r="N102" s="38"/>
      <c r="O102" s="38"/>
      <c r="P102" s="39"/>
      <c r="Q102" s="38"/>
      <c r="R102" s="38"/>
      <c r="S102" s="38"/>
      <c r="T102" s="38"/>
      <c r="U102" s="22"/>
      <c r="V102" s="11"/>
      <c r="W102" s="38"/>
      <c r="X102" s="39"/>
      <c r="Y102" s="38"/>
      <c r="Z102" s="38"/>
      <c r="AA102" s="38"/>
      <c r="AB102" s="38"/>
      <c r="AC102" s="22"/>
      <c r="AD102" s="11"/>
      <c r="AE102" s="38"/>
      <c r="AF102" s="39"/>
      <c r="AG102" s="38"/>
      <c r="AH102" s="38"/>
      <c r="AI102" s="38"/>
      <c r="AJ102" s="38"/>
      <c r="AK102" s="22"/>
      <c r="AL102" s="11"/>
    </row>
    <row r="103" spans="1:38" ht="22.15" customHeight="1">
      <c r="A103"/>
      <c r="B103"/>
      <c r="C103" s="38"/>
      <c r="D103" s="39"/>
      <c r="E103" s="38"/>
      <c r="F103" s="38"/>
      <c r="G103" s="38"/>
      <c r="H103" s="38"/>
      <c r="I103" s="38"/>
      <c r="J103" s="39"/>
      <c r="K103" s="38"/>
      <c r="L103" s="38"/>
      <c r="M103" s="38"/>
      <c r="N103" s="38"/>
      <c r="O103" s="38"/>
      <c r="P103" s="39"/>
      <c r="Q103" s="38"/>
      <c r="R103" s="38"/>
      <c r="S103" s="38"/>
      <c r="T103" s="38"/>
      <c r="U103" s="22"/>
      <c r="V103" s="11"/>
      <c r="W103" s="38"/>
      <c r="X103" s="39"/>
      <c r="Y103" s="38"/>
      <c r="Z103" s="38"/>
      <c r="AA103" s="38"/>
      <c r="AB103" s="38"/>
      <c r="AC103" s="22"/>
      <c r="AD103" s="11"/>
      <c r="AE103" s="38"/>
      <c r="AF103" s="39"/>
      <c r="AG103" s="38"/>
      <c r="AH103" s="38"/>
      <c r="AI103" s="38"/>
      <c r="AJ103" s="38"/>
      <c r="AK103" s="22"/>
      <c r="AL103" s="11"/>
    </row>
    <row r="104" spans="1:38" ht="22.15" customHeight="1">
      <c r="A104"/>
      <c r="B104"/>
      <c r="C104" s="38"/>
      <c r="D104" s="39"/>
      <c r="E104" s="38"/>
      <c r="F104" s="38"/>
      <c r="G104" s="38"/>
      <c r="H104" s="38"/>
      <c r="I104" s="38"/>
      <c r="J104" s="39"/>
      <c r="K104" s="38"/>
      <c r="L104" s="38"/>
      <c r="M104" s="38"/>
      <c r="N104" s="38"/>
      <c r="O104" s="38"/>
      <c r="P104" s="39"/>
      <c r="Q104" s="38"/>
      <c r="R104" s="38"/>
      <c r="S104" s="38"/>
      <c r="T104" s="38"/>
      <c r="U104" s="22"/>
      <c r="V104" s="11"/>
      <c r="W104" s="38"/>
      <c r="X104" s="39"/>
      <c r="Y104" s="38"/>
      <c r="Z104" s="38"/>
      <c r="AA104" s="38"/>
      <c r="AB104" s="38"/>
      <c r="AC104" s="22"/>
      <c r="AD104" s="11"/>
      <c r="AE104" s="38"/>
      <c r="AF104" s="39"/>
      <c r="AG104" s="38"/>
      <c r="AH104" s="38"/>
      <c r="AI104" s="38"/>
      <c r="AJ104" s="38"/>
      <c r="AK104" s="22"/>
      <c r="AL104" s="11"/>
    </row>
    <row r="105" spans="1:38" ht="22.15" customHeight="1">
      <c r="A105"/>
      <c r="B105"/>
      <c r="C105" s="38"/>
      <c r="D105" s="39"/>
      <c r="E105" s="38"/>
      <c r="F105" s="38"/>
      <c r="G105" s="38"/>
      <c r="H105" s="38"/>
      <c r="I105" s="38"/>
      <c r="J105" s="39"/>
      <c r="K105" s="38"/>
      <c r="L105" s="38"/>
      <c r="M105" s="38"/>
      <c r="N105" s="38"/>
      <c r="O105" s="38"/>
      <c r="P105" s="39"/>
      <c r="Q105" s="38"/>
      <c r="R105" s="38"/>
      <c r="S105" s="38"/>
      <c r="T105" s="38"/>
      <c r="U105" s="22"/>
      <c r="V105" s="11"/>
      <c r="W105" s="38"/>
      <c r="X105" s="39"/>
      <c r="Y105" s="38"/>
      <c r="Z105" s="38"/>
      <c r="AA105" s="38"/>
      <c r="AB105" s="38"/>
      <c r="AC105" s="22"/>
      <c r="AD105" s="11"/>
      <c r="AE105" s="38"/>
      <c r="AF105" s="39"/>
      <c r="AG105" s="38"/>
      <c r="AH105" s="38"/>
      <c r="AI105" s="38"/>
      <c r="AJ105" s="38"/>
      <c r="AK105" s="22"/>
      <c r="AL105" s="11"/>
    </row>
    <row r="106" spans="1:38" ht="22.15" customHeight="1">
      <c r="A106"/>
      <c r="B106"/>
      <c r="C106" s="38"/>
      <c r="D106" s="39"/>
      <c r="E106" s="38"/>
      <c r="F106" s="38"/>
      <c r="G106" s="38"/>
      <c r="H106" s="38"/>
      <c r="I106" s="38"/>
      <c r="J106" s="39"/>
      <c r="K106" s="38"/>
      <c r="L106" s="38"/>
      <c r="M106" s="38"/>
      <c r="N106" s="38"/>
      <c r="O106" s="38"/>
      <c r="P106" s="39"/>
      <c r="Q106" s="38"/>
      <c r="R106" s="38"/>
      <c r="S106" s="38"/>
      <c r="T106" s="38"/>
      <c r="U106" s="22"/>
      <c r="V106" s="11"/>
      <c r="W106" s="38"/>
      <c r="X106" s="39"/>
      <c r="Y106" s="38"/>
      <c r="Z106" s="38"/>
      <c r="AA106" s="38"/>
      <c r="AB106" s="38"/>
      <c r="AC106" s="22"/>
      <c r="AD106" s="11"/>
      <c r="AE106" s="38"/>
      <c r="AF106" s="39"/>
      <c r="AG106" s="38"/>
      <c r="AH106" s="38"/>
      <c r="AI106" s="38"/>
      <c r="AJ106" s="38"/>
      <c r="AK106" s="22"/>
      <c r="AL106" s="11"/>
    </row>
    <row r="107" spans="1:38" ht="22.15" customHeight="1">
      <c r="A107"/>
      <c r="B107"/>
      <c r="C107" s="38"/>
      <c r="D107" s="39"/>
      <c r="E107" s="38"/>
      <c r="F107" s="38"/>
      <c r="G107" s="38"/>
      <c r="H107" s="38"/>
      <c r="I107" s="38"/>
      <c r="J107" s="39"/>
      <c r="K107" s="38"/>
      <c r="L107" s="38"/>
      <c r="M107" s="38"/>
      <c r="N107" s="38"/>
      <c r="O107" s="38"/>
      <c r="P107" s="39"/>
      <c r="Q107" s="38"/>
      <c r="R107" s="38"/>
      <c r="S107" s="38"/>
      <c r="T107" s="38"/>
      <c r="U107" s="22"/>
      <c r="V107" s="11"/>
      <c r="W107" s="38"/>
      <c r="X107" s="39"/>
      <c r="Y107" s="38"/>
      <c r="Z107" s="38"/>
      <c r="AA107" s="38"/>
      <c r="AB107" s="38"/>
      <c r="AC107" s="22"/>
      <c r="AD107" s="11"/>
      <c r="AE107" s="38"/>
      <c r="AF107" s="39"/>
      <c r="AG107" s="38"/>
      <c r="AH107" s="38"/>
      <c r="AI107" s="38"/>
      <c r="AJ107" s="38"/>
      <c r="AK107" s="22"/>
      <c r="AL107" s="11"/>
    </row>
    <row r="108" spans="1:38" ht="22.15" customHeight="1">
      <c r="A108"/>
      <c r="B108"/>
      <c r="C108" s="38"/>
      <c r="D108" s="39"/>
      <c r="E108" s="38"/>
      <c r="F108" s="38"/>
      <c r="G108" s="38"/>
      <c r="H108" s="38"/>
      <c r="I108" s="38"/>
      <c r="J108" s="39"/>
      <c r="K108" s="38"/>
      <c r="L108" s="38"/>
      <c r="M108" s="38"/>
      <c r="N108" s="38"/>
      <c r="O108" s="38"/>
      <c r="P108" s="39"/>
      <c r="Q108" s="38"/>
      <c r="R108" s="38"/>
      <c r="S108" s="38"/>
      <c r="T108" s="38"/>
      <c r="U108" s="39"/>
      <c r="W108" s="38"/>
      <c r="X108" s="39"/>
      <c r="Y108" s="38"/>
      <c r="Z108" s="38"/>
      <c r="AA108" s="38"/>
      <c r="AB108" s="38"/>
      <c r="AC108" s="39"/>
      <c r="AE108" s="38"/>
      <c r="AF108" s="39"/>
      <c r="AG108" s="38"/>
      <c r="AH108" s="38"/>
      <c r="AI108" s="38"/>
      <c r="AJ108" s="38"/>
      <c r="AK108" s="39"/>
    </row>
    <row r="109" spans="1:38" ht="22.15" customHeight="1">
      <c r="A109"/>
      <c r="B109"/>
      <c r="C109" s="38"/>
      <c r="D109" s="39"/>
      <c r="E109" s="38"/>
      <c r="F109" s="38"/>
      <c r="G109" s="38"/>
      <c r="H109" s="38"/>
      <c r="I109" s="38"/>
      <c r="J109" s="39"/>
      <c r="K109" s="38"/>
      <c r="L109" s="38"/>
      <c r="M109" s="38"/>
      <c r="N109" s="38"/>
      <c r="O109" s="38"/>
      <c r="P109" s="39"/>
      <c r="Q109" s="38"/>
      <c r="R109" s="38"/>
      <c r="S109" s="38"/>
      <c r="T109" s="38"/>
      <c r="U109" s="39"/>
      <c r="W109" s="38"/>
      <c r="X109" s="39"/>
      <c r="Y109" s="38"/>
      <c r="Z109" s="38"/>
      <c r="AA109" s="38"/>
      <c r="AB109" s="38"/>
      <c r="AC109" s="39"/>
      <c r="AE109" s="38"/>
      <c r="AF109" s="39"/>
      <c r="AG109" s="38"/>
      <c r="AH109" s="38"/>
      <c r="AI109" s="38"/>
      <c r="AJ109" s="38"/>
      <c r="AK109" s="39"/>
    </row>
    <row r="110" spans="1:38" ht="22.15" customHeight="1">
      <c r="A110"/>
      <c r="B110"/>
      <c r="C110" s="38"/>
      <c r="D110" s="39"/>
      <c r="E110" s="38"/>
      <c r="F110" s="38"/>
      <c r="G110" s="38"/>
      <c r="H110" s="38"/>
      <c r="I110" s="38"/>
      <c r="J110" s="39"/>
      <c r="K110" s="38"/>
      <c r="L110" s="38"/>
      <c r="M110" s="38"/>
      <c r="N110" s="38"/>
      <c r="O110" s="38"/>
      <c r="P110" s="39"/>
      <c r="Q110" s="38"/>
      <c r="R110" s="38"/>
      <c r="S110" s="38"/>
      <c r="T110" s="38"/>
      <c r="W110" s="38"/>
      <c r="X110" s="39"/>
      <c r="Y110" s="38"/>
      <c r="Z110" s="38"/>
      <c r="AA110" s="38"/>
      <c r="AB110" s="38"/>
      <c r="AE110" s="38"/>
      <c r="AF110" s="39"/>
      <c r="AG110" s="38"/>
      <c r="AH110" s="38"/>
      <c r="AI110" s="38"/>
      <c r="AJ110" s="38"/>
    </row>
    <row r="111" spans="1:38" ht="22.15" customHeight="1">
      <c r="A111"/>
      <c r="B111"/>
      <c r="C111" s="38"/>
      <c r="D111" s="39"/>
      <c r="E111" s="38"/>
      <c r="F111" s="38"/>
      <c r="I111" s="38"/>
      <c r="J111" s="39"/>
      <c r="K111" s="38"/>
      <c r="L111" s="38"/>
      <c r="O111" s="38"/>
      <c r="P111" s="39"/>
      <c r="Q111" s="38"/>
      <c r="R111" s="38"/>
      <c r="W111" s="38"/>
      <c r="X111" s="39"/>
      <c r="Y111" s="38"/>
      <c r="Z111" s="38"/>
      <c r="AE111" s="38"/>
      <c r="AF111" s="39"/>
      <c r="AG111" s="38"/>
      <c r="AH111" s="38"/>
    </row>
  </sheetData>
  <mergeCells count="5">
    <mergeCell ref="AN3:AR3"/>
    <mergeCell ref="AN4:AR5"/>
    <mergeCell ref="AN7:AR7"/>
    <mergeCell ref="AN8:AR8"/>
    <mergeCell ref="AN9:AR10"/>
  </mergeCells>
  <phoneticPr fontId="9" type="noConversion"/>
  <conditionalFormatting sqref="G3:H95">
    <cfRule type="cellIs" dxfId="44" priority="43" stopIfTrue="1" operator="equal">
      <formula>50</formula>
    </cfRule>
    <cfRule type="cellIs" dxfId="43" priority="44" stopIfTrue="1" operator="lessThan">
      <formula>50</formula>
    </cfRule>
    <cfRule type="cellIs" dxfId="42" priority="45" stopIfTrue="1" operator="greaterThan">
      <formula>50</formula>
    </cfRule>
  </conditionalFormatting>
  <conditionalFormatting sqref="H3:H95">
    <cfRule type="cellIs" dxfId="41" priority="37" stopIfTrue="1" operator="between">
      <formula>15</formula>
      <formula>20</formula>
    </cfRule>
    <cfRule type="cellIs" dxfId="40" priority="38" stopIfTrue="1" operator="lessThan">
      <formula>15</formula>
    </cfRule>
    <cfRule type="cellIs" dxfId="39" priority="39" stopIfTrue="1" operator="greaterThan">
      <formula>20</formula>
    </cfRule>
    <cfRule type="cellIs" dxfId="38" priority="40" stopIfTrue="1" operator="between">
      <formula>15</formula>
      <formula>20</formula>
    </cfRule>
    <cfRule type="cellIs" dxfId="37" priority="41" stopIfTrue="1" operator="lessThan">
      <formula>15</formula>
    </cfRule>
    <cfRule type="cellIs" dxfId="36" priority="42" stopIfTrue="1" operator="greaterThan">
      <formula>20</formula>
    </cfRule>
  </conditionalFormatting>
  <conditionalFormatting sqref="M3:N95">
    <cfRule type="cellIs" dxfId="35" priority="34" stopIfTrue="1" operator="equal">
      <formula>50</formula>
    </cfRule>
    <cfRule type="cellIs" dxfId="34" priority="35" stopIfTrue="1" operator="lessThan">
      <formula>50</formula>
    </cfRule>
    <cfRule type="cellIs" dxfId="33" priority="36" stopIfTrue="1" operator="greaterThan">
      <formula>50</formula>
    </cfRule>
  </conditionalFormatting>
  <conditionalFormatting sqref="N3:N95">
    <cfRule type="cellIs" dxfId="32" priority="28" stopIfTrue="1" operator="between">
      <formula>15</formula>
      <formula>20</formula>
    </cfRule>
    <cfRule type="cellIs" dxfId="31" priority="29" stopIfTrue="1" operator="lessThan">
      <formula>15</formula>
    </cfRule>
    <cfRule type="cellIs" dxfId="30" priority="30" stopIfTrue="1" operator="greaterThan">
      <formula>20</formula>
    </cfRule>
    <cfRule type="cellIs" dxfId="29" priority="31" stopIfTrue="1" operator="between">
      <formula>15</formula>
      <formula>20</formula>
    </cfRule>
    <cfRule type="cellIs" dxfId="28" priority="32" stopIfTrue="1" operator="lessThan">
      <formula>15</formula>
    </cfRule>
    <cfRule type="cellIs" dxfId="27" priority="33" stopIfTrue="1" operator="greaterThan">
      <formula>20</formula>
    </cfRule>
  </conditionalFormatting>
  <conditionalFormatting sqref="S3:T95">
    <cfRule type="cellIs" dxfId="26" priority="25" stopIfTrue="1" operator="equal">
      <formula>50</formula>
    </cfRule>
    <cfRule type="cellIs" dxfId="25" priority="26" stopIfTrue="1" operator="lessThan">
      <formula>50</formula>
    </cfRule>
    <cfRule type="cellIs" dxfId="24" priority="27" stopIfTrue="1" operator="greaterThan">
      <formula>50</formula>
    </cfRule>
  </conditionalFormatting>
  <conditionalFormatting sqref="T3:T95">
    <cfRule type="cellIs" dxfId="23" priority="19" stopIfTrue="1" operator="between">
      <formula>15</formula>
      <formula>20</formula>
    </cfRule>
    <cfRule type="cellIs" dxfId="22" priority="20" stopIfTrue="1" operator="lessThan">
      <formula>15</formula>
    </cfRule>
    <cfRule type="cellIs" dxfId="21" priority="21" stopIfTrue="1" operator="greaterThan">
      <formula>20</formula>
    </cfRule>
    <cfRule type="cellIs" dxfId="20" priority="22" stopIfTrue="1" operator="between">
      <formula>15</formula>
      <formula>20</formula>
    </cfRule>
    <cfRule type="cellIs" dxfId="19" priority="23" stopIfTrue="1" operator="lessThan">
      <formula>15</formula>
    </cfRule>
    <cfRule type="cellIs" dxfId="18" priority="24" stopIfTrue="1" operator="greaterThan">
      <formula>20</formula>
    </cfRule>
  </conditionalFormatting>
  <conditionalFormatting sqref="AA3:AB95">
    <cfRule type="cellIs" dxfId="17" priority="16" stopIfTrue="1" operator="equal">
      <formula>50</formula>
    </cfRule>
    <cfRule type="cellIs" dxfId="16" priority="17" stopIfTrue="1" operator="lessThan">
      <formula>50</formula>
    </cfRule>
    <cfRule type="cellIs" dxfId="15" priority="18" stopIfTrue="1" operator="greaterThan">
      <formula>50</formula>
    </cfRule>
  </conditionalFormatting>
  <conditionalFormatting sqref="AB3:AB95">
    <cfRule type="cellIs" dxfId="14" priority="10" stopIfTrue="1" operator="between">
      <formula>15</formula>
      <formula>20</formula>
    </cfRule>
    <cfRule type="cellIs" dxfId="13" priority="11" stopIfTrue="1" operator="lessThan">
      <formula>15</formula>
    </cfRule>
    <cfRule type="cellIs" dxfId="12" priority="12" stopIfTrue="1" operator="greaterThan">
      <formula>20</formula>
    </cfRule>
    <cfRule type="cellIs" dxfId="11" priority="13" stopIfTrue="1" operator="between">
      <formula>15</formula>
      <formula>20</formula>
    </cfRule>
    <cfRule type="cellIs" dxfId="10" priority="14" stopIfTrue="1" operator="lessThan">
      <formula>15</formula>
    </cfRule>
    <cfRule type="cellIs" dxfId="9" priority="15" stopIfTrue="1" operator="greaterThan">
      <formula>20</formula>
    </cfRule>
  </conditionalFormatting>
  <conditionalFormatting sqref="AI3:AJ95 AI96:AI100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AJ3:AJ95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2025-12-22T12:24:20Z</dcterms:modified>
</cp:coreProperties>
</file>