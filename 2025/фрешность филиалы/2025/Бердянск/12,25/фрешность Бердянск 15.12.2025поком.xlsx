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7" i="1"/>
  <c r="T87"/>
  <c r="G83"/>
  <c r="U86" l="1"/>
  <c r="U85" l="1"/>
  <c r="U84"/>
  <c r="U78"/>
  <c r="U79"/>
  <c r="U80"/>
  <c r="U81"/>
  <c r="U83"/>
  <c r="U77"/>
  <c r="U71"/>
  <c r="U76" l="1"/>
  <c r="U75"/>
  <c r="U74"/>
  <c r="U73"/>
  <c r="U72"/>
  <c r="T95"/>
  <c r="S95"/>
  <c r="T94"/>
  <c r="S94"/>
  <c r="T93"/>
  <c r="S93"/>
  <c r="T92"/>
  <c r="S92"/>
  <c r="T91"/>
  <c r="S91"/>
  <c r="T90"/>
  <c r="S90"/>
  <c r="T89"/>
  <c r="S89"/>
  <c r="T88"/>
  <c r="S88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T1"/>
  <c r="S1"/>
  <c r="G71" l="1"/>
  <c r="M95"/>
  <c r="M93"/>
  <c r="M91"/>
  <c r="M89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M18"/>
  <c r="M16"/>
  <c r="M14"/>
  <c r="M12"/>
  <c r="M10"/>
  <c r="M9"/>
  <c r="M8"/>
  <c r="M7"/>
  <c r="M6"/>
  <c r="M5"/>
  <c r="M4"/>
  <c r="M3"/>
  <c r="M94"/>
  <c r="M92"/>
  <c r="M90"/>
  <c r="M88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H71"/>
  <c r="N95"/>
  <c r="N94"/>
  <c r="N93"/>
  <c r="N92"/>
  <c r="N91"/>
  <c r="N90"/>
  <c r="N89"/>
  <c r="N88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<sst xmlns="http://schemas.openxmlformats.org/spreadsheetml/2006/main" count="327" uniqueCount="91">
  <si>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</si>
  <si>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</si>
  <si>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</si>
  <si>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</si>
  <si>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</si>
  <si>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</si>
  <si>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</si>
  <si>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</si>
  <si>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</si>
  <si>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</si>
  <si>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</si>
  <si>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</si>
  <si>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</si>
  <si>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</si>
  <si>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</si>
  <si>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</si>
  <si>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</si>
  <si>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</si>
  <si>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</si>
  <si>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</si>
  <si>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</si>
  <si>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</si>
  <si>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</si>
  <si>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</si>
  <si>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</si>
  <si>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</si>
  <si>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</si>
  <si>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</si>
  <si>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</si>
  <si>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</si>
  <si>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</si>
  <si>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</si>
  <si>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</si>
  <si>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</si>
  <si>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</si>
  <si>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</si>
  <si>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</si>
  <si>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</si>
  <si>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</si>
  <si>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</si>
  <si>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</si>
  <si>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</si>
  <si>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</si>
  <si>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</si>
  <si>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</si>
  <si>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</si>
  <si>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</si>
  <si>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</si>
  <si>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</si>
  <si>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</si>
  <si>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</si>
  <si>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</si>
  <si>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</si>
  <si>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</si>
  <si>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</si>
  <si>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</si>
  <si>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</si>
  <si>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</si>
  <si>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</si>
  <si>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</si>
  <si>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</si>
  <si>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</si>
  <si>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</si>
  <si>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</si>
  <si>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</si>
  <si>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</si>
  <si>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</si>
  <si>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</si>
  <si>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</si>
  <si>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</si>
  <si>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</si>
  <si>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</si>
  <si>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</si>
  <si>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</si>
  <si>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</si>
  <si>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</si>
  <si>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</si>
  <si>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</si>
  <si>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</si>
  <si>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</si>
  <si>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</si>
  <si>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</si>
  <si>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</si>
  <si>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 xml:space="preserve"> 263  Шпикачки Стародворские, ВЕС.  ПОКОМ, SU001728</t>
  </si>
  <si>
    <t xml:space="preserve"> 283  Сосиски Сочинки, ВЕС, ТМ Стародворье ПОКОМ, SU002725</t>
  </si>
  <si>
    <t xml:space="preserve"> 329  Сардельки Сочинки с сыром Стародворье ТМ, 0,4 кг. ПОКОМ, SU002759</t>
  </si>
  <si>
    <t xml:space="preserve"> 281  Сосиски Молочные для завтрака ТМ Особый рецепт, 0,4кг  ПОКОМ, SU002205</t>
  </si>
  <si>
    <t xml:space="preserve"> 062  Колбаса Кракушка пряная с сальцем, 0.3кг в/у п/к, БАВАРУШКА ПОКОМ, SU002252</t>
  </si>
  <si>
    <t>Продано</t>
  </si>
  <si>
    <t>Списано</t>
  </si>
  <si>
    <t xml:space="preserve"> 016  Сосиски Вязанка Молочные, Вязанка вискофан  ВЕС.ПОКОМ, SU001523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</si>
</sst>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Border="1" applyAlignment="1">
      <alignment vertical="top" wrapText="1" indent="4"/>
    </xf>
    <xf numFmtId="0" fontId="8" fillId="0" borderId="2" xfId="2" applyBorder="1" applyAlignment="1">
      <alignment vertical="top" wrapText="1" indent="6"/>
    </xf>
    <xf numFmtId="0" fontId="8" fillId="0" borderId="2" xfId="2" applyNumberFormat="1" applyFont="1" applyBorder="1" applyAlignment="1">
      <alignment vertical="top" wrapText="1" indent="6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0" fontId="0" fillId="8" borderId="0" xfId="0" applyFill="1" applyAlignment="1">
      <alignment horizontal="center" wrapText="1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8" fillId="9" borderId="2" xfId="2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13" borderId="2" xfId="2" applyNumberFormat="1" applyFont="1" applyFill="1" applyBorder="1" applyAlignment="1">
      <alignment vertical="top" wrapText="1" indent="6"/>
    </xf>
  </cellXfs>
  <cellStyles count="3">
    <cellStyle name="Обычный" xfId="0" builtinId="0"/>
    <cellStyle name="Обычный_Лист1" xfId="2"/>
    <cellStyle name="Процентный" xfId="1" builtinId="5"/>
  </cellStyles>
  <dxfs count="36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11"/>
  <sheetViews>
    <sheetView tabSelected="1" zoomScale="85" zoomScaleNormal="85" workbookViewId="0">
      <selection activeCell="Q88" sqref="Q88"/>
    </sheetView>
  </sheetViews>
  <sheetFormatPr defaultColWidth="8.85546875" defaultRowHeight="15"/>
  <cols>
    <col min="1" max="1" width="4" style="1" customWidth="1"/>
    <col min="2" max="2" width="43.85546875" style="1" customWidth="1"/>
    <col min="3" max="3" width="4.140625" style="20" customWidth="1"/>
    <col min="4" max="4" width="7" style="21" customWidth="1"/>
    <col min="5" max="5" width="11.140625" style="22" customWidth="1"/>
    <col min="6" max="6" width="11" style="22" customWidth="1"/>
    <col min="7" max="7" width="12.7109375" style="20" customWidth="1"/>
    <col min="8" max="8" width="12" style="20" customWidth="1"/>
    <col min="9" max="9" width="4.140625" style="20" customWidth="1"/>
    <col min="10" max="10" width="6.42578125" style="21" customWidth="1"/>
    <col min="11" max="11" width="11.28515625" style="22" customWidth="1"/>
    <col min="12" max="12" width="10.140625" style="22" customWidth="1"/>
    <col min="13" max="13" width="10.5703125" style="20" customWidth="1"/>
    <col min="14" max="14" width="13.7109375" style="20" customWidth="1"/>
    <col min="15" max="15" width="4.140625" style="20" customWidth="1"/>
    <col min="16" max="16" width="6.42578125" style="21" customWidth="1"/>
    <col min="17" max="17" width="11.28515625" style="22" customWidth="1"/>
    <col min="18" max="18" width="10.140625" style="22" customWidth="1"/>
    <col min="19" max="19" width="10.5703125" style="20" customWidth="1"/>
    <col min="20" max="20" width="13.7109375" style="20" customWidth="1"/>
    <col min="21" max="21" width="23.28515625" style="21" customWidth="1"/>
    <col min="22" max="22" width="19.5703125" style="11" customWidth="1"/>
    <col min="23" max="23" width="29.42578125" style="1" customWidth="1"/>
    <col min="24" max="268" width="8.85546875" style="1"/>
    <col min="269" max="269" width="4" style="1" customWidth="1"/>
    <col min="270" max="270" width="59.7109375" style="1" customWidth="1"/>
    <col min="271" max="271" width="4.85546875" style="1" customWidth="1"/>
    <col min="272" max="272" width="9" style="1" customWidth="1"/>
    <col min="273" max="273" width="15.85546875" style="1" customWidth="1"/>
    <col min="274" max="274" width="15.7109375" style="1" customWidth="1"/>
    <col min="275" max="275" width="15.42578125" style="1" customWidth="1"/>
    <col min="276" max="276" width="17.140625" style="1" customWidth="1"/>
    <col min="277" max="277" width="37.85546875" style="1" customWidth="1"/>
    <col min="278" max="278" width="36.5703125" style="1" customWidth="1"/>
    <col min="279" max="279" width="29.42578125" style="1" customWidth="1"/>
    <col min="280" max="524" width="8.85546875" style="1"/>
    <col min="525" max="525" width="4" style="1" customWidth="1"/>
    <col min="526" max="526" width="59.7109375" style="1" customWidth="1"/>
    <col min="527" max="527" width="4.85546875" style="1" customWidth="1"/>
    <col min="528" max="528" width="9" style="1" customWidth="1"/>
    <col min="529" max="529" width="15.85546875" style="1" customWidth="1"/>
    <col min="530" max="530" width="15.7109375" style="1" customWidth="1"/>
    <col min="531" max="531" width="15.42578125" style="1" customWidth="1"/>
    <col min="532" max="532" width="17.140625" style="1" customWidth="1"/>
    <col min="533" max="533" width="37.85546875" style="1" customWidth="1"/>
    <col min="534" max="534" width="36.5703125" style="1" customWidth="1"/>
    <col min="535" max="535" width="29.42578125" style="1" customWidth="1"/>
    <col min="536" max="780" width="8.85546875" style="1"/>
    <col min="781" max="781" width="4" style="1" customWidth="1"/>
    <col min="782" max="782" width="59.7109375" style="1" customWidth="1"/>
    <col min="783" max="783" width="4.85546875" style="1" customWidth="1"/>
    <col min="784" max="784" width="9" style="1" customWidth="1"/>
    <col min="785" max="785" width="15.85546875" style="1" customWidth="1"/>
    <col min="786" max="786" width="15.7109375" style="1" customWidth="1"/>
    <col min="787" max="787" width="15.42578125" style="1" customWidth="1"/>
    <col min="788" max="788" width="17.140625" style="1" customWidth="1"/>
    <col min="789" max="789" width="37.85546875" style="1" customWidth="1"/>
    <col min="790" max="790" width="36.5703125" style="1" customWidth="1"/>
    <col min="791" max="791" width="29.42578125" style="1" customWidth="1"/>
    <col min="792" max="1036" width="8.85546875" style="1"/>
    <col min="1037" max="1037" width="4" style="1" customWidth="1"/>
    <col min="1038" max="1038" width="59.7109375" style="1" customWidth="1"/>
    <col min="1039" max="1039" width="4.85546875" style="1" customWidth="1"/>
    <col min="1040" max="1040" width="9" style="1" customWidth="1"/>
    <col min="1041" max="1041" width="15.85546875" style="1" customWidth="1"/>
    <col min="1042" max="1042" width="15.7109375" style="1" customWidth="1"/>
    <col min="1043" max="1043" width="15.42578125" style="1" customWidth="1"/>
    <col min="1044" max="1044" width="17.140625" style="1" customWidth="1"/>
    <col min="1045" max="1045" width="37.85546875" style="1" customWidth="1"/>
    <col min="1046" max="1046" width="36.5703125" style="1" customWidth="1"/>
    <col min="1047" max="1047" width="29.42578125" style="1" customWidth="1"/>
    <col min="1048" max="1292" width="8.85546875" style="1"/>
    <col min="1293" max="1293" width="4" style="1" customWidth="1"/>
    <col min="1294" max="1294" width="59.7109375" style="1" customWidth="1"/>
    <col min="1295" max="1295" width="4.85546875" style="1" customWidth="1"/>
    <col min="1296" max="1296" width="9" style="1" customWidth="1"/>
    <col min="1297" max="1297" width="15.85546875" style="1" customWidth="1"/>
    <col min="1298" max="1298" width="15.7109375" style="1" customWidth="1"/>
    <col min="1299" max="1299" width="15.42578125" style="1" customWidth="1"/>
    <col min="1300" max="1300" width="17.140625" style="1" customWidth="1"/>
    <col min="1301" max="1301" width="37.85546875" style="1" customWidth="1"/>
    <col min="1302" max="1302" width="36.5703125" style="1" customWidth="1"/>
    <col min="1303" max="1303" width="29.42578125" style="1" customWidth="1"/>
    <col min="1304" max="1548" width="8.85546875" style="1"/>
    <col min="1549" max="1549" width="4" style="1" customWidth="1"/>
    <col min="1550" max="1550" width="59.7109375" style="1" customWidth="1"/>
    <col min="1551" max="1551" width="4.85546875" style="1" customWidth="1"/>
    <col min="1552" max="1552" width="9" style="1" customWidth="1"/>
    <col min="1553" max="1553" width="15.85546875" style="1" customWidth="1"/>
    <col min="1554" max="1554" width="15.7109375" style="1" customWidth="1"/>
    <col min="1555" max="1555" width="15.42578125" style="1" customWidth="1"/>
    <col min="1556" max="1556" width="17.140625" style="1" customWidth="1"/>
    <col min="1557" max="1557" width="37.85546875" style="1" customWidth="1"/>
    <col min="1558" max="1558" width="36.5703125" style="1" customWidth="1"/>
    <col min="1559" max="1559" width="29.42578125" style="1" customWidth="1"/>
    <col min="1560" max="1804" width="8.85546875" style="1"/>
    <col min="1805" max="1805" width="4" style="1" customWidth="1"/>
    <col min="1806" max="1806" width="59.7109375" style="1" customWidth="1"/>
    <col min="1807" max="1807" width="4.85546875" style="1" customWidth="1"/>
    <col min="1808" max="1808" width="9" style="1" customWidth="1"/>
    <col min="1809" max="1809" width="15.85546875" style="1" customWidth="1"/>
    <col min="1810" max="1810" width="15.7109375" style="1" customWidth="1"/>
    <col min="1811" max="1811" width="15.42578125" style="1" customWidth="1"/>
    <col min="1812" max="1812" width="17.140625" style="1" customWidth="1"/>
    <col min="1813" max="1813" width="37.85546875" style="1" customWidth="1"/>
    <col min="1814" max="1814" width="36.5703125" style="1" customWidth="1"/>
    <col min="1815" max="1815" width="29.42578125" style="1" customWidth="1"/>
    <col min="1816" max="2060" width="8.85546875" style="1"/>
    <col min="2061" max="2061" width="4" style="1" customWidth="1"/>
    <col min="2062" max="2062" width="59.7109375" style="1" customWidth="1"/>
    <col min="2063" max="2063" width="4.85546875" style="1" customWidth="1"/>
    <col min="2064" max="2064" width="9" style="1" customWidth="1"/>
    <col min="2065" max="2065" width="15.85546875" style="1" customWidth="1"/>
    <col min="2066" max="2066" width="15.7109375" style="1" customWidth="1"/>
    <col min="2067" max="2067" width="15.42578125" style="1" customWidth="1"/>
    <col min="2068" max="2068" width="17.140625" style="1" customWidth="1"/>
    <col min="2069" max="2069" width="37.85546875" style="1" customWidth="1"/>
    <col min="2070" max="2070" width="36.5703125" style="1" customWidth="1"/>
    <col min="2071" max="2071" width="29.42578125" style="1" customWidth="1"/>
    <col min="2072" max="2316" width="8.85546875" style="1"/>
    <col min="2317" max="2317" width="4" style="1" customWidth="1"/>
    <col min="2318" max="2318" width="59.7109375" style="1" customWidth="1"/>
    <col min="2319" max="2319" width="4.85546875" style="1" customWidth="1"/>
    <col min="2320" max="2320" width="9" style="1" customWidth="1"/>
    <col min="2321" max="2321" width="15.85546875" style="1" customWidth="1"/>
    <col min="2322" max="2322" width="15.7109375" style="1" customWidth="1"/>
    <col min="2323" max="2323" width="15.42578125" style="1" customWidth="1"/>
    <col min="2324" max="2324" width="17.140625" style="1" customWidth="1"/>
    <col min="2325" max="2325" width="37.85546875" style="1" customWidth="1"/>
    <col min="2326" max="2326" width="36.5703125" style="1" customWidth="1"/>
    <col min="2327" max="2327" width="29.42578125" style="1" customWidth="1"/>
    <col min="2328" max="2572" width="8.85546875" style="1"/>
    <col min="2573" max="2573" width="4" style="1" customWidth="1"/>
    <col min="2574" max="2574" width="59.7109375" style="1" customWidth="1"/>
    <col min="2575" max="2575" width="4.85546875" style="1" customWidth="1"/>
    <col min="2576" max="2576" width="9" style="1" customWidth="1"/>
    <col min="2577" max="2577" width="15.85546875" style="1" customWidth="1"/>
    <col min="2578" max="2578" width="15.7109375" style="1" customWidth="1"/>
    <col min="2579" max="2579" width="15.42578125" style="1" customWidth="1"/>
    <col min="2580" max="2580" width="17.140625" style="1" customWidth="1"/>
    <col min="2581" max="2581" width="37.85546875" style="1" customWidth="1"/>
    <col min="2582" max="2582" width="36.5703125" style="1" customWidth="1"/>
    <col min="2583" max="2583" width="29.42578125" style="1" customWidth="1"/>
    <col min="2584" max="2828" width="8.85546875" style="1"/>
    <col min="2829" max="2829" width="4" style="1" customWidth="1"/>
    <col min="2830" max="2830" width="59.7109375" style="1" customWidth="1"/>
    <col min="2831" max="2831" width="4.85546875" style="1" customWidth="1"/>
    <col min="2832" max="2832" width="9" style="1" customWidth="1"/>
    <col min="2833" max="2833" width="15.85546875" style="1" customWidth="1"/>
    <col min="2834" max="2834" width="15.7109375" style="1" customWidth="1"/>
    <col min="2835" max="2835" width="15.42578125" style="1" customWidth="1"/>
    <col min="2836" max="2836" width="17.140625" style="1" customWidth="1"/>
    <col min="2837" max="2837" width="37.85546875" style="1" customWidth="1"/>
    <col min="2838" max="2838" width="36.5703125" style="1" customWidth="1"/>
    <col min="2839" max="2839" width="29.42578125" style="1" customWidth="1"/>
    <col min="2840" max="3084" width="8.85546875" style="1"/>
    <col min="3085" max="3085" width="4" style="1" customWidth="1"/>
    <col min="3086" max="3086" width="59.7109375" style="1" customWidth="1"/>
    <col min="3087" max="3087" width="4.85546875" style="1" customWidth="1"/>
    <col min="3088" max="3088" width="9" style="1" customWidth="1"/>
    <col min="3089" max="3089" width="15.85546875" style="1" customWidth="1"/>
    <col min="3090" max="3090" width="15.7109375" style="1" customWidth="1"/>
    <col min="3091" max="3091" width="15.42578125" style="1" customWidth="1"/>
    <col min="3092" max="3092" width="17.140625" style="1" customWidth="1"/>
    <col min="3093" max="3093" width="37.85546875" style="1" customWidth="1"/>
    <col min="3094" max="3094" width="36.5703125" style="1" customWidth="1"/>
    <col min="3095" max="3095" width="29.42578125" style="1" customWidth="1"/>
    <col min="3096" max="3340" width="8.85546875" style="1"/>
    <col min="3341" max="3341" width="4" style="1" customWidth="1"/>
    <col min="3342" max="3342" width="59.7109375" style="1" customWidth="1"/>
    <col min="3343" max="3343" width="4.85546875" style="1" customWidth="1"/>
    <col min="3344" max="3344" width="9" style="1" customWidth="1"/>
    <col min="3345" max="3345" width="15.85546875" style="1" customWidth="1"/>
    <col min="3346" max="3346" width="15.7109375" style="1" customWidth="1"/>
    <col min="3347" max="3347" width="15.42578125" style="1" customWidth="1"/>
    <col min="3348" max="3348" width="17.140625" style="1" customWidth="1"/>
    <col min="3349" max="3349" width="37.85546875" style="1" customWidth="1"/>
    <col min="3350" max="3350" width="36.5703125" style="1" customWidth="1"/>
    <col min="3351" max="3351" width="29.42578125" style="1" customWidth="1"/>
    <col min="3352" max="3596" width="8.85546875" style="1"/>
    <col min="3597" max="3597" width="4" style="1" customWidth="1"/>
    <col min="3598" max="3598" width="59.7109375" style="1" customWidth="1"/>
    <col min="3599" max="3599" width="4.85546875" style="1" customWidth="1"/>
    <col min="3600" max="3600" width="9" style="1" customWidth="1"/>
    <col min="3601" max="3601" width="15.85546875" style="1" customWidth="1"/>
    <col min="3602" max="3602" width="15.7109375" style="1" customWidth="1"/>
    <col min="3603" max="3603" width="15.42578125" style="1" customWidth="1"/>
    <col min="3604" max="3604" width="17.140625" style="1" customWidth="1"/>
    <col min="3605" max="3605" width="37.85546875" style="1" customWidth="1"/>
    <col min="3606" max="3606" width="36.5703125" style="1" customWidth="1"/>
    <col min="3607" max="3607" width="29.42578125" style="1" customWidth="1"/>
    <col min="3608" max="3852" width="8.85546875" style="1"/>
    <col min="3853" max="3853" width="4" style="1" customWidth="1"/>
    <col min="3854" max="3854" width="59.7109375" style="1" customWidth="1"/>
    <col min="3855" max="3855" width="4.85546875" style="1" customWidth="1"/>
    <col min="3856" max="3856" width="9" style="1" customWidth="1"/>
    <col min="3857" max="3857" width="15.85546875" style="1" customWidth="1"/>
    <col min="3858" max="3858" width="15.7109375" style="1" customWidth="1"/>
    <col min="3859" max="3859" width="15.42578125" style="1" customWidth="1"/>
    <col min="3860" max="3860" width="17.140625" style="1" customWidth="1"/>
    <col min="3861" max="3861" width="37.85546875" style="1" customWidth="1"/>
    <col min="3862" max="3862" width="36.5703125" style="1" customWidth="1"/>
    <col min="3863" max="3863" width="29.42578125" style="1" customWidth="1"/>
    <col min="3864" max="4108" width="8.85546875" style="1"/>
    <col min="4109" max="4109" width="4" style="1" customWidth="1"/>
    <col min="4110" max="4110" width="59.7109375" style="1" customWidth="1"/>
    <col min="4111" max="4111" width="4.85546875" style="1" customWidth="1"/>
    <col min="4112" max="4112" width="9" style="1" customWidth="1"/>
    <col min="4113" max="4113" width="15.85546875" style="1" customWidth="1"/>
    <col min="4114" max="4114" width="15.7109375" style="1" customWidth="1"/>
    <col min="4115" max="4115" width="15.42578125" style="1" customWidth="1"/>
    <col min="4116" max="4116" width="17.140625" style="1" customWidth="1"/>
    <col min="4117" max="4117" width="37.85546875" style="1" customWidth="1"/>
    <col min="4118" max="4118" width="36.5703125" style="1" customWidth="1"/>
    <col min="4119" max="4119" width="29.42578125" style="1" customWidth="1"/>
    <col min="4120" max="4364" width="8.85546875" style="1"/>
    <col min="4365" max="4365" width="4" style="1" customWidth="1"/>
    <col min="4366" max="4366" width="59.7109375" style="1" customWidth="1"/>
    <col min="4367" max="4367" width="4.85546875" style="1" customWidth="1"/>
    <col min="4368" max="4368" width="9" style="1" customWidth="1"/>
    <col min="4369" max="4369" width="15.85546875" style="1" customWidth="1"/>
    <col min="4370" max="4370" width="15.7109375" style="1" customWidth="1"/>
    <col min="4371" max="4371" width="15.42578125" style="1" customWidth="1"/>
    <col min="4372" max="4372" width="17.140625" style="1" customWidth="1"/>
    <col min="4373" max="4373" width="37.85546875" style="1" customWidth="1"/>
    <col min="4374" max="4374" width="36.5703125" style="1" customWidth="1"/>
    <col min="4375" max="4375" width="29.42578125" style="1" customWidth="1"/>
    <col min="4376" max="4620" width="8.85546875" style="1"/>
    <col min="4621" max="4621" width="4" style="1" customWidth="1"/>
    <col min="4622" max="4622" width="59.7109375" style="1" customWidth="1"/>
    <col min="4623" max="4623" width="4.85546875" style="1" customWidth="1"/>
    <col min="4624" max="4624" width="9" style="1" customWidth="1"/>
    <col min="4625" max="4625" width="15.85546875" style="1" customWidth="1"/>
    <col min="4626" max="4626" width="15.7109375" style="1" customWidth="1"/>
    <col min="4627" max="4627" width="15.42578125" style="1" customWidth="1"/>
    <col min="4628" max="4628" width="17.140625" style="1" customWidth="1"/>
    <col min="4629" max="4629" width="37.85546875" style="1" customWidth="1"/>
    <col min="4630" max="4630" width="36.5703125" style="1" customWidth="1"/>
    <col min="4631" max="4631" width="29.42578125" style="1" customWidth="1"/>
    <col min="4632" max="4876" width="8.85546875" style="1"/>
    <col min="4877" max="4877" width="4" style="1" customWidth="1"/>
    <col min="4878" max="4878" width="59.7109375" style="1" customWidth="1"/>
    <col min="4879" max="4879" width="4.85546875" style="1" customWidth="1"/>
    <col min="4880" max="4880" width="9" style="1" customWidth="1"/>
    <col min="4881" max="4881" width="15.85546875" style="1" customWidth="1"/>
    <col min="4882" max="4882" width="15.7109375" style="1" customWidth="1"/>
    <col min="4883" max="4883" width="15.42578125" style="1" customWidth="1"/>
    <col min="4884" max="4884" width="17.140625" style="1" customWidth="1"/>
    <col min="4885" max="4885" width="37.85546875" style="1" customWidth="1"/>
    <col min="4886" max="4886" width="36.5703125" style="1" customWidth="1"/>
    <col min="4887" max="4887" width="29.42578125" style="1" customWidth="1"/>
    <col min="4888" max="5132" width="8.85546875" style="1"/>
    <col min="5133" max="5133" width="4" style="1" customWidth="1"/>
    <col min="5134" max="5134" width="59.7109375" style="1" customWidth="1"/>
    <col min="5135" max="5135" width="4.85546875" style="1" customWidth="1"/>
    <col min="5136" max="5136" width="9" style="1" customWidth="1"/>
    <col min="5137" max="5137" width="15.85546875" style="1" customWidth="1"/>
    <col min="5138" max="5138" width="15.7109375" style="1" customWidth="1"/>
    <col min="5139" max="5139" width="15.42578125" style="1" customWidth="1"/>
    <col min="5140" max="5140" width="17.140625" style="1" customWidth="1"/>
    <col min="5141" max="5141" width="37.85546875" style="1" customWidth="1"/>
    <col min="5142" max="5142" width="36.5703125" style="1" customWidth="1"/>
    <col min="5143" max="5143" width="29.42578125" style="1" customWidth="1"/>
    <col min="5144" max="5388" width="8.85546875" style="1"/>
    <col min="5389" max="5389" width="4" style="1" customWidth="1"/>
    <col min="5390" max="5390" width="59.7109375" style="1" customWidth="1"/>
    <col min="5391" max="5391" width="4.85546875" style="1" customWidth="1"/>
    <col min="5392" max="5392" width="9" style="1" customWidth="1"/>
    <col min="5393" max="5393" width="15.85546875" style="1" customWidth="1"/>
    <col min="5394" max="5394" width="15.7109375" style="1" customWidth="1"/>
    <col min="5395" max="5395" width="15.42578125" style="1" customWidth="1"/>
    <col min="5396" max="5396" width="17.140625" style="1" customWidth="1"/>
    <col min="5397" max="5397" width="37.85546875" style="1" customWidth="1"/>
    <col min="5398" max="5398" width="36.5703125" style="1" customWidth="1"/>
    <col min="5399" max="5399" width="29.42578125" style="1" customWidth="1"/>
    <col min="5400" max="5644" width="8.85546875" style="1"/>
    <col min="5645" max="5645" width="4" style="1" customWidth="1"/>
    <col min="5646" max="5646" width="59.7109375" style="1" customWidth="1"/>
    <col min="5647" max="5647" width="4.85546875" style="1" customWidth="1"/>
    <col min="5648" max="5648" width="9" style="1" customWidth="1"/>
    <col min="5649" max="5649" width="15.85546875" style="1" customWidth="1"/>
    <col min="5650" max="5650" width="15.7109375" style="1" customWidth="1"/>
    <col min="5651" max="5651" width="15.42578125" style="1" customWidth="1"/>
    <col min="5652" max="5652" width="17.140625" style="1" customWidth="1"/>
    <col min="5653" max="5653" width="37.85546875" style="1" customWidth="1"/>
    <col min="5654" max="5654" width="36.5703125" style="1" customWidth="1"/>
    <col min="5655" max="5655" width="29.42578125" style="1" customWidth="1"/>
    <col min="5656" max="5900" width="8.85546875" style="1"/>
    <col min="5901" max="5901" width="4" style="1" customWidth="1"/>
    <col min="5902" max="5902" width="59.7109375" style="1" customWidth="1"/>
    <col min="5903" max="5903" width="4.85546875" style="1" customWidth="1"/>
    <col min="5904" max="5904" width="9" style="1" customWidth="1"/>
    <col min="5905" max="5905" width="15.85546875" style="1" customWidth="1"/>
    <col min="5906" max="5906" width="15.7109375" style="1" customWidth="1"/>
    <col min="5907" max="5907" width="15.42578125" style="1" customWidth="1"/>
    <col min="5908" max="5908" width="17.140625" style="1" customWidth="1"/>
    <col min="5909" max="5909" width="37.85546875" style="1" customWidth="1"/>
    <col min="5910" max="5910" width="36.5703125" style="1" customWidth="1"/>
    <col min="5911" max="5911" width="29.42578125" style="1" customWidth="1"/>
    <col min="5912" max="6156" width="8.85546875" style="1"/>
    <col min="6157" max="6157" width="4" style="1" customWidth="1"/>
    <col min="6158" max="6158" width="59.7109375" style="1" customWidth="1"/>
    <col min="6159" max="6159" width="4.85546875" style="1" customWidth="1"/>
    <col min="6160" max="6160" width="9" style="1" customWidth="1"/>
    <col min="6161" max="6161" width="15.85546875" style="1" customWidth="1"/>
    <col min="6162" max="6162" width="15.7109375" style="1" customWidth="1"/>
    <col min="6163" max="6163" width="15.42578125" style="1" customWidth="1"/>
    <col min="6164" max="6164" width="17.140625" style="1" customWidth="1"/>
    <col min="6165" max="6165" width="37.85546875" style="1" customWidth="1"/>
    <col min="6166" max="6166" width="36.5703125" style="1" customWidth="1"/>
    <col min="6167" max="6167" width="29.42578125" style="1" customWidth="1"/>
    <col min="6168" max="6412" width="8.85546875" style="1"/>
    <col min="6413" max="6413" width="4" style="1" customWidth="1"/>
    <col min="6414" max="6414" width="59.7109375" style="1" customWidth="1"/>
    <col min="6415" max="6415" width="4.85546875" style="1" customWidth="1"/>
    <col min="6416" max="6416" width="9" style="1" customWidth="1"/>
    <col min="6417" max="6417" width="15.85546875" style="1" customWidth="1"/>
    <col min="6418" max="6418" width="15.7109375" style="1" customWidth="1"/>
    <col min="6419" max="6419" width="15.42578125" style="1" customWidth="1"/>
    <col min="6420" max="6420" width="17.140625" style="1" customWidth="1"/>
    <col min="6421" max="6421" width="37.85546875" style="1" customWidth="1"/>
    <col min="6422" max="6422" width="36.5703125" style="1" customWidth="1"/>
    <col min="6423" max="6423" width="29.42578125" style="1" customWidth="1"/>
    <col min="6424" max="6668" width="8.85546875" style="1"/>
    <col min="6669" max="6669" width="4" style="1" customWidth="1"/>
    <col min="6670" max="6670" width="59.7109375" style="1" customWidth="1"/>
    <col min="6671" max="6671" width="4.85546875" style="1" customWidth="1"/>
    <col min="6672" max="6672" width="9" style="1" customWidth="1"/>
    <col min="6673" max="6673" width="15.85546875" style="1" customWidth="1"/>
    <col min="6674" max="6674" width="15.7109375" style="1" customWidth="1"/>
    <col min="6675" max="6675" width="15.42578125" style="1" customWidth="1"/>
    <col min="6676" max="6676" width="17.140625" style="1" customWidth="1"/>
    <col min="6677" max="6677" width="37.85546875" style="1" customWidth="1"/>
    <col min="6678" max="6678" width="36.5703125" style="1" customWidth="1"/>
    <col min="6679" max="6679" width="29.42578125" style="1" customWidth="1"/>
    <col min="6680" max="6924" width="8.85546875" style="1"/>
    <col min="6925" max="6925" width="4" style="1" customWidth="1"/>
    <col min="6926" max="6926" width="59.7109375" style="1" customWidth="1"/>
    <col min="6927" max="6927" width="4.85546875" style="1" customWidth="1"/>
    <col min="6928" max="6928" width="9" style="1" customWidth="1"/>
    <col min="6929" max="6929" width="15.85546875" style="1" customWidth="1"/>
    <col min="6930" max="6930" width="15.7109375" style="1" customWidth="1"/>
    <col min="6931" max="6931" width="15.42578125" style="1" customWidth="1"/>
    <col min="6932" max="6932" width="17.140625" style="1" customWidth="1"/>
    <col min="6933" max="6933" width="37.85546875" style="1" customWidth="1"/>
    <col min="6934" max="6934" width="36.5703125" style="1" customWidth="1"/>
    <col min="6935" max="6935" width="29.42578125" style="1" customWidth="1"/>
    <col min="6936" max="7180" width="8.85546875" style="1"/>
    <col min="7181" max="7181" width="4" style="1" customWidth="1"/>
    <col min="7182" max="7182" width="59.7109375" style="1" customWidth="1"/>
    <col min="7183" max="7183" width="4.85546875" style="1" customWidth="1"/>
    <col min="7184" max="7184" width="9" style="1" customWidth="1"/>
    <col min="7185" max="7185" width="15.85546875" style="1" customWidth="1"/>
    <col min="7186" max="7186" width="15.7109375" style="1" customWidth="1"/>
    <col min="7187" max="7187" width="15.42578125" style="1" customWidth="1"/>
    <col min="7188" max="7188" width="17.140625" style="1" customWidth="1"/>
    <col min="7189" max="7189" width="37.85546875" style="1" customWidth="1"/>
    <col min="7190" max="7190" width="36.5703125" style="1" customWidth="1"/>
    <col min="7191" max="7191" width="29.42578125" style="1" customWidth="1"/>
    <col min="7192" max="7436" width="8.85546875" style="1"/>
    <col min="7437" max="7437" width="4" style="1" customWidth="1"/>
    <col min="7438" max="7438" width="59.7109375" style="1" customWidth="1"/>
    <col min="7439" max="7439" width="4.85546875" style="1" customWidth="1"/>
    <col min="7440" max="7440" width="9" style="1" customWidth="1"/>
    <col min="7441" max="7441" width="15.85546875" style="1" customWidth="1"/>
    <col min="7442" max="7442" width="15.7109375" style="1" customWidth="1"/>
    <col min="7443" max="7443" width="15.42578125" style="1" customWidth="1"/>
    <col min="7444" max="7444" width="17.140625" style="1" customWidth="1"/>
    <col min="7445" max="7445" width="37.85546875" style="1" customWidth="1"/>
    <col min="7446" max="7446" width="36.5703125" style="1" customWidth="1"/>
    <col min="7447" max="7447" width="29.42578125" style="1" customWidth="1"/>
    <col min="7448" max="7692" width="8.85546875" style="1"/>
    <col min="7693" max="7693" width="4" style="1" customWidth="1"/>
    <col min="7694" max="7694" width="59.7109375" style="1" customWidth="1"/>
    <col min="7695" max="7695" width="4.85546875" style="1" customWidth="1"/>
    <col min="7696" max="7696" width="9" style="1" customWidth="1"/>
    <col min="7697" max="7697" width="15.85546875" style="1" customWidth="1"/>
    <col min="7698" max="7698" width="15.7109375" style="1" customWidth="1"/>
    <col min="7699" max="7699" width="15.42578125" style="1" customWidth="1"/>
    <col min="7700" max="7700" width="17.140625" style="1" customWidth="1"/>
    <col min="7701" max="7701" width="37.85546875" style="1" customWidth="1"/>
    <col min="7702" max="7702" width="36.5703125" style="1" customWidth="1"/>
    <col min="7703" max="7703" width="29.42578125" style="1" customWidth="1"/>
    <col min="7704" max="7948" width="8.85546875" style="1"/>
    <col min="7949" max="7949" width="4" style="1" customWidth="1"/>
    <col min="7950" max="7950" width="59.7109375" style="1" customWidth="1"/>
    <col min="7951" max="7951" width="4.85546875" style="1" customWidth="1"/>
    <col min="7952" max="7952" width="9" style="1" customWidth="1"/>
    <col min="7953" max="7953" width="15.85546875" style="1" customWidth="1"/>
    <col min="7954" max="7954" width="15.7109375" style="1" customWidth="1"/>
    <col min="7955" max="7955" width="15.42578125" style="1" customWidth="1"/>
    <col min="7956" max="7956" width="17.140625" style="1" customWidth="1"/>
    <col min="7957" max="7957" width="37.85546875" style="1" customWidth="1"/>
    <col min="7958" max="7958" width="36.5703125" style="1" customWidth="1"/>
    <col min="7959" max="7959" width="29.42578125" style="1" customWidth="1"/>
    <col min="7960" max="8204" width="8.85546875" style="1"/>
    <col min="8205" max="8205" width="4" style="1" customWidth="1"/>
    <col min="8206" max="8206" width="59.7109375" style="1" customWidth="1"/>
    <col min="8207" max="8207" width="4.85546875" style="1" customWidth="1"/>
    <col min="8208" max="8208" width="9" style="1" customWidth="1"/>
    <col min="8209" max="8209" width="15.85546875" style="1" customWidth="1"/>
    <col min="8210" max="8210" width="15.7109375" style="1" customWidth="1"/>
    <col min="8211" max="8211" width="15.42578125" style="1" customWidth="1"/>
    <col min="8212" max="8212" width="17.140625" style="1" customWidth="1"/>
    <col min="8213" max="8213" width="37.85546875" style="1" customWidth="1"/>
    <col min="8214" max="8214" width="36.5703125" style="1" customWidth="1"/>
    <col min="8215" max="8215" width="29.42578125" style="1" customWidth="1"/>
    <col min="8216" max="8460" width="8.85546875" style="1"/>
    <col min="8461" max="8461" width="4" style="1" customWidth="1"/>
    <col min="8462" max="8462" width="59.7109375" style="1" customWidth="1"/>
    <col min="8463" max="8463" width="4.85546875" style="1" customWidth="1"/>
    <col min="8464" max="8464" width="9" style="1" customWidth="1"/>
    <col min="8465" max="8465" width="15.85546875" style="1" customWidth="1"/>
    <col min="8466" max="8466" width="15.7109375" style="1" customWidth="1"/>
    <col min="8467" max="8467" width="15.42578125" style="1" customWidth="1"/>
    <col min="8468" max="8468" width="17.140625" style="1" customWidth="1"/>
    <col min="8469" max="8469" width="37.85546875" style="1" customWidth="1"/>
    <col min="8470" max="8470" width="36.5703125" style="1" customWidth="1"/>
    <col min="8471" max="8471" width="29.42578125" style="1" customWidth="1"/>
    <col min="8472" max="8716" width="8.85546875" style="1"/>
    <col min="8717" max="8717" width="4" style="1" customWidth="1"/>
    <col min="8718" max="8718" width="59.7109375" style="1" customWidth="1"/>
    <col min="8719" max="8719" width="4.85546875" style="1" customWidth="1"/>
    <col min="8720" max="8720" width="9" style="1" customWidth="1"/>
    <col min="8721" max="8721" width="15.85546875" style="1" customWidth="1"/>
    <col min="8722" max="8722" width="15.7109375" style="1" customWidth="1"/>
    <col min="8723" max="8723" width="15.42578125" style="1" customWidth="1"/>
    <col min="8724" max="8724" width="17.140625" style="1" customWidth="1"/>
    <col min="8725" max="8725" width="37.85546875" style="1" customWidth="1"/>
    <col min="8726" max="8726" width="36.5703125" style="1" customWidth="1"/>
    <col min="8727" max="8727" width="29.42578125" style="1" customWidth="1"/>
    <col min="8728" max="8972" width="8.85546875" style="1"/>
    <col min="8973" max="8973" width="4" style="1" customWidth="1"/>
    <col min="8974" max="8974" width="59.7109375" style="1" customWidth="1"/>
    <col min="8975" max="8975" width="4.85546875" style="1" customWidth="1"/>
    <col min="8976" max="8976" width="9" style="1" customWidth="1"/>
    <col min="8977" max="8977" width="15.85546875" style="1" customWidth="1"/>
    <col min="8978" max="8978" width="15.7109375" style="1" customWidth="1"/>
    <col min="8979" max="8979" width="15.42578125" style="1" customWidth="1"/>
    <col min="8980" max="8980" width="17.140625" style="1" customWidth="1"/>
    <col min="8981" max="8981" width="37.85546875" style="1" customWidth="1"/>
    <col min="8982" max="8982" width="36.5703125" style="1" customWidth="1"/>
    <col min="8983" max="8983" width="29.42578125" style="1" customWidth="1"/>
    <col min="8984" max="9228" width="8.85546875" style="1"/>
    <col min="9229" max="9229" width="4" style="1" customWidth="1"/>
    <col min="9230" max="9230" width="59.7109375" style="1" customWidth="1"/>
    <col min="9231" max="9231" width="4.85546875" style="1" customWidth="1"/>
    <col min="9232" max="9232" width="9" style="1" customWidth="1"/>
    <col min="9233" max="9233" width="15.85546875" style="1" customWidth="1"/>
    <col min="9234" max="9234" width="15.7109375" style="1" customWidth="1"/>
    <col min="9235" max="9235" width="15.42578125" style="1" customWidth="1"/>
    <col min="9236" max="9236" width="17.140625" style="1" customWidth="1"/>
    <col min="9237" max="9237" width="37.85546875" style="1" customWidth="1"/>
    <col min="9238" max="9238" width="36.5703125" style="1" customWidth="1"/>
    <col min="9239" max="9239" width="29.42578125" style="1" customWidth="1"/>
    <col min="9240" max="9484" width="8.85546875" style="1"/>
    <col min="9485" max="9485" width="4" style="1" customWidth="1"/>
    <col min="9486" max="9486" width="59.7109375" style="1" customWidth="1"/>
    <col min="9487" max="9487" width="4.85546875" style="1" customWidth="1"/>
    <col min="9488" max="9488" width="9" style="1" customWidth="1"/>
    <col min="9489" max="9489" width="15.85546875" style="1" customWidth="1"/>
    <col min="9490" max="9490" width="15.7109375" style="1" customWidth="1"/>
    <col min="9491" max="9491" width="15.42578125" style="1" customWidth="1"/>
    <col min="9492" max="9492" width="17.140625" style="1" customWidth="1"/>
    <col min="9493" max="9493" width="37.85546875" style="1" customWidth="1"/>
    <col min="9494" max="9494" width="36.5703125" style="1" customWidth="1"/>
    <col min="9495" max="9495" width="29.42578125" style="1" customWidth="1"/>
    <col min="9496" max="9740" width="8.85546875" style="1"/>
    <col min="9741" max="9741" width="4" style="1" customWidth="1"/>
    <col min="9742" max="9742" width="59.7109375" style="1" customWidth="1"/>
    <col min="9743" max="9743" width="4.85546875" style="1" customWidth="1"/>
    <col min="9744" max="9744" width="9" style="1" customWidth="1"/>
    <col min="9745" max="9745" width="15.85546875" style="1" customWidth="1"/>
    <col min="9746" max="9746" width="15.7109375" style="1" customWidth="1"/>
    <col min="9747" max="9747" width="15.42578125" style="1" customWidth="1"/>
    <col min="9748" max="9748" width="17.140625" style="1" customWidth="1"/>
    <col min="9749" max="9749" width="37.85546875" style="1" customWidth="1"/>
    <col min="9750" max="9750" width="36.5703125" style="1" customWidth="1"/>
    <col min="9751" max="9751" width="29.42578125" style="1" customWidth="1"/>
    <col min="9752" max="9996" width="8.85546875" style="1"/>
    <col min="9997" max="9997" width="4" style="1" customWidth="1"/>
    <col min="9998" max="9998" width="59.7109375" style="1" customWidth="1"/>
    <col min="9999" max="9999" width="4.85546875" style="1" customWidth="1"/>
    <col min="10000" max="10000" width="9" style="1" customWidth="1"/>
    <col min="10001" max="10001" width="15.85546875" style="1" customWidth="1"/>
    <col min="10002" max="10002" width="15.7109375" style="1" customWidth="1"/>
    <col min="10003" max="10003" width="15.42578125" style="1" customWidth="1"/>
    <col min="10004" max="10004" width="17.140625" style="1" customWidth="1"/>
    <col min="10005" max="10005" width="37.85546875" style="1" customWidth="1"/>
    <col min="10006" max="10006" width="36.5703125" style="1" customWidth="1"/>
    <col min="10007" max="10007" width="29.42578125" style="1" customWidth="1"/>
    <col min="10008" max="10252" width="8.85546875" style="1"/>
    <col min="10253" max="10253" width="4" style="1" customWidth="1"/>
    <col min="10254" max="10254" width="59.7109375" style="1" customWidth="1"/>
    <col min="10255" max="10255" width="4.85546875" style="1" customWidth="1"/>
    <col min="10256" max="10256" width="9" style="1" customWidth="1"/>
    <col min="10257" max="10257" width="15.85546875" style="1" customWidth="1"/>
    <col min="10258" max="10258" width="15.7109375" style="1" customWidth="1"/>
    <col min="10259" max="10259" width="15.42578125" style="1" customWidth="1"/>
    <col min="10260" max="10260" width="17.140625" style="1" customWidth="1"/>
    <col min="10261" max="10261" width="37.85546875" style="1" customWidth="1"/>
    <col min="10262" max="10262" width="36.5703125" style="1" customWidth="1"/>
    <col min="10263" max="10263" width="29.42578125" style="1" customWidth="1"/>
    <col min="10264" max="10508" width="8.85546875" style="1"/>
    <col min="10509" max="10509" width="4" style="1" customWidth="1"/>
    <col min="10510" max="10510" width="59.7109375" style="1" customWidth="1"/>
    <col min="10511" max="10511" width="4.85546875" style="1" customWidth="1"/>
    <col min="10512" max="10512" width="9" style="1" customWidth="1"/>
    <col min="10513" max="10513" width="15.85546875" style="1" customWidth="1"/>
    <col min="10514" max="10514" width="15.7109375" style="1" customWidth="1"/>
    <col min="10515" max="10515" width="15.42578125" style="1" customWidth="1"/>
    <col min="10516" max="10516" width="17.140625" style="1" customWidth="1"/>
    <col min="10517" max="10517" width="37.85546875" style="1" customWidth="1"/>
    <col min="10518" max="10518" width="36.5703125" style="1" customWidth="1"/>
    <col min="10519" max="10519" width="29.42578125" style="1" customWidth="1"/>
    <col min="10520" max="10764" width="8.85546875" style="1"/>
    <col min="10765" max="10765" width="4" style="1" customWidth="1"/>
    <col min="10766" max="10766" width="59.7109375" style="1" customWidth="1"/>
    <col min="10767" max="10767" width="4.85546875" style="1" customWidth="1"/>
    <col min="10768" max="10768" width="9" style="1" customWidth="1"/>
    <col min="10769" max="10769" width="15.85546875" style="1" customWidth="1"/>
    <col min="10770" max="10770" width="15.7109375" style="1" customWidth="1"/>
    <col min="10771" max="10771" width="15.42578125" style="1" customWidth="1"/>
    <col min="10772" max="10772" width="17.140625" style="1" customWidth="1"/>
    <col min="10773" max="10773" width="37.85546875" style="1" customWidth="1"/>
    <col min="10774" max="10774" width="36.5703125" style="1" customWidth="1"/>
    <col min="10775" max="10775" width="29.42578125" style="1" customWidth="1"/>
    <col min="10776" max="11020" width="8.85546875" style="1"/>
    <col min="11021" max="11021" width="4" style="1" customWidth="1"/>
    <col min="11022" max="11022" width="59.7109375" style="1" customWidth="1"/>
    <col min="11023" max="11023" width="4.85546875" style="1" customWidth="1"/>
    <col min="11024" max="11024" width="9" style="1" customWidth="1"/>
    <col min="11025" max="11025" width="15.85546875" style="1" customWidth="1"/>
    <col min="11026" max="11026" width="15.7109375" style="1" customWidth="1"/>
    <col min="11027" max="11027" width="15.42578125" style="1" customWidth="1"/>
    <col min="11028" max="11028" width="17.140625" style="1" customWidth="1"/>
    <col min="11029" max="11029" width="37.85546875" style="1" customWidth="1"/>
    <col min="11030" max="11030" width="36.5703125" style="1" customWidth="1"/>
    <col min="11031" max="11031" width="29.42578125" style="1" customWidth="1"/>
    <col min="11032" max="11276" width="8.85546875" style="1"/>
    <col min="11277" max="11277" width="4" style="1" customWidth="1"/>
    <col min="11278" max="11278" width="59.7109375" style="1" customWidth="1"/>
    <col min="11279" max="11279" width="4.85546875" style="1" customWidth="1"/>
    <col min="11280" max="11280" width="9" style="1" customWidth="1"/>
    <col min="11281" max="11281" width="15.85546875" style="1" customWidth="1"/>
    <col min="11282" max="11282" width="15.7109375" style="1" customWidth="1"/>
    <col min="11283" max="11283" width="15.42578125" style="1" customWidth="1"/>
    <col min="11284" max="11284" width="17.140625" style="1" customWidth="1"/>
    <col min="11285" max="11285" width="37.85546875" style="1" customWidth="1"/>
    <col min="11286" max="11286" width="36.5703125" style="1" customWidth="1"/>
    <col min="11287" max="11287" width="29.42578125" style="1" customWidth="1"/>
    <col min="11288" max="11532" width="8.85546875" style="1"/>
    <col min="11533" max="11533" width="4" style="1" customWidth="1"/>
    <col min="11534" max="11534" width="59.7109375" style="1" customWidth="1"/>
    <col min="11535" max="11535" width="4.85546875" style="1" customWidth="1"/>
    <col min="11536" max="11536" width="9" style="1" customWidth="1"/>
    <col min="11537" max="11537" width="15.85546875" style="1" customWidth="1"/>
    <col min="11538" max="11538" width="15.7109375" style="1" customWidth="1"/>
    <col min="11539" max="11539" width="15.42578125" style="1" customWidth="1"/>
    <col min="11540" max="11540" width="17.140625" style="1" customWidth="1"/>
    <col min="11541" max="11541" width="37.85546875" style="1" customWidth="1"/>
    <col min="11542" max="11542" width="36.5703125" style="1" customWidth="1"/>
    <col min="11543" max="11543" width="29.42578125" style="1" customWidth="1"/>
    <col min="11544" max="11788" width="8.85546875" style="1"/>
    <col min="11789" max="11789" width="4" style="1" customWidth="1"/>
    <col min="11790" max="11790" width="59.7109375" style="1" customWidth="1"/>
    <col min="11791" max="11791" width="4.85546875" style="1" customWidth="1"/>
    <col min="11792" max="11792" width="9" style="1" customWidth="1"/>
    <col min="11793" max="11793" width="15.85546875" style="1" customWidth="1"/>
    <col min="11794" max="11794" width="15.7109375" style="1" customWidth="1"/>
    <col min="11795" max="11795" width="15.42578125" style="1" customWidth="1"/>
    <col min="11796" max="11796" width="17.140625" style="1" customWidth="1"/>
    <col min="11797" max="11797" width="37.85546875" style="1" customWidth="1"/>
    <col min="11798" max="11798" width="36.5703125" style="1" customWidth="1"/>
    <col min="11799" max="11799" width="29.42578125" style="1" customWidth="1"/>
    <col min="11800" max="12044" width="8.85546875" style="1"/>
    <col min="12045" max="12045" width="4" style="1" customWidth="1"/>
    <col min="12046" max="12046" width="59.7109375" style="1" customWidth="1"/>
    <col min="12047" max="12047" width="4.85546875" style="1" customWidth="1"/>
    <col min="12048" max="12048" width="9" style="1" customWidth="1"/>
    <col min="12049" max="12049" width="15.85546875" style="1" customWidth="1"/>
    <col min="12050" max="12050" width="15.7109375" style="1" customWidth="1"/>
    <col min="12051" max="12051" width="15.42578125" style="1" customWidth="1"/>
    <col min="12052" max="12052" width="17.140625" style="1" customWidth="1"/>
    <col min="12053" max="12053" width="37.85546875" style="1" customWidth="1"/>
    <col min="12054" max="12054" width="36.5703125" style="1" customWidth="1"/>
    <col min="12055" max="12055" width="29.42578125" style="1" customWidth="1"/>
    <col min="12056" max="12300" width="8.85546875" style="1"/>
    <col min="12301" max="12301" width="4" style="1" customWidth="1"/>
    <col min="12302" max="12302" width="59.7109375" style="1" customWidth="1"/>
    <col min="12303" max="12303" width="4.85546875" style="1" customWidth="1"/>
    <col min="12304" max="12304" width="9" style="1" customWidth="1"/>
    <col min="12305" max="12305" width="15.85546875" style="1" customWidth="1"/>
    <col min="12306" max="12306" width="15.7109375" style="1" customWidth="1"/>
    <col min="12307" max="12307" width="15.42578125" style="1" customWidth="1"/>
    <col min="12308" max="12308" width="17.140625" style="1" customWidth="1"/>
    <col min="12309" max="12309" width="37.85546875" style="1" customWidth="1"/>
    <col min="12310" max="12310" width="36.5703125" style="1" customWidth="1"/>
    <col min="12311" max="12311" width="29.42578125" style="1" customWidth="1"/>
    <col min="12312" max="12556" width="8.85546875" style="1"/>
    <col min="12557" max="12557" width="4" style="1" customWidth="1"/>
    <col min="12558" max="12558" width="59.7109375" style="1" customWidth="1"/>
    <col min="12559" max="12559" width="4.85546875" style="1" customWidth="1"/>
    <col min="12560" max="12560" width="9" style="1" customWidth="1"/>
    <col min="12561" max="12561" width="15.85546875" style="1" customWidth="1"/>
    <col min="12562" max="12562" width="15.7109375" style="1" customWidth="1"/>
    <col min="12563" max="12563" width="15.42578125" style="1" customWidth="1"/>
    <col min="12564" max="12564" width="17.140625" style="1" customWidth="1"/>
    <col min="12565" max="12565" width="37.85546875" style="1" customWidth="1"/>
    <col min="12566" max="12566" width="36.5703125" style="1" customWidth="1"/>
    <col min="12567" max="12567" width="29.42578125" style="1" customWidth="1"/>
    <col min="12568" max="12812" width="8.85546875" style="1"/>
    <col min="12813" max="12813" width="4" style="1" customWidth="1"/>
    <col min="12814" max="12814" width="59.7109375" style="1" customWidth="1"/>
    <col min="12815" max="12815" width="4.85546875" style="1" customWidth="1"/>
    <col min="12816" max="12816" width="9" style="1" customWidth="1"/>
    <col min="12817" max="12817" width="15.85546875" style="1" customWidth="1"/>
    <col min="12818" max="12818" width="15.7109375" style="1" customWidth="1"/>
    <col min="12819" max="12819" width="15.42578125" style="1" customWidth="1"/>
    <col min="12820" max="12820" width="17.140625" style="1" customWidth="1"/>
    <col min="12821" max="12821" width="37.85546875" style="1" customWidth="1"/>
    <col min="12822" max="12822" width="36.5703125" style="1" customWidth="1"/>
    <col min="12823" max="12823" width="29.42578125" style="1" customWidth="1"/>
    <col min="12824" max="13068" width="8.85546875" style="1"/>
    <col min="13069" max="13069" width="4" style="1" customWidth="1"/>
    <col min="13070" max="13070" width="59.7109375" style="1" customWidth="1"/>
    <col min="13071" max="13071" width="4.85546875" style="1" customWidth="1"/>
    <col min="13072" max="13072" width="9" style="1" customWidth="1"/>
    <col min="13073" max="13073" width="15.85546875" style="1" customWidth="1"/>
    <col min="13074" max="13074" width="15.7109375" style="1" customWidth="1"/>
    <col min="13075" max="13075" width="15.42578125" style="1" customWidth="1"/>
    <col min="13076" max="13076" width="17.140625" style="1" customWidth="1"/>
    <col min="13077" max="13077" width="37.85546875" style="1" customWidth="1"/>
    <col min="13078" max="13078" width="36.5703125" style="1" customWidth="1"/>
    <col min="13079" max="13079" width="29.42578125" style="1" customWidth="1"/>
    <col min="13080" max="13324" width="8.85546875" style="1"/>
    <col min="13325" max="13325" width="4" style="1" customWidth="1"/>
    <col min="13326" max="13326" width="59.7109375" style="1" customWidth="1"/>
    <col min="13327" max="13327" width="4.85546875" style="1" customWidth="1"/>
    <col min="13328" max="13328" width="9" style="1" customWidth="1"/>
    <col min="13329" max="13329" width="15.85546875" style="1" customWidth="1"/>
    <col min="13330" max="13330" width="15.7109375" style="1" customWidth="1"/>
    <col min="13331" max="13331" width="15.42578125" style="1" customWidth="1"/>
    <col min="13332" max="13332" width="17.140625" style="1" customWidth="1"/>
    <col min="13333" max="13333" width="37.85546875" style="1" customWidth="1"/>
    <col min="13334" max="13334" width="36.5703125" style="1" customWidth="1"/>
    <col min="13335" max="13335" width="29.42578125" style="1" customWidth="1"/>
    <col min="13336" max="13580" width="8.85546875" style="1"/>
    <col min="13581" max="13581" width="4" style="1" customWidth="1"/>
    <col min="13582" max="13582" width="59.7109375" style="1" customWidth="1"/>
    <col min="13583" max="13583" width="4.85546875" style="1" customWidth="1"/>
    <col min="13584" max="13584" width="9" style="1" customWidth="1"/>
    <col min="13585" max="13585" width="15.85546875" style="1" customWidth="1"/>
    <col min="13586" max="13586" width="15.7109375" style="1" customWidth="1"/>
    <col min="13587" max="13587" width="15.42578125" style="1" customWidth="1"/>
    <col min="13588" max="13588" width="17.140625" style="1" customWidth="1"/>
    <col min="13589" max="13589" width="37.85546875" style="1" customWidth="1"/>
    <col min="13590" max="13590" width="36.5703125" style="1" customWidth="1"/>
    <col min="13591" max="13591" width="29.42578125" style="1" customWidth="1"/>
    <col min="13592" max="13836" width="8.85546875" style="1"/>
    <col min="13837" max="13837" width="4" style="1" customWidth="1"/>
    <col min="13838" max="13838" width="59.7109375" style="1" customWidth="1"/>
    <col min="13839" max="13839" width="4.85546875" style="1" customWidth="1"/>
    <col min="13840" max="13840" width="9" style="1" customWidth="1"/>
    <col min="13841" max="13841" width="15.85546875" style="1" customWidth="1"/>
    <col min="13842" max="13842" width="15.7109375" style="1" customWidth="1"/>
    <col min="13843" max="13843" width="15.42578125" style="1" customWidth="1"/>
    <col min="13844" max="13844" width="17.140625" style="1" customWidth="1"/>
    <col min="13845" max="13845" width="37.85546875" style="1" customWidth="1"/>
    <col min="13846" max="13846" width="36.5703125" style="1" customWidth="1"/>
    <col min="13847" max="13847" width="29.42578125" style="1" customWidth="1"/>
    <col min="13848" max="14092" width="8.85546875" style="1"/>
    <col min="14093" max="14093" width="4" style="1" customWidth="1"/>
    <col min="14094" max="14094" width="59.7109375" style="1" customWidth="1"/>
    <col min="14095" max="14095" width="4.85546875" style="1" customWidth="1"/>
    <col min="14096" max="14096" width="9" style="1" customWidth="1"/>
    <col min="14097" max="14097" width="15.85546875" style="1" customWidth="1"/>
    <col min="14098" max="14098" width="15.7109375" style="1" customWidth="1"/>
    <col min="14099" max="14099" width="15.42578125" style="1" customWidth="1"/>
    <col min="14100" max="14100" width="17.140625" style="1" customWidth="1"/>
    <col min="14101" max="14101" width="37.85546875" style="1" customWidth="1"/>
    <col min="14102" max="14102" width="36.5703125" style="1" customWidth="1"/>
    <col min="14103" max="14103" width="29.42578125" style="1" customWidth="1"/>
    <col min="14104" max="14348" width="8.85546875" style="1"/>
    <col min="14349" max="14349" width="4" style="1" customWidth="1"/>
    <col min="14350" max="14350" width="59.7109375" style="1" customWidth="1"/>
    <col min="14351" max="14351" width="4.85546875" style="1" customWidth="1"/>
    <col min="14352" max="14352" width="9" style="1" customWidth="1"/>
    <col min="14353" max="14353" width="15.85546875" style="1" customWidth="1"/>
    <col min="14354" max="14354" width="15.7109375" style="1" customWidth="1"/>
    <col min="14355" max="14355" width="15.42578125" style="1" customWidth="1"/>
    <col min="14356" max="14356" width="17.140625" style="1" customWidth="1"/>
    <col min="14357" max="14357" width="37.85546875" style="1" customWidth="1"/>
    <col min="14358" max="14358" width="36.5703125" style="1" customWidth="1"/>
    <col min="14359" max="14359" width="29.42578125" style="1" customWidth="1"/>
    <col min="14360" max="14604" width="8.85546875" style="1"/>
    <col min="14605" max="14605" width="4" style="1" customWidth="1"/>
    <col min="14606" max="14606" width="59.7109375" style="1" customWidth="1"/>
    <col min="14607" max="14607" width="4.85546875" style="1" customWidth="1"/>
    <col min="14608" max="14608" width="9" style="1" customWidth="1"/>
    <col min="14609" max="14609" width="15.85546875" style="1" customWidth="1"/>
    <col min="14610" max="14610" width="15.7109375" style="1" customWidth="1"/>
    <col min="14611" max="14611" width="15.42578125" style="1" customWidth="1"/>
    <col min="14612" max="14612" width="17.140625" style="1" customWidth="1"/>
    <col min="14613" max="14613" width="37.85546875" style="1" customWidth="1"/>
    <col min="14614" max="14614" width="36.5703125" style="1" customWidth="1"/>
    <col min="14615" max="14615" width="29.42578125" style="1" customWidth="1"/>
    <col min="14616" max="14860" width="8.85546875" style="1"/>
    <col min="14861" max="14861" width="4" style="1" customWidth="1"/>
    <col min="14862" max="14862" width="59.7109375" style="1" customWidth="1"/>
    <col min="14863" max="14863" width="4.85546875" style="1" customWidth="1"/>
    <col min="14864" max="14864" width="9" style="1" customWidth="1"/>
    <col min="14865" max="14865" width="15.85546875" style="1" customWidth="1"/>
    <col min="14866" max="14866" width="15.7109375" style="1" customWidth="1"/>
    <col min="14867" max="14867" width="15.42578125" style="1" customWidth="1"/>
    <col min="14868" max="14868" width="17.140625" style="1" customWidth="1"/>
    <col min="14869" max="14869" width="37.85546875" style="1" customWidth="1"/>
    <col min="14870" max="14870" width="36.5703125" style="1" customWidth="1"/>
    <col min="14871" max="14871" width="29.42578125" style="1" customWidth="1"/>
    <col min="14872" max="15116" width="8.85546875" style="1"/>
    <col min="15117" max="15117" width="4" style="1" customWidth="1"/>
    <col min="15118" max="15118" width="59.7109375" style="1" customWidth="1"/>
    <col min="15119" max="15119" width="4.85546875" style="1" customWidth="1"/>
    <col min="15120" max="15120" width="9" style="1" customWidth="1"/>
    <col min="15121" max="15121" width="15.85546875" style="1" customWidth="1"/>
    <col min="15122" max="15122" width="15.7109375" style="1" customWidth="1"/>
    <col min="15123" max="15123" width="15.42578125" style="1" customWidth="1"/>
    <col min="15124" max="15124" width="17.140625" style="1" customWidth="1"/>
    <col min="15125" max="15125" width="37.85546875" style="1" customWidth="1"/>
    <col min="15126" max="15126" width="36.5703125" style="1" customWidth="1"/>
    <col min="15127" max="15127" width="29.42578125" style="1" customWidth="1"/>
    <col min="15128" max="15372" width="8.85546875" style="1"/>
    <col min="15373" max="15373" width="4" style="1" customWidth="1"/>
    <col min="15374" max="15374" width="59.7109375" style="1" customWidth="1"/>
    <col min="15375" max="15375" width="4.85546875" style="1" customWidth="1"/>
    <col min="15376" max="15376" width="9" style="1" customWidth="1"/>
    <col min="15377" max="15377" width="15.85546875" style="1" customWidth="1"/>
    <col min="15378" max="15378" width="15.7109375" style="1" customWidth="1"/>
    <col min="15379" max="15379" width="15.42578125" style="1" customWidth="1"/>
    <col min="15380" max="15380" width="17.140625" style="1" customWidth="1"/>
    <col min="15381" max="15381" width="37.85546875" style="1" customWidth="1"/>
    <col min="15382" max="15382" width="36.5703125" style="1" customWidth="1"/>
    <col min="15383" max="15383" width="29.42578125" style="1" customWidth="1"/>
    <col min="15384" max="15628" width="8.85546875" style="1"/>
    <col min="15629" max="15629" width="4" style="1" customWidth="1"/>
    <col min="15630" max="15630" width="59.7109375" style="1" customWidth="1"/>
    <col min="15631" max="15631" width="4.85546875" style="1" customWidth="1"/>
    <col min="15632" max="15632" width="9" style="1" customWidth="1"/>
    <col min="15633" max="15633" width="15.85546875" style="1" customWidth="1"/>
    <col min="15634" max="15634" width="15.7109375" style="1" customWidth="1"/>
    <col min="15635" max="15635" width="15.42578125" style="1" customWidth="1"/>
    <col min="15636" max="15636" width="17.140625" style="1" customWidth="1"/>
    <col min="15637" max="15637" width="37.85546875" style="1" customWidth="1"/>
    <col min="15638" max="15638" width="36.5703125" style="1" customWidth="1"/>
    <col min="15639" max="15639" width="29.42578125" style="1" customWidth="1"/>
    <col min="15640" max="15884" width="8.85546875" style="1"/>
    <col min="15885" max="15885" width="4" style="1" customWidth="1"/>
    <col min="15886" max="15886" width="59.7109375" style="1" customWidth="1"/>
    <col min="15887" max="15887" width="4.85546875" style="1" customWidth="1"/>
    <col min="15888" max="15888" width="9" style="1" customWidth="1"/>
    <col min="15889" max="15889" width="15.85546875" style="1" customWidth="1"/>
    <col min="15890" max="15890" width="15.7109375" style="1" customWidth="1"/>
    <col min="15891" max="15891" width="15.42578125" style="1" customWidth="1"/>
    <col min="15892" max="15892" width="17.140625" style="1" customWidth="1"/>
    <col min="15893" max="15893" width="37.85546875" style="1" customWidth="1"/>
    <col min="15894" max="15894" width="36.5703125" style="1" customWidth="1"/>
    <col min="15895" max="15895" width="29.42578125" style="1" customWidth="1"/>
    <col min="15896" max="16140" width="8.85546875" style="1"/>
    <col min="16141" max="16141" width="4" style="1" customWidth="1"/>
    <col min="16142" max="16142" width="59.7109375" style="1" customWidth="1"/>
    <col min="16143" max="16143" width="4.85546875" style="1" customWidth="1"/>
    <col min="16144" max="16144" width="9" style="1" customWidth="1"/>
    <col min="16145" max="16145" width="15.85546875" style="1" customWidth="1"/>
    <col min="16146" max="16146" width="15.7109375" style="1" customWidth="1"/>
    <col min="16147" max="16147" width="15.42578125" style="1" customWidth="1"/>
    <col min="16148" max="16148" width="17.140625" style="1" customWidth="1"/>
    <col min="16149" max="16149" width="37.85546875" style="1" customWidth="1"/>
    <col min="16150" max="16150" width="36.5703125" style="1" customWidth="1"/>
    <col min="16151" max="16151" width="29.42578125" style="1" customWidth="1"/>
    <col min="16152" max="16384" width="8.85546875" style="1"/>
  </cols>
  <sheetData>
    <row r="1" spans="1:28" ht="22.15" customHeight="1">
      <c r="G1" s="23">
        <v>45999</v>
      </c>
      <c r="H1" s="23">
        <v>45999</v>
      </c>
      <c r="M1" s="23">
        <v>46002</v>
      </c>
      <c r="N1" s="23">
        <v>46002</v>
      </c>
      <c r="S1" s="23">
        <f ca="1">TODAY()</f>
        <v>46006</v>
      </c>
      <c r="T1" s="23">
        <f ca="1">TODAY()</f>
        <v>46006</v>
      </c>
      <c r="U1" s="24" t="s">
        <v>88</v>
      </c>
      <c r="V1" s="15" t="s">
        <v>89</v>
      </c>
    </row>
    <row r="2" spans="1:28" ht="30" customHeight="1">
      <c r="A2"/>
      <c r="B2" s="2" t="s">
        <v>0</v>
      </c>
      <c r="C2" s="25" t="s">
        <v>1</v>
      </c>
      <c r="D2" s="13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25" t="s">
        <v>1</v>
      </c>
      <c r="J2" s="13" t="s">
        <v>2</v>
      </c>
      <c r="K2" s="3" t="s">
        <v>3</v>
      </c>
      <c r="L2" s="3" t="s">
        <v>4</v>
      </c>
      <c r="M2" s="4" t="s">
        <v>5</v>
      </c>
      <c r="N2" s="4" t="s">
        <v>6</v>
      </c>
      <c r="O2" s="25" t="s">
        <v>1</v>
      </c>
      <c r="P2" s="13" t="s">
        <v>2</v>
      </c>
      <c r="Q2" s="3" t="s">
        <v>3</v>
      </c>
      <c r="R2" s="3" t="s">
        <v>4</v>
      </c>
      <c r="S2" s="4" t="s">
        <v>5</v>
      </c>
      <c r="T2" s="4" t="s">
        <v>6</v>
      </c>
      <c r="U2" s="26"/>
      <c r="V2" s="12"/>
    </row>
    <row r="3" spans="1:28" ht="22.15" hidden="1" customHeight="1">
      <c r="A3"/>
      <c r="B3" s="5" t="s">
        <v>7</v>
      </c>
      <c r="C3" s="27" t="s">
        <v>8</v>
      </c>
      <c r="D3" s="28">
        <v>124</v>
      </c>
      <c r="E3" s="29">
        <v>45254</v>
      </c>
      <c r="F3" s="29">
        <v>45299</v>
      </c>
      <c r="G3" s="6">
        <f t="shared" ref="G3:G37" si="0">IFERROR((F3-$G$1)/(F3-E3)*100,"")</f>
        <v>-1555.5555555555554</v>
      </c>
      <c r="H3" s="6">
        <f t="shared" ref="H3:H37" si="1">F3-$H$1</f>
        <v>-700</v>
      </c>
      <c r="I3" s="27" t="s">
        <v>8</v>
      </c>
      <c r="J3" s="28">
        <v>124</v>
      </c>
      <c r="K3" s="29">
        <v>45254</v>
      </c>
      <c r="L3" s="29">
        <v>45299</v>
      </c>
      <c r="M3" s="6">
        <f t="shared" ref="M3:M37" si="2">IFERROR((L3-$G$1)/(L3-K3)*100,"")</f>
        <v>-1555.5555555555554</v>
      </c>
      <c r="N3" s="6">
        <f t="shared" ref="N3:N37" si="3">L3-$H$1</f>
        <v>-700</v>
      </c>
      <c r="O3" s="27" t="s">
        <v>8</v>
      </c>
      <c r="P3" s="28">
        <v>124</v>
      </c>
      <c r="Q3" s="29">
        <v>45254</v>
      </c>
      <c r="R3" s="29">
        <v>45299</v>
      </c>
      <c r="S3" s="6">
        <f t="shared" ref="S3:S37" si="4">IFERROR((R3-$G$1)/(R3-Q3)*100,"")</f>
        <v>-1555.5555555555554</v>
      </c>
      <c r="T3" s="6">
        <f t="shared" ref="T3:T37" si="5">R3-$H$1</f>
        <v>-700</v>
      </c>
      <c r="U3" s="26"/>
      <c r="V3" s="12"/>
      <c r="X3" s="16"/>
      <c r="Y3" s="16"/>
      <c r="Z3" s="16"/>
      <c r="AA3" s="16"/>
      <c r="AB3" s="16"/>
    </row>
    <row r="4" spans="1:28" ht="22.15" hidden="1" customHeight="1">
      <c r="A4"/>
      <c r="B4" s="5" t="s">
        <v>9</v>
      </c>
      <c r="C4" s="27" t="s">
        <v>8</v>
      </c>
      <c r="D4" s="28">
        <v>115</v>
      </c>
      <c r="E4" s="29">
        <v>45254</v>
      </c>
      <c r="F4" s="29">
        <v>45299</v>
      </c>
      <c r="G4" s="6">
        <f t="shared" si="0"/>
        <v>-1555.5555555555554</v>
      </c>
      <c r="H4" s="6">
        <f t="shared" si="1"/>
        <v>-700</v>
      </c>
      <c r="I4" s="27" t="s">
        <v>8</v>
      </c>
      <c r="J4" s="28">
        <v>115</v>
      </c>
      <c r="K4" s="29">
        <v>45254</v>
      </c>
      <c r="L4" s="29">
        <v>45299</v>
      </c>
      <c r="M4" s="6">
        <f t="shared" si="2"/>
        <v>-1555.5555555555554</v>
      </c>
      <c r="N4" s="6">
        <f t="shared" si="3"/>
        <v>-700</v>
      </c>
      <c r="O4" s="27" t="s">
        <v>8</v>
      </c>
      <c r="P4" s="28">
        <v>115</v>
      </c>
      <c r="Q4" s="29">
        <v>45254</v>
      </c>
      <c r="R4" s="29">
        <v>45299</v>
      </c>
      <c r="S4" s="6">
        <f t="shared" si="4"/>
        <v>-1555.5555555555554</v>
      </c>
      <c r="T4" s="6">
        <f t="shared" si="5"/>
        <v>-700</v>
      </c>
      <c r="U4" s="26"/>
      <c r="V4" s="12"/>
      <c r="X4" s="17" t="s">
        <v>10</v>
      </c>
      <c r="Y4" s="17"/>
      <c r="Z4" s="17"/>
      <c r="AA4" s="17"/>
      <c r="AB4" s="17"/>
    </row>
    <row r="5" spans="1:28" ht="22.15" hidden="1" customHeight="1">
      <c r="A5"/>
      <c r="B5" s="5" t="s">
        <v>11</v>
      </c>
      <c r="C5" s="27" t="s">
        <v>8</v>
      </c>
      <c r="D5" s="28">
        <v>54</v>
      </c>
      <c r="E5" s="30">
        <v>45256</v>
      </c>
      <c r="F5" s="30">
        <v>45301</v>
      </c>
      <c r="G5" s="6">
        <f t="shared" si="0"/>
        <v>-1551.1111111111111</v>
      </c>
      <c r="H5" s="6">
        <f t="shared" si="1"/>
        <v>-698</v>
      </c>
      <c r="I5" s="27" t="s">
        <v>8</v>
      </c>
      <c r="J5" s="28">
        <v>54</v>
      </c>
      <c r="K5" s="30">
        <v>45256</v>
      </c>
      <c r="L5" s="30">
        <v>45301</v>
      </c>
      <c r="M5" s="6">
        <f t="shared" si="2"/>
        <v>-1551.1111111111111</v>
      </c>
      <c r="N5" s="6">
        <f t="shared" si="3"/>
        <v>-698</v>
      </c>
      <c r="O5" s="27" t="s">
        <v>8</v>
      </c>
      <c r="P5" s="28">
        <v>54</v>
      </c>
      <c r="Q5" s="30">
        <v>45256</v>
      </c>
      <c r="R5" s="30">
        <v>45301</v>
      </c>
      <c r="S5" s="6">
        <f t="shared" si="4"/>
        <v>-1551.1111111111111</v>
      </c>
      <c r="T5" s="6">
        <f t="shared" si="5"/>
        <v>-698</v>
      </c>
      <c r="U5" s="26"/>
      <c r="V5" s="12"/>
      <c r="X5" s="17"/>
      <c r="Y5" s="17"/>
      <c r="Z5" s="17"/>
      <c r="AA5" s="17"/>
      <c r="AB5" s="17"/>
    </row>
    <row r="6" spans="1:28" ht="22.15" hidden="1" customHeight="1">
      <c r="A6"/>
      <c r="B6" s="5" t="s">
        <v>12</v>
      </c>
      <c r="C6" s="27" t="s">
        <v>8</v>
      </c>
      <c r="D6" s="28">
        <v>65</v>
      </c>
      <c r="E6" s="30">
        <v>45268</v>
      </c>
      <c r="F6" s="30">
        <v>45303</v>
      </c>
      <c r="G6" s="6">
        <f t="shared" si="0"/>
        <v>-1988.5714285714287</v>
      </c>
      <c r="H6" s="6">
        <f t="shared" si="1"/>
        <v>-696</v>
      </c>
      <c r="I6" s="27" t="s">
        <v>8</v>
      </c>
      <c r="J6" s="28">
        <v>65</v>
      </c>
      <c r="K6" s="30">
        <v>45268</v>
      </c>
      <c r="L6" s="30">
        <v>45303</v>
      </c>
      <c r="M6" s="6">
        <f t="shared" si="2"/>
        <v>-1988.5714285714287</v>
      </c>
      <c r="N6" s="6">
        <f t="shared" si="3"/>
        <v>-696</v>
      </c>
      <c r="O6" s="27" t="s">
        <v>8</v>
      </c>
      <c r="P6" s="28">
        <v>65</v>
      </c>
      <c r="Q6" s="30">
        <v>45268</v>
      </c>
      <c r="R6" s="30">
        <v>45303</v>
      </c>
      <c r="S6" s="6">
        <f t="shared" si="4"/>
        <v>-1988.5714285714287</v>
      </c>
      <c r="T6" s="6">
        <f t="shared" si="5"/>
        <v>-696</v>
      </c>
      <c r="U6" s="26"/>
      <c r="V6" s="12"/>
      <c r="X6" s="7"/>
      <c r="Y6" s="7"/>
      <c r="Z6" s="7"/>
      <c r="AA6" s="7"/>
      <c r="AB6" s="7"/>
    </row>
    <row r="7" spans="1:28" ht="22.15" hidden="1" customHeight="1">
      <c r="A7"/>
      <c r="B7" s="5" t="s">
        <v>13</v>
      </c>
      <c r="C7" s="27" t="s">
        <v>8</v>
      </c>
      <c r="D7" s="28">
        <v>32</v>
      </c>
      <c r="E7" s="30">
        <v>45269</v>
      </c>
      <c r="F7" s="30">
        <v>45304</v>
      </c>
      <c r="G7" s="6">
        <f t="shared" si="0"/>
        <v>-1985.7142857142858</v>
      </c>
      <c r="H7" s="6">
        <f t="shared" si="1"/>
        <v>-695</v>
      </c>
      <c r="I7" s="27" t="s">
        <v>8</v>
      </c>
      <c r="J7" s="28">
        <v>32</v>
      </c>
      <c r="K7" s="30">
        <v>45269</v>
      </c>
      <c r="L7" s="30">
        <v>45304</v>
      </c>
      <c r="M7" s="6">
        <f t="shared" si="2"/>
        <v>-1985.7142857142858</v>
      </c>
      <c r="N7" s="6">
        <f t="shared" si="3"/>
        <v>-695</v>
      </c>
      <c r="O7" s="27" t="s">
        <v>8</v>
      </c>
      <c r="P7" s="28">
        <v>32</v>
      </c>
      <c r="Q7" s="30">
        <v>45269</v>
      </c>
      <c r="R7" s="30">
        <v>45304</v>
      </c>
      <c r="S7" s="6">
        <f t="shared" si="4"/>
        <v>-1985.7142857142858</v>
      </c>
      <c r="T7" s="6">
        <f t="shared" si="5"/>
        <v>-695</v>
      </c>
      <c r="U7" s="26"/>
      <c r="V7" s="12"/>
      <c r="X7" s="18"/>
      <c r="Y7" s="18"/>
      <c r="Z7" s="18"/>
      <c r="AA7" s="18"/>
      <c r="AB7" s="18"/>
    </row>
    <row r="8" spans="1:28" ht="22.15" hidden="1" customHeight="1">
      <c r="A8"/>
      <c r="B8" s="5" t="s">
        <v>14</v>
      </c>
      <c r="C8" s="27" t="s">
        <v>15</v>
      </c>
      <c r="D8" s="28">
        <v>217.8</v>
      </c>
      <c r="E8" s="30">
        <v>45275</v>
      </c>
      <c r="F8" s="30">
        <v>45305</v>
      </c>
      <c r="G8" s="6">
        <f t="shared" si="0"/>
        <v>-2313.3333333333335</v>
      </c>
      <c r="H8" s="6">
        <f t="shared" si="1"/>
        <v>-694</v>
      </c>
      <c r="I8" s="27" t="s">
        <v>15</v>
      </c>
      <c r="J8" s="28">
        <v>217.8</v>
      </c>
      <c r="K8" s="30">
        <v>45275</v>
      </c>
      <c r="L8" s="30">
        <v>45305</v>
      </c>
      <c r="M8" s="6">
        <f t="shared" si="2"/>
        <v>-2313.3333333333335</v>
      </c>
      <c r="N8" s="6">
        <f t="shared" si="3"/>
        <v>-694</v>
      </c>
      <c r="O8" s="27" t="s">
        <v>15</v>
      </c>
      <c r="P8" s="28">
        <v>217.8</v>
      </c>
      <c r="Q8" s="30">
        <v>45275</v>
      </c>
      <c r="R8" s="30">
        <v>45305</v>
      </c>
      <c r="S8" s="6">
        <f t="shared" si="4"/>
        <v>-2313.3333333333335</v>
      </c>
      <c r="T8" s="6">
        <f t="shared" si="5"/>
        <v>-694</v>
      </c>
      <c r="U8" s="26"/>
      <c r="V8" s="12"/>
      <c r="X8" s="16"/>
      <c r="Y8" s="16"/>
      <c r="Z8" s="16"/>
      <c r="AA8" s="16"/>
      <c r="AB8" s="16"/>
    </row>
    <row r="9" spans="1:28" ht="22.15" hidden="1" customHeight="1">
      <c r="A9"/>
      <c r="B9" s="5" t="s">
        <v>16</v>
      </c>
      <c r="C9" s="27" t="s">
        <v>15</v>
      </c>
      <c r="D9" s="28">
        <v>68.8</v>
      </c>
      <c r="E9" s="30">
        <v>45265</v>
      </c>
      <c r="F9" s="30">
        <v>45305</v>
      </c>
      <c r="G9" s="6">
        <f t="shared" si="0"/>
        <v>-1735.0000000000002</v>
      </c>
      <c r="H9" s="6">
        <f t="shared" si="1"/>
        <v>-694</v>
      </c>
      <c r="I9" s="27" t="s">
        <v>15</v>
      </c>
      <c r="J9" s="28">
        <v>68.8</v>
      </c>
      <c r="K9" s="30">
        <v>45265</v>
      </c>
      <c r="L9" s="30">
        <v>45305</v>
      </c>
      <c r="M9" s="6">
        <f t="shared" si="2"/>
        <v>-1735.0000000000002</v>
      </c>
      <c r="N9" s="6">
        <f t="shared" si="3"/>
        <v>-694</v>
      </c>
      <c r="O9" s="27" t="s">
        <v>15</v>
      </c>
      <c r="P9" s="28">
        <v>68.8</v>
      </c>
      <c r="Q9" s="30">
        <v>45265</v>
      </c>
      <c r="R9" s="30">
        <v>45305</v>
      </c>
      <c r="S9" s="6">
        <f t="shared" si="4"/>
        <v>-1735.0000000000002</v>
      </c>
      <c r="T9" s="6">
        <f t="shared" si="5"/>
        <v>-694</v>
      </c>
      <c r="U9" s="26"/>
      <c r="V9" s="12"/>
      <c r="X9" s="17" t="s">
        <v>17</v>
      </c>
      <c r="Y9" s="17"/>
      <c r="Z9" s="17"/>
      <c r="AA9" s="17"/>
      <c r="AB9" s="17"/>
    </row>
    <row r="10" spans="1:28" ht="22.15" hidden="1" customHeight="1">
      <c r="A10"/>
      <c r="B10" s="5" t="s">
        <v>18</v>
      </c>
      <c r="C10" s="27" t="s">
        <v>15</v>
      </c>
      <c r="D10" s="28">
        <v>42.16</v>
      </c>
      <c r="E10" s="30">
        <v>45260</v>
      </c>
      <c r="F10" s="30">
        <v>45305</v>
      </c>
      <c r="G10" s="6">
        <f t="shared" si="0"/>
        <v>-1542.2222222222222</v>
      </c>
      <c r="H10" s="6">
        <f t="shared" si="1"/>
        <v>-694</v>
      </c>
      <c r="I10" s="27" t="s">
        <v>15</v>
      </c>
      <c r="J10" s="28">
        <v>42.16</v>
      </c>
      <c r="K10" s="30">
        <v>45260</v>
      </c>
      <c r="L10" s="30">
        <v>45305</v>
      </c>
      <c r="M10" s="6">
        <f t="shared" si="2"/>
        <v>-1542.2222222222222</v>
      </c>
      <c r="N10" s="6">
        <f t="shared" si="3"/>
        <v>-694</v>
      </c>
      <c r="O10" s="27" t="s">
        <v>15</v>
      </c>
      <c r="P10" s="28">
        <v>42.16</v>
      </c>
      <c r="Q10" s="30">
        <v>45260</v>
      </c>
      <c r="R10" s="30">
        <v>45305</v>
      </c>
      <c r="S10" s="6">
        <f t="shared" si="4"/>
        <v>-1542.2222222222222</v>
      </c>
      <c r="T10" s="6">
        <f t="shared" si="5"/>
        <v>-694</v>
      </c>
      <c r="U10" s="26"/>
      <c r="V10" s="12"/>
      <c r="X10" s="17"/>
      <c r="Y10" s="17"/>
      <c r="Z10" s="17"/>
      <c r="AA10" s="17"/>
      <c r="AB10" s="17"/>
    </row>
    <row r="11" spans="1:28" ht="22.15" hidden="1" customHeight="1">
      <c r="A11"/>
      <c r="B11" s="5" t="s">
        <v>19</v>
      </c>
      <c r="C11" s="27" t="s">
        <v>15</v>
      </c>
      <c r="D11" s="28">
        <v>205.58</v>
      </c>
      <c r="E11" s="30">
        <v>45276</v>
      </c>
      <c r="F11" s="30">
        <v>45306</v>
      </c>
      <c r="G11" s="6">
        <f t="shared" si="0"/>
        <v>-2310</v>
      </c>
      <c r="H11" s="6">
        <f t="shared" si="1"/>
        <v>-693</v>
      </c>
      <c r="I11" s="27" t="s">
        <v>15</v>
      </c>
      <c r="J11" s="28">
        <v>205.58</v>
      </c>
      <c r="K11" s="30">
        <v>45276</v>
      </c>
      <c r="L11" s="30">
        <v>45306</v>
      </c>
      <c r="M11" s="6">
        <f t="shared" si="2"/>
        <v>-2310</v>
      </c>
      <c r="N11" s="6">
        <f t="shared" si="3"/>
        <v>-693</v>
      </c>
      <c r="O11" s="27" t="s">
        <v>15</v>
      </c>
      <c r="P11" s="28">
        <v>205.58</v>
      </c>
      <c r="Q11" s="30">
        <v>45276</v>
      </c>
      <c r="R11" s="30">
        <v>45306</v>
      </c>
      <c r="S11" s="6">
        <f t="shared" si="4"/>
        <v>-2310</v>
      </c>
      <c r="T11" s="6">
        <f t="shared" si="5"/>
        <v>-693</v>
      </c>
      <c r="U11" s="26"/>
      <c r="V11" s="12"/>
    </row>
    <row r="12" spans="1:28" ht="22.15" hidden="1" customHeight="1">
      <c r="A12"/>
      <c r="B12" s="5" t="s">
        <v>20</v>
      </c>
      <c r="C12" s="27" t="s">
        <v>15</v>
      </c>
      <c r="D12" s="28">
        <v>12</v>
      </c>
      <c r="E12" s="30">
        <v>45256</v>
      </c>
      <c r="F12" s="30">
        <v>45306</v>
      </c>
      <c r="G12" s="6">
        <f t="shared" si="0"/>
        <v>-1386</v>
      </c>
      <c r="H12" s="6">
        <f t="shared" si="1"/>
        <v>-693</v>
      </c>
      <c r="I12" s="27" t="s">
        <v>15</v>
      </c>
      <c r="J12" s="28">
        <v>12</v>
      </c>
      <c r="K12" s="30">
        <v>45256</v>
      </c>
      <c r="L12" s="30">
        <v>45306</v>
      </c>
      <c r="M12" s="6">
        <f t="shared" si="2"/>
        <v>-1386</v>
      </c>
      <c r="N12" s="6">
        <f t="shared" si="3"/>
        <v>-693</v>
      </c>
      <c r="O12" s="27" t="s">
        <v>15</v>
      </c>
      <c r="P12" s="28">
        <v>12</v>
      </c>
      <c r="Q12" s="30">
        <v>45256</v>
      </c>
      <c r="R12" s="30">
        <v>45306</v>
      </c>
      <c r="S12" s="6">
        <f t="shared" si="4"/>
        <v>-1386</v>
      </c>
      <c r="T12" s="6">
        <f t="shared" si="5"/>
        <v>-693</v>
      </c>
      <c r="U12" s="26"/>
      <c r="V12" s="12"/>
    </row>
    <row r="13" spans="1:28" ht="22.15" hidden="1" customHeight="1">
      <c r="A13"/>
      <c r="B13" s="5" t="s">
        <v>21</v>
      </c>
      <c r="C13" s="27" t="s">
        <v>15</v>
      </c>
      <c r="D13" s="28">
        <v>89.266999999999996</v>
      </c>
      <c r="E13" s="30">
        <v>45276</v>
      </c>
      <c r="F13" s="30">
        <v>45306</v>
      </c>
      <c r="G13" s="6">
        <f t="shared" si="0"/>
        <v>-2310</v>
      </c>
      <c r="H13" s="6">
        <f t="shared" si="1"/>
        <v>-693</v>
      </c>
      <c r="I13" s="27" t="s">
        <v>15</v>
      </c>
      <c r="J13" s="28">
        <v>89.266999999999996</v>
      </c>
      <c r="K13" s="30">
        <v>45276</v>
      </c>
      <c r="L13" s="30">
        <v>45306</v>
      </c>
      <c r="M13" s="6">
        <f t="shared" si="2"/>
        <v>-2310</v>
      </c>
      <c r="N13" s="6">
        <f t="shared" si="3"/>
        <v>-693</v>
      </c>
      <c r="O13" s="27" t="s">
        <v>15</v>
      </c>
      <c r="P13" s="28">
        <v>89.266999999999996</v>
      </c>
      <c r="Q13" s="30">
        <v>45276</v>
      </c>
      <c r="R13" s="30">
        <v>45306</v>
      </c>
      <c r="S13" s="6">
        <f t="shared" si="4"/>
        <v>-2310</v>
      </c>
      <c r="T13" s="6">
        <f t="shared" si="5"/>
        <v>-693</v>
      </c>
      <c r="U13" s="26"/>
      <c r="V13" s="12"/>
    </row>
    <row r="14" spans="1:28" ht="22.15" hidden="1" customHeight="1">
      <c r="A14"/>
      <c r="B14" s="5" t="s">
        <v>22</v>
      </c>
      <c r="C14" s="27" t="s">
        <v>15</v>
      </c>
      <c r="D14" s="28">
        <v>57.1</v>
      </c>
      <c r="E14" s="30">
        <v>45229</v>
      </c>
      <c r="F14" s="30">
        <v>45306</v>
      </c>
      <c r="G14" s="6">
        <f t="shared" si="0"/>
        <v>-900</v>
      </c>
      <c r="H14" s="6">
        <f t="shared" si="1"/>
        <v>-693</v>
      </c>
      <c r="I14" s="27" t="s">
        <v>15</v>
      </c>
      <c r="J14" s="28">
        <v>57.1</v>
      </c>
      <c r="K14" s="30">
        <v>45229</v>
      </c>
      <c r="L14" s="30">
        <v>45306</v>
      </c>
      <c r="M14" s="6">
        <f t="shared" si="2"/>
        <v>-900</v>
      </c>
      <c r="N14" s="6">
        <f t="shared" si="3"/>
        <v>-693</v>
      </c>
      <c r="O14" s="27" t="s">
        <v>15</v>
      </c>
      <c r="P14" s="28">
        <v>57.1</v>
      </c>
      <c r="Q14" s="30">
        <v>45229</v>
      </c>
      <c r="R14" s="30">
        <v>45306</v>
      </c>
      <c r="S14" s="6">
        <f t="shared" si="4"/>
        <v>-900</v>
      </c>
      <c r="T14" s="6">
        <f t="shared" si="5"/>
        <v>-693</v>
      </c>
      <c r="U14" s="26" t="s">
        <v>23</v>
      </c>
      <c r="V14" s="12"/>
    </row>
    <row r="15" spans="1:28" ht="22.15" hidden="1" customHeight="1">
      <c r="A15"/>
      <c r="B15" s="5" t="s">
        <v>24</v>
      </c>
      <c r="C15" s="27" t="s">
        <v>15</v>
      </c>
      <c r="D15" s="28">
        <v>159.1</v>
      </c>
      <c r="E15" s="30">
        <v>45262</v>
      </c>
      <c r="F15" s="30">
        <v>45307</v>
      </c>
      <c r="G15" s="6">
        <f t="shared" si="0"/>
        <v>-1537.7777777777778</v>
      </c>
      <c r="H15" s="6">
        <f t="shared" si="1"/>
        <v>-692</v>
      </c>
      <c r="I15" s="27" t="s">
        <v>15</v>
      </c>
      <c r="J15" s="28">
        <v>159.1</v>
      </c>
      <c r="K15" s="30">
        <v>45262</v>
      </c>
      <c r="L15" s="30">
        <v>45307</v>
      </c>
      <c r="M15" s="6">
        <f t="shared" si="2"/>
        <v>-1537.7777777777778</v>
      </c>
      <c r="N15" s="6">
        <f t="shared" si="3"/>
        <v>-692</v>
      </c>
      <c r="O15" s="27" t="s">
        <v>15</v>
      </c>
      <c r="P15" s="28">
        <v>159.1</v>
      </c>
      <c r="Q15" s="30">
        <v>45262</v>
      </c>
      <c r="R15" s="30">
        <v>45307</v>
      </c>
      <c r="S15" s="6">
        <f t="shared" si="4"/>
        <v>-1537.7777777777778</v>
      </c>
      <c r="T15" s="6">
        <f t="shared" si="5"/>
        <v>-692</v>
      </c>
      <c r="U15" s="26"/>
      <c r="V15" s="12"/>
    </row>
    <row r="16" spans="1:28" ht="22.15" hidden="1" customHeight="1">
      <c r="A16"/>
      <c r="B16" s="5" t="s">
        <v>25</v>
      </c>
      <c r="C16" s="27" t="s">
        <v>15</v>
      </c>
      <c r="D16" s="28">
        <v>218.5</v>
      </c>
      <c r="E16" s="30">
        <v>45277</v>
      </c>
      <c r="F16" s="30">
        <v>45307</v>
      </c>
      <c r="G16" s="6">
        <f t="shared" si="0"/>
        <v>-2306.6666666666665</v>
      </c>
      <c r="H16" s="6">
        <f t="shared" si="1"/>
        <v>-692</v>
      </c>
      <c r="I16" s="27" t="s">
        <v>15</v>
      </c>
      <c r="J16" s="28">
        <v>218.5</v>
      </c>
      <c r="K16" s="30">
        <v>45277</v>
      </c>
      <c r="L16" s="30">
        <v>45307</v>
      </c>
      <c r="M16" s="6">
        <f t="shared" si="2"/>
        <v>-2306.6666666666665</v>
      </c>
      <c r="N16" s="6">
        <f t="shared" si="3"/>
        <v>-692</v>
      </c>
      <c r="O16" s="27" t="s">
        <v>15</v>
      </c>
      <c r="P16" s="28">
        <v>218.5</v>
      </c>
      <c r="Q16" s="30">
        <v>45277</v>
      </c>
      <c r="R16" s="30">
        <v>45307</v>
      </c>
      <c r="S16" s="6">
        <f t="shared" si="4"/>
        <v>-2306.6666666666665</v>
      </c>
      <c r="T16" s="6">
        <f t="shared" si="5"/>
        <v>-692</v>
      </c>
      <c r="U16" s="26"/>
      <c r="V16" s="12"/>
    </row>
    <row r="17" spans="1:22" ht="22.15" hidden="1" customHeight="1">
      <c r="A17"/>
      <c r="B17" s="5" t="s">
        <v>26</v>
      </c>
      <c r="C17" s="27" t="s">
        <v>15</v>
      </c>
      <c r="D17" s="28">
        <v>187.7</v>
      </c>
      <c r="E17" s="30">
        <v>45267</v>
      </c>
      <c r="F17" s="30">
        <v>45307</v>
      </c>
      <c r="G17" s="6">
        <f t="shared" si="0"/>
        <v>-1730</v>
      </c>
      <c r="H17" s="6">
        <f t="shared" si="1"/>
        <v>-692</v>
      </c>
      <c r="I17" s="27" t="s">
        <v>15</v>
      </c>
      <c r="J17" s="28">
        <v>187.7</v>
      </c>
      <c r="K17" s="30">
        <v>45267</v>
      </c>
      <c r="L17" s="30">
        <v>45307</v>
      </c>
      <c r="M17" s="6">
        <f t="shared" si="2"/>
        <v>-1730</v>
      </c>
      <c r="N17" s="6">
        <f t="shared" si="3"/>
        <v>-692</v>
      </c>
      <c r="O17" s="27" t="s">
        <v>15</v>
      </c>
      <c r="P17" s="28">
        <v>187.7</v>
      </c>
      <c r="Q17" s="30">
        <v>45267</v>
      </c>
      <c r="R17" s="30">
        <v>45307</v>
      </c>
      <c r="S17" s="6">
        <f t="shared" si="4"/>
        <v>-1730</v>
      </c>
      <c r="T17" s="6">
        <f t="shared" si="5"/>
        <v>-692</v>
      </c>
      <c r="U17" s="26"/>
      <c r="V17" s="12"/>
    </row>
    <row r="18" spans="1:22" ht="22.15" hidden="1" customHeight="1">
      <c r="A18"/>
      <c r="B18" s="5" t="s">
        <v>27</v>
      </c>
      <c r="C18" s="27" t="s">
        <v>8</v>
      </c>
      <c r="D18" s="28">
        <v>77</v>
      </c>
      <c r="E18" s="30">
        <v>45268</v>
      </c>
      <c r="F18" s="30">
        <v>45308</v>
      </c>
      <c r="G18" s="6">
        <f t="shared" si="0"/>
        <v>-1727.4999999999998</v>
      </c>
      <c r="H18" s="6">
        <f t="shared" si="1"/>
        <v>-691</v>
      </c>
      <c r="I18" s="27" t="s">
        <v>8</v>
      </c>
      <c r="J18" s="28">
        <v>77</v>
      </c>
      <c r="K18" s="30">
        <v>45268</v>
      </c>
      <c r="L18" s="30">
        <v>45308</v>
      </c>
      <c r="M18" s="6">
        <f t="shared" si="2"/>
        <v>-1727.4999999999998</v>
      </c>
      <c r="N18" s="6">
        <f t="shared" si="3"/>
        <v>-691</v>
      </c>
      <c r="O18" s="27" t="s">
        <v>8</v>
      </c>
      <c r="P18" s="28">
        <v>77</v>
      </c>
      <c r="Q18" s="30">
        <v>45268</v>
      </c>
      <c r="R18" s="30">
        <v>45308</v>
      </c>
      <c r="S18" s="6">
        <f t="shared" si="4"/>
        <v>-1727.4999999999998</v>
      </c>
      <c r="T18" s="6">
        <f t="shared" si="5"/>
        <v>-691</v>
      </c>
      <c r="U18" s="26"/>
      <c r="V18" s="12"/>
    </row>
    <row r="19" spans="1:22" ht="22.15" hidden="1" customHeight="1">
      <c r="A19"/>
      <c r="B19" s="5" t="s">
        <v>28</v>
      </c>
      <c r="C19" s="27" t="s">
        <v>8</v>
      </c>
      <c r="D19" s="28">
        <v>241</v>
      </c>
      <c r="E19" s="30">
        <v>45268</v>
      </c>
      <c r="F19" s="30">
        <v>45308</v>
      </c>
      <c r="G19" s="6">
        <f t="shared" si="0"/>
        <v>-1727.4999999999998</v>
      </c>
      <c r="H19" s="6">
        <f t="shared" si="1"/>
        <v>-691</v>
      </c>
      <c r="I19" s="27" t="s">
        <v>8</v>
      </c>
      <c r="J19" s="28">
        <v>241</v>
      </c>
      <c r="K19" s="30">
        <v>45268</v>
      </c>
      <c r="L19" s="30">
        <v>45308</v>
      </c>
      <c r="M19" s="6">
        <f t="shared" si="2"/>
        <v>-1727.4999999999998</v>
      </c>
      <c r="N19" s="6">
        <f t="shared" si="3"/>
        <v>-691</v>
      </c>
      <c r="O19" s="27" t="s">
        <v>8</v>
      </c>
      <c r="P19" s="28">
        <v>241</v>
      </c>
      <c r="Q19" s="30">
        <v>45268</v>
      </c>
      <c r="R19" s="30">
        <v>45308</v>
      </c>
      <c r="S19" s="6">
        <f t="shared" si="4"/>
        <v>-1727.4999999999998</v>
      </c>
      <c r="T19" s="6">
        <f t="shared" si="5"/>
        <v>-691</v>
      </c>
      <c r="U19" s="26"/>
      <c r="V19" s="12"/>
    </row>
    <row r="20" spans="1:22" ht="22.15" hidden="1" customHeight="1">
      <c r="A20"/>
      <c r="B20" s="5" t="s">
        <v>29</v>
      </c>
      <c r="C20" s="27" t="s">
        <v>8</v>
      </c>
      <c r="D20" s="28">
        <v>354</v>
      </c>
      <c r="E20" s="30">
        <v>45268</v>
      </c>
      <c r="F20" s="30">
        <v>45308</v>
      </c>
      <c r="G20" s="6">
        <f t="shared" si="0"/>
        <v>-1727.4999999999998</v>
      </c>
      <c r="H20" s="6">
        <f t="shared" si="1"/>
        <v>-691</v>
      </c>
      <c r="I20" s="27" t="s">
        <v>8</v>
      </c>
      <c r="J20" s="28">
        <v>354</v>
      </c>
      <c r="K20" s="30">
        <v>45268</v>
      </c>
      <c r="L20" s="30">
        <v>45308</v>
      </c>
      <c r="M20" s="6">
        <f t="shared" si="2"/>
        <v>-1727.4999999999998</v>
      </c>
      <c r="N20" s="6">
        <f t="shared" si="3"/>
        <v>-691</v>
      </c>
      <c r="O20" s="27" t="s">
        <v>8</v>
      </c>
      <c r="P20" s="28">
        <v>354</v>
      </c>
      <c r="Q20" s="30">
        <v>45268</v>
      </c>
      <c r="R20" s="30">
        <v>45308</v>
      </c>
      <c r="S20" s="6">
        <f t="shared" si="4"/>
        <v>-1727.4999999999998</v>
      </c>
      <c r="T20" s="6">
        <f t="shared" si="5"/>
        <v>-691</v>
      </c>
      <c r="U20" s="26"/>
      <c r="V20" s="12"/>
    </row>
    <row r="21" spans="1:22" ht="22.15" hidden="1" customHeight="1">
      <c r="A21"/>
      <c r="B21" s="5" t="s">
        <v>30</v>
      </c>
      <c r="C21" s="27" t="s">
        <v>8</v>
      </c>
      <c r="D21" s="28">
        <v>3</v>
      </c>
      <c r="E21" s="30">
        <v>45270</v>
      </c>
      <c r="F21" s="30">
        <v>45310</v>
      </c>
      <c r="G21" s="6">
        <f t="shared" si="0"/>
        <v>-1722.5000000000002</v>
      </c>
      <c r="H21" s="6">
        <f t="shared" si="1"/>
        <v>-689</v>
      </c>
      <c r="I21" s="27" t="s">
        <v>8</v>
      </c>
      <c r="J21" s="28">
        <v>3</v>
      </c>
      <c r="K21" s="30">
        <v>45270</v>
      </c>
      <c r="L21" s="30">
        <v>45310</v>
      </c>
      <c r="M21" s="6">
        <f t="shared" si="2"/>
        <v>-1722.5000000000002</v>
      </c>
      <c r="N21" s="6">
        <f t="shared" si="3"/>
        <v>-689</v>
      </c>
      <c r="O21" s="27" t="s">
        <v>8</v>
      </c>
      <c r="P21" s="28">
        <v>3</v>
      </c>
      <c r="Q21" s="30">
        <v>45270</v>
      </c>
      <c r="R21" s="30">
        <v>45310</v>
      </c>
      <c r="S21" s="6">
        <f t="shared" si="4"/>
        <v>-1722.5000000000002</v>
      </c>
      <c r="T21" s="6">
        <f t="shared" si="5"/>
        <v>-689</v>
      </c>
      <c r="U21" s="26"/>
      <c r="V21" s="12"/>
    </row>
    <row r="22" spans="1:22" ht="22.15" hidden="1" customHeight="1">
      <c r="A22"/>
      <c r="B22" s="5" t="s">
        <v>31</v>
      </c>
      <c r="C22" s="27" t="s">
        <v>8</v>
      </c>
      <c r="D22" s="28">
        <v>45</v>
      </c>
      <c r="E22" s="30">
        <v>45268</v>
      </c>
      <c r="F22" s="30">
        <v>45311</v>
      </c>
      <c r="G22" s="6">
        <f t="shared" si="0"/>
        <v>-1600</v>
      </c>
      <c r="H22" s="6">
        <f t="shared" si="1"/>
        <v>-688</v>
      </c>
      <c r="I22" s="27" t="s">
        <v>8</v>
      </c>
      <c r="J22" s="28">
        <v>45</v>
      </c>
      <c r="K22" s="30">
        <v>45268</v>
      </c>
      <c r="L22" s="30">
        <v>45311</v>
      </c>
      <c r="M22" s="6">
        <f t="shared" si="2"/>
        <v>-1600</v>
      </c>
      <c r="N22" s="6">
        <f t="shared" si="3"/>
        <v>-688</v>
      </c>
      <c r="O22" s="27" t="s">
        <v>8</v>
      </c>
      <c r="P22" s="28">
        <v>45</v>
      </c>
      <c r="Q22" s="30">
        <v>45268</v>
      </c>
      <c r="R22" s="30">
        <v>45311</v>
      </c>
      <c r="S22" s="6">
        <f t="shared" si="4"/>
        <v>-1600</v>
      </c>
      <c r="T22" s="6">
        <f t="shared" si="5"/>
        <v>-688</v>
      </c>
      <c r="U22" s="26"/>
      <c r="V22" s="12"/>
    </row>
    <row r="23" spans="1:22" ht="22.15" hidden="1" customHeight="1">
      <c r="A23"/>
      <c r="B23" s="5" t="s">
        <v>32</v>
      </c>
      <c r="C23" s="27" t="s">
        <v>15</v>
      </c>
      <c r="D23" s="28">
        <v>97.5</v>
      </c>
      <c r="E23" s="30">
        <v>45268</v>
      </c>
      <c r="F23" s="30">
        <v>45311</v>
      </c>
      <c r="G23" s="6">
        <f t="shared" si="0"/>
        <v>-1600</v>
      </c>
      <c r="H23" s="6">
        <f t="shared" si="1"/>
        <v>-688</v>
      </c>
      <c r="I23" s="27" t="s">
        <v>15</v>
      </c>
      <c r="J23" s="28">
        <v>97.5</v>
      </c>
      <c r="K23" s="30">
        <v>45268</v>
      </c>
      <c r="L23" s="30">
        <v>45311</v>
      </c>
      <c r="M23" s="6">
        <f t="shared" si="2"/>
        <v>-1600</v>
      </c>
      <c r="N23" s="6">
        <f t="shared" si="3"/>
        <v>-688</v>
      </c>
      <c r="O23" s="27" t="s">
        <v>15</v>
      </c>
      <c r="P23" s="28">
        <v>97.5</v>
      </c>
      <c r="Q23" s="30">
        <v>45268</v>
      </c>
      <c r="R23" s="30">
        <v>45311</v>
      </c>
      <c r="S23" s="6">
        <f t="shared" si="4"/>
        <v>-1600</v>
      </c>
      <c r="T23" s="6">
        <f t="shared" si="5"/>
        <v>-688</v>
      </c>
      <c r="U23" s="26"/>
      <c r="V23" s="12"/>
    </row>
    <row r="24" spans="1:22" ht="22.15" hidden="1" customHeight="1">
      <c r="A24"/>
      <c r="B24" s="5" t="s">
        <v>33</v>
      </c>
      <c r="C24" s="27" t="s">
        <v>15</v>
      </c>
      <c r="D24" s="28">
        <v>85.93</v>
      </c>
      <c r="E24" s="30">
        <v>45276</v>
      </c>
      <c r="F24" s="30">
        <v>45311</v>
      </c>
      <c r="G24" s="6">
        <f t="shared" si="0"/>
        <v>-1965.7142857142858</v>
      </c>
      <c r="H24" s="6">
        <f t="shared" si="1"/>
        <v>-688</v>
      </c>
      <c r="I24" s="27" t="s">
        <v>15</v>
      </c>
      <c r="J24" s="28">
        <v>85.93</v>
      </c>
      <c r="K24" s="30">
        <v>45276</v>
      </c>
      <c r="L24" s="30">
        <v>45311</v>
      </c>
      <c r="M24" s="6">
        <f t="shared" si="2"/>
        <v>-1965.7142857142858</v>
      </c>
      <c r="N24" s="6">
        <f t="shared" si="3"/>
        <v>-688</v>
      </c>
      <c r="O24" s="27" t="s">
        <v>15</v>
      </c>
      <c r="P24" s="28">
        <v>85.93</v>
      </c>
      <c r="Q24" s="30">
        <v>45276</v>
      </c>
      <c r="R24" s="30">
        <v>45311</v>
      </c>
      <c r="S24" s="6">
        <f t="shared" si="4"/>
        <v>-1965.7142857142858</v>
      </c>
      <c r="T24" s="6">
        <f t="shared" si="5"/>
        <v>-688</v>
      </c>
      <c r="U24" s="26"/>
      <c r="V24" s="12"/>
    </row>
    <row r="25" spans="1:22" ht="22.15" hidden="1" customHeight="1">
      <c r="A25"/>
      <c r="B25" s="5" t="s">
        <v>34</v>
      </c>
      <c r="C25" s="27" t="s">
        <v>15</v>
      </c>
      <c r="D25" s="28">
        <v>216.8</v>
      </c>
      <c r="E25" s="30">
        <v>45267</v>
      </c>
      <c r="F25" s="30">
        <v>45312</v>
      </c>
      <c r="G25" s="6">
        <f t="shared" si="0"/>
        <v>-1526.6666666666667</v>
      </c>
      <c r="H25" s="6">
        <f t="shared" si="1"/>
        <v>-687</v>
      </c>
      <c r="I25" s="27" t="s">
        <v>15</v>
      </c>
      <c r="J25" s="28">
        <v>216.8</v>
      </c>
      <c r="K25" s="30">
        <v>45267</v>
      </c>
      <c r="L25" s="30">
        <v>45312</v>
      </c>
      <c r="M25" s="6">
        <f t="shared" si="2"/>
        <v>-1526.6666666666667</v>
      </c>
      <c r="N25" s="6">
        <f t="shared" si="3"/>
        <v>-687</v>
      </c>
      <c r="O25" s="27" t="s">
        <v>15</v>
      </c>
      <c r="P25" s="28">
        <v>216.8</v>
      </c>
      <c r="Q25" s="30">
        <v>45267</v>
      </c>
      <c r="R25" s="30">
        <v>45312</v>
      </c>
      <c r="S25" s="6">
        <f t="shared" si="4"/>
        <v>-1526.6666666666667</v>
      </c>
      <c r="T25" s="6">
        <f t="shared" si="5"/>
        <v>-687</v>
      </c>
      <c r="U25" s="26"/>
      <c r="V25" s="12"/>
    </row>
    <row r="26" spans="1:22" ht="22.15" hidden="1" customHeight="1">
      <c r="A26"/>
      <c r="B26" s="5" t="s">
        <v>35</v>
      </c>
      <c r="C26" s="27" t="s">
        <v>15</v>
      </c>
      <c r="D26" s="28">
        <v>170.9</v>
      </c>
      <c r="E26" s="30">
        <v>45277</v>
      </c>
      <c r="F26" s="30">
        <v>45312</v>
      </c>
      <c r="G26" s="6">
        <f t="shared" si="0"/>
        <v>-1962.8571428571429</v>
      </c>
      <c r="H26" s="6">
        <f t="shared" si="1"/>
        <v>-687</v>
      </c>
      <c r="I26" s="27" t="s">
        <v>15</v>
      </c>
      <c r="J26" s="28">
        <v>170.9</v>
      </c>
      <c r="K26" s="30">
        <v>45277</v>
      </c>
      <c r="L26" s="30">
        <v>45312</v>
      </c>
      <c r="M26" s="6">
        <f t="shared" si="2"/>
        <v>-1962.8571428571429</v>
      </c>
      <c r="N26" s="6">
        <f t="shared" si="3"/>
        <v>-687</v>
      </c>
      <c r="O26" s="27" t="s">
        <v>15</v>
      </c>
      <c r="P26" s="28">
        <v>170.9</v>
      </c>
      <c r="Q26" s="30">
        <v>45277</v>
      </c>
      <c r="R26" s="30">
        <v>45312</v>
      </c>
      <c r="S26" s="6">
        <f t="shared" si="4"/>
        <v>-1962.8571428571429</v>
      </c>
      <c r="T26" s="6">
        <f t="shared" si="5"/>
        <v>-687</v>
      </c>
      <c r="U26" s="26"/>
      <c r="V26" s="12"/>
    </row>
    <row r="27" spans="1:22" ht="22.15" hidden="1" customHeight="1">
      <c r="A27"/>
      <c r="B27" s="5" t="s">
        <v>36</v>
      </c>
      <c r="C27" s="27" t="s">
        <v>15</v>
      </c>
      <c r="D27" s="28">
        <v>159.9</v>
      </c>
      <c r="E27" s="30">
        <v>45277</v>
      </c>
      <c r="F27" s="30">
        <v>45312</v>
      </c>
      <c r="G27" s="6">
        <f t="shared" si="0"/>
        <v>-1962.8571428571429</v>
      </c>
      <c r="H27" s="6">
        <f t="shared" si="1"/>
        <v>-687</v>
      </c>
      <c r="I27" s="27" t="s">
        <v>15</v>
      </c>
      <c r="J27" s="28">
        <v>159.9</v>
      </c>
      <c r="K27" s="30">
        <v>45277</v>
      </c>
      <c r="L27" s="30">
        <v>45312</v>
      </c>
      <c r="M27" s="6">
        <f t="shared" si="2"/>
        <v>-1962.8571428571429</v>
      </c>
      <c r="N27" s="6">
        <f t="shared" si="3"/>
        <v>-687</v>
      </c>
      <c r="O27" s="27" t="s">
        <v>15</v>
      </c>
      <c r="P27" s="28">
        <v>159.9</v>
      </c>
      <c r="Q27" s="30">
        <v>45277</v>
      </c>
      <c r="R27" s="30">
        <v>45312</v>
      </c>
      <c r="S27" s="6">
        <f t="shared" si="4"/>
        <v>-1962.8571428571429</v>
      </c>
      <c r="T27" s="6">
        <f t="shared" si="5"/>
        <v>-687</v>
      </c>
      <c r="U27" s="26"/>
      <c r="V27" s="12"/>
    </row>
    <row r="28" spans="1:22" ht="22.15" hidden="1" customHeight="1">
      <c r="A28"/>
      <c r="B28" s="5" t="s">
        <v>37</v>
      </c>
      <c r="C28" s="27" t="s">
        <v>15</v>
      </c>
      <c r="D28" s="28">
        <v>358.6</v>
      </c>
      <c r="E28" s="30">
        <v>45272</v>
      </c>
      <c r="F28" s="30">
        <v>45312</v>
      </c>
      <c r="G28" s="6">
        <f t="shared" si="0"/>
        <v>-1717.5</v>
      </c>
      <c r="H28" s="6">
        <f t="shared" si="1"/>
        <v>-687</v>
      </c>
      <c r="I28" s="27" t="s">
        <v>15</v>
      </c>
      <c r="J28" s="28">
        <v>358.6</v>
      </c>
      <c r="K28" s="30">
        <v>45272</v>
      </c>
      <c r="L28" s="30">
        <v>45312</v>
      </c>
      <c r="M28" s="6">
        <f t="shared" si="2"/>
        <v>-1717.5</v>
      </c>
      <c r="N28" s="6">
        <f t="shared" si="3"/>
        <v>-687</v>
      </c>
      <c r="O28" s="27" t="s">
        <v>15</v>
      </c>
      <c r="P28" s="28">
        <v>358.6</v>
      </c>
      <c r="Q28" s="30">
        <v>45272</v>
      </c>
      <c r="R28" s="30">
        <v>45312</v>
      </c>
      <c r="S28" s="6">
        <f t="shared" si="4"/>
        <v>-1717.5</v>
      </c>
      <c r="T28" s="6">
        <f t="shared" si="5"/>
        <v>-687</v>
      </c>
      <c r="U28" s="26"/>
      <c r="V28" s="12"/>
    </row>
    <row r="29" spans="1:22" ht="22.15" hidden="1" customHeight="1">
      <c r="A29"/>
      <c r="B29" s="5" t="s">
        <v>38</v>
      </c>
      <c r="C29" s="27" t="s">
        <v>8</v>
      </c>
      <c r="D29" s="28">
        <v>94</v>
      </c>
      <c r="E29" s="30">
        <v>45268</v>
      </c>
      <c r="F29" s="30">
        <v>45313</v>
      </c>
      <c r="G29" s="6">
        <f t="shared" si="0"/>
        <v>-1524.4444444444443</v>
      </c>
      <c r="H29" s="6">
        <f t="shared" si="1"/>
        <v>-686</v>
      </c>
      <c r="I29" s="27" t="s">
        <v>8</v>
      </c>
      <c r="J29" s="28">
        <v>94</v>
      </c>
      <c r="K29" s="30">
        <v>45268</v>
      </c>
      <c r="L29" s="30">
        <v>45313</v>
      </c>
      <c r="M29" s="6">
        <f t="shared" si="2"/>
        <v>-1524.4444444444443</v>
      </c>
      <c r="N29" s="6">
        <f t="shared" si="3"/>
        <v>-686</v>
      </c>
      <c r="O29" s="27" t="s">
        <v>8</v>
      </c>
      <c r="P29" s="28">
        <v>94</v>
      </c>
      <c r="Q29" s="30">
        <v>45268</v>
      </c>
      <c r="R29" s="30">
        <v>45313</v>
      </c>
      <c r="S29" s="6">
        <f t="shared" si="4"/>
        <v>-1524.4444444444443</v>
      </c>
      <c r="T29" s="6">
        <f t="shared" si="5"/>
        <v>-686</v>
      </c>
      <c r="U29" s="26"/>
      <c r="V29" s="12"/>
    </row>
    <row r="30" spans="1:22" ht="22.15" hidden="1" customHeight="1">
      <c r="A30"/>
      <c r="B30" s="5" t="s">
        <v>39</v>
      </c>
      <c r="C30" s="27" t="s">
        <v>8</v>
      </c>
      <c r="D30" s="28">
        <v>134</v>
      </c>
      <c r="E30" s="30">
        <v>45268</v>
      </c>
      <c r="F30" s="30">
        <v>45313</v>
      </c>
      <c r="G30" s="6">
        <f t="shared" si="0"/>
        <v>-1524.4444444444443</v>
      </c>
      <c r="H30" s="6">
        <f t="shared" si="1"/>
        <v>-686</v>
      </c>
      <c r="I30" s="27" t="s">
        <v>8</v>
      </c>
      <c r="J30" s="28">
        <v>134</v>
      </c>
      <c r="K30" s="30">
        <v>45268</v>
      </c>
      <c r="L30" s="30">
        <v>45313</v>
      </c>
      <c r="M30" s="6">
        <f t="shared" si="2"/>
        <v>-1524.4444444444443</v>
      </c>
      <c r="N30" s="6">
        <f t="shared" si="3"/>
        <v>-686</v>
      </c>
      <c r="O30" s="27" t="s">
        <v>8</v>
      </c>
      <c r="P30" s="28">
        <v>134</v>
      </c>
      <c r="Q30" s="30">
        <v>45268</v>
      </c>
      <c r="R30" s="30">
        <v>45313</v>
      </c>
      <c r="S30" s="6">
        <f t="shared" si="4"/>
        <v>-1524.4444444444443</v>
      </c>
      <c r="T30" s="6">
        <f t="shared" si="5"/>
        <v>-686</v>
      </c>
      <c r="U30" s="26"/>
      <c r="V30" s="12"/>
    </row>
    <row r="31" spans="1:22" ht="22.15" hidden="1" customHeight="1">
      <c r="A31"/>
      <c r="B31" s="5" t="s">
        <v>40</v>
      </c>
      <c r="C31" s="27" t="s">
        <v>8</v>
      </c>
      <c r="D31" s="28">
        <v>2</v>
      </c>
      <c r="E31" s="30">
        <v>45268</v>
      </c>
      <c r="F31" s="30">
        <v>45313</v>
      </c>
      <c r="G31" s="6">
        <f t="shared" si="0"/>
        <v>-1524.4444444444443</v>
      </c>
      <c r="H31" s="6">
        <f t="shared" si="1"/>
        <v>-686</v>
      </c>
      <c r="I31" s="27" t="s">
        <v>8</v>
      </c>
      <c r="J31" s="28">
        <v>2</v>
      </c>
      <c r="K31" s="30">
        <v>45268</v>
      </c>
      <c r="L31" s="30">
        <v>45313</v>
      </c>
      <c r="M31" s="6">
        <f t="shared" si="2"/>
        <v>-1524.4444444444443</v>
      </c>
      <c r="N31" s="6">
        <f t="shared" si="3"/>
        <v>-686</v>
      </c>
      <c r="O31" s="27" t="s">
        <v>8</v>
      </c>
      <c r="P31" s="28">
        <v>2</v>
      </c>
      <c r="Q31" s="30">
        <v>45268</v>
      </c>
      <c r="R31" s="30">
        <v>45313</v>
      </c>
      <c r="S31" s="6">
        <f t="shared" si="4"/>
        <v>-1524.4444444444443</v>
      </c>
      <c r="T31" s="6">
        <f t="shared" si="5"/>
        <v>-686</v>
      </c>
      <c r="U31" s="26"/>
      <c r="V31" s="12"/>
    </row>
    <row r="32" spans="1:22" ht="22.15" hidden="1" customHeight="1">
      <c r="A32"/>
      <c r="B32" s="5" t="s">
        <v>41</v>
      </c>
      <c r="C32" s="27" t="s">
        <v>15</v>
      </c>
      <c r="D32" s="28">
        <v>273.39999999999998</v>
      </c>
      <c r="E32" s="30">
        <v>45268</v>
      </c>
      <c r="F32" s="30">
        <v>45313</v>
      </c>
      <c r="G32" s="6">
        <f t="shared" si="0"/>
        <v>-1524.4444444444443</v>
      </c>
      <c r="H32" s="6">
        <f t="shared" si="1"/>
        <v>-686</v>
      </c>
      <c r="I32" s="27" t="s">
        <v>15</v>
      </c>
      <c r="J32" s="28">
        <v>273.39999999999998</v>
      </c>
      <c r="K32" s="30">
        <v>45268</v>
      </c>
      <c r="L32" s="30">
        <v>45313</v>
      </c>
      <c r="M32" s="6">
        <f t="shared" si="2"/>
        <v>-1524.4444444444443</v>
      </c>
      <c r="N32" s="6">
        <f t="shared" si="3"/>
        <v>-686</v>
      </c>
      <c r="O32" s="27" t="s">
        <v>15</v>
      </c>
      <c r="P32" s="28">
        <v>273.39999999999998</v>
      </c>
      <c r="Q32" s="30">
        <v>45268</v>
      </c>
      <c r="R32" s="30">
        <v>45313</v>
      </c>
      <c r="S32" s="6">
        <f t="shared" si="4"/>
        <v>-1524.4444444444443</v>
      </c>
      <c r="T32" s="6">
        <f t="shared" si="5"/>
        <v>-686</v>
      </c>
      <c r="U32" s="26"/>
      <c r="V32" s="12"/>
    </row>
    <row r="33" spans="1:22" ht="22.15" hidden="1" customHeight="1">
      <c r="A33"/>
      <c r="B33" s="5" t="s">
        <v>42</v>
      </c>
      <c r="C33" s="27" t="s">
        <v>15</v>
      </c>
      <c r="D33" s="28">
        <v>160.19999999999999</v>
      </c>
      <c r="E33" s="30">
        <v>45274</v>
      </c>
      <c r="F33" s="30">
        <v>45314</v>
      </c>
      <c r="G33" s="6">
        <f t="shared" si="0"/>
        <v>-1712.5</v>
      </c>
      <c r="H33" s="6">
        <f t="shared" si="1"/>
        <v>-685</v>
      </c>
      <c r="I33" s="27" t="s">
        <v>15</v>
      </c>
      <c r="J33" s="28">
        <v>160.19999999999999</v>
      </c>
      <c r="K33" s="30">
        <v>45274</v>
      </c>
      <c r="L33" s="30">
        <v>45314</v>
      </c>
      <c r="M33" s="6">
        <f t="shared" si="2"/>
        <v>-1712.5</v>
      </c>
      <c r="N33" s="6">
        <f t="shared" si="3"/>
        <v>-685</v>
      </c>
      <c r="O33" s="27" t="s">
        <v>15</v>
      </c>
      <c r="P33" s="28">
        <v>160.19999999999999</v>
      </c>
      <c r="Q33" s="30">
        <v>45274</v>
      </c>
      <c r="R33" s="30">
        <v>45314</v>
      </c>
      <c r="S33" s="6">
        <f t="shared" si="4"/>
        <v>-1712.5</v>
      </c>
      <c r="T33" s="6">
        <f t="shared" si="5"/>
        <v>-685</v>
      </c>
      <c r="U33" s="26"/>
      <c r="V33" s="12"/>
    </row>
    <row r="34" spans="1:22" ht="22.15" hidden="1" customHeight="1">
      <c r="A34"/>
      <c r="B34" s="5" t="s">
        <v>43</v>
      </c>
      <c r="C34" s="27" t="s">
        <v>15</v>
      </c>
      <c r="D34" s="28">
        <v>351.4</v>
      </c>
      <c r="E34" s="30">
        <v>45275</v>
      </c>
      <c r="F34" s="30">
        <v>45315</v>
      </c>
      <c r="G34" s="6">
        <f t="shared" si="0"/>
        <v>-1710.0000000000002</v>
      </c>
      <c r="H34" s="6">
        <f t="shared" si="1"/>
        <v>-684</v>
      </c>
      <c r="I34" s="27" t="s">
        <v>15</v>
      </c>
      <c r="J34" s="28">
        <v>351.4</v>
      </c>
      <c r="K34" s="30">
        <v>45275</v>
      </c>
      <c r="L34" s="30">
        <v>45315</v>
      </c>
      <c r="M34" s="6">
        <f t="shared" si="2"/>
        <v>-1710.0000000000002</v>
      </c>
      <c r="N34" s="6">
        <f t="shared" si="3"/>
        <v>-684</v>
      </c>
      <c r="O34" s="27" t="s">
        <v>15</v>
      </c>
      <c r="P34" s="28">
        <v>351.4</v>
      </c>
      <c r="Q34" s="30">
        <v>45275</v>
      </c>
      <c r="R34" s="30">
        <v>45315</v>
      </c>
      <c r="S34" s="6">
        <f t="shared" si="4"/>
        <v>-1710.0000000000002</v>
      </c>
      <c r="T34" s="6">
        <f t="shared" si="5"/>
        <v>-684</v>
      </c>
      <c r="U34" s="26"/>
      <c r="V34" s="12"/>
    </row>
    <row r="35" spans="1:22" ht="22.15" hidden="1" customHeight="1">
      <c r="A35"/>
      <c r="B35" s="5" t="s">
        <v>44</v>
      </c>
      <c r="C35" s="27" t="s">
        <v>15</v>
      </c>
      <c r="D35" s="28">
        <v>19.004000000000001</v>
      </c>
      <c r="E35" s="30">
        <v>45275</v>
      </c>
      <c r="F35" s="30">
        <v>45315</v>
      </c>
      <c r="G35" s="6">
        <f t="shared" si="0"/>
        <v>-1710.0000000000002</v>
      </c>
      <c r="H35" s="6">
        <f t="shared" si="1"/>
        <v>-684</v>
      </c>
      <c r="I35" s="27" t="s">
        <v>15</v>
      </c>
      <c r="J35" s="28">
        <v>19.004000000000001</v>
      </c>
      <c r="K35" s="30">
        <v>45275</v>
      </c>
      <c r="L35" s="30">
        <v>45315</v>
      </c>
      <c r="M35" s="6">
        <f t="shared" si="2"/>
        <v>-1710.0000000000002</v>
      </c>
      <c r="N35" s="6">
        <f t="shared" si="3"/>
        <v>-684</v>
      </c>
      <c r="O35" s="27" t="s">
        <v>15</v>
      </c>
      <c r="P35" s="28">
        <v>19.004000000000001</v>
      </c>
      <c r="Q35" s="30">
        <v>45275</v>
      </c>
      <c r="R35" s="30">
        <v>45315</v>
      </c>
      <c r="S35" s="6">
        <f t="shared" si="4"/>
        <v>-1710.0000000000002</v>
      </c>
      <c r="T35" s="6">
        <f t="shared" si="5"/>
        <v>-684</v>
      </c>
      <c r="U35" s="26"/>
      <c r="V35" s="12"/>
    </row>
    <row r="36" spans="1:22" ht="22.15" hidden="1" customHeight="1">
      <c r="A36"/>
      <c r="B36" s="5" t="s">
        <v>45</v>
      </c>
      <c r="C36" s="27" t="s">
        <v>15</v>
      </c>
      <c r="D36" s="28">
        <v>6.56</v>
      </c>
      <c r="E36" s="30"/>
      <c r="F36" s="30"/>
      <c r="G36" s="6" t="str">
        <f t="shared" si="0"/>
        <v/>
      </c>
      <c r="H36" s="6">
        <f t="shared" si="1"/>
        <v>-45999</v>
      </c>
      <c r="I36" s="27" t="s">
        <v>15</v>
      </c>
      <c r="J36" s="28">
        <v>6.56</v>
      </c>
      <c r="K36" s="30"/>
      <c r="L36" s="30"/>
      <c r="M36" s="6" t="str">
        <f t="shared" si="2"/>
        <v/>
      </c>
      <c r="N36" s="6">
        <f t="shared" si="3"/>
        <v>-45999</v>
      </c>
      <c r="O36" s="27" t="s">
        <v>15</v>
      </c>
      <c r="P36" s="28">
        <v>6.56</v>
      </c>
      <c r="Q36" s="30"/>
      <c r="R36" s="30"/>
      <c r="S36" s="6" t="str">
        <f t="shared" si="4"/>
        <v/>
      </c>
      <c r="T36" s="6">
        <f t="shared" si="5"/>
        <v>-45999</v>
      </c>
      <c r="U36" s="26"/>
      <c r="V36" s="12"/>
    </row>
    <row r="37" spans="1:22" ht="22.15" hidden="1" customHeight="1">
      <c r="A37"/>
      <c r="B37" s="5" t="s">
        <v>46</v>
      </c>
      <c r="C37" s="27" t="s">
        <v>15</v>
      </c>
      <c r="D37" s="28">
        <v>115.69499999999999</v>
      </c>
      <c r="E37" s="30">
        <v>45276</v>
      </c>
      <c r="F37" s="30">
        <v>45316</v>
      </c>
      <c r="G37" s="6">
        <f t="shared" si="0"/>
        <v>-1707.5</v>
      </c>
      <c r="H37" s="6">
        <f t="shared" si="1"/>
        <v>-683</v>
      </c>
      <c r="I37" s="27" t="s">
        <v>15</v>
      </c>
      <c r="J37" s="28">
        <v>115.69499999999999</v>
      </c>
      <c r="K37" s="30">
        <v>45276</v>
      </c>
      <c r="L37" s="30">
        <v>45316</v>
      </c>
      <c r="M37" s="6">
        <f t="shared" si="2"/>
        <v>-1707.5</v>
      </c>
      <c r="N37" s="6">
        <f t="shared" si="3"/>
        <v>-683</v>
      </c>
      <c r="O37" s="27" t="s">
        <v>15</v>
      </c>
      <c r="P37" s="28">
        <v>115.69499999999999</v>
      </c>
      <c r="Q37" s="30">
        <v>45276</v>
      </c>
      <c r="R37" s="30">
        <v>45316</v>
      </c>
      <c r="S37" s="6">
        <f t="shared" si="4"/>
        <v>-1707.5</v>
      </c>
      <c r="T37" s="6">
        <f t="shared" si="5"/>
        <v>-683</v>
      </c>
      <c r="U37" s="26"/>
      <c r="V37" s="12"/>
    </row>
    <row r="38" spans="1:22" ht="22.15" hidden="1" customHeight="1">
      <c r="A38"/>
      <c r="B38" s="5" t="s">
        <v>47</v>
      </c>
      <c r="C38" s="27" t="s">
        <v>8</v>
      </c>
      <c r="D38" s="28">
        <v>234</v>
      </c>
      <c r="E38" s="30">
        <v>45260</v>
      </c>
      <c r="F38" s="30">
        <v>45320</v>
      </c>
      <c r="G38" s="6">
        <f>IFERROR((F38-$G$1)/(F38-E38)*100,"")</f>
        <v>-1131.6666666666667</v>
      </c>
      <c r="H38" s="6">
        <f>F38-$H$1</f>
        <v>-679</v>
      </c>
      <c r="I38" s="27" t="s">
        <v>8</v>
      </c>
      <c r="J38" s="28">
        <v>234</v>
      </c>
      <c r="K38" s="30">
        <v>45260</v>
      </c>
      <c r="L38" s="30">
        <v>45320</v>
      </c>
      <c r="M38" s="6">
        <f>IFERROR((L38-$G$1)/(L38-K38)*100,"")</f>
        <v>-1131.6666666666667</v>
      </c>
      <c r="N38" s="6">
        <f>L38-$H$1</f>
        <v>-679</v>
      </c>
      <c r="O38" s="27" t="s">
        <v>8</v>
      </c>
      <c r="P38" s="28">
        <v>234</v>
      </c>
      <c r="Q38" s="30">
        <v>45260</v>
      </c>
      <c r="R38" s="30">
        <v>45320</v>
      </c>
      <c r="S38" s="6">
        <f>IFERROR((R38-$G$1)/(R38-Q38)*100,"")</f>
        <v>-1131.6666666666667</v>
      </c>
      <c r="T38" s="6">
        <f>R38-$H$1</f>
        <v>-679</v>
      </c>
      <c r="U38" s="26"/>
      <c r="V38" s="12"/>
    </row>
    <row r="39" spans="1:22" ht="22.15" hidden="1" customHeight="1">
      <c r="A39"/>
      <c r="B39" s="5" t="s">
        <v>48</v>
      </c>
      <c r="C39" s="27" t="s">
        <v>8</v>
      </c>
      <c r="D39" s="28">
        <v>480</v>
      </c>
      <c r="E39" s="30"/>
      <c r="F39" s="30"/>
      <c r="G39" s="6" t="str">
        <f t="shared" ref="G39:G71" si="6">IFERROR((F39-$G$1)/(F39-E39)*100,"")</f>
        <v/>
      </c>
      <c r="H39" s="6">
        <f t="shared" ref="H39:H71" si="7">F39-$H$1</f>
        <v>-45999</v>
      </c>
      <c r="I39" s="27" t="s">
        <v>8</v>
      </c>
      <c r="J39" s="28">
        <v>480</v>
      </c>
      <c r="K39" s="30"/>
      <c r="L39" s="30"/>
      <c r="M39" s="6" t="str">
        <f t="shared" ref="M39:M95" si="8">IFERROR((L39-$G$1)/(L39-K39)*100,"")</f>
        <v/>
      </c>
      <c r="N39" s="6">
        <f t="shared" ref="N39:N95" si="9">L39-$H$1</f>
        <v>-45999</v>
      </c>
      <c r="O39" s="27" t="s">
        <v>8</v>
      </c>
      <c r="P39" s="28">
        <v>480</v>
      </c>
      <c r="Q39" s="30"/>
      <c r="R39" s="30"/>
      <c r="S39" s="6" t="str">
        <f t="shared" ref="S39:S95" si="10">IFERROR((R39-$G$1)/(R39-Q39)*100,"")</f>
        <v/>
      </c>
      <c r="T39" s="6">
        <f t="shared" ref="T39:T95" si="11">R39-$H$1</f>
        <v>-45999</v>
      </c>
      <c r="U39" s="26"/>
      <c r="V39" s="12"/>
    </row>
    <row r="40" spans="1:22" ht="22.15" hidden="1" customHeight="1">
      <c r="A40"/>
      <c r="B40" s="5" t="s">
        <v>49</v>
      </c>
      <c r="C40" s="27" t="s">
        <v>8</v>
      </c>
      <c r="D40" s="28">
        <v>480</v>
      </c>
      <c r="E40" s="30"/>
      <c r="F40" s="30"/>
      <c r="G40" s="6" t="str">
        <f t="shared" si="6"/>
        <v/>
      </c>
      <c r="H40" s="6">
        <f t="shared" si="7"/>
        <v>-45999</v>
      </c>
      <c r="I40" s="27" t="s">
        <v>8</v>
      </c>
      <c r="J40" s="28">
        <v>480</v>
      </c>
      <c r="K40" s="30"/>
      <c r="L40" s="30"/>
      <c r="M40" s="6" t="str">
        <f t="shared" si="8"/>
        <v/>
      </c>
      <c r="N40" s="6">
        <f t="shared" si="9"/>
        <v>-45999</v>
      </c>
      <c r="O40" s="27" t="s">
        <v>8</v>
      </c>
      <c r="P40" s="28">
        <v>480</v>
      </c>
      <c r="Q40" s="30"/>
      <c r="R40" s="30"/>
      <c r="S40" s="6" t="str">
        <f t="shared" si="10"/>
        <v/>
      </c>
      <c r="T40" s="6">
        <f t="shared" si="11"/>
        <v>-45999</v>
      </c>
      <c r="U40" s="26"/>
      <c r="V40" s="12"/>
    </row>
    <row r="41" spans="1:22" ht="22.15" hidden="1" customHeight="1">
      <c r="A41"/>
      <c r="B41" s="5" t="s">
        <v>50</v>
      </c>
      <c r="C41" s="27" t="s">
        <v>8</v>
      </c>
      <c r="D41" s="28">
        <v>2136</v>
      </c>
      <c r="E41" s="30"/>
      <c r="F41" s="30"/>
      <c r="G41" s="6" t="str">
        <f t="shared" si="6"/>
        <v/>
      </c>
      <c r="H41" s="6">
        <f t="shared" si="7"/>
        <v>-45999</v>
      </c>
      <c r="I41" s="27" t="s">
        <v>8</v>
      </c>
      <c r="J41" s="28">
        <v>2136</v>
      </c>
      <c r="K41" s="30"/>
      <c r="L41" s="30"/>
      <c r="M41" s="6" t="str">
        <f t="shared" si="8"/>
        <v/>
      </c>
      <c r="N41" s="6">
        <f t="shared" si="9"/>
        <v>-45999</v>
      </c>
      <c r="O41" s="27" t="s">
        <v>8</v>
      </c>
      <c r="P41" s="28">
        <v>2136</v>
      </c>
      <c r="Q41" s="30"/>
      <c r="R41" s="30"/>
      <c r="S41" s="6" t="str">
        <f t="shared" si="10"/>
        <v/>
      </c>
      <c r="T41" s="6">
        <f t="shared" si="11"/>
        <v>-45999</v>
      </c>
      <c r="U41" s="26"/>
      <c r="V41" s="12"/>
    </row>
    <row r="42" spans="1:22" ht="22.15" hidden="1" customHeight="1">
      <c r="A42"/>
      <c r="B42" s="5" t="s">
        <v>51</v>
      </c>
      <c r="C42" s="27" t="s">
        <v>8</v>
      </c>
      <c r="D42" s="28">
        <v>192</v>
      </c>
      <c r="E42" s="30"/>
      <c r="F42" s="30"/>
      <c r="G42" s="6" t="str">
        <f t="shared" si="6"/>
        <v/>
      </c>
      <c r="H42" s="6">
        <f t="shared" si="7"/>
        <v>-45999</v>
      </c>
      <c r="I42" s="27" t="s">
        <v>8</v>
      </c>
      <c r="J42" s="28">
        <v>192</v>
      </c>
      <c r="K42" s="30"/>
      <c r="L42" s="30"/>
      <c r="M42" s="6" t="str">
        <f t="shared" si="8"/>
        <v/>
      </c>
      <c r="N42" s="6">
        <f t="shared" si="9"/>
        <v>-45999</v>
      </c>
      <c r="O42" s="27" t="s">
        <v>8</v>
      </c>
      <c r="P42" s="28">
        <v>192</v>
      </c>
      <c r="Q42" s="30"/>
      <c r="R42" s="30"/>
      <c r="S42" s="6" t="str">
        <f t="shared" si="10"/>
        <v/>
      </c>
      <c r="T42" s="6">
        <f t="shared" si="11"/>
        <v>-45999</v>
      </c>
      <c r="U42" s="26"/>
      <c r="V42" s="12"/>
    </row>
    <row r="43" spans="1:22" ht="22.15" hidden="1" customHeight="1">
      <c r="A43"/>
      <c r="B43" s="5" t="s">
        <v>52</v>
      </c>
      <c r="C43" s="27" t="s">
        <v>8</v>
      </c>
      <c r="D43" s="28">
        <v>192</v>
      </c>
      <c r="E43" s="30"/>
      <c r="F43" s="30"/>
      <c r="G43" s="6" t="str">
        <f t="shared" si="6"/>
        <v/>
      </c>
      <c r="H43" s="6">
        <f t="shared" si="7"/>
        <v>-45999</v>
      </c>
      <c r="I43" s="27" t="s">
        <v>8</v>
      </c>
      <c r="J43" s="28">
        <v>192</v>
      </c>
      <c r="K43" s="30"/>
      <c r="L43" s="30"/>
      <c r="M43" s="6" t="str">
        <f t="shared" si="8"/>
        <v/>
      </c>
      <c r="N43" s="6">
        <f t="shared" si="9"/>
        <v>-45999</v>
      </c>
      <c r="O43" s="27" t="s">
        <v>8</v>
      </c>
      <c r="P43" s="28">
        <v>192</v>
      </c>
      <c r="Q43" s="30"/>
      <c r="R43" s="30"/>
      <c r="S43" s="6" t="str">
        <f t="shared" si="10"/>
        <v/>
      </c>
      <c r="T43" s="6">
        <f t="shared" si="11"/>
        <v>-45999</v>
      </c>
      <c r="U43" s="26"/>
      <c r="V43" s="12"/>
    </row>
    <row r="44" spans="1:22" ht="22.15" hidden="1" customHeight="1">
      <c r="A44"/>
      <c r="B44" s="5" t="s">
        <v>53</v>
      </c>
      <c r="C44" s="27" t="s">
        <v>8</v>
      </c>
      <c r="D44" s="28">
        <v>2368</v>
      </c>
      <c r="E44" s="30"/>
      <c r="F44" s="30"/>
      <c r="G44" s="6" t="str">
        <f t="shared" si="6"/>
        <v/>
      </c>
      <c r="H44" s="6">
        <f t="shared" si="7"/>
        <v>-45999</v>
      </c>
      <c r="I44" s="27" t="s">
        <v>8</v>
      </c>
      <c r="J44" s="28">
        <v>2368</v>
      </c>
      <c r="K44" s="30"/>
      <c r="L44" s="30"/>
      <c r="M44" s="6" t="str">
        <f t="shared" si="8"/>
        <v/>
      </c>
      <c r="N44" s="6">
        <f t="shared" si="9"/>
        <v>-45999</v>
      </c>
      <c r="O44" s="27" t="s">
        <v>8</v>
      </c>
      <c r="P44" s="28">
        <v>2368</v>
      </c>
      <c r="Q44" s="30"/>
      <c r="R44" s="30"/>
      <c r="S44" s="6" t="str">
        <f t="shared" si="10"/>
        <v/>
      </c>
      <c r="T44" s="6">
        <f t="shared" si="11"/>
        <v>-45999</v>
      </c>
      <c r="U44" s="26"/>
      <c r="V44" s="12"/>
    </row>
    <row r="45" spans="1:22" ht="22.15" hidden="1" customHeight="1">
      <c r="A45"/>
      <c r="B45" s="5" t="s">
        <v>54</v>
      </c>
      <c r="C45" s="27" t="s">
        <v>8</v>
      </c>
      <c r="D45" s="28">
        <v>836</v>
      </c>
      <c r="E45" s="30"/>
      <c r="F45" s="30"/>
      <c r="G45" s="6" t="str">
        <f t="shared" si="6"/>
        <v/>
      </c>
      <c r="H45" s="6">
        <f t="shared" si="7"/>
        <v>-45999</v>
      </c>
      <c r="I45" s="27" t="s">
        <v>8</v>
      </c>
      <c r="J45" s="28">
        <v>836</v>
      </c>
      <c r="K45" s="30"/>
      <c r="L45" s="30"/>
      <c r="M45" s="6" t="str">
        <f t="shared" si="8"/>
        <v/>
      </c>
      <c r="N45" s="6">
        <f t="shared" si="9"/>
        <v>-45999</v>
      </c>
      <c r="O45" s="27" t="s">
        <v>8</v>
      </c>
      <c r="P45" s="28">
        <v>836</v>
      </c>
      <c r="Q45" s="30"/>
      <c r="R45" s="30"/>
      <c r="S45" s="6" t="str">
        <f t="shared" si="10"/>
        <v/>
      </c>
      <c r="T45" s="6">
        <f t="shared" si="11"/>
        <v>-45999</v>
      </c>
      <c r="U45" s="26"/>
      <c r="V45" s="12"/>
    </row>
    <row r="46" spans="1:22" ht="22.15" hidden="1" customHeight="1">
      <c r="A46"/>
      <c r="B46" s="5" t="s">
        <v>55</v>
      </c>
      <c r="C46" s="27" t="s">
        <v>8</v>
      </c>
      <c r="D46" s="28">
        <v>620</v>
      </c>
      <c r="E46" s="30"/>
      <c r="F46" s="30"/>
      <c r="G46" s="6" t="str">
        <f t="shared" si="6"/>
        <v/>
      </c>
      <c r="H46" s="6">
        <f t="shared" si="7"/>
        <v>-45999</v>
      </c>
      <c r="I46" s="27" t="s">
        <v>8</v>
      </c>
      <c r="J46" s="28">
        <v>620</v>
      </c>
      <c r="K46" s="30"/>
      <c r="L46" s="30"/>
      <c r="M46" s="6" t="str">
        <f t="shared" si="8"/>
        <v/>
      </c>
      <c r="N46" s="6">
        <f t="shared" si="9"/>
        <v>-45999</v>
      </c>
      <c r="O46" s="27" t="s">
        <v>8</v>
      </c>
      <c r="P46" s="28">
        <v>620</v>
      </c>
      <c r="Q46" s="30"/>
      <c r="R46" s="30"/>
      <c r="S46" s="6" t="str">
        <f t="shared" si="10"/>
        <v/>
      </c>
      <c r="T46" s="6">
        <f t="shared" si="11"/>
        <v>-45999</v>
      </c>
      <c r="U46" s="26"/>
      <c r="V46" s="12"/>
    </row>
    <row r="47" spans="1:22" ht="22.15" hidden="1" customHeight="1">
      <c r="A47"/>
      <c r="B47" s="5" t="s">
        <v>56</v>
      </c>
      <c r="C47" s="27" t="s">
        <v>8</v>
      </c>
      <c r="D47" s="28">
        <v>1484</v>
      </c>
      <c r="E47" s="30"/>
      <c r="F47" s="30"/>
      <c r="G47" s="6" t="str">
        <f t="shared" si="6"/>
        <v/>
      </c>
      <c r="H47" s="6">
        <f t="shared" si="7"/>
        <v>-45999</v>
      </c>
      <c r="I47" s="27" t="s">
        <v>8</v>
      </c>
      <c r="J47" s="28">
        <v>1484</v>
      </c>
      <c r="K47" s="30"/>
      <c r="L47" s="30"/>
      <c r="M47" s="6" t="str">
        <f t="shared" si="8"/>
        <v/>
      </c>
      <c r="N47" s="6">
        <f t="shared" si="9"/>
        <v>-45999</v>
      </c>
      <c r="O47" s="27" t="s">
        <v>8</v>
      </c>
      <c r="P47" s="28">
        <v>1484</v>
      </c>
      <c r="Q47" s="30"/>
      <c r="R47" s="30"/>
      <c r="S47" s="6" t="str">
        <f t="shared" si="10"/>
        <v/>
      </c>
      <c r="T47" s="6">
        <f t="shared" si="11"/>
        <v>-45999</v>
      </c>
      <c r="U47" s="26"/>
      <c r="V47" s="12"/>
    </row>
    <row r="48" spans="1:22" ht="22.15" hidden="1" customHeight="1">
      <c r="A48"/>
      <c r="B48" s="5" t="s">
        <v>57</v>
      </c>
      <c r="C48" s="27" t="s">
        <v>8</v>
      </c>
      <c r="D48" s="28">
        <v>644</v>
      </c>
      <c r="E48" s="30"/>
      <c r="F48" s="30"/>
      <c r="G48" s="6" t="str">
        <f t="shared" si="6"/>
        <v/>
      </c>
      <c r="H48" s="6">
        <f t="shared" si="7"/>
        <v>-45999</v>
      </c>
      <c r="I48" s="27" t="s">
        <v>8</v>
      </c>
      <c r="J48" s="28">
        <v>644</v>
      </c>
      <c r="K48" s="30"/>
      <c r="L48" s="30"/>
      <c r="M48" s="6" t="str">
        <f t="shared" si="8"/>
        <v/>
      </c>
      <c r="N48" s="6">
        <f t="shared" si="9"/>
        <v>-45999</v>
      </c>
      <c r="O48" s="27" t="s">
        <v>8</v>
      </c>
      <c r="P48" s="28">
        <v>644</v>
      </c>
      <c r="Q48" s="30"/>
      <c r="R48" s="30"/>
      <c r="S48" s="6" t="str">
        <f t="shared" si="10"/>
        <v/>
      </c>
      <c r="T48" s="6">
        <f t="shared" si="11"/>
        <v>-45999</v>
      </c>
      <c r="U48" s="26"/>
      <c r="V48" s="12"/>
    </row>
    <row r="49" spans="1:22" ht="22.15" hidden="1" customHeight="1">
      <c r="A49"/>
      <c r="B49" s="5" t="s">
        <v>58</v>
      </c>
      <c r="C49" s="27" t="s">
        <v>8</v>
      </c>
      <c r="D49" s="28">
        <v>716</v>
      </c>
      <c r="E49" s="30"/>
      <c r="F49" s="30"/>
      <c r="G49" s="6" t="str">
        <f t="shared" si="6"/>
        <v/>
      </c>
      <c r="H49" s="6">
        <f t="shared" si="7"/>
        <v>-45999</v>
      </c>
      <c r="I49" s="27" t="s">
        <v>8</v>
      </c>
      <c r="J49" s="28">
        <v>716</v>
      </c>
      <c r="K49" s="30"/>
      <c r="L49" s="30"/>
      <c r="M49" s="6" t="str">
        <f t="shared" si="8"/>
        <v/>
      </c>
      <c r="N49" s="6">
        <f t="shared" si="9"/>
        <v>-45999</v>
      </c>
      <c r="O49" s="27" t="s">
        <v>8</v>
      </c>
      <c r="P49" s="28">
        <v>716</v>
      </c>
      <c r="Q49" s="30"/>
      <c r="R49" s="30"/>
      <c r="S49" s="6" t="str">
        <f t="shared" si="10"/>
        <v/>
      </c>
      <c r="T49" s="6">
        <f t="shared" si="11"/>
        <v>-45999</v>
      </c>
      <c r="U49" s="26"/>
      <c r="V49" s="12"/>
    </row>
    <row r="50" spans="1:22" ht="22.15" hidden="1" customHeight="1">
      <c r="A50"/>
      <c r="B50" s="5" t="s">
        <v>59</v>
      </c>
      <c r="C50" s="27" t="s">
        <v>8</v>
      </c>
      <c r="D50" s="28">
        <v>500</v>
      </c>
      <c r="E50" s="30"/>
      <c r="F50" s="30"/>
      <c r="G50" s="6" t="str">
        <f t="shared" si="6"/>
        <v/>
      </c>
      <c r="H50" s="6">
        <f t="shared" si="7"/>
        <v>-45999</v>
      </c>
      <c r="I50" s="27" t="s">
        <v>8</v>
      </c>
      <c r="J50" s="28">
        <v>500</v>
      </c>
      <c r="K50" s="30"/>
      <c r="L50" s="30"/>
      <c r="M50" s="6" t="str">
        <f t="shared" si="8"/>
        <v/>
      </c>
      <c r="N50" s="6">
        <f t="shared" si="9"/>
        <v>-45999</v>
      </c>
      <c r="O50" s="27" t="s">
        <v>8</v>
      </c>
      <c r="P50" s="28">
        <v>500</v>
      </c>
      <c r="Q50" s="30"/>
      <c r="R50" s="30"/>
      <c r="S50" s="6" t="str">
        <f t="shared" si="10"/>
        <v/>
      </c>
      <c r="T50" s="6">
        <f t="shared" si="11"/>
        <v>-45999</v>
      </c>
      <c r="U50" s="26"/>
      <c r="V50" s="12"/>
    </row>
    <row r="51" spans="1:22" ht="22.15" hidden="1" customHeight="1">
      <c r="A51"/>
      <c r="B51" s="5" t="s">
        <v>60</v>
      </c>
      <c r="C51" s="27" t="s">
        <v>8</v>
      </c>
      <c r="D51" s="28">
        <v>956</v>
      </c>
      <c r="E51" s="30"/>
      <c r="F51" s="30"/>
      <c r="G51" s="6" t="str">
        <f t="shared" si="6"/>
        <v/>
      </c>
      <c r="H51" s="6">
        <f t="shared" si="7"/>
        <v>-45999</v>
      </c>
      <c r="I51" s="27" t="s">
        <v>8</v>
      </c>
      <c r="J51" s="28">
        <v>956</v>
      </c>
      <c r="K51" s="30"/>
      <c r="L51" s="30"/>
      <c r="M51" s="6" t="str">
        <f t="shared" si="8"/>
        <v/>
      </c>
      <c r="N51" s="6">
        <f t="shared" si="9"/>
        <v>-45999</v>
      </c>
      <c r="O51" s="27" t="s">
        <v>8</v>
      </c>
      <c r="P51" s="28">
        <v>956</v>
      </c>
      <c r="Q51" s="30"/>
      <c r="R51" s="30"/>
      <c r="S51" s="6" t="str">
        <f t="shared" si="10"/>
        <v/>
      </c>
      <c r="T51" s="6">
        <f t="shared" si="11"/>
        <v>-45999</v>
      </c>
      <c r="U51" s="26"/>
      <c r="V51" s="12"/>
    </row>
    <row r="52" spans="1:22" ht="22.15" hidden="1" customHeight="1">
      <c r="A52"/>
      <c r="B52" s="5" t="s">
        <v>61</v>
      </c>
      <c r="C52" s="27" t="s">
        <v>8</v>
      </c>
      <c r="D52" s="28">
        <v>2012</v>
      </c>
      <c r="E52" s="30"/>
      <c r="F52" s="30"/>
      <c r="G52" s="6" t="str">
        <f t="shared" si="6"/>
        <v/>
      </c>
      <c r="H52" s="6">
        <f t="shared" si="7"/>
        <v>-45999</v>
      </c>
      <c r="I52" s="27" t="s">
        <v>8</v>
      </c>
      <c r="J52" s="28">
        <v>2012</v>
      </c>
      <c r="K52" s="30"/>
      <c r="L52" s="30"/>
      <c r="M52" s="6" t="str">
        <f t="shared" si="8"/>
        <v/>
      </c>
      <c r="N52" s="6">
        <f t="shared" si="9"/>
        <v>-45999</v>
      </c>
      <c r="O52" s="27" t="s">
        <v>8</v>
      </c>
      <c r="P52" s="28">
        <v>2012</v>
      </c>
      <c r="Q52" s="30"/>
      <c r="R52" s="30"/>
      <c r="S52" s="6" t="str">
        <f t="shared" si="10"/>
        <v/>
      </c>
      <c r="T52" s="6">
        <f t="shared" si="11"/>
        <v>-45999</v>
      </c>
      <c r="U52" s="26"/>
      <c r="V52" s="12"/>
    </row>
    <row r="53" spans="1:22" ht="22.15" hidden="1" customHeight="1">
      <c r="A53"/>
      <c r="B53" s="5" t="s">
        <v>62</v>
      </c>
      <c r="C53" s="27" t="s">
        <v>8</v>
      </c>
      <c r="D53" s="28">
        <v>740</v>
      </c>
      <c r="E53" s="30"/>
      <c r="F53" s="30"/>
      <c r="G53" s="6" t="str">
        <f t="shared" si="6"/>
        <v/>
      </c>
      <c r="H53" s="6">
        <f t="shared" si="7"/>
        <v>-45999</v>
      </c>
      <c r="I53" s="27" t="s">
        <v>8</v>
      </c>
      <c r="J53" s="28">
        <v>740</v>
      </c>
      <c r="K53" s="30"/>
      <c r="L53" s="30"/>
      <c r="M53" s="6" t="str">
        <f t="shared" si="8"/>
        <v/>
      </c>
      <c r="N53" s="6">
        <f t="shared" si="9"/>
        <v>-45999</v>
      </c>
      <c r="O53" s="27" t="s">
        <v>8</v>
      </c>
      <c r="P53" s="28">
        <v>740</v>
      </c>
      <c r="Q53" s="30"/>
      <c r="R53" s="30"/>
      <c r="S53" s="6" t="str">
        <f t="shared" si="10"/>
        <v/>
      </c>
      <c r="T53" s="6">
        <f t="shared" si="11"/>
        <v>-45999</v>
      </c>
      <c r="U53" s="26"/>
      <c r="V53" s="12"/>
    </row>
    <row r="54" spans="1:22" ht="22.15" hidden="1" customHeight="1">
      <c r="A54"/>
      <c r="B54" s="5" t="s">
        <v>63</v>
      </c>
      <c r="C54" s="27" t="s">
        <v>8</v>
      </c>
      <c r="D54" s="28">
        <v>92</v>
      </c>
      <c r="E54" s="30"/>
      <c r="F54" s="30"/>
      <c r="G54" s="6" t="str">
        <f t="shared" si="6"/>
        <v/>
      </c>
      <c r="H54" s="6">
        <f t="shared" si="7"/>
        <v>-45999</v>
      </c>
      <c r="I54" s="27" t="s">
        <v>8</v>
      </c>
      <c r="J54" s="28">
        <v>92</v>
      </c>
      <c r="K54" s="30"/>
      <c r="L54" s="30"/>
      <c r="M54" s="6" t="str">
        <f t="shared" si="8"/>
        <v/>
      </c>
      <c r="N54" s="6">
        <f t="shared" si="9"/>
        <v>-45999</v>
      </c>
      <c r="O54" s="27" t="s">
        <v>8</v>
      </c>
      <c r="P54" s="28">
        <v>92</v>
      </c>
      <c r="Q54" s="30"/>
      <c r="R54" s="30"/>
      <c r="S54" s="6" t="str">
        <f t="shared" si="10"/>
        <v/>
      </c>
      <c r="T54" s="6">
        <f t="shared" si="11"/>
        <v>-45999</v>
      </c>
      <c r="U54" s="26"/>
      <c r="V54" s="12"/>
    </row>
    <row r="55" spans="1:22" ht="22.15" hidden="1" customHeight="1">
      <c r="A55"/>
      <c r="B55" s="5" t="s">
        <v>64</v>
      </c>
      <c r="C55" s="27" t="s">
        <v>8</v>
      </c>
      <c r="D55" s="28">
        <v>636</v>
      </c>
      <c r="E55" s="30"/>
      <c r="F55" s="30"/>
      <c r="G55" s="6" t="str">
        <f t="shared" si="6"/>
        <v/>
      </c>
      <c r="H55" s="6">
        <f t="shared" si="7"/>
        <v>-45999</v>
      </c>
      <c r="I55" s="27" t="s">
        <v>8</v>
      </c>
      <c r="J55" s="28">
        <v>636</v>
      </c>
      <c r="K55" s="30"/>
      <c r="L55" s="30"/>
      <c r="M55" s="6" t="str">
        <f t="shared" si="8"/>
        <v/>
      </c>
      <c r="N55" s="6">
        <f t="shared" si="9"/>
        <v>-45999</v>
      </c>
      <c r="O55" s="27" t="s">
        <v>8</v>
      </c>
      <c r="P55" s="28">
        <v>636</v>
      </c>
      <c r="Q55" s="30"/>
      <c r="R55" s="30"/>
      <c r="S55" s="6" t="str">
        <f t="shared" si="10"/>
        <v/>
      </c>
      <c r="T55" s="6">
        <f t="shared" si="11"/>
        <v>-45999</v>
      </c>
      <c r="U55" s="26"/>
      <c r="V55" s="12"/>
    </row>
    <row r="56" spans="1:22" ht="22.15" hidden="1" customHeight="1">
      <c r="A56"/>
      <c r="B56" s="5" t="s">
        <v>65</v>
      </c>
      <c r="C56" s="27" t="s">
        <v>8</v>
      </c>
      <c r="D56" s="28">
        <v>636</v>
      </c>
      <c r="E56" s="30"/>
      <c r="F56" s="30"/>
      <c r="G56" s="6" t="str">
        <f t="shared" si="6"/>
        <v/>
      </c>
      <c r="H56" s="6">
        <f t="shared" si="7"/>
        <v>-45999</v>
      </c>
      <c r="I56" s="27" t="s">
        <v>8</v>
      </c>
      <c r="J56" s="28">
        <v>636</v>
      </c>
      <c r="K56" s="30"/>
      <c r="L56" s="30"/>
      <c r="M56" s="6" t="str">
        <f t="shared" si="8"/>
        <v/>
      </c>
      <c r="N56" s="6">
        <f t="shared" si="9"/>
        <v>-45999</v>
      </c>
      <c r="O56" s="27" t="s">
        <v>8</v>
      </c>
      <c r="P56" s="28">
        <v>636</v>
      </c>
      <c r="Q56" s="30"/>
      <c r="R56" s="30"/>
      <c r="S56" s="6" t="str">
        <f t="shared" si="10"/>
        <v/>
      </c>
      <c r="T56" s="6">
        <f t="shared" si="11"/>
        <v>-45999</v>
      </c>
      <c r="U56" s="26"/>
      <c r="V56" s="12"/>
    </row>
    <row r="57" spans="1:22" ht="22.15" hidden="1" customHeight="1">
      <c r="A57"/>
      <c r="B57" s="5" t="s">
        <v>66</v>
      </c>
      <c r="C57" s="27" t="s">
        <v>8</v>
      </c>
      <c r="D57" s="28">
        <v>620</v>
      </c>
      <c r="E57" s="30"/>
      <c r="F57" s="30"/>
      <c r="G57" s="6" t="str">
        <f t="shared" si="6"/>
        <v/>
      </c>
      <c r="H57" s="6">
        <f t="shared" si="7"/>
        <v>-45999</v>
      </c>
      <c r="I57" s="27" t="s">
        <v>8</v>
      </c>
      <c r="J57" s="28">
        <v>620</v>
      </c>
      <c r="K57" s="30"/>
      <c r="L57" s="30"/>
      <c r="M57" s="6" t="str">
        <f t="shared" si="8"/>
        <v/>
      </c>
      <c r="N57" s="6">
        <f t="shared" si="9"/>
        <v>-45999</v>
      </c>
      <c r="O57" s="27" t="s">
        <v>8</v>
      </c>
      <c r="P57" s="28">
        <v>620</v>
      </c>
      <c r="Q57" s="30"/>
      <c r="R57" s="30"/>
      <c r="S57" s="6" t="str">
        <f t="shared" si="10"/>
        <v/>
      </c>
      <c r="T57" s="6">
        <f t="shared" si="11"/>
        <v>-45999</v>
      </c>
      <c r="U57" s="26"/>
      <c r="V57" s="12"/>
    </row>
    <row r="58" spans="1:22" ht="22.15" hidden="1" customHeight="1">
      <c r="A58"/>
      <c r="B58" s="5" t="s">
        <v>67</v>
      </c>
      <c r="C58" s="27" t="s">
        <v>8</v>
      </c>
      <c r="D58" s="28">
        <v>636</v>
      </c>
      <c r="E58" s="30"/>
      <c r="F58" s="30"/>
      <c r="G58" s="6" t="str">
        <f t="shared" si="6"/>
        <v/>
      </c>
      <c r="H58" s="6">
        <f t="shared" si="7"/>
        <v>-45999</v>
      </c>
      <c r="I58" s="27" t="s">
        <v>8</v>
      </c>
      <c r="J58" s="28">
        <v>636</v>
      </c>
      <c r="K58" s="30"/>
      <c r="L58" s="30"/>
      <c r="M58" s="6" t="str">
        <f t="shared" si="8"/>
        <v/>
      </c>
      <c r="N58" s="6">
        <f t="shared" si="9"/>
        <v>-45999</v>
      </c>
      <c r="O58" s="27" t="s">
        <v>8</v>
      </c>
      <c r="P58" s="28">
        <v>636</v>
      </c>
      <c r="Q58" s="30"/>
      <c r="R58" s="30"/>
      <c r="S58" s="6" t="str">
        <f t="shared" si="10"/>
        <v/>
      </c>
      <c r="T58" s="6">
        <f t="shared" si="11"/>
        <v>-45999</v>
      </c>
      <c r="U58" s="26"/>
      <c r="V58" s="12"/>
    </row>
    <row r="59" spans="1:22" ht="22.15" hidden="1" customHeight="1">
      <c r="A59"/>
      <c r="B59" s="5" t="s">
        <v>68</v>
      </c>
      <c r="C59" s="27" t="s">
        <v>8</v>
      </c>
      <c r="D59" s="28">
        <v>3844</v>
      </c>
      <c r="E59" s="30"/>
      <c r="F59" s="30"/>
      <c r="G59" s="6" t="str">
        <f t="shared" si="6"/>
        <v/>
      </c>
      <c r="H59" s="6">
        <f t="shared" si="7"/>
        <v>-45999</v>
      </c>
      <c r="I59" s="27" t="s">
        <v>8</v>
      </c>
      <c r="J59" s="28">
        <v>3844</v>
      </c>
      <c r="K59" s="30"/>
      <c r="L59" s="30"/>
      <c r="M59" s="6" t="str">
        <f t="shared" si="8"/>
        <v/>
      </c>
      <c r="N59" s="6">
        <f t="shared" si="9"/>
        <v>-45999</v>
      </c>
      <c r="O59" s="27" t="s">
        <v>8</v>
      </c>
      <c r="P59" s="28">
        <v>3844</v>
      </c>
      <c r="Q59" s="30"/>
      <c r="R59" s="30"/>
      <c r="S59" s="6" t="str">
        <f t="shared" si="10"/>
        <v/>
      </c>
      <c r="T59" s="6">
        <f t="shared" si="11"/>
        <v>-45999</v>
      </c>
      <c r="U59" s="26"/>
      <c r="V59" s="12"/>
    </row>
    <row r="60" spans="1:22" ht="22.15" hidden="1" customHeight="1">
      <c r="A60"/>
      <c r="B60" s="5" t="s">
        <v>69</v>
      </c>
      <c r="C60" s="27" t="s">
        <v>8</v>
      </c>
      <c r="D60" s="28">
        <v>3244</v>
      </c>
      <c r="E60" s="30"/>
      <c r="F60" s="30"/>
      <c r="G60" s="6" t="str">
        <f t="shared" si="6"/>
        <v/>
      </c>
      <c r="H60" s="6">
        <f t="shared" si="7"/>
        <v>-45999</v>
      </c>
      <c r="I60" s="27" t="s">
        <v>8</v>
      </c>
      <c r="J60" s="28">
        <v>3244</v>
      </c>
      <c r="K60" s="30"/>
      <c r="L60" s="30"/>
      <c r="M60" s="6" t="str">
        <f t="shared" si="8"/>
        <v/>
      </c>
      <c r="N60" s="6">
        <f t="shared" si="9"/>
        <v>-45999</v>
      </c>
      <c r="O60" s="27" t="s">
        <v>8</v>
      </c>
      <c r="P60" s="28">
        <v>3244</v>
      </c>
      <c r="Q60" s="30"/>
      <c r="R60" s="30"/>
      <c r="S60" s="6" t="str">
        <f t="shared" si="10"/>
        <v/>
      </c>
      <c r="T60" s="6">
        <f t="shared" si="11"/>
        <v>-45999</v>
      </c>
      <c r="U60" s="26"/>
      <c r="V60" s="12"/>
    </row>
    <row r="61" spans="1:22" ht="22.15" hidden="1" customHeight="1">
      <c r="A61"/>
      <c r="B61" s="5" t="s">
        <v>70</v>
      </c>
      <c r="C61" s="27" t="s">
        <v>8</v>
      </c>
      <c r="D61" s="28">
        <v>3244</v>
      </c>
      <c r="E61" s="30"/>
      <c r="F61" s="30"/>
      <c r="G61" s="6" t="str">
        <f t="shared" si="6"/>
        <v/>
      </c>
      <c r="H61" s="6">
        <f t="shared" si="7"/>
        <v>-45999</v>
      </c>
      <c r="I61" s="27" t="s">
        <v>8</v>
      </c>
      <c r="J61" s="28">
        <v>3244</v>
      </c>
      <c r="K61" s="30"/>
      <c r="L61" s="30"/>
      <c r="M61" s="6" t="str">
        <f t="shared" si="8"/>
        <v/>
      </c>
      <c r="N61" s="6">
        <f t="shared" si="9"/>
        <v>-45999</v>
      </c>
      <c r="O61" s="27" t="s">
        <v>8</v>
      </c>
      <c r="P61" s="28">
        <v>3244</v>
      </c>
      <c r="Q61" s="30"/>
      <c r="R61" s="30"/>
      <c r="S61" s="6" t="str">
        <f t="shared" si="10"/>
        <v/>
      </c>
      <c r="T61" s="6">
        <f t="shared" si="11"/>
        <v>-45999</v>
      </c>
      <c r="U61" s="26"/>
      <c r="V61" s="12"/>
    </row>
    <row r="62" spans="1:22" ht="22.15" hidden="1" customHeight="1">
      <c r="A62"/>
      <c r="B62" s="5" t="s">
        <v>71</v>
      </c>
      <c r="C62" s="27" t="s">
        <v>8</v>
      </c>
      <c r="D62" s="28">
        <v>3268</v>
      </c>
      <c r="E62" s="30"/>
      <c r="F62" s="30"/>
      <c r="G62" s="6" t="str">
        <f t="shared" si="6"/>
        <v/>
      </c>
      <c r="H62" s="6">
        <f t="shared" si="7"/>
        <v>-45999</v>
      </c>
      <c r="I62" s="27" t="s">
        <v>8</v>
      </c>
      <c r="J62" s="28">
        <v>3268</v>
      </c>
      <c r="K62" s="30"/>
      <c r="L62" s="30"/>
      <c r="M62" s="6" t="str">
        <f t="shared" si="8"/>
        <v/>
      </c>
      <c r="N62" s="6">
        <f t="shared" si="9"/>
        <v>-45999</v>
      </c>
      <c r="O62" s="27" t="s">
        <v>8</v>
      </c>
      <c r="P62" s="28">
        <v>3268</v>
      </c>
      <c r="Q62" s="30"/>
      <c r="R62" s="30"/>
      <c r="S62" s="6" t="str">
        <f t="shared" si="10"/>
        <v/>
      </c>
      <c r="T62" s="6">
        <f t="shared" si="11"/>
        <v>-45999</v>
      </c>
      <c r="U62" s="26"/>
      <c r="V62" s="12"/>
    </row>
    <row r="63" spans="1:22" ht="22.15" hidden="1" customHeight="1">
      <c r="A63"/>
      <c r="B63" s="5" t="s">
        <v>72</v>
      </c>
      <c r="C63" s="27" t="s">
        <v>8</v>
      </c>
      <c r="D63" s="28">
        <v>1608</v>
      </c>
      <c r="E63" s="30"/>
      <c r="F63" s="30"/>
      <c r="G63" s="6" t="str">
        <f t="shared" si="6"/>
        <v/>
      </c>
      <c r="H63" s="6">
        <f t="shared" si="7"/>
        <v>-45999</v>
      </c>
      <c r="I63" s="27" t="s">
        <v>8</v>
      </c>
      <c r="J63" s="28">
        <v>1608</v>
      </c>
      <c r="K63" s="30"/>
      <c r="L63" s="30"/>
      <c r="M63" s="6" t="str">
        <f t="shared" si="8"/>
        <v/>
      </c>
      <c r="N63" s="6">
        <f t="shared" si="9"/>
        <v>-45999</v>
      </c>
      <c r="O63" s="27" t="s">
        <v>8</v>
      </c>
      <c r="P63" s="28">
        <v>1608</v>
      </c>
      <c r="Q63" s="30"/>
      <c r="R63" s="30"/>
      <c r="S63" s="6" t="str">
        <f t="shared" si="10"/>
        <v/>
      </c>
      <c r="T63" s="6">
        <f t="shared" si="11"/>
        <v>-45999</v>
      </c>
      <c r="U63" s="26"/>
      <c r="V63" s="12"/>
    </row>
    <row r="64" spans="1:22" ht="22.15" hidden="1" customHeight="1">
      <c r="A64"/>
      <c r="B64" s="5" t="s">
        <v>73</v>
      </c>
      <c r="C64" s="27" t="s">
        <v>8</v>
      </c>
      <c r="D64" s="28">
        <v>1284</v>
      </c>
      <c r="E64" s="30"/>
      <c r="F64" s="30"/>
      <c r="G64" s="6" t="str">
        <f t="shared" si="6"/>
        <v/>
      </c>
      <c r="H64" s="6">
        <f t="shared" si="7"/>
        <v>-45999</v>
      </c>
      <c r="I64" s="27" t="s">
        <v>8</v>
      </c>
      <c r="J64" s="28">
        <v>1284</v>
      </c>
      <c r="K64" s="30"/>
      <c r="L64" s="30"/>
      <c r="M64" s="6" t="str">
        <f t="shared" si="8"/>
        <v/>
      </c>
      <c r="N64" s="6">
        <f t="shared" si="9"/>
        <v>-45999</v>
      </c>
      <c r="O64" s="27" t="s">
        <v>8</v>
      </c>
      <c r="P64" s="28">
        <v>1284</v>
      </c>
      <c r="Q64" s="30"/>
      <c r="R64" s="30"/>
      <c r="S64" s="6" t="str">
        <f t="shared" si="10"/>
        <v/>
      </c>
      <c r="T64" s="6">
        <f t="shared" si="11"/>
        <v>-45999</v>
      </c>
      <c r="U64" s="26"/>
      <c r="V64" s="12"/>
    </row>
    <row r="65" spans="1:22" ht="22.15" hidden="1" customHeight="1">
      <c r="A65"/>
      <c r="B65" s="5" t="s">
        <v>74</v>
      </c>
      <c r="C65" s="27" t="s">
        <v>8</v>
      </c>
      <c r="D65" s="28">
        <v>1266</v>
      </c>
      <c r="E65" s="30"/>
      <c r="F65" s="30"/>
      <c r="G65" s="6" t="str">
        <f t="shared" si="6"/>
        <v/>
      </c>
      <c r="H65" s="6">
        <f t="shared" si="7"/>
        <v>-45999</v>
      </c>
      <c r="I65" s="27" t="s">
        <v>8</v>
      </c>
      <c r="J65" s="28">
        <v>1266</v>
      </c>
      <c r="K65" s="30"/>
      <c r="L65" s="30"/>
      <c r="M65" s="6" t="str">
        <f t="shared" si="8"/>
        <v/>
      </c>
      <c r="N65" s="6">
        <f t="shared" si="9"/>
        <v>-45999</v>
      </c>
      <c r="O65" s="27" t="s">
        <v>8</v>
      </c>
      <c r="P65" s="28">
        <v>1266</v>
      </c>
      <c r="Q65" s="30"/>
      <c r="R65" s="30"/>
      <c r="S65" s="6" t="str">
        <f t="shared" si="10"/>
        <v/>
      </c>
      <c r="T65" s="6">
        <f t="shared" si="11"/>
        <v>-45999</v>
      </c>
      <c r="U65" s="26"/>
      <c r="V65" s="12"/>
    </row>
    <row r="66" spans="1:22" ht="22.15" hidden="1" customHeight="1">
      <c r="A66"/>
      <c r="B66" s="5" t="s">
        <v>75</v>
      </c>
      <c r="C66" s="27" t="s">
        <v>8</v>
      </c>
      <c r="D66" s="28">
        <v>1278</v>
      </c>
      <c r="E66" s="30"/>
      <c r="F66" s="30"/>
      <c r="G66" s="6" t="str">
        <f t="shared" si="6"/>
        <v/>
      </c>
      <c r="H66" s="6">
        <f t="shared" si="7"/>
        <v>-45999</v>
      </c>
      <c r="I66" s="27" t="s">
        <v>8</v>
      </c>
      <c r="J66" s="28">
        <v>1278</v>
      </c>
      <c r="K66" s="30"/>
      <c r="L66" s="30"/>
      <c r="M66" s="6" t="str">
        <f t="shared" si="8"/>
        <v/>
      </c>
      <c r="N66" s="6">
        <f t="shared" si="9"/>
        <v>-45999</v>
      </c>
      <c r="O66" s="27" t="s">
        <v>8</v>
      </c>
      <c r="P66" s="28">
        <v>1278</v>
      </c>
      <c r="Q66" s="30"/>
      <c r="R66" s="30"/>
      <c r="S66" s="6" t="str">
        <f t="shared" si="10"/>
        <v/>
      </c>
      <c r="T66" s="6">
        <f t="shared" si="11"/>
        <v>-45999</v>
      </c>
      <c r="U66" s="26"/>
      <c r="V66" s="12"/>
    </row>
    <row r="67" spans="1:22" ht="22.15" hidden="1" customHeight="1">
      <c r="A67"/>
      <c r="B67" s="5" t="s">
        <v>76</v>
      </c>
      <c r="C67" s="27" t="s">
        <v>8</v>
      </c>
      <c r="D67" s="28">
        <v>300</v>
      </c>
      <c r="E67" s="30"/>
      <c r="F67" s="30"/>
      <c r="G67" s="6" t="str">
        <f t="shared" si="6"/>
        <v/>
      </c>
      <c r="H67" s="6">
        <f t="shared" si="7"/>
        <v>-45999</v>
      </c>
      <c r="I67" s="27" t="s">
        <v>8</v>
      </c>
      <c r="J67" s="28">
        <v>300</v>
      </c>
      <c r="K67" s="30"/>
      <c r="L67" s="30"/>
      <c r="M67" s="6" t="str">
        <f t="shared" si="8"/>
        <v/>
      </c>
      <c r="N67" s="6">
        <f t="shared" si="9"/>
        <v>-45999</v>
      </c>
      <c r="O67" s="27" t="s">
        <v>8</v>
      </c>
      <c r="P67" s="28">
        <v>300</v>
      </c>
      <c r="Q67" s="30"/>
      <c r="R67" s="30"/>
      <c r="S67" s="6" t="str">
        <f t="shared" si="10"/>
        <v/>
      </c>
      <c r="T67" s="6">
        <f t="shared" si="11"/>
        <v>-45999</v>
      </c>
      <c r="U67" s="26"/>
      <c r="V67" s="12"/>
    </row>
    <row r="68" spans="1:22" ht="22.15" hidden="1" customHeight="1">
      <c r="A68"/>
      <c r="B68" s="5" t="s">
        <v>77</v>
      </c>
      <c r="C68" s="27" t="s">
        <v>8</v>
      </c>
      <c r="D68" s="28">
        <v>306</v>
      </c>
      <c r="E68" s="30"/>
      <c r="F68" s="30"/>
      <c r="G68" s="6" t="str">
        <f t="shared" si="6"/>
        <v/>
      </c>
      <c r="H68" s="6">
        <f t="shared" si="7"/>
        <v>-45999</v>
      </c>
      <c r="I68" s="27" t="s">
        <v>8</v>
      </c>
      <c r="J68" s="28">
        <v>306</v>
      </c>
      <c r="K68" s="30"/>
      <c r="L68" s="30"/>
      <c r="M68" s="6" t="str">
        <f t="shared" si="8"/>
        <v/>
      </c>
      <c r="N68" s="6">
        <f t="shared" si="9"/>
        <v>-45999</v>
      </c>
      <c r="O68" s="27" t="s">
        <v>8</v>
      </c>
      <c r="P68" s="28">
        <v>306</v>
      </c>
      <c r="Q68" s="30"/>
      <c r="R68" s="30"/>
      <c r="S68" s="6" t="str">
        <f t="shared" si="10"/>
        <v/>
      </c>
      <c r="T68" s="6">
        <f t="shared" si="11"/>
        <v>-45999</v>
      </c>
      <c r="U68" s="26"/>
      <c r="V68" s="12"/>
    </row>
    <row r="69" spans="1:22" ht="22.15" hidden="1" customHeight="1">
      <c r="A69"/>
      <c r="B69" s="5" t="s">
        <v>78</v>
      </c>
      <c r="C69" s="27" t="s">
        <v>8</v>
      </c>
      <c r="D69" s="28">
        <v>1296</v>
      </c>
      <c r="E69" s="30"/>
      <c r="F69" s="30"/>
      <c r="G69" s="6" t="str">
        <f t="shared" si="6"/>
        <v/>
      </c>
      <c r="H69" s="6">
        <f t="shared" si="7"/>
        <v>-45999</v>
      </c>
      <c r="I69" s="27" t="s">
        <v>8</v>
      </c>
      <c r="J69" s="28">
        <v>1296</v>
      </c>
      <c r="K69" s="30"/>
      <c r="L69" s="30"/>
      <c r="M69" s="6" t="str">
        <f t="shared" si="8"/>
        <v/>
      </c>
      <c r="N69" s="6">
        <f t="shared" si="9"/>
        <v>-45999</v>
      </c>
      <c r="O69" s="27" t="s">
        <v>8</v>
      </c>
      <c r="P69" s="28">
        <v>1296</v>
      </c>
      <c r="Q69" s="30"/>
      <c r="R69" s="30"/>
      <c r="S69" s="6" t="str">
        <f t="shared" si="10"/>
        <v/>
      </c>
      <c r="T69" s="6">
        <f t="shared" si="11"/>
        <v>-45999</v>
      </c>
      <c r="U69" s="26"/>
      <c r="V69" s="12"/>
    </row>
    <row r="70" spans="1:22" ht="22.15" hidden="1" customHeight="1">
      <c r="A70"/>
      <c r="B70" s="5" t="s">
        <v>79</v>
      </c>
      <c r="C70" s="27" t="s">
        <v>8</v>
      </c>
      <c r="D70" s="28">
        <v>414</v>
      </c>
      <c r="E70" s="30"/>
      <c r="F70" s="30"/>
      <c r="G70" s="6" t="str">
        <f t="shared" si="6"/>
        <v/>
      </c>
      <c r="H70" s="6">
        <f t="shared" si="7"/>
        <v>-45999</v>
      </c>
      <c r="I70" s="27" t="s">
        <v>8</v>
      </c>
      <c r="J70" s="28">
        <v>414</v>
      </c>
      <c r="K70" s="30"/>
      <c r="L70" s="30"/>
      <c r="M70" s="6" t="str">
        <f t="shared" si="8"/>
        <v/>
      </c>
      <c r="N70" s="6">
        <f t="shared" si="9"/>
        <v>-45999</v>
      </c>
      <c r="O70" s="27" t="s">
        <v>8</v>
      </c>
      <c r="P70" s="28">
        <v>414</v>
      </c>
      <c r="Q70" s="30"/>
      <c r="R70" s="30"/>
      <c r="S70" s="6" t="str">
        <f t="shared" si="10"/>
        <v/>
      </c>
      <c r="T70" s="6">
        <f t="shared" si="11"/>
        <v>-45999</v>
      </c>
      <c r="U70" s="26"/>
      <c r="V70" s="12"/>
    </row>
    <row r="71" spans="1:22" ht="22.15" customHeight="1">
      <c r="A71"/>
      <c r="B71" s="14" t="s">
        <v>81</v>
      </c>
      <c r="C71" s="27" t="s">
        <v>15</v>
      </c>
      <c r="D71" s="31">
        <v>15</v>
      </c>
      <c r="E71" s="32">
        <v>45964</v>
      </c>
      <c r="F71" s="30">
        <v>46009</v>
      </c>
      <c r="G71" s="6">
        <f t="shared" si="6"/>
        <v>22.222222222222221</v>
      </c>
      <c r="H71" s="6">
        <f t="shared" si="7"/>
        <v>10</v>
      </c>
      <c r="I71" s="27"/>
      <c r="J71" s="33"/>
      <c r="K71" s="32"/>
      <c r="L71" s="30"/>
      <c r="M71" s="6" t="str">
        <f t="shared" si="8"/>
        <v/>
      </c>
      <c r="N71" s="6">
        <f t="shared" si="9"/>
        <v>-45999</v>
      </c>
      <c r="O71" s="27"/>
      <c r="P71" s="33"/>
      <c r="Q71" s="32"/>
      <c r="R71" s="30"/>
      <c r="S71" s="6" t="str">
        <f t="shared" si="10"/>
        <v/>
      </c>
      <c r="T71" s="6">
        <f t="shared" si="11"/>
        <v>-45999</v>
      </c>
      <c r="U71" s="34">
        <f>D71-P71</f>
        <v>15</v>
      </c>
      <c r="V71" s="12"/>
    </row>
    <row r="72" spans="1:22" ht="22.15" hidden="1" customHeight="1">
      <c r="A72"/>
      <c r="B72" s="8"/>
      <c r="C72" s="27"/>
      <c r="D72" s="31"/>
      <c r="E72" s="30"/>
      <c r="F72" s="30"/>
      <c r="G72" s="6" t="str">
        <f t="shared" ref="G72:G82" si="12">IFERROR((F72-$G$1)/(F72-E72)*100,"")</f>
        <v/>
      </c>
      <c r="H72" s="6">
        <f t="shared" ref="H72:H82" si="13">F72-$H$1</f>
        <v>-45999</v>
      </c>
      <c r="I72" s="27"/>
      <c r="J72" s="31"/>
      <c r="K72" s="30"/>
      <c r="L72" s="30"/>
      <c r="M72" s="6" t="str">
        <f t="shared" si="8"/>
        <v/>
      </c>
      <c r="N72" s="6">
        <f t="shared" si="9"/>
        <v>-45999</v>
      </c>
      <c r="O72" s="27"/>
      <c r="P72" s="31"/>
      <c r="Q72" s="30"/>
      <c r="R72" s="30"/>
      <c r="S72" s="6" t="str">
        <f t="shared" si="10"/>
        <v/>
      </c>
      <c r="T72" s="6">
        <f t="shared" si="11"/>
        <v>-45999</v>
      </c>
      <c r="U72" s="26">
        <f t="shared" ref="U72:U76" si="14">L72-P72</f>
        <v>0</v>
      </c>
      <c r="V72" s="12"/>
    </row>
    <row r="73" spans="1:22" ht="22.15" hidden="1" customHeight="1">
      <c r="A73"/>
      <c r="B73" s="8"/>
      <c r="C73" s="27"/>
      <c r="D73" s="31"/>
      <c r="E73" s="30"/>
      <c r="F73" s="30"/>
      <c r="G73" s="6" t="str">
        <f t="shared" si="12"/>
        <v/>
      </c>
      <c r="H73" s="6">
        <f t="shared" si="13"/>
        <v>-45999</v>
      </c>
      <c r="I73" s="27"/>
      <c r="J73" s="31"/>
      <c r="K73" s="30"/>
      <c r="L73" s="30"/>
      <c r="M73" s="6" t="str">
        <f t="shared" si="8"/>
        <v/>
      </c>
      <c r="N73" s="6">
        <f t="shared" si="9"/>
        <v>-45999</v>
      </c>
      <c r="O73" s="27"/>
      <c r="P73" s="31"/>
      <c r="Q73" s="30"/>
      <c r="R73" s="30"/>
      <c r="S73" s="6" t="str">
        <f t="shared" si="10"/>
        <v/>
      </c>
      <c r="T73" s="6">
        <f t="shared" si="11"/>
        <v>-45999</v>
      </c>
      <c r="U73" s="26">
        <f t="shared" si="14"/>
        <v>0</v>
      </c>
      <c r="V73" s="12"/>
    </row>
    <row r="74" spans="1:22" ht="22.15" hidden="1" customHeight="1">
      <c r="A74"/>
      <c r="B74" s="8"/>
      <c r="C74" s="27"/>
      <c r="D74" s="31"/>
      <c r="E74" s="30"/>
      <c r="F74" s="30"/>
      <c r="G74" s="6" t="str">
        <f t="shared" si="12"/>
        <v/>
      </c>
      <c r="H74" s="6">
        <f t="shared" si="13"/>
        <v>-45999</v>
      </c>
      <c r="I74" s="27"/>
      <c r="J74" s="31"/>
      <c r="K74" s="30"/>
      <c r="L74" s="30"/>
      <c r="M74" s="6" t="str">
        <f t="shared" si="8"/>
        <v/>
      </c>
      <c r="N74" s="6">
        <f t="shared" si="9"/>
        <v>-45999</v>
      </c>
      <c r="O74" s="27"/>
      <c r="P74" s="31"/>
      <c r="Q74" s="30"/>
      <c r="R74" s="30"/>
      <c r="S74" s="6" t="str">
        <f t="shared" si="10"/>
        <v/>
      </c>
      <c r="T74" s="6">
        <f t="shared" si="11"/>
        <v>-45999</v>
      </c>
      <c r="U74" s="26">
        <f t="shared" si="14"/>
        <v>0</v>
      </c>
      <c r="V74" s="12"/>
    </row>
    <row r="75" spans="1:22" ht="22.15" hidden="1" customHeight="1">
      <c r="A75"/>
      <c r="B75" s="8"/>
      <c r="C75" s="27"/>
      <c r="D75" s="31"/>
      <c r="E75" s="30"/>
      <c r="F75" s="30"/>
      <c r="G75" s="6" t="str">
        <f t="shared" si="12"/>
        <v/>
      </c>
      <c r="H75" s="6">
        <f t="shared" si="13"/>
        <v>-45999</v>
      </c>
      <c r="I75" s="27"/>
      <c r="J75" s="31"/>
      <c r="K75" s="30"/>
      <c r="L75" s="30"/>
      <c r="M75" s="6" t="str">
        <f t="shared" si="8"/>
        <v/>
      </c>
      <c r="N75" s="6">
        <f t="shared" si="9"/>
        <v>-45999</v>
      </c>
      <c r="O75" s="27"/>
      <c r="P75" s="31"/>
      <c r="Q75" s="30"/>
      <c r="R75" s="30"/>
      <c r="S75" s="6" t="str">
        <f t="shared" si="10"/>
        <v/>
      </c>
      <c r="T75" s="6">
        <f t="shared" si="11"/>
        <v>-45999</v>
      </c>
      <c r="U75" s="26">
        <f t="shared" si="14"/>
        <v>0</v>
      </c>
      <c r="V75" s="12"/>
    </row>
    <row r="76" spans="1:22" ht="22.15" hidden="1" customHeight="1">
      <c r="A76"/>
      <c r="B76" s="8"/>
      <c r="C76" s="27"/>
      <c r="D76" s="31"/>
      <c r="E76" s="30"/>
      <c r="F76" s="30"/>
      <c r="G76" s="6" t="str">
        <f t="shared" si="12"/>
        <v/>
      </c>
      <c r="H76" s="6">
        <f t="shared" si="13"/>
        <v>-45999</v>
      </c>
      <c r="I76" s="27"/>
      <c r="J76" s="31"/>
      <c r="K76" s="30"/>
      <c r="L76" s="30"/>
      <c r="M76" s="6" t="str">
        <f t="shared" si="8"/>
        <v/>
      </c>
      <c r="N76" s="6">
        <f t="shared" si="9"/>
        <v>-45999</v>
      </c>
      <c r="O76" s="27"/>
      <c r="P76" s="31"/>
      <c r="Q76" s="30"/>
      <c r="R76" s="30"/>
      <c r="S76" s="6" t="str">
        <f t="shared" si="10"/>
        <v/>
      </c>
      <c r="T76" s="6">
        <f t="shared" si="11"/>
        <v>-45999</v>
      </c>
      <c r="U76" s="26">
        <f t="shared" si="14"/>
        <v>0</v>
      </c>
      <c r="V76" s="12"/>
    </row>
    <row r="77" spans="1:22" ht="22.15" customHeight="1">
      <c r="A77"/>
      <c r="B77" s="44" t="s">
        <v>80</v>
      </c>
      <c r="C77" s="27" t="s">
        <v>8</v>
      </c>
      <c r="D77" s="31">
        <v>13</v>
      </c>
      <c r="E77" s="30">
        <v>45892</v>
      </c>
      <c r="F77" s="30">
        <v>46012</v>
      </c>
      <c r="G77" s="6">
        <f t="shared" si="12"/>
        <v>10.833333333333334</v>
      </c>
      <c r="H77" s="6">
        <f t="shared" si="13"/>
        <v>13</v>
      </c>
      <c r="I77" s="27" t="s">
        <v>8</v>
      </c>
      <c r="J77" s="31">
        <v>13</v>
      </c>
      <c r="K77" s="30">
        <v>45892</v>
      </c>
      <c r="L77" s="30">
        <v>46012</v>
      </c>
      <c r="M77" s="6">
        <f t="shared" si="8"/>
        <v>10.833333333333334</v>
      </c>
      <c r="N77" s="6">
        <f t="shared" si="9"/>
        <v>13</v>
      </c>
      <c r="O77" s="27" t="s">
        <v>8</v>
      </c>
      <c r="P77" s="31">
        <v>13</v>
      </c>
      <c r="Q77" s="30">
        <v>45892</v>
      </c>
      <c r="R77" s="30">
        <v>46012</v>
      </c>
      <c r="S77" s="6">
        <f t="shared" si="10"/>
        <v>10.833333333333334</v>
      </c>
      <c r="T77" s="6">
        <f t="shared" si="11"/>
        <v>13</v>
      </c>
      <c r="U77" s="35">
        <f>D77-P77</f>
        <v>0</v>
      </c>
      <c r="V77" s="12"/>
    </row>
    <row r="78" spans="1:22" ht="22.15" customHeight="1">
      <c r="A78"/>
      <c r="B78" s="14" t="s">
        <v>82</v>
      </c>
      <c r="C78" s="27" t="s">
        <v>15</v>
      </c>
      <c r="D78" s="31">
        <v>93.518000000000001</v>
      </c>
      <c r="E78" s="30">
        <v>45977</v>
      </c>
      <c r="F78" s="30">
        <v>46007</v>
      </c>
      <c r="G78" s="6">
        <f t="shared" si="12"/>
        <v>26.666666666666668</v>
      </c>
      <c r="H78" s="6">
        <f t="shared" si="13"/>
        <v>8</v>
      </c>
      <c r="I78" s="27" t="s">
        <v>15</v>
      </c>
      <c r="J78" s="31">
        <v>25.765999999999998</v>
      </c>
      <c r="K78" s="30">
        <v>45977</v>
      </c>
      <c r="L78" s="30">
        <v>46007</v>
      </c>
      <c r="M78" s="6">
        <f t="shared" si="8"/>
        <v>26.666666666666668</v>
      </c>
      <c r="N78" s="6">
        <f t="shared" si="9"/>
        <v>8</v>
      </c>
      <c r="O78" s="27"/>
      <c r="P78" s="31"/>
      <c r="Q78" s="30"/>
      <c r="R78" s="30"/>
      <c r="S78" s="6" t="str">
        <f t="shared" si="10"/>
        <v/>
      </c>
      <c r="T78" s="6">
        <f t="shared" si="11"/>
        <v>-45999</v>
      </c>
      <c r="U78" s="36">
        <f t="shared" ref="U78:U83" si="15">D78-P78</f>
        <v>93.518000000000001</v>
      </c>
      <c r="V78" s="12"/>
    </row>
    <row r="79" spans="1:22" ht="22.15" customHeight="1">
      <c r="A79"/>
      <c r="B79" s="14" t="s">
        <v>83</v>
      </c>
      <c r="C79" s="27" t="s">
        <v>15</v>
      </c>
      <c r="D79" s="31">
        <v>26.315999999999999</v>
      </c>
      <c r="E79" s="30">
        <v>45982</v>
      </c>
      <c r="F79" s="30">
        <v>46012</v>
      </c>
      <c r="G79" s="6">
        <f t="shared" si="12"/>
        <v>43.333333333333336</v>
      </c>
      <c r="H79" s="6">
        <f t="shared" si="13"/>
        <v>13</v>
      </c>
      <c r="I79" s="27"/>
      <c r="J79" s="33"/>
      <c r="K79" s="30"/>
      <c r="L79" s="30"/>
      <c r="M79" s="6" t="str">
        <f t="shared" si="8"/>
        <v/>
      </c>
      <c r="N79" s="6">
        <f t="shared" si="9"/>
        <v>-45999</v>
      </c>
      <c r="O79" s="27"/>
      <c r="P79" s="33"/>
      <c r="Q79" s="30"/>
      <c r="R79" s="30"/>
      <c r="S79" s="6" t="str">
        <f t="shared" si="10"/>
        <v/>
      </c>
      <c r="T79" s="6">
        <f t="shared" si="11"/>
        <v>-45999</v>
      </c>
      <c r="U79" s="36">
        <f t="shared" si="15"/>
        <v>26.315999999999999</v>
      </c>
      <c r="V79" s="12"/>
    </row>
    <row r="80" spans="1:22" ht="22.15" customHeight="1">
      <c r="A80"/>
      <c r="B80" s="14" t="s">
        <v>84</v>
      </c>
      <c r="C80" s="27" t="s">
        <v>15</v>
      </c>
      <c r="D80" s="31">
        <v>25</v>
      </c>
      <c r="E80" s="30">
        <v>45973</v>
      </c>
      <c r="F80" s="30">
        <v>46018</v>
      </c>
      <c r="G80" s="6">
        <f t="shared" si="12"/>
        <v>42.222222222222221</v>
      </c>
      <c r="H80" s="6">
        <f t="shared" si="13"/>
        <v>19</v>
      </c>
      <c r="I80" s="27" t="s">
        <v>15</v>
      </c>
      <c r="J80" s="31">
        <v>25</v>
      </c>
      <c r="K80" s="30">
        <v>45973</v>
      </c>
      <c r="L80" s="30">
        <v>46018</v>
      </c>
      <c r="M80" s="6">
        <f t="shared" si="8"/>
        <v>42.222222222222221</v>
      </c>
      <c r="N80" s="6">
        <f t="shared" si="9"/>
        <v>19</v>
      </c>
      <c r="O80" s="27"/>
      <c r="P80" s="31"/>
      <c r="Q80" s="30"/>
      <c r="R80" s="30"/>
      <c r="S80" s="6" t="str">
        <f t="shared" si="10"/>
        <v/>
      </c>
      <c r="T80" s="6">
        <f t="shared" si="11"/>
        <v>-45999</v>
      </c>
      <c r="U80" s="36">
        <f t="shared" si="15"/>
        <v>25</v>
      </c>
      <c r="V80" s="12"/>
    </row>
    <row r="81" spans="1:22" ht="22.15" customHeight="1">
      <c r="A81"/>
      <c r="B81" s="14" t="s">
        <v>85</v>
      </c>
      <c r="C81" s="37" t="s">
        <v>8</v>
      </c>
      <c r="D81" s="38">
        <v>36</v>
      </c>
      <c r="E81" s="30">
        <v>45970</v>
      </c>
      <c r="F81" s="30">
        <v>46010</v>
      </c>
      <c r="G81" s="6">
        <f t="shared" si="12"/>
        <v>27.500000000000004</v>
      </c>
      <c r="H81" s="6">
        <f t="shared" si="13"/>
        <v>11</v>
      </c>
      <c r="I81" s="37" t="s">
        <v>8</v>
      </c>
      <c r="J81" s="38">
        <v>22</v>
      </c>
      <c r="K81" s="30">
        <v>45970</v>
      </c>
      <c r="L81" s="30">
        <v>46010</v>
      </c>
      <c r="M81" s="6">
        <f t="shared" si="8"/>
        <v>27.500000000000004</v>
      </c>
      <c r="N81" s="6">
        <f t="shared" si="9"/>
        <v>11</v>
      </c>
      <c r="O81" s="37"/>
      <c r="P81" s="38"/>
      <c r="Q81" s="30"/>
      <c r="R81" s="30"/>
      <c r="S81" s="6" t="str">
        <f t="shared" si="10"/>
        <v/>
      </c>
      <c r="T81" s="6">
        <f t="shared" si="11"/>
        <v>-45999</v>
      </c>
      <c r="U81" s="36">
        <f t="shared" si="15"/>
        <v>36</v>
      </c>
      <c r="V81" s="12"/>
    </row>
    <row r="82" spans="1:22" ht="22.15" customHeight="1">
      <c r="A82"/>
      <c r="B82" s="10"/>
      <c r="C82" s="19"/>
      <c r="D82" s="39"/>
      <c r="E82" s="40"/>
      <c r="F82" s="19"/>
      <c r="G82" s="6" t="str">
        <f t="shared" si="12"/>
        <v/>
      </c>
      <c r="H82" s="6">
        <f t="shared" si="13"/>
        <v>-45999</v>
      </c>
      <c r="I82" s="19"/>
      <c r="J82" s="39"/>
      <c r="K82" s="40"/>
      <c r="L82" s="19"/>
      <c r="M82" s="6" t="str">
        <f t="shared" si="8"/>
        <v/>
      </c>
      <c r="N82" s="6">
        <f t="shared" si="9"/>
        <v>-45999</v>
      </c>
      <c r="O82" s="19"/>
      <c r="P82" s="39"/>
      <c r="Q82" s="40"/>
      <c r="R82" s="19"/>
      <c r="S82" s="6" t="str">
        <f t="shared" si="10"/>
        <v/>
      </c>
      <c r="T82" s="6">
        <f t="shared" si="11"/>
        <v>-45999</v>
      </c>
      <c r="U82" s="41"/>
      <c r="V82" s="12"/>
    </row>
    <row r="83" spans="1:22" ht="22.15" customHeight="1">
      <c r="A83"/>
      <c r="B83" s="44" t="s">
        <v>86</v>
      </c>
      <c r="C83" s="27" t="s">
        <v>8</v>
      </c>
      <c r="D83" s="31">
        <v>233</v>
      </c>
      <c r="E83" s="30">
        <v>45979</v>
      </c>
      <c r="F83" s="30">
        <v>46019</v>
      </c>
      <c r="G83" s="6">
        <f>IFERROR((F83-$G$1)/(F83-E83)*100,"")</f>
        <v>50</v>
      </c>
      <c r="H83" s="6">
        <f t="shared" ref="H83" si="16">F83-$H$1</f>
        <v>20</v>
      </c>
      <c r="I83" s="27" t="s">
        <v>8</v>
      </c>
      <c r="J83" s="31">
        <v>204</v>
      </c>
      <c r="K83" s="30">
        <v>45979</v>
      </c>
      <c r="L83" s="30">
        <v>46019</v>
      </c>
      <c r="M83" s="6">
        <f t="shared" si="8"/>
        <v>50</v>
      </c>
      <c r="N83" s="6">
        <f t="shared" si="9"/>
        <v>20</v>
      </c>
      <c r="O83" s="27" t="s">
        <v>8</v>
      </c>
      <c r="P83" s="31">
        <v>202</v>
      </c>
      <c r="Q83" s="30">
        <v>45979</v>
      </c>
      <c r="R83" s="30">
        <v>46019</v>
      </c>
      <c r="S83" s="6">
        <f t="shared" si="10"/>
        <v>50</v>
      </c>
      <c r="T83" s="6">
        <f t="shared" si="11"/>
        <v>20</v>
      </c>
      <c r="U83" s="35">
        <f t="shared" si="15"/>
        <v>31</v>
      </c>
      <c r="V83" s="12"/>
    </row>
    <row r="84" spans="1:22" ht="22.15" customHeight="1">
      <c r="A84"/>
      <c r="B84" s="14" t="s">
        <v>87</v>
      </c>
      <c r="C84" s="27"/>
      <c r="D84" s="28"/>
      <c r="E84" s="30"/>
      <c r="F84" s="30"/>
      <c r="G84" s="6" t="str">
        <f t="shared" ref="G84:G86" si="17">IFERROR((F84-$G$1)/(F84-E84)*100,"")</f>
        <v/>
      </c>
      <c r="H84" s="6">
        <f t="shared" ref="H84:H86" si="18">F84-$H$1</f>
        <v>-45999</v>
      </c>
      <c r="I84" s="27" t="s">
        <v>8</v>
      </c>
      <c r="J84" s="28">
        <v>7</v>
      </c>
      <c r="K84" s="30">
        <v>45976</v>
      </c>
      <c r="L84" s="30">
        <v>46016</v>
      </c>
      <c r="M84" s="6">
        <f t="shared" si="8"/>
        <v>42.5</v>
      </c>
      <c r="N84" s="6">
        <f t="shared" si="9"/>
        <v>17</v>
      </c>
      <c r="O84" s="27"/>
      <c r="P84" s="28"/>
      <c r="Q84" s="30"/>
      <c r="R84" s="30"/>
      <c r="S84" s="6" t="str">
        <f t="shared" si="10"/>
        <v/>
      </c>
      <c r="T84" s="6">
        <f t="shared" si="11"/>
        <v>-45999</v>
      </c>
      <c r="U84" s="34">
        <f>J84-P84</f>
        <v>7</v>
      </c>
      <c r="V84" s="12"/>
    </row>
    <row r="85" spans="1:22" ht="22.15" customHeight="1">
      <c r="A85"/>
      <c r="B85" s="14" t="s">
        <v>86</v>
      </c>
      <c r="C85" s="27"/>
      <c r="D85" s="31"/>
      <c r="E85" s="30"/>
      <c r="F85" s="30"/>
      <c r="G85" s="6" t="str">
        <f t="shared" si="17"/>
        <v/>
      </c>
      <c r="H85" s="6">
        <f t="shared" si="18"/>
        <v>-45999</v>
      </c>
      <c r="I85" s="27" t="s">
        <v>8</v>
      </c>
      <c r="J85" s="31">
        <v>21</v>
      </c>
      <c r="K85" s="30">
        <v>45974</v>
      </c>
      <c r="L85" s="30">
        <v>46014</v>
      </c>
      <c r="M85" s="6">
        <f t="shared" si="8"/>
        <v>37.5</v>
      </c>
      <c r="N85" s="6">
        <f t="shared" si="9"/>
        <v>15</v>
      </c>
      <c r="O85" s="27"/>
      <c r="P85" s="31"/>
      <c r="Q85" s="30"/>
      <c r="R85" s="30"/>
      <c r="S85" s="6" t="str">
        <f t="shared" si="10"/>
        <v/>
      </c>
      <c r="T85" s="6">
        <f t="shared" si="11"/>
        <v>-45999</v>
      </c>
      <c r="U85" s="34">
        <f>J85-P85</f>
        <v>21</v>
      </c>
      <c r="V85" s="12"/>
    </row>
    <row r="86" spans="1:22" ht="22.15" customHeight="1">
      <c r="A86"/>
      <c r="B86" s="10" t="s">
        <v>85</v>
      </c>
      <c r="C86" s="27"/>
      <c r="D86" s="31"/>
      <c r="E86" s="30"/>
      <c r="F86" s="30"/>
      <c r="G86" s="6" t="str">
        <f t="shared" si="17"/>
        <v/>
      </c>
      <c r="H86" s="6">
        <f t="shared" si="18"/>
        <v>-45999</v>
      </c>
      <c r="I86" s="27" t="s">
        <v>8</v>
      </c>
      <c r="J86" s="31">
        <v>46</v>
      </c>
      <c r="K86" s="30">
        <v>45975</v>
      </c>
      <c r="L86" s="30">
        <v>46015</v>
      </c>
      <c r="M86" s="6">
        <f t="shared" si="8"/>
        <v>40</v>
      </c>
      <c r="N86" s="6">
        <f t="shared" si="9"/>
        <v>16</v>
      </c>
      <c r="O86" s="27" t="s">
        <v>8</v>
      </c>
      <c r="P86" s="31">
        <v>10</v>
      </c>
      <c r="Q86" s="30">
        <v>45975</v>
      </c>
      <c r="R86" s="30">
        <v>46015</v>
      </c>
      <c r="S86" s="6">
        <f t="shared" si="10"/>
        <v>40</v>
      </c>
      <c r="T86" s="6">
        <f t="shared" si="11"/>
        <v>16</v>
      </c>
      <c r="U86" s="41">
        <f>J86-P86</f>
        <v>36</v>
      </c>
      <c r="V86" s="12"/>
    </row>
    <row r="87" spans="1:22" ht="22.15" customHeight="1">
      <c r="A87"/>
      <c r="B87" s="10"/>
      <c r="C87" s="27"/>
      <c r="D87" s="31"/>
      <c r="E87" s="30"/>
      <c r="F87" s="30"/>
      <c r="G87" s="6"/>
      <c r="H87" s="6"/>
      <c r="I87" s="27"/>
      <c r="J87" s="31"/>
      <c r="K87" s="30"/>
      <c r="L87" s="30"/>
      <c r="M87" s="6"/>
      <c r="N87" s="6"/>
      <c r="O87" s="27" t="s">
        <v>8</v>
      </c>
      <c r="P87" s="31">
        <v>30</v>
      </c>
      <c r="Q87" s="30">
        <v>45982</v>
      </c>
      <c r="R87" s="30">
        <v>46022</v>
      </c>
      <c r="S87" s="6">
        <f t="shared" ref="S87" si="19">IFERROR((R87-$G$1)/(R87-Q87)*100,"")</f>
        <v>57.499999999999993</v>
      </c>
      <c r="T87" s="6">
        <f t="shared" ref="T87" si="20">R87-$H$1</f>
        <v>23</v>
      </c>
      <c r="U87" s="41"/>
      <c r="V87" s="12"/>
    </row>
    <row r="88" spans="1:22" ht="22.15" customHeight="1">
      <c r="A88"/>
      <c r="B88" s="10" t="s">
        <v>90</v>
      </c>
      <c r="C88" s="27"/>
      <c r="D88" s="31"/>
      <c r="E88" s="30"/>
      <c r="F88" s="30"/>
      <c r="G88" s="6" t="str">
        <f t="shared" ref="G88" si="21">IFERROR((F88-$G$1)/(F88-E88)*100,"")</f>
        <v/>
      </c>
      <c r="H88" s="6">
        <f t="shared" ref="H88" si="22">F88-$H$1</f>
        <v>-45999</v>
      </c>
      <c r="I88" s="27"/>
      <c r="J88" s="31"/>
      <c r="K88" s="30"/>
      <c r="L88" s="30"/>
      <c r="M88" s="6" t="str">
        <f t="shared" si="8"/>
        <v/>
      </c>
      <c r="N88" s="6">
        <f t="shared" si="9"/>
        <v>-45999</v>
      </c>
      <c r="O88" s="27" t="s">
        <v>15</v>
      </c>
      <c r="P88" s="31">
        <v>12</v>
      </c>
      <c r="Q88" s="30">
        <v>45973</v>
      </c>
      <c r="R88" s="30">
        <v>46018</v>
      </c>
      <c r="S88" s="6">
        <f t="shared" si="10"/>
        <v>42.222222222222221</v>
      </c>
      <c r="T88" s="6">
        <f t="shared" si="11"/>
        <v>19</v>
      </c>
      <c r="U88" s="41"/>
      <c r="V88" s="12"/>
    </row>
    <row r="89" spans="1:22" ht="22.15" customHeight="1">
      <c r="A89"/>
      <c r="B89" s="9"/>
      <c r="C89" s="27"/>
      <c r="D89" s="31"/>
      <c r="E89" s="30"/>
      <c r="F89" s="30"/>
      <c r="G89" s="6" t="str">
        <f t="shared" ref="G89:G91" si="23">IFERROR((F89-$G$1)/(F89-E89)*100,"")</f>
        <v/>
      </c>
      <c r="H89" s="6">
        <f t="shared" ref="H89:H91" si="24">F89-$H$1</f>
        <v>-45999</v>
      </c>
      <c r="I89" s="27"/>
      <c r="J89" s="31"/>
      <c r="K89" s="30"/>
      <c r="L89" s="30"/>
      <c r="M89" s="6" t="str">
        <f t="shared" si="8"/>
        <v/>
      </c>
      <c r="N89" s="6">
        <f t="shared" si="9"/>
        <v>-45999</v>
      </c>
      <c r="O89" s="27"/>
      <c r="P89" s="31"/>
      <c r="Q89" s="30"/>
      <c r="R89" s="30"/>
      <c r="S89" s="6" t="str">
        <f t="shared" si="10"/>
        <v/>
      </c>
      <c r="T89" s="6">
        <f t="shared" si="11"/>
        <v>-45999</v>
      </c>
      <c r="U89" s="41"/>
      <c r="V89" s="12"/>
    </row>
    <row r="90" spans="1:22" ht="22.15" customHeight="1">
      <c r="A90"/>
      <c r="B90" s="9"/>
      <c r="C90" s="27"/>
      <c r="D90" s="31"/>
      <c r="E90" s="30"/>
      <c r="F90" s="30"/>
      <c r="G90" s="6" t="str">
        <f t="shared" si="23"/>
        <v/>
      </c>
      <c r="H90" s="6">
        <f t="shared" si="24"/>
        <v>-45999</v>
      </c>
      <c r="I90" s="27"/>
      <c r="J90" s="31"/>
      <c r="K90" s="30"/>
      <c r="L90" s="30"/>
      <c r="M90" s="6" t="str">
        <f t="shared" si="8"/>
        <v/>
      </c>
      <c r="N90" s="6">
        <f t="shared" si="9"/>
        <v>-45999</v>
      </c>
      <c r="O90" s="27"/>
      <c r="P90" s="31"/>
      <c r="Q90" s="30"/>
      <c r="R90" s="30"/>
      <c r="S90" s="6" t="str">
        <f t="shared" si="10"/>
        <v/>
      </c>
      <c r="T90" s="6">
        <f t="shared" si="11"/>
        <v>-45999</v>
      </c>
      <c r="U90" s="26"/>
      <c r="V90" s="12"/>
    </row>
    <row r="91" spans="1:22" ht="22.15" customHeight="1">
      <c r="A91"/>
      <c r="B91" s="9"/>
      <c r="C91" s="27"/>
      <c r="D91" s="31"/>
      <c r="E91" s="30"/>
      <c r="F91" s="30"/>
      <c r="G91" s="6" t="str">
        <f t="shared" si="23"/>
        <v/>
      </c>
      <c r="H91" s="6">
        <f t="shared" si="24"/>
        <v>-45999</v>
      </c>
      <c r="I91" s="27"/>
      <c r="J91" s="31"/>
      <c r="K91" s="30"/>
      <c r="L91" s="30"/>
      <c r="M91" s="6" t="str">
        <f t="shared" si="8"/>
        <v/>
      </c>
      <c r="N91" s="6">
        <f t="shared" si="9"/>
        <v>-45999</v>
      </c>
      <c r="O91" s="27"/>
      <c r="P91" s="31"/>
      <c r="Q91" s="30"/>
      <c r="R91" s="30"/>
      <c r="S91" s="6" t="str">
        <f t="shared" si="10"/>
        <v/>
      </c>
      <c r="T91" s="6">
        <f t="shared" si="11"/>
        <v>-45999</v>
      </c>
      <c r="U91" s="26"/>
      <c r="V91" s="12"/>
    </row>
    <row r="92" spans="1:22" ht="22.15" customHeight="1">
      <c r="A92"/>
      <c r="B92" s="9"/>
      <c r="C92" s="27"/>
      <c r="D92" s="31"/>
      <c r="E92" s="30"/>
      <c r="F92" s="30"/>
      <c r="G92" s="6" t="str">
        <f t="shared" ref="G92:G95" si="25">IFERROR((F92-$G$1)/(F92-E92)*100,"")</f>
        <v/>
      </c>
      <c r="H92" s="6">
        <f t="shared" ref="H92:H95" si="26">F92-$H$1</f>
        <v>-45999</v>
      </c>
      <c r="I92" s="27"/>
      <c r="J92" s="31"/>
      <c r="K92" s="30"/>
      <c r="L92" s="30"/>
      <c r="M92" s="6" t="str">
        <f t="shared" si="8"/>
        <v/>
      </c>
      <c r="N92" s="6">
        <f t="shared" si="9"/>
        <v>-45999</v>
      </c>
      <c r="O92" s="27"/>
      <c r="P92" s="31"/>
      <c r="Q92" s="30"/>
      <c r="R92" s="30"/>
      <c r="S92" s="6" t="str">
        <f t="shared" si="10"/>
        <v/>
      </c>
      <c r="T92" s="6">
        <f t="shared" si="11"/>
        <v>-45999</v>
      </c>
      <c r="U92" s="26"/>
      <c r="V92" s="12"/>
    </row>
    <row r="93" spans="1:22" ht="22.15" customHeight="1">
      <c r="A93"/>
      <c r="B93" s="9"/>
      <c r="C93" s="27"/>
      <c r="D93" s="31"/>
      <c r="E93" s="30"/>
      <c r="F93" s="30"/>
      <c r="G93" s="6" t="str">
        <f t="shared" si="25"/>
        <v/>
      </c>
      <c r="H93" s="6">
        <f t="shared" si="26"/>
        <v>-45999</v>
      </c>
      <c r="I93" s="27"/>
      <c r="J93" s="31"/>
      <c r="K93" s="30"/>
      <c r="L93" s="30"/>
      <c r="M93" s="6" t="str">
        <f t="shared" si="8"/>
        <v/>
      </c>
      <c r="N93" s="6">
        <f t="shared" si="9"/>
        <v>-45999</v>
      </c>
      <c r="O93" s="27"/>
      <c r="P93" s="31"/>
      <c r="Q93" s="30"/>
      <c r="R93" s="30"/>
      <c r="S93" s="6" t="str">
        <f t="shared" si="10"/>
        <v/>
      </c>
      <c r="T93" s="6">
        <f t="shared" si="11"/>
        <v>-45999</v>
      </c>
      <c r="U93" s="26"/>
      <c r="V93" s="12"/>
    </row>
    <row r="94" spans="1:22" ht="22.15" customHeight="1">
      <c r="A94"/>
      <c r="B94" s="9"/>
      <c r="C94" s="27"/>
      <c r="D94" s="31"/>
      <c r="E94" s="30"/>
      <c r="F94" s="30"/>
      <c r="G94" s="6" t="str">
        <f t="shared" si="25"/>
        <v/>
      </c>
      <c r="H94" s="6">
        <f t="shared" si="26"/>
        <v>-45999</v>
      </c>
      <c r="I94" s="27"/>
      <c r="J94" s="31"/>
      <c r="K94" s="30"/>
      <c r="L94" s="30"/>
      <c r="M94" s="6" t="str">
        <f t="shared" si="8"/>
        <v/>
      </c>
      <c r="N94" s="6">
        <f t="shared" si="9"/>
        <v>-45999</v>
      </c>
      <c r="O94" s="27"/>
      <c r="P94" s="31"/>
      <c r="Q94" s="30"/>
      <c r="R94" s="30"/>
      <c r="S94" s="6" t="str">
        <f t="shared" si="10"/>
        <v/>
      </c>
      <c r="T94" s="6">
        <f t="shared" si="11"/>
        <v>-45999</v>
      </c>
      <c r="U94" s="26"/>
      <c r="V94" s="12"/>
    </row>
    <row r="95" spans="1:22" ht="22.15" customHeight="1">
      <c r="A95"/>
      <c r="B95" s="9"/>
      <c r="C95" s="27"/>
      <c r="D95" s="31"/>
      <c r="E95" s="30"/>
      <c r="F95" s="30"/>
      <c r="G95" s="6" t="str">
        <f t="shared" si="25"/>
        <v/>
      </c>
      <c r="H95" s="6">
        <f t="shared" si="26"/>
        <v>-45999</v>
      </c>
      <c r="I95" s="27"/>
      <c r="J95" s="31"/>
      <c r="K95" s="30"/>
      <c r="L95" s="30"/>
      <c r="M95" s="6" t="str">
        <f t="shared" si="8"/>
        <v/>
      </c>
      <c r="N95" s="6">
        <f t="shared" si="9"/>
        <v>-45999</v>
      </c>
      <c r="O95" s="27"/>
      <c r="P95" s="31"/>
      <c r="Q95" s="30"/>
      <c r="R95" s="30"/>
      <c r="S95" s="6" t="str">
        <f t="shared" si="10"/>
        <v/>
      </c>
      <c r="T95" s="6">
        <f t="shared" si="11"/>
        <v>-45999</v>
      </c>
      <c r="U95" s="26"/>
      <c r="V95" s="12"/>
    </row>
    <row r="96" spans="1:22" ht="22.15" customHeight="1">
      <c r="A96"/>
      <c r="B96"/>
      <c r="C96" s="42"/>
      <c r="D96" s="43"/>
      <c r="E96" s="42"/>
      <c r="F96" s="42"/>
      <c r="G96" s="42"/>
      <c r="H96" s="42"/>
      <c r="I96" s="42"/>
      <c r="J96" s="43"/>
      <c r="K96" s="42"/>
      <c r="L96" s="42"/>
      <c r="M96" s="42"/>
      <c r="N96" s="42"/>
      <c r="O96" s="42"/>
      <c r="P96" s="43"/>
      <c r="Q96" s="42"/>
      <c r="R96" s="42"/>
      <c r="S96" s="42"/>
      <c r="T96" s="42"/>
      <c r="U96" s="26"/>
      <c r="V96" s="12"/>
    </row>
    <row r="97" spans="1:22" ht="22.15" customHeight="1">
      <c r="A97"/>
      <c r="B97"/>
      <c r="C97" s="42"/>
      <c r="D97" s="43"/>
      <c r="E97" s="42"/>
      <c r="F97" s="42"/>
      <c r="G97" s="42"/>
      <c r="H97" s="42"/>
      <c r="I97" s="42"/>
      <c r="J97" s="43"/>
      <c r="K97" s="42"/>
      <c r="L97" s="42"/>
      <c r="M97" s="42"/>
      <c r="N97" s="42"/>
      <c r="O97" s="42"/>
      <c r="P97" s="43"/>
      <c r="Q97" s="42"/>
      <c r="R97" s="42"/>
      <c r="S97" s="42"/>
      <c r="T97" s="42"/>
      <c r="U97" s="26"/>
      <c r="V97" s="12"/>
    </row>
    <row r="98" spans="1:22" ht="22.15" customHeight="1">
      <c r="A98"/>
      <c r="B98"/>
      <c r="C98" s="42"/>
      <c r="D98" s="43"/>
      <c r="E98" s="42"/>
      <c r="F98" s="42"/>
      <c r="G98" s="42"/>
      <c r="H98" s="42"/>
      <c r="I98" s="42"/>
      <c r="J98" s="43"/>
      <c r="K98" s="42"/>
      <c r="L98" s="42"/>
      <c r="M98" s="42"/>
      <c r="N98" s="42"/>
      <c r="O98" s="42"/>
      <c r="P98" s="43"/>
      <c r="Q98" s="42"/>
      <c r="R98" s="42"/>
      <c r="S98" s="42"/>
      <c r="T98" s="42"/>
      <c r="U98" s="26"/>
      <c r="V98" s="12"/>
    </row>
    <row r="99" spans="1:22" ht="22.15" customHeight="1">
      <c r="A99"/>
      <c r="B99"/>
      <c r="C99" s="42"/>
      <c r="D99" s="43"/>
      <c r="E99" s="42"/>
      <c r="F99" s="42"/>
      <c r="G99" s="42"/>
      <c r="H99" s="42"/>
      <c r="I99" s="42"/>
      <c r="J99" s="43"/>
      <c r="K99" s="42"/>
      <c r="L99" s="42"/>
      <c r="M99" s="42"/>
      <c r="N99" s="42"/>
      <c r="O99" s="42"/>
      <c r="P99" s="43"/>
      <c r="Q99" s="42"/>
      <c r="R99" s="42"/>
      <c r="S99" s="42"/>
      <c r="T99" s="42"/>
      <c r="U99" s="26"/>
      <c r="V99" s="12"/>
    </row>
    <row r="100" spans="1:22" ht="22.15" customHeight="1">
      <c r="A100"/>
      <c r="B100"/>
      <c r="C100" s="42"/>
      <c r="D100" s="43"/>
      <c r="E100" s="42"/>
      <c r="F100" s="42"/>
      <c r="G100" s="42"/>
      <c r="H100" s="42"/>
      <c r="I100" s="42"/>
      <c r="J100" s="43"/>
      <c r="K100" s="42"/>
      <c r="L100" s="42"/>
      <c r="M100" s="42"/>
      <c r="N100" s="42"/>
      <c r="O100" s="42"/>
      <c r="P100" s="43"/>
      <c r="Q100" s="42"/>
      <c r="R100" s="42"/>
      <c r="S100" s="42"/>
      <c r="T100" s="42"/>
      <c r="U100" s="26"/>
      <c r="V100" s="12"/>
    </row>
    <row r="101" spans="1:22" ht="22.15" customHeight="1">
      <c r="A101"/>
      <c r="B101"/>
      <c r="C101" s="42"/>
      <c r="D101" s="43"/>
      <c r="E101" s="42"/>
      <c r="F101" s="42"/>
      <c r="G101" s="42"/>
      <c r="H101" s="42"/>
      <c r="I101" s="42"/>
      <c r="J101" s="43"/>
      <c r="K101" s="42"/>
      <c r="L101" s="42"/>
      <c r="M101" s="42"/>
      <c r="N101" s="42"/>
      <c r="O101" s="42"/>
      <c r="P101" s="43"/>
      <c r="Q101" s="42"/>
      <c r="R101" s="42"/>
      <c r="S101" s="42"/>
      <c r="T101" s="42"/>
      <c r="U101" s="26"/>
      <c r="V101" s="12"/>
    </row>
    <row r="102" spans="1:22" ht="22.15" customHeight="1">
      <c r="A102"/>
      <c r="B102"/>
      <c r="C102" s="42"/>
      <c r="D102" s="43"/>
      <c r="E102" s="42"/>
      <c r="F102" s="42"/>
      <c r="G102" s="42"/>
      <c r="H102" s="42"/>
      <c r="I102" s="42"/>
      <c r="J102" s="43"/>
      <c r="K102" s="42"/>
      <c r="L102" s="42"/>
      <c r="M102" s="42"/>
      <c r="N102" s="42"/>
      <c r="O102" s="42"/>
      <c r="P102" s="43"/>
      <c r="Q102" s="42"/>
      <c r="R102" s="42"/>
      <c r="S102" s="42"/>
      <c r="T102" s="42"/>
      <c r="U102" s="26"/>
      <c r="V102" s="12"/>
    </row>
    <row r="103" spans="1:22" ht="22.15" customHeight="1">
      <c r="A103"/>
      <c r="B103"/>
      <c r="C103" s="42"/>
      <c r="D103" s="43"/>
      <c r="E103" s="42"/>
      <c r="F103" s="42"/>
      <c r="G103" s="42"/>
      <c r="H103" s="42"/>
      <c r="I103" s="42"/>
      <c r="J103" s="43"/>
      <c r="K103" s="42"/>
      <c r="L103" s="42"/>
      <c r="M103" s="42"/>
      <c r="N103" s="42"/>
      <c r="O103" s="42"/>
      <c r="P103" s="43"/>
      <c r="Q103" s="42"/>
      <c r="R103" s="42"/>
      <c r="S103" s="42"/>
      <c r="T103" s="42"/>
      <c r="U103" s="26"/>
      <c r="V103" s="12"/>
    </row>
    <row r="104" spans="1:22" ht="22.15" customHeight="1">
      <c r="A104"/>
      <c r="B104"/>
      <c r="C104" s="42"/>
      <c r="D104" s="43"/>
      <c r="E104" s="42"/>
      <c r="F104" s="42"/>
      <c r="G104" s="42"/>
      <c r="H104" s="42"/>
      <c r="I104" s="42"/>
      <c r="J104" s="43"/>
      <c r="K104" s="42"/>
      <c r="L104" s="42"/>
      <c r="M104" s="42"/>
      <c r="N104" s="42"/>
      <c r="O104" s="42"/>
      <c r="P104" s="43"/>
      <c r="Q104" s="42"/>
      <c r="R104" s="42"/>
      <c r="S104" s="42"/>
      <c r="T104" s="42"/>
      <c r="U104" s="26"/>
      <c r="V104" s="12"/>
    </row>
    <row r="105" spans="1:22" ht="22.15" customHeight="1">
      <c r="A105"/>
      <c r="B105"/>
      <c r="C105" s="42"/>
      <c r="D105" s="43"/>
      <c r="E105" s="42"/>
      <c r="F105" s="42"/>
      <c r="G105" s="42"/>
      <c r="H105" s="42"/>
      <c r="I105" s="42"/>
      <c r="J105" s="43"/>
      <c r="K105" s="42"/>
      <c r="L105" s="42"/>
      <c r="M105" s="42"/>
      <c r="N105" s="42"/>
      <c r="O105" s="42"/>
      <c r="P105" s="43"/>
      <c r="Q105" s="42"/>
      <c r="R105" s="42"/>
      <c r="S105" s="42"/>
      <c r="T105" s="42"/>
      <c r="U105" s="26"/>
      <c r="V105" s="12"/>
    </row>
    <row r="106" spans="1:22" ht="22.15" customHeight="1">
      <c r="A106"/>
      <c r="B106"/>
      <c r="C106" s="42"/>
      <c r="D106" s="43"/>
      <c r="E106" s="42"/>
      <c r="F106" s="42"/>
      <c r="G106" s="42"/>
      <c r="H106" s="42"/>
      <c r="I106" s="42"/>
      <c r="J106" s="43"/>
      <c r="K106" s="42"/>
      <c r="L106" s="42"/>
      <c r="M106" s="42"/>
      <c r="N106" s="42"/>
      <c r="O106" s="42"/>
      <c r="P106" s="43"/>
      <c r="Q106" s="42"/>
      <c r="R106" s="42"/>
      <c r="S106" s="42"/>
      <c r="T106" s="42"/>
      <c r="U106" s="26"/>
      <c r="V106" s="12"/>
    </row>
    <row r="107" spans="1:22" ht="22.15" customHeight="1">
      <c r="A107"/>
      <c r="B107"/>
      <c r="C107" s="42"/>
      <c r="D107" s="43"/>
      <c r="E107" s="42"/>
      <c r="F107" s="42"/>
      <c r="G107" s="42"/>
      <c r="H107" s="42"/>
      <c r="I107" s="42"/>
      <c r="J107" s="43"/>
      <c r="K107" s="42"/>
      <c r="L107" s="42"/>
      <c r="M107" s="42"/>
      <c r="N107" s="42"/>
      <c r="O107" s="42"/>
      <c r="P107" s="43"/>
      <c r="Q107" s="42"/>
      <c r="R107" s="42"/>
      <c r="S107" s="42"/>
      <c r="T107" s="42"/>
      <c r="U107" s="26"/>
      <c r="V107" s="12"/>
    </row>
    <row r="108" spans="1:22" ht="22.15" customHeight="1">
      <c r="A108"/>
      <c r="B108"/>
      <c r="C108" s="42"/>
      <c r="D108" s="43"/>
      <c r="E108" s="42"/>
      <c r="F108" s="42"/>
      <c r="G108" s="42"/>
      <c r="H108" s="42"/>
      <c r="I108" s="42"/>
      <c r="J108" s="43"/>
      <c r="K108" s="42"/>
      <c r="L108" s="42"/>
      <c r="M108" s="42"/>
      <c r="N108" s="42"/>
      <c r="O108" s="42"/>
      <c r="P108" s="43"/>
      <c r="Q108" s="42"/>
      <c r="R108" s="42"/>
      <c r="S108" s="42"/>
      <c r="T108" s="42"/>
      <c r="U108" s="43"/>
    </row>
    <row r="109" spans="1:22" ht="22.15" customHeight="1">
      <c r="A109"/>
      <c r="B109"/>
      <c r="C109" s="42"/>
      <c r="D109" s="43"/>
      <c r="E109" s="42"/>
      <c r="F109" s="42"/>
      <c r="G109" s="42"/>
      <c r="H109" s="42"/>
      <c r="I109" s="42"/>
      <c r="J109" s="43"/>
      <c r="K109" s="42"/>
      <c r="L109" s="42"/>
      <c r="M109" s="42"/>
      <c r="N109" s="42"/>
      <c r="O109" s="42"/>
      <c r="P109" s="43"/>
      <c r="Q109" s="42"/>
      <c r="R109" s="42"/>
      <c r="S109" s="42"/>
      <c r="T109" s="42"/>
      <c r="U109" s="43"/>
    </row>
    <row r="110" spans="1:22" ht="22.15" customHeight="1">
      <c r="A110"/>
      <c r="B110"/>
      <c r="C110" s="42"/>
      <c r="D110" s="43"/>
      <c r="E110" s="42"/>
      <c r="F110" s="42"/>
      <c r="G110" s="42"/>
      <c r="H110" s="42"/>
      <c r="I110" s="42"/>
      <c r="J110" s="43"/>
      <c r="K110" s="42"/>
      <c r="L110" s="42"/>
      <c r="M110" s="42"/>
      <c r="N110" s="42"/>
      <c r="O110" s="42"/>
      <c r="P110" s="43"/>
      <c r="Q110" s="42"/>
      <c r="R110" s="42"/>
      <c r="S110" s="42"/>
      <c r="T110" s="42"/>
    </row>
    <row r="111" spans="1:22" ht="22.15" customHeight="1">
      <c r="A111"/>
      <c r="B111"/>
      <c r="C111" s="42"/>
      <c r="D111" s="43"/>
      <c r="E111" s="42"/>
      <c r="F111" s="42"/>
      <c r="I111" s="42"/>
      <c r="J111" s="43"/>
      <c r="K111" s="42"/>
      <c r="L111" s="42"/>
      <c r="O111" s="42"/>
      <c r="P111" s="43"/>
      <c r="Q111" s="42"/>
      <c r="R111" s="42"/>
    </row>
  </sheetData>
  <mergeCells count="5">
    <mergeCell ref="X3:AB3"/>
    <mergeCell ref="X4:AB5"/>
    <mergeCell ref="X7:AB7"/>
    <mergeCell ref="X8:AB8"/>
    <mergeCell ref="X9:AB10"/>
  </mergeCells>
  <phoneticPr fontId="9" type="noConversion"/>
  <conditionalFormatting sqref="G3:H95">
    <cfRule type="cellIs" dxfId="35" priority="25" stopIfTrue="1" operator="equal">
      <formula>50</formula>
    </cfRule>
    <cfRule type="cellIs" dxfId="34" priority="26" stopIfTrue="1" operator="lessThan">
      <formula>50</formula>
    </cfRule>
    <cfRule type="cellIs" dxfId="33" priority="27" stopIfTrue="1" operator="greaterThan">
      <formula>50</formula>
    </cfRule>
  </conditionalFormatting>
  <conditionalFormatting sqref="H3:H95">
    <cfRule type="cellIs" dxfId="32" priority="19" stopIfTrue="1" operator="between">
      <formula>15</formula>
      <formula>20</formula>
    </cfRule>
    <cfRule type="cellIs" dxfId="31" priority="20" stopIfTrue="1" operator="lessThan">
      <formula>15</formula>
    </cfRule>
    <cfRule type="cellIs" dxfId="30" priority="21" stopIfTrue="1" operator="greaterThan">
      <formula>20</formula>
    </cfRule>
    <cfRule type="cellIs" dxfId="29" priority="22" stopIfTrue="1" operator="between">
      <formula>15</formula>
      <formula>20</formula>
    </cfRule>
    <cfRule type="cellIs" dxfId="28" priority="23" stopIfTrue="1" operator="lessThan">
      <formula>15</formula>
    </cfRule>
    <cfRule type="cellIs" dxfId="27" priority="24" stopIfTrue="1" operator="greaterThan">
      <formula>20</formula>
    </cfRule>
  </conditionalFormatting>
  <conditionalFormatting sqref="M3:N95">
    <cfRule type="cellIs" dxfId="26" priority="16" stopIfTrue="1" operator="equal">
      <formula>50</formula>
    </cfRule>
    <cfRule type="cellIs" dxfId="25" priority="17" stopIfTrue="1" operator="lessThan">
      <formula>50</formula>
    </cfRule>
    <cfRule type="cellIs" dxfId="24" priority="18" stopIfTrue="1" operator="greaterThan">
      <formula>50</formula>
    </cfRule>
  </conditionalFormatting>
  <conditionalFormatting sqref="N3:N95">
    <cfRule type="cellIs" dxfId="23" priority="10" stopIfTrue="1" operator="between">
      <formula>15</formula>
      <formula>20</formula>
    </cfRule>
    <cfRule type="cellIs" dxfId="22" priority="11" stopIfTrue="1" operator="lessThan">
      <formula>15</formula>
    </cfRule>
    <cfRule type="cellIs" dxfId="21" priority="12" stopIfTrue="1" operator="greaterThan">
      <formula>20</formula>
    </cfRule>
    <cfRule type="cellIs" dxfId="20" priority="13" stopIfTrue="1" operator="between">
      <formula>15</formula>
      <formula>20</formula>
    </cfRule>
    <cfRule type="cellIs" dxfId="19" priority="14" stopIfTrue="1" operator="lessThan">
      <formula>15</formula>
    </cfRule>
    <cfRule type="cellIs" dxfId="18" priority="15" stopIfTrue="1" operator="greaterThan">
      <formula>20</formula>
    </cfRule>
  </conditionalFormatting>
  <conditionalFormatting sqref="S3:T95">
    <cfRule type="cellIs" dxfId="17" priority="7" stopIfTrue="1" operator="equal">
      <formula>50</formula>
    </cfRule>
    <cfRule type="cellIs" dxfId="16" priority="8" stopIfTrue="1" operator="lessThan">
      <formula>50</formula>
    </cfRule>
    <cfRule type="cellIs" dxfId="15" priority="9" stopIfTrue="1" operator="greaterThan">
      <formula>50</formula>
    </cfRule>
  </conditionalFormatting>
  <conditionalFormatting sqref="T3:T95">
    <cfRule type="cellIs" dxfId="14" priority="1" stopIfTrue="1" operator="between">
      <formula>15</formula>
      <formula>20</formula>
    </cfRule>
    <cfRule type="cellIs" dxfId="13" priority="2" stopIfTrue="1" operator="lessThan">
      <formula>15</formula>
    </cfRule>
    <cfRule type="cellIs" dxfId="12" priority="3" stopIfTrue="1" operator="greaterThan">
      <formula>20</formula>
    </cfRule>
    <cfRule type="cellIs" dxfId="11" priority="4" stopIfTrue="1" operator="between">
      <formula>15</formula>
      <formula>20</formula>
    </cfRule>
    <cfRule type="cellIs" dxfId="10" priority="5" stopIfTrue="1" operator="lessThan">
      <formula>15</formula>
    </cfRule>
    <cfRule type="cellIs" dxfId="9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2025-12-15T13:46:39Z</dcterms:modified>
</cp:coreProperties>
</file>