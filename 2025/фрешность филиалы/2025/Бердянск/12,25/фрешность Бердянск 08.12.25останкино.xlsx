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62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<sst xmlns="http://schemas.openxmlformats.org/spreadsheetml/2006/main" count="158" uniqueCount="87">
  <si>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</si>
  <si>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</si>
  <si>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</si>
  <si>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</si>
  <si>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</si>
  <si>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</si>
  <si>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</si>
  <si>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</si>
  <si>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</si>
  <si>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</si>
  <si>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</si>
  <si>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</si>
  <si>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</si>
  <si>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</si>
  <si>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</si>
  <si>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</si>
  <si>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</si>
  <si>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</si>
  <si>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</si>
  <si>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</si>
  <si>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</si>
  <si>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</si>
  <si>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</si>
  <si>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</si>
  <si>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</si>
  <si>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</si>
  <si>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</si>
  <si>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</si>
  <si>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</si>
  <si>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</si>
  <si>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</si>
  <si>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</si>
  <si>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</si>
  <si>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</si>
  <si>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</si>
  <si>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</si>
  <si>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</si>
  <si>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</si>
  <si>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</si>
  <si>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</si>
  <si>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</si>
  <si>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</si>
  <si>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</si>
  <si>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</si>
  <si>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</si>
  <si>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</si>
  <si>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</si>
  <si>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</si>
  <si>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</si>
  <si>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</si>
  <si>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</si>
  <si>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</si>
  <si>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</si>
  <si>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</si>
  <si>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</si>
  <si>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</si>
  <si>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</si>
  <si>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</si>
  <si>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</si>
  <si>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</si>
  <si>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</si>
  <si>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</si>
  <si>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</si>
  <si>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</si>
  <si>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</si>
  <si>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</si>
  <si>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</si>
  <si>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</si>
  <si>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</si>
  <si>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</si>
  <si>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</si>
  <si>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</si>
  <si>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</si>
  <si>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</si>
  <si>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</si>
  <si>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</si>
  <si>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</si>
  <si>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</si>
  <si>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</si>
  <si>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</si>
  <si>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КГ</t>
  </si>
  <si>
    <t>Сыр Сливочный со вкусом топленого молока 45% ти Папа Может, брус (2 шт)  Останкино, 5522704</t>
  </si>
  <si>
    <t>Плавленый Сыр колбасный копченый 40% СТМ"ПапаМожет"400гр  Останкино, 9988452</t>
  </si>
  <si>
    <t>6793 БАЛЫКОВАЯ в/к в/у 0,33кг 8шт  Останкино, 1001303636793</t>
  </si>
  <si>
    <t>7276 СЛИВОЧНЫЕ ПМ сос п/о мгс 0,3кг 7шт  Останкино, 1001022467276</t>
  </si>
  <si>
    <t>6208 ДЫМОВИЦА ИЗ ЛОПАТКИ ПМ к/в с/н в/у 1/150  Останкино, 1001220226208</t>
  </si>
  <si>
    <t>7284 ДЛЯ ДЕТЕЙ сос п/о мгс 0,33кг 6шт  Останкино, 1001025767284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</si>
</sst>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" fontId="4" fillId="3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/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="85" zoomScaleNormal="85" workbookViewId="0">
      <selection activeCell="D78" sqref="D78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45999</v>
      </c>
      <c r="H1" s="2">
        <f ca="1">TODAY()</f>
        <v>45999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-1555.5555555555554</v>
      </c>
      <c r="H3" s="10">
        <f t="shared" ref="H3:H37" ca="1" si="1">F3-$H$1</f>
        <v>-700</v>
      </c>
      <c r="L3" s="35"/>
      <c r="M3" s="35"/>
      <c r="N3" s="35"/>
      <c r="O3" s="35"/>
      <c r="P3" s="35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-1555.5555555555554</v>
      </c>
      <c r="H4" s="10">
        <f t="shared" ca="1" si="1"/>
        <v>-700</v>
      </c>
      <c r="L4" s="36" t="s">
        <v>10</v>
      </c>
      <c r="M4" s="36"/>
      <c r="N4" s="36"/>
      <c r="O4" s="36"/>
      <c r="P4" s="36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-1551.1111111111111</v>
      </c>
      <c r="H5" s="10">
        <f t="shared" ca="1" si="1"/>
        <v>-698</v>
      </c>
      <c r="L5" s="36"/>
      <c r="M5" s="36"/>
      <c r="N5" s="36"/>
      <c r="O5" s="36"/>
      <c r="P5" s="36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-1988.5714285714287</v>
      </c>
      <c r="H6" s="10">
        <f t="shared" ca="1" si="1"/>
        <v>-696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-1985.7142857142858</v>
      </c>
      <c r="H7" s="10">
        <f t="shared" ca="1" si="1"/>
        <v>-695</v>
      </c>
      <c r="L7" s="37"/>
      <c r="M7" s="37"/>
      <c r="N7" s="37"/>
      <c r="O7" s="37"/>
      <c r="P7" s="37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-2313.3333333333335</v>
      </c>
      <c r="H8" s="10">
        <f t="shared" ca="1" si="1"/>
        <v>-694</v>
      </c>
      <c r="L8" s="35"/>
      <c r="M8" s="35"/>
      <c r="N8" s="35"/>
      <c r="O8" s="35"/>
      <c r="P8" s="35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-1735.0000000000002</v>
      </c>
      <c r="H9" s="10">
        <f t="shared" ca="1" si="1"/>
        <v>-694</v>
      </c>
      <c r="L9" s="36" t="s">
        <v>17</v>
      </c>
      <c r="M9" s="36"/>
      <c r="N9" s="36"/>
      <c r="O9" s="36"/>
      <c r="P9" s="36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-1542.2222222222222</v>
      </c>
      <c r="H10" s="10">
        <f t="shared" ca="1" si="1"/>
        <v>-694</v>
      </c>
      <c r="L10" s="36"/>
      <c r="M10" s="36"/>
      <c r="N10" s="36"/>
      <c r="O10" s="36"/>
      <c r="P10" s="36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-2310</v>
      </c>
      <c r="H11" s="10">
        <f t="shared" ca="1" si="1"/>
        <v>-693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-1386</v>
      </c>
      <c r="H12" s="10">
        <f t="shared" ca="1" si="1"/>
        <v>-693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-2310</v>
      </c>
      <c r="H13" s="10">
        <f t="shared" ca="1" si="1"/>
        <v>-693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-900</v>
      </c>
      <c r="H14" s="10">
        <f t="shared" ca="1" si="1"/>
        <v>-693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-1537.7777777777778</v>
      </c>
      <c r="H15" s="10">
        <f t="shared" ca="1" si="1"/>
        <v>-692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-2306.6666666666665</v>
      </c>
      <c r="H16" s="10">
        <f t="shared" ca="1" si="1"/>
        <v>-692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-1730</v>
      </c>
      <c r="H17" s="10">
        <f t="shared" ca="1" si="1"/>
        <v>-692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-1727.4999999999998</v>
      </c>
      <c r="H18" s="10">
        <f t="shared" ca="1" si="1"/>
        <v>-691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-1727.4999999999998</v>
      </c>
      <c r="H19" s="10">
        <f t="shared" ca="1" si="1"/>
        <v>-691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-1727.4999999999998</v>
      </c>
      <c r="H20" s="10">
        <f t="shared" ca="1" si="1"/>
        <v>-691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-1722.5000000000002</v>
      </c>
      <c r="H21" s="10">
        <f t="shared" ca="1" si="1"/>
        <v>-689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-1600</v>
      </c>
      <c r="H22" s="10">
        <f t="shared" ca="1" si="1"/>
        <v>-688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-1600</v>
      </c>
      <c r="H23" s="10">
        <f t="shared" ca="1" si="1"/>
        <v>-688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-1965.7142857142858</v>
      </c>
      <c r="H24" s="10">
        <f t="shared" ca="1" si="1"/>
        <v>-688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-1526.6666666666667</v>
      </c>
      <c r="H25" s="10">
        <f t="shared" ca="1" si="1"/>
        <v>-687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-1962.8571428571429</v>
      </c>
      <c r="H26" s="10">
        <f t="shared" ca="1" si="1"/>
        <v>-687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-1962.8571428571429</v>
      </c>
      <c r="H27" s="10">
        <f t="shared" ca="1" si="1"/>
        <v>-687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-1717.5</v>
      </c>
      <c r="H28" s="10">
        <f t="shared" ca="1" si="1"/>
        <v>-687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-1524.4444444444443</v>
      </c>
      <c r="H29" s="10">
        <f t="shared" ca="1" si="1"/>
        <v>-686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-1524.4444444444443</v>
      </c>
      <c r="H30" s="10">
        <f t="shared" ca="1" si="1"/>
        <v>-686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-1524.4444444444443</v>
      </c>
      <c r="H31" s="10">
        <f t="shared" ca="1" si="1"/>
        <v>-686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-1524.4444444444443</v>
      </c>
      <c r="H32" s="10">
        <f t="shared" ca="1" si="1"/>
        <v>-686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-1712.5</v>
      </c>
      <c r="H33" s="10">
        <f t="shared" ca="1" si="1"/>
        <v>-685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-1710.0000000000002</v>
      </c>
      <c r="H34" s="10">
        <f t="shared" ca="1" si="1"/>
        <v>-684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-1710.0000000000002</v>
      </c>
      <c r="H35" s="10">
        <f t="shared" ca="1" si="1"/>
        <v>-684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-45999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-1707.5</v>
      </c>
      <c r="H37" s="10">
        <f t="shared" ca="1" si="1"/>
        <v>-683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-1131.6666666666667</v>
      </c>
      <c r="H38" s="10">
        <f ca="1">F38-$H$1</f>
        <v>-679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-45999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-45999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-45999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-45999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-45999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-45999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-45999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-45999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-45999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-45999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-45999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-45999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-45999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-45999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-45999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-45999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-45999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-45999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-45999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-45999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-45999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-45999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-45999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-45999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-45999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-45999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-45999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-45999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-45999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-45999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-45999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-45999</v>
      </c>
    </row>
    <row r="71" spans="1:9" ht="22.15" customHeight="1">
      <c r="A71"/>
      <c r="B71" s="19" t="s">
        <v>81</v>
      </c>
      <c r="C71" s="7" t="s">
        <v>80</v>
      </c>
      <c r="D71" s="14">
        <v>165.715</v>
      </c>
      <c r="E71" s="18">
        <v>45880</v>
      </c>
      <c r="F71" s="11">
        <v>46000</v>
      </c>
      <c r="G71" s="10">
        <f t="shared" ca="1" si="2"/>
        <v>0.83333333333333337</v>
      </c>
      <c r="H71" s="10">
        <f t="shared" ca="1" si="3"/>
        <v>1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-45999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-45999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-45999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-45999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-45999</v>
      </c>
    </row>
    <row r="77" spans="1:9" ht="22.15" customHeight="1">
      <c r="A77"/>
      <c r="B77" s="19" t="s">
        <v>84</v>
      </c>
      <c r="C77" s="7" t="s">
        <v>8</v>
      </c>
      <c r="D77" s="14">
        <v>5</v>
      </c>
      <c r="E77" s="11">
        <v>45961</v>
      </c>
      <c r="F77" s="11">
        <v>46011</v>
      </c>
      <c r="G77" s="10">
        <f t="shared" ca="1" si="4"/>
        <v>24</v>
      </c>
      <c r="H77" s="10">
        <f t="shared" ca="1" si="5"/>
        <v>12</v>
      </c>
      <c r="I77"/>
    </row>
    <row r="78" spans="1:9" ht="22.15" customHeight="1">
      <c r="A78"/>
      <c r="B78" s="19" t="s">
        <v>85</v>
      </c>
      <c r="C78" s="7" t="s">
        <v>8</v>
      </c>
      <c r="D78" s="14">
        <v>19</v>
      </c>
      <c r="E78" s="11">
        <v>45962</v>
      </c>
      <c r="F78" s="11">
        <v>46007</v>
      </c>
      <c r="G78" s="10">
        <f t="shared" ca="1" si="4"/>
        <v>17.777777777777779</v>
      </c>
      <c r="H78" s="10">
        <f t="shared" ca="1" si="5"/>
        <v>8</v>
      </c>
      <c r="I78"/>
    </row>
    <row r="79" spans="1:9" ht="22.15" customHeight="1">
      <c r="A79"/>
      <c r="B79" s="19" t="s">
        <v>83</v>
      </c>
      <c r="C79" s="7" t="s">
        <v>8</v>
      </c>
      <c r="D79" s="14">
        <v>7</v>
      </c>
      <c r="E79" s="11">
        <v>45964</v>
      </c>
      <c r="F79" s="11">
        <v>46009</v>
      </c>
      <c r="G79" s="10">
        <f t="shared" ca="1" si="4"/>
        <v>22.222222222222221</v>
      </c>
      <c r="H79" s="10">
        <f t="shared" ca="1" si="5"/>
        <v>10</v>
      </c>
      <c r="I79"/>
    </row>
    <row r="80" spans="1:9" ht="22.15" customHeight="1">
      <c r="A80"/>
      <c r="B80" s="19" t="s">
        <v>86</v>
      </c>
      <c r="C80" s="7" t="s">
        <v>8</v>
      </c>
      <c r="D80" s="17">
        <v>3</v>
      </c>
      <c r="E80" s="11">
        <v>45982</v>
      </c>
      <c r="F80" s="11">
        <v>46012</v>
      </c>
      <c r="G80" s="10">
        <f t="shared" ca="1" si="4"/>
        <v>43.333333333333336</v>
      </c>
      <c r="H80" s="10">
        <f t="shared" ca="1" si="5"/>
        <v>13</v>
      </c>
      <c r="I80"/>
    </row>
    <row r="81" spans="1:9" ht="22.15" customHeight="1">
      <c r="A81"/>
      <c r="B81" s="19" t="s">
        <v>82</v>
      </c>
      <c r="C81" s="16" t="s">
        <v>8</v>
      </c>
      <c r="D81" s="17">
        <v>14</v>
      </c>
      <c r="E81" s="11">
        <v>45821</v>
      </c>
      <c r="F81" s="11">
        <v>46091</v>
      </c>
      <c r="G81" s="10">
        <f t="shared" ca="1" si="4"/>
        <v>34.074074074074076</v>
      </c>
      <c r="H81" s="10">
        <f t="shared" ca="1" si="5"/>
        <v>92</v>
      </c>
      <c r="I81"/>
    </row>
    <row r="82" spans="1:9" ht="22.15" customHeight="1">
      <c r="A82"/>
      <c r="B82" s="19"/>
      <c r="C82" s="7"/>
      <c r="D82" s="17"/>
      <c r="E82" s="11"/>
      <c r="F82" s="11"/>
      <c r="G82" s="10" t="str">
        <f t="shared" ca="1" si="4"/>
        <v/>
      </c>
      <c r="H82" s="10">
        <f t="shared" ca="1" si="5"/>
        <v>-45999</v>
      </c>
      <c r="I82"/>
    </row>
    <row r="83" spans="1:9" ht="22.15" customHeight="1">
      <c r="A83"/>
      <c r="B83" s="19"/>
      <c r="C83" s="7"/>
      <c r="D83" s="14"/>
      <c r="E83" s="11"/>
      <c r="F83" s="11"/>
      <c r="G83" s="10" t="str">
        <f t="shared" ref="G83" ca="1" si="6">IFERROR((F83-$G$1)/(F83-E83)*100,"")</f>
        <v/>
      </c>
      <c r="H83" s="10">
        <f t="shared" ref="H83" ca="1" si="7">F83-$H$1</f>
        <v>-45999</v>
      </c>
      <c r="I83"/>
    </row>
    <row r="84" spans="1:9" ht="22.15" customHeight="1">
      <c r="A84"/>
      <c r="B84" s="19"/>
      <c r="C84" s="7"/>
      <c r="D84" s="33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-45999</v>
      </c>
      <c r="I84"/>
    </row>
    <row r="85" spans="1:9" ht="22.15" customHeight="1">
      <c r="A85"/>
      <c r="B85" s="19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-45999</v>
      </c>
      <c r="I85"/>
    </row>
    <row r="86" spans="1:9" ht="22.15" customHeight="1">
      <c r="A86"/>
      <c r="B86" s="19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-45999</v>
      </c>
      <c r="I86"/>
    </row>
    <row r="87" spans="1:9" ht="22.15" customHeight="1">
      <c r="A87"/>
      <c r="B87" s="19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-45999</v>
      </c>
      <c r="I87"/>
    </row>
    <row r="88" spans="1:9" ht="22.15" customHeight="1">
      <c r="A88"/>
      <c r="B88" s="19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-45999</v>
      </c>
      <c r="I88"/>
    </row>
    <row r="89" spans="1:9" ht="22.15" customHeight="1">
      <c r="A89"/>
      <c r="B89" s="19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-45999</v>
      </c>
      <c r="I89"/>
    </row>
    <row r="90" spans="1:9" ht="22.15" customHeight="1">
      <c r="A90"/>
      <c r="B90" s="19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-45999</v>
      </c>
      <c r="I90"/>
    </row>
    <row r="91" spans="1:9" ht="22.15" customHeight="1">
      <c r="A91"/>
      <c r="B91" s="19"/>
      <c r="C91" s="7"/>
      <c r="D91" s="14"/>
      <c r="E91" s="11"/>
      <c r="F91" s="11"/>
      <c r="G91" s="10" t="str">
        <f t="shared" ref="G91:G103" ca="1" si="14">IFERROR((F91-$G$1)/(F91-E91)*100,"")</f>
        <v/>
      </c>
      <c r="H91" s="10">
        <f t="shared" ref="H91:H103" ca="1" si="15">F91-$H$1</f>
        <v>-45999</v>
      </c>
      <c r="I91"/>
    </row>
    <row r="92" spans="1:9" ht="22.15" customHeight="1">
      <c r="A92"/>
      <c r="B92" s="19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-45999</v>
      </c>
      <c r="I92"/>
    </row>
    <row r="93" spans="1:9" ht="22.15" customHeight="1">
      <c r="A93"/>
      <c r="B93" s="19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-45999</v>
      </c>
      <c r="I93"/>
    </row>
    <row r="94" spans="1:9" ht="22.15" customHeight="1">
      <c r="A94"/>
      <c r="B94" s="19"/>
      <c r="C94" s="20"/>
      <c r="D94" s="21"/>
      <c r="E94" s="22"/>
      <c r="F94" s="22"/>
      <c r="G94" s="23" t="str">
        <f t="shared" ca="1" si="14"/>
        <v/>
      </c>
      <c r="H94" s="23">
        <f t="shared" ca="1" si="15"/>
        <v>-45999</v>
      </c>
      <c r="I94"/>
    </row>
    <row r="95" spans="1:9" ht="22.15" customHeight="1">
      <c r="A95"/>
      <c r="B95" s="19"/>
      <c r="C95" s="27"/>
      <c r="D95" s="24"/>
      <c r="E95" s="22"/>
      <c r="F95" s="22"/>
      <c r="G95" s="23" t="str">
        <f t="shared" ca="1" si="14"/>
        <v/>
      </c>
      <c r="H95" s="23">
        <f t="shared" ca="1" si="15"/>
        <v>-45999</v>
      </c>
      <c r="I95"/>
    </row>
    <row r="96" spans="1:9" ht="22.15" customHeight="1">
      <c r="A96"/>
      <c r="B96" s="19"/>
      <c r="C96" s="30"/>
      <c r="D96" s="31"/>
      <c r="E96" s="22"/>
      <c r="F96" s="22"/>
      <c r="G96" s="23" t="str">
        <f t="shared" ca="1" si="14"/>
        <v/>
      </c>
      <c r="H96" s="23">
        <f t="shared" ca="1" si="15"/>
        <v>-45999</v>
      </c>
      <c r="I96"/>
    </row>
    <row r="97" spans="1:9" ht="22.15" customHeight="1">
      <c r="A97"/>
      <c r="B97" s="19"/>
      <c r="C97" s="29"/>
      <c r="D97" s="26"/>
      <c r="E97" s="22"/>
      <c r="F97" s="22"/>
      <c r="G97" s="23" t="str">
        <f t="shared" ca="1" si="14"/>
        <v/>
      </c>
      <c r="H97" s="23">
        <f t="shared" ca="1" si="15"/>
        <v>-45999</v>
      </c>
      <c r="I97"/>
    </row>
    <row r="98" spans="1:9" ht="22.15" customHeight="1">
      <c r="A98"/>
      <c r="B98" s="19"/>
      <c r="C98" s="30"/>
      <c r="D98" s="31"/>
      <c r="E98" s="22"/>
      <c r="F98" s="22"/>
      <c r="G98" s="23" t="str">
        <f t="shared" ca="1" si="14"/>
        <v/>
      </c>
      <c r="H98" s="23">
        <f t="shared" ca="1" si="15"/>
        <v>-45999</v>
      </c>
      <c r="I98"/>
    </row>
    <row r="99" spans="1:9" ht="22.15" customHeight="1">
      <c r="A99"/>
      <c r="B99" s="19"/>
      <c r="C99" s="29"/>
      <c r="D99" s="26"/>
      <c r="E99" s="22"/>
      <c r="F99" s="22"/>
      <c r="G99" s="23" t="str">
        <f t="shared" ca="1" si="14"/>
        <v/>
      </c>
      <c r="H99" s="23">
        <f t="shared" ca="1" si="15"/>
        <v>-45999</v>
      </c>
      <c r="I99"/>
    </row>
    <row r="100" spans="1:9" ht="22.15" customHeight="1">
      <c r="A100"/>
      <c r="B100" s="19"/>
      <c r="C100" s="30"/>
      <c r="D100" s="31"/>
      <c r="E100" s="22"/>
      <c r="F100" s="22"/>
      <c r="G100" s="23" t="str">
        <f t="shared" ca="1" si="14"/>
        <v/>
      </c>
      <c r="H100" s="23">
        <f t="shared" ca="1" si="15"/>
        <v>-45999</v>
      </c>
      <c r="I100"/>
    </row>
    <row r="101" spans="1:9" ht="22.15" customHeight="1">
      <c r="A101"/>
      <c r="B101" s="19"/>
      <c r="C101" s="29"/>
      <c r="D101" s="26"/>
      <c r="E101" s="22"/>
      <c r="F101" s="22"/>
      <c r="G101" s="23" t="str">
        <f t="shared" ca="1" si="14"/>
        <v/>
      </c>
      <c r="H101" s="23">
        <f t="shared" ca="1" si="15"/>
        <v>-45999</v>
      </c>
      <c r="I101"/>
    </row>
    <row r="102" spans="1:9" ht="22.15" customHeight="1">
      <c r="A102"/>
      <c r="B102" s="19"/>
      <c r="C102" s="28"/>
      <c r="D102" s="25"/>
      <c r="E102" s="22"/>
      <c r="F102" s="22"/>
      <c r="G102" s="23" t="str">
        <f t="shared" ca="1" si="14"/>
        <v/>
      </c>
      <c r="H102" s="23">
        <f t="shared" ca="1" si="15"/>
        <v>-45999</v>
      </c>
      <c r="I102"/>
    </row>
    <row r="103" spans="1:9" ht="22.15" customHeight="1">
      <c r="A103"/>
      <c r="B103" s="19"/>
      <c r="C103" s="30"/>
      <c r="D103" s="32"/>
      <c r="E103" s="34"/>
      <c r="F103" s="22"/>
      <c r="G103" s="23" t="str">
        <f t="shared" ca="1" si="14"/>
        <v/>
      </c>
      <c r="H103" s="23">
        <f t="shared" ca="1" si="15"/>
        <v>-45999</v>
      </c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2025-12-08T13:49:57Z</dcterms:modified>
</cp:coreProperties>
</file>