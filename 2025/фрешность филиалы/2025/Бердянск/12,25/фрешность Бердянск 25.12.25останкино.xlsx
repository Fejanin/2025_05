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87" i="1"/>
  <c r="AR91"/>
  <c r="AR90"/>
  <c r="AR83"/>
  <c r="AP103" l="1"/>
  <c r="AP102"/>
  <c r="AP101"/>
  <c r="AP100"/>
  <c r="AP99"/>
  <c r="AP98"/>
  <c r="AP97"/>
  <c r="AP96"/>
  <c r="AP95"/>
  <c r="AP94"/>
  <c r="AP93"/>
  <c r="AP92"/>
  <c r="AP91"/>
  <c r="AP90"/>
  <c r="AP89"/>
  <c r="AP88"/>
  <c r="AP87"/>
  <c r="AP86"/>
  <c r="AP85"/>
  <c r="AP84"/>
  <c r="AP83"/>
  <c r="AR82"/>
  <c r="AP82"/>
  <c r="AP81"/>
  <c r="AR80"/>
  <c r="AP80"/>
  <c r="AP79"/>
  <c r="AP78"/>
  <c r="AP77"/>
  <c r="AR76"/>
  <c r="AP76"/>
  <c r="AR75"/>
  <c r="AP75"/>
  <c r="AR74"/>
  <c r="AP74"/>
  <c r="AR73"/>
  <c r="AP73"/>
  <c r="AR72"/>
  <c r="AP72"/>
  <c r="AP71"/>
  <c r="AP70"/>
  <c r="AP69"/>
  <c r="AP68"/>
  <c r="AP67"/>
  <c r="AP66"/>
  <c r="AP65"/>
  <c r="AP64"/>
  <c r="AP63"/>
  <c r="AP62"/>
  <c r="AP61"/>
  <c r="AP60"/>
  <c r="AP59"/>
  <c r="AP58"/>
  <c r="AP57"/>
  <c r="AP56"/>
  <c r="AP55"/>
  <c r="AP54"/>
  <c r="AP53"/>
  <c r="AP52"/>
  <c r="AP51"/>
  <c r="AP50"/>
  <c r="AP49"/>
  <c r="AP48"/>
  <c r="AP47"/>
  <c r="AP46"/>
  <c r="AP45"/>
  <c r="AP44"/>
  <c r="AP43"/>
  <c r="AP42"/>
  <c r="AP41"/>
  <c r="AP40"/>
  <c r="AP39"/>
  <c r="AP38"/>
  <c r="AP37"/>
  <c r="AP36"/>
  <c r="AP35"/>
  <c r="AP34"/>
  <c r="AP33"/>
  <c r="AP32"/>
  <c r="AP31"/>
  <c r="AP30"/>
  <c r="AP29"/>
  <c r="AP28"/>
  <c r="AP27"/>
  <c r="AP26"/>
  <c r="AP25"/>
  <c r="AP24"/>
  <c r="AP23"/>
  <c r="AP22"/>
  <c r="AP21"/>
  <c r="AP20"/>
  <c r="AP19"/>
  <c r="AP18"/>
  <c r="AP17"/>
  <c r="AP16"/>
  <c r="AP15"/>
  <c r="AP14"/>
  <c r="AP13"/>
  <c r="AP12"/>
  <c r="AP11"/>
  <c r="AP10"/>
  <c r="AP9"/>
  <c r="AP8"/>
  <c r="AP7"/>
  <c r="AP6"/>
  <c r="AP5"/>
  <c r="AP4"/>
  <c r="AP3"/>
  <c r="AJ89"/>
  <c r="AJ88"/>
  <c r="AJ87"/>
  <c r="AJ85"/>
  <c r="AJ84"/>
  <c r="AJ83"/>
  <c r="AJ82"/>
  <c r="AJ79"/>
  <c r="AJ80"/>
  <c r="AB86"/>
  <c r="AB85"/>
  <c r="AB84"/>
  <c r="AB83"/>
  <c r="AB82"/>
  <c r="AB80"/>
  <c r="AB78"/>
  <c r="AH103" l="1"/>
  <c r="AH102"/>
  <c r="AH101"/>
  <c r="AH100"/>
  <c r="AH99"/>
  <c r="AH98"/>
  <c r="AH97"/>
  <c r="AH96"/>
  <c r="AH95"/>
  <c r="AH94"/>
  <c r="AH93"/>
  <c r="AH92"/>
  <c r="AH91"/>
  <c r="AH90"/>
  <c r="AH89"/>
  <c r="AH88"/>
  <c r="AH87"/>
  <c r="AH86"/>
  <c r="AH85"/>
  <c r="AH84"/>
  <c r="AH83"/>
  <c r="AH82"/>
  <c r="AH81"/>
  <c r="AH80"/>
  <c r="AH79"/>
  <c r="AH78"/>
  <c r="AH77"/>
  <c r="AJ76"/>
  <c r="AH76"/>
  <c r="AJ75"/>
  <c r="AH75"/>
  <c r="AJ74"/>
  <c r="AH74"/>
  <c r="AJ73"/>
  <c r="AH73"/>
  <c r="AJ72"/>
  <c r="AH72"/>
  <c r="AH71"/>
  <c r="AH70"/>
  <c r="AH69"/>
  <c r="AH68"/>
  <c r="AH67"/>
  <c r="AH66"/>
  <c r="AH65"/>
  <c r="AH64"/>
  <c r="AH63"/>
  <c r="AH62"/>
  <c r="AH61"/>
  <c r="AH60"/>
  <c r="AH59"/>
  <c r="AH58"/>
  <c r="AH57"/>
  <c r="AH56"/>
  <c r="AH55"/>
  <c r="AH54"/>
  <c r="AH53"/>
  <c r="AH52"/>
  <c r="AH51"/>
  <c r="AH50"/>
  <c r="AH49"/>
  <c r="AH48"/>
  <c r="AH47"/>
  <c r="AH46"/>
  <c r="AH45"/>
  <c r="AH44"/>
  <c r="AH43"/>
  <c r="AH42"/>
  <c r="AH41"/>
  <c r="AH40"/>
  <c r="AH39"/>
  <c r="AH38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AH5"/>
  <c r="AH4"/>
  <c r="AH3"/>
  <c r="Z103" l="1"/>
  <c r="Z102"/>
  <c r="Z101"/>
  <c r="Z100"/>
  <c r="Z99"/>
  <c r="Z98"/>
  <c r="Z97"/>
  <c r="Z96"/>
  <c r="Z95"/>
  <c r="Z94"/>
  <c r="Z93"/>
  <c r="Z91"/>
  <c r="Z90"/>
  <c r="Z89"/>
  <c r="Z88"/>
  <c r="Z87"/>
  <c r="Z86"/>
  <c r="Z85"/>
  <c r="Z84"/>
  <c r="Z83"/>
  <c r="Z82"/>
  <c r="Z81"/>
  <c r="Z80"/>
  <c r="Z79"/>
  <c r="Z78"/>
  <c r="Z77"/>
  <c r="Z76"/>
  <c r="Z75"/>
  <c r="Z74"/>
  <c r="Z73"/>
  <c r="Z72"/>
  <c r="Z71"/>
  <c r="Z70"/>
  <c r="Z69"/>
  <c r="Z68"/>
  <c r="Z67"/>
  <c r="Z66"/>
  <c r="Z65"/>
  <c r="Z64"/>
  <c r="Z63"/>
  <c r="Z62"/>
  <c r="Z61"/>
  <c r="Z60"/>
  <c r="Z59"/>
  <c r="Z58"/>
  <c r="Z57"/>
  <c r="Z56"/>
  <c r="Z55"/>
  <c r="Z54"/>
  <c r="Z53"/>
  <c r="Z52"/>
  <c r="Z51"/>
  <c r="Z50"/>
  <c r="Z49"/>
  <c r="Z48"/>
  <c r="Z47"/>
  <c r="Z46"/>
  <c r="Z45"/>
  <c r="Z44"/>
  <c r="Z43"/>
  <c r="Z42"/>
  <c r="Z41"/>
  <c r="Z40"/>
  <c r="Z39"/>
  <c r="Z38"/>
  <c r="Z37"/>
  <c r="Z36"/>
  <c r="Z35"/>
  <c r="Z34"/>
  <c r="Z33"/>
  <c r="Z32"/>
  <c r="Z31"/>
  <c r="Z30"/>
  <c r="Z29"/>
  <c r="Z28"/>
  <c r="Z27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Z6"/>
  <c r="Z5"/>
  <c r="Z4"/>
  <c r="Z3"/>
  <c r="U84"/>
  <c r="U83"/>
  <c r="U82"/>
  <c r="U78"/>
  <c r="U79"/>
  <c r="U80"/>
  <c r="U81"/>
  <c r="U77"/>
  <c r="U76" l="1"/>
  <c r="U75"/>
  <c r="U74"/>
  <c r="U73"/>
  <c r="U72"/>
  <c r="T103"/>
  <c r="S103"/>
  <c r="T102"/>
  <c r="S102"/>
  <c r="T101"/>
  <c r="S101"/>
  <c r="T100"/>
  <c r="S100"/>
  <c r="T99"/>
  <c r="S99"/>
  <c r="T98"/>
  <c r="S98"/>
  <c r="T97"/>
  <c r="S97"/>
  <c r="T96"/>
  <c r="S96"/>
  <c r="T95"/>
  <c r="S95"/>
  <c r="T94"/>
  <c r="S94"/>
  <c r="T93"/>
  <c r="S93"/>
  <c r="T91"/>
  <c r="S91"/>
  <c r="T90"/>
  <c r="S90"/>
  <c r="T89"/>
  <c r="S89"/>
  <c r="T88"/>
  <c r="S88"/>
  <c r="T87"/>
  <c r="S87"/>
  <c r="T86"/>
  <c r="S86"/>
  <c r="T85"/>
  <c r="S85"/>
  <c r="T84"/>
  <c r="S84"/>
  <c r="T83"/>
  <c r="S83"/>
  <c r="T82"/>
  <c r="S82"/>
  <c r="T81"/>
  <c r="S81"/>
  <c r="T80"/>
  <c r="S80"/>
  <c r="T79"/>
  <c r="S79"/>
  <c r="T78"/>
  <c r="S78"/>
  <c r="T77"/>
  <c r="S77"/>
  <c r="T76"/>
  <c r="S76"/>
  <c r="T75"/>
  <c r="S75"/>
  <c r="T74"/>
  <c r="S74"/>
  <c r="T73"/>
  <c r="S73"/>
  <c r="T72"/>
  <c r="S72"/>
  <c r="T71"/>
  <c r="S71"/>
  <c r="T70"/>
  <c r="S70"/>
  <c r="T69"/>
  <c r="S69"/>
  <c r="T68"/>
  <c r="S68"/>
  <c r="T67"/>
  <c r="S67"/>
  <c r="T66"/>
  <c r="S66"/>
  <c r="T65"/>
  <c r="S65"/>
  <c r="T64"/>
  <c r="S64"/>
  <c r="T63"/>
  <c r="S63"/>
  <c r="T62"/>
  <c r="S62"/>
  <c r="T61"/>
  <c r="S61"/>
  <c r="T60"/>
  <c r="S60"/>
  <c r="T59"/>
  <c r="S59"/>
  <c r="T58"/>
  <c r="S58"/>
  <c r="T57"/>
  <c r="S57"/>
  <c r="T56"/>
  <c r="S56"/>
  <c r="T55"/>
  <c r="S55"/>
  <c r="T54"/>
  <c r="S54"/>
  <c r="T53"/>
  <c r="S53"/>
  <c r="T52"/>
  <c r="S52"/>
  <c r="T51"/>
  <c r="S51"/>
  <c r="T50"/>
  <c r="S50"/>
  <c r="T49"/>
  <c r="S49"/>
  <c r="T48"/>
  <c r="S48"/>
  <c r="T47"/>
  <c r="S47"/>
  <c r="T46"/>
  <c r="S46"/>
  <c r="T45"/>
  <c r="S45"/>
  <c r="T44"/>
  <c r="S44"/>
  <c r="T43"/>
  <c r="S43"/>
  <c r="T42"/>
  <c r="S42"/>
  <c r="T41"/>
  <c r="S41"/>
  <c r="T40"/>
  <c r="S40"/>
  <c r="T39"/>
  <c r="S39"/>
  <c r="T38"/>
  <c r="S38"/>
  <c r="T37"/>
  <c r="S37"/>
  <c r="T36"/>
  <c r="S36"/>
  <c r="T35"/>
  <c r="S35"/>
  <c r="T34"/>
  <c r="S34"/>
  <c r="T33"/>
  <c r="S33"/>
  <c r="T32"/>
  <c r="S32"/>
  <c r="T31"/>
  <c r="S31"/>
  <c r="T30"/>
  <c r="S30"/>
  <c r="T29"/>
  <c r="S29"/>
  <c r="T28"/>
  <c r="S28"/>
  <c r="T27"/>
  <c r="S27"/>
  <c r="T26"/>
  <c r="S26"/>
  <c r="T25"/>
  <c r="S25"/>
  <c r="T24"/>
  <c r="S24"/>
  <c r="T23"/>
  <c r="S23"/>
  <c r="T22"/>
  <c r="S22"/>
  <c r="T21"/>
  <c r="S21"/>
  <c r="T20"/>
  <c r="S20"/>
  <c r="T19"/>
  <c r="S19"/>
  <c r="T18"/>
  <c r="S18"/>
  <c r="T17"/>
  <c r="S17"/>
  <c r="T16"/>
  <c r="S16"/>
  <c r="T15"/>
  <c r="S15"/>
  <c r="T14"/>
  <c r="S14"/>
  <c r="T13"/>
  <c r="S13"/>
  <c r="T12"/>
  <c r="S12"/>
  <c r="T11"/>
  <c r="S11"/>
  <c r="T10"/>
  <c r="S10"/>
  <c r="T9"/>
  <c r="S9"/>
  <c r="T8"/>
  <c r="S8"/>
  <c r="T7"/>
  <c r="S7"/>
  <c r="T6"/>
  <c r="S6"/>
  <c r="T5"/>
  <c r="S5"/>
  <c r="T4"/>
  <c r="S4"/>
  <c r="T3"/>
  <c r="S3"/>
  <c r="M103" l="1"/>
  <c r="M101"/>
  <c r="M99"/>
  <c r="M97"/>
  <c r="M95"/>
  <c r="M93"/>
  <c r="M91"/>
  <c r="M89"/>
  <c r="M87"/>
  <c r="M85"/>
  <c r="M83"/>
  <c r="M81"/>
  <c r="M79"/>
  <c r="M77"/>
  <c r="M75"/>
  <c r="M73"/>
  <c r="M71"/>
  <c r="M69"/>
  <c r="M67"/>
  <c r="M65"/>
  <c r="M63"/>
  <c r="M61"/>
  <c r="M59"/>
  <c r="M57"/>
  <c r="M55"/>
  <c r="M53"/>
  <c r="M51"/>
  <c r="M49"/>
  <c r="M47"/>
  <c r="M45"/>
  <c r="M43"/>
  <c r="M41"/>
  <c r="M39"/>
  <c r="M37"/>
  <c r="M35"/>
  <c r="M33"/>
  <c r="M31"/>
  <c r="M29"/>
  <c r="M27"/>
  <c r="M25"/>
  <c r="M23"/>
  <c r="M21"/>
  <c r="M19"/>
  <c r="M18"/>
  <c r="M17"/>
  <c r="M16"/>
  <c r="M15"/>
  <c r="M14"/>
  <c r="M13"/>
  <c r="M12"/>
  <c r="M11"/>
  <c r="M10"/>
  <c r="M9"/>
  <c r="M8"/>
  <c r="M7"/>
  <c r="M6"/>
  <c r="M5"/>
  <c r="M4"/>
  <c r="M3"/>
  <c r="M102"/>
  <c r="M100"/>
  <c r="M98"/>
  <c r="M96"/>
  <c r="M94"/>
  <c r="M90"/>
  <c r="M88"/>
  <c r="M86"/>
  <c r="M84"/>
  <c r="M82"/>
  <c r="M80"/>
  <c r="M78"/>
  <c r="M76"/>
  <c r="M74"/>
  <c r="M72"/>
  <c r="M70"/>
  <c r="M68"/>
  <c r="M66"/>
  <c r="M64"/>
  <c r="M62"/>
  <c r="M60"/>
  <c r="M58"/>
  <c r="M56"/>
  <c r="M54"/>
  <c r="M52"/>
  <c r="M50"/>
  <c r="M48"/>
  <c r="M46"/>
  <c r="M44"/>
  <c r="M42"/>
  <c r="M40"/>
  <c r="M38"/>
  <c r="M36"/>
  <c r="M34"/>
  <c r="M32"/>
  <c r="M30"/>
  <c r="M28"/>
  <c r="M26"/>
  <c r="M24"/>
  <c r="M22"/>
  <c r="M20"/>
  <c r="N103"/>
  <c r="N102"/>
  <c r="N101"/>
  <c r="N100"/>
  <c r="N99"/>
  <c r="N98"/>
  <c r="N97"/>
  <c r="N96"/>
  <c r="N95"/>
  <c r="N94"/>
  <c r="N93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H7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<sst xmlns="http://schemas.openxmlformats.org/spreadsheetml/2006/main" count="582" uniqueCount="97">
  <si>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</si>
  <si>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</si>
  <si>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</si>
  <si>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</si>
  <si>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</si>
  <si>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</si>
  <si>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</si>
  <si>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</si>
  <si>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</si>
  <si>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</si>
  <si>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</si>
  <si>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</si>
  <si>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</si>
  <si>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</si>
  <si>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</si>
  <si>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</si>
  <si>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</si>
  <si>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</si>
  <si>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</si>
  <si>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</si>
  <si>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</si>
  <si>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</si>
  <si>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</si>
  <si>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</si>
  <si>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</si>
  <si>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</si>
  <si>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</si>
  <si>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</si>
  <si>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</si>
  <si>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</si>
  <si>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</si>
  <si>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</si>
  <si>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</si>
  <si>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</si>
  <si>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</si>
  <si>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</si>
  <si>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</si>
  <si>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</si>
  <si>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</si>
  <si>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</si>
  <si>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</si>
  <si>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</si>
  <si>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</si>
  <si>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</si>
  <si>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</si>
  <si>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</si>
  <si>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</si>
  <si>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</si>
  <si>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</si>
  <si>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</si>
  <si>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</si>
  <si>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</si>
  <si>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</si>
  <si>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</si>
  <si>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</si>
  <si>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</si>
  <si>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</si>
  <si>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</si>
  <si>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</si>
  <si>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</si>
  <si>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</si>
  <si>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</si>
  <si>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</si>
  <si>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</si>
  <si>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</si>
  <si>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</si>
  <si>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</si>
  <si>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</si>
  <si>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</si>
  <si>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</si>
  <si>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</si>
  <si>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</si>
  <si>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</si>
  <si>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</si>
  <si>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</si>
  <si>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</si>
  <si>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</si>
  <si>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</si>
  <si>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КГ</t>
  </si>
  <si>
    <t>Сыр Сливочный со вкусом топленого молока 45% ти Папа Может, брус (2 шт)  Останкино, 5522704</t>
  </si>
  <si>
    <t>Плавленый Сыр колбасный копченый 40% СТМ"ПапаМожет"400гр  Останкино, 9988452</t>
  </si>
  <si>
    <t>6793 БАЛЫКОВАЯ в/к в/у 0,33кг 8шт  Останкино, 1001303636793</t>
  </si>
  <si>
    <t>7276 СЛИВОЧНЫЕ ПМ сос п/о мгс 0,3кг 7шт  Останкино, 1001022467276</t>
  </si>
  <si>
    <t>6208 ДЫМОВИЦА ИЗ ЛОПАТКИ ПМ к/в с/н в/у 1/150  Останкино, 1001220226208</t>
  </si>
  <si>
    <t>7284 ДЛЯ ДЕТЕЙ сос п/о мгс 0,33кг 6шт  Останкино, 1001025767284</t>
  </si>
  <si>
    <t>6602 БАВАРСКИЕ ПМ сос ц/о мгс 0,35кг 8шт  Останкино, 1001021966602</t>
  </si>
  <si>
    <t>7001 КЛАССИЧЕСКИЕ Папа может сар б/о мгс 1*3  Останкино, 1001035937001</t>
  </si>
  <si>
    <t>Продано</t>
  </si>
  <si>
    <t>Списано</t>
  </si>
  <si>
    <t>165,715 (не продано, не списывалось)</t>
  </si>
  <si>
    <t>7149 БАЛЫКОВАЯ Коровино п/к в/у 0,84кг_50с  Останкино, 1001303637149</t>
  </si>
  <si>
    <t>7075 МОЛОЧ.ПРЕМИУМ ПМ сос п/о мгс 1,5*4_О_50с  Останкино, 1001022657075</t>
  </si>
  <si>
    <t>6787 СЕРВЕЛАТ КРЕМЛЕВСКИЙ в/к в/у 0,33кг 8шт  Останкино, 1001300456787</t>
  </si>
  <si>
    <t>6807 СЕРВЕЛАТ ЕВРОПЕЙСКИЙ в/к в/у 0,33кг 8шт  Останкино, 1001300366807</t>
  </si>
  <si>
    <t>ШТ</t>
  </si>
  <si>
    <t>6791 СЕРВЕЛАТ ПРЕМИУМ в/к в/у 0,33кг 8шт  Останкино, 1001304096791</t>
  </si>
  <si>
    <t>156,681 (не продано, не списывалось)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</si>
</sst>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11"/>
      <color indexed="24"/>
      <name val="Calibri"/>
      <family val="2"/>
      <charset val="204"/>
      <scheme val="minor"/>
    </font>
    <font>
      <sz val="11"/>
      <color indexed="63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8" fillId="0" borderId="0"/>
  </cellStyleXfs>
  <cellXfs count="68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1" fontId="7" fillId="0" borderId="1" xfId="1" applyNumberFormat="1" applyFont="1" applyBorder="1" applyAlignment="1">
      <alignment horizontal="center" vertical="center"/>
    </xf>
    <xf numFmtId="0" fontId="8" fillId="0" borderId="2" xfId="2" applyNumberFormat="1" applyFont="1" applyBorder="1" applyAlignment="1">
      <alignment vertical="top" wrapText="1" indent="6"/>
    </xf>
    <xf numFmtId="1" fontId="7" fillId="0" borderId="5" xfId="1" applyNumberFormat="1" applyFont="1" applyBorder="1" applyAlignment="1">
      <alignment horizontal="center" vertical="center"/>
    </xf>
    <xf numFmtId="0" fontId="8" fillId="5" borderId="2" xfId="2" applyNumberFormat="1" applyFont="1" applyFill="1" applyBorder="1" applyAlignment="1">
      <alignment vertical="top" wrapText="1" indent="6"/>
    </xf>
    <xf numFmtId="0" fontId="8" fillId="5" borderId="2" xfId="2" applyFill="1" applyBorder="1" applyAlignment="1">
      <alignment vertical="top" wrapText="1" indent="4"/>
    </xf>
    <xf numFmtId="2" fontId="10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7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2" fontId="11" fillId="3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8" fillId="5" borderId="2" xfId="2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12" fillId="5" borderId="2" xfId="2" applyNumberFormat="1" applyFon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 wrapText="1"/>
    </xf>
    <xf numFmtId="2" fontId="12" fillId="0" borderId="2" xfId="2" applyNumberFormat="1" applyFon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 wrapText="1"/>
    </xf>
    <xf numFmtId="166" fontId="8" fillId="0" borderId="2" xfId="2" applyNumberFormat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 wrapText="1"/>
    </xf>
    <xf numFmtId="167" fontId="8" fillId="0" borderId="2" xfId="2" applyNumberForma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" fontId="5" fillId="3" borderId="1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66" fontId="8" fillId="0" borderId="4" xfId="2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2" fontId="12" fillId="0" borderId="4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" fontId="12" fillId="6" borderId="2" xfId="2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0" fontId="8" fillId="4" borderId="2" xfId="2" applyNumberFormat="1" applyFont="1" applyFill="1" applyBorder="1" applyAlignment="1">
      <alignment vertical="top" wrapText="1" indent="6"/>
    </xf>
  </cellXfs>
  <cellStyles count="3">
    <cellStyle name="Обычный" xfId="0" builtinId="0"/>
    <cellStyle name="Обычный_Лист1" xfId="2"/>
    <cellStyle name="Процентный" xfId="1" builtinId="5"/>
  </cellStyles>
  <dxfs count="36"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E110"/>
  <sheetViews>
    <sheetView tabSelected="1" zoomScale="85" zoomScaleNormal="85" workbookViewId="0">
      <pane xSplit="2" topLeftCell="AL1" activePane="topRight" state="frozen"/>
      <selection activeCell="A2" sqref="A2"/>
      <selection pane="topRight" activeCell="AO83" sqref="AO83"/>
    </sheetView>
  </sheetViews>
  <sheetFormatPr defaultColWidth="8.85546875" defaultRowHeight="15"/>
  <cols>
    <col min="1" max="1" width="3.85546875" style="1" customWidth="1"/>
    <col min="2" max="2" width="44.7109375" style="1" customWidth="1"/>
    <col min="3" max="3" width="4.85546875" style="13" customWidth="1"/>
    <col min="4" max="4" width="9" style="13" customWidth="1"/>
    <col min="5" max="5" width="12.7109375" style="14" customWidth="1"/>
    <col min="6" max="6" width="10.5703125" style="14" customWidth="1"/>
    <col min="7" max="7" width="13.28515625" style="13" customWidth="1"/>
    <col min="8" max="8" width="13" style="13" customWidth="1"/>
    <col min="9" max="9" width="4.85546875" style="13" customWidth="1"/>
    <col min="10" max="10" width="7.42578125" style="16" customWidth="1"/>
    <col min="11" max="11" width="11.42578125" style="14" customWidth="1"/>
    <col min="12" max="12" width="10.28515625" style="14" customWidth="1"/>
    <col min="13" max="14" width="11.28515625" style="13" customWidth="1"/>
    <col min="15" max="15" width="4.85546875" style="13" customWidth="1"/>
    <col min="16" max="16" width="8.42578125" style="16" customWidth="1"/>
    <col min="17" max="17" width="11.42578125" style="14" customWidth="1"/>
    <col min="18" max="18" width="10.28515625" style="14" customWidth="1"/>
    <col min="19" max="20" width="11.28515625" style="13" customWidth="1"/>
    <col min="21" max="21" width="0.140625" style="61" customWidth="1"/>
    <col min="22" max="22" width="4.85546875" style="13" customWidth="1"/>
    <col min="23" max="23" width="8.42578125" style="16" customWidth="1"/>
    <col min="24" max="24" width="11.42578125" style="14" customWidth="1"/>
    <col min="25" max="25" width="10.28515625" style="14" customWidth="1"/>
    <col min="26" max="27" width="11.28515625" style="13" customWidth="1"/>
    <col min="28" max="28" width="20.5703125" style="61" customWidth="1"/>
    <col min="29" max="29" width="23.42578125" style="13" customWidth="1"/>
    <col min="30" max="30" width="4.85546875" style="13" customWidth="1"/>
    <col min="31" max="31" width="8.42578125" style="16" customWidth="1"/>
    <col min="32" max="32" width="11.42578125" style="14" customWidth="1"/>
    <col min="33" max="33" width="10.28515625" style="14" customWidth="1"/>
    <col min="34" max="35" width="11.28515625" style="13" customWidth="1"/>
    <col min="36" max="36" width="20.5703125" style="61" customWidth="1"/>
    <col min="37" max="37" width="23.42578125" style="13" customWidth="1"/>
    <col min="38" max="38" width="4.85546875" style="13" customWidth="1"/>
    <col min="39" max="39" width="8.42578125" style="16" customWidth="1"/>
    <col min="40" max="40" width="11.42578125" style="14" customWidth="1"/>
    <col min="41" max="41" width="10.28515625" style="14" customWidth="1"/>
    <col min="42" max="43" width="11.28515625" style="13" customWidth="1"/>
    <col min="44" max="44" width="20.5703125" style="61" customWidth="1"/>
    <col min="45" max="57" width="23.42578125" style="13" customWidth="1"/>
    <col min="58" max="123" width="8.85546875" style="1"/>
    <col min="124" max="124" width="4" style="1" customWidth="1"/>
    <col min="125" max="125" width="59.7109375" style="1" customWidth="1"/>
    <col min="126" max="126" width="4.85546875" style="1" customWidth="1"/>
    <col min="127" max="127" width="9" style="1" customWidth="1"/>
    <col min="128" max="128" width="15.85546875" style="1" customWidth="1"/>
    <col min="129" max="129" width="15.7109375" style="1" customWidth="1"/>
    <col min="130" max="130" width="15.42578125" style="1" customWidth="1"/>
    <col min="131" max="131" width="17.140625" style="1" customWidth="1"/>
    <col min="132" max="132" width="37.85546875" style="1" customWidth="1"/>
    <col min="133" max="133" width="36.5703125" style="1" customWidth="1"/>
    <col min="134" max="134" width="29.42578125" style="1" customWidth="1"/>
    <col min="135" max="379" width="8.85546875" style="1"/>
    <col min="380" max="380" width="4" style="1" customWidth="1"/>
    <col min="381" max="381" width="59.7109375" style="1" customWidth="1"/>
    <col min="382" max="382" width="4.85546875" style="1" customWidth="1"/>
    <col min="383" max="383" width="9" style="1" customWidth="1"/>
    <col min="384" max="384" width="15.85546875" style="1" customWidth="1"/>
    <col min="385" max="385" width="15.7109375" style="1" customWidth="1"/>
    <col min="386" max="386" width="15.42578125" style="1" customWidth="1"/>
    <col min="387" max="387" width="17.140625" style="1" customWidth="1"/>
    <col min="388" max="388" width="37.85546875" style="1" customWidth="1"/>
    <col min="389" max="389" width="36.5703125" style="1" customWidth="1"/>
    <col min="390" max="390" width="29.42578125" style="1" customWidth="1"/>
    <col min="391" max="635" width="8.85546875" style="1"/>
    <col min="636" max="636" width="4" style="1" customWidth="1"/>
    <col min="637" max="637" width="59.7109375" style="1" customWidth="1"/>
    <col min="638" max="638" width="4.85546875" style="1" customWidth="1"/>
    <col min="639" max="639" width="9" style="1" customWidth="1"/>
    <col min="640" max="640" width="15.85546875" style="1" customWidth="1"/>
    <col min="641" max="641" width="15.7109375" style="1" customWidth="1"/>
    <col min="642" max="642" width="15.42578125" style="1" customWidth="1"/>
    <col min="643" max="643" width="17.140625" style="1" customWidth="1"/>
    <col min="644" max="644" width="37.85546875" style="1" customWidth="1"/>
    <col min="645" max="645" width="36.5703125" style="1" customWidth="1"/>
    <col min="646" max="646" width="29.42578125" style="1" customWidth="1"/>
    <col min="647" max="891" width="8.85546875" style="1"/>
    <col min="892" max="892" width="4" style="1" customWidth="1"/>
    <col min="893" max="893" width="59.7109375" style="1" customWidth="1"/>
    <col min="894" max="894" width="4.85546875" style="1" customWidth="1"/>
    <col min="895" max="895" width="9" style="1" customWidth="1"/>
    <col min="896" max="896" width="15.85546875" style="1" customWidth="1"/>
    <col min="897" max="897" width="15.7109375" style="1" customWidth="1"/>
    <col min="898" max="898" width="15.42578125" style="1" customWidth="1"/>
    <col min="899" max="899" width="17.140625" style="1" customWidth="1"/>
    <col min="900" max="900" width="37.85546875" style="1" customWidth="1"/>
    <col min="901" max="901" width="36.5703125" style="1" customWidth="1"/>
    <col min="902" max="902" width="29.42578125" style="1" customWidth="1"/>
    <col min="903" max="1147" width="8.85546875" style="1"/>
    <col min="1148" max="1148" width="4" style="1" customWidth="1"/>
    <col min="1149" max="1149" width="59.7109375" style="1" customWidth="1"/>
    <col min="1150" max="1150" width="4.85546875" style="1" customWidth="1"/>
    <col min="1151" max="1151" width="9" style="1" customWidth="1"/>
    <col min="1152" max="1152" width="15.85546875" style="1" customWidth="1"/>
    <col min="1153" max="1153" width="15.7109375" style="1" customWidth="1"/>
    <col min="1154" max="1154" width="15.42578125" style="1" customWidth="1"/>
    <col min="1155" max="1155" width="17.140625" style="1" customWidth="1"/>
    <col min="1156" max="1156" width="37.85546875" style="1" customWidth="1"/>
    <col min="1157" max="1157" width="36.5703125" style="1" customWidth="1"/>
    <col min="1158" max="1158" width="29.42578125" style="1" customWidth="1"/>
    <col min="1159" max="1403" width="8.85546875" style="1"/>
    <col min="1404" max="1404" width="4" style="1" customWidth="1"/>
    <col min="1405" max="1405" width="59.7109375" style="1" customWidth="1"/>
    <col min="1406" max="1406" width="4.85546875" style="1" customWidth="1"/>
    <col min="1407" max="1407" width="9" style="1" customWidth="1"/>
    <col min="1408" max="1408" width="15.85546875" style="1" customWidth="1"/>
    <col min="1409" max="1409" width="15.7109375" style="1" customWidth="1"/>
    <col min="1410" max="1410" width="15.42578125" style="1" customWidth="1"/>
    <col min="1411" max="1411" width="17.140625" style="1" customWidth="1"/>
    <col min="1412" max="1412" width="37.85546875" style="1" customWidth="1"/>
    <col min="1413" max="1413" width="36.5703125" style="1" customWidth="1"/>
    <col min="1414" max="1414" width="29.42578125" style="1" customWidth="1"/>
    <col min="1415" max="1659" width="8.85546875" style="1"/>
    <col min="1660" max="1660" width="4" style="1" customWidth="1"/>
    <col min="1661" max="1661" width="59.7109375" style="1" customWidth="1"/>
    <col min="1662" max="1662" width="4.85546875" style="1" customWidth="1"/>
    <col min="1663" max="1663" width="9" style="1" customWidth="1"/>
    <col min="1664" max="1664" width="15.85546875" style="1" customWidth="1"/>
    <col min="1665" max="1665" width="15.7109375" style="1" customWidth="1"/>
    <col min="1666" max="1666" width="15.42578125" style="1" customWidth="1"/>
    <col min="1667" max="1667" width="17.140625" style="1" customWidth="1"/>
    <col min="1668" max="1668" width="37.85546875" style="1" customWidth="1"/>
    <col min="1669" max="1669" width="36.5703125" style="1" customWidth="1"/>
    <col min="1670" max="1670" width="29.42578125" style="1" customWidth="1"/>
    <col min="1671" max="1915" width="8.85546875" style="1"/>
    <col min="1916" max="1916" width="4" style="1" customWidth="1"/>
    <col min="1917" max="1917" width="59.7109375" style="1" customWidth="1"/>
    <col min="1918" max="1918" width="4.85546875" style="1" customWidth="1"/>
    <col min="1919" max="1919" width="9" style="1" customWidth="1"/>
    <col min="1920" max="1920" width="15.85546875" style="1" customWidth="1"/>
    <col min="1921" max="1921" width="15.7109375" style="1" customWidth="1"/>
    <col min="1922" max="1922" width="15.42578125" style="1" customWidth="1"/>
    <col min="1923" max="1923" width="17.140625" style="1" customWidth="1"/>
    <col min="1924" max="1924" width="37.85546875" style="1" customWidth="1"/>
    <col min="1925" max="1925" width="36.5703125" style="1" customWidth="1"/>
    <col min="1926" max="1926" width="29.42578125" style="1" customWidth="1"/>
    <col min="1927" max="2171" width="8.85546875" style="1"/>
    <col min="2172" max="2172" width="4" style="1" customWidth="1"/>
    <col min="2173" max="2173" width="59.7109375" style="1" customWidth="1"/>
    <col min="2174" max="2174" width="4.85546875" style="1" customWidth="1"/>
    <col min="2175" max="2175" width="9" style="1" customWidth="1"/>
    <col min="2176" max="2176" width="15.85546875" style="1" customWidth="1"/>
    <col min="2177" max="2177" width="15.7109375" style="1" customWidth="1"/>
    <col min="2178" max="2178" width="15.42578125" style="1" customWidth="1"/>
    <col min="2179" max="2179" width="17.140625" style="1" customWidth="1"/>
    <col min="2180" max="2180" width="37.85546875" style="1" customWidth="1"/>
    <col min="2181" max="2181" width="36.5703125" style="1" customWidth="1"/>
    <col min="2182" max="2182" width="29.42578125" style="1" customWidth="1"/>
    <col min="2183" max="2427" width="8.85546875" style="1"/>
    <col min="2428" max="2428" width="4" style="1" customWidth="1"/>
    <col min="2429" max="2429" width="59.7109375" style="1" customWidth="1"/>
    <col min="2430" max="2430" width="4.85546875" style="1" customWidth="1"/>
    <col min="2431" max="2431" width="9" style="1" customWidth="1"/>
    <col min="2432" max="2432" width="15.85546875" style="1" customWidth="1"/>
    <col min="2433" max="2433" width="15.7109375" style="1" customWidth="1"/>
    <col min="2434" max="2434" width="15.42578125" style="1" customWidth="1"/>
    <col min="2435" max="2435" width="17.140625" style="1" customWidth="1"/>
    <col min="2436" max="2436" width="37.85546875" style="1" customWidth="1"/>
    <col min="2437" max="2437" width="36.5703125" style="1" customWidth="1"/>
    <col min="2438" max="2438" width="29.42578125" style="1" customWidth="1"/>
    <col min="2439" max="2683" width="8.85546875" style="1"/>
    <col min="2684" max="2684" width="4" style="1" customWidth="1"/>
    <col min="2685" max="2685" width="59.7109375" style="1" customWidth="1"/>
    <col min="2686" max="2686" width="4.85546875" style="1" customWidth="1"/>
    <col min="2687" max="2687" width="9" style="1" customWidth="1"/>
    <col min="2688" max="2688" width="15.85546875" style="1" customWidth="1"/>
    <col min="2689" max="2689" width="15.7109375" style="1" customWidth="1"/>
    <col min="2690" max="2690" width="15.42578125" style="1" customWidth="1"/>
    <col min="2691" max="2691" width="17.140625" style="1" customWidth="1"/>
    <col min="2692" max="2692" width="37.85546875" style="1" customWidth="1"/>
    <col min="2693" max="2693" width="36.5703125" style="1" customWidth="1"/>
    <col min="2694" max="2694" width="29.42578125" style="1" customWidth="1"/>
    <col min="2695" max="2939" width="8.85546875" style="1"/>
    <col min="2940" max="2940" width="4" style="1" customWidth="1"/>
    <col min="2941" max="2941" width="59.7109375" style="1" customWidth="1"/>
    <col min="2942" max="2942" width="4.85546875" style="1" customWidth="1"/>
    <col min="2943" max="2943" width="9" style="1" customWidth="1"/>
    <col min="2944" max="2944" width="15.85546875" style="1" customWidth="1"/>
    <col min="2945" max="2945" width="15.7109375" style="1" customWidth="1"/>
    <col min="2946" max="2946" width="15.42578125" style="1" customWidth="1"/>
    <col min="2947" max="2947" width="17.140625" style="1" customWidth="1"/>
    <col min="2948" max="2948" width="37.85546875" style="1" customWidth="1"/>
    <col min="2949" max="2949" width="36.5703125" style="1" customWidth="1"/>
    <col min="2950" max="2950" width="29.42578125" style="1" customWidth="1"/>
    <col min="2951" max="3195" width="8.85546875" style="1"/>
    <col min="3196" max="3196" width="4" style="1" customWidth="1"/>
    <col min="3197" max="3197" width="59.7109375" style="1" customWidth="1"/>
    <col min="3198" max="3198" width="4.85546875" style="1" customWidth="1"/>
    <col min="3199" max="3199" width="9" style="1" customWidth="1"/>
    <col min="3200" max="3200" width="15.85546875" style="1" customWidth="1"/>
    <col min="3201" max="3201" width="15.7109375" style="1" customWidth="1"/>
    <col min="3202" max="3202" width="15.42578125" style="1" customWidth="1"/>
    <col min="3203" max="3203" width="17.140625" style="1" customWidth="1"/>
    <col min="3204" max="3204" width="37.85546875" style="1" customWidth="1"/>
    <col min="3205" max="3205" width="36.5703125" style="1" customWidth="1"/>
    <col min="3206" max="3206" width="29.42578125" style="1" customWidth="1"/>
    <col min="3207" max="3451" width="8.85546875" style="1"/>
    <col min="3452" max="3452" width="4" style="1" customWidth="1"/>
    <col min="3453" max="3453" width="59.7109375" style="1" customWidth="1"/>
    <col min="3454" max="3454" width="4.85546875" style="1" customWidth="1"/>
    <col min="3455" max="3455" width="9" style="1" customWidth="1"/>
    <col min="3456" max="3456" width="15.85546875" style="1" customWidth="1"/>
    <col min="3457" max="3457" width="15.7109375" style="1" customWidth="1"/>
    <col min="3458" max="3458" width="15.42578125" style="1" customWidth="1"/>
    <col min="3459" max="3459" width="17.140625" style="1" customWidth="1"/>
    <col min="3460" max="3460" width="37.85546875" style="1" customWidth="1"/>
    <col min="3461" max="3461" width="36.5703125" style="1" customWidth="1"/>
    <col min="3462" max="3462" width="29.42578125" style="1" customWidth="1"/>
    <col min="3463" max="3707" width="8.85546875" style="1"/>
    <col min="3708" max="3708" width="4" style="1" customWidth="1"/>
    <col min="3709" max="3709" width="59.7109375" style="1" customWidth="1"/>
    <col min="3710" max="3710" width="4.85546875" style="1" customWidth="1"/>
    <col min="3711" max="3711" width="9" style="1" customWidth="1"/>
    <col min="3712" max="3712" width="15.85546875" style="1" customWidth="1"/>
    <col min="3713" max="3713" width="15.7109375" style="1" customWidth="1"/>
    <col min="3714" max="3714" width="15.42578125" style="1" customWidth="1"/>
    <col min="3715" max="3715" width="17.140625" style="1" customWidth="1"/>
    <col min="3716" max="3716" width="37.85546875" style="1" customWidth="1"/>
    <col min="3717" max="3717" width="36.5703125" style="1" customWidth="1"/>
    <col min="3718" max="3718" width="29.42578125" style="1" customWidth="1"/>
    <col min="3719" max="3963" width="8.85546875" style="1"/>
    <col min="3964" max="3964" width="4" style="1" customWidth="1"/>
    <col min="3965" max="3965" width="59.7109375" style="1" customWidth="1"/>
    <col min="3966" max="3966" width="4.85546875" style="1" customWidth="1"/>
    <col min="3967" max="3967" width="9" style="1" customWidth="1"/>
    <col min="3968" max="3968" width="15.85546875" style="1" customWidth="1"/>
    <col min="3969" max="3969" width="15.7109375" style="1" customWidth="1"/>
    <col min="3970" max="3970" width="15.42578125" style="1" customWidth="1"/>
    <col min="3971" max="3971" width="17.140625" style="1" customWidth="1"/>
    <col min="3972" max="3972" width="37.85546875" style="1" customWidth="1"/>
    <col min="3973" max="3973" width="36.5703125" style="1" customWidth="1"/>
    <col min="3974" max="3974" width="29.42578125" style="1" customWidth="1"/>
    <col min="3975" max="4219" width="8.85546875" style="1"/>
    <col min="4220" max="4220" width="4" style="1" customWidth="1"/>
    <col min="4221" max="4221" width="59.7109375" style="1" customWidth="1"/>
    <col min="4222" max="4222" width="4.85546875" style="1" customWidth="1"/>
    <col min="4223" max="4223" width="9" style="1" customWidth="1"/>
    <col min="4224" max="4224" width="15.85546875" style="1" customWidth="1"/>
    <col min="4225" max="4225" width="15.7109375" style="1" customWidth="1"/>
    <col min="4226" max="4226" width="15.42578125" style="1" customWidth="1"/>
    <col min="4227" max="4227" width="17.140625" style="1" customWidth="1"/>
    <col min="4228" max="4228" width="37.85546875" style="1" customWidth="1"/>
    <col min="4229" max="4229" width="36.5703125" style="1" customWidth="1"/>
    <col min="4230" max="4230" width="29.42578125" style="1" customWidth="1"/>
    <col min="4231" max="4475" width="8.85546875" style="1"/>
    <col min="4476" max="4476" width="4" style="1" customWidth="1"/>
    <col min="4477" max="4477" width="59.7109375" style="1" customWidth="1"/>
    <col min="4478" max="4478" width="4.85546875" style="1" customWidth="1"/>
    <col min="4479" max="4479" width="9" style="1" customWidth="1"/>
    <col min="4480" max="4480" width="15.85546875" style="1" customWidth="1"/>
    <col min="4481" max="4481" width="15.7109375" style="1" customWidth="1"/>
    <col min="4482" max="4482" width="15.42578125" style="1" customWidth="1"/>
    <col min="4483" max="4483" width="17.140625" style="1" customWidth="1"/>
    <col min="4484" max="4484" width="37.85546875" style="1" customWidth="1"/>
    <col min="4485" max="4485" width="36.5703125" style="1" customWidth="1"/>
    <col min="4486" max="4486" width="29.42578125" style="1" customWidth="1"/>
    <col min="4487" max="4731" width="8.85546875" style="1"/>
    <col min="4732" max="4732" width="4" style="1" customWidth="1"/>
    <col min="4733" max="4733" width="59.7109375" style="1" customWidth="1"/>
    <col min="4734" max="4734" width="4.85546875" style="1" customWidth="1"/>
    <col min="4735" max="4735" width="9" style="1" customWidth="1"/>
    <col min="4736" max="4736" width="15.85546875" style="1" customWidth="1"/>
    <col min="4737" max="4737" width="15.7109375" style="1" customWidth="1"/>
    <col min="4738" max="4738" width="15.42578125" style="1" customWidth="1"/>
    <col min="4739" max="4739" width="17.140625" style="1" customWidth="1"/>
    <col min="4740" max="4740" width="37.85546875" style="1" customWidth="1"/>
    <col min="4741" max="4741" width="36.5703125" style="1" customWidth="1"/>
    <col min="4742" max="4742" width="29.42578125" style="1" customWidth="1"/>
    <col min="4743" max="4987" width="8.85546875" style="1"/>
    <col min="4988" max="4988" width="4" style="1" customWidth="1"/>
    <col min="4989" max="4989" width="59.7109375" style="1" customWidth="1"/>
    <col min="4990" max="4990" width="4.85546875" style="1" customWidth="1"/>
    <col min="4991" max="4991" width="9" style="1" customWidth="1"/>
    <col min="4992" max="4992" width="15.85546875" style="1" customWidth="1"/>
    <col min="4993" max="4993" width="15.7109375" style="1" customWidth="1"/>
    <col min="4994" max="4994" width="15.42578125" style="1" customWidth="1"/>
    <col min="4995" max="4995" width="17.140625" style="1" customWidth="1"/>
    <col min="4996" max="4996" width="37.85546875" style="1" customWidth="1"/>
    <col min="4997" max="4997" width="36.5703125" style="1" customWidth="1"/>
    <col min="4998" max="4998" width="29.42578125" style="1" customWidth="1"/>
    <col min="4999" max="5243" width="8.85546875" style="1"/>
    <col min="5244" max="5244" width="4" style="1" customWidth="1"/>
    <col min="5245" max="5245" width="59.7109375" style="1" customWidth="1"/>
    <col min="5246" max="5246" width="4.85546875" style="1" customWidth="1"/>
    <col min="5247" max="5247" width="9" style="1" customWidth="1"/>
    <col min="5248" max="5248" width="15.85546875" style="1" customWidth="1"/>
    <col min="5249" max="5249" width="15.7109375" style="1" customWidth="1"/>
    <col min="5250" max="5250" width="15.42578125" style="1" customWidth="1"/>
    <col min="5251" max="5251" width="17.140625" style="1" customWidth="1"/>
    <col min="5252" max="5252" width="37.85546875" style="1" customWidth="1"/>
    <col min="5253" max="5253" width="36.5703125" style="1" customWidth="1"/>
    <col min="5254" max="5254" width="29.42578125" style="1" customWidth="1"/>
    <col min="5255" max="5499" width="8.85546875" style="1"/>
    <col min="5500" max="5500" width="4" style="1" customWidth="1"/>
    <col min="5501" max="5501" width="59.7109375" style="1" customWidth="1"/>
    <col min="5502" max="5502" width="4.85546875" style="1" customWidth="1"/>
    <col min="5503" max="5503" width="9" style="1" customWidth="1"/>
    <col min="5504" max="5504" width="15.85546875" style="1" customWidth="1"/>
    <col min="5505" max="5505" width="15.7109375" style="1" customWidth="1"/>
    <col min="5506" max="5506" width="15.42578125" style="1" customWidth="1"/>
    <col min="5507" max="5507" width="17.140625" style="1" customWidth="1"/>
    <col min="5508" max="5508" width="37.85546875" style="1" customWidth="1"/>
    <col min="5509" max="5509" width="36.5703125" style="1" customWidth="1"/>
    <col min="5510" max="5510" width="29.42578125" style="1" customWidth="1"/>
    <col min="5511" max="5755" width="8.85546875" style="1"/>
    <col min="5756" max="5756" width="4" style="1" customWidth="1"/>
    <col min="5757" max="5757" width="59.7109375" style="1" customWidth="1"/>
    <col min="5758" max="5758" width="4.85546875" style="1" customWidth="1"/>
    <col min="5759" max="5759" width="9" style="1" customWidth="1"/>
    <col min="5760" max="5760" width="15.85546875" style="1" customWidth="1"/>
    <col min="5761" max="5761" width="15.7109375" style="1" customWidth="1"/>
    <col min="5762" max="5762" width="15.42578125" style="1" customWidth="1"/>
    <col min="5763" max="5763" width="17.140625" style="1" customWidth="1"/>
    <col min="5764" max="5764" width="37.85546875" style="1" customWidth="1"/>
    <col min="5765" max="5765" width="36.5703125" style="1" customWidth="1"/>
    <col min="5766" max="5766" width="29.42578125" style="1" customWidth="1"/>
    <col min="5767" max="6011" width="8.85546875" style="1"/>
    <col min="6012" max="6012" width="4" style="1" customWidth="1"/>
    <col min="6013" max="6013" width="59.7109375" style="1" customWidth="1"/>
    <col min="6014" max="6014" width="4.85546875" style="1" customWidth="1"/>
    <col min="6015" max="6015" width="9" style="1" customWidth="1"/>
    <col min="6016" max="6016" width="15.85546875" style="1" customWidth="1"/>
    <col min="6017" max="6017" width="15.7109375" style="1" customWidth="1"/>
    <col min="6018" max="6018" width="15.42578125" style="1" customWidth="1"/>
    <col min="6019" max="6019" width="17.140625" style="1" customWidth="1"/>
    <col min="6020" max="6020" width="37.85546875" style="1" customWidth="1"/>
    <col min="6021" max="6021" width="36.5703125" style="1" customWidth="1"/>
    <col min="6022" max="6022" width="29.42578125" style="1" customWidth="1"/>
    <col min="6023" max="6267" width="8.85546875" style="1"/>
    <col min="6268" max="6268" width="4" style="1" customWidth="1"/>
    <col min="6269" max="6269" width="59.7109375" style="1" customWidth="1"/>
    <col min="6270" max="6270" width="4.85546875" style="1" customWidth="1"/>
    <col min="6271" max="6271" width="9" style="1" customWidth="1"/>
    <col min="6272" max="6272" width="15.85546875" style="1" customWidth="1"/>
    <col min="6273" max="6273" width="15.7109375" style="1" customWidth="1"/>
    <col min="6274" max="6274" width="15.42578125" style="1" customWidth="1"/>
    <col min="6275" max="6275" width="17.140625" style="1" customWidth="1"/>
    <col min="6276" max="6276" width="37.85546875" style="1" customWidth="1"/>
    <col min="6277" max="6277" width="36.5703125" style="1" customWidth="1"/>
    <col min="6278" max="6278" width="29.42578125" style="1" customWidth="1"/>
    <col min="6279" max="6523" width="8.85546875" style="1"/>
    <col min="6524" max="6524" width="4" style="1" customWidth="1"/>
    <col min="6525" max="6525" width="59.7109375" style="1" customWidth="1"/>
    <col min="6526" max="6526" width="4.85546875" style="1" customWidth="1"/>
    <col min="6527" max="6527" width="9" style="1" customWidth="1"/>
    <col min="6528" max="6528" width="15.85546875" style="1" customWidth="1"/>
    <col min="6529" max="6529" width="15.7109375" style="1" customWidth="1"/>
    <col min="6530" max="6530" width="15.42578125" style="1" customWidth="1"/>
    <col min="6531" max="6531" width="17.140625" style="1" customWidth="1"/>
    <col min="6532" max="6532" width="37.85546875" style="1" customWidth="1"/>
    <col min="6533" max="6533" width="36.5703125" style="1" customWidth="1"/>
    <col min="6534" max="6534" width="29.42578125" style="1" customWidth="1"/>
    <col min="6535" max="6779" width="8.85546875" style="1"/>
    <col min="6780" max="6780" width="4" style="1" customWidth="1"/>
    <col min="6781" max="6781" width="59.7109375" style="1" customWidth="1"/>
    <col min="6782" max="6782" width="4.85546875" style="1" customWidth="1"/>
    <col min="6783" max="6783" width="9" style="1" customWidth="1"/>
    <col min="6784" max="6784" width="15.85546875" style="1" customWidth="1"/>
    <col min="6785" max="6785" width="15.7109375" style="1" customWidth="1"/>
    <col min="6786" max="6786" width="15.42578125" style="1" customWidth="1"/>
    <col min="6787" max="6787" width="17.140625" style="1" customWidth="1"/>
    <col min="6788" max="6788" width="37.85546875" style="1" customWidth="1"/>
    <col min="6789" max="6789" width="36.5703125" style="1" customWidth="1"/>
    <col min="6790" max="6790" width="29.42578125" style="1" customWidth="1"/>
    <col min="6791" max="7035" width="8.85546875" style="1"/>
    <col min="7036" max="7036" width="4" style="1" customWidth="1"/>
    <col min="7037" max="7037" width="59.7109375" style="1" customWidth="1"/>
    <col min="7038" max="7038" width="4.85546875" style="1" customWidth="1"/>
    <col min="7039" max="7039" width="9" style="1" customWidth="1"/>
    <col min="7040" max="7040" width="15.85546875" style="1" customWidth="1"/>
    <col min="7041" max="7041" width="15.7109375" style="1" customWidth="1"/>
    <col min="7042" max="7042" width="15.42578125" style="1" customWidth="1"/>
    <col min="7043" max="7043" width="17.140625" style="1" customWidth="1"/>
    <col min="7044" max="7044" width="37.85546875" style="1" customWidth="1"/>
    <col min="7045" max="7045" width="36.5703125" style="1" customWidth="1"/>
    <col min="7046" max="7046" width="29.42578125" style="1" customWidth="1"/>
    <col min="7047" max="7291" width="8.85546875" style="1"/>
    <col min="7292" max="7292" width="4" style="1" customWidth="1"/>
    <col min="7293" max="7293" width="59.7109375" style="1" customWidth="1"/>
    <col min="7294" max="7294" width="4.85546875" style="1" customWidth="1"/>
    <col min="7295" max="7295" width="9" style="1" customWidth="1"/>
    <col min="7296" max="7296" width="15.85546875" style="1" customWidth="1"/>
    <col min="7297" max="7297" width="15.7109375" style="1" customWidth="1"/>
    <col min="7298" max="7298" width="15.42578125" style="1" customWidth="1"/>
    <col min="7299" max="7299" width="17.140625" style="1" customWidth="1"/>
    <col min="7300" max="7300" width="37.85546875" style="1" customWidth="1"/>
    <col min="7301" max="7301" width="36.5703125" style="1" customWidth="1"/>
    <col min="7302" max="7302" width="29.42578125" style="1" customWidth="1"/>
    <col min="7303" max="7547" width="8.85546875" style="1"/>
    <col min="7548" max="7548" width="4" style="1" customWidth="1"/>
    <col min="7549" max="7549" width="59.7109375" style="1" customWidth="1"/>
    <col min="7550" max="7550" width="4.85546875" style="1" customWidth="1"/>
    <col min="7551" max="7551" width="9" style="1" customWidth="1"/>
    <col min="7552" max="7552" width="15.85546875" style="1" customWidth="1"/>
    <col min="7553" max="7553" width="15.7109375" style="1" customWidth="1"/>
    <col min="7554" max="7554" width="15.42578125" style="1" customWidth="1"/>
    <col min="7555" max="7555" width="17.140625" style="1" customWidth="1"/>
    <col min="7556" max="7556" width="37.85546875" style="1" customWidth="1"/>
    <col min="7557" max="7557" width="36.5703125" style="1" customWidth="1"/>
    <col min="7558" max="7558" width="29.42578125" style="1" customWidth="1"/>
    <col min="7559" max="7803" width="8.85546875" style="1"/>
    <col min="7804" max="7804" width="4" style="1" customWidth="1"/>
    <col min="7805" max="7805" width="59.7109375" style="1" customWidth="1"/>
    <col min="7806" max="7806" width="4.85546875" style="1" customWidth="1"/>
    <col min="7807" max="7807" width="9" style="1" customWidth="1"/>
    <col min="7808" max="7808" width="15.85546875" style="1" customWidth="1"/>
    <col min="7809" max="7809" width="15.7109375" style="1" customWidth="1"/>
    <col min="7810" max="7810" width="15.42578125" style="1" customWidth="1"/>
    <col min="7811" max="7811" width="17.140625" style="1" customWidth="1"/>
    <col min="7812" max="7812" width="37.85546875" style="1" customWidth="1"/>
    <col min="7813" max="7813" width="36.5703125" style="1" customWidth="1"/>
    <col min="7814" max="7814" width="29.42578125" style="1" customWidth="1"/>
    <col min="7815" max="8059" width="8.85546875" style="1"/>
    <col min="8060" max="8060" width="4" style="1" customWidth="1"/>
    <col min="8061" max="8061" width="59.7109375" style="1" customWidth="1"/>
    <col min="8062" max="8062" width="4.85546875" style="1" customWidth="1"/>
    <col min="8063" max="8063" width="9" style="1" customWidth="1"/>
    <col min="8064" max="8064" width="15.85546875" style="1" customWidth="1"/>
    <col min="8065" max="8065" width="15.7109375" style="1" customWidth="1"/>
    <col min="8066" max="8066" width="15.42578125" style="1" customWidth="1"/>
    <col min="8067" max="8067" width="17.140625" style="1" customWidth="1"/>
    <col min="8068" max="8068" width="37.85546875" style="1" customWidth="1"/>
    <col min="8069" max="8069" width="36.5703125" style="1" customWidth="1"/>
    <col min="8070" max="8070" width="29.42578125" style="1" customWidth="1"/>
    <col min="8071" max="8315" width="8.85546875" style="1"/>
    <col min="8316" max="8316" width="4" style="1" customWidth="1"/>
    <col min="8317" max="8317" width="59.7109375" style="1" customWidth="1"/>
    <col min="8318" max="8318" width="4.85546875" style="1" customWidth="1"/>
    <col min="8319" max="8319" width="9" style="1" customWidth="1"/>
    <col min="8320" max="8320" width="15.85546875" style="1" customWidth="1"/>
    <col min="8321" max="8321" width="15.7109375" style="1" customWidth="1"/>
    <col min="8322" max="8322" width="15.42578125" style="1" customWidth="1"/>
    <col min="8323" max="8323" width="17.140625" style="1" customWidth="1"/>
    <col min="8324" max="8324" width="37.85546875" style="1" customWidth="1"/>
    <col min="8325" max="8325" width="36.5703125" style="1" customWidth="1"/>
    <col min="8326" max="8326" width="29.42578125" style="1" customWidth="1"/>
    <col min="8327" max="8571" width="8.85546875" style="1"/>
    <col min="8572" max="8572" width="4" style="1" customWidth="1"/>
    <col min="8573" max="8573" width="59.7109375" style="1" customWidth="1"/>
    <col min="8574" max="8574" width="4.85546875" style="1" customWidth="1"/>
    <col min="8575" max="8575" width="9" style="1" customWidth="1"/>
    <col min="8576" max="8576" width="15.85546875" style="1" customWidth="1"/>
    <col min="8577" max="8577" width="15.7109375" style="1" customWidth="1"/>
    <col min="8578" max="8578" width="15.42578125" style="1" customWidth="1"/>
    <col min="8579" max="8579" width="17.140625" style="1" customWidth="1"/>
    <col min="8580" max="8580" width="37.85546875" style="1" customWidth="1"/>
    <col min="8581" max="8581" width="36.5703125" style="1" customWidth="1"/>
    <col min="8582" max="8582" width="29.42578125" style="1" customWidth="1"/>
    <col min="8583" max="8827" width="8.85546875" style="1"/>
    <col min="8828" max="8828" width="4" style="1" customWidth="1"/>
    <col min="8829" max="8829" width="59.7109375" style="1" customWidth="1"/>
    <col min="8830" max="8830" width="4.85546875" style="1" customWidth="1"/>
    <col min="8831" max="8831" width="9" style="1" customWidth="1"/>
    <col min="8832" max="8832" width="15.85546875" style="1" customWidth="1"/>
    <col min="8833" max="8833" width="15.7109375" style="1" customWidth="1"/>
    <col min="8834" max="8834" width="15.42578125" style="1" customWidth="1"/>
    <col min="8835" max="8835" width="17.140625" style="1" customWidth="1"/>
    <col min="8836" max="8836" width="37.85546875" style="1" customWidth="1"/>
    <col min="8837" max="8837" width="36.5703125" style="1" customWidth="1"/>
    <col min="8838" max="8838" width="29.42578125" style="1" customWidth="1"/>
    <col min="8839" max="9083" width="8.85546875" style="1"/>
    <col min="9084" max="9084" width="4" style="1" customWidth="1"/>
    <col min="9085" max="9085" width="59.7109375" style="1" customWidth="1"/>
    <col min="9086" max="9086" width="4.85546875" style="1" customWidth="1"/>
    <col min="9087" max="9087" width="9" style="1" customWidth="1"/>
    <col min="9088" max="9088" width="15.85546875" style="1" customWidth="1"/>
    <col min="9089" max="9089" width="15.7109375" style="1" customWidth="1"/>
    <col min="9090" max="9090" width="15.42578125" style="1" customWidth="1"/>
    <col min="9091" max="9091" width="17.140625" style="1" customWidth="1"/>
    <col min="9092" max="9092" width="37.85546875" style="1" customWidth="1"/>
    <col min="9093" max="9093" width="36.5703125" style="1" customWidth="1"/>
    <col min="9094" max="9094" width="29.42578125" style="1" customWidth="1"/>
    <col min="9095" max="9339" width="8.85546875" style="1"/>
    <col min="9340" max="9340" width="4" style="1" customWidth="1"/>
    <col min="9341" max="9341" width="59.7109375" style="1" customWidth="1"/>
    <col min="9342" max="9342" width="4.85546875" style="1" customWidth="1"/>
    <col min="9343" max="9343" width="9" style="1" customWidth="1"/>
    <col min="9344" max="9344" width="15.85546875" style="1" customWidth="1"/>
    <col min="9345" max="9345" width="15.7109375" style="1" customWidth="1"/>
    <col min="9346" max="9346" width="15.42578125" style="1" customWidth="1"/>
    <col min="9347" max="9347" width="17.140625" style="1" customWidth="1"/>
    <col min="9348" max="9348" width="37.85546875" style="1" customWidth="1"/>
    <col min="9349" max="9349" width="36.5703125" style="1" customWidth="1"/>
    <col min="9350" max="9350" width="29.42578125" style="1" customWidth="1"/>
    <col min="9351" max="9595" width="8.85546875" style="1"/>
    <col min="9596" max="9596" width="4" style="1" customWidth="1"/>
    <col min="9597" max="9597" width="59.7109375" style="1" customWidth="1"/>
    <col min="9598" max="9598" width="4.85546875" style="1" customWidth="1"/>
    <col min="9599" max="9599" width="9" style="1" customWidth="1"/>
    <col min="9600" max="9600" width="15.85546875" style="1" customWidth="1"/>
    <col min="9601" max="9601" width="15.7109375" style="1" customWidth="1"/>
    <col min="9602" max="9602" width="15.42578125" style="1" customWidth="1"/>
    <col min="9603" max="9603" width="17.140625" style="1" customWidth="1"/>
    <col min="9604" max="9604" width="37.85546875" style="1" customWidth="1"/>
    <col min="9605" max="9605" width="36.5703125" style="1" customWidth="1"/>
    <col min="9606" max="9606" width="29.42578125" style="1" customWidth="1"/>
    <col min="9607" max="9851" width="8.85546875" style="1"/>
    <col min="9852" max="9852" width="4" style="1" customWidth="1"/>
    <col min="9853" max="9853" width="59.7109375" style="1" customWidth="1"/>
    <col min="9854" max="9854" width="4.85546875" style="1" customWidth="1"/>
    <col min="9855" max="9855" width="9" style="1" customWidth="1"/>
    <col min="9856" max="9856" width="15.85546875" style="1" customWidth="1"/>
    <col min="9857" max="9857" width="15.7109375" style="1" customWidth="1"/>
    <col min="9858" max="9858" width="15.42578125" style="1" customWidth="1"/>
    <col min="9859" max="9859" width="17.140625" style="1" customWidth="1"/>
    <col min="9860" max="9860" width="37.85546875" style="1" customWidth="1"/>
    <col min="9861" max="9861" width="36.5703125" style="1" customWidth="1"/>
    <col min="9862" max="9862" width="29.42578125" style="1" customWidth="1"/>
    <col min="9863" max="10107" width="8.85546875" style="1"/>
    <col min="10108" max="10108" width="4" style="1" customWidth="1"/>
    <col min="10109" max="10109" width="59.7109375" style="1" customWidth="1"/>
    <col min="10110" max="10110" width="4.85546875" style="1" customWidth="1"/>
    <col min="10111" max="10111" width="9" style="1" customWidth="1"/>
    <col min="10112" max="10112" width="15.85546875" style="1" customWidth="1"/>
    <col min="10113" max="10113" width="15.7109375" style="1" customWidth="1"/>
    <col min="10114" max="10114" width="15.42578125" style="1" customWidth="1"/>
    <col min="10115" max="10115" width="17.140625" style="1" customWidth="1"/>
    <col min="10116" max="10116" width="37.85546875" style="1" customWidth="1"/>
    <col min="10117" max="10117" width="36.5703125" style="1" customWidth="1"/>
    <col min="10118" max="10118" width="29.42578125" style="1" customWidth="1"/>
    <col min="10119" max="10363" width="8.85546875" style="1"/>
    <col min="10364" max="10364" width="4" style="1" customWidth="1"/>
    <col min="10365" max="10365" width="59.7109375" style="1" customWidth="1"/>
    <col min="10366" max="10366" width="4.85546875" style="1" customWidth="1"/>
    <col min="10367" max="10367" width="9" style="1" customWidth="1"/>
    <col min="10368" max="10368" width="15.85546875" style="1" customWidth="1"/>
    <col min="10369" max="10369" width="15.7109375" style="1" customWidth="1"/>
    <col min="10370" max="10370" width="15.42578125" style="1" customWidth="1"/>
    <col min="10371" max="10371" width="17.140625" style="1" customWidth="1"/>
    <col min="10372" max="10372" width="37.85546875" style="1" customWidth="1"/>
    <col min="10373" max="10373" width="36.5703125" style="1" customWidth="1"/>
    <col min="10374" max="10374" width="29.42578125" style="1" customWidth="1"/>
    <col min="10375" max="10619" width="8.85546875" style="1"/>
    <col min="10620" max="10620" width="4" style="1" customWidth="1"/>
    <col min="10621" max="10621" width="59.7109375" style="1" customWidth="1"/>
    <col min="10622" max="10622" width="4.85546875" style="1" customWidth="1"/>
    <col min="10623" max="10623" width="9" style="1" customWidth="1"/>
    <col min="10624" max="10624" width="15.85546875" style="1" customWidth="1"/>
    <col min="10625" max="10625" width="15.7109375" style="1" customWidth="1"/>
    <col min="10626" max="10626" width="15.42578125" style="1" customWidth="1"/>
    <col min="10627" max="10627" width="17.140625" style="1" customWidth="1"/>
    <col min="10628" max="10628" width="37.85546875" style="1" customWidth="1"/>
    <col min="10629" max="10629" width="36.5703125" style="1" customWidth="1"/>
    <col min="10630" max="10630" width="29.42578125" style="1" customWidth="1"/>
    <col min="10631" max="10875" width="8.85546875" style="1"/>
    <col min="10876" max="10876" width="4" style="1" customWidth="1"/>
    <col min="10877" max="10877" width="59.7109375" style="1" customWidth="1"/>
    <col min="10878" max="10878" width="4.85546875" style="1" customWidth="1"/>
    <col min="10879" max="10879" width="9" style="1" customWidth="1"/>
    <col min="10880" max="10880" width="15.85546875" style="1" customWidth="1"/>
    <col min="10881" max="10881" width="15.7109375" style="1" customWidth="1"/>
    <col min="10882" max="10882" width="15.42578125" style="1" customWidth="1"/>
    <col min="10883" max="10883" width="17.140625" style="1" customWidth="1"/>
    <col min="10884" max="10884" width="37.85546875" style="1" customWidth="1"/>
    <col min="10885" max="10885" width="36.5703125" style="1" customWidth="1"/>
    <col min="10886" max="10886" width="29.42578125" style="1" customWidth="1"/>
    <col min="10887" max="11131" width="8.85546875" style="1"/>
    <col min="11132" max="11132" width="4" style="1" customWidth="1"/>
    <col min="11133" max="11133" width="59.7109375" style="1" customWidth="1"/>
    <col min="11134" max="11134" width="4.85546875" style="1" customWidth="1"/>
    <col min="11135" max="11135" width="9" style="1" customWidth="1"/>
    <col min="11136" max="11136" width="15.85546875" style="1" customWidth="1"/>
    <col min="11137" max="11137" width="15.7109375" style="1" customWidth="1"/>
    <col min="11138" max="11138" width="15.42578125" style="1" customWidth="1"/>
    <col min="11139" max="11139" width="17.140625" style="1" customWidth="1"/>
    <col min="11140" max="11140" width="37.85546875" style="1" customWidth="1"/>
    <col min="11141" max="11141" width="36.5703125" style="1" customWidth="1"/>
    <col min="11142" max="11142" width="29.42578125" style="1" customWidth="1"/>
    <col min="11143" max="11387" width="8.85546875" style="1"/>
    <col min="11388" max="11388" width="4" style="1" customWidth="1"/>
    <col min="11389" max="11389" width="59.7109375" style="1" customWidth="1"/>
    <col min="11390" max="11390" width="4.85546875" style="1" customWidth="1"/>
    <col min="11391" max="11391" width="9" style="1" customWidth="1"/>
    <col min="11392" max="11392" width="15.85546875" style="1" customWidth="1"/>
    <col min="11393" max="11393" width="15.7109375" style="1" customWidth="1"/>
    <col min="11394" max="11394" width="15.42578125" style="1" customWidth="1"/>
    <col min="11395" max="11395" width="17.140625" style="1" customWidth="1"/>
    <col min="11396" max="11396" width="37.85546875" style="1" customWidth="1"/>
    <col min="11397" max="11397" width="36.5703125" style="1" customWidth="1"/>
    <col min="11398" max="11398" width="29.42578125" style="1" customWidth="1"/>
    <col min="11399" max="11643" width="8.85546875" style="1"/>
    <col min="11644" max="11644" width="4" style="1" customWidth="1"/>
    <col min="11645" max="11645" width="59.7109375" style="1" customWidth="1"/>
    <col min="11646" max="11646" width="4.85546875" style="1" customWidth="1"/>
    <col min="11647" max="11647" width="9" style="1" customWidth="1"/>
    <col min="11648" max="11648" width="15.85546875" style="1" customWidth="1"/>
    <col min="11649" max="11649" width="15.7109375" style="1" customWidth="1"/>
    <col min="11650" max="11650" width="15.42578125" style="1" customWidth="1"/>
    <col min="11651" max="11651" width="17.140625" style="1" customWidth="1"/>
    <col min="11652" max="11652" width="37.85546875" style="1" customWidth="1"/>
    <col min="11653" max="11653" width="36.5703125" style="1" customWidth="1"/>
    <col min="11654" max="11654" width="29.42578125" style="1" customWidth="1"/>
    <col min="11655" max="11899" width="8.85546875" style="1"/>
    <col min="11900" max="11900" width="4" style="1" customWidth="1"/>
    <col min="11901" max="11901" width="59.7109375" style="1" customWidth="1"/>
    <col min="11902" max="11902" width="4.85546875" style="1" customWidth="1"/>
    <col min="11903" max="11903" width="9" style="1" customWidth="1"/>
    <col min="11904" max="11904" width="15.85546875" style="1" customWidth="1"/>
    <col min="11905" max="11905" width="15.7109375" style="1" customWidth="1"/>
    <col min="11906" max="11906" width="15.42578125" style="1" customWidth="1"/>
    <col min="11907" max="11907" width="17.140625" style="1" customWidth="1"/>
    <col min="11908" max="11908" width="37.85546875" style="1" customWidth="1"/>
    <col min="11909" max="11909" width="36.5703125" style="1" customWidth="1"/>
    <col min="11910" max="11910" width="29.42578125" style="1" customWidth="1"/>
    <col min="11911" max="12155" width="8.85546875" style="1"/>
    <col min="12156" max="12156" width="4" style="1" customWidth="1"/>
    <col min="12157" max="12157" width="59.7109375" style="1" customWidth="1"/>
    <col min="12158" max="12158" width="4.85546875" style="1" customWidth="1"/>
    <col min="12159" max="12159" width="9" style="1" customWidth="1"/>
    <col min="12160" max="12160" width="15.85546875" style="1" customWidth="1"/>
    <col min="12161" max="12161" width="15.7109375" style="1" customWidth="1"/>
    <col min="12162" max="12162" width="15.42578125" style="1" customWidth="1"/>
    <col min="12163" max="12163" width="17.140625" style="1" customWidth="1"/>
    <col min="12164" max="12164" width="37.85546875" style="1" customWidth="1"/>
    <col min="12165" max="12165" width="36.5703125" style="1" customWidth="1"/>
    <col min="12166" max="12166" width="29.42578125" style="1" customWidth="1"/>
    <col min="12167" max="12411" width="8.85546875" style="1"/>
    <col min="12412" max="12412" width="4" style="1" customWidth="1"/>
    <col min="12413" max="12413" width="59.7109375" style="1" customWidth="1"/>
    <col min="12414" max="12414" width="4.85546875" style="1" customWidth="1"/>
    <col min="12415" max="12415" width="9" style="1" customWidth="1"/>
    <col min="12416" max="12416" width="15.85546875" style="1" customWidth="1"/>
    <col min="12417" max="12417" width="15.7109375" style="1" customWidth="1"/>
    <col min="12418" max="12418" width="15.42578125" style="1" customWidth="1"/>
    <col min="12419" max="12419" width="17.140625" style="1" customWidth="1"/>
    <col min="12420" max="12420" width="37.85546875" style="1" customWidth="1"/>
    <col min="12421" max="12421" width="36.5703125" style="1" customWidth="1"/>
    <col min="12422" max="12422" width="29.42578125" style="1" customWidth="1"/>
    <col min="12423" max="12667" width="8.85546875" style="1"/>
    <col min="12668" max="12668" width="4" style="1" customWidth="1"/>
    <col min="12669" max="12669" width="59.7109375" style="1" customWidth="1"/>
    <col min="12670" max="12670" width="4.85546875" style="1" customWidth="1"/>
    <col min="12671" max="12671" width="9" style="1" customWidth="1"/>
    <col min="12672" max="12672" width="15.85546875" style="1" customWidth="1"/>
    <col min="12673" max="12673" width="15.7109375" style="1" customWidth="1"/>
    <col min="12674" max="12674" width="15.42578125" style="1" customWidth="1"/>
    <col min="12675" max="12675" width="17.140625" style="1" customWidth="1"/>
    <col min="12676" max="12676" width="37.85546875" style="1" customWidth="1"/>
    <col min="12677" max="12677" width="36.5703125" style="1" customWidth="1"/>
    <col min="12678" max="12678" width="29.42578125" style="1" customWidth="1"/>
    <col min="12679" max="12923" width="8.85546875" style="1"/>
    <col min="12924" max="12924" width="4" style="1" customWidth="1"/>
    <col min="12925" max="12925" width="59.7109375" style="1" customWidth="1"/>
    <col min="12926" max="12926" width="4.85546875" style="1" customWidth="1"/>
    <col min="12927" max="12927" width="9" style="1" customWidth="1"/>
    <col min="12928" max="12928" width="15.85546875" style="1" customWidth="1"/>
    <col min="12929" max="12929" width="15.7109375" style="1" customWidth="1"/>
    <col min="12930" max="12930" width="15.42578125" style="1" customWidth="1"/>
    <col min="12931" max="12931" width="17.140625" style="1" customWidth="1"/>
    <col min="12932" max="12932" width="37.85546875" style="1" customWidth="1"/>
    <col min="12933" max="12933" width="36.5703125" style="1" customWidth="1"/>
    <col min="12934" max="12934" width="29.42578125" style="1" customWidth="1"/>
    <col min="12935" max="13179" width="8.85546875" style="1"/>
    <col min="13180" max="13180" width="4" style="1" customWidth="1"/>
    <col min="13181" max="13181" width="59.7109375" style="1" customWidth="1"/>
    <col min="13182" max="13182" width="4.85546875" style="1" customWidth="1"/>
    <col min="13183" max="13183" width="9" style="1" customWidth="1"/>
    <col min="13184" max="13184" width="15.85546875" style="1" customWidth="1"/>
    <col min="13185" max="13185" width="15.7109375" style="1" customWidth="1"/>
    <col min="13186" max="13186" width="15.42578125" style="1" customWidth="1"/>
    <col min="13187" max="13187" width="17.140625" style="1" customWidth="1"/>
    <col min="13188" max="13188" width="37.85546875" style="1" customWidth="1"/>
    <col min="13189" max="13189" width="36.5703125" style="1" customWidth="1"/>
    <col min="13190" max="13190" width="29.42578125" style="1" customWidth="1"/>
    <col min="13191" max="13435" width="8.85546875" style="1"/>
    <col min="13436" max="13436" width="4" style="1" customWidth="1"/>
    <col min="13437" max="13437" width="59.7109375" style="1" customWidth="1"/>
    <col min="13438" max="13438" width="4.85546875" style="1" customWidth="1"/>
    <col min="13439" max="13439" width="9" style="1" customWidth="1"/>
    <col min="13440" max="13440" width="15.85546875" style="1" customWidth="1"/>
    <col min="13441" max="13441" width="15.7109375" style="1" customWidth="1"/>
    <col min="13442" max="13442" width="15.42578125" style="1" customWidth="1"/>
    <col min="13443" max="13443" width="17.140625" style="1" customWidth="1"/>
    <col min="13444" max="13444" width="37.85546875" style="1" customWidth="1"/>
    <col min="13445" max="13445" width="36.5703125" style="1" customWidth="1"/>
    <col min="13446" max="13446" width="29.42578125" style="1" customWidth="1"/>
    <col min="13447" max="13691" width="8.85546875" style="1"/>
    <col min="13692" max="13692" width="4" style="1" customWidth="1"/>
    <col min="13693" max="13693" width="59.7109375" style="1" customWidth="1"/>
    <col min="13694" max="13694" width="4.85546875" style="1" customWidth="1"/>
    <col min="13695" max="13695" width="9" style="1" customWidth="1"/>
    <col min="13696" max="13696" width="15.85546875" style="1" customWidth="1"/>
    <col min="13697" max="13697" width="15.7109375" style="1" customWidth="1"/>
    <col min="13698" max="13698" width="15.42578125" style="1" customWidth="1"/>
    <col min="13699" max="13699" width="17.140625" style="1" customWidth="1"/>
    <col min="13700" max="13700" width="37.85546875" style="1" customWidth="1"/>
    <col min="13701" max="13701" width="36.5703125" style="1" customWidth="1"/>
    <col min="13702" max="13702" width="29.42578125" style="1" customWidth="1"/>
    <col min="13703" max="13947" width="8.85546875" style="1"/>
    <col min="13948" max="13948" width="4" style="1" customWidth="1"/>
    <col min="13949" max="13949" width="59.7109375" style="1" customWidth="1"/>
    <col min="13950" max="13950" width="4.85546875" style="1" customWidth="1"/>
    <col min="13951" max="13951" width="9" style="1" customWidth="1"/>
    <col min="13952" max="13952" width="15.85546875" style="1" customWidth="1"/>
    <col min="13953" max="13953" width="15.7109375" style="1" customWidth="1"/>
    <col min="13954" max="13954" width="15.42578125" style="1" customWidth="1"/>
    <col min="13955" max="13955" width="17.140625" style="1" customWidth="1"/>
    <col min="13956" max="13956" width="37.85546875" style="1" customWidth="1"/>
    <col min="13957" max="13957" width="36.5703125" style="1" customWidth="1"/>
    <col min="13958" max="13958" width="29.42578125" style="1" customWidth="1"/>
    <col min="13959" max="14203" width="8.85546875" style="1"/>
    <col min="14204" max="14204" width="4" style="1" customWidth="1"/>
    <col min="14205" max="14205" width="59.7109375" style="1" customWidth="1"/>
    <col min="14206" max="14206" width="4.85546875" style="1" customWidth="1"/>
    <col min="14207" max="14207" width="9" style="1" customWidth="1"/>
    <col min="14208" max="14208" width="15.85546875" style="1" customWidth="1"/>
    <col min="14209" max="14209" width="15.7109375" style="1" customWidth="1"/>
    <col min="14210" max="14210" width="15.42578125" style="1" customWidth="1"/>
    <col min="14211" max="14211" width="17.140625" style="1" customWidth="1"/>
    <col min="14212" max="14212" width="37.85546875" style="1" customWidth="1"/>
    <col min="14213" max="14213" width="36.5703125" style="1" customWidth="1"/>
    <col min="14214" max="14214" width="29.42578125" style="1" customWidth="1"/>
    <col min="14215" max="14459" width="8.85546875" style="1"/>
    <col min="14460" max="14460" width="4" style="1" customWidth="1"/>
    <col min="14461" max="14461" width="59.7109375" style="1" customWidth="1"/>
    <col min="14462" max="14462" width="4.85546875" style="1" customWidth="1"/>
    <col min="14463" max="14463" width="9" style="1" customWidth="1"/>
    <col min="14464" max="14464" width="15.85546875" style="1" customWidth="1"/>
    <col min="14465" max="14465" width="15.7109375" style="1" customWidth="1"/>
    <col min="14466" max="14466" width="15.42578125" style="1" customWidth="1"/>
    <col min="14467" max="14467" width="17.140625" style="1" customWidth="1"/>
    <col min="14468" max="14468" width="37.85546875" style="1" customWidth="1"/>
    <col min="14469" max="14469" width="36.5703125" style="1" customWidth="1"/>
    <col min="14470" max="14470" width="29.42578125" style="1" customWidth="1"/>
    <col min="14471" max="14715" width="8.85546875" style="1"/>
    <col min="14716" max="14716" width="4" style="1" customWidth="1"/>
    <col min="14717" max="14717" width="59.7109375" style="1" customWidth="1"/>
    <col min="14718" max="14718" width="4.85546875" style="1" customWidth="1"/>
    <col min="14719" max="14719" width="9" style="1" customWidth="1"/>
    <col min="14720" max="14720" width="15.85546875" style="1" customWidth="1"/>
    <col min="14721" max="14721" width="15.7109375" style="1" customWidth="1"/>
    <col min="14722" max="14722" width="15.42578125" style="1" customWidth="1"/>
    <col min="14723" max="14723" width="17.140625" style="1" customWidth="1"/>
    <col min="14724" max="14724" width="37.85546875" style="1" customWidth="1"/>
    <col min="14725" max="14725" width="36.5703125" style="1" customWidth="1"/>
    <col min="14726" max="14726" width="29.42578125" style="1" customWidth="1"/>
    <col min="14727" max="14971" width="8.85546875" style="1"/>
    <col min="14972" max="14972" width="4" style="1" customWidth="1"/>
    <col min="14973" max="14973" width="59.7109375" style="1" customWidth="1"/>
    <col min="14974" max="14974" width="4.85546875" style="1" customWidth="1"/>
    <col min="14975" max="14975" width="9" style="1" customWidth="1"/>
    <col min="14976" max="14976" width="15.85546875" style="1" customWidth="1"/>
    <col min="14977" max="14977" width="15.7109375" style="1" customWidth="1"/>
    <col min="14978" max="14978" width="15.42578125" style="1" customWidth="1"/>
    <col min="14979" max="14979" width="17.140625" style="1" customWidth="1"/>
    <col min="14980" max="14980" width="37.85546875" style="1" customWidth="1"/>
    <col min="14981" max="14981" width="36.5703125" style="1" customWidth="1"/>
    <col min="14982" max="14982" width="29.42578125" style="1" customWidth="1"/>
    <col min="14983" max="15227" width="8.85546875" style="1"/>
    <col min="15228" max="15228" width="4" style="1" customWidth="1"/>
    <col min="15229" max="15229" width="59.7109375" style="1" customWidth="1"/>
    <col min="15230" max="15230" width="4.85546875" style="1" customWidth="1"/>
    <col min="15231" max="15231" width="9" style="1" customWidth="1"/>
    <col min="15232" max="15232" width="15.85546875" style="1" customWidth="1"/>
    <col min="15233" max="15233" width="15.7109375" style="1" customWidth="1"/>
    <col min="15234" max="15234" width="15.42578125" style="1" customWidth="1"/>
    <col min="15235" max="15235" width="17.140625" style="1" customWidth="1"/>
    <col min="15236" max="15236" width="37.85546875" style="1" customWidth="1"/>
    <col min="15237" max="15237" width="36.5703125" style="1" customWidth="1"/>
    <col min="15238" max="15238" width="29.42578125" style="1" customWidth="1"/>
    <col min="15239" max="15483" width="8.85546875" style="1"/>
    <col min="15484" max="15484" width="4" style="1" customWidth="1"/>
    <col min="15485" max="15485" width="59.7109375" style="1" customWidth="1"/>
    <col min="15486" max="15486" width="4.85546875" style="1" customWidth="1"/>
    <col min="15487" max="15487" width="9" style="1" customWidth="1"/>
    <col min="15488" max="15488" width="15.85546875" style="1" customWidth="1"/>
    <col min="15489" max="15489" width="15.7109375" style="1" customWidth="1"/>
    <col min="15490" max="15490" width="15.42578125" style="1" customWidth="1"/>
    <col min="15491" max="15491" width="17.140625" style="1" customWidth="1"/>
    <col min="15492" max="15492" width="37.85546875" style="1" customWidth="1"/>
    <col min="15493" max="15493" width="36.5703125" style="1" customWidth="1"/>
    <col min="15494" max="15494" width="29.42578125" style="1" customWidth="1"/>
    <col min="15495" max="15739" width="8.85546875" style="1"/>
    <col min="15740" max="15740" width="4" style="1" customWidth="1"/>
    <col min="15741" max="15741" width="59.7109375" style="1" customWidth="1"/>
    <col min="15742" max="15742" width="4.85546875" style="1" customWidth="1"/>
    <col min="15743" max="15743" width="9" style="1" customWidth="1"/>
    <col min="15744" max="15744" width="15.85546875" style="1" customWidth="1"/>
    <col min="15745" max="15745" width="15.7109375" style="1" customWidth="1"/>
    <col min="15746" max="15746" width="15.42578125" style="1" customWidth="1"/>
    <col min="15747" max="15747" width="17.140625" style="1" customWidth="1"/>
    <col min="15748" max="15748" width="37.85546875" style="1" customWidth="1"/>
    <col min="15749" max="15749" width="36.5703125" style="1" customWidth="1"/>
    <col min="15750" max="15750" width="29.42578125" style="1" customWidth="1"/>
    <col min="15751" max="15995" width="8.85546875" style="1"/>
    <col min="15996" max="15996" width="4" style="1" customWidth="1"/>
    <col min="15997" max="15997" width="59.7109375" style="1" customWidth="1"/>
    <col min="15998" max="15998" width="4.85546875" style="1" customWidth="1"/>
    <col min="15999" max="15999" width="9" style="1" customWidth="1"/>
    <col min="16000" max="16000" width="15.85546875" style="1" customWidth="1"/>
    <col min="16001" max="16001" width="15.7109375" style="1" customWidth="1"/>
    <col min="16002" max="16002" width="15.42578125" style="1" customWidth="1"/>
    <col min="16003" max="16003" width="17.140625" style="1" customWidth="1"/>
    <col min="16004" max="16004" width="37.85546875" style="1" customWidth="1"/>
    <col min="16005" max="16005" width="36.5703125" style="1" customWidth="1"/>
    <col min="16006" max="16006" width="29.42578125" style="1" customWidth="1"/>
    <col min="16007" max="16384" width="8.85546875" style="1"/>
  </cols>
  <sheetData>
    <row r="1" spans="1:57" ht="22.15" customHeight="1">
      <c r="G1" s="15">
        <v>45999</v>
      </c>
      <c r="H1" s="15">
        <v>45999</v>
      </c>
      <c r="M1" s="15">
        <v>46002</v>
      </c>
      <c r="N1" s="15">
        <v>46002</v>
      </c>
      <c r="S1" s="15">
        <v>46006</v>
      </c>
      <c r="T1" s="15">
        <v>46006</v>
      </c>
      <c r="U1" s="17" t="s">
        <v>87</v>
      </c>
      <c r="Z1" s="15">
        <v>46010</v>
      </c>
      <c r="AA1" s="15"/>
      <c r="AB1" s="17" t="s">
        <v>87</v>
      </c>
      <c r="AC1" s="18" t="s">
        <v>88</v>
      </c>
      <c r="AH1" s="15">
        <v>46013</v>
      </c>
      <c r="AI1" s="15"/>
      <c r="AJ1" s="17" t="s">
        <v>87</v>
      </c>
      <c r="AK1" s="18" t="s">
        <v>88</v>
      </c>
      <c r="AP1" s="15">
        <v>46016</v>
      </c>
      <c r="AQ1" s="15"/>
      <c r="AR1" s="17" t="s">
        <v>87</v>
      </c>
      <c r="AS1" s="18" t="s">
        <v>88</v>
      </c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</row>
    <row r="2" spans="1:57" ht="30" customHeight="1">
      <c r="A2"/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3" t="s">
        <v>1</v>
      </c>
      <c r="J2" s="12" t="s">
        <v>2</v>
      </c>
      <c r="K2" s="4" t="s">
        <v>3</v>
      </c>
      <c r="L2" s="4" t="s">
        <v>4</v>
      </c>
      <c r="M2" s="5" t="s">
        <v>5</v>
      </c>
      <c r="N2" s="5" t="s">
        <v>6</v>
      </c>
      <c r="O2" s="3" t="s">
        <v>1</v>
      </c>
      <c r="P2" s="12" t="s">
        <v>2</v>
      </c>
      <c r="Q2" s="4" t="s">
        <v>3</v>
      </c>
      <c r="R2" s="4" t="s">
        <v>4</v>
      </c>
      <c r="S2" s="5" t="s">
        <v>5</v>
      </c>
      <c r="T2" s="5" t="s">
        <v>6</v>
      </c>
      <c r="U2" s="19"/>
      <c r="V2" s="3" t="s">
        <v>1</v>
      </c>
      <c r="W2" s="12" t="s">
        <v>2</v>
      </c>
      <c r="X2" s="4" t="s">
        <v>3</v>
      </c>
      <c r="Y2" s="4" t="s">
        <v>4</v>
      </c>
      <c r="Z2" s="5" t="s">
        <v>5</v>
      </c>
      <c r="AA2" s="5"/>
      <c r="AB2" s="19"/>
      <c r="AC2" s="20"/>
      <c r="AD2" s="3" t="s">
        <v>1</v>
      </c>
      <c r="AE2" s="12" t="s">
        <v>2</v>
      </c>
      <c r="AF2" s="4" t="s">
        <v>3</v>
      </c>
      <c r="AG2" s="4" t="s">
        <v>4</v>
      </c>
      <c r="AH2" s="5" t="s">
        <v>5</v>
      </c>
      <c r="AI2" s="5"/>
      <c r="AJ2" s="19"/>
      <c r="AK2" s="20"/>
      <c r="AL2" s="3" t="s">
        <v>1</v>
      </c>
      <c r="AM2" s="12" t="s">
        <v>2</v>
      </c>
      <c r="AN2" s="4" t="s">
        <v>3</v>
      </c>
      <c r="AO2" s="4" t="s">
        <v>4</v>
      </c>
      <c r="AP2" s="5" t="s">
        <v>5</v>
      </c>
      <c r="AQ2" s="5"/>
      <c r="AR2" s="19"/>
      <c r="AS2" s="20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</row>
    <row r="3" spans="1:57" ht="22.15" hidden="1" customHeight="1">
      <c r="A3"/>
      <c r="B3" s="6" t="s">
        <v>7</v>
      </c>
      <c r="C3" s="21" t="s">
        <v>8</v>
      </c>
      <c r="D3" s="22">
        <v>124</v>
      </c>
      <c r="E3" s="23">
        <v>45254</v>
      </c>
      <c r="F3" s="23">
        <v>45299</v>
      </c>
      <c r="G3" s="7">
        <f t="shared" ref="G3:G37" si="0">IFERROR((F3-$G$1)/(F3-E3)*100,"")</f>
        <v>-1555.5555555555554</v>
      </c>
      <c r="H3" s="7">
        <f t="shared" ref="H3:H37" si="1">F3-$H$1</f>
        <v>-700</v>
      </c>
      <c r="I3" s="21" t="s">
        <v>8</v>
      </c>
      <c r="J3" s="24">
        <v>124</v>
      </c>
      <c r="K3" s="23">
        <v>45254</v>
      </c>
      <c r="L3" s="23">
        <v>45299</v>
      </c>
      <c r="M3" s="7">
        <f t="shared" ref="M3:M37" si="2">IFERROR((L3-$G$1)/(L3-K3)*100,"")</f>
        <v>-1555.5555555555554</v>
      </c>
      <c r="N3" s="7">
        <f t="shared" ref="N3:N37" si="3">L3-$H$1</f>
        <v>-700</v>
      </c>
      <c r="O3" s="21" t="s">
        <v>8</v>
      </c>
      <c r="P3" s="24">
        <v>124</v>
      </c>
      <c r="Q3" s="23">
        <v>45254</v>
      </c>
      <c r="R3" s="23">
        <v>45299</v>
      </c>
      <c r="S3" s="7">
        <f t="shared" ref="S3:S37" si="4">IFERROR((R3-$G$1)/(R3-Q3)*100,"")</f>
        <v>-1555.5555555555554</v>
      </c>
      <c r="T3" s="7">
        <f t="shared" ref="T3:T37" si="5">R3-$H$1</f>
        <v>-700</v>
      </c>
      <c r="U3" s="19"/>
      <c r="V3" s="21" t="s">
        <v>8</v>
      </c>
      <c r="W3" s="24">
        <v>124</v>
      </c>
      <c r="X3" s="23">
        <v>45254</v>
      </c>
      <c r="Y3" s="23">
        <v>45299</v>
      </c>
      <c r="Z3" s="7">
        <f t="shared" ref="Z3:Z37" si="6">IFERROR((Y3-$G$1)/(Y3-X3)*100,"")</f>
        <v>-1555.5555555555554</v>
      </c>
      <c r="AA3" s="7"/>
      <c r="AB3" s="19"/>
      <c r="AC3" s="20"/>
      <c r="AD3" s="21" t="s">
        <v>8</v>
      </c>
      <c r="AE3" s="24">
        <v>124</v>
      </c>
      <c r="AF3" s="23">
        <v>45254</v>
      </c>
      <c r="AG3" s="23">
        <v>45299</v>
      </c>
      <c r="AH3" s="7">
        <f t="shared" ref="AH3:AH37" si="7">IFERROR((AG3-$G$1)/(AG3-AF3)*100,"")</f>
        <v>-1555.5555555555554</v>
      </c>
      <c r="AI3" s="7"/>
      <c r="AJ3" s="19"/>
      <c r="AK3" s="20"/>
      <c r="AL3" s="21" t="s">
        <v>8</v>
      </c>
      <c r="AM3" s="24">
        <v>124</v>
      </c>
      <c r="AN3" s="23">
        <v>45254</v>
      </c>
      <c r="AO3" s="23">
        <v>45299</v>
      </c>
      <c r="AP3" s="7">
        <f t="shared" ref="AP3:AP37" si="8">IFERROR((AO3-$G$1)/(AO3-AN3)*100,"")</f>
        <v>-1555.5555555555554</v>
      </c>
      <c r="AQ3" s="7"/>
      <c r="AR3" s="19"/>
      <c r="AS3" s="20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</row>
    <row r="4" spans="1:57" ht="22.15" hidden="1" customHeight="1">
      <c r="A4"/>
      <c r="B4" s="6" t="s">
        <v>9</v>
      </c>
      <c r="C4" s="21" t="s">
        <v>8</v>
      </c>
      <c r="D4" s="22">
        <v>115</v>
      </c>
      <c r="E4" s="23">
        <v>45254</v>
      </c>
      <c r="F4" s="23">
        <v>45299</v>
      </c>
      <c r="G4" s="7">
        <f t="shared" si="0"/>
        <v>-1555.5555555555554</v>
      </c>
      <c r="H4" s="7">
        <f t="shared" si="1"/>
        <v>-700</v>
      </c>
      <c r="I4" s="21" t="s">
        <v>8</v>
      </c>
      <c r="J4" s="24">
        <v>115</v>
      </c>
      <c r="K4" s="23">
        <v>45254</v>
      </c>
      <c r="L4" s="23">
        <v>45299</v>
      </c>
      <c r="M4" s="7">
        <f t="shared" si="2"/>
        <v>-1555.5555555555554</v>
      </c>
      <c r="N4" s="7">
        <f t="shared" si="3"/>
        <v>-700</v>
      </c>
      <c r="O4" s="21" t="s">
        <v>8</v>
      </c>
      <c r="P4" s="24">
        <v>115</v>
      </c>
      <c r="Q4" s="23">
        <v>45254</v>
      </c>
      <c r="R4" s="23">
        <v>45299</v>
      </c>
      <c r="S4" s="7">
        <f t="shared" si="4"/>
        <v>-1555.5555555555554</v>
      </c>
      <c r="T4" s="7">
        <f t="shared" si="5"/>
        <v>-700</v>
      </c>
      <c r="U4" s="19"/>
      <c r="V4" s="21" t="s">
        <v>8</v>
      </c>
      <c r="W4" s="24">
        <v>115</v>
      </c>
      <c r="X4" s="23">
        <v>45254</v>
      </c>
      <c r="Y4" s="23">
        <v>45299</v>
      </c>
      <c r="Z4" s="7">
        <f t="shared" si="6"/>
        <v>-1555.5555555555554</v>
      </c>
      <c r="AA4" s="7"/>
      <c r="AB4" s="19"/>
      <c r="AC4" s="20"/>
      <c r="AD4" s="21" t="s">
        <v>8</v>
      </c>
      <c r="AE4" s="24">
        <v>115</v>
      </c>
      <c r="AF4" s="23">
        <v>45254</v>
      </c>
      <c r="AG4" s="23">
        <v>45299</v>
      </c>
      <c r="AH4" s="7">
        <f t="shared" si="7"/>
        <v>-1555.5555555555554</v>
      </c>
      <c r="AI4" s="7"/>
      <c r="AJ4" s="19"/>
      <c r="AK4" s="20"/>
      <c r="AL4" s="21" t="s">
        <v>8</v>
      </c>
      <c r="AM4" s="24">
        <v>115</v>
      </c>
      <c r="AN4" s="23">
        <v>45254</v>
      </c>
      <c r="AO4" s="23">
        <v>45299</v>
      </c>
      <c r="AP4" s="7">
        <f t="shared" si="8"/>
        <v>-1555.5555555555554</v>
      </c>
      <c r="AQ4" s="7"/>
      <c r="AR4" s="19"/>
      <c r="AS4" s="20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</row>
    <row r="5" spans="1:57" ht="22.15" hidden="1" customHeight="1">
      <c r="A5"/>
      <c r="B5" s="6" t="s">
        <v>10</v>
      </c>
      <c r="C5" s="21" t="s">
        <v>8</v>
      </c>
      <c r="D5" s="22">
        <v>54</v>
      </c>
      <c r="E5" s="25">
        <v>45256</v>
      </c>
      <c r="F5" s="25">
        <v>45301</v>
      </c>
      <c r="G5" s="7">
        <f t="shared" si="0"/>
        <v>-1551.1111111111111</v>
      </c>
      <c r="H5" s="7">
        <f t="shared" si="1"/>
        <v>-698</v>
      </c>
      <c r="I5" s="21" t="s">
        <v>8</v>
      </c>
      <c r="J5" s="24">
        <v>54</v>
      </c>
      <c r="K5" s="25">
        <v>45256</v>
      </c>
      <c r="L5" s="25">
        <v>45301</v>
      </c>
      <c r="M5" s="7">
        <f t="shared" si="2"/>
        <v>-1551.1111111111111</v>
      </c>
      <c r="N5" s="7">
        <f t="shared" si="3"/>
        <v>-698</v>
      </c>
      <c r="O5" s="21" t="s">
        <v>8</v>
      </c>
      <c r="P5" s="24">
        <v>54</v>
      </c>
      <c r="Q5" s="25">
        <v>45256</v>
      </c>
      <c r="R5" s="25">
        <v>45301</v>
      </c>
      <c r="S5" s="7">
        <f t="shared" si="4"/>
        <v>-1551.1111111111111</v>
      </c>
      <c r="T5" s="7">
        <f t="shared" si="5"/>
        <v>-698</v>
      </c>
      <c r="U5" s="19"/>
      <c r="V5" s="21" t="s">
        <v>8</v>
      </c>
      <c r="W5" s="24">
        <v>54</v>
      </c>
      <c r="X5" s="25">
        <v>45256</v>
      </c>
      <c r="Y5" s="25">
        <v>45301</v>
      </c>
      <c r="Z5" s="7">
        <f t="shared" si="6"/>
        <v>-1551.1111111111111</v>
      </c>
      <c r="AA5" s="7"/>
      <c r="AB5" s="19"/>
      <c r="AC5" s="20"/>
      <c r="AD5" s="21" t="s">
        <v>8</v>
      </c>
      <c r="AE5" s="24">
        <v>54</v>
      </c>
      <c r="AF5" s="25">
        <v>45256</v>
      </c>
      <c r="AG5" s="25">
        <v>45301</v>
      </c>
      <c r="AH5" s="7">
        <f t="shared" si="7"/>
        <v>-1551.1111111111111</v>
      </c>
      <c r="AI5" s="7"/>
      <c r="AJ5" s="19"/>
      <c r="AK5" s="20"/>
      <c r="AL5" s="21" t="s">
        <v>8</v>
      </c>
      <c r="AM5" s="24">
        <v>54</v>
      </c>
      <c r="AN5" s="25">
        <v>45256</v>
      </c>
      <c r="AO5" s="25">
        <v>45301</v>
      </c>
      <c r="AP5" s="7">
        <f t="shared" si="8"/>
        <v>-1551.1111111111111</v>
      </c>
      <c r="AQ5" s="7"/>
      <c r="AR5" s="19"/>
      <c r="AS5" s="20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</row>
    <row r="6" spans="1:57" ht="22.15" hidden="1" customHeight="1">
      <c r="A6"/>
      <c r="B6" s="6" t="s">
        <v>11</v>
      </c>
      <c r="C6" s="21" t="s">
        <v>8</v>
      </c>
      <c r="D6" s="22">
        <v>65</v>
      </c>
      <c r="E6" s="25">
        <v>45268</v>
      </c>
      <c r="F6" s="25">
        <v>45303</v>
      </c>
      <c r="G6" s="7">
        <f t="shared" si="0"/>
        <v>-1988.5714285714287</v>
      </c>
      <c r="H6" s="7">
        <f t="shared" si="1"/>
        <v>-696</v>
      </c>
      <c r="I6" s="21" t="s">
        <v>8</v>
      </c>
      <c r="J6" s="24">
        <v>65</v>
      </c>
      <c r="K6" s="25">
        <v>45268</v>
      </c>
      <c r="L6" s="25">
        <v>45303</v>
      </c>
      <c r="M6" s="7">
        <f t="shared" si="2"/>
        <v>-1988.5714285714287</v>
      </c>
      <c r="N6" s="7">
        <f t="shared" si="3"/>
        <v>-696</v>
      </c>
      <c r="O6" s="21" t="s">
        <v>8</v>
      </c>
      <c r="P6" s="24">
        <v>65</v>
      </c>
      <c r="Q6" s="25">
        <v>45268</v>
      </c>
      <c r="R6" s="25">
        <v>45303</v>
      </c>
      <c r="S6" s="7">
        <f t="shared" si="4"/>
        <v>-1988.5714285714287</v>
      </c>
      <c r="T6" s="7">
        <f t="shared" si="5"/>
        <v>-696</v>
      </c>
      <c r="U6" s="19"/>
      <c r="V6" s="21" t="s">
        <v>8</v>
      </c>
      <c r="W6" s="24">
        <v>65</v>
      </c>
      <c r="X6" s="25">
        <v>45268</v>
      </c>
      <c r="Y6" s="25">
        <v>45303</v>
      </c>
      <c r="Z6" s="7">
        <f t="shared" si="6"/>
        <v>-1988.5714285714287</v>
      </c>
      <c r="AA6" s="7"/>
      <c r="AB6" s="19"/>
      <c r="AC6" s="20"/>
      <c r="AD6" s="21" t="s">
        <v>8</v>
      </c>
      <c r="AE6" s="24">
        <v>65</v>
      </c>
      <c r="AF6" s="25">
        <v>45268</v>
      </c>
      <c r="AG6" s="25">
        <v>45303</v>
      </c>
      <c r="AH6" s="7">
        <f t="shared" si="7"/>
        <v>-1988.5714285714287</v>
      </c>
      <c r="AI6" s="7"/>
      <c r="AJ6" s="19"/>
      <c r="AK6" s="20"/>
      <c r="AL6" s="21" t="s">
        <v>8</v>
      </c>
      <c r="AM6" s="24">
        <v>65</v>
      </c>
      <c r="AN6" s="25">
        <v>45268</v>
      </c>
      <c r="AO6" s="25">
        <v>45303</v>
      </c>
      <c r="AP6" s="7">
        <f t="shared" si="8"/>
        <v>-1988.5714285714287</v>
      </c>
      <c r="AQ6" s="7"/>
      <c r="AR6" s="19"/>
      <c r="AS6" s="20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</row>
    <row r="7" spans="1:57" ht="22.15" hidden="1" customHeight="1">
      <c r="A7"/>
      <c r="B7" s="6" t="s">
        <v>12</v>
      </c>
      <c r="C7" s="21" t="s">
        <v>8</v>
      </c>
      <c r="D7" s="22">
        <v>32</v>
      </c>
      <c r="E7" s="25">
        <v>45269</v>
      </c>
      <c r="F7" s="25">
        <v>45304</v>
      </c>
      <c r="G7" s="7">
        <f t="shared" si="0"/>
        <v>-1985.7142857142858</v>
      </c>
      <c r="H7" s="7">
        <f t="shared" si="1"/>
        <v>-695</v>
      </c>
      <c r="I7" s="21" t="s">
        <v>8</v>
      </c>
      <c r="J7" s="24">
        <v>32</v>
      </c>
      <c r="K7" s="25">
        <v>45269</v>
      </c>
      <c r="L7" s="25">
        <v>45304</v>
      </c>
      <c r="M7" s="7">
        <f t="shared" si="2"/>
        <v>-1985.7142857142858</v>
      </c>
      <c r="N7" s="7">
        <f t="shared" si="3"/>
        <v>-695</v>
      </c>
      <c r="O7" s="21" t="s">
        <v>8</v>
      </c>
      <c r="P7" s="24">
        <v>32</v>
      </c>
      <c r="Q7" s="25">
        <v>45269</v>
      </c>
      <c r="R7" s="25">
        <v>45304</v>
      </c>
      <c r="S7" s="7">
        <f t="shared" si="4"/>
        <v>-1985.7142857142858</v>
      </c>
      <c r="T7" s="7">
        <f t="shared" si="5"/>
        <v>-695</v>
      </c>
      <c r="U7" s="19"/>
      <c r="V7" s="21" t="s">
        <v>8</v>
      </c>
      <c r="W7" s="24">
        <v>32</v>
      </c>
      <c r="X7" s="25">
        <v>45269</v>
      </c>
      <c r="Y7" s="25">
        <v>45304</v>
      </c>
      <c r="Z7" s="7">
        <f t="shared" si="6"/>
        <v>-1985.7142857142858</v>
      </c>
      <c r="AA7" s="7"/>
      <c r="AB7" s="19"/>
      <c r="AC7" s="20"/>
      <c r="AD7" s="21" t="s">
        <v>8</v>
      </c>
      <c r="AE7" s="24">
        <v>32</v>
      </c>
      <c r="AF7" s="25">
        <v>45269</v>
      </c>
      <c r="AG7" s="25">
        <v>45304</v>
      </c>
      <c r="AH7" s="7">
        <f t="shared" si="7"/>
        <v>-1985.7142857142858</v>
      </c>
      <c r="AI7" s="7"/>
      <c r="AJ7" s="19"/>
      <c r="AK7" s="20"/>
      <c r="AL7" s="21" t="s">
        <v>8</v>
      </c>
      <c r="AM7" s="24">
        <v>32</v>
      </c>
      <c r="AN7" s="25">
        <v>45269</v>
      </c>
      <c r="AO7" s="25">
        <v>45304</v>
      </c>
      <c r="AP7" s="7">
        <f t="shared" si="8"/>
        <v>-1985.7142857142858</v>
      </c>
      <c r="AQ7" s="7"/>
      <c r="AR7" s="19"/>
      <c r="AS7" s="20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</row>
    <row r="8" spans="1:57" ht="22.15" hidden="1" customHeight="1">
      <c r="A8"/>
      <c r="B8" s="6" t="s">
        <v>13</v>
      </c>
      <c r="C8" s="21" t="s">
        <v>14</v>
      </c>
      <c r="D8" s="22">
        <v>217.8</v>
      </c>
      <c r="E8" s="25">
        <v>45275</v>
      </c>
      <c r="F8" s="25">
        <v>45305</v>
      </c>
      <c r="G8" s="7">
        <f t="shared" si="0"/>
        <v>-2313.3333333333335</v>
      </c>
      <c r="H8" s="7">
        <f t="shared" si="1"/>
        <v>-694</v>
      </c>
      <c r="I8" s="21" t="s">
        <v>14</v>
      </c>
      <c r="J8" s="24">
        <v>217.8</v>
      </c>
      <c r="K8" s="25">
        <v>45275</v>
      </c>
      <c r="L8" s="25">
        <v>45305</v>
      </c>
      <c r="M8" s="7">
        <f t="shared" si="2"/>
        <v>-2313.3333333333335</v>
      </c>
      <c r="N8" s="7">
        <f t="shared" si="3"/>
        <v>-694</v>
      </c>
      <c r="O8" s="21" t="s">
        <v>14</v>
      </c>
      <c r="P8" s="24">
        <v>217.8</v>
      </c>
      <c r="Q8" s="25">
        <v>45275</v>
      </c>
      <c r="R8" s="25">
        <v>45305</v>
      </c>
      <c r="S8" s="7">
        <f t="shared" si="4"/>
        <v>-2313.3333333333335</v>
      </c>
      <c r="T8" s="7">
        <f t="shared" si="5"/>
        <v>-694</v>
      </c>
      <c r="U8" s="19"/>
      <c r="V8" s="21" t="s">
        <v>14</v>
      </c>
      <c r="W8" s="24">
        <v>217.8</v>
      </c>
      <c r="X8" s="25">
        <v>45275</v>
      </c>
      <c r="Y8" s="25">
        <v>45305</v>
      </c>
      <c r="Z8" s="7">
        <f t="shared" si="6"/>
        <v>-2313.3333333333335</v>
      </c>
      <c r="AA8" s="7"/>
      <c r="AB8" s="19"/>
      <c r="AC8" s="20"/>
      <c r="AD8" s="21" t="s">
        <v>14</v>
      </c>
      <c r="AE8" s="24">
        <v>217.8</v>
      </c>
      <c r="AF8" s="25">
        <v>45275</v>
      </c>
      <c r="AG8" s="25">
        <v>45305</v>
      </c>
      <c r="AH8" s="7">
        <f t="shared" si="7"/>
        <v>-2313.3333333333335</v>
      </c>
      <c r="AI8" s="7"/>
      <c r="AJ8" s="19"/>
      <c r="AK8" s="20"/>
      <c r="AL8" s="21" t="s">
        <v>14</v>
      </c>
      <c r="AM8" s="24">
        <v>217.8</v>
      </c>
      <c r="AN8" s="25">
        <v>45275</v>
      </c>
      <c r="AO8" s="25">
        <v>45305</v>
      </c>
      <c r="AP8" s="7">
        <f t="shared" si="8"/>
        <v>-2313.3333333333335</v>
      </c>
      <c r="AQ8" s="7"/>
      <c r="AR8" s="19"/>
      <c r="AS8" s="20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</row>
    <row r="9" spans="1:57" ht="22.15" hidden="1" customHeight="1">
      <c r="A9"/>
      <c r="B9" s="6" t="s">
        <v>15</v>
      </c>
      <c r="C9" s="21" t="s">
        <v>14</v>
      </c>
      <c r="D9" s="22">
        <v>68.8</v>
      </c>
      <c r="E9" s="25">
        <v>45265</v>
      </c>
      <c r="F9" s="25">
        <v>45305</v>
      </c>
      <c r="G9" s="7">
        <f t="shared" si="0"/>
        <v>-1735.0000000000002</v>
      </c>
      <c r="H9" s="7">
        <f t="shared" si="1"/>
        <v>-694</v>
      </c>
      <c r="I9" s="21" t="s">
        <v>14</v>
      </c>
      <c r="J9" s="24">
        <v>68.8</v>
      </c>
      <c r="K9" s="25">
        <v>45265</v>
      </c>
      <c r="L9" s="25">
        <v>45305</v>
      </c>
      <c r="M9" s="7">
        <f t="shared" si="2"/>
        <v>-1735.0000000000002</v>
      </c>
      <c r="N9" s="7">
        <f t="shared" si="3"/>
        <v>-694</v>
      </c>
      <c r="O9" s="21" t="s">
        <v>14</v>
      </c>
      <c r="P9" s="24">
        <v>68.8</v>
      </c>
      <c r="Q9" s="25">
        <v>45265</v>
      </c>
      <c r="R9" s="25">
        <v>45305</v>
      </c>
      <c r="S9" s="7">
        <f t="shared" si="4"/>
        <v>-1735.0000000000002</v>
      </c>
      <c r="T9" s="7">
        <f t="shared" si="5"/>
        <v>-694</v>
      </c>
      <c r="U9" s="19"/>
      <c r="V9" s="21" t="s">
        <v>14</v>
      </c>
      <c r="W9" s="24">
        <v>68.8</v>
      </c>
      <c r="X9" s="25">
        <v>45265</v>
      </c>
      <c r="Y9" s="25">
        <v>45305</v>
      </c>
      <c r="Z9" s="7">
        <f t="shared" si="6"/>
        <v>-1735.0000000000002</v>
      </c>
      <c r="AA9" s="7"/>
      <c r="AB9" s="19"/>
      <c r="AC9" s="20"/>
      <c r="AD9" s="21" t="s">
        <v>14</v>
      </c>
      <c r="AE9" s="24">
        <v>68.8</v>
      </c>
      <c r="AF9" s="25">
        <v>45265</v>
      </c>
      <c r="AG9" s="25">
        <v>45305</v>
      </c>
      <c r="AH9" s="7">
        <f t="shared" si="7"/>
        <v>-1735.0000000000002</v>
      </c>
      <c r="AI9" s="7"/>
      <c r="AJ9" s="19"/>
      <c r="AK9" s="20"/>
      <c r="AL9" s="21" t="s">
        <v>14</v>
      </c>
      <c r="AM9" s="24">
        <v>68.8</v>
      </c>
      <c r="AN9" s="25">
        <v>45265</v>
      </c>
      <c r="AO9" s="25">
        <v>45305</v>
      </c>
      <c r="AP9" s="7">
        <f t="shared" si="8"/>
        <v>-1735.0000000000002</v>
      </c>
      <c r="AQ9" s="7"/>
      <c r="AR9" s="19"/>
      <c r="AS9" s="20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</row>
    <row r="10" spans="1:57" ht="22.15" hidden="1" customHeight="1">
      <c r="A10"/>
      <c r="B10" s="6" t="s">
        <v>16</v>
      </c>
      <c r="C10" s="21" t="s">
        <v>14</v>
      </c>
      <c r="D10" s="22">
        <v>42.16</v>
      </c>
      <c r="E10" s="25">
        <v>45260</v>
      </c>
      <c r="F10" s="25">
        <v>45305</v>
      </c>
      <c r="G10" s="7">
        <f t="shared" si="0"/>
        <v>-1542.2222222222222</v>
      </c>
      <c r="H10" s="7">
        <f t="shared" si="1"/>
        <v>-694</v>
      </c>
      <c r="I10" s="21" t="s">
        <v>14</v>
      </c>
      <c r="J10" s="24">
        <v>42.16</v>
      </c>
      <c r="K10" s="25">
        <v>45260</v>
      </c>
      <c r="L10" s="25">
        <v>45305</v>
      </c>
      <c r="M10" s="7">
        <f t="shared" si="2"/>
        <v>-1542.2222222222222</v>
      </c>
      <c r="N10" s="7">
        <f t="shared" si="3"/>
        <v>-694</v>
      </c>
      <c r="O10" s="21" t="s">
        <v>14</v>
      </c>
      <c r="P10" s="24">
        <v>42.16</v>
      </c>
      <c r="Q10" s="25">
        <v>45260</v>
      </c>
      <c r="R10" s="25">
        <v>45305</v>
      </c>
      <c r="S10" s="7">
        <f t="shared" si="4"/>
        <v>-1542.2222222222222</v>
      </c>
      <c r="T10" s="7">
        <f t="shared" si="5"/>
        <v>-694</v>
      </c>
      <c r="U10" s="19"/>
      <c r="V10" s="21" t="s">
        <v>14</v>
      </c>
      <c r="W10" s="24">
        <v>42.16</v>
      </c>
      <c r="X10" s="25">
        <v>45260</v>
      </c>
      <c r="Y10" s="25">
        <v>45305</v>
      </c>
      <c r="Z10" s="7">
        <f t="shared" si="6"/>
        <v>-1542.2222222222222</v>
      </c>
      <c r="AA10" s="7"/>
      <c r="AB10" s="19"/>
      <c r="AC10" s="20"/>
      <c r="AD10" s="21" t="s">
        <v>14</v>
      </c>
      <c r="AE10" s="24">
        <v>42.16</v>
      </c>
      <c r="AF10" s="25">
        <v>45260</v>
      </c>
      <c r="AG10" s="25">
        <v>45305</v>
      </c>
      <c r="AH10" s="7">
        <f t="shared" si="7"/>
        <v>-1542.2222222222222</v>
      </c>
      <c r="AI10" s="7"/>
      <c r="AJ10" s="19"/>
      <c r="AK10" s="20"/>
      <c r="AL10" s="21" t="s">
        <v>14</v>
      </c>
      <c r="AM10" s="24">
        <v>42.16</v>
      </c>
      <c r="AN10" s="25">
        <v>45260</v>
      </c>
      <c r="AO10" s="25">
        <v>45305</v>
      </c>
      <c r="AP10" s="7">
        <f t="shared" si="8"/>
        <v>-1542.2222222222222</v>
      </c>
      <c r="AQ10" s="7"/>
      <c r="AR10" s="19"/>
      <c r="AS10" s="20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</row>
    <row r="11" spans="1:57" ht="22.15" hidden="1" customHeight="1">
      <c r="A11"/>
      <c r="B11" s="6" t="s">
        <v>17</v>
      </c>
      <c r="C11" s="21" t="s">
        <v>14</v>
      </c>
      <c r="D11" s="22">
        <v>205.58</v>
      </c>
      <c r="E11" s="25">
        <v>45276</v>
      </c>
      <c r="F11" s="25">
        <v>45306</v>
      </c>
      <c r="G11" s="7">
        <f t="shared" si="0"/>
        <v>-2310</v>
      </c>
      <c r="H11" s="7">
        <f t="shared" si="1"/>
        <v>-693</v>
      </c>
      <c r="I11" s="21" t="s">
        <v>14</v>
      </c>
      <c r="J11" s="24">
        <v>205.58</v>
      </c>
      <c r="K11" s="25">
        <v>45276</v>
      </c>
      <c r="L11" s="25">
        <v>45306</v>
      </c>
      <c r="M11" s="7">
        <f t="shared" si="2"/>
        <v>-2310</v>
      </c>
      <c r="N11" s="7">
        <f t="shared" si="3"/>
        <v>-693</v>
      </c>
      <c r="O11" s="21" t="s">
        <v>14</v>
      </c>
      <c r="P11" s="24">
        <v>205.58</v>
      </c>
      <c r="Q11" s="25">
        <v>45276</v>
      </c>
      <c r="R11" s="25">
        <v>45306</v>
      </c>
      <c r="S11" s="7">
        <f t="shared" si="4"/>
        <v>-2310</v>
      </c>
      <c r="T11" s="7">
        <f t="shared" si="5"/>
        <v>-693</v>
      </c>
      <c r="U11" s="19"/>
      <c r="V11" s="21" t="s">
        <v>14</v>
      </c>
      <c r="W11" s="24">
        <v>205.58</v>
      </c>
      <c r="X11" s="25">
        <v>45276</v>
      </c>
      <c r="Y11" s="25">
        <v>45306</v>
      </c>
      <c r="Z11" s="7">
        <f t="shared" si="6"/>
        <v>-2310</v>
      </c>
      <c r="AA11" s="7"/>
      <c r="AB11" s="19"/>
      <c r="AC11" s="20"/>
      <c r="AD11" s="21" t="s">
        <v>14</v>
      </c>
      <c r="AE11" s="24">
        <v>205.58</v>
      </c>
      <c r="AF11" s="25">
        <v>45276</v>
      </c>
      <c r="AG11" s="25">
        <v>45306</v>
      </c>
      <c r="AH11" s="7">
        <f t="shared" si="7"/>
        <v>-2310</v>
      </c>
      <c r="AI11" s="7"/>
      <c r="AJ11" s="19"/>
      <c r="AK11" s="20"/>
      <c r="AL11" s="21" t="s">
        <v>14</v>
      </c>
      <c r="AM11" s="24">
        <v>205.58</v>
      </c>
      <c r="AN11" s="25">
        <v>45276</v>
      </c>
      <c r="AO11" s="25">
        <v>45306</v>
      </c>
      <c r="AP11" s="7">
        <f t="shared" si="8"/>
        <v>-2310</v>
      </c>
      <c r="AQ11" s="7"/>
      <c r="AR11" s="19"/>
      <c r="AS11" s="20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</row>
    <row r="12" spans="1:57" ht="22.15" hidden="1" customHeight="1">
      <c r="A12"/>
      <c r="B12" s="6" t="s">
        <v>18</v>
      </c>
      <c r="C12" s="21" t="s">
        <v>14</v>
      </c>
      <c r="D12" s="22">
        <v>12</v>
      </c>
      <c r="E12" s="25">
        <v>45256</v>
      </c>
      <c r="F12" s="25">
        <v>45306</v>
      </c>
      <c r="G12" s="7">
        <f t="shared" si="0"/>
        <v>-1386</v>
      </c>
      <c r="H12" s="7">
        <f t="shared" si="1"/>
        <v>-693</v>
      </c>
      <c r="I12" s="21" t="s">
        <v>14</v>
      </c>
      <c r="J12" s="24">
        <v>12</v>
      </c>
      <c r="K12" s="25">
        <v>45256</v>
      </c>
      <c r="L12" s="25">
        <v>45306</v>
      </c>
      <c r="M12" s="7">
        <f t="shared" si="2"/>
        <v>-1386</v>
      </c>
      <c r="N12" s="7">
        <f t="shared" si="3"/>
        <v>-693</v>
      </c>
      <c r="O12" s="21" t="s">
        <v>14</v>
      </c>
      <c r="P12" s="24">
        <v>12</v>
      </c>
      <c r="Q12" s="25">
        <v>45256</v>
      </c>
      <c r="R12" s="25">
        <v>45306</v>
      </c>
      <c r="S12" s="7">
        <f t="shared" si="4"/>
        <v>-1386</v>
      </c>
      <c r="T12" s="7">
        <f t="shared" si="5"/>
        <v>-693</v>
      </c>
      <c r="U12" s="19"/>
      <c r="V12" s="21" t="s">
        <v>14</v>
      </c>
      <c r="W12" s="24">
        <v>12</v>
      </c>
      <c r="X12" s="25">
        <v>45256</v>
      </c>
      <c r="Y12" s="25">
        <v>45306</v>
      </c>
      <c r="Z12" s="7">
        <f t="shared" si="6"/>
        <v>-1386</v>
      </c>
      <c r="AA12" s="7"/>
      <c r="AB12" s="19"/>
      <c r="AC12" s="20"/>
      <c r="AD12" s="21" t="s">
        <v>14</v>
      </c>
      <c r="AE12" s="24">
        <v>12</v>
      </c>
      <c r="AF12" s="25">
        <v>45256</v>
      </c>
      <c r="AG12" s="25">
        <v>45306</v>
      </c>
      <c r="AH12" s="7">
        <f t="shared" si="7"/>
        <v>-1386</v>
      </c>
      <c r="AI12" s="7"/>
      <c r="AJ12" s="19"/>
      <c r="AK12" s="20"/>
      <c r="AL12" s="21" t="s">
        <v>14</v>
      </c>
      <c r="AM12" s="24">
        <v>12</v>
      </c>
      <c r="AN12" s="25">
        <v>45256</v>
      </c>
      <c r="AO12" s="25">
        <v>45306</v>
      </c>
      <c r="AP12" s="7">
        <f t="shared" si="8"/>
        <v>-1386</v>
      </c>
      <c r="AQ12" s="7"/>
      <c r="AR12" s="19"/>
      <c r="AS12" s="20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</row>
    <row r="13" spans="1:57" ht="22.15" hidden="1" customHeight="1">
      <c r="A13"/>
      <c r="B13" s="6" t="s">
        <v>19</v>
      </c>
      <c r="C13" s="21" t="s">
        <v>14</v>
      </c>
      <c r="D13" s="22">
        <v>89.266999999999996</v>
      </c>
      <c r="E13" s="25">
        <v>45276</v>
      </c>
      <c r="F13" s="25">
        <v>45306</v>
      </c>
      <c r="G13" s="7">
        <f t="shared" si="0"/>
        <v>-2310</v>
      </c>
      <c r="H13" s="7">
        <f t="shared" si="1"/>
        <v>-693</v>
      </c>
      <c r="I13" s="21" t="s">
        <v>14</v>
      </c>
      <c r="J13" s="24">
        <v>89.266999999999996</v>
      </c>
      <c r="K13" s="25">
        <v>45276</v>
      </c>
      <c r="L13" s="25">
        <v>45306</v>
      </c>
      <c r="M13" s="7">
        <f t="shared" si="2"/>
        <v>-2310</v>
      </c>
      <c r="N13" s="7">
        <f t="shared" si="3"/>
        <v>-693</v>
      </c>
      <c r="O13" s="21" t="s">
        <v>14</v>
      </c>
      <c r="P13" s="24">
        <v>89.266999999999996</v>
      </c>
      <c r="Q13" s="25">
        <v>45276</v>
      </c>
      <c r="R13" s="25">
        <v>45306</v>
      </c>
      <c r="S13" s="7">
        <f t="shared" si="4"/>
        <v>-2310</v>
      </c>
      <c r="T13" s="7">
        <f t="shared" si="5"/>
        <v>-693</v>
      </c>
      <c r="U13" s="19"/>
      <c r="V13" s="21" t="s">
        <v>14</v>
      </c>
      <c r="W13" s="24">
        <v>89.266999999999996</v>
      </c>
      <c r="X13" s="25">
        <v>45276</v>
      </c>
      <c r="Y13" s="25">
        <v>45306</v>
      </c>
      <c r="Z13" s="7">
        <f t="shared" si="6"/>
        <v>-2310</v>
      </c>
      <c r="AA13" s="7"/>
      <c r="AB13" s="19"/>
      <c r="AC13" s="20"/>
      <c r="AD13" s="21" t="s">
        <v>14</v>
      </c>
      <c r="AE13" s="24">
        <v>89.266999999999996</v>
      </c>
      <c r="AF13" s="25">
        <v>45276</v>
      </c>
      <c r="AG13" s="25">
        <v>45306</v>
      </c>
      <c r="AH13" s="7">
        <f t="shared" si="7"/>
        <v>-2310</v>
      </c>
      <c r="AI13" s="7"/>
      <c r="AJ13" s="19"/>
      <c r="AK13" s="20"/>
      <c r="AL13" s="21" t="s">
        <v>14</v>
      </c>
      <c r="AM13" s="24">
        <v>89.266999999999996</v>
      </c>
      <c r="AN13" s="25">
        <v>45276</v>
      </c>
      <c r="AO13" s="25">
        <v>45306</v>
      </c>
      <c r="AP13" s="7">
        <f t="shared" si="8"/>
        <v>-2310</v>
      </c>
      <c r="AQ13" s="7"/>
      <c r="AR13" s="19"/>
      <c r="AS13" s="20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</row>
    <row r="14" spans="1:57" ht="22.15" hidden="1" customHeight="1">
      <c r="A14"/>
      <c r="B14" s="6" t="s">
        <v>20</v>
      </c>
      <c r="C14" s="21" t="s">
        <v>14</v>
      </c>
      <c r="D14" s="22">
        <v>57.1</v>
      </c>
      <c r="E14" s="25">
        <v>45229</v>
      </c>
      <c r="F14" s="25">
        <v>45306</v>
      </c>
      <c r="G14" s="7">
        <f t="shared" si="0"/>
        <v>-900</v>
      </c>
      <c r="H14" s="7">
        <f t="shared" si="1"/>
        <v>-693</v>
      </c>
      <c r="I14" s="21" t="s">
        <v>14</v>
      </c>
      <c r="J14" s="24">
        <v>57.1</v>
      </c>
      <c r="K14" s="25">
        <v>45229</v>
      </c>
      <c r="L14" s="25">
        <v>45306</v>
      </c>
      <c r="M14" s="7">
        <f t="shared" si="2"/>
        <v>-900</v>
      </c>
      <c r="N14" s="7">
        <f t="shared" si="3"/>
        <v>-693</v>
      </c>
      <c r="O14" s="21" t="s">
        <v>14</v>
      </c>
      <c r="P14" s="24">
        <v>57.1</v>
      </c>
      <c r="Q14" s="25">
        <v>45229</v>
      </c>
      <c r="R14" s="25">
        <v>45306</v>
      </c>
      <c r="S14" s="7">
        <f t="shared" si="4"/>
        <v>-900</v>
      </c>
      <c r="T14" s="7">
        <f t="shared" si="5"/>
        <v>-693</v>
      </c>
      <c r="U14" s="19" t="s">
        <v>21</v>
      </c>
      <c r="V14" s="21" t="s">
        <v>14</v>
      </c>
      <c r="W14" s="24">
        <v>57.1</v>
      </c>
      <c r="X14" s="25">
        <v>45229</v>
      </c>
      <c r="Y14" s="25">
        <v>45306</v>
      </c>
      <c r="Z14" s="7">
        <f t="shared" si="6"/>
        <v>-900</v>
      </c>
      <c r="AA14" s="7"/>
      <c r="AB14" s="19" t="s">
        <v>21</v>
      </c>
      <c r="AC14" s="20"/>
      <c r="AD14" s="21" t="s">
        <v>14</v>
      </c>
      <c r="AE14" s="24">
        <v>57.1</v>
      </c>
      <c r="AF14" s="25">
        <v>45229</v>
      </c>
      <c r="AG14" s="25">
        <v>45306</v>
      </c>
      <c r="AH14" s="7">
        <f t="shared" si="7"/>
        <v>-900</v>
      </c>
      <c r="AI14" s="7"/>
      <c r="AJ14" s="19" t="s">
        <v>21</v>
      </c>
      <c r="AK14" s="20"/>
      <c r="AL14" s="21" t="s">
        <v>14</v>
      </c>
      <c r="AM14" s="24">
        <v>57.1</v>
      </c>
      <c r="AN14" s="25">
        <v>45229</v>
      </c>
      <c r="AO14" s="25">
        <v>45306</v>
      </c>
      <c r="AP14" s="7">
        <f t="shared" si="8"/>
        <v>-900</v>
      </c>
      <c r="AQ14" s="7"/>
      <c r="AR14" s="19" t="s">
        <v>21</v>
      </c>
      <c r="AS14" s="20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</row>
    <row r="15" spans="1:57" ht="22.15" hidden="1" customHeight="1">
      <c r="A15"/>
      <c r="B15" s="6" t="s">
        <v>22</v>
      </c>
      <c r="C15" s="21" t="s">
        <v>14</v>
      </c>
      <c r="D15" s="22">
        <v>159.1</v>
      </c>
      <c r="E15" s="25">
        <v>45262</v>
      </c>
      <c r="F15" s="25">
        <v>45307</v>
      </c>
      <c r="G15" s="7">
        <f t="shared" si="0"/>
        <v>-1537.7777777777778</v>
      </c>
      <c r="H15" s="7">
        <f t="shared" si="1"/>
        <v>-692</v>
      </c>
      <c r="I15" s="21" t="s">
        <v>14</v>
      </c>
      <c r="J15" s="24">
        <v>159.1</v>
      </c>
      <c r="K15" s="25">
        <v>45262</v>
      </c>
      <c r="L15" s="25">
        <v>45307</v>
      </c>
      <c r="M15" s="7">
        <f t="shared" si="2"/>
        <v>-1537.7777777777778</v>
      </c>
      <c r="N15" s="7">
        <f t="shared" si="3"/>
        <v>-692</v>
      </c>
      <c r="O15" s="21" t="s">
        <v>14</v>
      </c>
      <c r="P15" s="24">
        <v>159.1</v>
      </c>
      <c r="Q15" s="25">
        <v>45262</v>
      </c>
      <c r="R15" s="25">
        <v>45307</v>
      </c>
      <c r="S15" s="7">
        <f t="shared" si="4"/>
        <v>-1537.7777777777778</v>
      </c>
      <c r="T15" s="7">
        <f t="shared" si="5"/>
        <v>-692</v>
      </c>
      <c r="U15" s="19"/>
      <c r="V15" s="21" t="s">
        <v>14</v>
      </c>
      <c r="W15" s="24">
        <v>159.1</v>
      </c>
      <c r="X15" s="25">
        <v>45262</v>
      </c>
      <c r="Y15" s="25">
        <v>45307</v>
      </c>
      <c r="Z15" s="7">
        <f t="shared" si="6"/>
        <v>-1537.7777777777778</v>
      </c>
      <c r="AA15" s="7"/>
      <c r="AB15" s="19"/>
      <c r="AC15" s="20"/>
      <c r="AD15" s="21" t="s">
        <v>14</v>
      </c>
      <c r="AE15" s="24">
        <v>159.1</v>
      </c>
      <c r="AF15" s="25">
        <v>45262</v>
      </c>
      <c r="AG15" s="25">
        <v>45307</v>
      </c>
      <c r="AH15" s="7">
        <f t="shared" si="7"/>
        <v>-1537.7777777777778</v>
      </c>
      <c r="AI15" s="7"/>
      <c r="AJ15" s="19"/>
      <c r="AK15" s="20"/>
      <c r="AL15" s="21" t="s">
        <v>14</v>
      </c>
      <c r="AM15" s="24">
        <v>159.1</v>
      </c>
      <c r="AN15" s="25">
        <v>45262</v>
      </c>
      <c r="AO15" s="25">
        <v>45307</v>
      </c>
      <c r="AP15" s="7">
        <f t="shared" si="8"/>
        <v>-1537.7777777777778</v>
      </c>
      <c r="AQ15" s="7"/>
      <c r="AR15" s="19"/>
      <c r="AS15" s="20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</row>
    <row r="16" spans="1:57" ht="22.15" hidden="1" customHeight="1">
      <c r="A16"/>
      <c r="B16" s="6" t="s">
        <v>23</v>
      </c>
      <c r="C16" s="21" t="s">
        <v>14</v>
      </c>
      <c r="D16" s="22">
        <v>218.5</v>
      </c>
      <c r="E16" s="25">
        <v>45277</v>
      </c>
      <c r="F16" s="25">
        <v>45307</v>
      </c>
      <c r="G16" s="7">
        <f t="shared" si="0"/>
        <v>-2306.6666666666665</v>
      </c>
      <c r="H16" s="7">
        <f t="shared" si="1"/>
        <v>-692</v>
      </c>
      <c r="I16" s="21" t="s">
        <v>14</v>
      </c>
      <c r="J16" s="24">
        <v>218.5</v>
      </c>
      <c r="K16" s="25">
        <v>45277</v>
      </c>
      <c r="L16" s="25">
        <v>45307</v>
      </c>
      <c r="M16" s="7">
        <f t="shared" si="2"/>
        <v>-2306.6666666666665</v>
      </c>
      <c r="N16" s="7">
        <f t="shared" si="3"/>
        <v>-692</v>
      </c>
      <c r="O16" s="21" t="s">
        <v>14</v>
      </c>
      <c r="P16" s="24">
        <v>218.5</v>
      </c>
      <c r="Q16" s="25">
        <v>45277</v>
      </c>
      <c r="R16" s="25">
        <v>45307</v>
      </c>
      <c r="S16" s="7">
        <f t="shared" si="4"/>
        <v>-2306.6666666666665</v>
      </c>
      <c r="T16" s="7">
        <f t="shared" si="5"/>
        <v>-692</v>
      </c>
      <c r="U16" s="19"/>
      <c r="V16" s="21" t="s">
        <v>14</v>
      </c>
      <c r="W16" s="24">
        <v>218.5</v>
      </c>
      <c r="X16" s="25">
        <v>45277</v>
      </c>
      <c r="Y16" s="25">
        <v>45307</v>
      </c>
      <c r="Z16" s="7">
        <f t="shared" si="6"/>
        <v>-2306.6666666666665</v>
      </c>
      <c r="AA16" s="7"/>
      <c r="AB16" s="19"/>
      <c r="AC16" s="20"/>
      <c r="AD16" s="21" t="s">
        <v>14</v>
      </c>
      <c r="AE16" s="24">
        <v>218.5</v>
      </c>
      <c r="AF16" s="25">
        <v>45277</v>
      </c>
      <c r="AG16" s="25">
        <v>45307</v>
      </c>
      <c r="AH16" s="7">
        <f t="shared" si="7"/>
        <v>-2306.6666666666665</v>
      </c>
      <c r="AI16" s="7"/>
      <c r="AJ16" s="19"/>
      <c r="AK16" s="20"/>
      <c r="AL16" s="21" t="s">
        <v>14</v>
      </c>
      <c r="AM16" s="24">
        <v>218.5</v>
      </c>
      <c r="AN16" s="25">
        <v>45277</v>
      </c>
      <c r="AO16" s="25">
        <v>45307</v>
      </c>
      <c r="AP16" s="7">
        <f t="shared" si="8"/>
        <v>-2306.6666666666665</v>
      </c>
      <c r="AQ16" s="7"/>
      <c r="AR16" s="19"/>
      <c r="AS16" s="20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</row>
    <row r="17" spans="1:57" ht="22.15" hidden="1" customHeight="1">
      <c r="A17"/>
      <c r="B17" s="6" t="s">
        <v>24</v>
      </c>
      <c r="C17" s="21" t="s">
        <v>14</v>
      </c>
      <c r="D17" s="22">
        <v>187.7</v>
      </c>
      <c r="E17" s="25">
        <v>45267</v>
      </c>
      <c r="F17" s="25">
        <v>45307</v>
      </c>
      <c r="G17" s="7">
        <f t="shared" si="0"/>
        <v>-1730</v>
      </c>
      <c r="H17" s="7">
        <f t="shared" si="1"/>
        <v>-692</v>
      </c>
      <c r="I17" s="21" t="s">
        <v>14</v>
      </c>
      <c r="J17" s="24">
        <v>187.7</v>
      </c>
      <c r="K17" s="25">
        <v>45267</v>
      </c>
      <c r="L17" s="25">
        <v>45307</v>
      </c>
      <c r="M17" s="7">
        <f t="shared" si="2"/>
        <v>-1730</v>
      </c>
      <c r="N17" s="7">
        <f t="shared" si="3"/>
        <v>-692</v>
      </c>
      <c r="O17" s="21" t="s">
        <v>14</v>
      </c>
      <c r="P17" s="24">
        <v>187.7</v>
      </c>
      <c r="Q17" s="25">
        <v>45267</v>
      </c>
      <c r="R17" s="25">
        <v>45307</v>
      </c>
      <c r="S17" s="7">
        <f t="shared" si="4"/>
        <v>-1730</v>
      </c>
      <c r="T17" s="7">
        <f t="shared" si="5"/>
        <v>-692</v>
      </c>
      <c r="U17" s="19"/>
      <c r="V17" s="21" t="s">
        <v>14</v>
      </c>
      <c r="W17" s="24">
        <v>187.7</v>
      </c>
      <c r="X17" s="25">
        <v>45267</v>
      </c>
      <c r="Y17" s="25">
        <v>45307</v>
      </c>
      <c r="Z17" s="7">
        <f t="shared" si="6"/>
        <v>-1730</v>
      </c>
      <c r="AA17" s="7"/>
      <c r="AB17" s="19"/>
      <c r="AC17" s="20"/>
      <c r="AD17" s="21" t="s">
        <v>14</v>
      </c>
      <c r="AE17" s="24">
        <v>187.7</v>
      </c>
      <c r="AF17" s="25">
        <v>45267</v>
      </c>
      <c r="AG17" s="25">
        <v>45307</v>
      </c>
      <c r="AH17" s="7">
        <f t="shared" si="7"/>
        <v>-1730</v>
      </c>
      <c r="AI17" s="7"/>
      <c r="AJ17" s="19"/>
      <c r="AK17" s="20"/>
      <c r="AL17" s="21" t="s">
        <v>14</v>
      </c>
      <c r="AM17" s="24">
        <v>187.7</v>
      </c>
      <c r="AN17" s="25">
        <v>45267</v>
      </c>
      <c r="AO17" s="25">
        <v>45307</v>
      </c>
      <c r="AP17" s="7">
        <f t="shared" si="8"/>
        <v>-1730</v>
      </c>
      <c r="AQ17" s="7"/>
      <c r="AR17" s="19"/>
      <c r="AS17" s="20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</row>
    <row r="18" spans="1:57" ht="22.15" hidden="1" customHeight="1">
      <c r="A18"/>
      <c r="B18" s="6" t="s">
        <v>25</v>
      </c>
      <c r="C18" s="21" t="s">
        <v>8</v>
      </c>
      <c r="D18" s="22">
        <v>77</v>
      </c>
      <c r="E18" s="25">
        <v>45268</v>
      </c>
      <c r="F18" s="25">
        <v>45308</v>
      </c>
      <c r="G18" s="7">
        <f t="shared" si="0"/>
        <v>-1727.4999999999998</v>
      </c>
      <c r="H18" s="7">
        <f t="shared" si="1"/>
        <v>-691</v>
      </c>
      <c r="I18" s="21" t="s">
        <v>8</v>
      </c>
      <c r="J18" s="24">
        <v>77</v>
      </c>
      <c r="K18" s="25">
        <v>45268</v>
      </c>
      <c r="L18" s="25">
        <v>45308</v>
      </c>
      <c r="M18" s="7">
        <f t="shared" si="2"/>
        <v>-1727.4999999999998</v>
      </c>
      <c r="N18" s="7">
        <f t="shared" si="3"/>
        <v>-691</v>
      </c>
      <c r="O18" s="21" t="s">
        <v>8</v>
      </c>
      <c r="P18" s="24">
        <v>77</v>
      </c>
      <c r="Q18" s="25">
        <v>45268</v>
      </c>
      <c r="R18" s="25">
        <v>45308</v>
      </c>
      <c r="S18" s="7">
        <f t="shared" si="4"/>
        <v>-1727.4999999999998</v>
      </c>
      <c r="T18" s="7">
        <f t="shared" si="5"/>
        <v>-691</v>
      </c>
      <c r="U18" s="19"/>
      <c r="V18" s="21" t="s">
        <v>8</v>
      </c>
      <c r="W18" s="24">
        <v>77</v>
      </c>
      <c r="X18" s="25">
        <v>45268</v>
      </c>
      <c r="Y18" s="25">
        <v>45308</v>
      </c>
      <c r="Z18" s="7">
        <f t="shared" si="6"/>
        <v>-1727.4999999999998</v>
      </c>
      <c r="AA18" s="7"/>
      <c r="AB18" s="19"/>
      <c r="AC18" s="20"/>
      <c r="AD18" s="21" t="s">
        <v>8</v>
      </c>
      <c r="AE18" s="24">
        <v>77</v>
      </c>
      <c r="AF18" s="25">
        <v>45268</v>
      </c>
      <c r="AG18" s="25">
        <v>45308</v>
      </c>
      <c r="AH18" s="7">
        <f t="shared" si="7"/>
        <v>-1727.4999999999998</v>
      </c>
      <c r="AI18" s="7"/>
      <c r="AJ18" s="19"/>
      <c r="AK18" s="20"/>
      <c r="AL18" s="21" t="s">
        <v>8</v>
      </c>
      <c r="AM18" s="24">
        <v>77</v>
      </c>
      <c r="AN18" s="25">
        <v>45268</v>
      </c>
      <c r="AO18" s="25">
        <v>45308</v>
      </c>
      <c r="AP18" s="7">
        <f t="shared" si="8"/>
        <v>-1727.4999999999998</v>
      </c>
      <c r="AQ18" s="7"/>
      <c r="AR18" s="19"/>
      <c r="AS18" s="20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</row>
    <row r="19" spans="1:57" ht="22.15" hidden="1" customHeight="1">
      <c r="A19"/>
      <c r="B19" s="6" t="s">
        <v>26</v>
      </c>
      <c r="C19" s="21" t="s">
        <v>8</v>
      </c>
      <c r="D19" s="22">
        <v>241</v>
      </c>
      <c r="E19" s="25">
        <v>45268</v>
      </c>
      <c r="F19" s="25">
        <v>45308</v>
      </c>
      <c r="G19" s="7">
        <f t="shared" si="0"/>
        <v>-1727.4999999999998</v>
      </c>
      <c r="H19" s="7">
        <f t="shared" si="1"/>
        <v>-691</v>
      </c>
      <c r="I19" s="21" t="s">
        <v>8</v>
      </c>
      <c r="J19" s="24">
        <v>241</v>
      </c>
      <c r="K19" s="25">
        <v>45268</v>
      </c>
      <c r="L19" s="25">
        <v>45308</v>
      </c>
      <c r="M19" s="7">
        <f t="shared" si="2"/>
        <v>-1727.4999999999998</v>
      </c>
      <c r="N19" s="7">
        <f t="shared" si="3"/>
        <v>-691</v>
      </c>
      <c r="O19" s="21" t="s">
        <v>8</v>
      </c>
      <c r="P19" s="24">
        <v>241</v>
      </c>
      <c r="Q19" s="25">
        <v>45268</v>
      </c>
      <c r="R19" s="25">
        <v>45308</v>
      </c>
      <c r="S19" s="7">
        <f t="shared" si="4"/>
        <v>-1727.4999999999998</v>
      </c>
      <c r="T19" s="7">
        <f t="shared" si="5"/>
        <v>-691</v>
      </c>
      <c r="U19" s="19"/>
      <c r="V19" s="21" t="s">
        <v>8</v>
      </c>
      <c r="W19" s="24">
        <v>241</v>
      </c>
      <c r="X19" s="25">
        <v>45268</v>
      </c>
      <c r="Y19" s="25">
        <v>45308</v>
      </c>
      <c r="Z19" s="7">
        <f t="shared" si="6"/>
        <v>-1727.4999999999998</v>
      </c>
      <c r="AA19" s="7"/>
      <c r="AB19" s="19"/>
      <c r="AC19" s="20"/>
      <c r="AD19" s="21" t="s">
        <v>8</v>
      </c>
      <c r="AE19" s="24">
        <v>241</v>
      </c>
      <c r="AF19" s="25">
        <v>45268</v>
      </c>
      <c r="AG19" s="25">
        <v>45308</v>
      </c>
      <c r="AH19" s="7">
        <f t="shared" si="7"/>
        <v>-1727.4999999999998</v>
      </c>
      <c r="AI19" s="7"/>
      <c r="AJ19" s="19"/>
      <c r="AK19" s="20"/>
      <c r="AL19" s="21" t="s">
        <v>8</v>
      </c>
      <c r="AM19" s="24">
        <v>241</v>
      </c>
      <c r="AN19" s="25">
        <v>45268</v>
      </c>
      <c r="AO19" s="25">
        <v>45308</v>
      </c>
      <c r="AP19" s="7">
        <f t="shared" si="8"/>
        <v>-1727.4999999999998</v>
      </c>
      <c r="AQ19" s="7"/>
      <c r="AR19" s="19"/>
      <c r="AS19" s="20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</row>
    <row r="20" spans="1:57" ht="22.15" hidden="1" customHeight="1">
      <c r="A20"/>
      <c r="B20" s="6" t="s">
        <v>27</v>
      </c>
      <c r="C20" s="21" t="s">
        <v>8</v>
      </c>
      <c r="D20" s="22">
        <v>354</v>
      </c>
      <c r="E20" s="25">
        <v>45268</v>
      </c>
      <c r="F20" s="25">
        <v>45308</v>
      </c>
      <c r="G20" s="7">
        <f t="shared" si="0"/>
        <v>-1727.4999999999998</v>
      </c>
      <c r="H20" s="7">
        <f t="shared" si="1"/>
        <v>-691</v>
      </c>
      <c r="I20" s="21" t="s">
        <v>8</v>
      </c>
      <c r="J20" s="24">
        <v>354</v>
      </c>
      <c r="K20" s="25">
        <v>45268</v>
      </c>
      <c r="L20" s="25">
        <v>45308</v>
      </c>
      <c r="M20" s="7">
        <f t="shared" si="2"/>
        <v>-1727.4999999999998</v>
      </c>
      <c r="N20" s="7">
        <f t="shared" si="3"/>
        <v>-691</v>
      </c>
      <c r="O20" s="21" t="s">
        <v>8</v>
      </c>
      <c r="P20" s="24">
        <v>354</v>
      </c>
      <c r="Q20" s="25">
        <v>45268</v>
      </c>
      <c r="R20" s="25">
        <v>45308</v>
      </c>
      <c r="S20" s="7">
        <f t="shared" si="4"/>
        <v>-1727.4999999999998</v>
      </c>
      <c r="T20" s="7">
        <f t="shared" si="5"/>
        <v>-691</v>
      </c>
      <c r="U20" s="19"/>
      <c r="V20" s="21" t="s">
        <v>8</v>
      </c>
      <c r="W20" s="24">
        <v>354</v>
      </c>
      <c r="X20" s="25">
        <v>45268</v>
      </c>
      <c r="Y20" s="25">
        <v>45308</v>
      </c>
      <c r="Z20" s="7">
        <f t="shared" si="6"/>
        <v>-1727.4999999999998</v>
      </c>
      <c r="AA20" s="7"/>
      <c r="AB20" s="19"/>
      <c r="AC20" s="20"/>
      <c r="AD20" s="21" t="s">
        <v>8</v>
      </c>
      <c r="AE20" s="24">
        <v>354</v>
      </c>
      <c r="AF20" s="25">
        <v>45268</v>
      </c>
      <c r="AG20" s="25">
        <v>45308</v>
      </c>
      <c r="AH20" s="7">
        <f t="shared" si="7"/>
        <v>-1727.4999999999998</v>
      </c>
      <c r="AI20" s="7"/>
      <c r="AJ20" s="19"/>
      <c r="AK20" s="20"/>
      <c r="AL20" s="21" t="s">
        <v>8</v>
      </c>
      <c r="AM20" s="24">
        <v>354</v>
      </c>
      <c r="AN20" s="25">
        <v>45268</v>
      </c>
      <c r="AO20" s="25">
        <v>45308</v>
      </c>
      <c r="AP20" s="7">
        <f t="shared" si="8"/>
        <v>-1727.4999999999998</v>
      </c>
      <c r="AQ20" s="7"/>
      <c r="AR20" s="19"/>
      <c r="AS20" s="20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</row>
    <row r="21" spans="1:57" ht="22.15" hidden="1" customHeight="1">
      <c r="A21"/>
      <c r="B21" s="6" t="s">
        <v>28</v>
      </c>
      <c r="C21" s="21" t="s">
        <v>8</v>
      </c>
      <c r="D21" s="22">
        <v>3</v>
      </c>
      <c r="E21" s="25">
        <v>45270</v>
      </c>
      <c r="F21" s="25">
        <v>45310</v>
      </c>
      <c r="G21" s="7">
        <f t="shared" si="0"/>
        <v>-1722.5000000000002</v>
      </c>
      <c r="H21" s="7">
        <f t="shared" si="1"/>
        <v>-689</v>
      </c>
      <c r="I21" s="21" t="s">
        <v>8</v>
      </c>
      <c r="J21" s="24">
        <v>3</v>
      </c>
      <c r="K21" s="25">
        <v>45270</v>
      </c>
      <c r="L21" s="25">
        <v>45310</v>
      </c>
      <c r="M21" s="7">
        <f t="shared" si="2"/>
        <v>-1722.5000000000002</v>
      </c>
      <c r="N21" s="7">
        <f t="shared" si="3"/>
        <v>-689</v>
      </c>
      <c r="O21" s="21" t="s">
        <v>8</v>
      </c>
      <c r="P21" s="24">
        <v>3</v>
      </c>
      <c r="Q21" s="25">
        <v>45270</v>
      </c>
      <c r="R21" s="25">
        <v>45310</v>
      </c>
      <c r="S21" s="7">
        <f t="shared" si="4"/>
        <v>-1722.5000000000002</v>
      </c>
      <c r="T21" s="7">
        <f t="shared" si="5"/>
        <v>-689</v>
      </c>
      <c r="U21" s="19"/>
      <c r="V21" s="21" t="s">
        <v>8</v>
      </c>
      <c r="W21" s="24">
        <v>3</v>
      </c>
      <c r="X21" s="25">
        <v>45270</v>
      </c>
      <c r="Y21" s="25">
        <v>45310</v>
      </c>
      <c r="Z21" s="7">
        <f t="shared" si="6"/>
        <v>-1722.5000000000002</v>
      </c>
      <c r="AA21" s="7"/>
      <c r="AB21" s="19"/>
      <c r="AC21" s="20"/>
      <c r="AD21" s="21" t="s">
        <v>8</v>
      </c>
      <c r="AE21" s="24">
        <v>3</v>
      </c>
      <c r="AF21" s="25">
        <v>45270</v>
      </c>
      <c r="AG21" s="25">
        <v>45310</v>
      </c>
      <c r="AH21" s="7">
        <f t="shared" si="7"/>
        <v>-1722.5000000000002</v>
      </c>
      <c r="AI21" s="7"/>
      <c r="AJ21" s="19"/>
      <c r="AK21" s="20"/>
      <c r="AL21" s="21" t="s">
        <v>8</v>
      </c>
      <c r="AM21" s="24">
        <v>3</v>
      </c>
      <c r="AN21" s="25">
        <v>45270</v>
      </c>
      <c r="AO21" s="25">
        <v>45310</v>
      </c>
      <c r="AP21" s="7">
        <f t="shared" si="8"/>
        <v>-1722.5000000000002</v>
      </c>
      <c r="AQ21" s="7"/>
      <c r="AR21" s="19"/>
      <c r="AS21" s="20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</row>
    <row r="22" spans="1:57" ht="22.15" hidden="1" customHeight="1">
      <c r="A22"/>
      <c r="B22" s="6" t="s">
        <v>29</v>
      </c>
      <c r="C22" s="21" t="s">
        <v>8</v>
      </c>
      <c r="D22" s="22">
        <v>45</v>
      </c>
      <c r="E22" s="25">
        <v>45268</v>
      </c>
      <c r="F22" s="25">
        <v>45311</v>
      </c>
      <c r="G22" s="7">
        <f t="shared" si="0"/>
        <v>-1600</v>
      </c>
      <c r="H22" s="7">
        <f t="shared" si="1"/>
        <v>-688</v>
      </c>
      <c r="I22" s="21" t="s">
        <v>8</v>
      </c>
      <c r="J22" s="24">
        <v>45</v>
      </c>
      <c r="K22" s="25">
        <v>45268</v>
      </c>
      <c r="L22" s="25">
        <v>45311</v>
      </c>
      <c r="M22" s="7">
        <f t="shared" si="2"/>
        <v>-1600</v>
      </c>
      <c r="N22" s="7">
        <f t="shared" si="3"/>
        <v>-688</v>
      </c>
      <c r="O22" s="21" t="s">
        <v>8</v>
      </c>
      <c r="P22" s="24">
        <v>45</v>
      </c>
      <c r="Q22" s="25">
        <v>45268</v>
      </c>
      <c r="R22" s="25">
        <v>45311</v>
      </c>
      <c r="S22" s="7">
        <f t="shared" si="4"/>
        <v>-1600</v>
      </c>
      <c r="T22" s="7">
        <f t="shared" si="5"/>
        <v>-688</v>
      </c>
      <c r="U22" s="19"/>
      <c r="V22" s="21" t="s">
        <v>8</v>
      </c>
      <c r="W22" s="24">
        <v>45</v>
      </c>
      <c r="X22" s="25">
        <v>45268</v>
      </c>
      <c r="Y22" s="25">
        <v>45311</v>
      </c>
      <c r="Z22" s="7">
        <f t="shared" si="6"/>
        <v>-1600</v>
      </c>
      <c r="AA22" s="7"/>
      <c r="AB22" s="19"/>
      <c r="AC22" s="20"/>
      <c r="AD22" s="21" t="s">
        <v>8</v>
      </c>
      <c r="AE22" s="24">
        <v>45</v>
      </c>
      <c r="AF22" s="25">
        <v>45268</v>
      </c>
      <c r="AG22" s="25">
        <v>45311</v>
      </c>
      <c r="AH22" s="7">
        <f t="shared" si="7"/>
        <v>-1600</v>
      </c>
      <c r="AI22" s="7"/>
      <c r="AJ22" s="19"/>
      <c r="AK22" s="20"/>
      <c r="AL22" s="21" t="s">
        <v>8</v>
      </c>
      <c r="AM22" s="24">
        <v>45</v>
      </c>
      <c r="AN22" s="25">
        <v>45268</v>
      </c>
      <c r="AO22" s="25">
        <v>45311</v>
      </c>
      <c r="AP22" s="7">
        <f t="shared" si="8"/>
        <v>-1600</v>
      </c>
      <c r="AQ22" s="7"/>
      <c r="AR22" s="19"/>
      <c r="AS22" s="20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</row>
    <row r="23" spans="1:57" ht="22.15" hidden="1" customHeight="1">
      <c r="A23"/>
      <c r="B23" s="6" t="s">
        <v>30</v>
      </c>
      <c r="C23" s="21" t="s">
        <v>14</v>
      </c>
      <c r="D23" s="22">
        <v>97.5</v>
      </c>
      <c r="E23" s="25">
        <v>45268</v>
      </c>
      <c r="F23" s="25">
        <v>45311</v>
      </c>
      <c r="G23" s="7">
        <f t="shared" si="0"/>
        <v>-1600</v>
      </c>
      <c r="H23" s="7">
        <f t="shared" si="1"/>
        <v>-688</v>
      </c>
      <c r="I23" s="21" t="s">
        <v>14</v>
      </c>
      <c r="J23" s="24">
        <v>97.5</v>
      </c>
      <c r="K23" s="25">
        <v>45268</v>
      </c>
      <c r="L23" s="25">
        <v>45311</v>
      </c>
      <c r="M23" s="7">
        <f t="shared" si="2"/>
        <v>-1600</v>
      </c>
      <c r="N23" s="7">
        <f t="shared" si="3"/>
        <v>-688</v>
      </c>
      <c r="O23" s="21" t="s">
        <v>14</v>
      </c>
      <c r="P23" s="24">
        <v>97.5</v>
      </c>
      <c r="Q23" s="25">
        <v>45268</v>
      </c>
      <c r="R23" s="25">
        <v>45311</v>
      </c>
      <c r="S23" s="7">
        <f t="shared" si="4"/>
        <v>-1600</v>
      </c>
      <c r="T23" s="7">
        <f t="shared" si="5"/>
        <v>-688</v>
      </c>
      <c r="U23" s="19"/>
      <c r="V23" s="21" t="s">
        <v>14</v>
      </c>
      <c r="W23" s="24">
        <v>97.5</v>
      </c>
      <c r="X23" s="25">
        <v>45268</v>
      </c>
      <c r="Y23" s="25">
        <v>45311</v>
      </c>
      <c r="Z23" s="7">
        <f t="shared" si="6"/>
        <v>-1600</v>
      </c>
      <c r="AA23" s="7"/>
      <c r="AB23" s="19"/>
      <c r="AC23" s="20"/>
      <c r="AD23" s="21" t="s">
        <v>14</v>
      </c>
      <c r="AE23" s="24">
        <v>97.5</v>
      </c>
      <c r="AF23" s="25">
        <v>45268</v>
      </c>
      <c r="AG23" s="25">
        <v>45311</v>
      </c>
      <c r="AH23" s="7">
        <f t="shared" si="7"/>
        <v>-1600</v>
      </c>
      <c r="AI23" s="7"/>
      <c r="AJ23" s="19"/>
      <c r="AK23" s="20"/>
      <c r="AL23" s="21" t="s">
        <v>14</v>
      </c>
      <c r="AM23" s="24">
        <v>97.5</v>
      </c>
      <c r="AN23" s="25">
        <v>45268</v>
      </c>
      <c r="AO23" s="25">
        <v>45311</v>
      </c>
      <c r="AP23" s="7">
        <f t="shared" si="8"/>
        <v>-1600</v>
      </c>
      <c r="AQ23" s="7"/>
      <c r="AR23" s="19"/>
      <c r="AS23" s="20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</row>
    <row r="24" spans="1:57" ht="22.15" hidden="1" customHeight="1">
      <c r="A24"/>
      <c r="B24" s="6" t="s">
        <v>31</v>
      </c>
      <c r="C24" s="21" t="s">
        <v>14</v>
      </c>
      <c r="D24" s="22">
        <v>85.93</v>
      </c>
      <c r="E24" s="25">
        <v>45276</v>
      </c>
      <c r="F24" s="25">
        <v>45311</v>
      </c>
      <c r="G24" s="7">
        <f t="shared" si="0"/>
        <v>-1965.7142857142858</v>
      </c>
      <c r="H24" s="7">
        <f t="shared" si="1"/>
        <v>-688</v>
      </c>
      <c r="I24" s="21" t="s">
        <v>14</v>
      </c>
      <c r="J24" s="24">
        <v>85.93</v>
      </c>
      <c r="K24" s="25">
        <v>45276</v>
      </c>
      <c r="L24" s="25">
        <v>45311</v>
      </c>
      <c r="M24" s="7">
        <f t="shared" si="2"/>
        <v>-1965.7142857142858</v>
      </c>
      <c r="N24" s="7">
        <f t="shared" si="3"/>
        <v>-688</v>
      </c>
      <c r="O24" s="21" t="s">
        <v>14</v>
      </c>
      <c r="P24" s="24">
        <v>85.93</v>
      </c>
      <c r="Q24" s="25">
        <v>45276</v>
      </c>
      <c r="R24" s="25">
        <v>45311</v>
      </c>
      <c r="S24" s="7">
        <f t="shared" si="4"/>
        <v>-1965.7142857142858</v>
      </c>
      <c r="T24" s="7">
        <f t="shared" si="5"/>
        <v>-688</v>
      </c>
      <c r="U24" s="19"/>
      <c r="V24" s="21" t="s">
        <v>14</v>
      </c>
      <c r="W24" s="24">
        <v>85.93</v>
      </c>
      <c r="X24" s="25">
        <v>45276</v>
      </c>
      <c r="Y24" s="25">
        <v>45311</v>
      </c>
      <c r="Z24" s="7">
        <f t="shared" si="6"/>
        <v>-1965.7142857142858</v>
      </c>
      <c r="AA24" s="7"/>
      <c r="AB24" s="19"/>
      <c r="AC24" s="20"/>
      <c r="AD24" s="21" t="s">
        <v>14</v>
      </c>
      <c r="AE24" s="24">
        <v>85.93</v>
      </c>
      <c r="AF24" s="25">
        <v>45276</v>
      </c>
      <c r="AG24" s="25">
        <v>45311</v>
      </c>
      <c r="AH24" s="7">
        <f t="shared" si="7"/>
        <v>-1965.7142857142858</v>
      </c>
      <c r="AI24" s="7"/>
      <c r="AJ24" s="19"/>
      <c r="AK24" s="20"/>
      <c r="AL24" s="21" t="s">
        <v>14</v>
      </c>
      <c r="AM24" s="24">
        <v>85.93</v>
      </c>
      <c r="AN24" s="25">
        <v>45276</v>
      </c>
      <c r="AO24" s="25">
        <v>45311</v>
      </c>
      <c r="AP24" s="7">
        <f t="shared" si="8"/>
        <v>-1965.7142857142858</v>
      </c>
      <c r="AQ24" s="7"/>
      <c r="AR24" s="19"/>
      <c r="AS24" s="20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</row>
    <row r="25" spans="1:57" ht="22.15" hidden="1" customHeight="1">
      <c r="A25"/>
      <c r="B25" s="6" t="s">
        <v>32</v>
      </c>
      <c r="C25" s="21" t="s">
        <v>14</v>
      </c>
      <c r="D25" s="22">
        <v>216.8</v>
      </c>
      <c r="E25" s="25">
        <v>45267</v>
      </c>
      <c r="F25" s="25">
        <v>45312</v>
      </c>
      <c r="G25" s="7">
        <f t="shared" si="0"/>
        <v>-1526.6666666666667</v>
      </c>
      <c r="H25" s="7">
        <f t="shared" si="1"/>
        <v>-687</v>
      </c>
      <c r="I25" s="21" t="s">
        <v>14</v>
      </c>
      <c r="J25" s="24">
        <v>216.8</v>
      </c>
      <c r="K25" s="25">
        <v>45267</v>
      </c>
      <c r="L25" s="25">
        <v>45312</v>
      </c>
      <c r="M25" s="7">
        <f t="shared" si="2"/>
        <v>-1526.6666666666667</v>
      </c>
      <c r="N25" s="7">
        <f t="shared" si="3"/>
        <v>-687</v>
      </c>
      <c r="O25" s="21" t="s">
        <v>14</v>
      </c>
      <c r="P25" s="24">
        <v>216.8</v>
      </c>
      <c r="Q25" s="25">
        <v>45267</v>
      </c>
      <c r="R25" s="25">
        <v>45312</v>
      </c>
      <c r="S25" s="7">
        <f t="shared" si="4"/>
        <v>-1526.6666666666667</v>
      </c>
      <c r="T25" s="7">
        <f t="shared" si="5"/>
        <v>-687</v>
      </c>
      <c r="U25" s="19"/>
      <c r="V25" s="21" t="s">
        <v>14</v>
      </c>
      <c r="W25" s="24">
        <v>216.8</v>
      </c>
      <c r="X25" s="25">
        <v>45267</v>
      </c>
      <c r="Y25" s="25">
        <v>45312</v>
      </c>
      <c r="Z25" s="7">
        <f t="shared" si="6"/>
        <v>-1526.6666666666667</v>
      </c>
      <c r="AA25" s="7"/>
      <c r="AB25" s="19"/>
      <c r="AC25" s="20"/>
      <c r="AD25" s="21" t="s">
        <v>14</v>
      </c>
      <c r="AE25" s="24">
        <v>216.8</v>
      </c>
      <c r="AF25" s="25">
        <v>45267</v>
      </c>
      <c r="AG25" s="25">
        <v>45312</v>
      </c>
      <c r="AH25" s="7">
        <f t="shared" si="7"/>
        <v>-1526.6666666666667</v>
      </c>
      <c r="AI25" s="7"/>
      <c r="AJ25" s="19"/>
      <c r="AK25" s="20"/>
      <c r="AL25" s="21" t="s">
        <v>14</v>
      </c>
      <c r="AM25" s="24">
        <v>216.8</v>
      </c>
      <c r="AN25" s="25">
        <v>45267</v>
      </c>
      <c r="AO25" s="25">
        <v>45312</v>
      </c>
      <c r="AP25" s="7">
        <f t="shared" si="8"/>
        <v>-1526.6666666666667</v>
      </c>
      <c r="AQ25" s="7"/>
      <c r="AR25" s="19"/>
      <c r="AS25" s="20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</row>
    <row r="26" spans="1:57" ht="22.15" hidden="1" customHeight="1">
      <c r="A26"/>
      <c r="B26" s="6" t="s">
        <v>33</v>
      </c>
      <c r="C26" s="21" t="s">
        <v>14</v>
      </c>
      <c r="D26" s="22">
        <v>170.9</v>
      </c>
      <c r="E26" s="25">
        <v>45277</v>
      </c>
      <c r="F26" s="25">
        <v>45312</v>
      </c>
      <c r="G26" s="7">
        <f t="shared" si="0"/>
        <v>-1962.8571428571429</v>
      </c>
      <c r="H26" s="7">
        <f t="shared" si="1"/>
        <v>-687</v>
      </c>
      <c r="I26" s="21" t="s">
        <v>14</v>
      </c>
      <c r="J26" s="24">
        <v>170.9</v>
      </c>
      <c r="K26" s="25">
        <v>45277</v>
      </c>
      <c r="L26" s="25">
        <v>45312</v>
      </c>
      <c r="M26" s="7">
        <f t="shared" si="2"/>
        <v>-1962.8571428571429</v>
      </c>
      <c r="N26" s="7">
        <f t="shared" si="3"/>
        <v>-687</v>
      </c>
      <c r="O26" s="21" t="s">
        <v>14</v>
      </c>
      <c r="P26" s="24">
        <v>170.9</v>
      </c>
      <c r="Q26" s="25">
        <v>45277</v>
      </c>
      <c r="R26" s="25">
        <v>45312</v>
      </c>
      <c r="S26" s="7">
        <f t="shared" si="4"/>
        <v>-1962.8571428571429</v>
      </c>
      <c r="T26" s="7">
        <f t="shared" si="5"/>
        <v>-687</v>
      </c>
      <c r="U26" s="19"/>
      <c r="V26" s="21" t="s">
        <v>14</v>
      </c>
      <c r="W26" s="24">
        <v>170.9</v>
      </c>
      <c r="X26" s="25">
        <v>45277</v>
      </c>
      <c r="Y26" s="25">
        <v>45312</v>
      </c>
      <c r="Z26" s="7">
        <f t="shared" si="6"/>
        <v>-1962.8571428571429</v>
      </c>
      <c r="AA26" s="7"/>
      <c r="AB26" s="19"/>
      <c r="AC26" s="20"/>
      <c r="AD26" s="21" t="s">
        <v>14</v>
      </c>
      <c r="AE26" s="24">
        <v>170.9</v>
      </c>
      <c r="AF26" s="25">
        <v>45277</v>
      </c>
      <c r="AG26" s="25">
        <v>45312</v>
      </c>
      <c r="AH26" s="7">
        <f t="shared" si="7"/>
        <v>-1962.8571428571429</v>
      </c>
      <c r="AI26" s="7"/>
      <c r="AJ26" s="19"/>
      <c r="AK26" s="20"/>
      <c r="AL26" s="21" t="s">
        <v>14</v>
      </c>
      <c r="AM26" s="24">
        <v>170.9</v>
      </c>
      <c r="AN26" s="25">
        <v>45277</v>
      </c>
      <c r="AO26" s="25">
        <v>45312</v>
      </c>
      <c r="AP26" s="7">
        <f t="shared" si="8"/>
        <v>-1962.8571428571429</v>
      </c>
      <c r="AQ26" s="7"/>
      <c r="AR26" s="19"/>
      <c r="AS26" s="20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</row>
    <row r="27" spans="1:57" ht="22.15" hidden="1" customHeight="1">
      <c r="A27"/>
      <c r="B27" s="6" t="s">
        <v>34</v>
      </c>
      <c r="C27" s="21" t="s">
        <v>14</v>
      </c>
      <c r="D27" s="22">
        <v>159.9</v>
      </c>
      <c r="E27" s="25">
        <v>45277</v>
      </c>
      <c r="F27" s="25">
        <v>45312</v>
      </c>
      <c r="G27" s="7">
        <f t="shared" si="0"/>
        <v>-1962.8571428571429</v>
      </c>
      <c r="H27" s="7">
        <f t="shared" si="1"/>
        <v>-687</v>
      </c>
      <c r="I27" s="21" t="s">
        <v>14</v>
      </c>
      <c r="J27" s="24">
        <v>159.9</v>
      </c>
      <c r="K27" s="25">
        <v>45277</v>
      </c>
      <c r="L27" s="25">
        <v>45312</v>
      </c>
      <c r="M27" s="7">
        <f t="shared" si="2"/>
        <v>-1962.8571428571429</v>
      </c>
      <c r="N27" s="7">
        <f t="shared" si="3"/>
        <v>-687</v>
      </c>
      <c r="O27" s="21" t="s">
        <v>14</v>
      </c>
      <c r="P27" s="24">
        <v>159.9</v>
      </c>
      <c r="Q27" s="25">
        <v>45277</v>
      </c>
      <c r="R27" s="25">
        <v>45312</v>
      </c>
      <c r="S27" s="7">
        <f t="shared" si="4"/>
        <v>-1962.8571428571429</v>
      </c>
      <c r="T27" s="7">
        <f t="shared" si="5"/>
        <v>-687</v>
      </c>
      <c r="U27" s="19"/>
      <c r="V27" s="21" t="s">
        <v>14</v>
      </c>
      <c r="W27" s="24">
        <v>159.9</v>
      </c>
      <c r="X27" s="25">
        <v>45277</v>
      </c>
      <c r="Y27" s="25">
        <v>45312</v>
      </c>
      <c r="Z27" s="7">
        <f t="shared" si="6"/>
        <v>-1962.8571428571429</v>
      </c>
      <c r="AA27" s="7"/>
      <c r="AB27" s="19"/>
      <c r="AC27" s="20"/>
      <c r="AD27" s="21" t="s">
        <v>14</v>
      </c>
      <c r="AE27" s="24">
        <v>159.9</v>
      </c>
      <c r="AF27" s="25">
        <v>45277</v>
      </c>
      <c r="AG27" s="25">
        <v>45312</v>
      </c>
      <c r="AH27" s="7">
        <f t="shared" si="7"/>
        <v>-1962.8571428571429</v>
      </c>
      <c r="AI27" s="7"/>
      <c r="AJ27" s="19"/>
      <c r="AK27" s="20"/>
      <c r="AL27" s="21" t="s">
        <v>14</v>
      </c>
      <c r="AM27" s="24">
        <v>159.9</v>
      </c>
      <c r="AN27" s="25">
        <v>45277</v>
      </c>
      <c r="AO27" s="25">
        <v>45312</v>
      </c>
      <c r="AP27" s="7">
        <f t="shared" si="8"/>
        <v>-1962.8571428571429</v>
      </c>
      <c r="AQ27" s="7"/>
      <c r="AR27" s="19"/>
      <c r="AS27" s="20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</row>
    <row r="28" spans="1:57" ht="22.15" hidden="1" customHeight="1">
      <c r="A28"/>
      <c r="B28" s="6" t="s">
        <v>35</v>
      </c>
      <c r="C28" s="21" t="s">
        <v>14</v>
      </c>
      <c r="D28" s="22">
        <v>358.6</v>
      </c>
      <c r="E28" s="25">
        <v>45272</v>
      </c>
      <c r="F28" s="25">
        <v>45312</v>
      </c>
      <c r="G28" s="7">
        <f t="shared" si="0"/>
        <v>-1717.5</v>
      </c>
      <c r="H28" s="7">
        <f t="shared" si="1"/>
        <v>-687</v>
      </c>
      <c r="I28" s="21" t="s">
        <v>14</v>
      </c>
      <c r="J28" s="24">
        <v>358.6</v>
      </c>
      <c r="K28" s="25">
        <v>45272</v>
      </c>
      <c r="L28" s="25">
        <v>45312</v>
      </c>
      <c r="M28" s="7">
        <f t="shared" si="2"/>
        <v>-1717.5</v>
      </c>
      <c r="N28" s="7">
        <f t="shared" si="3"/>
        <v>-687</v>
      </c>
      <c r="O28" s="21" t="s">
        <v>14</v>
      </c>
      <c r="P28" s="24">
        <v>358.6</v>
      </c>
      <c r="Q28" s="25">
        <v>45272</v>
      </c>
      <c r="R28" s="25">
        <v>45312</v>
      </c>
      <c r="S28" s="7">
        <f t="shared" si="4"/>
        <v>-1717.5</v>
      </c>
      <c r="T28" s="7">
        <f t="shared" si="5"/>
        <v>-687</v>
      </c>
      <c r="U28" s="19"/>
      <c r="V28" s="21" t="s">
        <v>14</v>
      </c>
      <c r="W28" s="24">
        <v>358.6</v>
      </c>
      <c r="X28" s="25">
        <v>45272</v>
      </c>
      <c r="Y28" s="25">
        <v>45312</v>
      </c>
      <c r="Z28" s="7">
        <f t="shared" si="6"/>
        <v>-1717.5</v>
      </c>
      <c r="AA28" s="7"/>
      <c r="AB28" s="19"/>
      <c r="AC28" s="20"/>
      <c r="AD28" s="21" t="s">
        <v>14</v>
      </c>
      <c r="AE28" s="24">
        <v>358.6</v>
      </c>
      <c r="AF28" s="25">
        <v>45272</v>
      </c>
      <c r="AG28" s="25">
        <v>45312</v>
      </c>
      <c r="AH28" s="7">
        <f t="shared" si="7"/>
        <v>-1717.5</v>
      </c>
      <c r="AI28" s="7"/>
      <c r="AJ28" s="19"/>
      <c r="AK28" s="20"/>
      <c r="AL28" s="21" t="s">
        <v>14</v>
      </c>
      <c r="AM28" s="24">
        <v>358.6</v>
      </c>
      <c r="AN28" s="25">
        <v>45272</v>
      </c>
      <c r="AO28" s="25">
        <v>45312</v>
      </c>
      <c r="AP28" s="7">
        <f t="shared" si="8"/>
        <v>-1717.5</v>
      </c>
      <c r="AQ28" s="7"/>
      <c r="AR28" s="19"/>
      <c r="AS28" s="20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</row>
    <row r="29" spans="1:57" ht="22.15" hidden="1" customHeight="1">
      <c r="A29"/>
      <c r="B29" s="6" t="s">
        <v>36</v>
      </c>
      <c r="C29" s="21" t="s">
        <v>8</v>
      </c>
      <c r="D29" s="22">
        <v>94</v>
      </c>
      <c r="E29" s="25">
        <v>45268</v>
      </c>
      <c r="F29" s="25">
        <v>45313</v>
      </c>
      <c r="G29" s="7">
        <f t="shared" si="0"/>
        <v>-1524.4444444444443</v>
      </c>
      <c r="H29" s="7">
        <f t="shared" si="1"/>
        <v>-686</v>
      </c>
      <c r="I29" s="21" t="s">
        <v>8</v>
      </c>
      <c r="J29" s="24">
        <v>94</v>
      </c>
      <c r="K29" s="25">
        <v>45268</v>
      </c>
      <c r="L29" s="25">
        <v>45313</v>
      </c>
      <c r="M29" s="7">
        <f t="shared" si="2"/>
        <v>-1524.4444444444443</v>
      </c>
      <c r="N29" s="7">
        <f t="shared" si="3"/>
        <v>-686</v>
      </c>
      <c r="O29" s="21" t="s">
        <v>8</v>
      </c>
      <c r="P29" s="24">
        <v>94</v>
      </c>
      <c r="Q29" s="25">
        <v>45268</v>
      </c>
      <c r="R29" s="25">
        <v>45313</v>
      </c>
      <c r="S29" s="7">
        <f t="shared" si="4"/>
        <v>-1524.4444444444443</v>
      </c>
      <c r="T29" s="7">
        <f t="shared" si="5"/>
        <v>-686</v>
      </c>
      <c r="U29" s="19"/>
      <c r="V29" s="21" t="s">
        <v>8</v>
      </c>
      <c r="W29" s="24">
        <v>94</v>
      </c>
      <c r="X29" s="25">
        <v>45268</v>
      </c>
      <c r="Y29" s="25">
        <v>45313</v>
      </c>
      <c r="Z29" s="7">
        <f t="shared" si="6"/>
        <v>-1524.4444444444443</v>
      </c>
      <c r="AA29" s="7"/>
      <c r="AB29" s="19"/>
      <c r="AC29" s="20"/>
      <c r="AD29" s="21" t="s">
        <v>8</v>
      </c>
      <c r="AE29" s="24">
        <v>94</v>
      </c>
      <c r="AF29" s="25">
        <v>45268</v>
      </c>
      <c r="AG29" s="25">
        <v>45313</v>
      </c>
      <c r="AH29" s="7">
        <f t="shared" si="7"/>
        <v>-1524.4444444444443</v>
      </c>
      <c r="AI29" s="7"/>
      <c r="AJ29" s="19"/>
      <c r="AK29" s="20"/>
      <c r="AL29" s="21" t="s">
        <v>8</v>
      </c>
      <c r="AM29" s="24">
        <v>94</v>
      </c>
      <c r="AN29" s="25">
        <v>45268</v>
      </c>
      <c r="AO29" s="25">
        <v>45313</v>
      </c>
      <c r="AP29" s="7">
        <f t="shared" si="8"/>
        <v>-1524.4444444444443</v>
      </c>
      <c r="AQ29" s="7"/>
      <c r="AR29" s="19"/>
      <c r="AS29" s="20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</row>
    <row r="30" spans="1:57" ht="22.15" hidden="1" customHeight="1">
      <c r="A30"/>
      <c r="B30" s="6" t="s">
        <v>37</v>
      </c>
      <c r="C30" s="21" t="s">
        <v>8</v>
      </c>
      <c r="D30" s="22">
        <v>134</v>
      </c>
      <c r="E30" s="25">
        <v>45268</v>
      </c>
      <c r="F30" s="25">
        <v>45313</v>
      </c>
      <c r="G30" s="7">
        <f t="shared" si="0"/>
        <v>-1524.4444444444443</v>
      </c>
      <c r="H30" s="7">
        <f t="shared" si="1"/>
        <v>-686</v>
      </c>
      <c r="I30" s="21" t="s">
        <v>8</v>
      </c>
      <c r="J30" s="24">
        <v>134</v>
      </c>
      <c r="K30" s="25">
        <v>45268</v>
      </c>
      <c r="L30" s="25">
        <v>45313</v>
      </c>
      <c r="M30" s="7">
        <f t="shared" si="2"/>
        <v>-1524.4444444444443</v>
      </c>
      <c r="N30" s="7">
        <f t="shared" si="3"/>
        <v>-686</v>
      </c>
      <c r="O30" s="21" t="s">
        <v>8</v>
      </c>
      <c r="P30" s="24">
        <v>134</v>
      </c>
      <c r="Q30" s="25">
        <v>45268</v>
      </c>
      <c r="R30" s="25">
        <v>45313</v>
      </c>
      <c r="S30" s="7">
        <f t="shared" si="4"/>
        <v>-1524.4444444444443</v>
      </c>
      <c r="T30" s="7">
        <f t="shared" si="5"/>
        <v>-686</v>
      </c>
      <c r="U30" s="19"/>
      <c r="V30" s="21" t="s">
        <v>8</v>
      </c>
      <c r="W30" s="24">
        <v>134</v>
      </c>
      <c r="X30" s="25">
        <v>45268</v>
      </c>
      <c r="Y30" s="25">
        <v>45313</v>
      </c>
      <c r="Z30" s="7">
        <f t="shared" si="6"/>
        <v>-1524.4444444444443</v>
      </c>
      <c r="AA30" s="7"/>
      <c r="AB30" s="19"/>
      <c r="AC30" s="20"/>
      <c r="AD30" s="21" t="s">
        <v>8</v>
      </c>
      <c r="AE30" s="24">
        <v>134</v>
      </c>
      <c r="AF30" s="25">
        <v>45268</v>
      </c>
      <c r="AG30" s="25">
        <v>45313</v>
      </c>
      <c r="AH30" s="7">
        <f t="shared" si="7"/>
        <v>-1524.4444444444443</v>
      </c>
      <c r="AI30" s="7"/>
      <c r="AJ30" s="19"/>
      <c r="AK30" s="20"/>
      <c r="AL30" s="21" t="s">
        <v>8</v>
      </c>
      <c r="AM30" s="24">
        <v>134</v>
      </c>
      <c r="AN30" s="25">
        <v>45268</v>
      </c>
      <c r="AO30" s="25">
        <v>45313</v>
      </c>
      <c r="AP30" s="7">
        <f t="shared" si="8"/>
        <v>-1524.4444444444443</v>
      </c>
      <c r="AQ30" s="7"/>
      <c r="AR30" s="19"/>
      <c r="AS30" s="20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</row>
    <row r="31" spans="1:57" ht="22.15" hidden="1" customHeight="1">
      <c r="A31"/>
      <c r="B31" s="6" t="s">
        <v>38</v>
      </c>
      <c r="C31" s="21" t="s">
        <v>8</v>
      </c>
      <c r="D31" s="22">
        <v>2</v>
      </c>
      <c r="E31" s="25">
        <v>45268</v>
      </c>
      <c r="F31" s="25">
        <v>45313</v>
      </c>
      <c r="G31" s="7">
        <f t="shared" si="0"/>
        <v>-1524.4444444444443</v>
      </c>
      <c r="H31" s="7">
        <f t="shared" si="1"/>
        <v>-686</v>
      </c>
      <c r="I31" s="21" t="s">
        <v>8</v>
      </c>
      <c r="J31" s="24">
        <v>2</v>
      </c>
      <c r="K31" s="25">
        <v>45268</v>
      </c>
      <c r="L31" s="25">
        <v>45313</v>
      </c>
      <c r="M31" s="7">
        <f t="shared" si="2"/>
        <v>-1524.4444444444443</v>
      </c>
      <c r="N31" s="7">
        <f t="shared" si="3"/>
        <v>-686</v>
      </c>
      <c r="O31" s="21" t="s">
        <v>8</v>
      </c>
      <c r="P31" s="24">
        <v>2</v>
      </c>
      <c r="Q31" s="25">
        <v>45268</v>
      </c>
      <c r="R31" s="25">
        <v>45313</v>
      </c>
      <c r="S31" s="7">
        <f t="shared" si="4"/>
        <v>-1524.4444444444443</v>
      </c>
      <c r="T31" s="7">
        <f t="shared" si="5"/>
        <v>-686</v>
      </c>
      <c r="U31" s="19"/>
      <c r="V31" s="21" t="s">
        <v>8</v>
      </c>
      <c r="W31" s="24">
        <v>2</v>
      </c>
      <c r="X31" s="25">
        <v>45268</v>
      </c>
      <c r="Y31" s="25">
        <v>45313</v>
      </c>
      <c r="Z31" s="7">
        <f t="shared" si="6"/>
        <v>-1524.4444444444443</v>
      </c>
      <c r="AA31" s="7"/>
      <c r="AB31" s="19"/>
      <c r="AC31" s="20"/>
      <c r="AD31" s="21" t="s">
        <v>8</v>
      </c>
      <c r="AE31" s="24">
        <v>2</v>
      </c>
      <c r="AF31" s="25">
        <v>45268</v>
      </c>
      <c r="AG31" s="25">
        <v>45313</v>
      </c>
      <c r="AH31" s="7">
        <f t="shared" si="7"/>
        <v>-1524.4444444444443</v>
      </c>
      <c r="AI31" s="7"/>
      <c r="AJ31" s="19"/>
      <c r="AK31" s="20"/>
      <c r="AL31" s="21" t="s">
        <v>8</v>
      </c>
      <c r="AM31" s="24">
        <v>2</v>
      </c>
      <c r="AN31" s="25">
        <v>45268</v>
      </c>
      <c r="AO31" s="25">
        <v>45313</v>
      </c>
      <c r="AP31" s="7">
        <f t="shared" si="8"/>
        <v>-1524.4444444444443</v>
      </c>
      <c r="AQ31" s="7"/>
      <c r="AR31" s="19"/>
      <c r="AS31" s="20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</row>
    <row r="32" spans="1:57" ht="22.15" hidden="1" customHeight="1">
      <c r="A32"/>
      <c r="B32" s="6" t="s">
        <v>39</v>
      </c>
      <c r="C32" s="21" t="s">
        <v>14</v>
      </c>
      <c r="D32" s="22">
        <v>273.39999999999998</v>
      </c>
      <c r="E32" s="25">
        <v>45268</v>
      </c>
      <c r="F32" s="25">
        <v>45313</v>
      </c>
      <c r="G32" s="7">
        <f t="shared" si="0"/>
        <v>-1524.4444444444443</v>
      </c>
      <c r="H32" s="7">
        <f t="shared" si="1"/>
        <v>-686</v>
      </c>
      <c r="I32" s="21" t="s">
        <v>14</v>
      </c>
      <c r="J32" s="24">
        <v>273.39999999999998</v>
      </c>
      <c r="K32" s="25">
        <v>45268</v>
      </c>
      <c r="L32" s="25">
        <v>45313</v>
      </c>
      <c r="M32" s="7">
        <f t="shared" si="2"/>
        <v>-1524.4444444444443</v>
      </c>
      <c r="N32" s="7">
        <f t="shared" si="3"/>
        <v>-686</v>
      </c>
      <c r="O32" s="21" t="s">
        <v>14</v>
      </c>
      <c r="P32" s="24">
        <v>273.39999999999998</v>
      </c>
      <c r="Q32" s="25">
        <v>45268</v>
      </c>
      <c r="R32" s="25">
        <v>45313</v>
      </c>
      <c r="S32" s="7">
        <f t="shared" si="4"/>
        <v>-1524.4444444444443</v>
      </c>
      <c r="T32" s="7">
        <f t="shared" si="5"/>
        <v>-686</v>
      </c>
      <c r="U32" s="19"/>
      <c r="V32" s="21" t="s">
        <v>14</v>
      </c>
      <c r="W32" s="24">
        <v>273.39999999999998</v>
      </c>
      <c r="X32" s="25">
        <v>45268</v>
      </c>
      <c r="Y32" s="25">
        <v>45313</v>
      </c>
      <c r="Z32" s="7">
        <f t="shared" si="6"/>
        <v>-1524.4444444444443</v>
      </c>
      <c r="AA32" s="7"/>
      <c r="AB32" s="19"/>
      <c r="AC32" s="20"/>
      <c r="AD32" s="21" t="s">
        <v>14</v>
      </c>
      <c r="AE32" s="24">
        <v>273.39999999999998</v>
      </c>
      <c r="AF32" s="25">
        <v>45268</v>
      </c>
      <c r="AG32" s="25">
        <v>45313</v>
      </c>
      <c r="AH32" s="7">
        <f t="shared" si="7"/>
        <v>-1524.4444444444443</v>
      </c>
      <c r="AI32" s="7"/>
      <c r="AJ32" s="19"/>
      <c r="AK32" s="20"/>
      <c r="AL32" s="21" t="s">
        <v>14</v>
      </c>
      <c r="AM32" s="24">
        <v>273.39999999999998</v>
      </c>
      <c r="AN32" s="25">
        <v>45268</v>
      </c>
      <c r="AO32" s="25">
        <v>45313</v>
      </c>
      <c r="AP32" s="7">
        <f t="shared" si="8"/>
        <v>-1524.4444444444443</v>
      </c>
      <c r="AQ32" s="7"/>
      <c r="AR32" s="19"/>
      <c r="AS32" s="20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</row>
    <row r="33" spans="1:57" ht="22.15" hidden="1" customHeight="1">
      <c r="A33"/>
      <c r="B33" s="6" t="s">
        <v>40</v>
      </c>
      <c r="C33" s="21" t="s">
        <v>14</v>
      </c>
      <c r="D33" s="22">
        <v>160.19999999999999</v>
      </c>
      <c r="E33" s="25">
        <v>45274</v>
      </c>
      <c r="F33" s="25">
        <v>45314</v>
      </c>
      <c r="G33" s="7">
        <f t="shared" si="0"/>
        <v>-1712.5</v>
      </c>
      <c r="H33" s="7">
        <f t="shared" si="1"/>
        <v>-685</v>
      </c>
      <c r="I33" s="21" t="s">
        <v>14</v>
      </c>
      <c r="J33" s="24">
        <v>160.19999999999999</v>
      </c>
      <c r="K33" s="25">
        <v>45274</v>
      </c>
      <c r="L33" s="25">
        <v>45314</v>
      </c>
      <c r="M33" s="7">
        <f t="shared" si="2"/>
        <v>-1712.5</v>
      </c>
      <c r="N33" s="7">
        <f t="shared" si="3"/>
        <v>-685</v>
      </c>
      <c r="O33" s="21" t="s">
        <v>14</v>
      </c>
      <c r="P33" s="24">
        <v>160.19999999999999</v>
      </c>
      <c r="Q33" s="25">
        <v>45274</v>
      </c>
      <c r="R33" s="25">
        <v>45314</v>
      </c>
      <c r="S33" s="7">
        <f t="shared" si="4"/>
        <v>-1712.5</v>
      </c>
      <c r="T33" s="7">
        <f t="shared" si="5"/>
        <v>-685</v>
      </c>
      <c r="U33" s="19"/>
      <c r="V33" s="21" t="s">
        <v>14</v>
      </c>
      <c r="W33" s="24">
        <v>160.19999999999999</v>
      </c>
      <c r="X33" s="25">
        <v>45274</v>
      </c>
      <c r="Y33" s="25">
        <v>45314</v>
      </c>
      <c r="Z33" s="7">
        <f t="shared" si="6"/>
        <v>-1712.5</v>
      </c>
      <c r="AA33" s="7"/>
      <c r="AB33" s="19"/>
      <c r="AC33" s="20"/>
      <c r="AD33" s="21" t="s">
        <v>14</v>
      </c>
      <c r="AE33" s="24">
        <v>160.19999999999999</v>
      </c>
      <c r="AF33" s="25">
        <v>45274</v>
      </c>
      <c r="AG33" s="25">
        <v>45314</v>
      </c>
      <c r="AH33" s="7">
        <f t="shared" si="7"/>
        <v>-1712.5</v>
      </c>
      <c r="AI33" s="7"/>
      <c r="AJ33" s="19"/>
      <c r="AK33" s="20"/>
      <c r="AL33" s="21" t="s">
        <v>14</v>
      </c>
      <c r="AM33" s="24">
        <v>160.19999999999999</v>
      </c>
      <c r="AN33" s="25">
        <v>45274</v>
      </c>
      <c r="AO33" s="25">
        <v>45314</v>
      </c>
      <c r="AP33" s="7">
        <f t="shared" si="8"/>
        <v>-1712.5</v>
      </c>
      <c r="AQ33" s="7"/>
      <c r="AR33" s="19"/>
      <c r="AS33" s="20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</row>
    <row r="34" spans="1:57" ht="22.15" hidden="1" customHeight="1">
      <c r="A34"/>
      <c r="B34" s="6" t="s">
        <v>41</v>
      </c>
      <c r="C34" s="21" t="s">
        <v>14</v>
      </c>
      <c r="D34" s="22">
        <v>351.4</v>
      </c>
      <c r="E34" s="25">
        <v>45275</v>
      </c>
      <c r="F34" s="25">
        <v>45315</v>
      </c>
      <c r="G34" s="7">
        <f t="shared" si="0"/>
        <v>-1710.0000000000002</v>
      </c>
      <c r="H34" s="7">
        <f t="shared" si="1"/>
        <v>-684</v>
      </c>
      <c r="I34" s="21" t="s">
        <v>14</v>
      </c>
      <c r="J34" s="24">
        <v>351.4</v>
      </c>
      <c r="K34" s="25">
        <v>45275</v>
      </c>
      <c r="L34" s="25">
        <v>45315</v>
      </c>
      <c r="M34" s="7">
        <f t="shared" si="2"/>
        <v>-1710.0000000000002</v>
      </c>
      <c r="N34" s="7">
        <f t="shared" si="3"/>
        <v>-684</v>
      </c>
      <c r="O34" s="21" t="s">
        <v>14</v>
      </c>
      <c r="P34" s="24">
        <v>351.4</v>
      </c>
      <c r="Q34" s="25">
        <v>45275</v>
      </c>
      <c r="R34" s="25">
        <v>45315</v>
      </c>
      <c r="S34" s="7">
        <f t="shared" si="4"/>
        <v>-1710.0000000000002</v>
      </c>
      <c r="T34" s="7">
        <f t="shared" si="5"/>
        <v>-684</v>
      </c>
      <c r="U34" s="19"/>
      <c r="V34" s="21" t="s">
        <v>14</v>
      </c>
      <c r="W34" s="24">
        <v>351.4</v>
      </c>
      <c r="X34" s="25">
        <v>45275</v>
      </c>
      <c r="Y34" s="25">
        <v>45315</v>
      </c>
      <c r="Z34" s="7">
        <f t="shared" si="6"/>
        <v>-1710.0000000000002</v>
      </c>
      <c r="AA34" s="7"/>
      <c r="AB34" s="19"/>
      <c r="AC34" s="20"/>
      <c r="AD34" s="21" t="s">
        <v>14</v>
      </c>
      <c r="AE34" s="24">
        <v>351.4</v>
      </c>
      <c r="AF34" s="25">
        <v>45275</v>
      </c>
      <c r="AG34" s="25">
        <v>45315</v>
      </c>
      <c r="AH34" s="7">
        <f t="shared" si="7"/>
        <v>-1710.0000000000002</v>
      </c>
      <c r="AI34" s="7"/>
      <c r="AJ34" s="19"/>
      <c r="AK34" s="20"/>
      <c r="AL34" s="21" t="s">
        <v>14</v>
      </c>
      <c r="AM34" s="24">
        <v>351.4</v>
      </c>
      <c r="AN34" s="25">
        <v>45275</v>
      </c>
      <c r="AO34" s="25">
        <v>45315</v>
      </c>
      <c r="AP34" s="7">
        <f t="shared" si="8"/>
        <v>-1710.0000000000002</v>
      </c>
      <c r="AQ34" s="7"/>
      <c r="AR34" s="19"/>
      <c r="AS34" s="20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</row>
    <row r="35" spans="1:57" ht="22.15" hidden="1" customHeight="1">
      <c r="A35"/>
      <c r="B35" s="6" t="s">
        <v>42</v>
      </c>
      <c r="C35" s="21" t="s">
        <v>14</v>
      </c>
      <c r="D35" s="22">
        <v>19.004000000000001</v>
      </c>
      <c r="E35" s="25">
        <v>45275</v>
      </c>
      <c r="F35" s="25">
        <v>45315</v>
      </c>
      <c r="G35" s="7">
        <f t="shared" si="0"/>
        <v>-1710.0000000000002</v>
      </c>
      <c r="H35" s="7">
        <f t="shared" si="1"/>
        <v>-684</v>
      </c>
      <c r="I35" s="21" t="s">
        <v>14</v>
      </c>
      <c r="J35" s="24">
        <v>19.004000000000001</v>
      </c>
      <c r="K35" s="25">
        <v>45275</v>
      </c>
      <c r="L35" s="25">
        <v>45315</v>
      </c>
      <c r="M35" s="7">
        <f t="shared" si="2"/>
        <v>-1710.0000000000002</v>
      </c>
      <c r="N35" s="7">
        <f t="shared" si="3"/>
        <v>-684</v>
      </c>
      <c r="O35" s="21" t="s">
        <v>14</v>
      </c>
      <c r="P35" s="24">
        <v>19.004000000000001</v>
      </c>
      <c r="Q35" s="25">
        <v>45275</v>
      </c>
      <c r="R35" s="25">
        <v>45315</v>
      </c>
      <c r="S35" s="7">
        <f t="shared" si="4"/>
        <v>-1710.0000000000002</v>
      </c>
      <c r="T35" s="7">
        <f t="shared" si="5"/>
        <v>-684</v>
      </c>
      <c r="U35" s="19"/>
      <c r="V35" s="21" t="s">
        <v>14</v>
      </c>
      <c r="W35" s="24">
        <v>19.004000000000001</v>
      </c>
      <c r="X35" s="25">
        <v>45275</v>
      </c>
      <c r="Y35" s="25">
        <v>45315</v>
      </c>
      <c r="Z35" s="7">
        <f t="shared" si="6"/>
        <v>-1710.0000000000002</v>
      </c>
      <c r="AA35" s="7"/>
      <c r="AB35" s="19"/>
      <c r="AC35" s="20"/>
      <c r="AD35" s="21" t="s">
        <v>14</v>
      </c>
      <c r="AE35" s="24">
        <v>19.004000000000001</v>
      </c>
      <c r="AF35" s="25">
        <v>45275</v>
      </c>
      <c r="AG35" s="25">
        <v>45315</v>
      </c>
      <c r="AH35" s="7">
        <f t="shared" si="7"/>
        <v>-1710.0000000000002</v>
      </c>
      <c r="AI35" s="7"/>
      <c r="AJ35" s="19"/>
      <c r="AK35" s="20"/>
      <c r="AL35" s="21" t="s">
        <v>14</v>
      </c>
      <c r="AM35" s="24">
        <v>19.004000000000001</v>
      </c>
      <c r="AN35" s="25">
        <v>45275</v>
      </c>
      <c r="AO35" s="25">
        <v>45315</v>
      </c>
      <c r="AP35" s="7">
        <f t="shared" si="8"/>
        <v>-1710.0000000000002</v>
      </c>
      <c r="AQ35" s="7"/>
      <c r="AR35" s="19"/>
      <c r="AS35" s="20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</row>
    <row r="36" spans="1:57" ht="22.15" hidden="1" customHeight="1">
      <c r="A36"/>
      <c r="B36" s="6" t="s">
        <v>43</v>
      </c>
      <c r="C36" s="21" t="s">
        <v>14</v>
      </c>
      <c r="D36" s="22">
        <v>6.56</v>
      </c>
      <c r="E36" s="25"/>
      <c r="F36" s="25"/>
      <c r="G36" s="7" t="str">
        <f t="shared" si="0"/>
        <v/>
      </c>
      <c r="H36" s="7">
        <f t="shared" si="1"/>
        <v>-45999</v>
      </c>
      <c r="I36" s="21" t="s">
        <v>14</v>
      </c>
      <c r="J36" s="24">
        <v>6.56</v>
      </c>
      <c r="K36" s="25"/>
      <c r="L36" s="25"/>
      <c r="M36" s="7" t="str">
        <f t="shared" si="2"/>
        <v/>
      </c>
      <c r="N36" s="7">
        <f t="shared" si="3"/>
        <v>-45999</v>
      </c>
      <c r="O36" s="21" t="s">
        <v>14</v>
      </c>
      <c r="P36" s="24">
        <v>6.56</v>
      </c>
      <c r="Q36" s="25"/>
      <c r="R36" s="25"/>
      <c r="S36" s="7" t="str">
        <f t="shared" si="4"/>
        <v/>
      </c>
      <c r="T36" s="7">
        <f t="shared" si="5"/>
        <v>-45999</v>
      </c>
      <c r="U36" s="19"/>
      <c r="V36" s="21" t="s">
        <v>14</v>
      </c>
      <c r="W36" s="24">
        <v>6.56</v>
      </c>
      <c r="X36" s="25"/>
      <c r="Y36" s="25"/>
      <c r="Z36" s="7" t="str">
        <f t="shared" si="6"/>
        <v/>
      </c>
      <c r="AA36" s="7"/>
      <c r="AB36" s="19"/>
      <c r="AC36" s="20"/>
      <c r="AD36" s="21" t="s">
        <v>14</v>
      </c>
      <c r="AE36" s="24">
        <v>6.56</v>
      </c>
      <c r="AF36" s="25"/>
      <c r="AG36" s="25"/>
      <c r="AH36" s="7" t="str">
        <f t="shared" si="7"/>
        <v/>
      </c>
      <c r="AI36" s="7"/>
      <c r="AJ36" s="19"/>
      <c r="AK36" s="20"/>
      <c r="AL36" s="21" t="s">
        <v>14</v>
      </c>
      <c r="AM36" s="24">
        <v>6.56</v>
      </c>
      <c r="AN36" s="25"/>
      <c r="AO36" s="25"/>
      <c r="AP36" s="7" t="str">
        <f t="shared" si="8"/>
        <v/>
      </c>
      <c r="AQ36" s="7"/>
      <c r="AR36" s="19"/>
      <c r="AS36" s="20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</row>
    <row r="37" spans="1:57" ht="22.15" hidden="1" customHeight="1">
      <c r="A37"/>
      <c r="B37" s="6" t="s">
        <v>44</v>
      </c>
      <c r="C37" s="21" t="s">
        <v>14</v>
      </c>
      <c r="D37" s="22">
        <v>115.69499999999999</v>
      </c>
      <c r="E37" s="25">
        <v>45276</v>
      </c>
      <c r="F37" s="25">
        <v>45316</v>
      </c>
      <c r="G37" s="7">
        <f t="shared" si="0"/>
        <v>-1707.5</v>
      </c>
      <c r="H37" s="7">
        <f t="shared" si="1"/>
        <v>-683</v>
      </c>
      <c r="I37" s="21" t="s">
        <v>14</v>
      </c>
      <c r="J37" s="24">
        <v>115.69499999999999</v>
      </c>
      <c r="K37" s="25">
        <v>45276</v>
      </c>
      <c r="L37" s="25">
        <v>45316</v>
      </c>
      <c r="M37" s="7">
        <f t="shared" si="2"/>
        <v>-1707.5</v>
      </c>
      <c r="N37" s="7">
        <f t="shared" si="3"/>
        <v>-683</v>
      </c>
      <c r="O37" s="21" t="s">
        <v>14</v>
      </c>
      <c r="P37" s="24">
        <v>115.69499999999999</v>
      </c>
      <c r="Q37" s="25">
        <v>45276</v>
      </c>
      <c r="R37" s="25">
        <v>45316</v>
      </c>
      <c r="S37" s="7">
        <f t="shared" si="4"/>
        <v>-1707.5</v>
      </c>
      <c r="T37" s="7">
        <f t="shared" si="5"/>
        <v>-683</v>
      </c>
      <c r="U37" s="19"/>
      <c r="V37" s="21" t="s">
        <v>14</v>
      </c>
      <c r="W37" s="24">
        <v>115.69499999999999</v>
      </c>
      <c r="X37" s="25">
        <v>45276</v>
      </c>
      <c r="Y37" s="25">
        <v>45316</v>
      </c>
      <c r="Z37" s="7">
        <f t="shared" si="6"/>
        <v>-1707.5</v>
      </c>
      <c r="AA37" s="7"/>
      <c r="AB37" s="19"/>
      <c r="AC37" s="20"/>
      <c r="AD37" s="21" t="s">
        <v>14</v>
      </c>
      <c r="AE37" s="24">
        <v>115.69499999999999</v>
      </c>
      <c r="AF37" s="25">
        <v>45276</v>
      </c>
      <c r="AG37" s="25">
        <v>45316</v>
      </c>
      <c r="AH37" s="7">
        <f t="shared" si="7"/>
        <v>-1707.5</v>
      </c>
      <c r="AI37" s="7"/>
      <c r="AJ37" s="19"/>
      <c r="AK37" s="20"/>
      <c r="AL37" s="21" t="s">
        <v>14</v>
      </c>
      <c r="AM37" s="24">
        <v>115.69499999999999</v>
      </c>
      <c r="AN37" s="25">
        <v>45276</v>
      </c>
      <c r="AO37" s="25">
        <v>45316</v>
      </c>
      <c r="AP37" s="7">
        <f t="shared" si="8"/>
        <v>-1707.5</v>
      </c>
      <c r="AQ37" s="7"/>
      <c r="AR37" s="19"/>
      <c r="AS37" s="20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</row>
    <row r="38" spans="1:57" ht="22.15" hidden="1" customHeight="1">
      <c r="A38"/>
      <c r="B38" s="6" t="s">
        <v>45</v>
      </c>
      <c r="C38" s="21" t="s">
        <v>8</v>
      </c>
      <c r="D38" s="22">
        <v>234</v>
      </c>
      <c r="E38" s="25">
        <v>45260</v>
      </c>
      <c r="F38" s="25">
        <v>45320</v>
      </c>
      <c r="G38" s="7">
        <f>IFERROR((F38-$G$1)/(F38-E38)*100,"")</f>
        <v>-1131.6666666666667</v>
      </c>
      <c r="H38" s="7">
        <f>F38-$H$1</f>
        <v>-679</v>
      </c>
      <c r="I38" s="21" t="s">
        <v>8</v>
      </c>
      <c r="J38" s="24">
        <v>234</v>
      </c>
      <c r="K38" s="25">
        <v>45260</v>
      </c>
      <c r="L38" s="25">
        <v>45320</v>
      </c>
      <c r="M38" s="7">
        <f>IFERROR((L38-$G$1)/(L38-K38)*100,"")</f>
        <v>-1131.6666666666667</v>
      </c>
      <c r="N38" s="7">
        <f>L38-$H$1</f>
        <v>-679</v>
      </c>
      <c r="O38" s="21" t="s">
        <v>8</v>
      </c>
      <c r="P38" s="24">
        <v>234</v>
      </c>
      <c r="Q38" s="25">
        <v>45260</v>
      </c>
      <c r="R38" s="25">
        <v>45320</v>
      </c>
      <c r="S38" s="7">
        <f>IFERROR((R38-$G$1)/(R38-Q38)*100,"")</f>
        <v>-1131.6666666666667</v>
      </c>
      <c r="T38" s="7">
        <f>R38-$H$1</f>
        <v>-679</v>
      </c>
      <c r="U38" s="19"/>
      <c r="V38" s="21" t="s">
        <v>8</v>
      </c>
      <c r="W38" s="24">
        <v>234</v>
      </c>
      <c r="X38" s="25">
        <v>45260</v>
      </c>
      <c r="Y38" s="25">
        <v>45320</v>
      </c>
      <c r="Z38" s="7">
        <f>IFERROR((Y38-$G$1)/(Y38-X38)*100,"")</f>
        <v>-1131.6666666666667</v>
      </c>
      <c r="AA38" s="7"/>
      <c r="AB38" s="19"/>
      <c r="AC38" s="20"/>
      <c r="AD38" s="21" t="s">
        <v>8</v>
      </c>
      <c r="AE38" s="24">
        <v>234</v>
      </c>
      <c r="AF38" s="25">
        <v>45260</v>
      </c>
      <c r="AG38" s="25">
        <v>45320</v>
      </c>
      <c r="AH38" s="7">
        <f>IFERROR((AG38-$G$1)/(AG38-AF38)*100,"")</f>
        <v>-1131.6666666666667</v>
      </c>
      <c r="AI38" s="7"/>
      <c r="AJ38" s="19"/>
      <c r="AK38" s="20"/>
      <c r="AL38" s="21" t="s">
        <v>8</v>
      </c>
      <c r="AM38" s="24">
        <v>234</v>
      </c>
      <c r="AN38" s="25">
        <v>45260</v>
      </c>
      <c r="AO38" s="25">
        <v>45320</v>
      </c>
      <c r="AP38" s="7">
        <f>IFERROR((AO38-$G$1)/(AO38-AN38)*100,"")</f>
        <v>-1131.6666666666667</v>
      </c>
      <c r="AQ38" s="7"/>
      <c r="AR38" s="19"/>
      <c r="AS38" s="20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</row>
    <row r="39" spans="1:57" ht="22.15" hidden="1" customHeight="1">
      <c r="A39"/>
      <c r="B39" s="6" t="s">
        <v>46</v>
      </c>
      <c r="C39" s="21" t="s">
        <v>8</v>
      </c>
      <c r="D39" s="22">
        <v>480</v>
      </c>
      <c r="E39" s="25"/>
      <c r="F39" s="25"/>
      <c r="G39" s="7" t="str">
        <f t="shared" ref="G39:G71" si="9">IFERROR((F39-$G$1)/(F39-E39)*100,"")</f>
        <v/>
      </c>
      <c r="H39" s="7">
        <f t="shared" ref="H39:H71" si="10">F39-$H$1</f>
        <v>-45999</v>
      </c>
      <c r="I39" s="21" t="s">
        <v>8</v>
      </c>
      <c r="J39" s="24">
        <v>480</v>
      </c>
      <c r="K39" s="25"/>
      <c r="L39" s="25"/>
      <c r="M39" s="7" t="str">
        <f t="shared" ref="M39:M102" si="11">IFERROR((L39-$G$1)/(L39-K39)*100,"")</f>
        <v/>
      </c>
      <c r="N39" s="7">
        <f t="shared" ref="N39:N102" si="12">L39-$H$1</f>
        <v>-45999</v>
      </c>
      <c r="O39" s="21" t="s">
        <v>8</v>
      </c>
      <c r="P39" s="24">
        <v>480</v>
      </c>
      <c r="Q39" s="25"/>
      <c r="R39" s="25"/>
      <c r="S39" s="7" t="str">
        <f t="shared" ref="S39:S102" si="13">IFERROR((R39-$G$1)/(R39-Q39)*100,"")</f>
        <v/>
      </c>
      <c r="T39" s="7">
        <f t="shared" ref="T39:T102" si="14">R39-$H$1</f>
        <v>-45999</v>
      </c>
      <c r="U39" s="19"/>
      <c r="V39" s="21" t="s">
        <v>8</v>
      </c>
      <c r="W39" s="24">
        <v>480</v>
      </c>
      <c r="X39" s="25"/>
      <c r="Y39" s="25"/>
      <c r="Z39" s="7" t="str">
        <f t="shared" ref="Z39:Z102" si="15">IFERROR((Y39-$G$1)/(Y39-X39)*100,"")</f>
        <v/>
      </c>
      <c r="AA39" s="7"/>
      <c r="AB39" s="19"/>
      <c r="AC39" s="20"/>
      <c r="AD39" s="21" t="s">
        <v>8</v>
      </c>
      <c r="AE39" s="24">
        <v>480</v>
      </c>
      <c r="AF39" s="25"/>
      <c r="AG39" s="25"/>
      <c r="AH39" s="7" t="str">
        <f t="shared" ref="AH39:AH102" si="16">IFERROR((AG39-$G$1)/(AG39-AF39)*100,"")</f>
        <v/>
      </c>
      <c r="AI39" s="7"/>
      <c r="AJ39" s="19"/>
      <c r="AK39" s="20"/>
      <c r="AL39" s="21" t="s">
        <v>8</v>
      </c>
      <c r="AM39" s="24">
        <v>480</v>
      </c>
      <c r="AN39" s="25"/>
      <c r="AO39" s="25"/>
      <c r="AP39" s="7" t="str">
        <f t="shared" ref="AP39:AP102" si="17">IFERROR((AO39-$G$1)/(AO39-AN39)*100,"")</f>
        <v/>
      </c>
      <c r="AQ39" s="7"/>
      <c r="AR39" s="19"/>
      <c r="AS39" s="20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</row>
    <row r="40" spans="1:57" ht="22.15" hidden="1" customHeight="1">
      <c r="A40"/>
      <c r="B40" s="6" t="s">
        <v>47</v>
      </c>
      <c r="C40" s="21" t="s">
        <v>8</v>
      </c>
      <c r="D40" s="22">
        <v>480</v>
      </c>
      <c r="E40" s="25"/>
      <c r="F40" s="25"/>
      <c r="G40" s="7" t="str">
        <f t="shared" si="9"/>
        <v/>
      </c>
      <c r="H40" s="7">
        <f t="shared" si="10"/>
        <v>-45999</v>
      </c>
      <c r="I40" s="21" t="s">
        <v>8</v>
      </c>
      <c r="J40" s="24">
        <v>480</v>
      </c>
      <c r="K40" s="25"/>
      <c r="L40" s="25"/>
      <c r="M40" s="7" t="str">
        <f t="shared" si="11"/>
        <v/>
      </c>
      <c r="N40" s="7">
        <f t="shared" si="12"/>
        <v>-45999</v>
      </c>
      <c r="O40" s="21" t="s">
        <v>8</v>
      </c>
      <c r="P40" s="24">
        <v>480</v>
      </c>
      <c r="Q40" s="25"/>
      <c r="R40" s="25"/>
      <c r="S40" s="7" t="str">
        <f t="shared" si="13"/>
        <v/>
      </c>
      <c r="T40" s="7">
        <f t="shared" si="14"/>
        <v>-45999</v>
      </c>
      <c r="U40" s="19"/>
      <c r="V40" s="21" t="s">
        <v>8</v>
      </c>
      <c r="W40" s="24">
        <v>480</v>
      </c>
      <c r="X40" s="25"/>
      <c r="Y40" s="25"/>
      <c r="Z40" s="7" t="str">
        <f t="shared" si="15"/>
        <v/>
      </c>
      <c r="AA40" s="7"/>
      <c r="AB40" s="19"/>
      <c r="AC40" s="20"/>
      <c r="AD40" s="21" t="s">
        <v>8</v>
      </c>
      <c r="AE40" s="24">
        <v>480</v>
      </c>
      <c r="AF40" s="25"/>
      <c r="AG40" s="25"/>
      <c r="AH40" s="7" t="str">
        <f t="shared" si="16"/>
        <v/>
      </c>
      <c r="AI40" s="7"/>
      <c r="AJ40" s="19"/>
      <c r="AK40" s="20"/>
      <c r="AL40" s="21" t="s">
        <v>8</v>
      </c>
      <c r="AM40" s="24">
        <v>480</v>
      </c>
      <c r="AN40" s="25"/>
      <c r="AO40" s="25"/>
      <c r="AP40" s="7" t="str">
        <f t="shared" si="17"/>
        <v/>
      </c>
      <c r="AQ40" s="7"/>
      <c r="AR40" s="19"/>
      <c r="AS40" s="20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</row>
    <row r="41" spans="1:57" ht="22.15" hidden="1" customHeight="1">
      <c r="A41"/>
      <c r="B41" s="6" t="s">
        <v>48</v>
      </c>
      <c r="C41" s="21" t="s">
        <v>8</v>
      </c>
      <c r="D41" s="26">
        <v>2136</v>
      </c>
      <c r="E41" s="25"/>
      <c r="F41" s="25"/>
      <c r="G41" s="7" t="str">
        <f t="shared" si="9"/>
        <v/>
      </c>
      <c r="H41" s="7">
        <f t="shared" si="10"/>
        <v>-45999</v>
      </c>
      <c r="I41" s="21" t="s">
        <v>8</v>
      </c>
      <c r="J41" s="24">
        <v>2136</v>
      </c>
      <c r="K41" s="25"/>
      <c r="L41" s="25"/>
      <c r="M41" s="7" t="str">
        <f t="shared" si="11"/>
        <v/>
      </c>
      <c r="N41" s="7">
        <f t="shared" si="12"/>
        <v>-45999</v>
      </c>
      <c r="O41" s="21" t="s">
        <v>8</v>
      </c>
      <c r="P41" s="24">
        <v>2136</v>
      </c>
      <c r="Q41" s="25"/>
      <c r="R41" s="25"/>
      <c r="S41" s="7" t="str">
        <f t="shared" si="13"/>
        <v/>
      </c>
      <c r="T41" s="7">
        <f t="shared" si="14"/>
        <v>-45999</v>
      </c>
      <c r="U41" s="19"/>
      <c r="V41" s="21" t="s">
        <v>8</v>
      </c>
      <c r="W41" s="24">
        <v>2136</v>
      </c>
      <c r="X41" s="25"/>
      <c r="Y41" s="25"/>
      <c r="Z41" s="7" t="str">
        <f t="shared" si="15"/>
        <v/>
      </c>
      <c r="AA41" s="7"/>
      <c r="AB41" s="19"/>
      <c r="AC41" s="20"/>
      <c r="AD41" s="21" t="s">
        <v>8</v>
      </c>
      <c r="AE41" s="24">
        <v>2136</v>
      </c>
      <c r="AF41" s="25"/>
      <c r="AG41" s="25"/>
      <c r="AH41" s="7" t="str">
        <f t="shared" si="16"/>
        <v/>
      </c>
      <c r="AI41" s="7"/>
      <c r="AJ41" s="19"/>
      <c r="AK41" s="20"/>
      <c r="AL41" s="21" t="s">
        <v>8</v>
      </c>
      <c r="AM41" s="24">
        <v>2136</v>
      </c>
      <c r="AN41" s="25"/>
      <c r="AO41" s="25"/>
      <c r="AP41" s="7" t="str">
        <f t="shared" si="17"/>
        <v/>
      </c>
      <c r="AQ41" s="7"/>
      <c r="AR41" s="19"/>
      <c r="AS41" s="20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</row>
    <row r="42" spans="1:57" ht="22.15" hidden="1" customHeight="1">
      <c r="A42"/>
      <c r="B42" s="6" t="s">
        <v>49</v>
      </c>
      <c r="C42" s="21" t="s">
        <v>8</v>
      </c>
      <c r="D42" s="22">
        <v>192</v>
      </c>
      <c r="E42" s="25"/>
      <c r="F42" s="25"/>
      <c r="G42" s="7" t="str">
        <f t="shared" si="9"/>
        <v/>
      </c>
      <c r="H42" s="7">
        <f t="shared" si="10"/>
        <v>-45999</v>
      </c>
      <c r="I42" s="21" t="s">
        <v>8</v>
      </c>
      <c r="J42" s="24">
        <v>192</v>
      </c>
      <c r="K42" s="25"/>
      <c r="L42" s="25"/>
      <c r="M42" s="7" t="str">
        <f t="shared" si="11"/>
        <v/>
      </c>
      <c r="N42" s="7">
        <f t="shared" si="12"/>
        <v>-45999</v>
      </c>
      <c r="O42" s="21" t="s">
        <v>8</v>
      </c>
      <c r="P42" s="24">
        <v>192</v>
      </c>
      <c r="Q42" s="25"/>
      <c r="R42" s="25"/>
      <c r="S42" s="7" t="str">
        <f t="shared" si="13"/>
        <v/>
      </c>
      <c r="T42" s="7">
        <f t="shared" si="14"/>
        <v>-45999</v>
      </c>
      <c r="U42" s="19"/>
      <c r="V42" s="21" t="s">
        <v>8</v>
      </c>
      <c r="W42" s="24">
        <v>192</v>
      </c>
      <c r="X42" s="25"/>
      <c r="Y42" s="25"/>
      <c r="Z42" s="7" t="str">
        <f t="shared" si="15"/>
        <v/>
      </c>
      <c r="AA42" s="7"/>
      <c r="AB42" s="19"/>
      <c r="AC42" s="20"/>
      <c r="AD42" s="21" t="s">
        <v>8</v>
      </c>
      <c r="AE42" s="24">
        <v>192</v>
      </c>
      <c r="AF42" s="25"/>
      <c r="AG42" s="25"/>
      <c r="AH42" s="7" t="str">
        <f t="shared" si="16"/>
        <v/>
      </c>
      <c r="AI42" s="7"/>
      <c r="AJ42" s="19"/>
      <c r="AK42" s="20"/>
      <c r="AL42" s="21" t="s">
        <v>8</v>
      </c>
      <c r="AM42" s="24">
        <v>192</v>
      </c>
      <c r="AN42" s="25"/>
      <c r="AO42" s="25"/>
      <c r="AP42" s="7" t="str">
        <f t="shared" si="17"/>
        <v/>
      </c>
      <c r="AQ42" s="7"/>
      <c r="AR42" s="19"/>
      <c r="AS42" s="20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</row>
    <row r="43" spans="1:57" ht="22.15" hidden="1" customHeight="1">
      <c r="A43"/>
      <c r="B43" s="6" t="s">
        <v>50</v>
      </c>
      <c r="C43" s="21" t="s">
        <v>8</v>
      </c>
      <c r="D43" s="22">
        <v>192</v>
      </c>
      <c r="E43" s="25"/>
      <c r="F43" s="25"/>
      <c r="G43" s="7" t="str">
        <f t="shared" si="9"/>
        <v/>
      </c>
      <c r="H43" s="7">
        <f t="shared" si="10"/>
        <v>-45999</v>
      </c>
      <c r="I43" s="21" t="s">
        <v>8</v>
      </c>
      <c r="J43" s="24">
        <v>192</v>
      </c>
      <c r="K43" s="25"/>
      <c r="L43" s="25"/>
      <c r="M43" s="7" t="str">
        <f t="shared" si="11"/>
        <v/>
      </c>
      <c r="N43" s="7">
        <f t="shared" si="12"/>
        <v>-45999</v>
      </c>
      <c r="O43" s="21" t="s">
        <v>8</v>
      </c>
      <c r="P43" s="24">
        <v>192</v>
      </c>
      <c r="Q43" s="25"/>
      <c r="R43" s="25"/>
      <c r="S43" s="7" t="str">
        <f t="shared" si="13"/>
        <v/>
      </c>
      <c r="T43" s="7">
        <f t="shared" si="14"/>
        <v>-45999</v>
      </c>
      <c r="U43" s="19"/>
      <c r="V43" s="21" t="s">
        <v>8</v>
      </c>
      <c r="W43" s="24">
        <v>192</v>
      </c>
      <c r="X43" s="25"/>
      <c r="Y43" s="25"/>
      <c r="Z43" s="7" t="str">
        <f t="shared" si="15"/>
        <v/>
      </c>
      <c r="AA43" s="7"/>
      <c r="AB43" s="19"/>
      <c r="AC43" s="20"/>
      <c r="AD43" s="21" t="s">
        <v>8</v>
      </c>
      <c r="AE43" s="24">
        <v>192</v>
      </c>
      <c r="AF43" s="25"/>
      <c r="AG43" s="25"/>
      <c r="AH43" s="7" t="str">
        <f t="shared" si="16"/>
        <v/>
      </c>
      <c r="AI43" s="7"/>
      <c r="AJ43" s="19"/>
      <c r="AK43" s="20"/>
      <c r="AL43" s="21" t="s">
        <v>8</v>
      </c>
      <c r="AM43" s="24">
        <v>192</v>
      </c>
      <c r="AN43" s="25"/>
      <c r="AO43" s="25"/>
      <c r="AP43" s="7" t="str">
        <f t="shared" si="17"/>
        <v/>
      </c>
      <c r="AQ43" s="7"/>
      <c r="AR43" s="19"/>
      <c r="AS43" s="20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</row>
    <row r="44" spans="1:57" ht="22.15" hidden="1" customHeight="1">
      <c r="A44"/>
      <c r="B44" s="6" t="s">
        <v>51</v>
      </c>
      <c r="C44" s="21" t="s">
        <v>8</v>
      </c>
      <c r="D44" s="26">
        <v>2368</v>
      </c>
      <c r="E44" s="25"/>
      <c r="F44" s="25"/>
      <c r="G44" s="7" t="str">
        <f t="shared" si="9"/>
        <v/>
      </c>
      <c r="H44" s="7">
        <f t="shared" si="10"/>
        <v>-45999</v>
      </c>
      <c r="I44" s="21" t="s">
        <v>8</v>
      </c>
      <c r="J44" s="24">
        <v>2368</v>
      </c>
      <c r="K44" s="25"/>
      <c r="L44" s="25"/>
      <c r="M44" s="7" t="str">
        <f t="shared" si="11"/>
        <v/>
      </c>
      <c r="N44" s="7">
        <f t="shared" si="12"/>
        <v>-45999</v>
      </c>
      <c r="O44" s="21" t="s">
        <v>8</v>
      </c>
      <c r="P44" s="24">
        <v>2368</v>
      </c>
      <c r="Q44" s="25"/>
      <c r="R44" s="25"/>
      <c r="S44" s="7" t="str">
        <f t="shared" si="13"/>
        <v/>
      </c>
      <c r="T44" s="7">
        <f t="shared" si="14"/>
        <v>-45999</v>
      </c>
      <c r="U44" s="19"/>
      <c r="V44" s="21" t="s">
        <v>8</v>
      </c>
      <c r="W44" s="24">
        <v>2368</v>
      </c>
      <c r="X44" s="25"/>
      <c r="Y44" s="25"/>
      <c r="Z44" s="7" t="str">
        <f t="shared" si="15"/>
        <v/>
      </c>
      <c r="AA44" s="7"/>
      <c r="AB44" s="19"/>
      <c r="AC44" s="20"/>
      <c r="AD44" s="21" t="s">
        <v>8</v>
      </c>
      <c r="AE44" s="24">
        <v>2368</v>
      </c>
      <c r="AF44" s="25"/>
      <c r="AG44" s="25"/>
      <c r="AH44" s="7" t="str">
        <f t="shared" si="16"/>
        <v/>
      </c>
      <c r="AI44" s="7"/>
      <c r="AJ44" s="19"/>
      <c r="AK44" s="20"/>
      <c r="AL44" s="21" t="s">
        <v>8</v>
      </c>
      <c r="AM44" s="24">
        <v>2368</v>
      </c>
      <c r="AN44" s="25"/>
      <c r="AO44" s="25"/>
      <c r="AP44" s="7" t="str">
        <f t="shared" si="17"/>
        <v/>
      </c>
      <c r="AQ44" s="7"/>
      <c r="AR44" s="19"/>
      <c r="AS44" s="20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</row>
    <row r="45" spans="1:57" ht="22.15" hidden="1" customHeight="1">
      <c r="A45"/>
      <c r="B45" s="6" t="s">
        <v>52</v>
      </c>
      <c r="C45" s="21" t="s">
        <v>8</v>
      </c>
      <c r="D45" s="22">
        <v>836</v>
      </c>
      <c r="E45" s="25"/>
      <c r="F45" s="25"/>
      <c r="G45" s="7" t="str">
        <f t="shared" si="9"/>
        <v/>
      </c>
      <c r="H45" s="7">
        <f t="shared" si="10"/>
        <v>-45999</v>
      </c>
      <c r="I45" s="21" t="s">
        <v>8</v>
      </c>
      <c r="J45" s="24">
        <v>836</v>
      </c>
      <c r="K45" s="25"/>
      <c r="L45" s="25"/>
      <c r="M45" s="7" t="str">
        <f t="shared" si="11"/>
        <v/>
      </c>
      <c r="N45" s="7">
        <f t="shared" si="12"/>
        <v>-45999</v>
      </c>
      <c r="O45" s="21" t="s">
        <v>8</v>
      </c>
      <c r="P45" s="24">
        <v>836</v>
      </c>
      <c r="Q45" s="25"/>
      <c r="R45" s="25"/>
      <c r="S45" s="7" t="str">
        <f t="shared" si="13"/>
        <v/>
      </c>
      <c r="T45" s="7">
        <f t="shared" si="14"/>
        <v>-45999</v>
      </c>
      <c r="U45" s="19"/>
      <c r="V45" s="21" t="s">
        <v>8</v>
      </c>
      <c r="W45" s="24">
        <v>836</v>
      </c>
      <c r="X45" s="25"/>
      <c r="Y45" s="25"/>
      <c r="Z45" s="7" t="str">
        <f t="shared" si="15"/>
        <v/>
      </c>
      <c r="AA45" s="7"/>
      <c r="AB45" s="19"/>
      <c r="AC45" s="20"/>
      <c r="AD45" s="21" t="s">
        <v>8</v>
      </c>
      <c r="AE45" s="24">
        <v>836</v>
      </c>
      <c r="AF45" s="25"/>
      <c r="AG45" s="25"/>
      <c r="AH45" s="7" t="str">
        <f t="shared" si="16"/>
        <v/>
      </c>
      <c r="AI45" s="7"/>
      <c r="AJ45" s="19"/>
      <c r="AK45" s="20"/>
      <c r="AL45" s="21" t="s">
        <v>8</v>
      </c>
      <c r="AM45" s="24">
        <v>836</v>
      </c>
      <c r="AN45" s="25"/>
      <c r="AO45" s="25"/>
      <c r="AP45" s="7" t="str">
        <f t="shared" si="17"/>
        <v/>
      </c>
      <c r="AQ45" s="7"/>
      <c r="AR45" s="19"/>
      <c r="AS45" s="20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</row>
    <row r="46" spans="1:57" ht="22.15" hidden="1" customHeight="1">
      <c r="A46"/>
      <c r="B46" s="6" t="s">
        <v>53</v>
      </c>
      <c r="C46" s="21" t="s">
        <v>8</v>
      </c>
      <c r="D46" s="22">
        <v>620</v>
      </c>
      <c r="E46" s="25"/>
      <c r="F46" s="25"/>
      <c r="G46" s="7" t="str">
        <f t="shared" si="9"/>
        <v/>
      </c>
      <c r="H46" s="7">
        <f t="shared" si="10"/>
        <v>-45999</v>
      </c>
      <c r="I46" s="21" t="s">
        <v>8</v>
      </c>
      <c r="J46" s="24">
        <v>620</v>
      </c>
      <c r="K46" s="25"/>
      <c r="L46" s="25"/>
      <c r="M46" s="7" t="str">
        <f t="shared" si="11"/>
        <v/>
      </c>
      <c r="N46" s="7">
        <f t="shared" si="12"/>
        <v>-45999</v>
      </c>
      <c r="O46" s="21" t="s">
        <v>8</v>
      </c>
      <c r="P46" s="24">
        <v>620</v>
      </c>
      <c r="Q46" s="25"/>
      <c r="R46" s="25"/>
      <c r="S46" s="7" t="str">
        <f t="shared" si="13"/>
        <v/>
      </c>
      <c r="T46" s="7">
        <f t="shared" si="14"/>
        <v>-45999</v>
      </c>
      <c r="U46" s="19"/>
      <c r="V46" s="21" t="s">
        <v>8</v>
      </c>
      <c r="W46" s="24">
        <v>620</v>
      </c>
      <c r="X46" s="25"/>
      <c r="Y46" s="25"/>
      <c r="Z46" s="7" t="str">
        <f t="shared" si="15"/>
        <v/>
      </c>
      <c r="AA46" s="7"/>
      <c r="AB46" s="19"/>
      <c r="AC46" s="20"/>
      <c r="AD46" s="21" t="s">
        <v>8</v>
      </c>
      <c r="AE46" s="24">
        <v>620</v>
      </c>
      <c r="AF46" s="25"/>
      <c r="AG46" s="25"/>
      <c r="AH46" s="7" t="str">
        <f t="shared" si="16"/>
        <v/>
      </c>
      <c r="AI46" s="7"/>
      <c r="AJ46" s="19"/>
      <c r="AK46" s="20"/>
      <c r="AL46" s="21" t="s">
        <v>8</v>
      </c>
      <c r="AM46" s="24">
        <v>620</v>
      </c>
      <c r="AN46" s="25"/>
      <c r="AO46" s="25"/>
      <c r="AP46" s="7" t="str">
        <f t="shared" si="17"/>
        <v/>
      </c>
      <c r="AQ46" s="7"/>
      <c r="AR46" s="19"/>
      <c r="AS46" s="20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</row>
    <row r="47" spans="1:57" ht="22.15" hidden="1" customHeight="1">
      <c r="A47"/>
      <c r="B47" s="6" t="s">
        <v>54</v>
      </c>
      <c r="C47" s="21" t="s">
        <v>8</v>
      </c>
      <c r="D47" s="26">
        <v>1484</v>
      </c>
      <c r="E47" s="25"/>
      <c r="F47" s="25"/>
      <c r="G47" s="7" t="str">
        <f t="shared" si="9"/>
        <v/>
      </c>
      <c r="H47" s="7">
        <f t="shared" si="10"/>
        <v>-45999</v>
      </c>
      <c r="I47" s="21" t="s">
        <v>8</v>
      </c>
      <c r="J47" s="24">
        <v>1484</v>
      </c>
      <c r="K47" s="25"/>
      <c r="L47" s="25"/>
      <c r="M47" s="7" t="str">
        <f t="shared" si="11"/>
        <v/>
      </c>
      <c r="N47" s="7">
        <f t="shared" si="12"/>
        <v>-45999</v>
      </c>
      <c r="O47" s="21" t="s">
        <v>8</v>
      </c>
      <c r="P47" s="24">
        <v>1484</v>
      </c>
      <c r="Q47" s="25"/>
      <c r="R47" s="25"/>
      <c r="S47" s="7" t="str">
        <f t="shared" si="13"/>
        <v/>
      </c>
      <c r="T47" s="7">
        <f t="shared" si="14"/>
        <v>-45999</v>
      </c>
      <c r="U47" s="19"/>
      <c r="V47" s="21" t="s">
        <v>8</v>
      </c>
      <c r="W47" s="24">
        <v>1484</v>
      </c>
      <c r="X47" s="25"/>
      <c r="Y47" s="25"/>
      <c r="Z47" s="7" t="str">
        <f t="shared" si="15"/>
        <v/>
      </c>
      <c r="AA47" s="7"/>
      <c r="AB47" s="19"/>
      <c r="AC47" s="20"/>
      <c r="AD47" s="21" t="s">
        <v>8</v>
      </c>
      <c r="AE47" s="24">
        <v>1484</v>
      </c>
      <c r="AF47" s="25"/>
      <c r="AG47" s="25"/>
      <c r="AH47" s="7" t="str">
        <f t="shared" si="16"/>
        <v/>
      </c>
      <c r="AI47" s="7"/>
      <c r="AJ47" s="19"/>
      <c r="AK47" s="20"/>
      <c r="AL47" s="21" t="s">
        <v>8</v>
      </c>
      <c r="AM47" s="24">
        <v>1484</v>
      </c>
      <c r="AN47" s="25"/>
      <c r="AO47" s="25"/>
      <c r="AP47" s="7" t="str">
        <f t="shared" si="17"/>
        <v/>
      </c>
      <c r="AQ47" s="7"/>
      <c r="AR47" s="19"/>
      <c r="AS47" s="20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</row>
    <row r="48" spans="1:57" ht="22.15" hidden="1" customHeight="1">
      <c r="A48"/>
      <c r="B48" s="6" t="s">
        <v>55</v>
      </c>
      <c r="C48" s="21" t="s">
        <v>8</v>
      </c>
      <c r="D48" s="22">
        <v>644</v>
      </c>
      <c r="E48" s="25"/>
      <c r="F48" s="25"/>
      <c r="G48" s="7" t="str">
        <f t="shared" si="9"/>
        <v/>
      </c>
      <c r="H48" s="7">
        <f t="shared" si="10"/>
        <v>-45999</v>
      </c>
      <c r="I48" s="21" t="s">
        <v>8</v>
      </c>
      <c r="J48" s="24">
        <v>644</v>
      </c>
      <c r="K48" s="25"/>
      <c r="L48" s="25"/>
      <c r="M48" s="7" t="str">
        <f t="shared" si="11"/>
        <v/>
      </c>
      <c r="N48" s="7">
        <f t="shared" si="12"/>
        <v>-45999</v>
      </c>
      <c r="O48" s="21" t="s">
        <v>8</v>
      </c>
      <c r="P48" s="24">
        <v>644</v>
      </c>
      <c r="Q48" s="25"/>
      <c r="R48" s="25"/>
      <c r="S48" s="7" t="str">
        <f t="shared" si="13"/>
        <v/>
      </c>
      <c r="T48" s="7">
        <f t="shared" si="14"/>
        <v>-45999</v>
      </c>
      <c r="U48" s="19"/>
      <c r="V48" s="21" t="s">
        <v>8</v>
      </c>
      <c r="W48" s="24">
        <v>644</v>
      </c>
      <c r="X48" s="25"/>
      <c r="Y48" s="25"/>
      <c r="Z48" s="7" t="str">
        <f t="shared" si="15"/>
        <v/>
      </c>
      <c r="AA48" s="7"/>
      <c r="AB48" s="19"/>
      <c r="AC48" s="20"/>
      <c r="AD48" s="21" t="s">
        <v>8</v>
      </c>
      <c r="AE48" s="24">
        <v>644</v>
      </c>
      <c r="AF48" s="25"/>
      <c r="AG48" s="25"/>
      <c r="AH48" s="7" t="str">
        <f t="shared" si="16"/>
        <v/>
      </c>
      <c r="AI48" s="7"/>
      <c r="AJ48" s="19"/>
      <c r="AK48" s="20"/>
      <c r="AL48" s="21" t="s">
        <v>8</v>
      </c>
      <c r="AM48" s="24">
        <v>644</v>
      </c>
      <c r="AN48" s="25"/>
      <c r="AO48" s="25"/>
      <c r="AP48" s="7" t="str">
        <f t="shared" si="17"/>
        <v/>
      </c>
      <c r="AQ48" s="7"/>
      <c r="AR48" s="19"/>
      <c r="AS48" s="20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</row>
    <row r="49" spans="1:57" ht="22.15" hidden="1" customHeight="1">
      <c r="A49"/>
      <c r="B49" s="6" t="s">
        <v>56</v>
      </c>
      <c r="C49" s="21" t="s">
        <v>8</v>
      </c>
      <c r="D49" s="22">
        <v>716</v>
      </c>
      <c r="E49" s="25"/>
      <c r="F49" s="25"/>
      <c r="G49" s="7" t="str">
        <f t="shared" si="9"/>
        <v/>
      </c>
      <c r="H49" s="7">
        <f t="shared" si="10"/>
        <v>-45999</v>
      </c>
      <c r="I49" s="21" t="s">
        <v>8</v>
      </c>
      <c r="J49" s="24">
        <v>716</v>
      </c>
      <c r="K49" s="25"/>
      <c r="L49" s="25"/>
      <c r="M49" s="7" t="str">
        <f t="shared" si="11"/>
        <v/>
      </c>
      <c r="N49" s="7">
        <f t="shared" si="12"/>
        <v>-45999</v>
      </c>
      <c r="O49" s="21" t="s">
        <v>8</v>
      </c>
      <c r="P49" s="24">
        <v>716</v>
      </c>
      <c r="Q49" s="25"/>
      <c r="R49" s="25"/>
      <c r="S49" s="7" t="str">
        <f t="shared" si="13"/>
        <v/>
      </c>
      <c r="T49" s="7">
        <f t="shared" si="14"/>
        <v>-45999</v>
      </c>
      <c r="U49" s="19"/>
      <c r="V49" s="21" t="s">
        <v>8</v>
      </c>
      <c r="W49" s="24">
        <v>716</v>
      </c>
      <c r="X49" s="25"/>
      <c r="Y49" s="25"/>
      <c r="Z49" s="7" t="str">
        <f t="shared" si="15"/>
        <v/>
      </c>
      <c r="AA49" s="7"/>
      <c r="AB49" s="19"/>
      <c r="AC49" s="20"/>
      <c r="AD49" s="21" t="s">
        <v>8</v>
      </c>
      <c r="AE49" s="24">
        <v>716</v>
      </c>
      <c r="AF49" s="25"/>
      <c r="AG49" s="25"/>
      <c r="AH49" s="7" t="str">
        <f t="shared" si="16"/>
        <v/>
      </c>
      <c r="AI49" s="7"/>
      <c r="AJ49" s="19"/>
      <c r="AK49" s="20"/>
      <c r="AL49" s="21" t="s">
        <v>8</v>
      </c>
      <c r="AM49" s="24">
        <v>716</v>
      </c>
      <c r="AN49" s="25"/>
      <c r="AO49" s="25"/>
      <c r="AP49" s="7" t="str">
        <f t="shared" si="17"/>
        <v/>
      </c>
      <c r="AQ49" s="7"/>
      <c r="AR49" s="19"/>
      <c r="AS49" s="20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</row>
    <row r="50" spans="1:57" ht="22.15" hidden="1" customHeight="1">
      <c r="A50"/>
      <c r="B50" s="6" t="s">
        <v>57</v>
      </c>
      <c r="C50" s="21" t="s">
        <v>8</v>
      </c>
      <c r="D50" s="22">
        <v>500</v>
      </c>
      <c r="E50" s="25"/>
      <c r="F50" s="25"/>
      <c r="G50" s="7" t="str">
        <f t="shared" si="9"/>
        <v/>
      </c>
      <c r="H50" s="7">
        <f t="shared" si="10"/>
        <v>-45999</v>
      </c>
      <c r="I50" s="21" t="s">
        <v>8</v>
      </c>
      <c r="J50" s="24">
        <v>500</v>
      </c>
      <c r="K50" s="25"/>
      <c r="L50" s="25"/>
      <c r="M50" s="7" t="str">
        <f t="shared" si="11"/>
        <v/>
      </c>
      <c r="N50" s="7">
        <f t="shared" si="12"/>
        <v>-45999</v>
      </c>
      <c r="O50" s="21" t="s">
        <v>8</v>
      </c>
      <c r="P50" s="24">
        <v>500</v>
      </c>
      <c r="Q50" s="25"/>
      <c r="R50" s="25"/>
      <c r="S50" s="7" t="str">
        <f t="shared" si="13"/>
        <v/>
      </c>
      <c r="T50" s="7">
        <f t="shared" si="14"/>
        <v>-45999</v>
      </c>
      <c r="U50" s="19"/>
      <c r="V50" s="21" t="s">
        <v>8</v>
      </c>
      <c r="W50" s="24">
        <v>500</v>
      </c>
      <c r="X50" s="25"/>
      <c r="Y50" s="25"/>
      <c r="Z50" s="7" t="str">
        <f t="shared" si="15"/>
        <v/>
      </c>
      <c r="AA50" s="7"/>
      <c r="AB50" s="19"/>
      <c r="AC50" s="20"/>
      <c r="AD50" s="21" t="s">
        <v>8</v>
      </c>
      <c r="AE50" s="24">
        <v>500</v>
      </c>
      <c r="AF50" s="25"/>
      <c r="AG50" s="25"/>
      <c r="AH50" s="7" t="str">
        <f t="shared" si="16"/>
        <v/>
      </c>
      <c r="AI50" s="7"/>
      <c r="AJ50" s="19"/>
      <c r="AK50" s="20"/>
      <c r="AL50" s="21" t="s">
        <v>8</v>
      </c>
      <c r="AM50" s="24">
        <v>500</v>
      </c>
      <c r="AN50" s="25"/>
      <c r="AO50" s="25"/>
      <c r="AP50" s="7" t="str">
        <f t="shared" si="17"/>
        <v/>
      </c>
      <c r="AQ50" s="7"/>
      <c r="AR50" s="19"/>
      <c r="AS50" s="20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</row>
    <row r="51" spans="1:57" ht="22.15" hidden="1" customHeight="1">
      <c r="A51"/>
      <c r="B51" s="6" t="s">
        <v>58</v>
      </c>
      <c r="C51" s="21" t="s">
        <v>8</v>
      </c>
      <c r="D51" s="22">
        <v>956</v>
      </c>
      <c r="E51" s="25"/>
      <c r="F51" s="25"/>
      <c r="G51" s="7" t="str">
        <f t="shared" si="9"/>
        <v/>
      </c>
      <c r="H51" s="7">
        <f t="shared" si="10"/>
        <v>-45999</v>
      </c>
      <c r="I51" s="21" t="s">
        <v>8</v>
      </c>
      <c r="J51" s="24">
        <v>956</v>
      </c>
      <c r="K51" s="25"/>
      <c r="L51" s="25"/>
      <c r="M51" s="7" t="str">
        <f t="shared" si="11"/>
        <v/>
      </c>
      <c r="N51" s="7">
        <f t="shared" si="12"/>
        <v>-45999</v>
      </c>
      <c r="O51" s="21" t="s">
        <v>8</v>
      </c>
      <c r="P51" s="24">
        <v>956</v>
      </c>
      <c r="Q51" s="25"/>
      <c r="R51" s="25"/>
      <c r="S51" s="7" t="str">
        <f t="shared" si="13"/>
        <v/>
      </c>
      <c r="T51" s="7">
        <f t="shared" si="14"/>
        <v>-45999</v>
      </c>
      <c r="U51" s="19"/>
      <c r="V51" s="21" t="s">
        <v>8</v>
      </c>
      <c r="W51" s="24">
        <v>956</v>
      </c>
      <c r="X51" s="25"/>
      <c r="Y51" s="25"/>
      <c r="Z51" s="7" t="str">
        <f t="shared" si="15"/>
        <v/>
      </c>
      <c r="AA51" s="7"/>
      <c r="AB51" s="19"/>
      <c r="AC51" s="20"/>
      <c r="AD51" s="21" t="s">
        <v>8</v>
      </c>
      <c r="AE51" s="24">
        <v>956</v>
      </c>
      <c r="AF51" s="25"/>
      <c r="AG51" s="25"/>
      <c r="AH51" s="7" t="str">
        <f t="shared" si="16"/>
        <v/>
      </c>
      <c r="AI51" s="7"/>
      <c r="AJ51" s="19"/>
      <c r="AK51" s="20"/>
      <c r="AL51" s="21" t="s">
        <v>8</v>
      </c>
      <c r="AM51" s="24">
        <v>956</v>
      </c>
      <c r="AN51" s="25"/>
      <c r="AO51" s="25"/>
      <c r="AP51" s="7" t="str">
        <f t="shared" si="17"/>
        <v/>
      </c>
      <c r="AQ51" s="7"/>
      <c r="AR51" s="19"/>
      <c r="AS51" s="20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</row>
    <row r="52" spans="1:57" ht="22.15" hidden="1" customHeight="1">
      <c r="A52"/>
      <c r="B52" s="6" t="s">
        <v>59</v>
      </c>
      <c r="C52" s="21" t="s">
        <v>8</v>
      </c>
      <c r="D52" s="26">
        <v>2012</v>
      </c>
      <c r="E52" s="25"/>
      <c r="F52" s="25"/>
      <c r="G52" s="7" t="str">
        <f t="shared" si="9"/>
        <v/>
      </c>
      <c r="H52" s="7">
        <f t="shared" si="10"/>
        <v>-45999</v>
      </c>
      <c r="I52" s="21" t="s">
        <v>8</v>
      </c>
      <c r="J52" s="24">
        <v>2012</v>
      </c>
      <c r="K52" s="25"/>
      <c r="L52" s="25"/>
      <c r="M52" s="7" t="str">
        <f t="shared" si="11"/>
        <v/>
      </c>
      <c r="N52" s="7">
        <f t="shared" si="12"/>
        <v>-45999</v>
      </c>
      <c r="O52" s="21" t="s">
        <v>8</v>
      </c>
      <c r="P52" s="24">
        <v>2012</v>
      </c>
      <c r="Q52" s="25"/>
      <c r="R52" s="25"/>
      <c r="S52" s="7" t="str">
        <f t="shared" si="13"/>
        <v/>
      </c>
      <c r="T52" s="7">
        <f t="shared" si="14"/>
        <v>-45999</v>
      </c>
      <c r="U52" s="19"/>
      <c r="V52" s="21" t="s">
        <v>8</v>
      </c>
      <c r="W52" s="24">
        <v>2012</v>
      </c>
      <c r="X52" s="25"/>
      <c r="Y52" s="25"/>
      <c r="Z52" s="7" t="str">
        <f t="shared" si="15"/>
        <v/>
      </c>
      <c r="AA52" s="7"/>
      <c r="AB52" s="19"/>
      <c r="AC52" s="20"/>
      <c r="AD52" s="21" t="s">
        <v>8</v>
      </c>
      <c r="AE52" s="24">
        <v>2012</v>
      </c>
      <c r="AF52" s="25"/>
      <c r="AG52" s="25"/>
      <c r="AH52" s="7" t="str">
        <f t="shared" si="16"/>
        <v/>
      </c>
      <c r="AI52" s="7"/>
      <c r="AJ52" s="19"/>
      <c r="AK52" s="20"/>
      <c r="AL52" s="21" t="s">
        <v>8</v>
      </c>
      <c r="AM52" s="24">
        <v>2012</v>
      </c>
      <c r="AN52" s="25"/>
      <c r="AO52" s="25"/>
      <c r="AP52" s="7" t="str">
        <f t="shared" si="17"/>
        <v/>
      </c>
      <c r="AQ52" s="7"/>
      <c r="AR52" s="19"/>
      <c r="AS52" s="20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</row>
    <row r="53" spans="1:57" ht="22.15" hidden="1" customHeight="1">
      <c r="A53"/>
      <c r="B53" s="6" t="s">
        <v>60</v>
      </c>
      <c r="C53" s="21" t="s">
        <v>8</v>
      </c>
      <c r="D53" s="22">
        <v>740</v>
      </c>
      <c r="E53" s="25"/>
      <c r="F53" s="25"/>
      <c r="G53" s="7" t="str">
        <f t="shared" si="9"/>
        <v/>
      </c>
      <c r="H53" s="7">
        <f t="shared" si="10"/>
        <v>-45999</v>
      </c>
      <c r="I53" s="21" t="s">
        <v>8</v>
      </c>
      <c r="J53" s="24">
        <v>740</v>
      </c>
      <c r="K53" s="25"/>
      <c r="L53" s="25"/>
      <c r="M53" s="7" t="str">
        <f t="shared" si="11"/>
        <v/>
      </c>
      <c r="N53" s="7">
        <f t="shared" si="12"/>
        <v>-45999</v>
      </c>
      <c r="O53" s="21" t="s">
        <v>8</v>
      </c>
      <c r="P53" s="24">
        <v>740</v>
      </c>
      <c r="Q53" s="25"/>
      <c r="R53" s="25"/>
      <c r="S53" s="7" t="str">
        <f t="shared" si="13"/>
        <v/>
      </c>
      <c r="T53" s="7">
        <f t="shared" si="14"/>
        <v>-45999</v>
      </c>
      <c r="U53" s="19"/>
      <c r="V53" s="21" t="s">
        <v>8</v>
      </c>
      <c r="W53" s="24">
        <v>740</v>
      </c>
      <c r="X53" s="25"/>
      <c r="Y53" s="25"/>
      <c r="Z53" s="7" t="str">
        <f t="shared" si="15"/>
        <v/>
      </c>
      <c r="AA53" s="7"/>
      <c r="AB53" s="19"/>
      <c r="AC53" s="20"/>
      <c r="AD53" s="21" t="s">
        <v>8</v>
      </c>
      <c r="AE53" s="24">
        <v>740</v>
      </c>
      <c r="AF53" s="25"/>
      <c r="AG53" s="25"/>
      <c r="AH53" s="7" t="str">
        <f t="shared" si="16"/>
        <v/>
      </c>
      <c r="AI53" s="7"/>
      <c r="AJ53" s="19"/>
      <c r="AK53" s="20"/>
      <c r="AL53" s="21" t="s">
        <v>8</v>
      </c>
      <c r="AM53" s="24">
        <v>740</v>
      </c>
      <c r="AN53" s="25"/>
      <c r="AO53" s="25"/>
      <c r="AP53" s="7" t="str">
        <f t="shared" si="17"/>
        <v/>
      </c>
      <c r="AQ53" s="7"/>
      <c r="AR53" s="19"/>
      <c r="AS53" s="20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</row>
    <row r="54" spans="1:57" ht="22.15" hidden="1" customHeight="1">
      <c r="A54"/>
      <c r="B54" s="6" t="s">
        <v>61</v>
      </c>
      <c r="C54" s="21" t="s">
        <v>8</v>
      </c>
      <c r="D54" s="22">
        <v>92</v>
      </c>
      <c r="E54" s="25"/>
      <c r="F54" s="25"/>
      <c r="G54" s="7" t="str">
        <f t="shared" si="9"/>
        <v/>
      </c>
      <c r="H54" s="7">
        <f t="shared" si="10"/>
        <v>-45999</v>
      </c>
      <c r="I54" s="21" t="s">
        <v>8</v>
      </c>
      <c r="J54" s="24">
        <v>92</v>
      </c>
      <c r="K54" s="25"/>
      <c r="L54" s="25"/>
      <c r="M54" s="7" t="str">
        <f t="shared" si="11"/>
        <v/>
      </c>
      <c r="N54" s="7">
        <f t="shared" si="12"/>
        <v>-45999</v>
      </c>
      <c r="O54" s="21" t="s">
        <v>8</v>
      </c>
      <c r="P54" s="24">
        <v>92</v>
      </c>
      <c r="Q54" s="25"/>
      <c r="R54" s="25"/>
      <c r="S54" s="7" t="str">
        <f t="shared" si="13"/>
        <v/>
      </c>
      <c r="T54" s="7">
        <f t="shared" si="14"/>
        <v>-45999</v>
      </c>
      <c r="U54" s="19"/>
      <c r="V54" s="21" t="s">
        <v>8</v>
      </c>
      <c r="W54" s="24">
        <v>92</v>
      </c>
      <c r="X54" s="25"/>
      <c r="Y54" s="25"/>
      <c r="Z54" s="7" t="str">
        <f t="shared" si="15"/>
        <v/>
      </c>
      <c r="AA54" s="7"/>
      <c r="AB54" s="19"/>
      <c r="AC54" s="20"/>
      <c r="AD54" s="21" t="s">
        <v>8</v>
      </c>
      <c r="AE54" s="24">
        <v>92</v>
      </c>
      <c r="AF54" s="25"/>
      <c r="AG54" s="25"/>
      <c r="AH54" s="7" t="str">
        <f t="shared" si="16"/>
        <v/>
      </c>
      <c r="AI54" s="7"/>
      <c r="AJ54" s="19"/>
      <c r="AK54" s="20"/>
      <c r="AL54" s="21" t="s">
        <v>8</v>
      </c>
      <c r="AM54" s="24">
        <v>92</v>
      </c>
      <c r="AN54" s="25"/>
      <c r="AO54" s="25"/>
      <c r="AP54" s="7" t="str">
        <f t="shared" si="17"/>
        <v/>
      </c>
      <c r="AQ54" s="7"/>
      <c r="AR54" s="19"/>
      <c r="AS54" s="20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</row>
    <row r="55" spans="1:57" ht="22.15" hidden="1" customHeight="1">
      <c r="A55"/>
      <c r="B55" s="6" t="s">
        <v>62</v>
      </c>
      <c r="C55" s="21" t="s">
        <v>8</v>
      </c>
      <c r="D55" s="22">
        <v>636</v>
      </c>
      <c r="E55" s="25"/>
      <c r="F55" s="25"/>
      <c r="G55" s="7" t="str">
        <f t="shared" si="9"/>
        <v/>
      </c>
      <c r="H55" s="7">
        <f t="shared" si="10"/>
        <v>-45999</v>
      </c>
      <c r="I55" s="21" t="s">
        <v>8</v>
      </c>
      <c r="J55" s="24">
        <v>636</v>
      </c>
      <c r="K55" s="25"/>
      <c r="L55" s="25"/>
      <c r="M55" s="7" t="str">
        <f t="shared" si="11"/>
        <v/>
      </c>
      <c r="N55" s="7">
        <f t="shared" si="12"/>
        <v>-45999</v>
      </c>
      <c r="O55" s="21" t="s">
        <v>8</v>
      </c>
      <c r="P55" s="24">
        <v>636</v>
      </c>
      <c r="Q55" s="25"/>
      <c r="R55" s="25"/>
      <c r="S55" s="7" t="str">
        <f t="shared" si="13"/>
        <v/>
      </c>
      <c r="T55" s="7">
        <f t="shared" si="14"/>
        <v>-45999</v>
      </c>
      <c r="U55" s="19"/>
      <c r="V55" s="21" t="s">
        <v>8</v>
      </c>
      <c r="W55" s="24">
        <v>636</v>
      </c>
      <c r="X55" s="25"/>
      <c r="Y55" s="25"/>
      <c r="Z55" s="7" t="str">
        <f t="shared" si="15"/>
        <v/>
      </c>
      <c r="AA55" s="7"/>
      <c r="AB55" s="19"/>
      <c r="AC55" s="20"/>
      <c r="AD55" s="21" t="s">
        <v>8</v>
      </c>
      <c r="AE55" s="24">
        <v>636</v>
      </c>
      <c r="AF55" s="25"/>
      <c r="AG55" s="25"/>
      <c r="AH55" s="7" t="str">
        <f t="shared" si="16"/>
        <v/>
      </c>
      <c r="AI55" s="7"/>
      <c r="AJ55" s="19"/>
      <c r="AK55" s="20"/>
      <c r="AL55" s="21" t="s">
        <v>8</v>
      </c>
      <c r="AM55" s="24">
        <v>636</v>
      </c>
      <c r="AN55" s="25"/>
      <c r="AO55" s="25"/>
      <c r="AP55" s="7" t="str">
        <f t="shared" si="17"/>
        <v/>
      </c>
      <c r="AQ55" s="7"/>
      <c r="AR55" s="19"/>
      <c r="AS55" s="20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</row>
    <row r="56" spans="1:57" ht="22.15" hidden="1" customHeight="1">
      <c r="A56"/>
      <c r="B56" s="6" t="s">
        <v>63</v>
      </c>
      <c r="C56" s="21" t="s">
        <v>8</v>
      </c>
      <c r="D56" s="22">
        <v>636</v>
      </c>
      <c r="E56" s="25"/>
      <c r="F56" s="25"/>
      <c r="G56" s="7" t="str">
        <f t="shared" si="9"/>
        <v/>
      </c>
      <c r="H56" s="7">
        <f t="shared" si="10"/>
        <v>-45999</v>
      </c>
      <c r="I56" s="21" t="s">
        <v>8</v>
      </c>
      <c r="J56" s="24">
        <v>636</v>
      </c>
      <c r="K56" s="25"/>
      <c r="L56" s="25"/>
      <c r="M56" s="7" t="str">
        <f t="shared" si="11"/>
        <v/>
      </c>
      <c r="N56" s="7">
        <f t="shared" si="12"/>
        <v>-45999</v>
      </c>
      <c r="O56" s="21" t="s">
        <v>8</v>
      </c>
      <c r="P56" s="24">
        <v>636</v>
      </c>
      <c r="Q56" s="25"/>
      <c r="R56" s="25"/>
      <c r="S56" s="7" t="str">
        <f t="shared" si="13"/>
        <v/>
      </c>
      <c r="T56" s="7">
        <f t="shared" si="14"/>
        <v>-45999</v>
      </c>
      <c r="U56" s="19"/>
      <c r="V56" s="21" t="s">
        <v>8</v>
      </c>
      <c r="W56" s="24">
        <v>636</v>
      </c>
      <c r="X56" s="25"/>
      <c r="Y56" s="25"/>
      <c r="Z56" s="7" t="str">
        <f t="shared" si="15"/>
        <v/>
      </c>
      <c r="AA56" s="7"/>
      <c r="AB56" s="19"/>
      <c r="AC56" s="20"/>
      <c r="AD56" s="21" t="s">
        <v>8</v>
      </c>
      <c r="AE56" s="24">
        <v>636</v>
      </c>
      <c r="AF56" s="25"/>
      <c r="AG56" s="25"/>
      <c r="AH56" s="7" t="str">
        <f t="shared" si="16"/>
        <v/>
      </c>
      <c r="AI56" s="7"/>
      <c r="AJ56" s="19"/>
      <c r="AK56" s="20"/>
      <c r="AL56" s="21" t="s">
        <v>8</v>
      </c>
      <c r="AM56" s="24">
        <v>636</v>
      </c>
      <c r="AN56" s="25"/>
      <c r="AO56" s="25"/>
      <c r="AP56" s="7" t="str">
        <f t="shared" si="17"/>
        <v/>
      </c>
      <c r="AQ56" s="7"/>
      <c r="AR56" s="19"/>
      <c r="AS56" s="20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</row>
    <row r="57" spans="1:57" ht="22.15" hidden="1" customHeight="1">
      <c r="A57"/>
      <c r="B57" s="6" t="s">
        <v>64</v>
      </c>
      <c r="C57" s="21" t="s">
        <v>8</v>
      </c>
      <c r="D57" s="22">
        <v>620</v>
      </c>
      <c r="E57" s="25"/>
      <c r="F57" s="25"/>
      <c r="G57" s="7" t="str">
        <f t="shared" si="9"/>
        <v/>
      </c>
      <c r="H57" s="7">
        <f t="shared" si="10"/>
        <v>-45999</v>
      </c>
      <c r="I57" s="21" t="s">
        <v>8</v>
      </c>
      <c r="J57" s="24">
        <v>620</v>
      </c>
      <c r="K57" s="25"/>
      <c r="L57" s="25"/>
      <c r="M57" s="7" t="str">
        <f t="shared" si="11"/>
        <v/>
      </c>
      <c r="N57" s="7">
        <f t="shared" si="12"/>
        <v>-45999</v>
      </c>
      <c r="O57" s="21" t="s">
        <v>8</v>
      </c>
      <c r="P57" s="24">
        <v>620</v>
      </c>
      <c r="Q57" s="25"/>
      <c r="R57" s="25"/>
      <c r="S57" s="7" t="str">
        <f t="shared" si="13"/>
        <v/>
      </c>
      <c r="T57" s="7">
        <f t="shared" si="14"/>
        <v>-45999</v>
      </c>
      <c r="U57" s="19"/>
      <c r="V57" s="21" t="s">
        <v>8</v>
      </c>
      <c r="W57" s="24">
        <v>620</v>
      </c>
      <c r="X57" s="25"/>
      <c r="Y57" s="25"/>
      <c r="Z57" s="7" t="str">
        <f t="shared" si="15"/>
        <v/>
      </c>
      <c r="AA57" s="7"/>
      <c r="AB57" s="19"/>
      <c r="AC57" s="20"/>
      <c r="AD57" s="21" t="s">
        <v>8</v>
      </c>
      <c r="AE57" s="24">
        <v>620</v>
      </c>
      <c r="AF57" s="25"/>
      <c r="AG57" s="25"/>
      <c r="AH57" s="7" t="str">
        <f t="shared" si="16"/>
        <v/>
      </c>
      <c r="AI57" s="7"/>
      <c r="AJ57" s="19"/>
      <c r="AK57" s="20"/>
      <c r="AL57" s="21" t="s">
        <v>8</v>
      </c>
      <c r="AM57" s="24">
        <v>620</v>
      </c>
      <c r="AN57" s="25"/>
      <c r="AO57" s="25"/>
      <c r="AP57" s="7" t="str">
        <f t="shared" si="17"/>
        <v/>
      </c>
      <c r="AQ57" s="7"/>
      <c r="AR57" s="19"/>
      <c r="AS57" s="20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</row>
    <row r="58" spans="1:57" ht="22.15" hidden="1" customHeight="1">
      <c r="A58"/>
      <c r="B58" s="6" t="s">
        <v>65</v>
      </c>
      <c r="C58" s="21" t="s">
        <v>8</v>
      </c>
      <c r="D58" s="22">
        <v>636</v>
      </c>
      <c r="E58" s="25"/>
      <c r="F58" s="25"/>
      <c r="G58" s="7" t="str">
        <f t="shared" si="9"/>
        <v/>
      </c>
      <c r="H58" s="7">
        <f t="shared" si="10"/>
        <v>-45999</v>
      </c>
      <c r="I58" s="21" t="s">
        <v>8</v>
      </c>
      <c r="J58" s="24">
        <v>636</v>
      </c>
      <c r="K58" s="25"/>
      <c r="L58" s="25"/>
      <c r="M58" s="7" t="str">
        <f t="shared" si="11"/>
        <v/>
      </c>
      <c r="N58" s="7">
        <f t="shared" si="12"/>
        <v>-45999</v>
      </c>
      <c r="O58" s="21" t="s">
        <v>8</v>
      </c>
      <c r="P58" s="24">
        <v>636</v>
      </c>
      <c r="Q58" s="25"/>
      <c r="R58" s="25"/>
      <c r="S58" s="7" t="str">
        <f t="shared" si="13"/>
        <v/>
      </c>
      <c r="T58" s="7">
        <f t="shared" si="14"/>
        <v>-45999</v>
      </c>
      <c r="U58" s="19"/>
      <c r="V58" s="21" t="s">
        <v>8</v>
      </c>
      <c r="W58" s="24">
        <v>636</v>
      </c>
      <c r="X58" s="25"/>
      <c r="Y58" s="25"/>
      <c r="Z58" s="7" t="str">
        <f t="shared" si="15"/>
        <v/>
      </c>
      <c r="AA58" s="7"/>
      <c r="AB58" s="19"/>
      <c r="AC58" s="20"/>
      <c r="AD58" s="21" t="s">
        <v>8</v>
      </c>
      <c r="AE58" s="24">
        <v>636</v>
      </c>
      <c r="AF58" s="25"/>
      <c r="AG58" s="25"/>
      <c r="AH58" s="7" t="str">
        <f t="shared" si="16"/>
        <v/>
      </c>
      <c r="AI58" s="7"/>
      <c r="AJ58" s="19"/>
      <c r="AK58" s="20"/>
      <c r="AL58" s="21" t="s">
        <v>8</v>
      </c>
      <c r="AM58" s="24">
        <v>636</v>
      </c>
      <c r="AN58" s="25"/>
      <c r="AO58" s="25"/>
      <c r="AP58" s="7" t="str">
        <f t="shared" si="17"/>
        <v/>
      </c>
      <c r="AQ58" s="7"/>
      <c r="AR58" s="19"/>
      <c r="AS58" s="20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</row>
    <row r="59" spans="1:57" ht="22.15" hidden="1" customHeight="1">
      <c r="A59"/>
      <c r="B59" s="6" t="s">
        <v>66</v>
      </c>
      <c r="C59" s="21" t="s">
        <v>8</v>
      </c>
      <c r="D59" s="26">
        <v>3844</v>
      </c>
      <c r="E59" s="25"/>
      <c r="F59" s="25"/>
      <c r="G59" s="7" t="str">
        <f t="shared" si="9"/>
        <v/>
      </c>
      <c r="H59" s="7">
        <f t="shared" si="10"/>
        <v>-45999</v>
      </c>
      <c r="I59" s="21" t="s">
        <v>8</v>
      </c>
      <c r="J59" s="24">
        <v>3844</v>
      </c>
      <c r="K59" s="25"/>
      <c r="L59" s="25"/>
      <c r="M59" s="7" t="str">
        <f t="shared" si="11"/>
        <v/>
      </c>
      <c r="N59" s="7">
        <f t="shared" si="12"/>
        <v>-45999</v>
      </c>
      <c r="O59" s="21" t="s">
        <v>8</v>
      </c>
      <c r="P59" s="24">
        <v>3844</v>
      </c>
      <c r="Q59" s="25"/>
      <c r="R59" s="25"/>
      <c r="S59" s="7" t="str">
        <f t="shared" si="13"/>
        <v/>
      </c>
      <c r="T59" s="7">
        <f t="shared" si="14"/>
        <v>-45999</v>
      </c>
      <c r="U59" s="19"/>
      <c r="V59" s="21" t="s">
        <v>8</v>
      </c>
      <c r="W59" s="24">
        <v>3844</v>
      </c>
      <c r="X59" s="25"/>
      <c r="Y59" s="25"/>
      <c r="Z59" s="7" t="str">
        <f t="shared" si="15"/>
        <v/>
      </c>
      <c r="AA59" s="7"/>
      <c r="AB59" s="19"/>
      <c r="AC59" s="20"/>
      <c r="AD59" s="21" t="s">
        <v>8</v>
      </c>
      <c r="AE59" s="24">
        <v>3844</v>
      </c>
      <c r="AF59" s="25"/>
      <c r="AG59" s="25"/>
      <c r="AH59" s="7" t="str">
        <f t="shared" si="16"/>
        <v/>
      </c>
      <c r="AI59" s="7"/>
      <c r="AJ59" s="19"/>
      <c r="AK59" s="20"/>
      <c r="AL59" s="21" t="s">
        <v>8</v>
      </c>
      <c r="AM59" s="24">
        <v>3844</v>
      </c>
      <c r="AN59" s="25"/>
      <c r="AO59" s="25"/>
      <c r="AP59" s="7" t="str">
        <f t="shared" si="17"/>
        <v/>
      </c>
      <c r="AQ59" s="7"/>
      <c r="AR59" s="19"/>
      <c r="AS59" s="20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</row>
    <row r="60" spans="1:57" ht="22.15" hidden="1" customHeight="1">
      <c r="A60"/>
      <c r="B60" s="6" t="s">
        <v>67</v>
      </c>
      <c r="C60" s="21" t="s">
        <v>8</v>
      </c>
      <c r="D60" s="26">
        <v>3244</v>
      </c>
      <c r="E60" s="25"/>
      <c r="F60" s="25"/>
      <c r="G60" s="7" t="str">
        <f t="shared" si="9"/>
        <v/>
      </c>
      <c r="H60" s="7">
        <f t="shared" si="10"/>
        <v>-45999</v>
      </c>
      <c r="I60" s="21" t="s">
        <v>8</v>
      </c>
      <c r="J60" s="24">
        <v>3244</v>
      </c>
      <c r="K60" s="25"/>
      <c r="L60" s="25"/>
      <c r="M60" s="7" t="str">
        <f t="shared" si="11"/>
        <v/>
      </c>
      <c r="N60" s="7">
        <f t="shared" si="12"/>
        <v>-45999</v>
      </c>
      <c r="O60" s="21" t="s">
        <v>8</v>
      </c>
      <c r="P60" s="24">
        <v>3244</v>
      </c>
      <c r="Q60" s="25"/>
      <c r="R60" s="25"/>
      <c r="S60" s="7" t="str">
        <f t="shared" si="13"/>
        <v/>
      </c>
      <c r="T60" s="7">
        <f t="shared" si="14"/>
        <v>-45999</v>
      </c>
      <c r="U60" s="19"/>
      <c r="V60" s="21" t="s">
        <v>8</v>
      </c>
      <c r="W60" s="24">
        <v>3244</v>
      </c>
      <c r="X60" s="25"/>
      <c r="Y60" s="25"/>
      <c r="Z60" s="7" t="str">
        <f t="shared" si="15"/>
        <v/>
      </c>
      <c r="AA60" s="7"/>
      <c r="AB60" s="19"/>
      <c r="AC60" s="20"/>
      <c r="AD60" s="21" t="s">
        <v>8</v>
      </c>
      <c r="AE60" s="24">
        <v>3244</v>
      </c>
      <c r="AF60" s="25"/>
      <c r="AG60" s="25"/>
      <c r="AH60" s="7" t="str">
        <f t="shared" si="16"/>
        <v/>
      </c>
      <c r="AI60" s="7"/>
      <c r="AJ60" s="19"/>
      <c r="AK60" s="20"/>
      <c r="AL60" s="21" t="s">
        <v>8</v>
      </c>
      <c r="AM60" s="24">
        <v>3244</v>
      </c>
      <c r="AN60" s="25"/>
      <c r="AO60" s="25"/>
      <c r="AP60" s="7" t="str">
        <f t="shared" si="17"/>
        <v/>
      </c>
      <c r="AQ60" s="7"/>
      <c r="AR60" s="19"/>
      <c r="AS60" s="20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</row>
    <row r="61" spans="1:57" ht="22.15" hidden="1" customHeight="1">
      <c r="A61"/>
      <c r="B61" s="6" t="s">
        <v>68</v>
      </c>
      <c r="C61" s="21" t="s">
        <v>8</v>
      </c>
      <c r="D61" s="26">
        <v>3244</v>
      </c>
      <c r="E61" s="25"/>
      <c r="F61" s="25"/>
      <c r="G61" s="7" t="str">
        <f t="shared" si="9"/>
        <v/>
      </c>
      <c r="H61" s="7">
        <f t="shared" si="10"/>
        <v>-45999</v>
      </c>
      <c r="I61" s="21" t="s">
        <v>8</v>
      </c>
      <c r="J61" s="24">
        <v>3244</v>
      </c>
      <c r="K61" s="25"/>
      <c r="L61" s="25"/>
      <c r="M61" s="7" t="str">
        <f t="shared" si="11"/>
        <v/>
      </c>
      <c r="N61" s="7">
        <f t="shared" si="12"/>
        <v>-45999</v>
      </c>
      <c r="O61" s="21" t="s">
        <v>8</v>
      </c>
      <c r="P61" s="24">
        <v>3244</v>
      </c>
      <c r="Q61" s="25"/>
      <c r="R61" s="25"/>
      <c r="S61" s="7" t="str">
        <f t="shared" si="13"/>
        <v/>
      </c>
      <c r="T61" s="7">
        <f t="shared" si="14"/>
        <v>-45999</v>
      </c>
      <c r="U61" s="19"/>
      <c r="V61" s="21" t="s">
        <v>8</v>
      </c>
      <c r="W61" s="24">
        <v>3244</v>
      </c>
      <c r="X61" s="25"/>
      <c r="Y61" s="25"/>
      <c r="Z61" s="7" t="str">
        <f t="shared" si="15"/>
        <v/>
      </c>
      <c r="AA61" s="7"/>
      <c r="AB61" s="19"/>
      <c r="AC61" s="20"/>
      <c r="AD61" s="21" t="s">
        <v>8</v>
      </c>
      <c r="AE61" s="24">
        <v>3244</v>
      </c>
      <c r="AF61" s="25"/>
      <c r="AG61" s="25"/>
      <c r="AH61" s="7" t="str">
        <f t="shared" si="16"/>
        <v/>
      </c>
      <c r="AI61" s="7"/>
      <c r="AJ61" s="19"/>
      <c r="AK61" s="20"/>
      <c r="AL61" s="21" t="s">
        <v>8</v>
      </c>
      <c r="AM61" s="24">
        <v>3244</v>
      </c>
      <c r="AN61" s="25"/>
      <c r="AO61" s="25"/>
      <c r="AP61" s="7" t="str">
        <f t="shared" si="17"/>
        <v/>
      </c>
      <c r="AQ61" s="7"/>
      <c r="AR61" s="19"/>
      <c r="AS61" s="20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</row>
    <row r="62" spans="1:57" ht="22.15" hidden="1" customHeight="1">
      <c r="A62"/>
      <c r="B62" s="6" t="s">
        <v>69</v>
      </c>
      <c r="C62" s="21" t="s">
        <v>8</v>
      </c>
      <c r="D62" s="26">
        <v>3268</v>
      </c>
      <c r="E62" s="25"/>
      <c r="F62" s="25"/>
      <c r="G62" s="7" t="str">
        <f t="shared" si="9"/>
        <v/>
      </c>
      <c r="H62" s="7">
        <f t="shared" si="10"/>
        <v>-45999</v>
      </c>
      <c r="I62" s="21" t="s">
        <v>8</v>
      </c>
      <c r="J62" s="24">
        <v>3268</v>
      </c>
      <c r="K62" s="25"/>
      <c r="L62" s="25"/>
      <c r="M62" s="7" t="str">
        <f t="shared" si="11"/>
        <v/>
      </c>
      <c r="N62" s="7">
        <f t="shared" si="12"/>
        <v>-45999</v>
      </c>
      <c r="O62" s="21" t="s">
        <v>8</v>
      </c>
      <c r="P62" s="24">
        <v>3268</v>
      </c>
      <c r="Q62" s="25"/>
      <c r="R62" s="25"/>
      <c r="S62" s="7" t="str">
        <f t="shared" si="13"/>
        <v/>
      </c>
      <c r="T62" s="7">
        <f t="shared" si="14"/>
        <v>-45999</v>
      </c>
      <c r="U62" s="19"/>
      <c r="V62" s="21" t="s">
        <v>8</v>
      </c>
      <c r="W62" s="24">
        <v>3268</v>
      </c>
      <c r="X62" s="25"/>
      <c r="Y62" s="25"/>
      <c r="Z62" s="7" t="str">
        <f t="shared" si="15"/>
        <v/>
      </c>
      <c r="AA62" s="7"/>
      <c r="AB62" s="19"/>
      <c r="AC62" s="20"/>
      <c r="AD62" s="21" t="s">
        <v>8</v>
      </c>
      <c r="AE62" s="24">
        <v>3268</v>
      </c>
      <c r="AF62" s="25"/>
      <c r="AG62" s="25"/>
      <c r="AH62" s="7" t="str">
        <f t="shared" si="16"/>
        <v/>
      </c>
      <c r="AI62" s="7"/>
      <c r="AJ62" s="19"/>
      <c r="AK62" s="20"/>
      <c r="AL62" s="21" t="s">
        <v>8</v>
      </c>
      <c r="AM62" s="24">
        <v>3268</v>
      </c>
      <c r="AN62" s="25"/>
      <c r="AO62" s="25"/>
      <c r="AP62" s="7" t="str">
        <f t="shared" si="17"/>
        <v/>
      </c>
      <c r="AQ62" s="7"/>
      <c r="AR62" s="19"/>
      <c r="AS62" s="20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</row>
    <row r="63" spans="1:57" ht="22.15" hidden="1" customHeight="1">
      <c r="A63"/>
      <c r="B63" s="6" t="s">
        <v>70</v>
      </c>
      <c r="C63" s="21" t="s">
        <v>8</v>
      </c>
      <c r="D63" s="26">
        <v>1608</v>
      </c>
      <c r="E63" s="25"/>
      <c r="F63" s="25"/>
      <c r="G63" s="7" t="str">
        <f t="shared" si="9"/>
        <v/>
      </c>
      <c r="H63" s="7">
        <f t="shared" si="10"/>
        <v>-45999</v>
      </c>
      <c r="I63" s="21" t="s">
        <v>8</v>
      </c>
      <c r="J63" s="24">
        <v>1608</v>
      </c>
      <c r="K63" s="25"/>
      <c r="L63" s="25"/>
      <c r="M63" s="7" t="str">
        <f t="shared" si="11"/>
        <v/>
      </c>
      <c r="N63" s="7">
        <f t="shared" si="12"/>
        <v>-45999</v>
      </c>
      <c r="O63" s="21" t="s">
        <v>8</v>
      </c>
      <c r="P63" s="24">
        <v>1608</v>
      </c>
      <c r="Q63" s="25"/>
      <c r="R63" s="25"/>
      <c r="S63" s="7" t="str">
        <f t="shared" si="13"/>
        <v/>
      </c>
      <c r="T63" s="7">
        <f t="shared" si="14"/>
        <v>-45999</v>
      </c>
      <c r="U63" s="19"/>
      <c r="V63" s="21" t="s">
        <v>8</v>
      </c>
      <c r="W63" s="24">
        <v>1608</v>
      </c>
      <c r="X63" s="25"/>
      <c r="Y63" s="25"/>
      <c r="Z63" s="7" t="str">
        <f t="shared" si="15"/>
        <v/>
      </c>
      <c r="AA63" s="7"/>
      <c r="AB63" s="19"/>
      <c r="AC63" s="20"/>
      <c r="AD63" s="21" t="s">
        <v>8</v>
      </c>
      <c r="AE63" s="24">
        <v>1608</v>
      </c>
      <c r="AF63" s="25"/>
      <c r="AG63" s="25"/>
      <c r="AH63" s="7" t="str">
        <f t="shared" si="16"/>
        <v/>
      </c>
      <c r="AI63" s="7"/>
      <c r="AJ63" s="19"/>
      <c r="AK63" s="20"/>
      <c r="AL63" s="21" t="s">
        <v>8</v>
      </c>
      <c r="AM63" s="24">
        <v>1608</v>
      </c>
      <c r="AN63" s="25"/>
      <c r="AO63" s="25"/>
      <c r="AP63" s="7" t="str">
        <f t="shared" si="17"/>
        <v/>
      </c>
      <c r="AQ63" s="7"/>
      <c r="AR63" s="19"/>
      <c r="AS63" s="20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</row>
    <row r="64" spans="1:57" ht="22.15" hidden="1" customHeight="1">
      <c r="A64"/>
      <c r="B64" s="6" t="s">
        <v>71</v>
      </c>
      <c r="C64" s="21" t="s">
        <v>8</v>
      </c>
      <c r="D64" s="26">
        <v>1284</v>
      </c>
      <c r="E64" s="25"/>
      <c r="F64" s="25"/>
      <c r="G64" s="7" t="str">
        <f t="shared" si="9"/>
        <v/>
      </c>
      <c r="H64" s="7">
        <f t="shared" si="10"/>
        <v>-45999</v>
      </c>
      <c r="I64" s="21" t="s">
        <v>8</v>
      </c>
      <c r="J64" s="24">
        <v>1284</v>
      </c>
      <c r="K64" s="25"/>
      <c r="L64" s="25"/>
      <c r="M64" s="7" t="str">
        <f t="shared" si="11"/>
        <v/>
      </c>
      <c r="N64" s="7">
        <f t="shared" si="12"/>
        <v>-45999</v>
      </c>
      <c r="O64" s="21" t="s">
        <v>8</v>
      </c>
      <c r="P64" s="24">
        <v>1284</v>
      </c>
      <c r="Q64" s="25"/>
      <c r="R64" s="25"/>
      <c r="S64" s="7" t="str">
        <f t="shared" si="13"/>
        <v/>
      </c>
      <c r="T64" s="7">
        <f t="shared" si="14"/>
        <v>-45999</v>
      </c>
      <c r="U64" s="19"/>
      <c r="V64" s="21" t="s">
        <v>8</v>
      </c>
      <c r="W64" s="24">
        <v>1284</v>
      </c>
      <c r="X64" s="25"/>
      <c r="Y64" s="25"/>
      <c r="Z64" s="7" t="str">
        <f t="shared" si="15"/>
        <v/>
      </c>
      <c r="AA64" s="7"/>
      <c r="AB64" s="19"/>
      <c r="AC64" s="20"/>
      <c r="AD64" s="21" t="s">
        <v>8</v>
      </c>
      <c r="AE64" s="24">
        <v>1284</v>
      </c>
      <c r="AF64" s="25"/>
      <c r="AG64" s="25"/>
      <c r="AH64" s="7" t="str">
        <f t="shared" si="16"/>
        <v/>
      </c>
      <c r="AI64" s="7"/>
      <c r="AJ64" s="19"/>
      <c r="AK64" s="20"/>
      <c r="AL64" s="21" t="s">
        <v>8</v>
      </c>
      <c r="AM64" s="24">
        <v>1284</v>
      </c>
      <c r="AN64" s="25"/>
      <c r="AO64" s="25"/>
      <c r="AP64" s="7" t="str">
        <f t="shared" si="17"/>
        <v/>
      </c>
      <c r="AQ64" s="7"/>
      <c r="AR64" s="19"/>
      <c r="AS64" s="20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</row>
    <row r="65" spans="1:57" ht="22.15" hidden="1" customHeight="1">
      <c r="A65"/>
      <c r="B65" s="6" t="s">
        <v>72</v>
      </c>
      <c r="C65" s="21" t="s">
        <v>8</v>
      </c>
      <c r="D65" s="26">
        <v>1266</v>
      </c>
      <c r="E65" s="25"/>
      <c r="F65" s="25"/>
      <c r="G65" s="7" t="str">
        <f t="shared" si="9"/>
        <v/>
      </c>
      <c r="H65" s="7">
        <f t="shared" si="10"/>
        <v>-45999</v>
      </c>
      <c r="I65" s="21" t="s">
        <v>8</v>
      </c>
      <c r="J65" s="24">
        <v>1266</v>
      </c>
      <c r="K65" s="25"/>
      <c r="L65" s="25"/>
      <c r="M65" s="7" t="str">
        <f t="shared" si="11"/>
        <v/>
      </c>
      <c r="N65" s="7">
        <f t="shared" si="12"/>
        <v>-45999</v>
      </c>
      <c r="O65" s="21" t="s">
        <v>8</v>
      </c>
      <c r="P65" s="24">
        <v>1266</v>
      </c>
      <c r="Q65" s="25"/>
      <c r="R65" s="25"/>
      <c r="S65" s="7" t="str">
        <f t="shared" si="13"/>
        <v/>
      </c>
      <c r="T65" s="7">
        <f t="shared" si="14"/>
        <v>-45999</v>
      </c>
      <c r="U65" s="19"/>
      <c r="V65" s="21" t="s">
        <v>8</v>
      </c>
      <c r="W65" s="24">
        <v>1266</v>
      </c>
      <c r="X65" s="25"/>
      <c r="Y65" s="25"/>
      <c r="Z65" s="7" t="str">
        <f t="shared" si="15"/>
        <v/>
      </c>
      <c r="AA65" s="7"/>
      <c r="AB65" s="19"/>
      <c r="AC65" s="20"/>
      <c r="AD65" s="21" t="s">
        <v>8</v>
      </c>
      <c r="AE65" s="24">
        <v>1266</v>
      </c>
      <c r="AF65" s="25"/>
      <c r="AG65" s="25"/>
      <c r="AH65" s="7" t="str">
        <f t="shared" si="16"/>
        <v/>
      </c>
      <c r="AI65" s="7"/>
      <c r="AJ65" s="19"/>
      <c r="AK65" s="20"/>
      <c r="AL65" s="21" t="s">
        <v>8</v>
      </c>
      <c r="AM65" s="24">
        <v>1266</v>
      </c>
      <c r="AN65" s="25"/>
      <c r="AO65" s="25"/>
      <c r="AP65" s="7" t="str">
        <f t="shared" si="17"/>
        <v/>
      </c>
      <c r="AQ65" s="7"/>
      <c r="AR65" s="19"/>
      <c r="AS65" s="20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</row>
    <row r="66" spans="1:57" ht="22.15" hidden="1" customHeight="1">
      <c r="A66"/>
      <c r="B66" s="6" t="s">
        <v>73</v>
      </c>
      <c r="C66" s="21" t="s">
        <v>8</v>
      </c>
      <c r="D66" s="26">
        <v>1278</v>
      </c>
      <c r="E66" s="25"/>
      <c r="F66" s="25"/>
      <c r="G66" s="7" t="str">
        <f t="shared" si="9"/>
        <v/>
      </c>
      <c r="H66" s="7">
        <f t="shared" si="10"/>
        <v>-45999</v>
      </c>
      <c r="I66" s="21" t="s">
        <v>8</v>
      </c>
      <c r="J66" s="24">
        <v>1278</v>
      </c>
      <c r="K66" s="25"/>
      <c r="L66" s="25"/>
      <c r="M66" s="7" t="str">
        <f t="shared" si="11"/>
        <v/>
      </c>
      <c r="N66" s="7">
        <f t="shared" si="12"/>
        <v>-45999</v>
      </c>
      <c r="O66" s="21" t="s">
        <v>8</v>
      </c>
      <c r="P66" s="24">
        <v>1278</v>
      </c>
      <c r="Q66" s="25"/>
      <c r="R66" s="25"/>
      <c r="S66" s="7" t="str">
        <f t="shared" si="13"/>
        <v/>
      </c>
      <c r="T66" s="7">
        <f t="shared" si="14"/>
        <v>-45999</v>
      </c>
      <c r="U66" s="19"/>
      <c r="V66" s="21" t="s">
        <v>8</v>
      </c>
      <c r="W66" s="24">
        <v>1278</v>
      </c>
      <c r="X66" s="25"/>
      <c r="Y66" s="25"/>
      <c r="Z66" s="7" t="str">
        <f t="shared" si="15"/>
        <v/>
      </c>
      <c r="AA66" s="7"/>
      <c r="AB66" s="19"/>
      <c r="AC66" s="20"/>
      <c r="AD66" s="21" t="s">
        <v>8</v>
      </c>
      <c r="AE66" s="24">
        <v>1278</v>
      </c>
      <c r="AF66" s="25"/>
      <c r="AG66" s="25"/>
      <c r="AH66" s="7" t="str">
        <f t="shared" si="16"/>
        <v/>
      </c>
      <c r="AI66" s="7"/>
      <c r="AJ66" s="19"/>
      <c r="AK66" s="20"/>
      <c r="AL66" s="21" t="s">
        <v>8</v>
      </c>
      <c r="AM66" s="24">
        <v>1278</v>
      </c>
      <c r="AN66" s="25"/>
      <c r="AO66" s="25"/>
      <c r="AP66" s="7" t="str">
        <f t="shared" si="17"/>
        <v/>
      </c>
      <c r="AQ66" s="7"/>
      <c r="AR66" s="19"/>
      <c r="AS66" s="20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</row>
    <row r="67" spans="1:57" ht="22.15" hidden="1" customHeight="1">
      <c r="A67"/>
      <c r="B67" s="6" t="s">
        <v>74</v>
      </c>
      <c r="C67" s="21" t="s">
        <v>8</v>
      </c>
      <c r="D67" s="22">
        <v>300</v>
      </c>
      <c r="E67" s="25"/>
      <c r="F67" s="25"/>
      <c r="G67" s="7" t="str">
        <f t="shared" si="9"/>
        <v/>
      </c>
      <c r="H67" s="7">
        <f t="shared" si="10"/>
        <v>-45999</v>
      </c>
      <c r="I67" s="21" t="s">
        <v>8</v>
      </c>
      <c r="J67" s="24">
        <v>300</v>
      </c>
      <c r="K67" s="25"/>
      <c r="L67" s="25"/>
      <c r="M67" s="7" t="str">
        <f t="shared" si="11"/>
        <v/>
      </c>
      <c r="N67" s="7">
        <f t="shared" si="12"/>
        <v>-45999</v>
      </c>
      <c r="O67" s="21" t="s">
        <v>8</v>
      </c>
      <c r="P67" s="24">
        <v>300</v>
      </c>
      <c r="Q67" s="25"/>
      <c r="R67" s="25"/>
      <c r="S67" s="7" t="str">
        <f t="shared" si="13"/>
        <v/>
      </c>
      <c r="T67" s="7">
        <f t="shared" si="14"/>
        <v>-45999</v>
      </c>
      <c r="U67" s="19"/>
      <c r="V67" s="21" t="s">
        <v>8</v>
      </c>
      <c r="W67" s="24">
        <v>300</v>
      </c>
      <c r="X67" s="25"/>
      <c r="Y67" s="25"/>
      <c r="Z67" s="7" t="str">
        <f t="shared" si="15"/>
        <v/>
      </c>
      <c r="AA67" s="7"/>
      <c r="AB67" s="19"/>
      <c r="AC67" s="20"/>
      <c r="AD67" s="21" t="s">
        <v>8</v>
      </c>
      <c r="AE67" s="24">
        <v>300</v>
      </c>
      <c r="AF67" s="25"/>
      <c r="AG67" s="25"/>
      <c r="AH67" s="7" t="str">
        <f t="shared" si="16"/>
        <v/>
      </c>
      <c r="AI67" s="7"/>
      <c r="AJ67" s="19"/>
      <c r="AK67" s="20"/>
      <c r="AL67" s="21" t="s">
        <v>8</v>
      </c>
      <c r="AM67" s="24">
        <v>300</v>
      </c>
      <c r="AN67" s="25"/>
      <c r="AO67" s="25"/>
      <c r="AP67" s="7" t="str">
        <f t="shared" si="17"/>
        <v/>
      </c>
      <c r="AQ67" s="7"/>
      <c r="AR67" s="19"/>
      <c r="AS67" s="20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</row>
    <row r="68" spans="1:57" ht="22.15" hidden="1" customHeight="1">
      <c r="A68"/>
      <c r="B68" s="6" t="s">
        <v>75</v>
      </c>
      <c r="C68" s="21" t="s">
        <v>8</v>
      </c>
      <c r="D68" s="22">
        <v>306</v>
      </c>
      <c r="E68" s="25"/>
      <c r="F68" s="25"/>
      <c r="G68" s="7" t="str">
        <f t="shared" si="9"/>
        <v/>
      </c>
      <c r="H68" s="7">
        <f t="shared" si="10"/>
        <v>-45999</v>
      </c>
      <c r="I68" s="21" t="s">
        <v>8</v>
      </c>
      <c r="J68" s="24">
        <v>306</v>
      </c>
      <c r="K68" s="25"/>
      <c r="L68" s="25"/>
      <c r="M68" s="7" t="str">
        <f t="shared" si="11"/>
        <v/>
      </c>
      <c r="N68" s="7">
        <f t="shared" si="12"/>
        <v>-45999</v>
      </c>
      <c r="O68" s="21" t="s">
        <v>8</v>
      </c>
      <c r="P68" s="24">
        <v>306</v>
      </c>
      <c r="Q68" s="25"/>
      <c r="R68" s="25"/>
      <c r="S68" s="7" t="str">
        <f t="shared" si="13"/>
        <v/>
      </c>
      <c r="T68" s="7">
        <f t="shared" si="14"/>
        <v>-45999</v>
      </c>
      <c r="U68" s="19"/>
      <c r="V68" s="21" t="s">
        <v>8</v>
      </c>
      <c r="W68" s="24">
        <v>306</v>
      </c>
      <c r="X68" s="25"/>
      <c r="Y68" s="25"/>
      <c r="Z68" s="7" t="str">
        <f t="shared" si="15"/>
        <v/>
      </c>
      <c r="AA68" s="7"/>
      <c r="AB68" s="19"/>
      <c r="AC68" s="20"/>
      <c r="AD68" s="21" t="s">
        <v>8</v>
      </c>
      <c r="AE68" s="24">
        <v>306</v>
      </c>
      <c r="AF68" s="25"/>
      <c r="AG68" s="25"/>
      <c r="AH68" s="7" t="str">
        <f t="shared" si="16"/>
        <v/>
      </c>
      <c r="AI68" s="7"/>
      <c r="AJ68" s="19"/>
      <c r="AK68" s="20"/>
      <c r="AL68" s="21" t="s">
        <v>8</v>
      </c>
      <c r="AM68" s="24">
        <v>306</v>
      </c>
      <c r="AN68" s="25"/>
      <c r="AO68" s="25"/>
      <c r="AP68" s="7" t="str">
        <f t="shared" si="17"/>
        <v/>
      </c>
      <c r="AQ68" s="7"/>
      <c r="AR68" s="19"/>
      <c r="AS68" s="20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</row>
    <row r="69" spans="1:57" ht="22.15" hidden="1" customHeight="1">
      <c r="A69"/>
      <c r="B69" s="6" t="s">
        <v>76</v>
      </c>
      <c r="C69" s="21" t="s">
        <v>8</v>
      </c>
      <c r="D69" s="26">
        <v>1296</v>
      </c>
      <c r="E69" s="25"/>
      <c r="F69" s="25"/>
      <c r="G69" s="7" t="str">
        <f t="shared" si="9"/>
        <v/>
      </c>
      <c r="H69" s="7">
        <f t="shared" si="10"/>
        <v>-45999</v>
      </c>
      <c r="I69" s="21" t="s">
        <v>8</v>
      </c>
      <c r="J69" s="24">
        <v>1296</v>
      </c>
      <c r="K69" s="25"/>
      <c r="L69" s="25"/>
      <c r="M69" s="7" t="str">
        <f t="shared" si="11"/>
        <v/>
      </c>
      <c r="N69" s="7">
        <f t="shared" si="12"/>
        <v>-45999</v>
      </c>
      <c r="O69" s="21" t="s">
        <v>8</v>
      </c>
      <c r="P69" s="24">
        <v>1296</v>
      </c>
      <c r="Q69" s="25"/>
      <c r="R69" s="25"/>
      <c r="S69" s="7" t="str">
        <f t="shared" si="13"/>
        <v/>
      </c>
      <c r="T69" s="7">
        <f t="shared" si="14"/>
        <v>-45999</v>
      </c>
      <c r="U69" s="19"/>
      <c r="V69" s="21" t="s">
        <v>8</v>
      </c>
      <c r="W69" s="24">
        <v>1296</v>
      </c>
      <c r="X69" s="25"/>
      <c r="Y69" s="25"/>
      <c r="Z69" s="7" t="str">
        <f t="shared" si="15"/>
        <v/>
      </c>
      <c r="AA69" s="7"/>
      <c r="AB69" s="19"/>
      <c r="AC69" s="20"/>
      <c r="AD69" s="21" t="s">
        <v>8</v>
      </c>
      <c r="AE69" s="24">
        <v>1296</v>
      </c>
      <c r="AF69" s="25"/>
      <c r="AG69" s="25"/>
      <c r="AH69" s="7" t="str">
        <f t="shared" si="16"/>
        <v/>
      </c>
      <c r="AI69" s="7"/>
      <c r="AJ69" s="19"/>
      <c r="AK69" s="20"/>
      <c r="AL69" s="21" t="s">
        <v>8</v>
      </c>
      <c r="AM69" s="24">
        <v>1296</v>
      </c>
      <c r="AN69" s="25"/>
      <c r="AO69" s="25"/>
      <c r="AP69" s="7" t="str">
        <f t="shared" si="17"/>
        <v/>
      </c>
      <c r="AQ69" s="7"/>
      <c r="AR69" s="19"/>
      <c r="AS69" s="20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</row>
    <row r="70" spans="1:57" ht="22.15" hidden="1" customHeight="1">
      <c r="A70"/>
      <c r="B70" s="6" t="s">
        <v>77</v>
      </c>
      <c r="C70" s="21" t="s">
        <v>8</v>
      </c>
      <c r="D70" s="22">
        <v>414</v>
      </c>
      <c r="E70" s="25"/>
      <c r="F70" s="25"/>
      <c r="G70" s="7" t="str">
        <f t="shared" si="9"/>
        <v/>
      </c>
      <c r="H70" s="7">
        <f t="shared" si="10"/>
        <v>-45999</v>
      </c>
      <c r="I70" s="21" t="s">
        <v>8</v>
      </c>
      <c r="J70" s="24">
        <v>414</v>
      </c>
      <c r="K70" s="25"/>
      <c r="L70" s="25"/>
      <c r="M70" s="7" t="str">
        <f t="shared" si="11"/>
        <v/>
      </c>
      <c r="N70" s="7">
        <f t="shared" si="12"/>
        <v>-45999</v>
      </c>
      <c r="O70" s="21" t="s">
        <v>8</v>
      </c>
      <c r="P70" s="24">
        <v>414</v>
      </c>
      <c r="Q70" s="25"/>
      <c r="R70" s="25"/>
      <c r="S70" s="7" t="str">
        <f t="shared" si="13"/>
        <v/>
      </c>
      <c r="T70" s="7">
        <f t="shared" si="14"/>
        <v>-45999</v>
      </c>
      <c r="U70" s="19"/>
      <c r="V70" s="21" t="s">
        <v>8</v>
      </c>
      <c r="W70" s="24">
        <v>414</v>
      </c>
      <c r="X70" s="25"/>
      <c r="Y70" s="25"/>
      <c r="Z70" s="7" t="str">
        <f t="shared" si="15"/>
        <v/>
      </c>
      <c r="AA70" s="7"/>
      <c r="AB70" s="19"/>
      <c r="AC70" s="20"/>
      <c r="AD70" s="21" t="s">
        <v>8</v>
      </c>
      <c r="AE70" s="24">
        <v>414</v>
      </c>
      <c r="AF70" s="25"/>
      <c r="AG70" s="25"/>
      <c r="AH70" s="7" t="str">
        <f t="shared" si="16"/>
        <v/>
      </c>
      <c r="AI70" s="7"/>
      <c r="AJ70" s="19"/>
      <c r="AK70" s="20"/>
      <c r="AL70" s="21" t="s">
        <v>8</v>
      </c>
      <c r="AM70" s="24">
        <v>414</v>
      </c>
      <c r="AN70" s="25"/>
      <c r="AO70" s="25"/>
      <c r="AP70" s="7" t="str">
        <f t="shared" si="17"/>
        <v/>
      </c>
      <c r="AQ70" s="7"/>
      <c r="AR70" s="19"/>
      <c r="AS70" s="20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</row>
    <row r="71" spans="1:57" ht="28.5" customHeight="1">
      <c r="A71"/>
      <c r="B71" s="10" t="s">
        <v>79</v>
      </c>
      <c r="C71" s="27" t="s">
        <v>78</v>
      </c>
      <c r="D71" s="28">
        <v>165.715</v>
      </c>
      <c r="E71" s="29">
        <v>45880</v>
      </c>
      <c r="F71" s="25">
        <v>46000</v>
      </c>
      <c r="G71" s="7">
        <f t="shared" si="9"/>
        <v>0.83333333333333337</v>
      </c>
      <c r="H71" s="7">
        <f t="shared" si="10"/>
        <v>1</v>
      </c>
      <c r="I71" s="21"/>
      <c r="J71" s="30"/>
      <c r="K71" s="29"/>
      <c r="L71" s="25"/>
      <c r="M71" s="7" t="str">
        <f t="shared" si="11"/>
        <v/>
      </c>
      <c r="N71" s="7">
        <f t="shared" si="12"/>
        <v>-45999</v>
      </c>
      <c r="O71" s="21"/>
      <c r="P71" s="30"/>
      <c r="Q71" s="29"/>
      <c r="R71" s="25"/>
      <c r="S71" s="7" t="str">
        <f t="shared" si="13"/>
        <v/>
      </c>
      <c r="T71" s="7">
        <f t="shared" si="14"/>
        <v>-45999</v>
      </c>
      <c r="U71" s="31">
        <v>0</v>
      </c>
      <c r="V71" s="21"/>
      <c r="W71" s="30"/>
      <c r="X71" s="29"/>
      <c r="Y71" s="25"/>
      <c r="Z71" s="7" t="str">
        <f t="shared" si="15"/>
        <v/>
      </c>
      <c r="AA71" s="7"/>
      <c r="AB71" s="35">
        <v>9.0340000000000007</v>
      </c>
      <c r="AC71" s="20" t="s">
        <v>89</v>
      </c>
      <c r="AD71" s="21"/>
      <c r="AE71" s="63"/>
      <c r="AF71" s="29"/>
      <c r="AG71" s="25"/>
      <c r="AH71" s="7" t="str">
        <f t="shared" si="16"/>
        <v/>
      </c>
      <c r="AI71" s="7"/>
      <c r="AJ71" s="31">
        <v>9.0299999999999994</v>
      </c>
      <c r="AK71" s="20" t="s">
        <v>96</v>
      </c>
      <c r="AL71" s="21"/>
      <c r="AM71" s="63"/>
      <c r="AN71" s="29"/>
      <c r="AO71" s="25"/>
      <c r="AP71" s="7" t="str">
        <f t="shared" si="17"/>
        <v/>
      </c>
      <c r="AQ71" s="7"/>
      <c r="AR71" s="31">
        <v>9.0299999999999994</v>
      </c>
      <c r="AS71" s="20" t="s">
        <v>96</v>
      </c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</row>
    <row r="72" spans="1:57" ht="22.15" hidden="1" customHeight="1">
      <c r="A72"/>
      <c r="B72" s="11"/>
      <c r="C72" s="27"/>
      <c r="D72" s="28"/>
      <c r="E72" s="25"/>
      <c r="F72" s="25"/>
      <c r="G72" s="7" t="str">
        <f t="shared" ref="G72:G82" si="18">IFERROR((F72-$G$1)/(F72-E72)*100,"")</f>
        <v/>
      </c>
      <c r="H72" s="7">
        <f t="shared" ref="H72:H82" si="19">F72-$H$1</f>
        <v>-45999</v>
      </c>
      <c r="I72" s="21"/>
      <c r="J72" s="32"/>
      <c r="K72" s="25"/>
      <c r="L72" s="25"/>
      <c r="M72" s="7" t="str">
        <f t="shared" si="11"/>
        <v/>
      </c>
      <c r="N72" s="7">
        <f t="shared" si="12"/>
        <v>-45999</v>
      </c>
      <c r="O72" s="21"/>
      <c r="P72" s="32"/>
      <c r="Q72" s="25"/>
      <c r="R72" s="25"/>
      <c r="S72" s="7" t="str">
        <f t="shared" si="13"/>
        <v/>
      </c>
      <c r="T72" s="7">
        <f t="shared" si="14"/>
        <v>-45999</v>
      </c>
      <c r="U72" s="19">
        <f t="shared" ref="U72:U76" si="20">L72-P72</f>
        <v>0</v>
      </c>
      <c r="V72" s="21"/>
      <c r="W72" s="32"/>
      <c r="X72" s="25"/>
      <c r="Y72" s="25"/>
      <c r="Z72" s="7" t="str">
        <f t="shared" si="15"/>
        <v/>
      </c>
      <c r="AA72" s="7"/>
      <c r="AB72" s="35"/>
      <c r="AC72" s="20"/>
      <c r="AD72" s="21"/>
      <c r="AE72" s="63"/>
      <c r="AF72" s="25"/>
      <c r="AG72" s="25"/>
      <c r="AH72" s="7" t="str">
        <f t="shared" si="16"/>
        <v/>
      </c>
      <c r="AI72" s="7"/>
      <c r="AJ72" s="19">
        <f>AB72-AE72</f>
        <v>0</v>
      </c>
      <c r="AK72" s="20"/>
      <c r="AL72" s="21"/>
      <c r="AM72" s="63"/>
      <c r="AN72" s="25"/>
      <c r="AO72" s="25"/>
      <c r="AP72" s="7" t="str">
        <f t="shared" si="17"/>
        <v/>
      </c>
      <c r="AQ72" s="7"/>
      <c r="AR72" s="19">
        <f>AJ72-AM72</f>
        <v>0</v>
      </c>
      <c r="AS72" s="20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</row>
    <row r="73" spans="1:57" ht="22.15" hidden="1" customHeight="1">
      <c r="A73"/>
      <c r="B73" s="11"/>
      <c r="C73" s="27"/>
      <c r="D73" s="28"/>
      <c r="E73" s="25"/>
      <c r="F73" s="25"/>
      <c r="G73" s="7" t="str">
        <f t="shared" si="18"/>
        <v/>
      </c>
      <c r="H73" s="7">
        <f t="shared" si="19"/>
        <v>-45999</v>
      </c>
      <c r="I73" s="21"/>
      <c r="J73" s="32"/>
      <c r="K73" s="25"/>
      <c r="L73" s="25"/>
      <c r="M73" s="7" t="str">
        <f t="shared" si="11"/>
        <v/>
      </c>
      <c r="N73" s="7">
        <f t="shared" si="12"/>
        <v>-45999</v>
      </c>
      <c r="O73" s="21"/>
      <c r="P73" s="32"/>
      <c r="Q73" s="25"/>
      <c r="R73" s="25"/>
      <c r="S73" s="7" t="str">
        <f t="shared" si="13"/>
        <v/>
      </c>
      <c r="T73" s="7">
        <f t="shared" si="14"/>
        <v>-45999</v>
      </c>
      <c r="U73" s="19">
        <f t="shared" si="20"/>
        <v>0</v>
      </c>
      <c r="V73" s="21"/>
      <c r="W73" s="32"/>
      <c r="X73" s="25"/>
      <c r="Y73" s="25"/>
      <c r="Z73" s="7" t="str">
        <f t="shared" si="15"/>
        <v/>
      </c>
      <c r="AA73" s="7"/>
      <c r="AB73" s="35"/>
      <c r="AC73" s="20"/>
      <c r="AD73" s="21"/>
      <c r="AE73" s="63"/>
      <c r="AF73" s="25"/>
      <c r="AG73" s="25"/>
      <c r="AH73" s="7" t="str">
        <f t="shared" si="16"/>
        <v/>
      </c>
      <c r="AI73" s="7"/>
      <c r="AJ73" s="19">
        <f>AB73-AE73</f>
        <v>0</v>
      </c>
      <c r="AK73" s="20"/>
      <c r="AL73" s="21"/>
      <c r="AM73" s="63"/>
      <c r="AN73" s="25"/>
      <c r="AO73" s="25"/>
      <c r="AP73" s="7" t="str">
        <f t="shared" si="17"/>
        <v/>
      </c>
      <c r="AQ73" s="7"/>
      <c r="AR73" s="19">
        <f>AJ73-AM73</f>
        <v>0</v>
      </c>
      <c r="AS73" s="20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</row>
    <row r="74" spans="1:57" ht="22.15" hidden="1" customHeight="1">
      <c r="A74"/>
      <c r="B74" s="11"/>
      <c r="C74" s="27"/>
      <c r="D74" s="28"/>
      <c r="E74" s="25"/>
      <c r="F74" s="25"/>
      <c r="G74" s="7" t="str">
        <f t="shared" si="18"/>
        <v/>
      </c>
      <c r="H74" s="7">
        <f t="shared" si="19"/>
        <v>-45999</v>
      </c>
      <c r="I74" s="21"/>
      <c r="J74" s="32"/>
      <c r="K74" s="25"/>
      <c r="L74" s="25"/>
      <c r="M74" s="7" t="str">
        <f t="shared" si="11"/>
        <v/>
      </c>
      <c r="N74" s="7">
        <f t="shared" si="12"/>
        <v>-45999</v>
      </c>
      <c r="O74" s="21"/>
      <c r="P74" s="32"/>
      <c r="Q74" s="25"/>
      <c r="R74" s="25"/>
      <c r="S74" s="7" t="str">
        <f t="shared" si="13"/>
        <v/>
      </c>
      <c r="T74" s="7">
        <f t="shared" si="14"/>
        <v>-45999</v>
      </c>
      <c r="U74" s="19">
        <f t="shared" si="20"/>
        <v>0</v>
      </c>
      <c r="V74" s="21"/>
      <c r="W74" s="32"/>
      <c r="X74" s="25"/>
      <c r="Y74" s="25"/>
      <c r="Z74" s="7" t="str">
        <f t="shared" si="15"/>
        <v/>
      </c>
      <c r="AA74" s="7"/>
      <c r="AB74" s="35"/>
      <c r="AC74" s="20"/>
      <c r="AD74" s="21"/>
      <c r="AE74" s="63"/>
      <c r="AF74" s="25"/>
      <c r="AG74" s="25"/>
      <c r="AH74" s="7" t="str">
        <f t="shared" si="16"/>
        <v/>
      </c>
      <c r="AI74" s="7"/>
      <c r="AJ74" s="19">
        <f>AB74-AE74</f>
        <v>0</v>
      </c>
      <c r="AK74" s="20"/>
      <c r="AL74" s="21"/>
      <c r="AM74" s="63"/>
      <c r="AN74" s="25"/>
      <c r="AO74" s="25"/>
      <c r="AP74" s="7" t="str">
        <f t="shared" si="17"/>
        <v/>
      </c>
      <c r="AQ74" s="7"/>
      <c r="AR74" s="19">
        <f>AJ74-AM74</f>
        <v>0</v>
      </c>
      <c r="AS74" s="20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</row>
    <row r="75" spans="1:57" ht="22.15" hidden="1" customHeight="1">
      <c r="A75"/>
      <c r="B75" s="11"/>
      <c r="C75" s="27"/>
      <c r="D75" s="28"/>
      <c r="E75" s="25"/>
      <c r="F75" s="25"/>
      <c r="G75" s="7" t="str">
        <f t="shared" si="18"/>
        <v/>
      </c>
      <c r="H75" s="7">
        <f t="shared" si="19"/>
        <v>-45999</v>
      </c>
      <c r="I75" s="21"/>
      <c r="J75" s="32"/>
      <c r="K75" s="25"/>
      <c r="L75" s="25"/>
      <c r="M75" s="7" t="str">
        <f t="shared" si="11"/>
        <v/>
      </c>
      <c r="N75" s="7">
        <f t="shared" si="12"/>
        <v>-45999</v>
      </c>
      <c r="O75" s="21"/>
      <c r="P75" s="32"/>
      <c r="Q75" s="25"/>
      <c r="R75" s="25"/>
      <c r="S75" s="7" t="str">
        <f t="shared" si="13"/>
        <v/>
      </c>
      <c r="T75" s="7">
        <f t="shared" si="14"/>
        <v>-45999</v>
      </c>
      <c r="U75" s="19">
        <f t="shared" si="20"/>
        <v>0</v>
      </c>
      <c r="V75" s="21"/>
      <c r="W75" s="32"/>
      <c r="X75" s="25"/>
      <c r="Y75" s="25"/>
      <c r="Z75" s="7" t="str">
        <f t="shared" si="15"/>
        <v/>
      </c>
      <c r="AA75" s="7"/>
      <c r="AB75" s="35"/>
      <c r="AC75" s="20"/>
      <c r="AD75" s="21"/>
      <c r="AE75" s="63"/>
      <c r="AF75" s="25"/>
      <c r="AG75" s="25"/>
      <c r="AH75" s="7" t="str">
        <f t="shared" si="16"/>
        <v/>
      </c>
      <c r="AI75" s="7"/>
      <c r="AJ75" s="19">
        <f>AB75-AE75</f>
        <v>0</v>
      </c>
      <c r="AK75" s="20"/>
      <c r="AL75" s="21"/>
      <c r="AM75" s="63"/>
      <c r="AN75" s="25"/>
      <c r="AO75" s="25"/>
      <c r="AP75" s="7" t="str">
        <f t="shared" si="17"/>
        <v/>
      </c>
      <c r="AQ75" s="7"/>
      <c r="AR75" s="19">
        <f>AJ75-AM75</f>
        <v>0</v>
      </c>
      <c r="AS75" s="20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</row>
    <row r="76" spans="1:57" ht="22.15" hidden="1" customHeight="1">
      <c r="A76"/>
      <c r="B76" s="11"/>
      <c r="C76" s="27"/>
      <c r="D76" s="28"/>
      <c r="E76" s="25"/>
      <c r="F76" s="25"/>
      <c r="G76" s="7" t="str">
        <f t="shared" si="18"/>
        <v/>
      </c>
      <c r="H76" s="7">
        <f t="shared" si="19"/>
        <v>-45999</v>
      </c>
      <c r="I76" s="21"/>
      <c r="J76" s="32"/>
      <c r="K76" s="25"/>
      <c r="L76" s="25"/>
      <c r="M76" s="7" t="str">
        <f t="shared" si="11"/>
        <v/>
      </c>
      <c r="N76" s="7">
        <f t="shared" si="12"/>
        <v>-45999</v>
      </c>
      <c r="O76" s="21"/>
      <c r="P76" s="32"/>
      <c r="Q76" s="25"/>
      <c r="R76" s="25"/>
      <c r="S76" s="7" t="str">
        <f t="shared" si="13"/>
        <v/>
      </c>
      <c r="T76" s="7">
        <f t="shared" si="14"/>
        <v>-45999</v>
      </c>
      <c r="U76" s="19">
        <f t="shared" si="20"/>
        <v>0</v>
      </c>
      <c r="V76" s="21"/>
      <c r="W76" s="32"/>
      <c r="X76" s="25"/>
      <c r="Y76" s="25"/>
      <c r="Z76" s="7" t="str">
        <f t="shared" si="15"/>
        <v/>
      </c>
      <c r="AA76" s="7"/>
      <c r="AB76" s="35"/>
      <c r="AC76" s="20"/>
      <c r="AD76" s="21"/>
      <c r="AE76" s="63"/>
      <c r="AF76" s="25"/>
      <c r="AG76" s="25"/>
      <c r="AH76" s="7" t="str">
        <f t="shared" si="16"/>
        <v/>
      </c>
      <c r="AI76" s="7"/>
      <c r="AJ76" s="19">
        <f>AB76-AE76</f>
        <v>0</v>
      </c>
      <c r="AK76" s="20"/>
      <c r="AL76" s="21"/>
      <c r="AM76" s="63"/>
      <c r="AN76" s="25"/>
      <c r="AO76" s="25"/>
      <c r="AP76" s="7" t="str">
        <f t="shared" si="17"/>
        <v/>
      </c>
      <c r="AQ76" s="7"/>
      <c r="AR76" s="19">
        <f>AJ76-AM76</f>
        <v>0</v>
      </c>
      <c r="AS76" s="20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</row>
    <row r="77" spans="1:57" ht="22.15" customHeight="1">
      <c r="A77"/>
      <c r="B77" s="10" t="s">
        <v>82</v>
      </c>
      <c r="C77" s="27" t="s">
        <v>8</v>
      </c>
      <c r="D77" s="28">
        <v>5</v>
      </c>
      <c r="E77" s="25">
        <v>45961</v>
      </c>
      <c r="F77" s="25">
        <v>46011</v>
      </c>
      <c r="G77" s="7">
        <f t="shared" si="18"/>
        <v>24</v>
      </c>
      <c r="H77" s="7">
        <f t="shared" si="19"/>
        <v>12</v>
      </c>
      <c r="I77" s="21"/>
      <c r="J77" s="30"/>
      <c r="K77" s="25"/>
      <c r="L77" s="25"/>
      <c r="M77" s="7" t="str">
        <f t="shared" si="11"/>
        <v/>
      </c>
      <c r="N77" s="7">
        <f t="shared" si="12"/>
        <v>-45999</v>
      </c>
      <c r="O77" s="21"/>
      <c r="P77" s="30"/>
      <c r="Q77" s="25"/>
      <c r="R77" s="25"/>
      <c r="S77" s="7" t="str">
        <f t="shared" si="13"/>
        <v/>
      </c>
      <c r="T77" s="7">
        <f t="shared" si="14"/>
        <v>-45999</v>
      </c>
      <c r="U77" s="33">
        <f>D77-P77</f>
        <v>5</v>
      </c>
      <c r="V77" s="21"/>
      <c r="W77" s="30"/>
      <c r="X77" s="25"/>
      <c r="Y77" s="25"/>
      <c r="Z77" s="7" t="str">
        <f t="shared" si="15"/>
        <v/>
      </c>
      <c r="AA77" s="7"/>
      <c r="AB77" s="35"/>
      <c r="AC77" s="20"/>
      <c r="AD77" s="21"/>
      <c r="AE77" s="63"/>
      <c r="AF77" s="25"/>
      <c r="AG77" s="25"/>
      <c r="AH77" s="7" t="str">
        <f t="shared" si="16"/>
        <v/>
      </c>
      <c r="AI77" s="7"/>
      <c r="AJ77" s="35"/>
      <c r="AK77" s="20"/>
      <c r="AL77" s="21"/>
      <c r="AM77" s="63"/>
      <c r="AN77" s="25"/>
      <c r="AO77" s="25"/>
      <c r="AP77" s="7" t="str">
        <f t="shared" si="17"/>
        <v/>
      </c>
      <c r="AQ77" s="7"/>
      <c r="AR77" s="35"/>
      <c r="AS77" s="20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</row>
    <row r="78" spans="1:57" ht="22.15" customHeight="1">
      <c r="A78"/>
      <c r="B78" s="8" t="s">
        <v>83</v>
      </c>
      <c r="C78" s="21" t="s">
        <v>8</v>
      </c>
      <c r="D78" s="34">
        <v>19</v>
      </c>
      <c r="E78" s="25">
        <v>45962</v>
      </c>
      <c r="F78" s="25">
        <v>46007</v>
      </c>
      <c r="G78" s="7">
        <f t="shared" si="18"/>
        <v>17.777777777777779</v>
      </c>
      <c r="H78" s="7">
        <f t="shared" si="19"/>
        <v>8</v>
      </c>
      <c r="I78" s="21" t="s">
        <v>8</v>
      </c>
      <c r="J78" s="32">
        <v>8</v>
      </c>
      <c r="K78" s="25">
        <v>45962</v>
      </c>
      <c r="L78" s="25">
        <v>46007</v>
      </c>
      <c r="M78" s="7">
        <f t="shared" si="11"/>
        <v>17.777777777777779</v>
      </c>
      <c r="N78" s="7">
        <f t="shared" si="12"/>
        <v>8</v>
      </c>
      <c r="O78" s="21" t="s">
        <v>8</v>
      </c>
      <c r="P78" s="32">
        <v>5</v>
      </c>
      <c r="Q78" s="25">
        <v>45962</v>
      </c>
      <c r="R78" s="25">
        <v>46007</v>
      </c>
      <c r="S78" s="7">
        <f t="shared" si="13"/>
        <v>17.777777777777779</v>
      </c>
      <c r="T78" s="7">
        <f t="shared" si="14"/>
        <v>8</v>
      </c>
      <c r="U78" s="35">
        <f t="shared" ref="U78:U81" si="21">D78-P78</f>
        <v>14</v>
      </c>
      <c r="V78" s="21" t="s">
        <v>8</v>
      </c>
      <c r="W78" s="32">
        <v>5</v>
      </c>
      <c r="X78" s="25">
        <v>45962</v>
      </c>
      <c r="Y78" s="25">
        <v>46007</v>
      </c>
      <c r="Z78" s="7">
        <f t="shared" si="15"/>
        <v>17.777777777777779</v>
      </c>
      <c r="AA78" s="7"/>
      <c r="AB78" s="35">
        <f>D78-W78</f>
        <v>14</v>
      </c>
      <c r="AC78" s="20"/>
      <c r="AD78" s="21"/>
      <c r="AE78" s="63"/>
      <c r="AF78" s="25"/>
      <c r="AG78" s="25"/>
      <c r="AH78" s="7" t="str">
        <f t="shared" si="16"/>
        <v/>
      </c>
      <c r="AI78" s="7"/>
      <c r="AJ78" s="35"/>
      <c r="AK78" s="64">
        <v>3.6</v>
      </c>
      <c r="AL78" s="21"/>
      <c r="AM78" s="63"/>
      <c r="AN78" s="25"/>
      <c r="AO78" s="25"/>
      <c r="AP78" s="7" t="str">
        <f t="shared" si="17"/>
        <v/>
      </c>
      <c r="AQ78" s="7"/>
      <c r="AR78" s="35"/>
      <c r="AS78" s="64">
        <v>3.6</v>
      </c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</row>
    <row r="79" spans="1:57" ht="22.15" customHeight="1">
      <c r="A79"/>
      <c r="B79" s="8" t="s">
        <v>81</v>
      </c>
      <c r="C79" s="21" t="s">
        <v>8</v>
      </c>
      <c r="D79" s="34">
        <v>7</v>
      </c>
      <c r="E79" s="25">
        <v>45964</v>
      </c>
      <c r="F79" s="25">
        <v>46009</v>
      </c>
      <c r="G79" s="7">
        <f t="shared" si="18"/>
        <v>22.222222222222221</v>
      </c>
      <c r="H79" s="7">
        <f t="shared" si="19"/>
        <v>10</v>
      </c>
      <c r="I79" s="21" t="s">
        <v>8</v>
      </c>
      <c r="J79" s="32">
        <v>7</v>
      </c>
      <c r="K79" s="25">
        <v>45964</v>
      </c>
      <c r="L79" s="25">
        <v>46009</v>
      </c>
      <c r="M79" s="7">
        <f t="shared" si="11"/>
        <v>22.222222222222221</v>
      </c>
      <c r="N79" s="7">
        <f t="shared" si="12"/>
        <v>10</v>
      </c>
      <c r="O79" s="21"/>
      <c r="P79" s="32"/>
      <c r="Q79" s="25"/>
      <c r="R79" s="25"/>
      <c r="S79" s="7" t="str">
        <f t="shared" si="13"/>
        <v/>
      </c>
      <c r="T79" s="7">
        <f t="shared" si="14"/>
        <v>-45999</v>
      </c>
      <c r="U79" s="33">
        <f t="shared" si="21"/>
        <v>7</v>
      </c>
      <c r="V79" s="21"/>
      <c r="W79" s="32"/>
      <c r="X79" s="25"/>
      <c r="Y79" s="25"/>
      <c r="Z79" s="7" t="str">
        <f t="shared" si="15"/>
        <v/>
      </c>
      <c r="AA79" s="7"/>
      <c r="AB79" s="35"/>
      <c r="AC79" s="20"/>
      <c r="AD79" s="21"/>
      <c r="AE79" s="63"/>
      <c r="AF79" s="25"/>
      <c r="AG79" s="25"/>
      <c r="AH79" s="7" t="str">
        <f t="shared" si="16"/>
        <v/>
      </c>
      <c r="AI79" s="7"/>
      <c r="AJ79" s="65">
        <f>D79-AE79</f>
        <v>7</v>
      </c>
      <c r="AK79" s="20"/>
      <c r="AL79" s="21"/>
      <c r="AM79" s="63"/>
      <c r="AN79" s="25"/>
      <c r="AO79" s="25"/>
      <c r="AP79" s="7" t="str">
        <f t="shared" si="17"/>
        <v/>
      </c>
      <c r="AQ79" s="7"/>
      <c r="AR79" s="35"/>
      <c r="AS79" s="20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</row>
    <row r="80" spans="1:57" ht="22.15" customHeight="1">
      <c r="A80"/>
      <c r="B80" s="10" t="s">
        <v>84</v>
      </c>
      <c r="C80" s="21" t="s">
        <v>8</v>
      </c>
      <c r="D80" s="36">
        <v>3</v>
      </c>
      <c r="E80" s="25">
        <v>45982</v>
      </c>
      <c r="F80" s="25">
        <v>46012</v>
      </c>
      <c r="G80" s="7">
        <f t="shared" si="18"/>
        <v>43.333333333333336</v>
      </c>
      <c r="H80" s="7">
        <f t="shared" si="19"/>
        <v>13</v>
      </c>
      <c r="I80" s="21"/>
      <c r="J80" s="30"/>
      <c r="K80" s="25"/>
      <c r="L80" s="25"/>
      <c r="M80" s="7" t="str">
        <f t="shared" si="11"/>
        <v/>
      </c>
      <c r="N80" s="7">
        <f t="shared" si="12"/>
        <v>-45999</v>
      </c>
      <c r="O80" s="21"/>
      <c r="P80" s="30"/>
      <c r="Q80" s="25"/>
      <c r="R80" s="25"/>
      <c r="S80" s="7" t="str">
        <f t="shared" si="13"/>
        <v/>
      </c>
      <c r="T80" s="7">
        <f t="shared" si="14"/>
        <v>-45999</v>
      </c>
      <c r="U80" s="33">
        <f t="shared" si="21"/>
        <v>3</v>
      </c>
      <c r="V80" s="21" t="s">
        <v>8</v>
      </c>
      <c r="W80" s="30">
        <v>2</v>
      </c>
      <c r="X80" s="25">
        <v>45996</v>
      </c>
      <c r="Y80" s="25">
        <v>46026</v>
      </c>
      <c r="Z80" s="7">
        <f t="shared" si="15"/>
        <v>90</v>
      </c>
      <c r="AA80" s="7"/>
      <c r="AB80" s="35">
        <f>D80-W80</f>
        <v>1</v>
      </c>
      <c r="AC80" s="20"/>
      <c r="AD80" s="21" t="s">
        <v>8</v>
      </c>
      <c r="AE80" s="63">
        <v>1</v>
      </c>
      <c r="AF80" s="25">
        <v>45996</v>
      </c>
      <c r="AG80" s="25">
        <v>46026</v>
      </c>
      <c r="AH80" s="7">
        <f t="shared" si="16"/>
        <v>90</v>
      </c>
      <c r="AI80" s="7"/>
      <c r="AJ80" s="35">
        <f>W80-AE80</f>
        <v>1</v>
      </c>
      <c r="AK80" s="20"/>
      <c r="AL80" s="21" t="s">
        <v>8</v>
      </c>
      <c r="AM80" s="63">
        <v>0</v>
      </c>
      <c r="AN80" s="25"/>
      <c r="AO80" s="25"/>
      <c r="AP80" s="7" t="str">
        <f t="shared" si="17"/>
        <v/>
      </c>
      <c r="AQ80" s="7"/>
      <c r="AR80" s="65">
        <f>AE80-AM80</f>
        <v>1</v>
      </c>
      <c r="AS80" s="20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</row>
    <row r="81" spans="1:57" ht="22.15" customHeight="1">
      <c r="A81"/>
      <c r="B81" s="10" t="s">
        <v>80</v>
      </c>
      <c r="C81" s="37" t="s">
        <v>8</v>
      </c>
      <c r="D81" s="36">
        <v>14</v>
      </c>
      <c r="E81" s="25">
        <v>45821</v>
      </c>
      <c r="F81" s="25">
        <v>46091</v>
      </c>
      <c r="G81" s="7">
        <f t="shared" si="18"/>
        <v>34.074074074074076</v>
      </c>
      <c r="H81" s="7">
        <f t="shared" si="19"/>
        <v>92</v>
      </c>
      <c r="I81" s="37"/>
      <c r="J81" s="30"/>
      <c r="K81" s="25"/>
      <c r="L81" s="25"/>
      <c r="M81" s="7" t="str">
        <f t="shared" si="11"/>
        <v/>
      </c>
      <c r="N81" s="7">
        <f t="shared" si="12"/>
        <v>-45999</v>
      </c>
      <c r="O81" s="37"/>
      <c r="P81" s="30"/>
      <c r="Q81" s="25"/>
      <c r="R81" s="25"/>
      <c r="S81" s="7" t="str">
        <f t="shared" si="13"/>
        <v/>
      </c>
      <c r="T81" s="7">
        <f t="shared" si="14"/>
        <v>-45999</v>
      </c>
      <c r="U81" s="33">
        <f t="shared" si="21"/>
        <v>14</v>
      </c>
      <c r="V81" s="37"/>
      <c r="W81" s="30"/>
      <c r="X81" s="25"/>
      <c r="Y81" s="25"/>
      <c r="Z81" s="7" t="str">
        <f t="shared" si="15"/>
        <v/>
      </c>
      <c r="AA81" s="7"/>
      <c r="AB81" s="35"/>
      <c r="AC81" s="20"/>
      <c r="AD81" s="37"/>
      <c r="AE81" s="63"/>
      <c r="AF81" s="25"/>
      <c r="AG81" s="25"/>
      <c r="AH81" s="7" t="str">
        <f t="shared" si="16"/>
        <v/>
      </c>
      <c r="AI81" s="7"/>
      <c r="AJ81" s="35"/>
      <c r="AK81" s="20"/>
      <c r="AL81" s="37"/>
      <c r="AM81" s="63"/>
      <c r="AN81" s="25"/>
      <c r="AO81" s="25"/>
      <c r="AP81" s="7" t="str">
        <f t="shared" si="17"/>
        <v/>
      </c>
      <c r="AQ81" s="7"/>
      <c r="AR81" s="35"/>
      <c r="AS81" s="20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</row>
    <row r="82" spans="1:57" ht="22.15" customHeight="1">
      <c r="A82"/>
      <c r="B82" s="10" t="s">
        <v>81</v>
      </c>
      <c r="C82" s="21"/>
      <c r="D82" s="36"/>
      <c r="E82" s="25"/>
      <c r="F82" s="25"/>
      <c r="G82" s="7" t="str">
        <f t="shared" si="18"/>
        <v/>
      </c>
      <c r="H82" s="7">
        <f t="shared" si="19"/>
        <v>-45999</v>
      </c>
      <c r="I82" s="21" t="s">
        <v>8</v>
      </c>
      <c r="J82" s="32">
        <v>55</v>
      </c>
      <c r="K82" s="25">
        <v>45978</v>
      </c>
      <c r="L82" s="25">
        <v>46023</v>
      </c>
      <c r="M82" s="7">
        <f t="shared" si="11"/>
        <v>53.333333333333336</v>
      </c>
      <c r="N82" s="7">
        <f t="shared" si="12"/>
        <v>24</v>
      </c>
      <c r="O82" s="21"/>
      <c r="P82" s="32"/>
      <c r="Q82" s="25"/>
      <c r="R82" s="25"/>
      <c r="S82" s="7" t="str">
        <f t="shared" si="13"/>
        <v/>
      </c>
      <c r="T82" s="7">
        <f t="shared" si="14"/>
        <v>-45999</v>
      </c>
      <c r="U82" s="33">
        <f>J82-P82</f>
        <v>55</v>
      </c>
      <c r="V82" s="21" t="s">
        <v>8</v>
      </c>
      <c r="W82" s="32">
        <v>13</v>
      </c>
      <c r="X82" s="25">
        <v>45979</v>
      </c>
      <c r="Y82" s="25">
        <v>46024</v>
      </c>
      <c r="Z82" s="7">
        <f t="shared" si="15"/>
        <v>55.555555555555557</v>
      </c>
      <c r="AA82" s="7"/>
      <c r="AB82" s="35">
        <f>J82-W83</f>
        <v>46</v>
      </c>
      <c r="AC82" s="20"/>
      <c r="AD82" s="21"/>
      <c r="AE82" s="63"/>
      <c r="AF82" s="25"/>
      <c r="AG82" s="25"/>
      <c r="AH82" s="7" t="str">
        <f t="shared" si="16"/>
        <v/>
      </c>
      <c r="AI82" s="7"/>
      <c r="AJ82" s="65">
        <f>J82-AE82</f>
        <v>55</v>
      </c>
      <c r="AK82" s="20"/>
      <c r="AL82" s="21"/>
      <c r="AM82" s="63"/>
      <c r="AN82" s="25"/>
      <c r="AO82" s="25"/>
      <c r="AP82" s="7" t="str">
        <f t="shared" si="17"/>
        <v/>
      </c>
      <c r="AQ82" s="7"/>
      <c r="AR82" s="65">
        <f>R82-AM82</f>
        <v>0</v>
      </c>
      <c r="AS82" s="20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</row>
    <row r="83" spans="1:57" ht="22.15" customHeight="1">
      <c r="A83"/>
      <c r="B83" s="67" t="s">
        <v>85</v>
      </c>
      <c r="C83" s="21"/>
      <c r="D83" s="34"/>
      <c r="E83" s="25"/>
      <c r="F83" s="25"/>
      <c r="G83" s="7" t="str">
        <f t="shared" ref="G83" si="22">IFERROR((F83-$G$1)/(F83-E83)*100,"")</f>
        <v/>
      </c>
      <c r="H83" s="7">
        <f t="shared" ref="H83" si="23">F83-$H$1</f>
        <v>-45999</v>
      </c>
      <c r="I83" s="21" t="s">
        <v>8</v>
      </c>
      <c r="J83" s="16">
        <v>11</v>
      </c>
      <c r="K83" s="25">
        <v>45974</v>
      </c>
      <c r="L83" s="25">
        <v>46019</v>
      </c>
      <c r="M83" s="7">
        <f t="shared" si="11"/>
        <v>44.444444444444443</v>
      </c>
      <c r="N83" s="7">
        <f t="shared" si="12"/>
        <v>20</v>
      </c>
      <c r="O83" s="21" t="s">
        <v>8</v>
      </c>
      <c r="P83" s="16">
        <v>11</v>
      </c>
      <c r="Q83" s="25">
        <v>45974</v>
      </c>
      <c r="R83" s="25">
        <v>46019</v>
      </c>
      <c r="S83" s="7">
        <f t="shared" si="13"/>
        <v>44.444444444444443</v>
      </c>
      <c r="T83" s="7">
        <f t="shared" si="14"/>
        <v>20</v>
      </c>
      <c r="U83" s="35">
        <f>J83-P83</f>
        <v>0</v>
      </c>
      <c r="V83" s="21" t="s">
        <v>8</v>
      </c>
      <c r="W83" s="16">
        <v>9</v>
      </c>
      <c r="X83" s="25">
        <v>45974</v>
      </c>
      <c r="Y83" s="25">
        <v>46019</v>
      </c>
      <c r="Z83" s="7">
        <f t="shared" si="15"/>
        <v>44.444444444444443</v>
      </c>
      <c r="AA83" s="7"/>
      <c r="AB83" s="35">
        <f>J83-W83</f>
        <v>2</v>
      </c>
      <c r="AC83" s="20"/>
      <c r="AD83" s="21" t="s">
        <v>8</v>
      </c>
      <c r="AE83" s="16">
        <v>9</v>
      </c>
      <c r="AF83" s="25">
        <v>45974</v>
      </c>
      <c r="AG83" s="25">
        <v>46019</v>
      </c>
      <c r="AH83" s="7">
        <f t="shared" si="16"/>
        <v>44.444444444444443</v>
      </c>
      <c r="AI83" s="7"/>
      <c r="AJ83" s="35">
        <f>J83-AE83</f>
        <v>2</v>
      </c>
      <c r="AK83" s="20"/>
      <c r="AL83" s="21" t="s">
        <v>8</v>
      </c>
      <c r="AM83" s="16">
        <v>9</v>
      </c>
      <c r="AN83" s="25">
        <v>45974</v>
      </c>
      <c r="AO83" s="25">
        <v>46019</v>
      </c>
      <c r="AP83" s="7">
        <f t="shared" si="17"/>
        <v>44.444444444444443</v>
      </c>
      <c r="AQ83" s="7"/>
      <c r="AR83" s="66">
        <f>AM83-AE83</f>
        <v>0</v>
      </c>
      <c r="AS83" s="20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</row>
    <row r="84" spans="1:57" ht="22.15" customHeight="1">
      <c r="A84"/>
      <c r="B84" s="10" t="s">
        <v>86</v>
      </c>
      <c r="C84" s="21"/>
      <c r="D84" s="38"/>
      <c r="E84" s="25"/>
      <c r="F84" s="25"/>
      <c r="G84" s="7" t="str">
        <f t="shared" ref="G84:G86" si="24">IFERROR((F84-$G$1)/(F84-E84)*100,"")</f>
        <v/>
      </c>
      <c r="H84" s="7">
        <f t="shared" ref="H84:H86" si="25">F84-$H$1</f>
        <v>-45999</v>
      </c>
      <c r="I84" s="21" t="s">
        <v>14</v>
      </c>
      <c r="J84" s="32">
        <v>6.2329999999999997</v>
      </c>
      <c r="K84" s="25">
        <v>45970</v>
      </c>
      <c r="L84" s="25">
        <v>46015</v>
      </c>
      <c r="M84" s="7">
        <f t="shared" si="11"/>
        <v>35.555555555555557</v>
      </c>
      <c r="N84" s="7">
        <f t="shared" si="12"/>
        <v>16</v>
      </c>
      <c r="O84" s="21"/>
      <c r="P84" s="32"/>
      <c r="Q84" s="25"/>
      <c r="R84" s="25"/>
      <c r="S84" s="7" t="str">
        <f t="shared" si="13"/>
        <v/>
      </c>
      <c r="T84" s="7">
        <f t="shared" si="14"/>
        <v>-45999</v>
      </c>
      <c r="U84" s="33">
        <f t="shared" ref="U84" si="26">J84-P84</f>
        <v>6.2329999999999997</v>
      </c>
      <c r="V84" s="21"/>
      <c r="W84" s="32"/>
      <c r="X84" s="25"/>
      <c r="Y84" s="25"/>
      <c r="Z84" s="7" t="str">
        <f t="shared" si="15"/>
        <v/>
      </c>
      <c r="AA84" s="7"/>
      <c r="AB84" s="35">
        <f t="shared" ref="AB84" si="27">J84-W84</f>
        <v>6.2329999999999997</v>
      </c>
      <c r="AC84" s="20"/>
      <c r="AD84" s="21"/>
      <c r="AE84" s="32"/>
      <c r="AF84" s="25"/>
      <c r="AG84" s="25"/>
      <c r="AH84" s="7" t="str">
        <f t="shared" si="16"/>
        <v/>
      </c>
      <c r="AI84" s="7"/>
      <c r="AJ84" s="65">
        <f>J84-AE84</f>
        <v>6.2329999999999997</v>
      </c>
      <c r="AK84" s="20"/>
      <c r="AL84" s="21"/>
      <c r="AM84" s="32"/>
      <c r="AN84" s="25"/>
      <c r="AO84" s="25"/>
      <c r="AP84" s="7" t="str">
        <f t="shared" si="17"/>
        <v/>
      </c>
      <c r="AQ84" s="7"/>
      <c r="AR84" s="35"/>
      <c r="AS84" s="20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</row>
    <row r="85" spans="1:57" ht="22.15" customHeight="1">
      <c r="A85"/>
      <c r="B85" s="10" t="s">
        <v>85</v>
      </c>
      <c r="C85" s="21"/>
      <c r="D85" s="34"/>
      <c r="E85" s="25"/>
      <c r="F85" s="25"/>
      <c r="G85" s="7" t="str">
        <f t="shared" si="24"/>
        <v/>
      </c>
      <c r="H85" s="7">
        <f t="shared" si="25"/>
        <v>-45999</v>
      </c>
      <c r="I85" s="21"/>
      <c r="J85" s="32"/>
      <c r="K85" s="25"/>
      <c r="L85" s="25"/>
      <c r="M85" s="7" t="str">
        <f t="shared" si="11"/>
        <v/>
      </c>
      <c r="N85" s="7">
        <f t="shared" si="12"/>
        <v>-45999</v>
      </c>
      <c r="O85" s="21" t="s">
        <v>8</v>
      </c>
      <c r="P85" s="32">
        <v>8</v>
      </c>
      <c r="Q85" s="25">
        <v>45981</v>
      </c>
      <c r="R85" s="25">
        <v>46026</v>
      </c>
      <c r="S85" s="7">
        <f t="shared" si="13"/>
        <v>60</v>
      </c>
      <c r="T85" s="7">
        <f t="shared" si="14"/>
        <v>27</v>
      </c>
      <c r="U85" s="35"/>
      <c r="V85" s="21" t="s">
        <v>8</v>
      </c>
      <c r="W85" s="32">
        <v>8</v>
      </c>
      <c r="X85" s="25">
        <v>45981</v>
      </c>
      <c r="Y85" s="25">
        <v>46026</v>
      </c>
      <c r="Z85" s="7">
        <f t="shared" si="15"/>
        <v>60</v>
      </c>
      <c r="AA85" s="7"/>
      <c r="AB85" s="35">
        <f>P85-W85</f>
        <v>0</v>
      </c>
      <c r="AC85" s="20"/>
      <c r="AD85" s="21"/>
      <c r="AE85" s="32"/>
      <c r="AF85" s="25"/>
      <c r="AG85" s="25"/>
      <c r="AH85" s="7" t="str">
        <f t="shared" si="16"/>
        <v/>
      </c>
      <c r="AI85" s="7"/>
      <c r="AJ85" s="65">
        <f>P85-AE85</f>
        <v>8</v>
      </c>
      <c r="AK85" s="20"/>
      <c r="AL85" s="21"/>
      <c r="AM85" s="32"/>
      <c r="AN85" s="25"/>
      <c r="AO85" s="25"/>
      <c r="AP85" s="7" t="str">
        <f t="shared" si="17"/>
        <v/>
      </c>
      <c r="AQ85" s="7"/>
      <c r="AR85" s="35"/>
      <c r="AS85" s="20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</row>
    <row r="86" spans="1:57" ht="22.15" customHeight="1">
      <c r="A86"/>
      <c r="B86" s="10" t="s">
        <v>90</v>
      </c>
      <c r="C86" s="21"/>
      <c r="D86" s="34"/>
      <c r="E86" s="25"/>
      <c r="F86" s="25"/>
      <c r="G86" s="7" t="str">
        <f t="shared" si="24"/>
        <v/>
      </c>
      <c r="H86" s="7">
        <f t="shared" si="25"/>
        <v>-45999</v>
      </c>
      <c r="I86" s="21"/>
      <c r="J86" s="32"/>
      <c r="K86" s="25"/>
      <c r="L86" s="25"/>
      <c r="M86" s="7" t="str">
        <f t="shared" si="11"/>
        <v/>
      </c>
      <c r="N86" s="7">
        <f t="shared" si="12"/>
        <v>-45999</v>
      </c>
      <c r="O86" s="21" t="s">
        <v>14</v>
      </c>
      <c r="P86" s="32">
        <v>10.08</v>
      </c>
      <c r="Q86" s="25">
        <v>45974</v>
      </c>
      <c r="R86" s="25">
        <v>46024</v>
      </c>
      <c r="S86" s="7">
        <f t="shared" si="13"/>
        <v>50</v>
      </c>
      <c r="T86" s="7">
        <f t="shared" si="14"/>
        <v>25</v>
      </c>
      <c r="U86" s="35"/>
      <c r="V86" s="21" t="s">
        <v>14</v>
      </c>
      <c r="W86" s="32">
        <v>10.08</v>
      </c>
      <c r="X86" s="25">
        <v>45974</v>
      </c>
      <c r="Y86" s="25">
        <v>46024</v>
      </c>
      <c r="Z86" s="7">
        <f t="shared" si="15"/>
        <v>50</v>
      </c>
      <c r="AA86" s="7"/>
      <c r="AB86" s="35">
        <f>P86-W86</f>
        <v>0</v>
      </c>
      <c r="AC86" s="20"/>
      <c r="AD86" s="21"/>
      <c r="AE86" s="32"/>
      <c r="AF86" s="25"/>
      <c r="AG86" s="25"/>
      <c r="AH86" s="7" t="str">
        <f t="shared" si="16"/>
        <v/>
      </c>
      <c r="AI86" s="7"/>
      <c r="AJ86" s="35"/>
      <c r="AK86" s="20"/>
      <c r="AL86" s="21"/>
      <c r="AM86" s="32"/>
      <c r="AN86" s="25"/>
      <c r="AO86" s="25"/>
      <c r="AP86" s="7" t="str">
        <f t="shared" si="17"/>
        <v/>
      </c>
      <c r="AQ86" s="7"/>
      <c r="AR86" s="35"/>
      <c r="AS86" s="20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</row>
    <row r="87" spans="1:57" ht="22.15" customHeight="1">
      <c r="A87"/>
      <c r="B87" s="10" t="s">
        <v>91</v>
      </c>
      <c r="C87" s="21"/>
      <c r="D87" s="34"/>
      <c r="E87" s="25"/>
      <c r="F87" s="25"/>
      <c r="G87" s="7" t="str">
        <f t="shared" ref="G87" si="28">IFERROR((F87-$G$1)/(F87-E87)*100,"")</f>
        <v/>
      </c>
      <c r="H87" s="7">
        <f t="shared" ref="H87" si="29">F87-$H$1</f>
        <v>-45999</v>
      </c>
      <c r="I87" s="21"/>
      <c r="J87" s="32"/>
      <c r="K87" s="25"/>
      <c r="L87" s="25"/>
      <c r="M87" s="7" t="str">
        <f t="shared" si="11"/>
        <v/>
      </c>
      <c r="N87" s="7">
        <f t="shared" si="12"/>
        <v>-45999</v>
      </c>
      <c r="O87" s="21"/>
      <c r="P87" s="32"/>
      <c r="Q87" s="25"/>
      <c r="R87" s="25"/>
      <c r="S87" s="7" t="str">
        <f t="shared" si="13"/>
        <v/>
      </c>
      <c r="T87" s="7">
        <f t="shared" si="14"/>
        <v>-45999</v>
      </c>
      <c r="U87" s="35"/>
      <c r="V87" s="21" t="s">
        <v>14</v>
      </c>
      <c r="W87" s="32">
        <v>32.265999999999998</v>
      </c>
      <c r="X87" s="25">
        <v>45983</v>
      </c>
      <c r="Y87" s="25">
        <v>46033</v>
      </c>
      <c r="Z87" s="7">
        <f t="shared" si="15"/>
        <v>68</v>
      </c>
      <c r="AA87" s="7"/>
      <c r="AB87" s="35"/>
      <c r="AC87" s="20"/>
      <c r="AD87" s="21" t="s">
        <v>14</v>
      </c>
      <c r="AE87" s="32">
        <v>29.16</v>
      </c>
      <c r="AF87" s="25">
        <v>45983</v>
      </c>
      <c r="AG87" s="25">
        <v>46033</v>
      </c>
      <c r="AH87" s="7">
        <f t="shared" si="16"/>
        <v>68</v>
      </c>
      <c r="AI87" s="7"/>
      <c r="AJ87" s="35">
        <f>W87-AE87</f>
        <v>3.1059999999999981</v>
      </c>
      <c r="AK87" s="20"/>
      <c r="AL87" s="21" t="s">
        <v>14</v>
      </c>
      <c r="AM87" s="32">
        <v>13.882</v>
      </c>
      <c r="AN87" s="25">
        <v>45983</v>
      </c>
      <c r="AO87" s="25">
        <v>46033</v>
      </c>
      <c r="AP87" s="7">
        <f t="shared" si="17"/>
        <v>68</v>
      </c>
      <c r="AQ87" s="7"/>
      <c r="AR87" s="35">
        <f>AE87-AM87</f>
        <v>15.278</v>
      </c>
      <c r="AS87" s="20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</row>
    <row r="88" spans="1:57" ht="22.15" customHeight="1">
      <c r="A88"/>
      <c r="B88" s="10" t="s">
        <v>92</v>
      </c>
      <c r="C88" s="21"/>
      <c r="D88" s="34"/>
      <c r="E88" s="25"/>
      <c r="F88" s="25"/>
      <c r="G88" s="7" t="str">
        <f t="shared" ref="G88:G90" si="30">IFERROR((F88-$G$1)/(F88-E88)*100,"")</f>
        <v/>
      </c>
      <c r="H88" s="7">
        <f t="shared" ref="H88:H90" si="31">F88-$H$1</f>
        <v>-45999</v>
      </c>
      <c r="I88" s="21"/>
      <c r="J88" s="32"/>
      <c r="K88" s="25"/>
      <c r="L88" s="25"/>
      <c r="M88" s="7" t="str">
        <f t="shared" si="11"/>
        <v/>
      </c>
      <c r="N88" s="7">
        <f t="shared" si="12"/>
        <v>-45999</v>
      </c>
      <c r="O88" s="21"/>
      <c r="P88" s="32"/>
      <c r="Q88" s="25"/>
      <c r="R88" s="25"/>
      <c r="S88" s="7" t="str">
        <f t="shared" si="13"/>
        <v/>
      </c>
      <c r="T88" s="7">
        <f t="shared" si="14"/>
        <v>-45999</v>
      </c>
      <c r="U88" s="19"/>
      <c r="V88" s="21" t="s">
        <v>8</v>
      </c>
      <c r="W88" s="32">
        <v>12</v>
      </c>
      <c r="X88" s="25">
        <v>45986</v>
      </c>
      <c r="Y88" s="25">
        <v>46031</v>
      </c>
      <c r="Z88" s="7">
        <f t="shared" si="15"/>
        <v>71.111111111111114</v>
      </c>
      <c r="AA88" s="7"/>
      <c r="AB88" s="19"/>
      <c r="AC88" s="20"/>
      <c r="AD88" s="21"/>
      <c r="AE88" s="32"/>
      <c r="AF88" s="25"/>
      <c r="AG88" s="25"/>
      <c r="AH88" s="7" t="str">
        <f t="shared" si="16"/>
        <v/>
      </c>
      <c r="AI88" s="7"/>
      <c r="AJ88" s="65">
        <f>W88-AE88</f>
        <v>12</v>
      </c>
      <c r="AK88" s="20"/>
      <c r="AL88" s="21"/>
      <c r="AM88" s="32"/>
      <c r="AN88" s="25"/>
      <c r="AO88" s="25"/>
      <c r="AP88" s="7" t="str">
        <f t="shared" si="17"/>
        <v/>
      </c>
      <c r="AQ88" s="7"/>
      <c r="AR88" s="35"/>
      <c r="AS88" s="20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</row>
    <row r="89" spans="1:57" ht="22.15" customHeight="1">
      <c r="A89"/>
      <c r="B89" s="8" t="s">
        <v>93</v>
      </c>
      <c r="C89" s="21"/>
      <c r="D89" s="34"/>
      <c r="E89" s="25"/>
      <c r="F89" s="25"/>
      <c r="G89" s="7" t="str">
        <f t="shared" si="30"/>
        <v/>
      </c>
      <c r="H89" s="7">
        <f t="shared" si="31"/>
        <v>-45999</v>
      </c>
      <c r="I89" s="21"/>
      <c r="J89" s="32"/>
      <c r="K89" s="25"/>
      <c r="L89" s="25"/>
      <c r="M89" s="7" t="str">
        <f t="shared" si="11"/>
        <v/>
      </c>
      <c r="N89" s="7">
        <f t="shared" si="12"/>
        <v>-45999</v>
      </c>
      <c r="O89" s="21"/>
      <c r="P89" s="32"/>
      <c r="Q89" s="25"/>
      <c r="R89" s="25"/>
      <c r="S89" s="7" t="str">
        <f t="shared" si="13"/>
        <v/>
      </c>
      <c r="T89" s="7">
        <f t="shared" si="14"/>
        <v>-45999</v>
      </c>
      <c r="U89" s="19"/>
      <c r="V89" s="21" t="s">
        <v>8</v>
      </c>
      <c r="W89" s="32">
        <v>3</v>
      </c>
      <c r="X89" s="25">
        <v>45986</v>
      </c>
      <c r="Y89" s="25">
        <v>46031</v>
      </c>
      <c r="Z89" s="7">
        <f t="shared" si="15"/>
        <v>71.111111111111114</v>
      </c>
      <c r="AA89" s="7"/>
      <c r="AB89" s="19"/>
      <c r="AC89" s="20"/>
      <c r="AD89" s="21"/>
      <c r="AE89" s="32"/>
      <c r="AF89" s="25"/>
      <c r="AG89" s="25"/>
      <c r="AH89" s="7" t="str">
        <f t="shared" si="16"/>
        <v/>
      </c>
      <c r="AI89" s="7"/>
      <c r="AJ89" s="65">
        <f>W89-AE89</f>
        <v>3</v>
      </c>
      <c r="AK89" s="20"/>
      <c r="AL89" s="21"/>
      <c r="AM89" s="32"/>
      <c r="AN89" s="25"/>
      <c r="AO89" s="25"/>
      <c r="AP89" s="7" t="str">
        <f t="shared" si="17"/>
        <v/>
      </c>
      <c r="AQ89" s="7"/>
      <c r="AR89" s="35"/>
      <c r="AS89" s="20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</row>
    <row r="90" spans="1:57" ht="22.15" customHeight="1">
      <c r="A90"/>
      <c r="B90" s="67" t="s">
        <v>81</v>
      </c>
      <c r="C90" s="21"/>
      <c r="D90" s="34"/>
      <c r="E90" s="25"/>
      <c r="F90" s="25"/>
      <c r="G90" s="7" t="str">
        <f t="shared" si="30"/>
        <v/>
      </c>
      <c r="H90" s="7">
        <f t="shared" si="31"/>
        <v>-45999</v>
      </c>
      <c r="I90" s="21"/>
      <c r="J90" s="32"/>
      <c r="K90" s="25"/>
      <c r="L90" s="25"/>
      <c r="M90" s="7" t="str">
        <f t="shared" si="11"/>
        <v/>
      </c>
      <c r="N90" s="7">
        <f t="shared" si="12"/>
        <v>-45999</v>
      </c>
      <c r="O90" s="21"/>
      <c r="P90" s="32"/>
      <c r="Q90" s="25"/>
      <c r="R90" s="25"/>
      <c r="S90" s="7" t="str">
        <f t="shared" si="13"/>
        <v/>
      </c>
      <c r="T90" s="7">
        <f t="shared" si="14"/>
        <v>-45999</v>
      </c>
      <c r="U90" s="19"/>
      <c r="V90" s="21"/>
      <c r="W90" s="32"/>
      <c r="X90" s="25"/>
      <c r="Y90" s="25"/>
      <c r="Z90" s="7" t="str">
        <f t="shared" si="15"/>
        <v/>
      </c>
      <c r="AA90" s="7"/>
      <c r="AB90" s="19"/>
      <c r="AC90" s="20"/>
      <c r="AD90" s="21" t="s">
        <v>94</v>
      </c>
      <c r="AE90" s="32">
        <v>12</v>
      </c>
      <c r="AF90" s="25">
        <v>45978</v>
      </c>
      <c r="AG90" s="25">
        <v>46023</v>
      </c>
      <c r="AH90" s="7">
        <f t="shared" si="16"/>
        <v>53.333333333333336</v>
      </c>
      <c r="AI90" s="7"/>
      <c r="AJ90" s="35"/>
      <c r="AK90" s="20"/>
      <c r="AL90" s="21" t="s">
        <v>94</v>
      </c>
      <c r="AM90" s="32">
        <v>12</v>
      </c>
      <c r="AN90" s="25">
        <v>45978</v>
      </c>
      <c r="AO90" s="25">
        <v>46023</v>
      </c>
      <c r="AP90" s="7">
        <f t="shared" si="17"/>
        <v>53.333333333333336</v>
      </c>
      <c r="AQ90" s="7"/>
      <c r="AR90" s="35">
        <f>AE90-AM90</f>
        <v>0</v>
      </c>
      <c r="AS90" s="20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</row>
    <row r="91" spans="1:57" ht="22.15" customHeight="1">
      <c r="A91"/>
      <c r="B91" s="8" t="s">
        <v>95</v>
      </c>
      <c r="C91" s="21"/>
      <c r="D91" s="34"/>
      <c r="E91" s="25"/>
      <c r="F91" s="25"/>
      <c r="G91" s="7" t="str">
        <f t="shared" ref="G91:G103" si="32">IFERROR((F91-$G$1)/(F91-E91)*100,"")</f>
        <v/>
      </c>
      <c r="H91" s="7">
        <f t="shared" ref="H91:H103" si="33">F91-$H$1</f>
        <v>-45999</v>
      </c>
      <c r="I91" s="21"/>
      <c r="J91" s="32"/>
      <c r="K91" s="25"/>
      <c r="L91" s="25"/>
      <c r="M91" s="7" t="str">
        <f t="shared" si="11"/>
        <v/>
      </c>
      <c r="N91" s="7">
        <f t="shared" si="12"/>
        <v>-45999</v>
      </c>
      <c r="O91" s="21"/>
      <c r="P91" s="32"/>
      <c r="Q91" s="25"/>
      <c r="R91" s="25"/>
      <c r="S91" s="7" t="str">
        <f t="shared" si="13"/>
        <v/>
      </c>
      <c r="T91" s="7">
        <f t="shared" si="14"/>
        <v>-45999</v>
      </c>
      <c r="U91" s="19"/>
      <c r="V91" s="21"/>
      <c r="W91" s="32"/>
      <c r="X91" s="25"/>
      <c r="Y91" s="25"/>
      <c r="Z91" s="7" t="str">
        <f t="shared" si="15"/>
        <v/>
      </c>
      <c r="AA91" s="7"/>
      <c r="AB91" s="19"/>
      <c r="AC91" s="20"/>
      <c r="AD91" s="21" t="s">
        <v>94</v>
      </c>
      <c r="AE91" s="32">
        <v>12</v>
      </c>
      <c r="AF91" s="25">
        <v>45986</v>
      </c>
      <c r="AG91" s="25">
        <v>46031</v>
      </c>
      <c r="AH91" s="7">
        <f t="shared" si="16"/>
        <v>71.111111111111114</v>
      </c>
      <c r="AI91" s="7"/>
      <c r="AJ91" s="35"/>
      <c r="AK91" s="20"/>
      <c r="AL91" s="21" t="s">
        <v>94</v>
      </c>
      <c r="AM91" s="32">
        <v>9</v>
      </c>
      <c r="AN91" s="25">
        <v>45986</v>
      </c>
      <c r="AO91" s="25">
        <v>46031</v>
      </c>
      <c r="AP91" s="7">
        <f t="shared" si="17"/>
        <v>71.111111111111114</v>
      </c>
      <c r="AQ91" s="7"/>
      <c r="AR91" s="35">
        <f>AE91-AM91</f>
        <v>3</v>
      </c>
      <c r="AS91" s="20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</row>
    <row r="92" spans="1:57" ht="22.15" customHeight="1">
      <c r="A92"/>
      <c r="B92" s="10" t="s">
        <v>90</v>
      </c>
      <c r="C92" s="21"/>
      <c r="D92" s="34"/>
      <c r="E92" s="25"/>
      <c r="F92" s="25"/>
      <c r="G92" s="7"/>
      <c r="H92" s="7"/>
      <c r="I92" s="21"/>
      <c r="J92" s="32"/>
      <c r="K92" s="25"/>
      <c r="L92" s="25"/>
      <c r="M92" s="7"/>
      <c r="N92" s="7"/>
      <c r="O92" s="21"/>
      <c r="P92" s="32"/>
      <c r="Q92" s="25"/>
      <c r="R92" s="25"/>
      <c r="S92" s="7"/>
      <c r="T92" s="7"/>
      <c r="U92" s="19"/>
      <c r="V92" s="21"/>
      <c r="W92" s="32"/>
      <c r="X92" s="25"/>
      <c r="Y92" s="25"/>
      <c r="Z92" s="7"/>
      <c r="AA92" s="7"/>
      <c r="AB92" s="19"/>
      <c r="AC92" s="20"/>
      <c r="AD92" s="21"/>
      <c r="AE92" s="32"/>
      <c r="AF92" s="25"/>
      <c r="AG92" s="25"/>
      <c r="AH92" s="7" t="str">
        <f t="shared" si="16"/>
        <v/>
      </c>
      <c r="AI92" s="7"/>
      <c r="AJ92" s="35"/>
      <c r="AK92" s="20"/>
      <c r="AL92" s="21" t="s">
        <v>94</v>
      </c>
      <c r="AM92" s="32">
        <v>12</v>
      </c>
      <c r="AN92" s="25">
        <v>45973</v>
      </c>
      <c r="AO92" s="25">
        <v>46024</v>
      </c>
      <c r="AP92" s="7">
        <f t="shared" si="17"/>
        <v>49.019607843137251</v>
      </c>
      <c r="AQ92" s="7"/>
      <c r="AR92" s="35"/>
      <c r="AS92" s="20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</row>
    <row r="93" spans="1:57" ht="22.15" customHeight="1">
      <c r="A93"/>
      <c r="B93" s="10" t="s">
        <v>81</v>
      </c>
      <c r="C93" s="21"/>
      <c r="D93" s="34"/>
      <c r="E93" s="25"/>
      <c r="F93" s="25"/>
      <c r="G93" s="7" t="str">
        <f t="shared" si="32"/>
        <v/>
      </c>
      <c r="H93" s="7">
        <f t="shared" si="33"/>
        <v>-45999</v>
      </c>
      <c r="I93" s="21"/>
      <c r="J93" s="32"/>
      <c r="K93" s="25"/>
      <c r="L93" s="25"/>
      <c r="M93" s="7" t="str">
        <f t="shared" si="11"/>
        <v/>
      </c>
      <c r="N93" s="7">
        <f t="shared" si="12"/>
        <v>-45999</v>
      </c>
      <c r="O93" s="21"/>
      <c r="P93" s="32"/>
      <c r="Q93" s="25"/>
      <c r="R93" s="25"/>
      <c r="S93" s="7" t="str">
        <f t="shared" si="13"/>
        <v/>
      </c>
      <c r="T93" s="7">
        <f t="shared" si="14"/>
        <v>-45999</v>
      </c>
      <c r="U93" s="19"/>
      <c r="V93" s="21"/>
      <c r="W93" s="32"/>
      <c r="X93" s="25"/>
      <c r="Y93" s="25"/>
      <c r="Z93" s="7" t="str">
        <f t="shared" si="15"/>
        <v/>
      </c>
      <c r="AA93" s="7"/>
      <c r="AB93" s="19"/>
      <c r="AC93" s="20"/>
      <c r="AD93" s="21"/>
      <c r="AE93" s="32"/>
      <c r="AF93" s="25"/>
      <c r="AG93" s="25"/>
      <c r="AH93" s="7" t="str">
        <f t="shared" si="16"/>
        <v/>
      </c>
      <c r="AI93" s="7"/>
      <c r="AJ93" s="19"/>
      <c r="AK93" s="20"/>
      <c r="AL93" s="21" t="s">
        <v>94</v>
      </c>
      <c r="AM93" s="32">
        <v>2</v>
      </c>
      <c r="AN93" s="25">
        <v>45978</v>
      </c>
      <c r="AO93" s="25">
        <v>46023</v>
      </c>
      <c r="AP93" s="7">
        <f t="shared" si="17"/>
        <v>53.333333333333336</v>
      </c>
      <c r="AQ93" s="7"/>
      <c r="AR93" s="19"/>
      <c r="AS93" s="20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</row>
    <row r="94" spans="1:57" ht="22.15" customHeight="1">
      <c r="A94"/>
      <c r="B94" s="10" t="s">
        <v>92</v>
      </c>
      <c r="C94" s="39"/>
      <c r="D94" s="40"/>
      <c r="E94" s="41"/>
      <c r="F94" s="41"/>
      <c r="G94" s="9" t="str">
        <f t="shared" si="32"/>
        <v/>
      </c>
      <c r="H94" s="9">
        <f t="shared" si="33"/>
        <v>-45999</v>
      </c>
      <c r="I94" s="39"/>
      <c r="J94" s="42"/>
      <c r="K94" s="41"/>
      <c r="L94" s="41"/>
      <c r="M94" s="9" t="str">
        <f t="shared" si="11"/>
        <v/>
      </c>
      <c r="N94" s="9">
        <f t="shared" si="12"/>
        <v>-45999</v>
      </c>
      <c r="O94" s="39"/>
      <c r="P94" s="42"/>
      <c r="Q94" s="41"/>
      <c r="R94" s="41"/>
      <c r="S94" s="9" t="str">
        <f t="shared" si="13"/>
        <v/>
      </c>
      <c r="T94" s="9">
        <f t="shared" si="14"/>
        <v>-45999</v>
      </c>
      <c r="U94" s="19"/>
      <c r="V94" s="39"/>
      <c r="W94" s="42"/>
      <c r="X94" s="41"/>
      <c r="Y94" s="41"/>
      <c r="Z94" s="9" t="str">
        <f t="shared" si="15"/>
        <v/>
      </c>
      <c r="AA94" s="9"/>
      <c r="AB94" s="19"/>
      <c r="AC94" s="20"/>
      <c r="AD94" s="39"/>
      <c r="AE94" s="42"/>
      <c r="AF94" s="41"/>
      <c r="AG94" s="41"/>
      <c r="AH94" s="9" t="str">
        <f t="shared" si="16"/>
        <v/>
      </c>
      <c r="AI94" s="9"/>
      <c r="AJ94" s="19"/>
      <c r="AK94" s="20"/>
      <c r="AL94" s="39" t="s">
        <v>94</v>
      </c>
      <c r="AM94" s="42">
        <v>3</v>
      </c>
      <c r="AN94" s="41">
        <v>45986</v>
      </c>
      <c r="AO94" s="41">
        <v>46031</v>
      </c>
      <c r="AP94" s="9">
        <f t="shared" si="17"/>
        <v>71.111111111111114</v>
      </c>
      <c r="AQ94" s="9"/>
      <c r="AR94" s="19"/>
      <c r="AS94" s="20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</row>
    <row r="95" spans="1:57" ht="22.15" customHeight="1">
      <c r="A95"/>
      <c r="B95" s="8" t="s">
        <v>93</v>
      </c>
      <c r="C95" s="43"/>
      <c r="D95" s="44"/>
      <c r="E95" s="41"/>
      <c r="F95" s="41"/>
      <c r="G95" s="9" t="str">
        <f t="shared" si="32"/>
        <v/>
      </c>
      <c r="H95" s="9">
        <f t="shared" si="33"/>
        <v>-45999</v>
      </c>
      <c r="I95" s="43"/>
      <c r="J95" s="45"/>
      <c r="K95" s="41"/>
      <c r="L95" s="41"/>
      <c r="M95" s="9" t="str">
        <f t="shared" si="11"/>
        <v/>
      </c>
      <c r="N95" s="9">
        <f t="shared" si="12"/>
        <v>-45999</v>
      </c>
      <c r="O95" s="43"/>
      <c r="P95" s="45"/>
      <c r="Q95" s="41"/>
      <c r="R95" s="41"/>
      <c r="S95" s="9" t="str">
        <f t="shared" si="13"/>
        <v/>
      </c>
      <c r="T95" s="9">
        <f t="shared" si="14"/>
        <v>-45999</v>
      </c>
      <c r="U95" s="19"/>
      <c r="V95" s="43"/>
      <c r="W95" s="45"/>
      <c r="X95" s="41"/>
      <c r="Y95" s="41"/>
      <c r="Z95" s="9" t="str">
        <f t="shared" si="15"/>
        <v/>
      </c>
      <c r="AA95" s="9"/>
      <c r="AB95" s="19"/>
      <c r="AC95" s="20"/>
      <c r="AD95" s="43"/>
      <c r="AE95" s="45"/>
      <c r="AF95" s="41"/>
      <c r="AG95" s="41"/>
      <c r="AH95" s="9" t="str">
        <f t="shared" si="16"/>
        <v/>
      </c>
      <c r="AI95" s="9"/>
      <c r="AJ95" s="19"/>
      <c r="AK95" s="20"/>
      <c r="AL95" s="43" t="s">
        <v>94</v>
      </c>
      <c r="AM95" s="45">
        <v>13</v>
      </c>
      <c r="AN95" s="41">
        <v>45993</v>
      </c>
      <c r="AO95" s="41">
        <v>46038</v>
      </c>
      <c r="AP95" s="9">
        <f t="shared" si="17"/>
        <v>86.666666666666671</v>
      </c>
      <c r="AQ95" s="9"/>
      <c r="AR95" s="19"/>
      <c r="AS95" s="20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</row>
    <row r="96" spans="1:57" ht="22.15" customHeight="1">
      <c r="A96"/>
      <c r="B96" s="8"/>
      <c r="C96" s="46"/>
      <c r="D96" s="47"/>
      <c r="E96" s="41"/>
      <c r="F96" s="41"/>
      <c r="G96" s="9" t="str">
        <f t="shared" si="32"/>
        <v/>
      </c>
      <c r="H96" s="9">
        <f t="shared" si="33"/>
        <v>-45999</v>
      </c>
      <c r="I96" s="46"/>
      <c r="J96" s="48"/>
      <c r="K96" s="41"/>
      <c r="L96" s="41"/>
      <c r="M96" s="9" t="str">
        <f t="shared" si="11"/>
        <v/>
      </c>
      <c r="N96" s="9">
        <f t="shared" si="12"/>
        <v>-45999</v>
      </c>
      <c r="O96" s="46"/>
      <c r="P96" s="48"/>
      <c r="Q96" s="41"/>
      <c r="R96" s="41"/>
      <c r="S96" s="9" t="str">
        <f t="shared" si="13"/>
        <v/>
      </c>
      <c r="T96" s="9">
        <f t="shared" si="14"/>
        <v>-45999</v>
      </c>
      <c r="U96" s="19"/>
      <c r="V96" s="46"/>
      <c r="W96" s="48"/>
      <c r="X96" s="41"/>
      <c r="Y96" s="41"/>
      <c r="Z96" s="9" t="str">
        <f t="shared" si="15"/>
        <v/>
      </c>
      <c r="AA96" s="9"/>
      <c r="AB96" s="19"/>
      <c r="AC96" s="20"/>
      <c r="AD96" s="46"/>
      <c r="AE96" s="48"/>
      <c r="AF96" s="41"/>
      <c r="AG96" s="41"/>
      <c r="AH96" s="9" t="str">
        <f t="shared" si="16"/>
        <v/>
      </c>
      <c r="AI96" s="9"/>
      <c r="AJ96" s="19"/>
      <c r="AK96" s="20"/>
      <c r="AL96" s="46"/>
      <c r="AM96" s="48"/>
      <c r="AN96" s="41"/>
      <c r="AO96" s="41"/>
      <c r="AP96" s="9" t="str">
        <f t="shared" si="17"/>
        <v/>
      </c>
      <c r="AQ96" s="9"/>
      <c r="AR96" s="19"/>
      <c r="AS96" s="20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</row>
    <row r="97" spans="1:57" ht="22.15" customHeight="1">
      <c r="A97"/>
      <c r="B97" s="8"/>
      <c r="C97" s="49"/>
      <c r="D97" s="50"/>
      <c r="E97" s="41"/>
      <c r="F97" s="41"/>
      <c r="G97" s="9" t="str">
        <f t="shared" si="32"/>
        <v/>
      </c>
      <c r="H97" s="9">
        <f t="shared" si="33"/>
        <v>-45999</v>
      </c>
      <c r="I97" s="49"/>
      <c r="J97" s="51"/>
      <c r="K97" s="41"/>
      <c r="L97" s="41"/>
      <c r="M97" s="9" t="str">
        <f t="shared" si="11"/>
        <v/>
      </c>
      <c r="N97" s="9">
        <f t="shared" si="12"/>
        <v>-45999</v>
      </c>
      <c r="O97" s="49"/>
      <c r="P97" s="51"/>
      <c r="Q97" s="41"/>
      <c r="R97" s="41"/>
      <c r="S97" s="9" t="str">
        <f t="shared" si="13"/>
        <v/>
      </c>
      <c r="T97" s="9">
        <f t="shared" si="14"/>
        <v>-45999</v>
      </c>
      <c r="U97" s="19"/>
      <c r="V97" s="49"/>
      <c r="W97" s="51"/>
      <c r="X97" s="41"/>
      <c r="Y97" s="41"/>
      <c r="Z97" s="9" t="str">
        <f t="shared" si="15"/>
        <v/>
      </c>
      <c r="AA97" s="9"/>
      <c r="AB97" s="19"/>
      <c r="AC97" s="20"/>
      <c r="AD97" s="49"/>
      <c r="AE97" s="51"/>
      <c r="AF97" s="41"/>
      <c r="AG97" s="41"/>
      <c r="AH97" s="9" t="str">
        <f t="shared" si="16"/>
        <v/>
      </c>
      <c r="AI97" s="9"/>
      <c r="AJ97" s="19"/>
      <c r="AK97" s="20"/>
      <c r="AL97" s="49"/>
      <c r="AM97" s="51"/>
      <c r="AN97" s="41"/>
      <c r="AO97" s="41"/>
      <c r="AP97" s="9" t="str">
        <f t="shared" si="17"/>
        <v/>
      </c>
      <c r="AQ97" s="9"/>
      <c r="AR97" s="19"/>
      <c r="AS97" s="20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</row>
    <row r="98" spans="1:57" ht="22.15" customHeight="1">
      <c r="A98"/>
      <c r="B98" s="8"/>
      <c r="C98" s="46"/>
      <c r="D98" s="47"/>
      <c r="E98" s="41"/>
      <c r="F98" s="41"/>
      <c r="G98" s="9" t="str">
        <f t="shared" si="32"/>
        <v/>
      </c>
      <c r="H98" s="9">
        <f t="shared" si="33"/>
        <v>-45999</v>
      </c>
      <c r="I98" s="46"/>
      <c r="J98" s="48"/>
      <c r="K98" s="41"/>
      <c r="L98" s="41"/>
      <c r="M98" s="9" t="str">
        <f t="shared" si="11"/>
        <v/>
      </c>
      <c r="N98" s="9">
        <f t="shared" si="12"/>
        <v>-45999</v>
      </c>
      <c r="O98" s="46"/>
      <c r="P98" s="48"/>
      <c r="Q98" s="41"/>
      <c r="R98" s="41"/>
      <c r="S98" s="9" t="str">
        <f t="shared" si="13"/>
        <v/>
      </c>
      <c r="T98" s="9">
        <f t="shared" si="14"/>
        <v>-45999</v>
      </c>
      <c r="U98" s="19"/>
      <c r="V98" s="46"/>
      <c r="W98" s="48"/>
      <c r="X98" s="41"/>
      <c r="Y98" s="41"/>
      <c r="Z98" s="9" t="str">
        <f t="shared" si="15"/>
        <v/>
      </c>
      <c r="AA98" s="9"/>
      <c r="AB98" s="19"/>
      <c r="AC98" s="20"/>
      <c r="AD98" s="46"/>
      <c r="AE98" s="48"/>
      <c r="AF98" s="41"/>
      <c r="AG98" s="41"/>
      <c r="AH98" s="9" t="str">
        <f t="shared" si="16"/>
        <v/>
      </c>
      <c r="AI98" s="9"/>
      <c r="AJ98" s="19"/>
      <c r="AK98" s="20"/>
      <c r="AL98" s="46"/>
      <c r="AM98" s="48"/>
      <c r="AN98" s="41"/>
      <c r="AO98" s="41"/>
      <c r="AP98" s="9" t="str">
        <f t="shared" si="17"/>
        <v/>
      </c>
      <c r="AQ98" s="9"/>
      <c r="AR98" s="19"/>
      <c r="AS98" s="20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</row>
    <row r="99" spans="1:57" ht="22.15" customHeight="1">
      <c r="A99"/>
      <c r="B99" s="8"/>
      <c r="C99" s="49"/>
      <c r="D99" s="50"/>
      <c r="E99" s="41"/>
      <c r="F99" s="41"/>
      <c r="G99" s="9" t="str">
        <f t="shared" si="32"/>
        <v/>
      </c>
      <c r="H99" s="9">
        <f t="shared" si="33"/>
        <v>-45999</v>
      </c>
      <c r="I99" s="49"/>
      <c r="J99" s="51"/>
      <c r="K99" s="41"/>
      <c r="L99" s="41"/>
      <c r="M99" s="9" t="str">
        <f t="shared" si="11"/>
        <v/>
      </c>
      <c r="N99" s="9">
        <f t="shared" si="12"/>
        <v>-45999</v>
      </c>
      <c r="O99" s="49"/>
      <c r="P99" s="51"/>
      <c r="Q99" s="41"/>
      <c r="R99" s="41"/>
      <c r="S99" s="9" t="str">
        <f t="shared" si="13"/>
        <v/>
      </c>
      <c r="T99" s="9">
        <f t="shared" si="14"/>
        <v>-45999</v>
      </c>
      <c r="U99" s="19"/>
      <c r="V99" s="49"/>
      <c r="W99" s="51"/>
      <c r="X99" s="41"/>
      <c r="Y99" s="41"/>
      <c r="Z99" s="9" t="str">
        <f t="shared" si="15"/>
        <v/>
      </c>
      <c r="AA99" s="9"/>
      <c r="AB99" s="19"/>
      <c r="AC99" s="20"/>
      <c r="AD99" s="49"/>
      <c r="AE99" s="51"/>
      <c r="AF99" s="41"/>
      <c r="AG99" s="41"/>
      <c r="AH99" s="9" t="str">
        <f t="shared" si="16"/>
        <v/>
      </c>
      <c r="AI99" s="9"/>
      <c r="AJ99" s="19"/>
      <c r="AK99" s="20"/>
      <c r="AL99" s="49"/>
      <c r="AM99" s="51"/>
      <c r="AN99" s="41"/>
      <c r="AO99" s="41"/>
      <c r="AP99" s="9" t="str">
        <f t="shared" si="17"/>
        <v/>
      </c>
      <c r="AQ99" s="9"/>
      <c r="AR99" s="19"/>
      <c r="AS99" s="20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</row>
    <row r="100" spans="1:57" ht="22.15" customHeight="1">
      <c r="A100"/>
      <c r="B100" s="8"/>
      <c r="C100" s="46"/>
      <c r="D100" s="47"/>
      <c r="E100" s="41"/>
      <c r="F100" s="41"/>
      <c r="G100" s="9" t="str">
        <f t="shared" si="32"/>
        <v/>
      </c>
      <c r="H100" s="9">
        <f t="shared" si="33"/>
        <v>-45999</v>
      </c>
      <c r="I100" s="46"/>
      <c r="J100" s="48"/>
      <c r="K100" s="41"/>
      <c r="L100" s="41"/>
      <c r="M100" s="9" t="str">
        <f t="shared" si="11"/>
        <v/>
      </c>
      <c r="N100" s="9">
        <f t="shared" si="12"/>
        <v>-45999</v>
      </c>
      <c r="O100" s="46"/>
      <c r="P100" s="48"/>
      <c r="Q100" s="41"/>
      <c r="R100" s="41"/>
      <c r="S100" s="9" t="str">
        <f t="shared" si="13"/>
        <v/>
      </c>
      <c r="T100" s="9">
        <f t="shared" si="14"/>
        <v>-45999</v>
      </c>
      <c r="U100" s="19"/>
      <c r="V100" s="46"/>
      <c r="W100" s="48"/>
      <c r="X100" s="41"/>
      <c r="Y100" s="41"/>
      <c r="Z100" s="9" t="str">
        <f t="shared" si="15"/>
        <v/>
      </c>
      <c r="AA100" s="9"/>
      <c r="AB100" s="19"/>
      <c r="AC100" s="20"/>
      <c r="AD100" s="46"/>
      <c r="AE100" s="48"/>
      <c r="AF100" s="41"/>
      <c r="AG100" s="41"/>
      <c r="AH100" s="9" t="str">
        <f t="shared" si="16"/>
        <v/>
      </c>
      <c r="AI100" s="9"/>
      <c r="AJ100" s="19"/>
      <c r="AK100" s="20"/>
      <c r="AL100" s="46"/>
      <c r="AM100" s="48"/>
      <c r="AN100" s="41"/>
      <c r="AO100" s="41"/>
      <c r="AP100" s="9" t="str">
        <f t="shared" si="17"/>
        <v/>
      </c>
      <c r="AQ100" s="9"/>
      <c r="AR100" s="19"/>
      <c r="AS100" s="20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</row>
    <row r="101" spans="1:57" ht="22.15" customHeight="1">
      <c r="A101"/>
      <c r="B101" s="8"/>
      <c r="C101" s="49"/>
      <c r="D101" s="50"/>
      <c r="E101" s="41"/>
      <c r="F101" s="41"/>
      <c r="G101" s="9" t="str">
        <f t="shared" si="32"/>
        <v/>
      </c>
      <c r="H101" s="9">
        <f t="shared" si="33"/>
        <v>-45999</v>
      </c>
      <c r="I101" s="49"/>
      <c r="J101" s="51"/>
      <c r="K101" s="41"/>
      <c r="L101" s="41"/>
      <c r="M101" s="9" t="str">
        <f t="shared" si="11"/>
        <v/>
      </c>
      <c r="N101" s="9">
        <f t="shared" si="12"/>
        <v>-45999</v>
      </c>
      <c r="O101" s="49"/>
      <c r="P101" s="51"/>
      <c r="Q101" s="41"/>
      <c r="R101" s="41"/>
      <c r="S101" s="9" t="str">
        <f t="shared" si="13"/>
        <v/>
      </c>
      <c r="T101" s="9">
        <f t="shared" si="14"/>
        <v>-45999</v>
      </c>
      <c r="U101" s="19"/>
      <c r="V101" s="49"/>
      <c r="W101" s="51"/>
      <c r="X101" s="41"/>
      <c r="Y101" s="41"/>
      <c r="Z101" s="9" t="str">
        <f t="shared" si="15"/>
        <v/>
      </c>
      <c r="AA101" s="9"/>
      <c r="AB101" s="19"/>
      <c r="AC101" s="20"/>
      <c r="AD101" s="49"/>
      <c r="AE101" s="51"/>
      <c r="AF101" s="41"/>
      <c r="AG101" s="41"/>
      <c r="AH101" s="9" t="str">
        <f t="shared" si="16"/>
        <v/>
      </c>
      <c r="AI101" s="9"/>
      <c r="AJ101" s="19"/>
      <c r="AK101" s="20"/>
      <c r="AL101" s="49"/>
      <c r="AM101" s="51"/>
      <c r="AN101" s="41"/>
      <c r="AO101" s="41"/>
      <c r="AP101" s="9" t="str">
        <f t="shared" si="17"/>
        <v/>
      </c>
      <c r="AQ101" s="9"/>
      <c r="AR101" s="19"/>
      <c r="AS101" s="20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</row>
    <row r="102" spans="1:57" ht="22.15" customHeight="1">
      <c r="A102"/>
      <c r="B102" s="8"/>
      <c r="C102" s="52"/>
      <c r="D102" s="53"/>
      <c r="E102" s="41"/>
      <c r="F102" s="41"/>
      <c r="G102" s="9" t="str">
        <f t="shared" si="32"/>
        <v/>
      </c>
      <c r="H102" s="9">
        <f t="shared" si="33"/>
        <v>-45999</v>
      </c>
      <c r="I102" s="52"/>
      <c r="J102" s="54"/>
      <c r="K102" s="41"/>
      <c r="L102" s="41"/>
      <c r="M102" s="9" t="str">
        <f t="shared" si="11"/>
        <v/>
      </c>
      <c r="N102" s="9">
        <f t="shared" si="12"/>
        <v>-45999</v>
      </c>
      <c r="O102" s="52"/>
      <c r="P102" s="54"/>
      <c r="Q102" s="41"/>
      <c r="R102" s="41"/>
      <c r="S102" s="9" t="str">
        <f t="shared" si="13"/>
        <v/>
      </c>
      <c r="T102" s="9">
        <f t="shared" si="14"/>
        <v>-45999</v>
      </c>
      <c r="U102" s="19"/>
      <c r="V102" s="52"/>
      <c r="W102" s="54"/>
      <c r="X102" s="41"/>
      <c r="Y102" s="41"/>
      <c r="Z102" s="9" t="str">
        <f t="shared" si="15"/>
        <v/>
      </c>
      <c r="AA102" s="9"/>
      <c r="AB102" s="19"/>
      <c r="AC102" s="20"/>
      <c r="AD102" s="52"/>
      <c r="AE102" s="54"/>
      <c r="AF102" s="41"/>
      <c r="AG102" s="41"/>
      <c r="AH102" s="9" t="str">
        <f t="shared" si="16"/>
        <v/>
      </c>
      <c r="AI102" s="9"/>
      <c r="AJ102" s="19"/>
      <c r="AK102" s="20"/>
      <c r="AL102" s="52"/>
      <c r="AM102" s="54"/>
      <c r="AN102" s="41"/>
      <c r="AO102" s="41"/>
      <c r="AP102" s="9" t="str">
        <f t="shared" si="17"/>
        <v/>
      </c>
      <c r="AQ102" s="9"/>
      <c r="AR102" s="19"/>
      <c r="AS102" s="20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</row>
    <row r="103" spans="1:57" ht="22.15" customHeight="1">
      <c r="A103"/>
      <c r="B103" s="8"/>
      <c r="C103" s="46"/>
      <c r="D103" s="55"/>
      <c r="E103" s="56"/>
      <c r="F103" s="41"/>
      <c r="G103" s="9" t="str">
        <f t="shared" si="32"/>
        <v/>
      </c>
      <c r="H103" s="9">
        <f t="shared" si="33"/>
        <v>-45999</v>
      </c>
      <c r="I103" s="46"/>
      <c r="J103" s="57"/>
      <c r="K103" s="56"/>
      <c r="L103" s="41"/>
      <c r="M103" s="9" t="str">
        <f t="shared" ref="M103" si="34">IFERROR((L103-$G$1)/(L103-K103)*100,"")</f>
        <v/>
      </c>
      <c r="N103" s="9">
        <f t="shared" ref="N103" si="35">L103-$H$1</f>
        <v>-45999</v>
      </c>
      <c r="O103" s="46"/>
      <c r="P103" s="57"/>
      <c r="Q103" s="56"/>
      <c r="R103" s="41"/>
      <c r="S103" s="9" t="str">
        <f t="shared" ref="S103" si="36">IFERROR((R103-$G$1)/(R103-Q103)*100,"")</f>
        <v/>
      </c>
      <c r="T103" s="9">
        <f t="shared" ref="T103" si="37">R103-$H$1</f>
        <v>-45999</v>
      </c>
      <c r="U103" s="19"/>
      <c r="V103" s="46"/>
      <c r="W103" s="57"/>
      <c r="X103" s="56"/>
      <c r="Y103" s="41"/>
      <c r="Z103" s="9" t="str">
        <f t="shared" ref="Z103" si="38">IFERROR((Y103-$G$1)/(Y103-X103)*100,"")</f>
        <v/>
      </c>
      <c r="AA103" s="9"/>
      <c r="AB103" s="19"/>
      <c r="AC103" s="20"/>
      <c r="AD103" s="46"/>
      <c r="AE103" s="57"/>
      <c r="AF103" s="56"/>
      <c r="AG103" s="41"/>
      <c r="AH103" s="9" t="str">
        <f t="shared" ref="AH103" si="39">IFERROR((AG103-$G$1)/(AG103-AF103)*100,"")</f>
        <v/>
      </c>
      <c r="AI103" s="9"/>
      <c r="AJ103" s="19"/>
      <c r="AK103" s="20"/>
      <c r="AL103" s="46"/>
      <c r="AM103" s="57"/>
      <c r="AN103" s="56"/>
      <c r="AO103" s="41"/>
      <c r="AP103" s="9" t="str">
        <f t="shared" ref="AP103" si="40">IFERROR((AO103-$G$1)/(AO103-AN103)*100,"")</f>
        <v/>
      </c>
      <c r="AQ103" s="9"/>
      <c r="AR103" s="19"/>
      <c r="AS103" s="20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</row>
    <row r="104" spans="1:57" ht="22.15" customHeight="1">
      <c r="A104"/>
      <c r="B104"/>
      <c r="C104" s="58"/>
      <c r="D104" s="58"/>
      <c r="E104" s="58"/>
      <c r="F104" s="58"/>
      <c r="G104" s="58"/>
      <c r="H104" s="58"/>
      <c r="I104" s="58"/>
      <c r="J104" s="59"/>
      <c r="K104" s="58"/>
      <c r="L104" s="58"/>
      <c r="M104" s="58"/>
      <c r="N104" s="58"/>
      <c r="O104" s="58"/>
      <c r="P104" s="59"/>
      <c r="Q104" s="58"/>
      <c r="R104" s="58"/>
      <c r="S104" s="58"/>
      <c r="T104" s="58"/>
      <c r="U104" s="19"/>
      <c r="V104" s="58"/>
      <c r="W104" s="59"/>
      <c r="X104" s="58"/>
      <c r="Y104" s="58"/>
      <c r="Z104" s="58"/>
      <c r="AA104" s="58"/>
      <c r="AB104" s="19"/>
      <c r="AC104" s="20"/>
      <c r="AD104" s="58"/>
      <c r="AE104" s="59"/>
      <c r="AF104" s="58"/>
      <c r="AG104" s="58"/>
      <c r="AH104" s="58"/>
      <c r="AI104" s="58"/>
      <c r="AJ104" s="19"/>
      <c r="AK104" s="20"/>
      <c r="AL104" s="58"/>
      <c r="AM104" s="59"/>
      <c r="AN104" s="58"/>
      <c r="AO104" s="58"/>
      <c r="AP104" s="58"/>
      <c r="AQ104" s="58"/>
      <c r="AR104" s="19"/>
      <c r="AS104" s="20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</row>
    <row r="105" spans="1:57" ht="22.15" customHeight="1">
      <c r="A105"/>
      <c r="B105"/>
      <c r="C105" s="58"/>
      <c r="D105" s="58"/>
      <c r="E105" s="58"/>
      <c r="F105" s="58"/>
      <c r="G105" s="58"/>
      <c r="H105" s="58"/>
      <c r="I105" s="58"/>
      <c r="J105" s="59"/>
      <c r="K105" s="58"/>
      <c r="L105" s="58"/>
      <c r="M105" s="58"/>
      <c r="N105" s="58"/>
      <c r="O105" s="58"/>
      <c r="P105" s="59"/>
      <c r="Q105" s="58"/>
      <c r="R105" s="58"/>
      <c r="S105" s="58"/>
      <c r="T105" s="58"/>
      <c r="U105" s="19"/>
      <c r="V105" s="58"/>
      <c r="W105" s="59"/>
      <c r="X105" s="58"/>
      <c r="Y105" s="58"/>
      <c r="Z105" s="58"/>
      <c r="AA105" s="58"/>
      <c r="AB105" s="19"/>
      <c r="AC105" s="20"/>
      <c r="AD105" s="58"/>
      <c r="AE105" s="59"/>
      <c r="AF105" s="58"/>
      <c r="AG105" s="58"/>
      <c r="AH105" s="58"/>
      <c r="AI105" s="58"/>
      <c r="AJ105" s="19"/>
      <c r="AK105" s="20"/>
      <c r="AL105" s="58"/>
      <c r="AM105" s="59"/>
      <c r="AN105" s="58"/>
      <c r="AO105" s="58"/>
      <c r="AP105" s="58"/>
      <c r="AQ105" s="58"/>
      <c r="AR105" s="19"/>
      <c r="AS105" s="20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</row>
    <row r="106" spans="1:57" ht="22.15" customHeight="1">
      <c r="A106"/>
      <c r="B106"/>
      <c r="C106" s="58"/>
      <c r="D106" s="58"/>
      <c r="E106" s="58"/>
      <c r="F106" s="58"/>
      <c r="G106" s="58"/>
      <c r="H106" s="58"/>
      <c r="I106" s="58"/>
      <c r="J106" s="59"/>
      <c r="K106" s="58"/>
      <c r="L106" s="58"/>
      <c r="M106" s="58"/>
      <c r="N106" s="58"/>
      <c r="O106" s="58"/>
      <c r="P106" s="59"/>
      <c r="Q106" s="58"/>
      <c r="R106" s="58"/>
      <c r="S106" s="58"/>
      <c r="T106" s="58"/>
      <c r="U106" s="19"/>
      <c r="V106" s="58"/>
      <c r="W106" s="59"/>
      <c r="X106" s="58"/>
      <c r="Y106" s="58"/>
      <c r="Z106" s="58"/>
      <c r="AA106" s="58"/>
      <c r="AB106" s="19"/>
      <c r="AC106" s="20"/>
      <c r="AD106" s="58"/>
      <c r="AE106" s="59"/>
      <c r="AF106" s="58"/>
      <c r="AG106" s="58"/>
      <c r="AH106" s="58"/>
      <c r="AI106" s="58"/>
      <c r="AJ106" s="19"/>
      <c r="AK106" s="20"/>
      <c r="AL106" s="58"/>
      <c r="AM106" s="59"/>
      <c r="AN106" s="58"/>
      <c r="AO106" s="58"/>
      <c r="AP106" s="58"/>
      <c r="AQ106" s="58"/>
      <c r="AR106" s="19"/>
      <c r="AS106" s="20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</row>
    <row r="107" spans="1:57" ht="22.15" customHeight="1">
      <c r="A107"/>
      <c r="B107"/>
      <c r="C107" s="58"/>
      <c r="D107" s="58"/>
      <c r="E107" s="58"/>
      <c r="F107" s="58"/>
      <c r="G107" s="58"/>
      <c r="H107" s="58"/>
      <c r="I107" s="58"/>
      <c r="J107" s="59"/>
      <c r="K107" s="58"/>
      <c r="L107" s="58"/>
      <c r="M107" s="58"/>
      <c r="N107" s="58"/>
      <c r="O107" s="58"/>
      <c r="P107" s="59"/>
      <c r="Q107" s="58"/>
      <c r="R107" s="58"/>
      <c r="S107" s="58"/>
      <c r="T107" s="58"/>
      <c r="U107" s="60"/>
      <c r="V107" s="58"/>
      <c r="W107" s="59"/>
      <c r="X107" s="58"/>
      <c r="Y107" s="58"/>
      <c r="Z107" s="58"/>
      <c r="AA107" s="58"/>
      <c r="AB107" s="60"/>
      <c r="AD107" s="58"/>
      <c r="AE107" s="59"/>
      <c r="AF107" s="58"/>
      <c r="AG107" s="58"/>
      <c r="AH107" s="58"/>
      <c r="AI107" s="58"/>
      <c r="AJ107" s="60"/>
      <c r="AL107" s="58"/>
      <c r="AM107" s="59"/>
      <c r="AN107" s="58"/>
      <c r="AO107" s="58"/>
      <c r="AP107" s="58"/>
      <c r="AQ107" s="58"/>
      <c r="AR107" s="60"/>
    </row>
    <row r="108" spans="1:57" ht="22.15" customHeight="1">
      <c r="A108"/>
      <c r="B108"/>
      <c r="C108" s="58"/>
      <c r="D108" s="58"/>
      <c r="E108" s="58"/>
      <c r="F108" s="58"/>
      <c r="G108" s="58"/>
      <c r="H108" s="58"/>
      <c r="I108" s="58"/>
      <c r="J108" s="59"/>
      <c r="K108" s="58"/>
      <c r="L108" s="58"/>
      <c r="M108" s="58"/>
      <c r="N108" s="58"/>
      <c r="O108" s="58"/>
      <c r="P108" s="59"/>
      <c r="Q108" s="58"/>
      <c r="R108" s="58"/>
      <c r="S108" s="58"/>
      <c r="T108" s="58"/>
      <c r="U108" s="60"/>
      <c r="V108" s="58"/>
      <c r="W108" s="59"/>
      <c r="X108" s="58"/>
      <c r="Y108" s="58"/>
      <c r="Z108" s="58"/>
      <c r="AA108" s="58"/>
      <c r="AB108" s="60"/>
      <c r="AD108" s="58"/>
      <c r="AE108" s="59"/>
      <c r="AF108" s="58"/>
      <c r="AG108" s="58"/>
      <c r="AH108" s="58"/>
      <c r="AI108" s="58"/>
      <c r="AJ108" s="60"/>
      <c r="AL108" s="58"/>
      <c r="AM108" s="59"/>
      <c r="AN108" s="58"/>
      <c r="AO108" s="58"/>
      <c r="AP108" s="58"/>
      <c r="AQ108" s="58"/>
      <c r="AR108" s="60"/>
    </row>
    <row r="109" spans="1:57" ht="22.15" customHeight="1">
      <c r="A109"/>
      <c r="B109"/>
      <c r="C109" s="58"/>
      <c r="D109" s="58"/>
      <c r="E109" s="58"/>
      <c r="F109" s="58"/>
      <c r="G109" s="58"/>
      <c r="H109" s="58"/>
      <c r="I109" s="58"/>
      <c r="J109" s="59"/>
      <c r="K109" s="58"/>
      <c r="L109" s="58"/>
      <c r="M109" s="58"/>
      <c r="N109" s="58"/>
      <c r="O109" s="58"/>
      <c r="P109" s="59"/>
      <c r="Q109" s="58"/>
      <c r="R109" s="58"/>
      <c r="S109" s="58"/>
      <c r="T109" s="58"/>
      <c r="V109" s="58"/>
      <c r="W109" s="59"/>
      <c r="X109" s="58"/>
      <c r="Y109" s="58"/>
      <c r="Z109" s="58"/>
      <c r="AA109" s="58"/>
      <c r="AD109" s="58"/>
      <c r="AE109" s="59"/>
      <c r="AF109" s="58"/>
      <c r="AG109" s="58"/>
      <c r="AH109" s="58"/>
      <c r="AI109" s="58"/>
      <c r="AL109" s="58"/>
      <c r="AM109" s="59"/>
      <c r="AN109" s="58"/>
      <c r="AO109" s="58"/>
      <c r="AP109" s="58"/>
      <c r="AQ109" s="58"/>
    </row>
    <row r="110" spans="1:57" ht="22.15" customHeight="1">
      <c r="A110"/>
      <c r="B110"/>
      <c r="C110" s="58"/>
      <c r="D110" s="58"/>
      <c r="E110" s="58"/>
      <c r="F110" s="58"/>
      <c r="I110" s="58"/>
      <c r="J110" s="59"/>
      <c r="K110" s="58"/>
      <c r="L110" s="58"/>
      <c r="O110" s="58"/>
      <c r="P110" s="59"/>
      <c r="Q110" s="58"/>
      <c r="R110" s="58"/>
      <c r="V110" s="58"/>
      <c r="W110" s="59"/>
      <c r="X110" s="58"/>
      <c r="Y110" s="58"/>
      <c r="AD110" s="58"/>
      <c r="AE110" s="59"/>
      <c r="AF110" s="58"/>
      <c r="AG110" s="58"/>
      <c r="AL110" s="58"/>
      <c r="AM110" s="59"/>
      <c r="AN110" s="58"/>
      <c r="AO110" s="58"/>
    </row>
  </sheetData>
  <phoneticPr fontId="9" type="noConversion"/>
  <conditionalFormatting sqref="G3:H103">
    <cfRule type="cellIs" dxfId="35" priority="40" stopIfTrue="1" operator="equal">
      <formula>50</formula>
    </cfRule>
    <cfRule type="cellIs" dxfId="34" priority="41" stopIfTrue="1" operator="lessThan">
      <formula>50</formula>
    </cfRule>
    <cfRule type="cellIs" dxfId="33" priority="42" stopIfTrue="1" operator="greaterThan">
      <formula>50</formula>
    </cfRule>
  </conditionalFormatting>
  <conditionalFormatting sqref="H3:H103">
    <cfRule type="cellIs" dxfId="32" priority="34" stopIfTrue="1" operator="between">
      <formula>15</formula>
      <formula>20</formula>
    </cfRule>
    <cfRule type="cellIs" dxfId="31" priority="35" stopIfTrue="1" operator="lessThan">
      <formula>15</formula>
    </cfRule>
    <cfRule type="cellIs" dxfId="30" priority="36" stopIfTrue="1" operator="greaterThan">
      <formula>20</formula>
    </cfRule>
    <cfRule type="cellIs" dxfId="29" priority="37" stopIfTrue="1" operator="between">
      <formula>15</formula>
      <formula>20</formula>
    </cfRule>
    <cfRule type="cellIs" dxfId="28" priority="38" stopIfTrue="1" operator="lessThan">
      <formula>15</formula>
    </cfRule>
    <cfRule type="cellIs" dxfId="27" priority="39" stopIfTrue="1" operator="greaterThan">
      <formula>20</formula>
    </cfRule>
  </conditionalFormatting>
  <conditionalFormatting sqref="M3:N103">
    <cfRule type="cellIs" dxfId="26" priority="31" stopIfTrue="1" operator="equal">
      <formula>50</formula>
    </cfRule>
    <cfRule type="cellIs" dxfId="25" priority="32" stopIfTrue="1" operator="lessThan">
      <formula>50</formula>
    </cfRule>
    <cfRule type="cellIs" dxfId="24" priority="33" stopIfTrue="1" operator="greaterThan">
      <formula>50</formula>
    </cfRule>
  </conditionalFormatting>
  <conditionalFormatting sqref="N3:N103">
    <cfRule type="cellIs" dxfId="23" priority="25" stopIfTrue="1" operator="between">
      <formula>15</formula>
      <formula>20</formula>
    </cfRule>
    <cfRule type="cellIs" dxfId="22" priority="26" stopIfTrue="1" operator="lessThan">
      <formula>15</formula>
    </cfRule>
    <cfRule type="cellIs" dxfId="21" priority="27" stopIfTrue="1" operator="greaterThan">
      <formula>20</formula>
    </cfRule>
    <cfRule type="cellIs" dxfId="20" priority="28" stopIfTrue="1" operator="between">
      <formula>15</formula>
      <formula>20</formula>
    </cfRule>
    <cfRule type="cellIs" dxfId="19" priority="29" stopIfTrue="1" operator="lessThan">
      <formula>15</formula>
    </cfRule>
    <cfRule type="cellIs" dxfId="18" priority="30" stopIfTrue="1" operator="greaterThan">
      <formula>20</formula>
    </cfRule>
  </conditionalFormatting>
  <conditionalFormatting sqref="S3:T103">
    <cfRule type="cellIs" dxfId="17" priority="22" stopIfTrue="1" operator="equal">
      <formula>50</formula>
    </cfRule>
    <cfRule type="cellIs" dxfId="16" priority="23" stopIfTrue="1" operator="lessThan">
      <formula>50</formula>
    </cfRule>
    <cfRule type="cellIs" dxfId="15" priority="24" stopIfTrue="1" operator="greaterThan">
      <formula>50</formula>
    </cfRule>
  </conditionalFormatting>
  <conditionalFormatting sqref="T3:T103">
    <cfRule type="cellIs" dxfId="14" priority="16" stopIfTrue="1" operator="between">
      <formula>15</formula>
      <formula>20</formula>
    </cfRule>
    <cfRule type="cellIs" dxfId="13" priority="17" stopIfTrue="1" operator="lessThan">
      <formula>15</formula>
    </cfRule>
    <cfRule type="cellIs" dxfId="12" priority="18" stopIfTrue="1" operator="greaterThan">
      <formula>20</formula>
    </cfRule>
    <cfRule type="cellIs" dxfId="11" priority="19" stopIfTrue="1" operator="between">
      <formula>15</formula>
      <formula>20</formula>
    </cfRule>
    <cfRule type="cellIs" dxfId="10" priority="20" stopIfTrue="1" operator="lessThan">
      <formula>15</formula>
    </cfRule>
    <cfRule type="cellIs" dxfId="9" priority="21" stopIfTrue="1" operator="greaterThan">
      <formula>20</formula>
    </cfRule>
  </conditionalFormatting>
  <conditionalFormatting sqref="Z3:AA103">
    <cfRule type="cellIs" dxfId="8" priority="13" stopIfTrue="1" operator="equal">
      <formula>50</formula>
    </cfRule>
    <cfRule type="cellIs" dxfId="7" priority="14" stopIfTrue="1" operator="lessThan">
      <formula>50</formula>
    </cfRule>
    <cfRule type="cellIs" dxfId="6" priority="15" stopIfTrue="1" operator="greaterThan">
      <formula>50</formula>
    </cfRule>
  </conditionalFormatting>
  <conditionalFormatting sqref="AH3:AI103">
    <cfRule type="cellIs" dxfId="5" priority="4" stopIfTrue="1" operator="equal">
      <formula>50</formula>
    </cfRule>
    <cfRule type="cellIs" dxfId="4" priority="5" stopIfTrue="1" operator="lessThan">
      <formula>50</formula>
    </cfRule>
    <cfRule type="cellIs" dxfId="3" priority="6" stopIfTrue="1" operator="greaterThan">
      <formula>50</formula>
    </cfRule>
  </conditionalFormatting>
  <conditionalFormatting sqref="AP3:AQ103">
    <cfRule type="cellIs" dxfId="2" priority="1" stopIfTrue="1" operator="equal">
      <formula>50</formula>
    </cfRule>
    <cfRule type="cellIs" dxfId="1" priority="2" stopIfTrue="1" operator="lessThan">
      <formula>50</formula>
    </cfRule>
    <cfRule type="cellIs" dxfId="0" priority="3" stopIfTrue="1" operator="greaterThan">
      <formula>50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2025-12-25T11:47:44Z</dcterms:modified>
</cp:coreProperties>
</file>