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95" i="1"/>
  <c r="AS96"/>
  <c r="AS94"/>
  <c r="AS89"/>
  <c r="AQ99" l="1"/>
  <c r="AQ100"/>
  <c r="AQ101"/>
  <c r="AR96"/>
  <c r="AR97"/>
  <c r="AR98"/>
  <c r="AR99"/>
  <c r="AR100"/>
  <c r="AR101"/>
  <c r="AQ98"/>
  <c r="AQ97"/>
  <c r="AQ96"/>
  <c r="AR95"/>
  <c r="AQ95"/>
  <c r="AR94"/>
  <c r="AQ94"/>
  <c r="AR93"/>
  <c r="AQ93"/>
  <c r="AR92"/>
  <c r="AQ92"/>
  <c r="AR91"/>
  <c r="AQ91"/>
  <c r="AS90"/>
  <c r="AR90"/>
  <c r="AQ90"/>
  <c r="AR89"/>
  <c r="AQ89"/>
  <c r="AR88"/>
  <c r="AQ88"/>
  <c r="AR87"/>
  <c r="AQ87"/>
  <c r="AR86"/>
  <c r="AQ86"/>
  <c r="AR85"/>
  <c r="AQ85"/>
  <c r="AR84"/>
  <c r="AQ84"/>
  <c r="AR83"/>
  <c r="AQ83"/>
  <c r="AR82"/>
  <c r="AQ82"/>
  <c r="AR81"/>
  <c r="AQ81"/>
  <c r="AR80"/>
  <c r="AQ80"/>
  <c r="AR79"/>
  <c r="AQ79"/>
  <c r="AR78"/>
  <c r="AQ78"/>
  <c r="AS77"/>
  <c r="AR77"/>
  <c r="AQ77"/>
  <c r="AR76"/>
  <c r="AQ76"/>
  <c r="AR75"/>
  <c r="AQ75"/>
  <c r="AR74"/>
  <c r="AQ74"/>
  <c r="AR73"/>
  <c r="AQ73"/>
  <c r="AR72"/>
  <c r="AQ72"/>
  <c r="AR71"/>
  <c r="AQ71"/>
  <c r="AR70"/>
  <c r="AQ70"/>
  <c r="AR69"/>
  <c r="AQ69"/>
  <c r="AR68"/>
  <c r="AQ68"/>
  <c r="AR67"/>
  <c r="AQ67"/>
  <c r="AR66"/>
  <c r="AQ66"/>
  <c r="AR65"/>
  <c r="AQ65"/>
  <c r="AR64"/>
  <c r="AQ64"/>
  <c r="AR63"/>
  <c r="AQ63"/>
  <c r="AR62"/>
  <c r="AQ62"/>
  <c r="AR61"/>
  <c r="AQ61"/>
  <c r="AR60"/>
  <c r="AQ60"/>
  <c r="AR59"/>
  <c r="AQ59"/>
  <c r="AR58"/>
  <c r="AQ58"/>
  <c r="AR57"/>
  <c r="AQ57"/>
  <c r="AR56"/>
  <c r="AQ56"/>
  <c r="AR55"/>
  <c r="AQ55"/>
  <c r="AR54"/>
  <c r="AQ54"/>
  <c r="AR53"/>
  <c r="AQ53"/>
  <c r="AR52"/>
  <c r="AQ52"/>
  <c r="AR51"/>
  <c r="AQ51"/>
  <c r="AR50"/>
  <c r="AQ50"/>
  <c r="AR49"/>
  <c r="AQ49"/>
  <c r="AR48"/>
  <c r="AQ48"/>
  <c r="AR47"/>
  <c r="AQ47"/>
  <c r="AR46"/>
  <c r="AQ46"/>
  <c r="AR45"/>
  <c r="AQ45"/>
  <c r="AR44"/>
  <c r="AQ44"/>
  <c r="AR43"/>
  <c r="AQ43"/>
  <c r="AR42"/>
  <c r="AQ42"/>
  <c r="AR41"/>
  <c r="AQ41"/>
  <c r="AR40"/>
  <c r="AQ40"/>
  <c r="AR39"/>
  <c r="AQ39"/>
  <c r="AR38"/>
  <c r="AQ38"/>
  <c r="AR37"/>
  <c r="AQ37"/>
  <c r="AR36"/>
  <c r="AQ36"/>
  <c r="AR35"/>
  <c r="AQ35"/>
  <c r="AR34"/>
  <c r="AQ34"/>
  <c r="AR33"/>
  <c r="AQ33"/>
  <c r="AR32"/>
  <c r="AQ32"/>
  <c r="AR31"/>
  <c r="AQ31"/>
  <c r="AR30"/>
  <c r="AQ30"/>
  <c r="AR29"/>
  <c r="AQ29"/>
  <c r="AR28"/>
  <c r="AQ28"/>
  <c r="AR27"/>
  <c r="AQ27"/>
  <c r="AR26"/>
  <c r="AQ26"/>
  <c r="AR25"/>
  <c r="AQ25"/>
  <c r="AR24"/>
  <c r="AQ24"/>
  <c r="AR23"/>
  <c r="AQ23"/>
  <c r="AR22"/>
  <c r="AQ22"/>
  <c r="AR21"/>
  <c r="AQ21"/>
  <c r="AR20"/>
  <c r="AQ20"/>
  <c r="AR19"/>
  <c r="AQ19"/>
  <c r="AR18"/>
  <c r="AQ18"/>
  <c r="AR17"/>
  <c r="AQ17"/>
  <c r="AR16"/>
  <c r="AQ16"/>
  <c r="AR15"/>
  <c r="AQ15"/>
  <c r="AR14"/>
  <c r="AQ14"/>
  <c r="AR13"/>
  <c r="AQ13"/>
  <c r="AR12"/>
  <c r="AQ12"/>
  <c r="AR11"/>
  <c r="AQ11"/>
  <c r="AR10"/>
  <c r="AQ10"/>
  <c r="AR9"/>
  <c r="AQ9"/>
  <c r="AR8"/>
  <c r="AQ8"/>
  <c r="AR7"/>
  <c r="AQ7"/>
  <c r="AR6"/>
  <c r="AQ6"/>
  <c r="AR5"/>
  <c r="AQ5"/>
  <c r="AR4"/>
  <c r="AQ4"/>
  <c r="AR3"/>
  <c r="AQ3"/>
  <c r="AR1"/>
  <c r="AK77"/>
  <c r="AK90"/>
  <c r="AK89"/>
  <c r="AC83"/>
  <c r="AC77"/>
  <c r="AJ96" l="1"/>
  <c r="AI96"/>
  <c r="AI97"/>
  <c r="AI98"/>
  <c r="AI99"/>
  <c r="AJ95"/>
  <c r="AI95"/>
  <c r="AJ94"/>
  <c r="AI94"/>
  <c r="AJ93"/>
  <c r="AI93"/>
  <c r="AJ92"/>
  <c r="AI92"/>
  <c r="AJ91"/>
  <c r="AI91"/>
  <c r="AJ90"/>
  <c r="AI90"/>
  <c r="AJ89"/>
  <c r="AI89"/>
  <c r="AJ88"/>
  <c r="AI88"/>
  <c r="AJ87"/>
  <c r="AI87"/>
  <c r="AJ86"/>
  <c r="AI86"/>
  <c r="AJ85"/>
  <c r="AI85"/>
  <c r="AJ84"/>
  <c r="AI84"/>
  <c r="AJ83"/>
  <c r="AI83"/>
  <c r="AJ82"/>
  <c r="AI82"/>
  <c r="AJ81"/>
  <c r="AI81"/>
  <c r="AJ80"/>
  <c r="AI80"/>
  <c r="AJ79"/>
  <c r="AI79"/>
  <c r="AJ78"/>
  <c r="AI78"/>
  <c r="AJ77"/>
  <c r="AI77"/>
  <c r="AJ76"/>
  <c r="AI76"/>
  <c r="AJ75"/>
  <c r="AI75"/>
  <c r="AJ74"/>
  <c r="AI74"/>
  <c r="AJ73"/>
  <c r="AI73"/>
  <c r="AJ72"/>
  <c r="AI72"/>
  <c r="AJ71"/>
  <c r="AI71"/>
  <c r="AJ70"/>
  <c r="AI70"/>
  <c r="AJ69"/>
  <c r="AI69"/>
  <c r="AJ68"/>
  <c r="AI68"/>
  <c r="AJ67"/>
  <c r="AI67"/>
  <c r="AJ66"/>
  <c r="AI66"/>
  <c r="AJ65"/>
  <c r="AI65"/>
  <c r="AJ64"/>
  <c r="AI64"/>
  <c r="AJ63"/>
  <c r="AI63"/>
  <c r="AJ62"/>
  <c r="AI62"/>
  <c r="AJ61"/>
  <c r="AI61"/>
  <c r="AJ60"/>
  <c r="AI60"/>
  <c r="AJ59"/>
  <c r="AI59"/>
  <c r="AJ58"/>
  <c r="AI58"/>
  <c r="AJ57"/>
  <c r="AI57"/>
  <c r="AJ56"/>
  <c r="AI56"/>
  <c r="AJ55"/>
  <c r="AI55"/>
  <c r="AJ54"/>
  <c r="AI54"/>
  <c r="AJ53"/>
  <c r="AI53"/>
  <c r="AJ52"/>
  <c r="AI52"/>
  <c r="AJ51"/>
  <c r="AI51"/>
  <c r="AJ50"/>
  <c r="AI50"/>
  <c r="AJ49"/>
  <c r="AI49"/>
  <c r="AJ48"/>
  <c r="AI48"/>
  <c r="AJ47"/>
  <c r="AI47"/>
  <c r="AJ46"/>
  <c r="AI46"/>
  <c r="AJ45"/>
  <c r="AI45"/>
  <c r="AJ44"/>
  <c r="AI44"/>
  <c r="AJ43"/>
  <c r="AI43"/>
  <c r="AJ42"/>
  <c r="AI42"/>
  <c r="AJ41"/>
  <c r="AI41"/>
  <c r="AJ40"/>
  <c r="AI40"/>
  <c r="AJ39"/>
  <c r="AI39"/>
  <c r="AJ38"/>
  <c r="AI38"/>
  <c r="AJ37"/>
  <c r="AI37"/>
  <c r="AJ36"/>
  <c r="AI36"/>
  <c r="AJ35"/>
  <c r="AI35"/>
  <c r="AJ34"/>
  <c r="AI34"/>
  <c r="AJ33"/>
  <c r="AI33"/>
  <c r="AJ32"/>
  <c r="AI32"/>
  <c r="AJ31"/>
  <c r="AI31"/>
  <c r="AJ30"/>
  <c r="AI30"/>
  <c r="AJ29"/>
  <c r="AI29"/>
  <c r="AJ28"/>
  <c r="AI28"/>
  <c r="AJ27"/>
  <c r="AI27"/>
  <c r="AJ26"/>
  <c r="AI26"/>
  <c r="AJ25"/>
  <c r="AI25"/>
  <c r="AJ24"/>
  <c r="AI24"/>
  <c r="AJ23"/>
  <c r="AI23"/>
  <c r="AJ22"/>
  <c r="AI22"/>
  <c r="AJ21"/>
  <c r="AI21"/>
  <c r="AJ20"/>
  <c r="AI20"/>
  <c r="AJ19"/>
  <c r="AI19"/>
  <c r="AJ18"/>
  <c r="AI18"/>
  <c r="AJ17"/>
  <c r="AI17"/>
  <c r="AJ16"/>
  <c r="AI16"/>
  <c r="AJ15"/>
  <c r="AI15"/>
  <c r="AJ14"/>
  <c r="AI14"/>
  <c r="AJ13"/>
  <c r="AI13"/>
  <c r="AJ12"/>
  <c r="AI12"/>
  <c r="AJ11"/>
  <c r="AI11"/>
  <c r="AJ10"/>
  <c r="AI10"/>
  <c r="AJ9"/>
  <c r="AI9"/>
  <c r="AJ8"/>
  <c r="AI8"/>
  <c r="AJ7"/>
  <c r="AI7"/>
  <c r="AJ6"/>
  <c r="AI6"/>
  <c r="AJ5"/>
  <c r="AI5"/>
  <c r="AJ4"/>
  <c r="AI4"/>
  <c r="AJ3"/>
  <c r="AI3"/>
  <c r="AJ1"/>
  <c r="AB95" l="1"/>
  <c r="AA95"/>
  <c r="AB94"/>
  <c r="AA94"/>
  <c r="AB93"/>
  <c r="AA93"/>
  <c r="AB92"/>
  <c r="AA92"/>
  <c r="AB91"/>
  <c r="AA91"/>
  <c r="AB90"/>
  <c r="AA90"/>
  <c r="AB89"/>
  <c r="AA89"/>
  <c r="AB88"/>
  <c r="AA88"/>
  <c r="AB87"/>
  <c r="AA87"/>
  <c r="AB86"/>
  <c r="AA86"/>
  <c r="AB85"/>
  <c r="AA85"/>
  <c r="AB84"/>
  <c r="AA84"/>
  <c r="AB83"/>
  <c r="AA83"/>
  <c r="AB82"/>
  <c r="AA82"/>
  <c r="AB81"/>
  <c r="AA81"/>
  <c r="AB80"/>
  <c r="AA80"/>
  <c r="AB79"/>
  <c r="AA79"/>
  <c r="AB78"/>
  <c r="AA78"/>
  <c r="AB77"/>
  <c r="AA77"/>
  <c r="AB76"/>
  <c r="AA76"/>
  <c r="AB75"/>
  <c r="AA75"/>
  <c r="AB74"/>
  <c r="AA74"/>
  <c r="AB73"/>
  <c r="AA73"/>
  <c r="AB72"/>
  <c r="AA72"/>
  <c r="AB71"/>
  <c r="AA71"/>
  <c r="AB70"/>
  <c r="AA70"/>
  <c r="AB69"/>
  <c r="AA69"/>
  <c r="AB68"/>
  <c r="AA68"/>
  <c r="AB67"/>
  <c r="AA67"/>
  <c r="AB66"/>
  <c r="AA66"/>
  <c r="AB65"/>
  <c r="AA65"/>
  <c r="AB64"/>
  <c r="AA64"/>
  <c r="AB63"/>
  <c r="AA63"/>
  <c r="AB62"/>
  <c r="AA62"/>
  <c r="AB61"/>
  <c r="AA61"/>
  <c r="AB60"/>
  <c r="AA60"/>
  <c r="AB59"/>
  <c r="AA59"/>
  <c r="AB58"/>
  <c r="AA58"/>
  <c r="AB57"/>
  <c r="AA57"/>
  <c r="AB56"/>
  <c r="AA56"/>
  <c r="AB55"/>
  <c r="AA55"/>
  <c r="AB54"/>
  <c r="AA54"/>
  <c r="AB53"/>
  <c r="AA53"/>
  <c r="AB52"/>
  <c r="AA52"/>
  <c r="AB51"/>
  <c r="AA51"/>
  <c r="AB50"/>
  <c r="AA50"/>
  <c r="AB49"/>
  <c r="AA49"/>
  <c r="AB48"/>
  <c r="AA48"/>
  <c r="AB47"/>
  <c r="AA47"/>
  <c r="AB46"/>
  <c r="AA46"/>
  <c r="AB45"/>
  <c r="AA45"/>
  <c r="AB44"/>
  <c r="AA44"/>
  <c r="AB43"/>
  <c r="AA43"/>
  <c r="AB42"/>
  <c r="AA42"/>
  <c r="AB41"/>
  <c r="AA41"/>
  <c r="AB40"/>
  <c r="AA40"/>
  <c r="AB39"/>
  <c r="AA39"/>
  <c r="AB38"/>
  <c r="AA38"/>
  <c r="AB37"/>
  <c r="AA37"/>
  <c r="AB36"/>
  <c r="AA36"/>
  <c r="AB35"/>
  <c r="AA35"/>
  <c r="AB34"/>
  <c r="AA34"/>
  <c r="AB33"/>
  <c r="AA33"/>
  <c r="AB32"/>
  <c r="AA32"/>
  <c r="AB31"/>
  <c r="AA31"/>
  <c r="AB30"/>
  <c r="AA30"/>
  <c r="AB29"/>
  <c r="AA29"/>
  <c r="AB28"/>
  <c r="AA28"/>
  <c r="AB27"/>
  <c r="AA27"/>
  <c r="AB26"/>
  <c r="AA26"/>
  <c r="AB25"/>
  <c r="AA25"/>
  <c r="AB24"/>
  <c r="AA24"/>
  <c r="AB23"/>
  <c r="AA23"/>
  <c r="AB22"/>
  <c r="AA22"/>
  <c r="AB21"/>
  <c r="AA21"/>
  <c r="AB20"/>
  <c r="AA20"/>
  <c r="AB19"/>
  <c r="AA19"/>
  <c r="AB18"/>
  <c r="AA18"/>
  <c r="AB17"/>
  <c r="AA17"/>
  <c r="AB16"/>
  <c r="AA16"/>
  <c r="AB15"/>
  <c r="AA15"/>
  <c r="AB14"/>
  <c r="AA14"/>
  <c r="AB13"/>
  <c r="AA13"/>
  <c r="AB12"/>
  <c r="AA12"/>
  <c r="AB11"/>
  <c r="AA11"/>
  <c r="AB10"/>
  <c r="AA10"/>
  <c r="AB9"/>
  <c r="AA9"/>
  <c r="AB8"/>
  <c r="AA8"/>
  <c r="AB7"/>
  <c r="AA7"/>
  <c r="AB6"/>
  <c r="AA6"/>
  <c r="AB5"/>
  <c r="AA5"/>
  <c r="AB4"/>
  <c r="AA4"/>
  <c r="AB3"/>
  <c r="AA3"/>
  <c r="S87"/>
  <c r="T87"/>
  <c r="G83"/>
  <c r="U86" l="1"/>
  <c r="U85" l="1"/>
  <c r="U84"/>
  <c r="U78"/>
  <c r="U79"/>
  <c r="U80"/>
  <c r="U81"/>
  <c r="U83"/>
  <c r="U77"/>
  <c r="U71"/>
  <c r="U76" l="1"/>
  <c r="U75"/>
  <c r="U74"/>
  <c r="U73"/>
  <c r="U72"/>
  <c r="T95"/>
  <c r="S95"/>
  <c r="T94"/>
  <c r="S94"/>
  <c r="T93"/>
  <c r="S93"/>
  <c r="T92"/>
  <c r="S92"/>
  <c r="T91"/>
  <c r="S91"/>
  <c r="T90"/>
  <c r="S90"/>
  <c r="T89"/>
  <c r="S89"/>
  <c r="T88"/>
  <c r="S88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G71" l="1"/>
  <c r="M95"/>
  <c r="M93"/>
  <c r="M91"/>
  <c r="M89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M18"/>
  <c r="M16"/>
  <c r="M14"/>
  <c r="M12"/>
  <c r="M10"/>
  <c r="M9"/>
  <c r="M8"/>
  <c r="M7"/>
  <c r="M6"/>
  <c r="M5"/>
  <c r="M4"/>
  <c r="M3"/>
  <c r="M94"/>
  <c r="M92"/>
  <c r="M90"/>
  <c r="M88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H71"/>
  <c r="N95"/>
  <c r="N94"/>
  <c r="N93"/>
  <c r="N92"/>
  <c r="N91"/>
  <c r="N90"/>
  <c r="N89"/>
  <c r="N88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<sst xmlns="http://schemas.openxmlformats.org/spreadsheetml/2006/main" count="596" uniqueCount="97">
  <si>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</si>
  <si>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</si>
  <si>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</si>
  <si>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</si>
  <si>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</si>
  <si>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</si>
  <si>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</si>
  <si>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</si>
  <si>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</si>
  <si>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</si>
  <si>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</si>
  <si>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</si>
  <si>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</si>
  <si>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</si>
  <si>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</si>
  <si>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</si>
  <si>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</si>
  <si>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</si>
  <si>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</si>
  <si>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</si>
  <si>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</si>
  <si>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</si>
  <si>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</si>
  <si>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</si>
  <si>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</si>
  <si>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</si>
  <si>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</si>
  <si>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</si>
  <si>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</si>
  <si>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</si>
  <si>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</si>
  <si>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</si>
  <si>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</si>
  <si>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</si>
  <si>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</si>
  <si>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</si>
  <si>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</si>
  <si>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</si>
  <si>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</si>
  <si>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</si>
  <si>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</si>
  <si>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</si>
  <si>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</si>
  <si>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</si>
  <si>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</si>
  <si>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</si>
  <si>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</si>
  <si>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</si>
  <si>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</si>
  <si>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</si>
  <si>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</si>
  <si>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</si>
  <si>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</si>
  <si>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</si>
  <si>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</si>
  <si>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</si>
  <si>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</si>
  <si>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</si>
  <si>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</si>
  <si>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</si>
  <si>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</si>
  <si>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</si>
  <si>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</si>
  <si>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</si>
  <si>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</si>
  <si>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</si>
  <si>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</si>
  <si>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</si>
  <si>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</si>
  <si>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</si>
  <si>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</si>
  <si>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</si>
  <si>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</si>
  <si>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</si>
  <si>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</si>
  <si>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</si>
  <si>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</si>
  <si>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</si>
  <si>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</si>
  <si>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</si>
  <si>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</si>
  <si>
    <t xml:space="preserve"> 318  Сосиски Датские ТМ Зареченские, ВЕС  ПОКОМ, SU002655</t>
  </si>
  <si>
    <t xml:space="preserve"> 250  Сардельки стародворские с говядиной в обол. NDX, ВЕС. ПОКОМ, SU000227</t>
  </si>
  <si>
    <t xml:space="preserve"> 263  Шпикачки Стародворские, ВЕС.  ПОКОМ, SU001728</t>
  </si>
  <si>
    <t xml:space="preserve"> 283  Сосиски Сочинки, ВЕС, ТМ Стародворье ПОКОМ, SU002725</t>
  </si>
  <si>
    <t xml:space="preserve"> 329  Сардельки Сочинки с сыром Стародворье ТМ, 0,4 кг. ПОКОМ, SU002759</t>
  </si>
  <si>
    <t xml:space="preserve"> 281  Сосиски Молочные для завтрака ТМ Особый рецепт, 0,4кг  ПОКОМ, SU002205</t>
  </si>
  <si>
    <t xml:space="preserve"> 062  Колбаса Кракушка пряная с сальцем, 0.3кг в/у п/к, БАВАРУШКА ПОКОМ, SU002252</t>
  </si>
  <si>
    <t>Продано</t>
  </si>
  <si>
    <t>Списано</t>
  </si>
  <si>
    <t xml:space="preserve"> 016  Сосиски Вязанка Молочные, Вязанка вискофан  ВЕС.ПОКОМ, SU001523</t>
  </si>
  <si>
    <t>ШТ</t>
  </si>
  <si>
    <t>КГ</t>
  </si>
  <si>
    <t xml:space="preserve"> 032  Сосиски Вязанка Сливочные, Вязанка амицел МГС, 0.45кг, ПОКОМ, 4301050983</t>
  </si>
  <si>
    <t>255  Сосиски Молочные для завтрака ТМ Особый рецепт, п/а МГС, ВЕС, ТМ Стародворье  ПОКОМ, SU002074</t>
  </si>
  <si>
    <t xml:space="preserve"> 328  Сардельки Сочинки Стародворье ТМ  0,4 кг ПОКОМ, SU002758</t>
  </si>
  <si>
    <t xml:space="preserve"> 302  Сосиски Сочинки по-баварски,  0.4кг, ТМ Стародворье  ПОКОМ, SU002799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</si>
</sst>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2" xfId="2" applyBorder="1" applyAlignment="1">
      <alignment vertical="top" wrapText="1" indent="4"/>
    </xf>
    <xf numFmtId="0" fontId="8" fillId="0" borderId="2" xfId="2" applyNumberFormat="1" applyFont="1" applyBorder="1" applyAlignment="1">
      <alignment vertical="top" wrapText="1" indent="6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8" fillId="9" borderId="2" xfId="2" applyNumberFormat="1" applyFont="1" applyFill="1" applyBorder="1" applyAlignment="1">
      <alignment vertical="top" wrapText="1" indent="6"/>
    </xf>
    <xf numFmtId="0" fontId="0" fillId="8" borderId="0" xfId="0" applyFill="1" applyAlignment="1">
      <alignment horizontal="center" wrapText="1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8" fillId="9" borderId="2" xfId="2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13" borderId="2" xfId="2" applyNumberFormat="1" applyFont="1" applyFill="1" applyBorder="1" applyAlignment="1">
      <alignment vertical="top" wrapText="1" indent="6"/>
    </xf>
    <xf numFmtId="2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8" fillId="9" borderId="9" xfId="2" applyNumberFormat="1" applyFont="1" applyFill="1" applyBorder="1" applyAlignment="1">
      <alignment vertical="top" wrapText="1" indent="6"/>
    </xf>
    <xf numFmtId="0" fontId="0" fillId="0" borderId="6" xfId="0" applyBorder="1"/>
    <xf numFmtId="0" fontId="0" fillId="0" borderId="10" xfId="0" applyBorder="1"/>
    <xf numFmtId="0" fontId="0" fillId="0" borderId="8" xfId="0" applyBorder="1"/>
    <xf numFmtId="14" fontId="0" fillId="0" borderId="1" xfId="0" applyNumberFormat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8" fillId="0" borderId="11" xfId="2" applyNumberFormat="1" applyFont="1" applyBorder="1" applyAlignment="1">
      <alignment vertical="top" wrapText="1" indent="6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2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2" fontId="0" fillId="0" borderId="8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54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Z105"/>
  <sheetViews>
    <sheetView tabSelected="1" topLeftCell="B1" zoomScale="85" zoomScaleNormal="85" workbookViewId="0">
      <pane xSplit="1" topLeftCell="AM1" activePane="topRight" state="frozen"/>
      <selection activeCell="B1" sqref="B1"/>
      <selection pane="topRight" activeCell="AS95" sqref="AS95:AS96"/>
    </sheetView>
  </sheetViews>
  <sheetFormatPr defaultColWidth="8.85546875" defaultRowHeight="15"/>
  <cols>
    <col min="1" max="1" width="4" style="1" customWidth="1"/>
    <col min="2" max="2" width="45" style="1" customWidth="1"/>
    <col min="3" max="3" width="4.140625" style="16" customWidth="1"/>
    <col min="4" max="4" width="7" style="17" customWidth="1"/>
    <col min="5" max="5" width="11.140625" style="18" customWidth="1"/>
    <col min="6" max="6" width="11" style="18" customWidth="1"/>
    <col min="7" max="7" width="12.7109375" style="16" customWidth="1"/>
    <col min="8" max="8" width="12" style="16" customWidth="1"/>
    <col min="9" max="9" width="4.140625" style="16" customWidth="1"/>
    <col min="10" max="10" width="6.42578125" style="17" customWidth="1"/>
    <col min="11" max="11" width="11.28515625" style="18" customWidth="1"/>
    <col min="12" max="12" width="10.140625" style="18" customWidth="1"/>
    <col min="13" max="13" width="10.5703125" style="16" customWidth="1"/>
    <col min="14" max="14" width="13.7109375" style="16" customWidth="1"/>
    <col min="15" max="15" width="4.140625" style="16" customWidth="1"/>
    <col min="16" max="16" width="6.42578125" style="17" customWidth="1"/>
    <col min="17" max="17" width="11.28515625" style="18" customWidth="1"/>
    <col min="18" max="18" width="10.140625" style="18" customWidth="1"/>
    <col min="19" max="19" width="10.5703125" style="16" customWidth="1"/>
    <col min="20" max="20" width="13.7109375" style="16" customWidth="1"/>
    <col min="21" max="21" width="23.28515625" style="17" customWidth="1"/>
    <col min="22" max="22" width="19.5703125" style="10" customWidth="1"/>
    <col min="23" max="23" width="4.140625" style="16" customWidth="1"/>
    <col min="24" max="24" width="6.42578125" style="17" customWidth="1"/>
    <col min="25" max="25" width="11.28515625" style="18" customWidth="1"/>
    <col min="26" max="26" width="10.140625" style="18" customWidth="1"/>
    <col min="27" max="27" width="10.5703125" style="16" customWidth="1"/>
    <col min="28" max="28" width="13.7109375" style="16" customWidth="1"/>
    <col min="29" max="29" width="23.28515625" style="17" customWidth="1"/>
    <col min="30" max="30" width="19.5703125" style="10" customWidth="1"/>
    <col min="31" max="31" width="4.140625" style="16" customWidth="1"/>
    <col min="32" max="32" width="6.42578125" style="17" customWidth="1"/>
    <col min="33" max="33" width="11.28515625" style="18" customWidth="1"/>
    <col min="34" max="34" width="10.140625" style="18" customWidth="1"/>
    <col min="35" max="35" width="10.5703125" style="16" customWidth="1"/>
    <col min="36" max="36" width="13.7109375" style="16" customWidth="1"/>
    <col min="37" max="37" width="23.28515625" style="17" customWidth="1"/>
    <col min="38" max="38" width="19.5703125" style="10" customWidth="1"/>
    <col min="39" max="39" width="4.140625" style="16" customWidth="1"/>
    <col min="40" max="40" width="6.42578125" style="17" customWidth="1"/>
    <col min="41" max="41" width="11.28515625" style="18" customWidth="1"/>
    <col min="42" max="42" width="10.140625" style="18" customWidth="1"/>
    <col min="43" max="43" width="10.5703125" style="16" customWidth="1"/>
    <col min="44" max="44" width="13.7109375" style="16" customWidth="1"/>
    <col min="45" max="45" width="23.28515625" style="17" customWidth="1"/>
    <col min="46" max="46" width="19.5703125" style="10" customWidth="1"/>
    <col min="47" max="47" width="29.42578125" style="1" customWidth="1"/>
    <col min="48" max="292" width="8.85546875" style="1"/>
    <col min="293" max="293" width="4" style="1" customWidth="1"/>
    <col min="294" max="294" width="59.7109375" style="1" customWidth="1"/>
    <col min="295" max="295" width="4.85546875" style="1" customWidth="1"/>
    <col min="296" max="296" width="9" style="1" customWidth="1"/>
    <col min="297" max="297" width="15.85546875" style="1" customWidth="1"/>
    <col min="298" max="298" width="15.7109375" style="1" customWidth="1"/>
    <col min="299" max="299" width="15.42578125" style="1" customWidth="1"/>
    <col min="300" max="300" width="17.140625" style="1" customWidth="1"/>
    <col min="301" max="301" width="37.85546875" style="1" customWidth="1"/>
    <col min="302" max="302" width="36.5703125" style="1" customWidth="1"/>
    <col min="303" max="303" width="29.42578125" style="1" customWidth="1"/>
    <col min="304" max="548" width="8.85546875" style="1"/>
    <col min="549" max="549" width="4" style="1" customWidth="1"/>
    <col min="550" max="550" width="59.7109375" style="1" customWidth="1"/>
    <col min="551" max="551" width="4.85546875" style="1" customWidth="1"/>
    <col min="552" max="552" width="9" style="1" customWidth="1"/>
    <col min="553" max="553" width="15.85546875" style="1" customWidth="1"/>
    <col min="554" max="554" width="15.7109375" style="1" customWidth="1"/>
    <col min="555" max="555" width="15.42578125" style="1" customWidth="1"/>
    <col min="556" max="556" width="17.140625" style="1" customWidth="1"/>
    <col min="557" max="557" width="37.85546875" style="1" customWidth="1"/>
    <col min="558" max="558" width="36.5703125" style="1" customWidth="1"/>
    <col min="559" max="559" width="29.42578125" style="1" customWidth="1"/>
    <col min="560" max="804" width="8.85546875" style="1"/>
    <col min="805" max="805" width="4" style="1" customWidth="1"/>
    <col min="806" max="806" width="59.7109375" style="1" customWidth="1"/>
    <col min="807" max="807" width="4.85546875" style="1" customWidth="1"/>
    <col min="808" max="808" width="9" style="1" customWidth="1"/>
    <col min="809" max="809" width="15.85546875" style="1" customWidth="1"/>
    <col min="810" max="810" width="15.7109375" style="1" customWidth="1"/>
    <col min="811" max="811" width="15.42578125" style="1" customWidth="1"/>
    <col min="812" max="812" width="17.140625" style="1" customWidth="1"/>
    <col min="813" max="813" width="37.85546875" style="1" customWidth="1"/>
    <col min="814" max="814" width="36.5703125" style="1" customWidth="1"/>
    <col min="815" max="815" width="29.42578125" style="1" customWidth="1"/>
    <col min="816" max="1060" width="8.85546875" style="1"/>
    <col min="1061" max="1061" width="4" style="1" customWidth="1"/>
    <col min="1062" max="1062" width="59.7109375" style="1" customWidth="1"/>
    <col min="1063" max="1063" width="4.85546875" style="1" customWidth="1"/>
    <col min="1064" max="1064" width="9" style="1" customWidth="1"/>
    <col min="1065" max="1065" width="15.85546875" style="1" customWidth="1"/>
    <col min="1066" max="1066" width="15.7109375" style="1" customWidth="1"/>
    <col min="1067" max="1067" width="15.42578125" style="1" customWidth="1"/>
    <col min="1068" max="1068" width="17.140625" style="1" customWidth="1"/>
    <col min="1069" max="1069" width="37.85546875" style="1" customWidth="1"/>
    <col min="1070" max="1070" width="36.5703125" style="1" customWidth="1"/>
    <col min="1071" max="1071" width="29.42578125" style="1" customWidth="1"/>
    <col min="1072" max="1316" width="8.85546875" style="1"/>
    <col min="1317" max="1317" width="4" style="1" customWidth="1"/>
    <col min="1318" max="1318" width="59.7109375" style="1" customWidth="1"/>
    <col min="1319" max="1319" width="4.85546875" style="1" customWidth="1"/>
    <col min="1320" max="1320" width="9" style="1" customWidth="1"/>
    <col min="1321" max="1321" width="15.85546875" style="1" customWidth="1"/>
    <col min="1322" max="1322" width="15.7109375" style="1" customWidth="1"/>
    <col min="1323" max="1323" width="15.42578125" style="1" customWidth="1"/>
    <col min="1324" max="1324" width="17.140625" style="1" customWidth="1"/>
    <col min="1325" max="1325" width="37.85546875" style="1" customWidth="1"/>
    <col min="1326" max="1326" width="36.5703125" style="1" customWidth="1"/>
    <col min="1327" max="1327" width="29.42578125" style="1" customWidth="1"/>
    <col min="1328" max="1572" width="8.85546875" style="1"/>
    <col min="1573" max="1573" width="4" style="1" customWidth="1"/>
    <col min="1574" max="1574" width="59.7109375" style="1" customWidth="1"/>
    <col min="1575" max="1575" width="4.85546875" style="1" customWidth="1"/>
    <col min="1576" max="1576" width="9" style="1" customWidth="1"/>
    <col min="1577" max="1577" width="15.85546875" style="1" customWidth="1"/>
    <col min="1578" max="1578" width="15.7109375" style="1" customWidth="1"/>
    <col min="1579" max="1579" width="15.42578125" style="1" customWidth="1"/>
    <col min="1580" max="1580" width="17.140625" style="1" customWidth="1"/>
    <col min="1581" max="1581" width="37.85546875" style="1" customWidth="1"/>
    <col min="1582" max="1582" width="36.5703125" style="1" customWidth="1"/>
    <col min="1583" max="1583" width="29.42578125" style="1" customWidth="1"/>
    <col min="1584" max="1828" width="8.85546875" style="1"/>
    <col min="1829" max="1829" width="4" style="1" customWidth="1"/>
    <col min="1830" max="1830" width="59.7109375" style="1" customWidth="1"/>
    <col min="1831" max="1831" width="4.85546875" style="1" customWidth="1"/>
    <col min="1832" max="1832" width="9" style="1" customWidth="1"/>
    <col min="1833" max="1833" width="15.85546875" style="1" customWidth="1"/>
    <col min="1834" max="1834" width="15.7109375" style="1" customWidth="1"/>
    <col min="1835" max="1835" width="15.42578125" style="1" customWidth="1"/>
    <col min="1836" max="1836" width="17.140625" style="1" customWidth="1"/>
    <col min="1837" max="1837" width="37.85546875" style="1" customWidth="1"/>
    <col min="1838" max="1838" width="36.5703125" style="1" customWidth="1"/>
    <col min="1839" max="1839" width="29.42578125" style="1" customWidth="1"/>
    <col min="1840" max="2084" width="8.85546875" style="1"/>
    <col min="2085" max="2085" width="4" style="1" customWidth="1"/>
    <col min="2086" max="2086" width="59.7109375" style="1" customWidth="1"/>
    <col min="2087" max="2087" width="4.85546875" style="1" customWidth="1"/>
    <col min="2088" max="2088" width="9" style="1" customWidth="1"/>
    <col min="2089" max="2089" width="15.85546875" style="1" customWidth="1"/>
    <col min="2090" max="2090" width="15.7109375" style="1" customWidth="1"/>
    <col min="2091" max="2091" width="15.42578125" style="1" customWidth="1"/>
    <col min="2092" max="2092" width="17.140625" style="1" customWidth="1"/>
    <col min="2093" max="2093" width="37.85546875" style="1" customWidth="1"/>
    <col min="2094" max="2094" width="36.5703125" style="1" customWidth="1"/>
    <col min="2095" max="2095" width="29.42578125" style="1" customWidth="1"/>
    <col min="2096" max="2340" width="8.85546875" style="1"/>
    <col min="2341" max="2341" width="4" style="1" customWidth="1"/>
    <col min="2342" max="2342" width="59.7109375" style="1" customWidth="1"/>
    <col min="2343" max="2343" width="4.85546875" style="1" customWidth="1"/>
    <col min="2344" max="2344" width="9" style="1" customWidth="1"/>
    <col min="2345" max="2345" width="15.85546875" style="1" customWidth="1"/>
    <col min="2346" max="2346" width="15.7109375" style="1" customWidth="1"/>
    <col min="2347" max="2347" width="15.42578125" style="1" customWidth="1"/>
    <col min="2348" max="2348" width="17.140625" style="1" customWidth="1"/>
    <col min="2349" max="2349" width="37.85546875" style="1" customWidth="1"/>
    <col min="2350" max="2350" width="36.5703125" style="1" customWidth="1"/>
    <col min="2351" max="2351" width="29.42578125" style="1" customWidth="1"/>
    <col min="2352" max="2596" width="8.85546875" style="1"/>
    <col min="2597" max="2597" width="4" style="1" customWidth="1"/>
    <col min="2598" max="2598" width="59.7109375" style="1" customWidth="1"/>
    <col min="2599" max="2599" width="4.85546875" style="1" customWidth="1"/>
    <col min="2600" max="2600" width="9" style="1" customWidth="1"/>
    <col min="2601" max="2601" width="15.85546875" style="1" customWidth="1"/>
    <col min="2602" max="2602" width="15.7109375" style="1" customWidth="1"/>
    <col min="2603" max="2603" width="15.42578125" style="1" customWidth="1"/>
    <col min="2604" max="2604" width="17.140625" style="1" customWidth="1"/>
    <col min="2605" max="2605" width="37.85546875" style="1" customWidth="1"/>
    <col min="2606" max="2606" width="36.5703125" style="1" customWidth="1"/>
    <col min="2607" max="2607" width="29.42578125" style="1" customWidth="1"/>
    <col min="2608" max="2852" width="8.85546875" style="1"/>
    <col min="2853" max="2853" width="4" style="1" customWidth="1"/>
    <col min="2854" max="2854" width="59.7109375" style="1" customWidth="1"/>
    <col min="2855" max="2855" width="4.85546875" style="1" customWidth="1"/>
    <col min="2856" max="2856" width="9" style="1" customWidth="1"/>
    <col min="2857" max="2857" width="15.85546875" style="1" customWidth="1"/>
    <col min="2858" max="2858" width="15.7109375" style="1" customWidth="1"/>
    <col min="2859" max="2859" width="15.42578125" style="1" customWidth="1"/>
    <col min="2860" max="2860" width="17.140625" style="1" customWidth="1"/>
    <col min="2861" max="2861" width="37.85546875" style="1" customWidth="1"/>
    <col min="2862" max="2862" width="36.5703125" style="1" customWidth="1"/>
    <col min="2863" max="2863" width="29.42578125" style="1" customWidth="1"/>
    <col min="2864" max="3108" width="8.85546875" style="1"/>
    <col min="3109" max="3109" width="4" style="1" customWidth="1"/>
    <col min="3110" max="3110" width="59.7109375" style="1" customWidth="1"/>
    <col min="3111" max="3111" width="4.85546875" style="1" customWidth="1"/>
    <col min="3112" max="3112" width="9" style="1" customWidth="1"/>
    <col min="3113" max="3113" width="15.85546875" style="1" customWidth="1"/>
    <col min="3114" max="3114" width="15.7109375" style="1" customWidth="1"/>
    <col min="3115" max="3115" width="15.42578125" style="1" customWidth="1"/>
    <col min="3116" max="3116" width="17.140625" style="1" customWidth="1"/>
    <col min="3117" max="3117" width="37.85546875" style="1" customWidth="1"/>
    <col min="3118" max="3118" width="36.5703125" style="1" customWidth="1"/>
    <col min="3119" max="3119" width="29.42578125" style="1" customWidth="1"/>
    <col min="3120" max="3364" width="8.85546875" style="1"/>
    <col min="3365" max="3365" width="4" style="1" customWidth="1"/>
    <col min="3366" max="3366" width="59.7109375" style="1" customWidth="1"/>
    <col min="3367" max="3367" width="4.85546875" style="1" customWidth="1"/>
    <col min="3368" max="3368" width="9" style="1" customWidth="1"/>
    <col min="3369" max="3369" width="15.85546875" style="1" customWidth="1"/>
    <col min="3370" max="3370" width="15.7109375" style="1" customWidth="1"/>
    <col min="3371" max="3371" width="15.42578125" style="1" customWidth="1"/>
    <col min="3372" max="3372" width="17.140625" style="1" customWidth="1"/>
    <col min="3373" max="3373" width="37.85546875" style="1" customWidth="1"/>
    <col min="3374" max="3374" width="36.5703125" style="1" customWidth="1"/>
    <col min="3375" max="3375" width="29.42578125" style="1" customWidth="1"/>
    <col min="3376" max="3620" width="8.85546875" style="1"/>
    <col min="3621" max="3621" width="4" style="1" customWidth="1"/>
    <col min="3622" max="3622" width="59.7109375" style="1" customWidth="1"/>
    <col min="3623" max="3623" width="4.85546875" style="1" customWidth="1"/>
    <col min="3624" max="3624" width="9" style="1" customWidth="1"/>
    <col min="3625" max="3625" width="15.85546875" style="1" customWidth="1"/>
    <col min="3626" max="3626" width="15.7109375" style="1" customWidth="1"/>
    <col min="3627" max="3627" width="15.42578125" style="1" customWidth="1"/>
    <col min="3628" max="3628" width="17.140625" style="1" customWidth="1"/>
    <col min="3629" max="3629" width="37.85546875" style="1" customWidth="1"/>
    <col min="3630" max="3630" width="36.5703125" style="1" customWidth="1"/>
    <col min="3631" max="3631" width="29.42578125" style="1" customWidth="1"/>
    <col min="3632" max="3876" width="8.85546875" style="1"/>
    <col min="3877" max="3877" width="4" style="1" customWidth="1"/>
    <col min="3878" max="3878" width="59.7109375" style="1" customWidth="1"/>
    <col min="3879" max="3879" width="4.85546875" style="1" customWidth="1"/>
    <col min="3880" max="3880" width="9" style="1" customWidth="1"/>
    <col min="3881" max="3881" width="15.85546875" style="1" customWidth="1"/>
    <col min="3882" max="3882" width="15.7109375" style="1" customWidth="1"/>
    <col min="3883" max="3883" width="15.42578125" style="1" customWidth="1"/>
    <col min="3884" max="3884" width="17.140625" style="1" customWidth="1"/>
    <col min="3885" max="3885" width="37.85546875" style="1" customWidth="1"/>
    <col min="3886" max="3886" width="36.5703125" style="1" customWidth="1"/>
    <col min="3887" max="3887" width="29.42578125" style="1" customWidth="1"/>
    <col min="3888" max="4132" width="8.85546875" style="1"/>
    <col min="4133" max="4133" width="4" style="1" customWidth="1"/>
    <col min="4134" max="4134" width="59.7109375" style="1" customWidth="1"/>
    <col min="4135" max="4135" width="4.85546875" style="1" customWidth="1"/>
    <col min="4136" max="4136" width="9" style="1" customWidth="1"/>
    <col min="4137" max="4137" width="15.85546875" style="1" customWidth="1"/>
    <col min="4138" max="4138" width="15.7109375" style="1" customWidth="1"/>
    <col min="4139" max="4139" width="15.42578125" style="1" customWidth="1"/>
    <col min="4140" max="4140" width="17.140625" style="1" customWidth="1"/>
    <col min="4141" max="4141" width="37.85546875" style="1" customWidth="1"/>
    <col min="4142" max="4142" width="36.5703125" style="1" customWidth="1"/>
    <col min="4143" max="4143" width="29.42578125" style="1" customWidth="1"/>
    <col min="4144" max="4388" width="8.85546875" style="1"/>
    <col min="4389" max="4389" width="4" style="1" customWidth="1"/>
    <col min="4390" max="4390" width="59.7109375" style="1" customWidth="1"/>
    <col min="4391" max="4391" width="4.85546875" style="1" customWidth="1"/>
    <col min="4392" max="4392" width="9" style="1" customWidth="1"/>
    <col min="4393" max="4393" width="15.85546875" style="1" customWidth="1"/>
    <col min="4394" max="4394" width="15.7109375" style="1" customWidth="1"/>
    <col min="4395" max="4395" width="15.42578125" style="1" customWidth="1"/>
    <col min="4396" max="4396" width="17.140625" style="1" customWidth="1"/>
    <col min="4397" max="4397" width="37.85546875" style="1" customWidth="1"/>
    <col min="4398" max="4398" width="36.5703125" style="1" customWidth="1"/>
    <col min="4399" max="4399" width="29.42578125" style="1" customWidth="1"/>
    <col min="4400" max="4644" width="8.85546875" style="1"/>
    <col min="4645" max="4645" width="4" style="1" customWidth="1"/>
    <col min="4646" max="4646" width="59.7109375" style="1" customWidth="1"/>
    <col min="4647" max="4647" width="4.85546875" style="1" customWidth="1"/>
    <col min="4648" max="4648" width="9" style="1" customWidth="1"/>
    <col min="4649" max="4649" width="15.85546875" style="1" customWidth="1"/>
    <col min="4650" max="4650" width="15.7109375" style="1" customWidth="1"/>
    <col min="4651" max="4651" width="15.42578125" style="1" customWidth="1"/>
    <col min="4652" max="4652" width="17.140625" style="1" customWidth="1"/>
    <col min="4653" max="4653" width="37.85546875" style="1" customWidth="1"/>
    <col min="4654" max="4654" width="36.5703125" style="1" customWidth="1"/>
    <col min="4655" max="4655" width="29.42578125" style="1" customWidth="1"/>
    <col min="4656" max="4900" width="8.85546875" style="1"/>
    <col min="4901" max="4901" width="4" style="1" customWidth="1"/>
    <col min="4902" max="4902" width="59.7109375" style="1" customWidth="1"/>
    <col min="4903" max="4903" width="4.85546875" style="1" customWidth="1"/>
    <col min="4904" max="4904" width="9" style="1" customWidth="1"/>
    <col min="4905" max="4905" width="15.85546875" style="1" customWidth="1"/>
    <col min="4906" max="4906" width="15.7109375" style="1" customWidth="1"/>
    <col min="4907" max="4907" width="15.42578125" style="1" customWidth="1"/>
    <col min="4908" max="4908" width="17.140625" style="1" customWidth="1"/>
    <col min="4909" max="4909" width="37.85546875" style="1" customWidth="1"/>
    <col min="4910" max="4910" width="36.5703125" style="1" customWidth="1"/>
    <col min="4911" max="4911" width="29.42578125" style="1" customWidth="1"/>
    <col min="4912" max="5156" width="8.85546875" style="1"/>
    <col min="5157" max="5157" width="4" style="1" customWidth="1"/>
    <col min="5158" max="5158" width="59.7109375" style="1" customWidth="1"/>
    <col min="5159" max="5159" width="4.85546875" style="1" customWidth="1"/>
    <col min="5160" max="5160" width="9" style="1" customWidth="1"/>
    <col min="5161" max="5161" width="15.85546875" style="1" customWidth="1"/>
    <col min="5162" max="5162" width="15.7109375" style="1" customWidth="1"/>
    <col min="5163" max="5163" width="15.42578125" style="1" customWidth="1"/>
    <col min="5164" max="5164" width="17.140625" style="1" customWidth="1"/>
    <col min="5165" max="5165" width="37.85546875" style="1" customWidth="1"/>
    <col min="5166" max="5166" width="36.5703125" style="1" customWidth="1"/>
    <col min="5167" max="5167" width="29.42578125" style="1" customWidth="1"/>
    <col min="5168" max="5412" width="8.85546875" style="1"/>
    <col min="5413" max="5413" width="4" style="1" customWidth="1"/>
    <col min="5414" max="5414" width="59.7109375" style="1" customWidth="1"/>
    <col min="5415" max="5415" width="4.85546875" style="1" customWidth="1"/>
    <col min="5416" max="5416" width="9" style="1" customWidth="1"/>
    <col min="5417" max="5417" width="15.85546875" style="1" customWidth="1"/>
    <col min="5418" max="5418" width="15.7109375" style="1" customWidth="1"/>
    <col min="5419" max="5419" width="15.42578125" style="1" customWidth="1"/>
    <col min="5420" max="5420" width="17.140625" style="1" customWidth="1"/>
    <col min="5421" max="5421" width="37.85546875" style="1" customWidth="1"/>
    <col min="5422" max="5422" width="36.5703125" style="1" customWidth="1"/>
    <col min="5423" max="5423" width="29.42578125" style="1" customWidth="1"/>
    <col min="5424" max="5668" width="8.85546875" style="1"/>
    <col min="5669" max="5669" width="4" style="1" customWidth="1"/>
    <col min="5670" max="5670" width="59.7109375" style="1" customWidth="1"/>
    <col min="5671" max="5671" width="4.85546875" style="1" customWidth="1"/>
    <col min="5672" max="5672" width="9" style="1" customWidth="1"/>
    <col min="5673" max="5673" width="15.85546875" style="1" customWidth="1"/>
    <col min="5674" max="5674" width="15.7109375" style="1" customWidth="1"/>
    <col min="5675" max="5675" width="15.42578125" style="1" customWidth="1"/>
    <col min="5676" max="5676" width="17.140625" style="1" customWidth="1"/>
    <col min="5677" max="5677" width="37.85546875" style="1" customWidth="1"/>
    <col min="5678" max="5678" width="36.5703125" style="1" customWidth="1"/>
    <col min="5679" max="5679" width="29.42578125" style="1" customWidth="1"/>
    <col min="5680" max="5924" width="8.85546875" style="1"/>
    <col min="5925" max="5925" width="4" style="1" customWidth="1"/>
    <col min="5926" max="5926" width="59.7109375" style="1" customWidth="1"/>
    <col min="5927" max="5927" width="4.85546875" style="1" customWidth="1"/>
    <col min="5928" max="5928" width="9" style="1" customWidth="1"/>
    <col min="5929" max="5929" width="15.85546875" style="1" customWidth="1"/>
    <col min="5930" max="5930" width="15.7109375" style="1" customWidth="1"/>
    <col min="5931" max="5931" width="15.42578125" style="1" customWidth="1"/>
    <col min="5932" max="5932" width="17.140625" style="1" customWidth="1"/>
    <col min="5933" max="5933" width="37.85546875" style="1" customWidth="1"/>
    <col min="5934" max="5934" width="36.5703125" style="1" customWidth="1"/>
    <col min="5935" max="5935" width="29.42578125" style="1" customWidth="1"/>
    <col min="5936" max="6180" width="8.85546875" style="1"/>
    <col min="6181" max="6181" width="4" style="1" customWidth="1"/>
    <col min="6182" max="6182" width="59.7109375" style="1" customWidth="1"/>
    <col min="6183" max="6183" width="4.85546875" style="1" customWidth="1"/>
    <col min="6184" max="6184" width="9" style="1" customWidth="1"/>
    <col min="6185" max="6185" width="15.85546875" style="1" customWidth="1"/>
    <col min="6186" max="6186" width="15.7109375" style="1" customWidth="1"/>
    <col min="6187" max="6187" width="15.42578125" style="1" customWidth="1"/>
    <col min="6188" max="6188" width="17.140625" style="1" customWidth="1"/>
    <col min="6189" max="6189" width="37.85546875" style="1" customWidth="1"/>
    <col min="6190" max="6190" width="36.5703125" style="1" customWidth="1"/>
    <col min="6191" max="6191" width="29.42578125" style="1" customWidth="1"/>
    <col min="6192" max="6436" width="8.85546875" style="1"/>
    <col min="6437" max="6437" width="4" style="1" customWidth="1"/>
    <col min="6438" max="6438" width="59.7109375" style="1" customWidth="1"/>
    <col min="6439" max="6439" width="4.85546875" style="1" customWidth="1"/>
    <col min="6440" max="6440" width="9" style="1" customWidth="1"/>
    <col min="6441" max="6441" width="15.85546875" style="1" customWidth="1"/>
    <col min="6442" max="6442" width="15.7109375" style="1" customWidth="1"/>
    <col min="6443" max="6443" width="15.42578125" style="1" customWidth="1"/>
    <col min="6444" max="6444" width="17.140625" style="1" customWidth="1"/>
    <col min="6445" max="6445" width="37.85546875" style="1" customWidth="1"/>
    <col min="6446" max="6446" width="36.5703125" style="1" customWidth="1"/>
    <col min="6447" max="6447" width="29.42578125" style="1" customWidth="1"/>
    <col min="6448" max="6692" width="8.85546875" style="1"/>
    <col min="6693" max="6693" width="4" style="1" customWidth="1"/>
    <col min="6694" max="6694" width="59.7109375" style="1" customWidth="1"/>
    <col min="6695" max="6695" width="4.85546875" style="1" customWidth="1"/>
    <col min="6696" max="6696" width="9" style="1" customWidth="1"/>
    <col min="6697" max="6697" width="15.85546875" style="1" customWidth="1"/>
    <col min="6698" max="6698" width="15.7109375" style="1" customWidth="1"/>
    <col min="6699" max="6699" width="15.42578125" style="1" customWidth="1"/>
    <col min="6700" max="6700" width="17.140625" style="1" customWidth="1"/>
    <col min="6701" max="6701" width="37.85546875" style="1" customWidth="1"/>
    <col min="6702" max="6702" width="36.5703125" style="1" customWidth="1"/>
    <col min="6703" max="6703" width="29.42578125" style="1" customWidth="1"/>
    <col min="6704" max="6948" width="8.85546875" style="1"/>
    <col min="6949" max="6949" width="4" style="1" customWidth="1"/>
    <col min="6950" max="6950" width="59.7109375" style="1" customWidth="1"/>
    <col min="6951" max="6951" width="4.85546875" style="1" customWidth="1"/>
    <col min="6952" max="6952" width="9" style="1" customWidth="1"/>
    <col min="6953" max="6953" width="15.85546875" style="1" customWidth="1"/>
    <col min="6954" max="6954" width="15.7109375" style="1" customWidth="1"/>
    <col min="6955" max="6955" width="15.42578125" style="1" customWidth="1"/>
    <col min="6956" max="6956" width="17.140625" style="1" customWidth="1"/>
    <col min="6957" max="6957" width="37.85546875" style="1" customWidth="1"/>
    <col min="6958" max="6958" width="36.5703125" style="1" customWidth="1"/>
    <col min="6959" max="6959" width="29.42578125" style="1" customWidth="1"/>
    <col min="6960" max="7204" width="8.85546875" style="1"/>
    <col min="7205" max="7205" width="4" style="1" customWidth="1"/>
    <col min="7206" max="7206" width="59.7109375" style="1" customWidth="1"/>
    <col min="7207" max="7207" width="4.85546875" style="1" customWidth="1"/>
    <col min="7208" max="7208" width="9" style="1" customWidth="1"/>
    <col min="7209" max="7209" width="15.85546875" style="1" customWidth="1"/>
    <col min="7210" max="7210" width="15.7109375" style="1" customWidth="1"/>
    <col min="7211" max="7211" width="15.42578125" style="1" customWidth="1"/>
    <col min="7212" max="7212" width="17.140625" style="1" customWidth="1"/>
    <col min="7213" max="7213" width="37.85546875" style="1" customWidth="1"/>
    <col min="7214" max="7214" width="36.5703125" style="1" customWidth="1"/>
    <col min="7215" max="7215" width="29.42578125" style="1" customWidth="1"/>
    <col min="7216" max="7460" width="8.85546875" style="1"/>
    <col min="7461" max="7461" width="4" style="1" customWidth="1"/>
    <col min="7462" max="7462" width="59.7109375" style="1" customWidth="1"/>
    <col min="7463" max="7463" width="4.85546875" style="1" customWidth="1"/>
    <col min="7464" max="7464" width="9" style="1" customWidth="1"/>
    <col min="7465" max="7465" width="15.85546875" style="1" customWidth="1"/>
    <col min="7466" max="7466" width="15.7109375" style="1" customWidth="1"/>
    <col min="7467" max="7467" width="15.42578125" style="1" customWidth="1"/>
    <col min="7468" max="7468" width="17.140625" style="1" customWidth="1"/>
    <col min="7469" max="7469" width="37.85546875" style="1" customWidth="1"/>
    <col min="7470" max="7470" width="36.5703125" style="1" customWidth="1"/>
    <col min="7471" max="7471" width="29.42578125" style="1" customWidth="1"/>
    <col min="7472" max="7716" width="8.85546875" style="1"/>
    <col min="7717" max="7717" width="4" style="1" customWidth="1"/>
    <col min="7718" max="7718" width="59.7109375" style="1" customWidth="1"/>
    <col min="7719" max="7719" width="4.85546875" style="1" customWidth="1"/>
    <col min="7720" max="7720" width="9" style="1" customWidth="1"/>
    <col min="7721" max="7721" width="15.85546875" style="1" customWidth="1"/>
    <col min="7722" max="7722" width="15.7109375" style="1" customWidth="1"/>
    <col min="7723" max="7723" width="15.42578125" style="1" customWidth="1"/>
    <col min="7724" max="7724" width="17.140625" style="1" customWidth="1"/>
    <col min="7725" max="7725" width="37.85546875" style="1" customWidth="1"/>
    <col min="7726" max="7726" width="36.5703125" style="1" customWidth="1"/>
    <col min="7727" max="7727" width="29.42578125" style="1" customWidth="1"/>
    <col min="7728" max="7972" width="8.85546875" style="1"/>
    <col min="7973" max="7973" width="4" style="1" customWidth="1"/>
    <col min="7974" max="7974" width="59.7109375" style="1" customWidth="1"/>
    <col min="7975" max="7975" width="4.85546875" style="1" customWidth="1"/>
    <col min="7976" max="7976" width="9" style="1" customWidth="1"/>
    <col min="7977" max="7977" width="15.85546875" style="1" customWidth="1"/>
    <col min="7978" max="7978" width="15.7109375" style="1" customWidth="1"/>
    <col min="7979" max="7979" width="15.42578125" style="1" customWidth="1"/>
    <col min="7980" max="7980" width="17.140625" style="1" customWidth="1"/>
    <col min="7981" max="7981" width="37.85546875" style="1" customWidth="1"/>
    <col min="7982" max="7982" width="36.5703125" style="1" customWidth="1"/>
    <col min="7983" max="7983" width="29.42578125" style="1" customWidth="1"/>
    <col min="7984" max="8228" width="8.85546875" style="1"/>
    <col min="8229" max="8229" width="4" style="1" customWidth="1"/>
    <col min="8230" max="8230" width="59.7109375" style="1" customWidth="1"/>
    <col min="8231" max="8231" width="4.85546875" style="1" customWidth="1"/>
    <col min="8232" max="8232" width="9" style="1" customWidth="1"/>
    <col min="8233" max="8233" width="15.85546875" style="1" customWidth="1"/>
    <col min="8234" max="8234" width="15.7109375" style="1" customWidth="1"/>
    <col min="8235" max="8235" width="15.42578125" style="1" customWidth="1"/>
    <col min="8236" max="8236" width="17.140625" style="1" customWidth="1"/>
    <col min="8237" max="8237" width="37.85546875" style="1" customWidth="1"/>
    <col min="8238" max="8238" width="36.5703125" style="1" customWidth="1"/>
    <col min="8239" max="8239" width="29.42578125" style="1" customWidth="1"/>
    <col min="8240" max="8484" width="8.85546875" style="1"/>
    <col min="8485" max="8485" width="4" style="1" customWidth="1"/>
    <col min="8486" max="8486" width="59.7109375" style="1" customWidth="1"/>
    <col min="8487" max="8487" width="4.85546875" style="1" customWidth="1"/>
    <col min="8488" max="8488" width="9" style="1" customWidth="1"/>
    <col min="8489" max="8489" width="15.85546875" style="1" customWidth="1"/>
    <col min="8490" max="8490" width="15.7109375" style="1" customWidth="1"/>
    <col min="8491" max="8491" width="15.42578125" style="1" customWidth="1"/>
    <col min="8492" max="8492" width="17.140625" style="1" customWidth="1"/>
    <col min="8493" max="8493" width="37.85546875" style="1" customWidth="1"/>
    <col min="8494" max="8494" width="36.5703125" style="1" customWidth="1"/>
    <col min="8495" max="8495" width="29.42578125" style="1" customWidth="1"/>
    <col min="8496" max="8740" width="8.85546875" style="1"/>
    <col min="8741" max="8741" width="4" style="1" customWidth="1"/>
    <col min="8742" max="8742" width="59.7109375" style="1" customWidth="1"/>
    <col min="8743" max="8743" width="4.85546875" style="1" customWidth="1"/>
    <col min="8744" max="8744" width="9" style="1" customWidth="1"/>
    <col min="8745" max="8745" width="15.85546875" style="1" customWidth="1"/>
    <col min="8746" max="8746" width="15.7109375" style="1" customWidth="1"/>
    <col min="8747" max="8747" width="15.42578125" style="1" customWidth="1"/>
    <col min="8748" max="8748" width="17.140625" style="1" customWidth="1"/>
    <col min="8749" max="8749" width="37.85546875" style="1" customWidth="1"/>
    <col min="8750" max="8750" width="36.5703125" style="1" customWidth="1"/>
    <col min="8751" max="8751" width="29.42578125" style="1" customWidth="1"/>
    <col min="8752" max="8996" width="8.85546875" style="1"/>
    <col min="8997" max="8997" width="4" style="1" customWidth="1"/>
    <col min="8998" max="8998" width="59.7109375" style="1" customWidth="1"/>
    <col min="8999" max="8999" width="4.85546875" style="1" customWidth="1"/>
    <col min="9000" max="9000" width="9" style="1" customWidth="1"/>
    <col min="9001" max="9001" width="15.85546875" style="1" customWidth="1"/>
    <col min="9002" max="9002" width="15.7109375" style="1" customWidth="1"/>
    <col min="9003" max="9003" width="15.42578125" style="1" customWidth="1"/>
    <col min="9004" max="9004" width="17.140625" style="1" customWidth="1"/>
    <col min="9005" max="9005" width="37.85546875" style="1" customWidth="1"/>
    <col min="9006" max="9006" width="36.5703125" style="1" customWidth="1"/>
    <col min="9007" max="9007" width="29.42578125" style="1" customWidth="1"/>
    <col min="9008" max="9252" width="8.85546875" style="1"/>
    <col min="9253" max="9253" width="4" style="1" customWidth="1"/>
    <col min="9254" max="9254" width="59.7109375" style="1" customWidth="1"/>
    <col min="9255" max="9255" width="4.85546875" style="1" customWidth="1"/>
    <col min="9256" max="9256" width="9" style="1" customWidth="1"/>
    <col min="9257" max="9257" width="15.85546875" style="1" customWidth="1"/>
    <col min="9258" max="9258" width="15.7109375" style="1" customWidth="1"/>
    <col min="9259" max="9259" width="15.42578125" style="1" customWidth="1"/>
    <col min="9260" max="9260" width="17.140625" style="1" customWidth="1"/>
    <col min="9261" max="9261" width="37.85546875" style="1" customWidth="1"/>
    <col min="9262" max="9262" width="36.5703125" style="1" customWidth="1"/>
    <col min="9263" max="9263" width="29.42578125" style="1" customWidth="1"/>
    <col min="9264" max="9508" width="8.85546875" style="1"/>
    <col min="9509" max="9509" width="4" style="1" customWidth="1"/>
    <col min="9510" max="9510" width="59.7109375" style="1" customWidth="1"/>
    <col min="9511" max="9511" width="4.85546875" style="1" customWidth="1"/>
    <col min="9512" max="9512" width="9" style="1" customWidth="1"/>
    <col min="9513" max="9513" width="15.85546875" style="1" customWidth="1"/>
    <col min="9514" max="9514" width="15.7109375" style="1" customWidth="1"/>
    <col min="9515" max="9515" width="15.42578125" style="1" customWidth="1"/>
    <col min="9516" max="9516" width="17.140625" style="1" customWidth="1"/>
    <col min="9517" max="9517" width="37.85546875" style="1" customWidth="1"/>
    <col min="9518" max="9518" width="36.5703125" style="1" customWidth="1"/>
    <col min="9519" max="9519" width="29.42578125" style="1" customWidth="1"/>
    <col min="9520" max="9764" width="8.85546875" style="1"/>
    <col min="9765" max="9765" width="4" style="1" customWidth="1"/>
    <col min="9766" max="9766" width="59.7109375" style="1" customWidth="1"/>
    <col min="9767" max="9767" width="4.85546875" style="1" customWidth="1"/>
    <col min="9768" max="9768" width="9" style="1" customWidth="1"/>
    <col min="9769" max="9769" width="15.85546875" style="1" customWidth="1"/>
    <col min="9770" max="9770" width="15.7109375" style="1" customWidth="1"/>
    <col min="9771" max="9771" width="15.42578125" style="1" customWidth="1"/>
    <col min="9772" max="9772" width="17.140625" style="1" customWidth="1"/>
    <col min="9773" max="9773" width="37.85546875" style="1" customWidth="1"/>
    <col min="9774" max="9774" width="36.5703125" style="1" customWidth="1"/>
    <col min="9775" max="9775" width="29.42578125" style="1" customWidth="1"/>
    <col min="9776" max="10020" width="8.85546875" style="1"/>
    <col min="10021" max="10021" width="4" style="1" customWidth="1"/>
    <col min="10022" max="10022" width="59.7109375" style="1" customWidth="1"/>
    <col min="10023" max="10023" width="4.85546875" style="1" customWidth="1"/>
    <col min="10024" max="10024" width="9" style="1" customWidth="1"/>
    <col min="10025" max="10025" width="15.85546875" style="1" customWidth="1"/>
    <col min="10026" max="10026" width="15.7109375" style="1" customWidth="1"/>
    <col min="10027" max="10027" width="15.42578125" style="1" customWidth="1"/>
    <col min="10028" max="10028" width="17.140625" style="1" customWidth="1"/>
    <col min="10029" max="10029" width="37.85546875" style="1" customWidth="1"/>
    <col min="10030" max="10030" width="36.5703125" style="1" customWidth="1"/>
    <col min="10031" max="10031" width="29.42578125" style="1" customWidth="1"/>
    <col min="10032" max="10276" width="8.85546875" style="1"/>
    <col min="10277" max="10277" width="4" style="1" customWidth="1"/>
    <col min="10278" max="10278" width="59.7109375" style="1" customWidth="1"/>
    <col min="10279" max="10279" width="4.85546875" style="1" customWidth="1"/>
    <col min="10280" max="10280" width="9" style="1" customWidth="1"/>
    <col min="10281" max="10281" width="15.85546875" style="1" customWidth="1"/>
    <col min="10282" max="10282" width="15.7109375" style="1" customWidth="1"/>
    <col min="10283" max="10283" width="15.42578125" style="1" customWidth="1"/>
    <col min="10284" max="10284" width="17.140625" style="1" customWidth="1"/>
    <col min="10285" max="10285" width="37.85546875" style="1" customWidth="1"/>
    <col min="10286" max="10286" width="36.5703125" style="1" customWidth="1"/>
    <col min="10287" max="10287" width="29.42578125" style="1" customWidth="1"/>
    <col min="10288" max="10532" width="8.85546875" style="1"/>
    <col min="10533" max="10533" width="4" style="1" customWidth="1"/>
    <col min="10534" max="10534" width="59.7109375" style="1" customWidth="1"/>
    <col min="10535" max="10535" width="4.85546875" style="1" customWidth="1"/>
    <col min="10536" max="10536" width="9" style="1" customWidth="1"/>
    <col min="10537" max="10537" width="15.85546875" style="1" customWidth="1"/>
    <col min="10538" max="10538" width="15.7109375" style="1" customWidth="1"/>
    <col min="10539" max="10539" width="15.42578125" style="1" customWidth="1"/>
    <col min="10540" max="10540" width="17.140625" style="1" customWidth="1"/>
    <col min="10541" max="10541" width="37.85546875" style="1" customWidth="1"/>
    <col min="10542" max="10542" width="36.5703125" style="1" customWidth="1"/>
    <col min="10543" max="10543" width="29.42578125" style="1" customWidth="1"/>
    <col min="10544" max="10788" width="8.85546875" style="1"/>
    <col min="10789" max="10789" width="4" style="1" customWidth="1"/>
    <col min="10790" max="10790" width="59.7109375" style="1" customWidth="1"/>
    <col min="10791" max="10791" width="4.85546875" style="1" customWidth="1"/>
    <col min="10792" max="10792" width="9" style="1" customWidth="1"/>
    <col min="10793" max="10793" width="15.85546875" style="1" customWidth="1"/>
    <col min="10794" max="10794" width="15.7109375" style="1" customWidth="1"/>
    <col min="10795" max="10795" width="15.42578125" style="1" customWidth="1"/>
    <col min="10796" max="10796" width="17.140625" style="1" customWidth="1"/>
    <col min="10797" max="10797" width="37.85546875" style="1" customWidth="1"/>
    <col min="10798" max="10798" width="36.5703125" style="1" customWidth="1"/>
    <col min="10799" max="10799" width="29.42578125" style="1" customWidth="1"/>
    <col min="10800" max="11044" width="8.85546875" style="1"/>
    <col min="11045" max="11045" width="4" style="1" customWidth="1"/>
    <col min="11046" max="11046" width="59.7109375" style="1" customWidth="1"/>
    <col min="11047" max="11047" width="4.85546875" style="1" customWidth="1"/>
    <col min="11048" max="11048" width="9" style="1" customWidth="1"/>
    <col min="11049" max="11049" width="15.85546875" style="1" customWidth="1"/>
    <col min="11050" max="11050" width="15.7109375" style="1" customWidth="1"/>
    <col min="11051" max="11051" width="15.42578125" style="1" customWidth="1"/>
    <col min="11052" max="11052" width="17.140625" style="1" customWidth="1"/>
    <col min="11053" max="11053" width="37.85546875" style="1" customWidth="1"/>
    <col min="11054" max="11054" width="36.5703125" style="1" customWidth="1"/>
    <col min="11055" max="11055" width="29.42578125" style="1" customWidth="1"/>
    <col min="11056" max="11300" width="8.85546875" style="1"/>
    <col min="11301" max="11301" width="4" style="1" customWidth="1"/>
    <col min="11302" max="11302" width="59.7109375" style="1" customWidth="1"/>
    <col min="11303" max="11303" width="4.85546875" style="1" customWidth="1"/>
    <col min="11304" max="11304" width="9" style="1" customWidth="1"/>
    <col min="11305" max="11305" width="15.85546875" style="1" customWidth="1"/>
    <col min="11306" max="11306" width="15.7109375" style="1" customWidth="1"/>
    <col min="11307" max="11307" width="15.42578125" style="1" customWidth="1"/>
    <col min="11308" max="11308" width="17.140625" style="1" customWidth="1"/>
    <col min="11309" max="11309" width="37.85546875" style="1" customWidth="1"/>
    <col min="11310" max="11310" width="36.5703125" style="1" customWidth="1"/>
    <col min="11311" max="11311" width="29.42578125" style="1" customWidth="1"/>
    <col min="11312" max="11556" width="8.85546875" style="1"/>
    <col min="11557" max="11557" width="4" style="1" customWidth="1"/>
    <col min="11558" max="11558" width="59.7109375" style="1" customWidth="1"/>
    <col min="11559" max="11559" width="4.85546875" style="1" customWidth="1"/>
    <col min="11560" max="11560" width="9" style="1" customWidth="1"/>
    <col min="11561" max="11561" width="15.85546875" style="1" customWidth="1"/>
    <col min="11562" max="11562" width="15.7109375" style="1" customWidth="1"/>
    <col min="11563" max="11563" width="15.42578125" style="1" customWidth="1"/>
    <col min="11564" max="11564" width="17.140625" style="1" customWidth="1"/>
    <col min="11565" max="11565" width="37.85546875" style="1" customWidth="1"/>
    <col min="11566" max="11566" width="36.5703125" style="1" customWidth="1"/>
    <col min="11567" max="11567" width="29.42578125" style="1" customWidth="1"/>
    <col min="11568" max="11812" width="8.85546875" style="1"/>
    <col min="11813" max="11813" width="4" style="1" customWidth="1"/>
    <col min="11814" max="11814" width="59.7109375" style="1" customWidth="1"/>
    <col min="11815" max="11815" width="4.85546875" style="1" customWidth="1"/>
    <col min="11816" max="11816" width="9" style="1" customWidth="1"/>
    <col min="11817" max="11817" width="15.85546875" style="1" customWidth="1"/>
    <col min="11818" max="11818" width="15.7109375" style="1" customWidth="1"/>
    <col min="11819" max="11819" width="15.42578125" style="1" customWidth="1"/>
    <col min="11820" max="11820" width="17.140625" style="1" customWidth="1"/>
    <col min="11821" max="11821" width="37.85546875" style="1" customWidth="1"/>
    <col min="11822" max="11822" width="36.5703125" style="1" customWidth="1"/>
    <col min="11823" max="11823" width="29.42578125" style="1" customWidth="1"/>
    <col min="11824" max="12068" width="8.85546875" style="1"/>
    <col min="12069" max="12069" width="4" style="1" customWidth="1"/>
    <col min="12070" max="12070" width="59.7109375" style="1" customWidth="1"/>
    <col min="12071" max="12071" width="4.85546875" style="1" customWidth="1"/>
    <col min="12072" max="12072" width="9" style="1" customWidth="1"/>
    <col min="12073" max="12073" width="15.85546875" style="1" customWidth="1"/>
    <col min="12074" max="12074" width="15.7109375" style="1" customWidth="1"/>
    <col min="12075" max="12075" width="15.42578125" style="1" customWidth="1"/>
    <col min="12076" max="12076" width="17.140625" style="1" customWidth="1"/>
    <col min="12077" max="12077" width="37.85546875" style="1" customWidth="1"/>
    <col min="12078" max="12078" width="36.5703125" style="1" customWidth="1"/>
    <col min="12079" max="12079" width="29.42578125" style="1" customWidth="1"/>
    <col min="12080" max="12324" width="8.85546875" style="1"/>
    <col min="12325" max="12325" width="4" style="1" customWidth="1"/>
    <col min="12326" max="12326" width="59.7109375" style="1" customWidth="1"/>
    <col min="12327" max="12327" width="4.85546875" style="1" customWidth="1"/>
    <col min="12328" max="12328" width="9" style="1" customWidth="1"/>
    <col min="12329" max="12329" width="15.85546875" style="1" customWidth="1"/>
    <col min="12330" max="12330" width="15.7109375" style="1" customWidth="1"/>
    <col min="12331" max="12331" width="15.42578125" style="1" customWidth="1"/>
    <col min="12332" max="12332" width="17.140625" style="1" customWidth="1"/>
    <col min="12333" max="12333" width="37.85546875" style="1" customWidth="1"/>
    <col min="12334" max="12334" width="36.5703125" style="1" customWidth="1"/>
    <col min="12335" max="12335" width="29.42578125" style="1" customWidth="1"/>
    <col min="12336" max="12580" width="8.85546875" style="1"/>
    <col min="12581" max="12581" width="4" style="1" customWidth="1"/>
    <col min="12582" max="12582" width="59.7109375" style="1" customWidth="1"/>
    <col min="12583" max="12583" width="4.85546875" style="1" customWidth="1"/>
    <col min="12584" max="12584" width="9" style="1" customWidth="1"/>
    <col min="12585" max="12585" width="15.85546875" style="1" customWidth="1"/>
    <col min="12586" max="12586" width="15.7109375" style="1" customWidth="1"/>
    <col min="12587" max="12587" width="15.42578125" style="1" customWidth="1"/>
    <col min="12588" max="12588" width="17.140625" style="1" customWidth="1"/>
    <col min="12589" max="12589" width="37.85546875" style="1" customWidth="1"/>
    <col min="12590" max="12590" width="36.5703125" style="1" customWidth="1"/>
    <col min="12591" max="12591" width="29.42578125" style="1" customWidth="1"/>
    <col min="12592" max="12836" width="8.85546875" style="1"/>
    <col min="12837" max="12837" width="4" style="1" customWidth="1"/>
    <col min="12838" max="12838" width="59.7109375" style="1" customWidth="1"/>
    <col min="12839" max="12839" width="4.85546875" style="1" customWidth="1"/>
    <col min="12840" max="12840" width="9" style="1" customWidth="1"/>
    <col min="12841" max="12841" width="15.85546875" style="1" customWidth="1"/>
    <col min="12842" max="12842" width="15.7109375" style="1" customWidth="1"/>
    <col min="12843" max="12843" width="15.42578125" style="1" customWidth="1"/>
    <col min="12844" max="12844" width="17.140625" style="1" customWidth="1"/>
    <col min="12845" max="12845" width="37.85546875" style="1" customWidth="1"/>
    <col min="12846" max="12846" width="36.5703125" style="1" customWidth="1"/>
    <col min="12847" max="12847" width="29.42578125" style="1" customWidth="1"/>
    <col min="12848" max="13092" width="8.85546875" style="1"/>
    <col min="13093" max="13093" width="4" style="1" customWidth="1"/>
    <col min="13094" max="13094" width="59.7109375" style="1" customWidth="1"/>
    <col min="13095" max="13095" width="4.85546875" style="1" customWidth="1"/>
    <col min="13096" max="13096" width="9" style="1" customWidth="1"/>
    <col min="13097" max="13097" width="15.85546875" style="1" customWidth="1"/>
    <col min="13098" max="13098" width="15.7109375" style="1" customWidth="1"/>
    <col min="13099" max="13099" width="15.42578125" style="1" customWidth="1"/>
    <col min="13100" max="13100" width="17.140625" style="1" customWidth="1"/>
    <col min="13101" max="13101" width="37.85546875" style="1" customWidth="1"/>
    <col min="13102" max="13102" width="36.5703125" style="1" customWidth="1"/>
    <col min="13103" max="13103" width="29.42578125" style="1" customWidth="1"/>
    <col min="13104" max="13348" width="8.85546875" style="1"/>
    <col min="13349" max="13349" width="4" style="1" customWidth="1"/>
    <col min="13350" max="13350" width="59.7109375" style="1" customWidth="1"/>
    <col min="13351" max="13351" width="4.85546875" style="1" customWidth="1"/>
    <col min="13352" max="13352" width="9" style="1" customWidth="1"/>
    <col min="13353" max="13353" width="15.85546875" style="1" customWidth="1"/>
    <col min="13354" max="13354" width="15.7109375" style="1" customWidth="1"/>
    <col min="13355" max="13355" width="15.42578125" style="1" customWidth="1"/>
    <col min="13356" max="13356" width="17.140625" style="1" customWidth="1"/>
    <col min="13357" max="13357" width="37.85546875" style="1" customWidth="1"/>
    <col min="13358" max="13358" width="36.5703125" style="1" customWidth="1"/>
    <col min="13359" max="13359" width="29.42578125" style="1" customWidth="1"/>
    <col min="13360" max="13604" width="8.85546875" style="1"/>
    <col min="13605" max="13605" width="4" style="1" customWidth="1"/>
    <col min="13606" max="13606" width="59.7109375" style="1" customWidth="1"/>
    <col min="13607" max="13607" width="4.85546875" style="1" customWidth="1"/>
    <col min="13608" max="13608" width="9" style="1" customWidth="1"/>
    <col min="13609" max="13609" width="15.85546875" style="1" customWidth="1"/>
    <col min="13610" max="13610" width="15.7109375" style="1" customWidth="1"/>
    <col min="13611" max="13611" width="15.42578125" style="1" customWidth="1"/>
    <col min="13612" max="13612" width="17.140625" style="1" customWidth="1"/>
    <col min="13613" max="13613" width="37.85546875" style="1" customWidth="1"/>
    <col min="13614" max="13614" width="36.5703125" style="1" customWidth="1"/>
    <col min="13615" max="13615" width="29.42578125" style="1" customWidth="1"/>
    <col min="13616" max="13860" width="8.85546875" style="1"/>
    <col min="13861" max="13861" width="4" style="1" customWidth="1"/>
    <col min="13862" max="13862" width="59.7109375" style="1" customWidth="1"/>
    <col min="13863" max="13863" width="4.85546875" style="1" customWidth="1"/>
    <col min="13864" max="13864" width="9" style="1" customWidth="1"/>
    <col min="13865" max="13865" width="15.85546875" style="1" customWidth="1"/>
    <col min="13866" max="13866" width="15.7109375" style="1" customWidth="1"/>
    <col min="13867" max="13867" width="15.42578125" style="1" customWidth="1"/>
    <col min="13868" max="13868" width="17.140625" style="1" customWidth="1"/>
    <col min="13869" max="13869" width="37.85546875" style="1" customWidth="1"/>
    <col min="13870" max="13870" width="36.5703125" style="1" customWidth="1"/>
    <col min="13871" max="13871" width="29.42578125" style="1" customWidth="1"/>
    <col min="13872" max="14116" width="8.85546875" style="1"/>
    <col min="14117" max="14117" width="4" style="1" customWidth="1"/>
    <col min="14118" max="14118" width="59.7109375" style="1" customWidth="1"/>
    <col min="14119" max="14119" width="4.85546875" style="1" customWidth="1"/>
    <col min="14120" max="14120" width="9" style="1" customWidth="1"/>
    <col min="14121" max="14121" width="15.85546875" style="1" customWidth="1"/>
    <col min="14122" max="14122" width="15.7109375" style="1" customWidth="1"/>
    <col min="14123" max="14123" width="15.42578125" style="1" customWidth="1"/>
    <col min="14124" max="14124" width="17.140625" style="1" customWidth="1"/>
    <col min="14125" max="14125" width="37.85546875" style="1" customWidth="1"/>
    <col min="14126" max="14126" width="36.5703125" style="1" customWidth="1"/>
    <col min="14127" max="14127" width="29.42578125" style="1" customWidth="1"/>
    <col min="14128" max="14372" width="8.85546875" style="1"/>
    <col min="14373" max="14373" width="4" style="1" customWidth="1"/>
    <col min="14374" max="14374" width="59.7109375" style="1" customWidth="1"/>
    <col min="14375" max="14375" width="4.85546875" style="1" customWidth="1"/>
    <col min="14376" max="14376" width="9" style="1" customWidth="1"/>
    <col min="14377" max="14377" width="15.85546875" style="1" customWidth="1"/>
    <col min="14378" max="14378" width="15.7109375" style="1" customWidth="1"/>
    <col min="14379" max="14379" width="15.42578125" style="1" customWidth="1"/>
    <col min="14380" max="14380" width="17.140625" style="1" customWidth="1"/>
    <col min="14381" max="14381" width="37.85546875" style="1" customWidth="1"/>
    <col min="14382" max="14382" width="36.5703125" style="1" customWidth="1"/>
    <col min="14383" max="14383" width="29.42578125" style="1" customWidth="1"/>
    <col min="14384" max="14628" width="8.85546875" style="1"/>
    <col min="14629" max="14629" width="4" style="1" customWidth="1"/>
    <col min="14630" max="14630" width="59.7109375" style="1" customWidth="1"/>
    <col min="14631" max="14631" width="4.85546875" style="1" customWidth="1"/>
    <col min="14632" max="14632" width="9" style="1" customWidth="1"/>
    <col min="14633" max="14633" width="15.85546875" style="1" customWidth="1"/>
    <col min="14634" max="14634" width="15.7109375" style="1" customWidth="1"/>
    <col min="14635" max="14635" width="15.42578125" style="1" customWidth="1"/>
    <col min="14636" max="14636" width="17.140625" style="1" customWidth="1"/>
    <col min="14637" max="14637" width="37.85546875" style="1" customWidth="1"/>
    <col min="14638" max="14638" width="36.5703125" style="1" customWidth="1"/>
    <col min="14639" max="14639" width="29.42578125" style="1" customWidth="1"/>
    <col min="14640" max="14884" width="8.85546875" style="1"/>
    <col min="14885" max="14885" width="4" style="1" customWidth="1"/>
    <col min="14886" max="14886" width="59.7109375" style="1" customWidth="1"/>
    <col min="14887" max="14887" width="4.85546875" style="1" customWidth="1"/>
    <col min="14888" max="14888" width="9" style="1" customWidth="1"/>
    <col min="14889" max="14889" width="15.85546875" style="1" customWidth="1"/>
    <col min="14890" max="14890" width="15.7109375" style="1" customWidth="1"/>
    <col min="14891" max="14891" width="15.42578125" style="1" customWidth="1"/>
    <col min="14892" max="14892" width="17.140625" style="1" customWidth="1"/>
    <col min="14893" max="14893" width="37.85546875" style="1" customWidth="1"/>
    <col min="14894" max="14894" width="36.5703125" style="1" customWidth="1"/>
    <col min="14895" max="14895" width="29.42578125" style="1" customWidth="1"/>
    <col min="14896" max="15140" width="8.85546875" style="1"/>
    <col min="15141" max="15141" width="4" style="1" customWidth="1"/>
    <col min="15142" max="15142" width="59.7109375" style="1" customWidth="1"/>
    <col min="15143" max="15143" width="4.85546875" style="1" customWidth="1"/>
    <col min="15144" max="15144" width="9" style="1" customWidth="1"/>
    <col min="15145" max="15145" width="15.85546875" style="1" customWidth="1"/>
    <col min="15146" max="15146" width="15.7109375" style="1" customWidth="1"/>
    <col min="15147" max="15147" width="15.42578125" style="1" customWidth="1"/>
    <col min="15148" max="15148" width="17.140625" style="1" customWidth="1"/>
    <col min="15149" max="15149" width="37.85546875" style="1" customWidth="1"/>
    <col min="15150" max="15150" width="36.5703125" style="1" customWidth="1"/>
    <col min="15151" max="15151" width="29.42578125" style="1" customWidth="1"/>
    <col min="15152" max="15396" width="8.85546875" style="1"/>
    <col min="15397" max="15397" width="4" style="1" customWidth="1"/>
    <col min="15398" max="15398" width="59.7109375" style="1" customWidth="1"/>
    <col min="15399" max="15399" width="4.85546875" style="1" customWidth="1"/>
    <col min="15400" max="15400" width="9" style="1" customWidth="1"/>
    <col min="15401" max="15401" width="15.85546875" style="1" customWidth="1"/>
    <col min="15402" max="15402" width="15.7109375" style="1" customWidth="1"/>
    <col min="15403" max="15403" width="15.42578125" style="1" customWidth="1"/>
    <col min="15404" max="15404" width="17.140625" style="1" customWidth="1"/>
    <col min="15405" max="15405" width="37.85546875" style="1" customWidth="1"/>
    <col min="15406" max="15406" width="36.5703125" style="1" customWidth="1"/>
    <col min="15407" max="15407" width="29.42578125" style="1" customWidth="1"/>
    <col min="15408" max="15652" width="8.85546875" style="1"/>
    <col min="15653" max="15653" width="4" style="1" customWidth="1"/>
    <col min="15654" max="15654" width="59.7109375" style="1" customWidth="1"/>
    <col min="15655" max="15655" width="4.85546875" style="1" customWidth="1"/>
    <col min="15656" max="15656" width="9" style="1" customWidth="1"/>
    <col min="15657" max="15657" width="15.85546875" style="1" customWidth="1"/>
    <col min="15658" max="15658" width="15.7109375" style="1" customWidth="1"/>
    <col min="15659" max="15659" width="15.42578125" style="1" customWidth="1"/>
    <col min="15660" max="15660" width="17.140625" style="1" customWidth="1"/>
    <col min="15661" max="15661" width="37.85546875" style="1" customWidth="1"/>
    <col min="15662" max="15662" width="36.5703125" style="1" customWidth="1"/>
    <col min="15663" max="15663" width="29.42578125" style="1" customWidth="1"/>
    <col min="15664" max="15908" width="8.85546875" style="1"/>
    <col min="15909" max="15909" width="4" style="1" customWidth="1"/>
    <col min="15910" max="15910" width="59.7109375" style="1" customWidth="1"/>
    <col min="15911" max="15911" width="4.85546875" style="1" customWidth="1"/>
    <col min="15912" max="15912" width="9" style="1" customWidth="1"/>
    <col min="15913" max="15913" width="15.85546875" style="1" customWidth="1"/>
    <col min="15914" max="15914" width="15.7109375" style="1" customWidth="1"/>
    <col min="15915" max="15915" width="15.42578125" style="1" customWidth="1"/>
    <col min="15916" max="15916" width="17.140625" style="1" customWidth="1"/>
    <col min="15917" max="15917" width="37.85546875" style="1" customWidth="1"/>
    <col min="15918" max="15918" width="36.5703125" style="1" customWidth="1"/>
    <col min="15919" max="15919" width="29.42578125" style="1" customWidth="1"/>
    <col min="15920" max="16164" width="8.85546875" style="1"/>
    <col min="16165" max="16165" width="4" style="1" customWidth="1"/>
    <col min="16166" max="16166" width="59.7109375" style="1" customWidth="1"/>
    <col min="16167" max="16167" width="4.85546875" style="1" customWidth="1"/>
    <col min="16168" max="16168" width="9" style="1" customWidth="1"/>
    <col min="16169" max="16169" width="15.85546875" style="1" customWidth="1"/>
    <col min="16170" max="16170" width="15.7109375" style="1" customWidth="1"/>
    <col min="16171" max="16171" width="15.42578125" style="1" customWidth="1"/>
    <col min="16172" max="16172" width="17.140625" style="1" customWidth="1"/>
    <col min="16173" max="16173" width="37.85546875" style="1" customWidth="1"/>
    <col min="16174" max="16174" width="36.5703125" style="1" customWidth="1"/>
    <col min="16175" max="16175" width="29.42578125" style="1" customWidth="1"/>
    <col min="16176" max="16384" width="8.85546875" style="1"/>
  </cols>
  <sheetData>
    <row r="1" spans="1:52" ht="22.15" customHeight="1">
      <c r="G1" s="19">
        <v>45999</v>
      </c>
      <c r="H1" s="19">
        <v>45999</v>
      </c>
      <c r="M1" s="19">
        <v>46002</v>
      </c>
      <c r="N1" s="19">
        <v>46002</v>
      </c>
      <c r="S1" s="19">
        <v>46006</v>
      </c>
      <c r="T1" s="19">
        <v>46006</v>
      </c>
      <c r="U1" s="20" t="s">
        <v>88</v>
      </c>
      <c r="V1" s="14" t="s">
        <v>89</v>
      </c>
      <c r="AA1" s="19">
        <v>46010</v>
      </c>
      <c r="AB1" s="19">
        <v>46010</v>
      </c>
      <c r="AC1" s="20" t="s">
        <v>88</v>
      </c>
      <c r="AD1" s="14" t="s">
        <v>89</v>
      </c>
      <c r="AI1" s="19">
        <v>46013</v>
      </c>
      <c r="AJ1" s="19">
        <f ca="1">TODAY()</f>
        <v>46016</v>
      </c>
      <c r="AK1" s="20" t="s">
        <v>88</v>
      </c>
      <c r="AL1" s="14" t="s">
        <v>89</v>
      </c>
      <c r="AQ1" s="19">
        <v>46016</v>
      </c>
      <c r="AR1" s="19">
        <f ca="1">TODAY()</f>
        <v>46016</v>
      </c>
      <c r="AS1" s="20" t="s">
        <v>88</v>
      </c>
      <c r="AT1" s="14" t="s">
        <v>89</v>
      </c>
    </row>
    <row r="2" spans="1:52" ht="30" customHeight="1">
      <c r="A2"/>
      <c r="B2" s="2" t="s">
        <v>0</v>
      </c>
      <c r="C2" s="21" t="s">
        <v>1</v>
      </c>
      <c r="D2" s="1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21" t="s">
        <v>1</v>
      </c>
      <c r="J2" s="12" t="s">
        <v>2</v>
      </c>
      <c r="K2" s="3" t="s">
        <v>3</v>
      </c>
      <c r="L2" s="3" t="s">
        <v>4</v>
      </c>
      <c r="M2" s="4" t="s">
        <v>5</v>
      </c>
      <c r="N2" s="4" t="s">
        <v>6</v>
      </c>
      <c r="O2" s="21" t="s">
        <v>1</v>
      </c>
      <c r="P2" s="12" t="s">
        <v>2</v>
      </c>
      <c r="Q2" s="3" t="s">
        <v>3</v>
      </c>
      <c r="R2" s="3" t="s">
        <v>4</v>
      </c>
      <c r="S2" s="4" t="s">
        <v>5</v>
      </c>
      <c r="T2" s="4" t="s">
        <v>6</v>
      </c>
      <c r="U2" s="22"/>
      <c r="V2" s="11"/>
      <c r="W2" s="21" t="s">
        <v>1</v>
      </c>
      <c r="X2" s="12" t="s">
        <v>2</v>
      </c>
      <c r="Y2" s="3" t="s">
        <v>3</v>
      </c>
      <c r="Z2" s="3" t="s">
        <v>4</v>
      </c>
      <c r="AA2" s="4" t="s">
        <v>5</v>
      </c>
      <c r="AB2" s="4" t="s">
        <v>6</v>
      </c>
      <c r="AC2" s="22"/>
      <c r="AD2" s="11"/>
      <c r="AE2" s="21" t="s">
        <v>1</v>
      </c>
      <c r="AF2" s="12" t="s">
        <v>2</v>
      </c>
      <c r="AG2" s="3" t="s">
        <v>3</v>
      </c>
      <c r="AH2" s="3" t="s">
        <v>4</v>
      </c>
      <c r="AI2" s="4" t="s">
        <v>5</v>
      </c>
      <c r="AJ2" s="4" t="s">
        <v>6</v>
      </c>
      <c r="AK2" s="22"/>
      <c r="AL2" s="11"/>
      <c r="AM2" s="21" t="s">
        <v>1</v>
      </c>
      <c r="AN2" s="12" t="s">
        <v>2</v>
      </c>
      <c r="AO2" s="3" t="s">
        <v>3</v>
      </c>
      <c r="AP2" s="3" t="s">
        <v>4</v>
      </c>
      <c r="AQ2" s="4" t="s">
        <v>5</v>
      </c>
      <c r="AR2" s="4" t="s">
        <v>6</v>
      </c>
      <c r="AS2" s="22"/>
      <c r="AT2" s="11"/>
    </row>
    <row r="3" spans="1:52" ht="22.15" hidden="1" customHeight="1">
      <c r="A3"/>
      <c r="B3" s="5" t="s">
        <v>7</v>
      </c>
      <c r="C3" s="23" t="s">
        <v>8</v>
      </c>
      <c r="D3" s="24">
        <v>124</v>
      </c>
      <c r="E3" s="25">
        <v>45254</v>
      </c>
      <c r="F3" s="25">
        <v>45299</v>
      </c>
      <c r="G3" s="6">
        <f t="shared" ref="G3:G37" si="0">IFERROR((F3-$G$1)/(F3-E3)*100,"")</f>
        <v>-1555.5555555555554</v>
      </c>
      <c r="H3" s="6">
        <f t="shared" ref="H3:H37" si="1">F3-$H$1</f>
        <v>-700</v>
      </c>
      <c r="I3" s="23" t="s">
        <v>8</v>
      </c>
      <c r="J3" s="24">
        <v>124</v>
      </c>
      <c r="K3" s="25">
        <v>45254</v>
      </c>
      <c r="L3" s="25">
        <v>45299</v>
      </c>
      <c r="M3" s="6">
        <f t="shared" ref="M3:M37" si="2">IFERROR((L3-$G$1)/(L3-K3)*100,"")</f>
        <v>-1555.5555555555554</v>
      </c>
      <c r="N3" s="6">
        <f t="shared" ref="N3:N37" si="3">L3-$H$1</f>
        <v>-700</v>
      </c>
      <c r="O3" s="23" t="s">
        <v>8</v>
      </c>
      <c r="P3" s="24">
        <v>124</v>
      </c>
      <c r="Q3" s="25">
        <v>45254</v>
      </c>
      <c r="R3" s="25">
        <v>45299</v>
      </c>
      <c r="S3" s="6">
        <f t="shared" ref="S3:S37" si="4">IFERROR((R3-$G$1)/(R3-Q3)*100,"")</f>
        <v>-1555.5555555555554</v>
      </c>
      <c r="T3" s="6">
        <f t="shared" ref="T3:T37" si="5">R3-$H$1</f>
        <v>-700</v>
      </c>
      <c r="U3" s="22"/>
      <c r="V3" s="11"/>
      <c r="W3" s="23" t="s">
        <v>8</v>
      </c>
      <c r="X3" s="24">
        <v>124</v>
      </c>
      <c r="Y3" s="25">
        <v>45254</v>
      </c>
      <c r="Z3" s="25">
        <v>45299</v>
      </c>
      <c r="AA3" s="6">
        <f t="shared" ref="AA3:AA37" si="6">IFERROR((Z3-$G$1)/(Z3-Y3)*100,"")</f>
        <v>-1555.5555555555554</v>
      </c>
      <c r="AB3" s="6">
        <f t="shared" ref="AB3:AB37" si="7">Z3-$H$1</f>
        <v>-700</v>
      </c>
      <c r="AC3" s="22"/>
      <c r="AD3" s="11"/>
      <c r="AE3" s="23" t="s">
        <v>8</v>
      </c>
      <c r="AF3" s="24">
        <v>124</v>
      </c>
      <c r="AG3" s="25">
        <v>45254</v>
      </c>
      <c r="AH3" s="25">
        <v>45299</v>
      </c>
      <c r="AI3" s="6">
        <f t="shared" ref="AI3:AI37" si="8">IFERROR((AH3-$G$1)/(AH3-AG3)*100,"")</f>
        <v>-1555.5555555555554</v>
      </c>
      <c r="AJ3" s="6">
        <f t="shared" ref="AJ3:AJ37" si="9">AH3-$H$1</f>
        <v>-700</v>
      </c>
      <c r="AK3" s="22"/>
      <c r="AL3" s="11"/>
      <c r="AM3" s="23" t="s">
        <v>8</v>
      </c>
      <c r="AN3" s="24">
        <v>124</v>
      </c>
      <c r="AO3" s="25">
        <v>45254</v>
      </c>
      <c r="AP3" s="25">
        <v>45299</v>
      </c>
      <c r="AQ3" s="6">
        <f t="shared" ref="AQ3:AQ37" si="10">IFERROR((AP3-$G$1)/(AP3-AO3)*100,"")</f>
        <v>-1555.5555555555554</v>
      </c>
      <c r="AR3" s="6">
        <f t="shared" ref="AR3:AR37" si="11">AP3-$H$1</f>
        <v>-700</v>
      </c>
      <c r="AS3" s="22"/>
      <c r="AT3" s="11"/>
      <c r="AV3" s="72"/>
      <c r="AW3" s="72"/>
      <c r="AX3" s="72"/>
      <c r="AY3" s="72"/>
      <c r="AZ3" s="72"/>
    </row>
    <row r="4" spans="1:52" ht="22.15" hidden="1" customHeight="1">
      <c r="A4"/>
      <c r="B4" s="5" t="s">
        <v>9</v>
      </c>
      <c r="C4" s="23" t="s">
        <v>8</v>
      </c>
      <c r="D4" s="24">
        <v>115</v>
      </c>
      <c r="E4" s="25">
        <v>45254</v>
      </c>
      <c r="F4" s="25">
        <v>45299</v>
      </c>
      <c r="G4" s="6">
        <f t="shared" si="0"/>
        <v>-1555.5555555555554</v>
      </c>
      <c r="H4" s="6">
        <f t="shared" si="1"/>
        <v>-700</v>
      </c>
      <c r="I4" s="23" t="s">
        <v>8</v>
      </c>
      <c r="J4" s="24">
        <v>115</v>
      </c>
      <c r="K4" s="25">
        <v>45254</v>
      </c>
      <c r="L4" s="25">
        <v>45299</v>
      </c>
      <c r="M4" s="6">
        <f t="shared" si="2"/>
        <v>-1555.5555555555554</v>
      </c>
      <c r="N4" s="6">
        <f t="shared" si="3"/>
        <v>-700</v>
      </c>
      <c r="O4" s="23" t="s">
        <v>8</v>
      </c>
      <c r="P4" s="24">
        <v>115</v>
      </c>
      <c r="Q4" s="25">
        <v>45254</v>
      </c>
      <c r="R4" s="25">
        <v>45299</v>
      </c>
      <c r="S4" s="6">
        <f t="shared" si="4"/>
        <v>-1555.5555555555554</v>
      </c>
      <c r="T4" s="6">
        <f t="shared" si="5"/>
        <v>-700</v>
      </c>
      <c r="U4" s="22"/>
      <c r="V4" s="11"/>
      <c r="W4" s="23" t="s">
        <v>8</v>
      </c>
      <c r="X4" s="24">
        <v>115</v>
      </c>
      <c r="Y4" s="25">
        <v>45254</v>
      </c>
      <c r="Z4" s="25">
        <v>45299</v>
      </c>
      <c r="AA4" s="6">
        <f t="shared" si="6"/>
        <v>-1555.5555555555554</v>
      </c>
      <c r="AB4" s="6">
        <f t="shared" si="7"/>
        <v>-700</v>
      </c>
      <c r="AC4" s="22"/>
      <c r="AD4" s="11"/>
      <c r="AE4" s="23" t="s">
        <v>8</v>
      </c>
      <c r="AF4" s="24">
        <v>115</v>
      </c>
      <c r="AG4" s="25">
        <v>45254</v>
      </c>
      <c r="AH4" s="25">
        <v>45299</v>
      </c>
      <c r="AI4" s="6">
        <f t="shared" si="8"/>
        <v>-1555.5555555555554</v>
      </c>
      <c r="AJ4" s="6">
        <f t="shared" si="9"/>
        <v>-700</v>
      </c>
      <c r="AK4" s="22"/>
      <c r="AL4" s="11"/>
      <c r="AM4" s="23" t="s">
        <v>8</v>
      </c>
      <c r="AN4" s="24">
        <v>115</v>
      </c>
      <c r="AO4" s="25">
        <v>45254</v>
      </c>
      <c r="AP4" s="25">
        <v>45299</v>
      </c>
      <c r="AQ4" s="6">
        <f t="shared" si="10"/>
        <v>-1555.5555555555554</v>
      </c>
      <c r="AR4" s="6">
        <f t="shared" si="11"/>
        <v>-700</v>
      </c>
      <c r="AS4" s="22"/>
      <c r="AT4" s="11"/>
      <c r="AV4" s="73" t="s">
        <v>10</v>
      </c>
      <c r="AW4" s="73"/>
      <c r="AX4" s="73"/>
      <c r="AY4" s="73"/>
      <c r="AZ4" s="73"/>
    </row>
    <row r="5" spans="1:52" ht="22.15" hidden="1" customHeight="1">
      <c r="A5"/>
      <c r="B5" s="5" t="s">
        <v>11</v>
      </c>
      <c r="C5" s="23" t="s">
        <v>8</v>
      </c>
      <c r="D5" s="24">
        <v>54</v>
      </c>
      <c r="E5" s="26">
        <v>45256</v>
      </c>
      <c r="F5" s="26">
        <v>45301</v>
      </c>
      <c r="G5" s="6">
        <f t="shared" si="0"/>
        <v>-1551.1111111111111</v>
      </c>
      <c r="H5" s="6">
        <f t="shared" si="1"/>
        <v>-698</v>
      </c>
      <c r="I5" s="23" t="s">
        <v>8</v>
      </c>
      <c r="J5" s="24">
        <v>54</v>
      </c>
      <c r="K5" s="26">
        <v>45256</v>
      </c>
      <c r="L5" s="26">
        <v>45301</v>
      </c>
      <c r="M5" s="6">
        <f t="shared" si="2"/>
        <v>-1551.1111111111111</v>
      </c>
      <c r="N5" s="6">
        <f t="shared" si="3"/>
        <v>-698</v>
      </c>
      <c r="O5" s="23" t="s">
        <v>8</v>
      </c>
      <c r="P5" s="24">
        <v>54</v>
      </c>
      <c r="Q5" s="26">
        <v>45256</v>
      </c>
      <c r="R5" s="26">
        <v>45301</v>
      </c>
      <c r="S5" s="6">
        <f t="shared" si="4"/>
        <v>-1551.1111111111111</v>
      </c>
      <c r="T5" s="6">
        <f t="shared" si="5"/>
        <v>-698</v>
      </c>
      <c r="U5" s="22"/>
      <c r="V5" s="11"/>
      <c r="W5" s="23" t="s">
        <v>8</v>
      </c>
      <c r="X5" s="24">
        <v>54</v>
      </c>
      <c r="Y5" s="26">
        <v>45256</v>
      </c>
      <c r="Z5" s="26">
        <v>45301</v>
      </c>
      <c r="AA5" s="6">
        <f t="shared" si="6"/>
        <v>-1551.1111111111111</v>
      </c>
      <c r="AB5" s="6">
        <f t="shared" si="7"/>
        <v>-698</v>
      </c>
      <c r="AC5" s="22"/>
      <c r="AD5" s="11"/>
      <c r="AE5" s="23" t="s">
        <v>8</v>
      </c>
      <c r="AF5" s="24">
        <v>54</v>
      </c>
      <c r="AG5" s="26">
        <v>45256</v>
      </c>
      <c r="AH5" s="26">
        <v>45301</v>
      </c>
      <c r="AI5" s="6">
        <f t="shared" si="8"/>
        <v>-1551.1111111111111</v>
      </c>
      <c r="AJ5" s="6">
        <f t="shared" si="9"/>
        <v>-698</v>
      </c>
      <c r="AK5" s="22"/>
      <c r="AL5" s="11"/>
      <c r="AM5" s="23" t="s">
        <v>8</v>
      </c>
      <c r="AN5" s="24">
        <v>54</v>
      </c>
      <c r="AO5" s="26">
        <v>45256</v>
      </c>
      <c r="AP5" s="26">
        <v>45301</v>
      </c>
      <c r="AQ5" s="6">
        <f t="shared" si="10"/>
        <v>-1551.1111111111111</v>
      </c>
      <c r="AR5" s="6">
        <f t="shared" si="11"/>
        <v>-698</v>
      </c>
      <c r="AS5" s="22"/>
      <c r="AT5" s="11"/>
      <c r="AV5" s="73"/>
      <c r="AW5" s="73"/>
      <c r="AX5" s="73"/>
      <c r="AY5" s="73"/>
      <c r="AZ5" s="73"/>
    </row>
    <row r="6" spans="1:52" ht="22.15" hidden="1" customHeight="1">
      <c r="A6"/>
      <c r="B6" s="5" t="s">
        <v>12</v>
      </c>
      <c r="C6" s="23" t="s">
        <v>8</v>
      </c>
      <c r="D6" s="24">
        <v>65</v>
      </c>
      <c r="E6" s="26">
        <v>45268</v>
      </c>
      <c r="F6" s="26">
        <v>45303</v>
      </c>
      <c r="G6" s="6">
        <f t="shared" si="0"/>
        <v>-1988.5714285714287</v>
      </c>
      <c r="H6" s="6">
        <f t="shared" si="1"/>
        <v>-696</v>
      </c>
      <c r="I6" s="23" t="s">
        <v>8</v>
      </c>
      <c r="J6" s="24">
        <v>65</v>
      </c>
      <c r="K6" s="26">
        <v>45268</v>
      </c>
      <c r="L6" s="26">
        <v>45303</v>
      </c>
      <c r="M6" s="6">
        <f t="shared" si="2"/>
        <v>-1988.5714285714287</v>
      </c>
      <c r="N6" s="6">
        <f t="shared" si="3"/>
        <v>-696</v>
      </c>
      <c r="O6" s="23" t="s">
        <v>8</v>
      </c>
      <c r="P6" s="24">
        <v>65</v>
      </c>
      <c r="Q6" s="26">
        <v>45268</v>
      </c>
      <c r="R6" s="26">
        <v>45303</v>
      </c>
      <c r="S6" s="6">
        <f t="shared" si="4"/>
        <v>-1988.5714285714287</v>
      </c>
      <c r="T6" s="6">
        <f t="shared" si="5"/>
        <v>-696</v>
      </c>
      <c r="U6" s="22"/>
      <c r="V6" s="11"/>
      <c r="W6" s="23" t="s">
        <v>8</v>
      </c>
      <c r="X6" s="24">
        <v>65</v>
      </c>
      <c r="Y6" s="26">
        <v>45268</v>
      </c>
      <c r="Z6" s="26">
        <v>45303</v>
      </c>
      <c r="AA6" s="6">
        <f t="shared" si="6"/>
        <v>-1988.5714285714287</v>
      </c>
      <c r="AB6" s="6">
        <f t="shared" si="7"/>
        <v>-696</v>
      </c>
      <c r="AC6" s="22"/>
      <c r="AD6" s="11"/>
      <c r="AE6" s="23" t="s">
        <v>8</v>
      </c>
      <c r="AF6" s="24">
        <v>65</v>
      </c>
      <c r="AG6" s="26">
        <v>45268</v>
      </c>
      <c r="AH6" s="26">
        <v>45303</v>
      </c>
      <c r="AI6" s="6">
        <f t="shared" si="8"/>
        <v>-1988.5714285714287</v>
      </c>
      <c r="AJ6" s="6">
        <f t="shared" si="9"/>
        <v>-696</v>
      </c>
      <c r="AK6" s="22"/>
      <c r="AL6" s="11"/>
      <c r="AM6" s="23" t="s">
        <v>8</v>
      </c>
      <c r="AN6" s="24">
        <v>65</v>
      </c>
      <c r="AO6" s="26">
        <v>45268</v>
      </c>
      <c r="AP6" s="26">
        <v>45303</v>
      </c>
      <c r="AQ6" s="6">
        <f t="shared" si="10"/>
        <v>-1988.5714285714287</v>
      </c>
      <c r="AR6" s="6">
        <f t="shared" si="11"/>
        <v>-696</v>
      </c>
      <c r="AS6" s="22"/>
      <c r="AT6" s="11"/>
      <c r="AV6" s="7"/>
      <c r="AW6" s="7"/>
      <c r="AX6" s="7"/>
      <c r="AY6" s="7"/>
      <c r="AZ6" s="7"/>
    </row>
    <row r="7" spans="1:52" ht="22.15" hidden="1" customHeight="1">
      <c r="A7"/>
      <c r="B7" s="5" t="s">
        <v>13</v>
      </c>
      <c r="C7" s="23" t="s">
        <v>8</v>
      </c>
      <c r="D7" s="24">
        <v>32</v>
      </c>
      <c r="E7" s="26">
        <v>45269</v>
      </c>
      <c r="F7" s="26">
        <v>45304</v>
      </c>
      <c r="G7" s="6">
        <f t="shared" si="0"/>
        <v>-1985.7142857142858</v>
      </c>
      <c r="H7" s="6">
        <f t="shared" si="1"/>
        <v>-695</v>
      </c>
      <c r="I7" s="23" t="s">
        <v>8</v>
      </c>
      <c r="J7" s="24">
        <v>32</v>
      </c>
      <c r="K7" s="26">
        <v>45269</v>
      </c>
      <c r="L7" s="26">
        <v>45304</v>
      </c>
      <c r="M7" s="6">
        <f t="shared" si="2"/>
        <v>-1985.7142857142858</v>
      </c>
      <c r="N7" s="6">
        <f t="shared" si="3"/>
        <v>-695</v>
      </c>
      <c r="O7" s="23" t="s">
        <v>8</v>
      </c>
      <c r="P7" s="24">
        <v>32</v>
      </c>
      <c r="Q7" s="26">
        <v>45269</v>
      </c>
      <c r="R7" s="26">
        <v>45304</v>
      </c>
      <c r="S7" s="6">
        <f t="shared" si="4"/>
        <v>-1985.7142857142858</v>
      </c>
      <c r="T7" s="6">
        <f t="shared" si="5"/>
        <v>-695</v>
      </c>
      <c r="U7" s="22"/>
      <c r="V7" s="11"/>
      <c r="W7" s="23" t="s">
        <v>8</v>
      </c>
      <c r="X7" s="24">
        <v>32</v>
      </c>
      <c r="Y7" s="26">
        <v>45269</v>
      </c>
      <c r="Z7" s="26">
        <v>45304</v>
      </c>
      <c r="AA7" s="6">
        <f t="shared" si="6"/>
        <v>-1985.7142857142858</v>
      </c>
      <c r="AB7" s="6">
        <f t="shared" si="7"/>
        <v>-695</v>
      </c>
      <c r="AC7" s="22"/>
      <c r="AD7" s="11"/>
      <c r="AE7" s="23" t="s">
        <v>8</v>
      </c>
      <c r="AF7" s="24">
        <v>32</v>
      </c>
      <c r="AG7" s="26">
        <v>45269</v>
      </c>
      <c r="AH7" s="26">
        <v>45304</v>
      </c>
      <c r="AI7" s="6">
        <f t="shared" si="8"/>
        <v>-1985.7142857142858</v>
      </c>
      <c r="AJ7" s="6">
        <f t="shared" si="9"/>
        <v>-695</v>
      </c>
      <c r="AK7" s="22"/>
      <c r="AL7" s="11"/>
      <c r="AM7" s="23" t="s">
        <v>8</v>
      </c>
      <c r="AN7" s="24">
        <v>32</v>
      </c>
      <c r="AO7" s="26">
        <v>45269</v>
      </c>
      <c r="AP7" s="26">
        <v>45304</v>
      </c>
      <c r="AQ7" s="6">
        <f t="shared" si="10"/>
        <v>-1985.7142857142858</v>
      </c>
      <c r="AR7" s="6">
        <f t="shared" si="11"/>
        <v>-695</v>
      </c>
      <c r="AS7" s="22"/>
      <c r="AT7" s="11"/>
      <c r="AV7" s="74"/>
      <c r="AW7" s="74"/>
      <c r="AX7" s="74"/>
      <c r="AY7" s="74"/>
      <c r="AZ7" s="74"/>
    </row>
    <row r="8" spans="1:52" ht="22.15" hidden="1" customHeight="1">
      <c r="A8"/>
      <c r="B8" s="5" t="s">
        <v>14</v>
      </c>
      <c r="C8" s="23" t="s">
        <v>15</v>
      </c>
      <c r="D8" s="24">
        <v>217.8</v>
      </c>
      <c r="E8" s="26">
        <v>45275</v>
      </c>
      <c r="F8" s="26">
        <v>45305</v>
      </c>
      <c r="G8" s="6">
        <f t="shared" si="0"/>
        <v>-2313.3333333333335</v>
      </c>
      <c r="H8" s="6">
        <f t="shared" si="1"/>
        <v>-694</v>
      </c>
      <c r="I8" s="23" t="s">
        <v>15</v>
      </c>
      <c r="J8" s="24">
        <v>217.8</v>
      </c>
      <c r="K8" s="26">
        <v>45275</v>
      </c>
      <c r="L8" s="26">
        <v>45305</v>
      </c>
      <c r="M8" s="6">
        <f t="shared" si="2"/>
        <v>-2313.3333333333335</v>
      </c>
      <c r="N8" s="6">
        <f t="shared" si="3"/>
        <v>-694</v>
      </c>
      <c r="O8" s="23" t="s">
        <v>15</v>
      </c>
      <c r="P8" s="24">
        <v>217.8</v>
      </c>
      <c r="Q8" s="26">
        <v>45275</v>
      </c>
      <c r="R8" s="26">
        <v>45305</v>
      </c>
      <c r="S8" s="6">
        <f t="shared" si="4"/>
        <v>-2313.3333333333335</v>
      </c>
      <c r="T8" s="6">
        <f t="shared" si="5"/>
        <v>-694</v>
      </c>
      <c r="U8" s="22"/>
      <c r="V8" s="11"/>
      <c r="W8" s="23" t="s">
        <v>15</v>
      </c>
      <c r="X8" s="24">
        <v>217.8</v>
      </c>
      <c r="Y8" s="26">
        <v>45275</v>
      </c>
      <c r="Z8" s="26">
        <v>45305</v>
      </c>
      <c r="AA8" s="6">
        <f t="shared" si="6"/>
        <v>-2313.3333333333335</v>
      </c>
      <c r="AB8" s="6">
        <f t="shared" si="7"/>
        <v>-694</v>
      </c>
      <c r="AC8" s="22"/>
      <c r="AD8" s="11"/>
      <c r="AE8" s="23" t="s">
        <v>15</v>
      </c>
      <c r="AF8" s="24">
        <v>217.8</v>
      </c>
      <c r="AG8" s="26">
        <v>45275</v>
      </c>
      <c r="AH8" s="26">
        <v>45305</v>
      </c>
      <c r="AI8" s="6">
        <f t="shared" si="8"/>
        <v>-2313.3333333333335</v>
      </c>
      <c r="AJ8" s="6">
        <f t="shared" si="9"/>
        <v>-694</v>
      </c>
      <c r="AK8" s="22"/>
      <c r="AL8" s="11"/>
      <c r="AM8" s="23" t="s">
        <v>15</v>
      </c>
      <c r="AN8" s="24">
        <v>217.8</v>
      </c>
      <c r="AO8" s="26">
        <v>45275</v>
      </c>
      <c r="AP8" s="26">
        <v>45305</v>
      </c>
      <c r="AQ8" s="6">
        <f t="shared" si="10"/>
        <v>-2313.3333333333335</v>
      </c>
      <c r="AR8" s="6">
        <f t="shared" si="11"/>
        <v>-694</v>
      </c>
      <c r="AS8" s="22"/>
      <c r="AT8" s="11"/>
      <c r="AV8" s="72"/>
      <c r="AW8" s="72"/>
      <c r="AX8" s="72"/>
      <c r="AY8" s="72"/>
      <c r="AZ8" s="72"/>
    </row>
    <row r="9" spans="1:52" ht="22.15" hidden="1" customHeight="1">
      <c r="A9"/>
      <c r="B9" s="5" t="s">
        <v>16</v>
      </c>
      <c r="C9" s="23" t="s">
        <v>15</v>
      </c>
      <c r="D9" s="24">
        <v>68.8</v>
      </c>
      <c r="E9" s="26">
        <v>45265</v>
      </c>
      <c r="F9" s="26">
        <v>45305</v>
      </c>
      <c r="G9" s="6">
        <f t="shared" si="0"/>
        <v>-1735.0000000000002</v>
      </c>
      <c r="H9" s="6">
        <f t="shared" si="1"/>
        <v>-694</v>
      </c>
      <c r="I9" s="23" t="s">
        <v>15</v>
      </c>
      <c r="J9" s="24">
        <v>68.8</v>
      </c>
      <c r="K9" s="26">
        <v>45265</v>
      </c>
      <c r="L9" s="26">
        <v>45305</v>
      </c>
      <c r="M9" s="6">
        <f t="shared" si="2"/>
        <v>-1735.0000000000002</v>
      </c>
      <c r="N9" s="6">
        <f t="shared" si="3"/>
        <v>-694</v>
      </c>
      <c r="O9" s="23" t="s">
        <v>15</v>
      </c>
      <c r="P9" s="24">
        <v>68.8</v>
      </c>
      <c r="Q9" s="26">
        <v>45265</v>
      </c>
      <c r="R9" s="26">
        <v>45305</v>
      </c>
      <c r="S9" s="6">
        <f t="shared" si="4"/>
        <v>-1735.0000000000002</v>
      </c>
      <c r="T9" s="6">
        <f t="shared" si="5"/>
        <v>-694</v>
      </c>
      <c r="U9" s="22"/>
      <c r="V9" s="11"/>
      <c r="W9" s="23" t="s">
        <v>15</v>
      </c>
      <c r="X9" s="24">
        <v>68.8</v>
      </c>
      <c r="Y9" s="26">
        <v>45265</v>
      </c>
      <c r="Z9" s="26">
        <v>45305</v>
      </c>
      <c r="AA9" s="6">
        <f t="shared" si="6"/>
        <v>-1735.0000000000002</v>
      </c>
      <c r="AB9" s="6">
        <f t="shared" si="7"/>
        <v>-694</v>
      </c>
      <c r="AC9" s="22"/>
      <c r="AD9" s="11"/>
      <c r="AE9" s="23" t="s">
        <v>15</v>
      </c>
      <c r="AF9" s="24">
        <v>68.8</v>
      </c>
      <c r="AG9" s="26">
        <v>45265</v>
      </c>
      <c r="AH9" s="26">
        <v>45305</v>
      </c>
      <c r="AI9" s="6">
        <f t="shared" si="8"/>
        <v>-1735.0000000000002</v>
      </c>
      <c r="AJ9" s="6">
        <f t="shared" si="9"/>
        <v>-694</v>
      </c>
      <c r="AK9" s="22"/>
      <c r="AL9" s="11"/>
      <c r="AM9" s="23" t="s">
        <v>15</v>
      </c>
      <c r="AN9" s="24">
        <v>68.8</v>
      </c>
      <c r="AO9" s="26">
        <v>45265</v>
      </c>
      <c r="AP9" s="26">
        <v>45305</v>
      </c>
      <c r="AQ9" s="6">
        <f t="shared" si="10"/>
        <v>-1735.0000000000002</v>
      </c>
      <c r="AR9" s="6">
        <f t="shared" si="11"/>
        <v>-694</v>
      </c>
      <c r="AS9" s="22"/>
      <c r="AT9" s="11"/>
      <c r="AV9" s="73" t="s">
        <v>17</v>
      </c>
      <c r="AW9" s="73"/>
      <c r="AX9" s="73"/>
      <c r="AY9" s="73"/>
      <c r="AZ9" s="73"/>
    </row>
    <row r="10" spans="1:52" ht="22.15" hidden="1" customHeight="1">
      <c r="A10"/>
      <c r="B10" s="5" t="s">
        <v>18</v>
      </c>
      <c r="C10" s="23" t="s">
        <v>15</v>
      </c>
      <c r="D10" s="24">
        <v>42.16</v>
      </c>
      <c r="E10" s="26">
        <v>45260</v>
      </c>
      <c r="F10" s="26">
        <v>45305</v>
      </c>
      <c r="G10" s="6">
        <f t="shared" si="0"/>
        <v>-1542.2222222222222</v>
      </c>
      <c r="H10" s="6">
        <f t="shared" si="1"/>
        <v>-694</v>
      </c>
      <c r="I10" s="23" t="s">
        <v>15</v>
      </c>
      <c r="J10" s="24">
        <v>42.16</v>
      </c>
      <c r="K10" s="26">
        <v>45260</v>
      </c>
      <c r="L10" s="26">
        <v>45305</v>
      </c>
      <c r="M10" s="6">
        <f t="shared" si="2"/>
        <v>-1542.2222222222222</v>
      </c>
      <c r="N10" s="6">
        <f t="shared" si="3"/>
        <v>-694</v>
      </c>
      <c r="O10" s="23" t="s">
        <v>15</v>
      </c>
      <c r="P10" s="24">
        <v>42.16</v>
      </c>
      <c r="Q10" s="26">
        <v>45260</v>
      </c>
      <c r="R10" s="26">
        <v>45305</v>
      </c>
      <c r="S10" s="6">
        <f t="shared" si="4"/>
        <v>-1542.2222222222222</v>
      </c>
      <c r="T10" s="6">
        <f t="shared" si="5"/>
        <v>-694</v>
      </c>
      <c r="U10" s="22"/>
      <c r="V10" s="11"/>
      <c r="W10" s="23" t="s">
        <v>15</v>
      </c>
      <c r="X10" s="24">
        <v>42.16</v>
      </c>
      <c r="Y10" s="26">
        <v>45260</v>
      </c>
      <c r="Z10" s="26">
        <v>45305</v>
      </c>
      <c r="AA10" s="6">
        <f t="shared" si="6"/>
        <v>-1542.2222222222222</v>
      </c>
      <c r="AB10" s="6">
        <f t="shared" si="7"/>
        <v>-694</v>
      </c>
      <c r="AC10" s="22"/>
      <c r="AD10" s="11"/>
      <c r="AE10" s="23" t="s">
        <v>15</v>
      </c>
      <c r="AF10" s="24">
        <v>42.16</v>
      </c>
      <c r="AG10" s="26">
        <v>45260</v>
      </c>
      <c r="AH10" s="26">
        <v>45305</v>
      </c>
      <c r="AI10" s="6">
        <f t="shared" si="8"/>
        <v>-1542.2222222222222</v>
      </c>
      <c r="AJ10" s="6">
        <f t="shared" si="9"/>
        <v>-694</v>
      </c>
      <c r="AK10" s="22"/>
      <c r="AL10" s="11"/>
      <c r="AM10" s="23" t="s">
        <v>15</v>
      </c>
      <c r="AN10" s="24">
        <v>42.16</v>
      </c>
      <c r="AO10" s="26">
        <v>45260</v>
      </c>
      <c r="AP10" s="26">
        <v>45305</v>
      </c>
      <c r="AQ10" s="6">
        <f t="shared" si="10"/>
        <v>-1542.2222222222222</v>
      </c>
      <c r="AR10" s="6">
        <f t="shared" si="11"/>
        <v>-694</v>
      </c>
      <c r="AS10" s="22"/>
      <c r="AT10" s="11"/>
      <c r="AV10" s="73"/>
      <c r="AW10" s="73"/>
      <c r="AX10" s="73"/>
      <c r="AY10" s="73"/>
      <c r="AZ10" s="73"/>
    </row>
    <row r="11" spans="1:52" ht="22.15" hidden="1" customHeight="1">
      <c r="A11"/>
      <c r="B11" s="5" t="s">
        <v>19</v>
      </c>
      <c r="C11" s="23" t="s">
        <v>15</v>
      </c>
      <c r="D11" s="24">
        <v>205.58</v>
      </c>
      <c r="E11" s="26">
        <v>45276</v>
      </c>
      <c r="F11" s="26">
        <v>45306</v>
      </c>
      <c r="G11" s="6">
        <f t="shared" si="0"/>
        <v>-2310</v>
      </c>
      <c r="H11" s="6">
        <f t="shared" si="1"/>
        <v>-693</v>
      </c>
      <c r="I11" s="23" t="s">
        <v>15</v>
      </c>
      <c r="J11" s="24">
        <v>205.58</v>
      </c>
      <c r="K11" s="26">
        <v>45276</v>
      </c>
      <c r="L11" s="26">
        <v>45306</v>
      </c>
      <c r="M11" s="6">
        <f t="shared" si="2"/>
        <v>-2310</v>
      </c>
      <c r="N11" s="6">
        <f t="shared" si="3"/>
        <v>-693</v>
      </c>
      <c r="O11" s="23" t="s">
        <v>15</v>
      </c>
      <c r="P11" s="24">
        <v>205.58</v>
      </c>
      <c r="Q11" s="26">
        <v>45276</v>
      </c>
      <c r="R11" s="26">
        <v>45306</v>
      </c>
      <c r="S11" s="6">
        <f t="shared" si="4"/>
        <v>-2310</v>
      </c>
      <c r="T11" s="6">
        <f t="shared" si="5"/>
        <v>-693</v>
      </c>
      <c r="U11" s="22"/>
      <c r="V11" s="11"/>
      <c r="W11" s="23" t="s">
        <v>15</v>
      </c>
      <c r="X11" s="24">
        <v>205.58</v>
      </c>
      <c r="Y11" s="26">
        <v>45276</v>
      </c>
      <c r="Z11" s="26">
        <v>45306</v>
      </c>
      <c r="AA11" s="6">
        <f t="shared" si="6"/>
        <v>-2310</v>
      </c>
      <c r="AB11" s="6">
        <f t="shared" si="7"/>
        <v>-693</v>
      </c>
      <c r="AC11" s="22"/>
      <c r="AD11" s="11"/>
      <c r="AE11" s="23" t="s">
        <v>15</v>
      </c>
      <c r="AF11" s="24">
        <v>205.58</v>
      </c>
      <c r="AG11" s="26">
        <v>45276</v>
      </c>
      <c r="AH11" s="26">
        <v>45306</v>
      </c>
      <c r="AI11" s="6">
        <f t="shared" si="8"/>
        <v>-2310</v>
      </c>
      <c r="AJ11" s="6">
        <f t="shared" si="9"/>
        <v>-693</v>
      </c>
      <c r="AK11" s="22"/>
      <c r="AL11" s="11"/>
      <c r="AM11" s="23" t="s">
        <v>15</v>
      </c>
      <c r="AN11" s="24">
        <v>205.58</v>
      </c>
      <c r="AO11" s="26">
        <v>45276</v>
      </c>
      <c r="AP11" s="26">
        <v>45306</v>
      </c>
      <c r="AQ11" s="6">
        <f t="shared" si="10"/>
        <v>-2310</v>
      </c>
      <c r="AR11" s="6">
        <f t="shared" si="11"/>
        <v>-693</v>
      </c>
      <c r="AS11" s="22"/>
      <c r="AT11" s="11"/>
    </row>
    <row r="12" spans="1:52" ht="22.15" hidden="1" customHeight="1">
      <c r="A12"/>
      <c r="B12" s="5" t="s">
        <v>20</v>
      </c>
      <c r="C12" s="23" t="s">
        <v>15</v>
      </c>
      <c r="D12" s="24">
        <v>12</v>
      </c>
      <c r="E12" s="26">
        <v>45256</v>
      </c>
      <c r="F12" s="26">
        <v>45306</v>
      </c>
      <c r="G12" s="6">
        <f t="shared" si="0"/>
        <v>-1386</v>
      </c>
      <c r="H12" s="6">
        <f t="shared" si="1"/>
        <v>-693</v>
      </c>
      <c r="I12" s="23" t="s">
        <v>15</v>
      </c>
      <c r="J12" s="24">
        <v>12</v>
      </c>
      <c r="K12" s="26">
        <v>45256</v>
      </c>
      <c r="L12" s="26">
        <v>45306</v>
      </c>
      <c r="M12" s="6">
        <f t="shared" si="2"/>
        <v>-1386</v>
      </c>
      <c r="N12" s="6">
        <f t="shared" si="3"/>
        <v>-693</v>
      </c>
      <c r="O12" s="23" t="s">
        <v>15</v>
      </c>
      <c r="P12" s="24">
        <v>12</v>
      </c>
      <c r="Q12" s="26">
        <v>45256</v>
      </c>
      <c r="R12" s="26">
        <v>45306</v>
      </c>
      <c r="S12" s="6">
        <f t="shared" si="4"/>
        <v>-1386</v>
      </c>
      <c r="T12" s="6">
        <f t="shared" si="5"/>
        <v>-693</v>
      </c>
      <c r="U12" s="22"/>
      <c r="V12" s="11"/>
      <c r="W12" s="23" t="s">
        <v>15</v>
      </c>
      <c r="X12" s="24">
        <v>12</v>
      </c>
      <c r="Y12" s="26">
        <v>45256</v>
      </c>
      <c r="Z12" s="26">
        <v>45306</v>
      </c>
      <c r="AA12" s="6">
        <f t="shared" si="6"/>
        <v>-1386</v>
      </c>
      <c r="AB12" s="6">
        <f t="shared" si="7"/>
        <v>-693</v>
      </c>
      <c r="AC12" s="22"/>
      <c r="AD12" s="11"/>
      <c r="AE12" s="23" t="s">
        <v>15</v>
      </c>
      <c r="AF12" s="24">
        <v>12</v>
      </c>
      <c r="AG12" s="26">
        <v>45256</v>
      </c>
      <c r="AH12" s="26">
        <v>45306</v>
      </c>
      <c r="AI12" s="6">
        <f t="shared" si="8"/>
        <v>-1386</v>
      </c>
      <c r="AJ12" s="6">
        <f t="shared" si="9"/>
        <v>-693</v>
      </c>
      <c r="AK12" s="22"/>
      <c r="AL12" s="11"/>
      <c r="AM12" s="23" t="s">
        <v>15</v>
      </c>
      <c r="AN12" s="24">
        <v>12</v>
      </c>
      <c r="AO12" s="26">
        <v>45256</v>
      </c>
      <c r="AP12" s="26">
        <v>45306</v>
      </c>
      <c r="AQ12" s="6">
        <f t="shared" si="10"/>
        <v>-1386</v>
      </c>
      <c r="AR12" s="6">
        <f t="shared" si="11"/>
        <v>-693</v>
      </c>
      <c r="AS12" s="22"/>
      <c r="AT12" s="11"/>
    </row>
    <row r="13" spans="1:52" ht="22.15" hidden="1" customHeight="1">
      <c r="A13"/>
      <c r="B13" s="5" t="s">
        <v>21</v>
      </c>
      <c r="C13" s="23" t="s">
        <v>15</v>
      </c>
      <c r="D13" s="24">
        <v>89.266999999999996</v>
      </c>
      <c r="E13" s="26">
        <v>45276</v>
      </c>
      <c r="F13" s="26">
        <v>45306</v>
      </c>
      <c r="G13" s="6">
        <f t="shared" si="0"/>
        <v>-2310</v>
      </c>
      <c r="H13" s="6">
        <f t="shared" si="1"/>
        <v>-693</v>
      </c>
      <c r="I13" s="23" t="s">
        <v>15</v>
      </c>
      <c r="J13" s="24">
        <v>89.266999999999996</v>
      </c>
      <c r="K13" s="26">
        <v>45276</v>
      </c>
      <c r="L13" s="26">
        <v>45306</v>
      </c>
      <c r="M13" s="6">
        <f t="shared" si="2"/>
        <v>-2310</v>
      </c>
      <c r="N13" s="6">
        <f t="shared" si="3"/>
        <v>-693</v>
      </c>
      <c r="O13" s="23" t="s">
        <v>15</v>
      </c>
      <c r="P13" s="24">
        <v>89.266999999999996</v>
      </c>
      <c r="Q13" s="26">
        <v>45276</v>
      </c>
      <c r="R13" s="26">
        <v>45306</v>
      </c>
      <c r="S13" s="6">
        <f t="shared" si="4"/>
        <v>-2310</v>
      </c>
      <c r="T13" s="6">
        <f t="shared" si="5"/>
        <v>-693</v>
      </c>
      <c r="U13" s="22"/>
      <c r="V13" s="11"/>
      <c r="W13" s="23" t="s">
        <v>15</v>
      </c>
      <c r="X13" s="24">
        <v>89.266999999999996</v>
      </c>
      <c r="Y13" s="26">
        <v>45276</v>
      </c>
      <c r="Z13" s="26">
        <v>45306</v>
      </c>
      <c r="AA13" s="6">
        <f t="shared" si="6"/>
        <v>-2310</v>
      </c>
      <c r="AB13" s="6">
        <f t="shared" si="7"/>
        <v>-693</v>
      </c>
      <c r="AC13" s="22"/>
      <c r="AD13" s="11"/>
      <c r="AE13" s="23" t="s">
        <v>15</v>
      </c>
      <c r="AF13" s="24">
        <v>89.266999999999996</v>
      </c>
      <c r="AG13" s="26">
        <v>45276</v>
      </c>
      <c r="AH13" s="26">
        <v>45306</v>
      </c>
      <c r="AI13" s="6">
        <f t="shared" si="8"/>
        <v>-2310</v>
      </c>
      <c r="AJ13" s="6">
        <f t="shared" si="9"/>
        <v>-693</v>
      </c>
      <c r="AK13" s="22"/>
      <c r="AL13" s="11"/>
      <c r="AM13" s="23" t="s">
        <v>15</v>
      </c>
      <c r="AN13" s="24">
        <v>89.266999999999996</v>
      </c>
      <c r="AO13" s="26">
        <v>45276</v>
      </c>
      <c r="AP13" s="26">
        <v>45306</v>
      </c>
      <c r="AQ13" s="6">
        <f t="shared" si="10"/>
        <v>-2310</v>
      </c>
      <c r="AR13" s="6">
        <f t="shared" si="11"/>
        <v>-693</v>
      </c>
      <c r="AS13" s="22"/>
      <c r="AT13" s="11"/>
    </row>
    <row r="14" spans="1:52" ht="22.15" hidden="1" customHeight="1">
      <c r="A14"/>
      <c r="B14" s="5" t="s">
        <v>22</v>
      </c>
      <c r="C14" s="23" t="s">
        <v>15</v>
      </c>
      <c r="D14" s="24">
        <v>57.1</v>
      </c>
      <c r="E14" s="26">
        <v>45229</v>
      </c>
      <c r="F14" s="26">
        <v>45306</v>
      </c>
      <c r="G14" s="6">
        <f t="shared" si="0"/>
        <v>-900</v>
      </c>
      <c r="H14" s="6">
        <f t="shared" si="1"/>
        <v>-693</v>
      </c>
      <c r="I14" s="23" t="s">
        <v>15</v>
      </c>
      <c r="J14" s="24">
        <v>57.1</v>
      </c>
      <c r="K14" s="26">
        <v>45229</v>
      </c>
      <c r="L14" s="26">
        <v>45306</v>
      </c>
      <c r="M14" s="6">
        <f t="shared" si="2"/>
        <v>-900</v>
      </c>
      <c r="N14" s="6">
        <f t="shared" si="3"/>
        <v>-693</v>
      </c>
      <c r="O14" s="23" t="s">
        <v>15</v>
      </c>
      <c r="P14" s="24">
        <v>57.1</v>
      </c>
      <c r="Q14" s="26">
        <v>45229</v>
      </c>
      <c r="R14" s="26">
        <v>45306</v>
      </c>
      <c r="S14" s="6">
        <f t="shared" si="4"/>
        <v>-900</v>
      </c>
      <c r="T14" s="6">
        <f t="shared" si="5"/>
        <v>-693</v>
      </c>
      <c r="U14" s="22" t="s">
        <v>23</v>
      </c>
      <c r="V14" s="11"/>
      <c r="W14" s="23" t="s">
        <v>15</v>
      </c>
      <c r="X14" s="24">
        <v>57.1</v>
      </c>
      <c r="Y14" s="26">
        <v>45229</v>
      </c>
      <c r="Z14" s="26">
        <v>45306</v>
      </c>
      <c r="AA14" s="6">
        <f t="shared" si="6"/>
        <v>-900</v>
      </c>
      <c r="AB14" s="6">
        <f t="shared" si="7"/>
        <v>-693</v>
      </c>
      <c r="AC14" s="22" t="s">
        <v>23</v>
      </c>
      <c r="AD14" s="11"/>
      <c r="AE14" s="23" t="s">
        <v>15</v>
      </c>
      <c r="AF14" s="24">
        <v>57.1</v>
      </c>
      <c r="AG14" s="26">
        <v>45229</v>
      </c>
      <c r="AH14" s="26">
        <v>45306</v>
      </c>
      <c r="AI14" s="6">
        <f t="shared" si="8"/>
        <v>-900</v>
      </c>
      <c r="AJ14" s="6">
        <f t="shared" si="9"/>
        <v>-693</v>
      </c>
      <c r="AK14" s="22" t="s">
        <v>23</v>
      </c>
      <c r="AL14" s="11"/>
      <c r="AM14" s="23" t="s">
        <v>15</v>
      </c>
      <c r="AN14" s="24">
        <v>57.1</v>
      </c>
      <c r="AO14" s="26">
        <v>45229</v>
      </c>
      <c r="AP14" s="26">
        <v>45306</v>
      </c>
      <c r="AQ14" s="6">
        <f t="shared" si="10"/>
        <v>-900</v>
      </c>
      <c r="AR14" s="6">
        <f t="shared" si="11"/>
        <v>-693</v>
      </c>
      <c r="AS14" s="22" t="s">
        <v>23</v>
      </c>
      <c r="AT14" s="11"/>
    </row>
    <row r="15" spans="1:52" ht="22.15" hidden="1" customHeight="1">
      <c r="A15"/>
      <c r="B15" s="5" t="s">
        <v>24</v>
      </c>
      <c r="C15" s="23" t="s">
        <v>15</v>
      </c>
      <c r="D15" s="24">
        <v>159.1</v>
      </c>
      <c r="E15" s="26">
        <v>45262</v>
      </c>
      <c r="F15" s="26">
        <v>45307</v>
      </c>
      <c r="G15" s="6">
        <f t="shared" si="0"/>
        <v>-1537.7777777777778</v>
      </c>
      <c r="H15" s="6">
        <f t="shared" si="1"/>
        <v>-692</v>
      </c>
      <c r="I15" s="23" t="s">
        <v>15</v>
      </c>
      <c r="J15" s="24">
        <v>159.1</v>
      </c>
      <c r="K15" s="26">
        <v>45262</v>
      </c>
      <c r="L15" s="26">
        <v>45307</v>
      </c>
      <c r="M15" s="6">
        <f t="shared" si="2"/>
        <v>-1537.7777777777778</v>
      </c>
      <c r="N15" s="6">
        <f t="shared" si="3"/>
        <v>-692</v>
      </c>
      <c r="O15" s="23" t="s">
        <v>15</v>
      </c>
      <c r="P15" s="24">
        <v>159.1</v>
      </c>
      <c r="Q15" s="26">
        <v>45262</v>
      </c>
      <c r="R15" s="26">
        <v>45307</v>
      </c>
      <c r="S15" s="6">
        <f t="shared" si="4"/>
        <v>-1537.7777777777778</v>
      </c>
      <c r="T15" s="6">
        <f t="shared" si="5"/>
        <v>-692</v>
      </c>
      <c r="U15" s="22"/>
      <c r="V15" s="11"/>
      <c r="W15" s="23" t="s">
        <v>15</v>
      </c>
      <c r="X15" s="24">
        <v>159.1</v>
      </c>
      <c r="Y15" s="26">
        <v>45262</v>
      </c>
      <c r="Z15" s="26">
        <v>45307</v>
      </c>
      <c r="AA15" s="6">
        <f t="shared" si="6"/>
        <v>-1537.7777777777778</v>
      </c>
      <c r="AB15" s="6">
        <f t="shared" si="7"/>
        <v>-692</v>
      </c>
      <c r="AC15" s="22"/>
      <c r="AD15" s="11"/>
      <c r="AE15" s="23" t="s">
        <v>15</v>
      </c>
      <c r="AF15" s="24">
        <v>159.1</v>
      </c>
      <c r="AG15" s="26">
        <v>45262</v>
      </c>
      <c r="AH15" s="26">
        <v>45307</v>
      </c>
      <c r="AI15" s="6">
        <f t="shared" si="8"/>
        <v>-1537.7777777777778</v>
      </c>
      <c r="AJ15" s="6">
        <f t="shared" si="9"/>
        <v>-692</v>
      </c>
      <c r="AK15" s="22"/>
      <c r="AL15" s="11"/>
      <c r="AM15" s="23" t="s">
        <v>15</v>
      </c>
      <c r="AN15" s="24">
        <v>159.1</v>
      </c>
      <c r="AO15" s="26">
        <v>45262</v>
      </c>
      <c r="AP15" s="26">
        <v>45307</v>
      </c>
      <c r="AQ15" s="6">
        <f t="shared" si="10"/>
        <v>-1537.7777777777778</v>
      </c>
      <c r="AR15" s="6">
        <f t="shared" si="11"/>
        <v>-692</v>
      </c>
      <c r="AS15" s="22"/>
      <c r="AT15" s="11"/>
    </row>
    <row r="16" spans="1:52" ht="22.15" hidden="1" customHeight="1">
      <c r="A16"/>
      <c r="B16" s="5" t="s">
        <v>25</v>
      </c>
      <c r="C16" s="23" t="s">
        <v>15</v>
      </c>
      <c r="D16" s="24">
        <v>218.5</v>
      </c>
      <c r="E16" s="26">
        <v>45277</v>
      </c>
      <c r="F16" s="26">
        <v>45307</v>
      </c>
      <c r="G16" s="6">
        <f t="shared" si="0"/>
        <v>-2306.6666666666665</v>
      </c>
      <c r="H16" s="6">
        <f t="shared" si="1"/>
        <v>-692</v>
      </c>
      <c r="I16" s="23" t="s">
        <v>15</v>
      </c>
      <c r="J16" s="24">
        <v>218.5</v>
      </c>
      <c r="K16" s="26">
        <v>45277</v>
      </c>
      <c r="L16" s="26">
        <v>45307</v>
      </c>
      <c r="M16" s="6">
        <f t="shared" si="2"/>
        <v>-2306.6666666666665</v>
      </c>
      <c r="N16" s="6">
        <f t="shared" si="3"/>
        <v>-692</v>
      </c>
      <c r="O16" s="23" t="s">
        <v>15</v>
      </c>
      <c r="P16" s="24">
        <v>218.5</v>
      </c>
      <c r="Q16" s="26">
        <v>45277</v>
      </c>
      <c r="R16" s="26">
        <v>45307</v>
      </c>
      <c r="S16" s="6">
        <f t="shared" si="4"/>
        <v>-2306.6666666666665</v>
      </c>
      <c r="T16" s="6">
        <f t="shared" si="5"/>
        <v>-692</v>
      </c>
      <c r="U16" s="22"/>
      <c r="V16" s="11"/>
      <c r="W16" s="23" t="s">
        <v>15</v>
      </c>
      <c r="X16" s="24">
        <v>218.5</v>
      </c>
      <c r="Y16" s="26">
        <v>45277</v>
      </c>
      <c r="Z16" s="26">
        <v>45307</v>
      </c>
      <c r="AA16" s="6">
        <f t="shared" si="6"/>
        <v>-2306.6666666666665</v>
      </c>
      <c r="AB16" s="6">
        <f t="shared" si="7"/>
        <v>-692</v>
      </c>
      <c r="AC16" s="22"/>
      <c r="AD16" s="11"/>
      <c r="AE16" s="23" t="s">
        <v>15</v>
      </c>
      <c r="AF16" s="24">
        <v>218.5</v>
      </c>
      <c r="AG16" s="26">
        <v>45277</v>
      </c>
      <c r="AH16" s="26">
        <v>45307</v>
      </c>
      <c r="AI16" s="6">
        <f t="shared" si="8"/>
        <v>-2306.6666666666665</v>
      </c>
      <c r="AJ16" s="6">
        <f t="shared" si="9"/>
        <v>-692</v>
      </c>
      <c r="AK16" s="22"/>
      <c r="AL16" s="11"/>
      <c r="AM16" s="23" t="s">
        <v>15</v>
      </c>
      <c r="AN16" s="24">
        <v>218.5</v>
      </c>
      <c r="AO16" s="26">
        <v>45277</v>
      </c>
      <c r="AP16" s="26">
        <v>45307</v>
      </c>
      <c r="AQ16" s="6">
        <f t="shared" si="10"/>
        <v>-2306.6666666666665</v>
      </c>
      <c r="AR16" s="6">
        <f t="shared" si="11"/>
        <v>-692</v>
      </c>
      <c r="AS16" s="22"/>
      <c r="AT16" s="11"/>
    </row>
    <row r="17" spans="1:46" ht="22.15" hidden="1" customHeight="1">
      <c r="A17"/>
      <c r="B17" s="5" t="s">
        <v>26</v>
      </c>
      <c r="C17" s="23" t="s">
        <v>15</v>
      </c>
      <c r="D17" s="24">
        <v>187.7</v>
      </c>
      <c r="E17" s="26">
        <v>45267</v>
      </c>
      <c r="F17" s="26">
        <v>45307</v>
      </c>
      <c r="G17" s="6">
        <f t="shared" si="0"/>
        <v>-1730</v>
      </c>
      <c r="H17" s="6">
        <f t="shared" si="1"/>
        <v>-692</v>
      </c>
      <c r="I17" s="23" t="s">
        <v>15</v>
      </c>
      <c r="J17" s="24">
        <v>187.7</v>
      </c>
      <c r="K17" s="26">
        <v>45267</v>
      </c>
      <c r="L17" s="26">
        <v>45307</v>
      </c>
      <c r="M17" s="6">
        <f t="shared" si="2"/>
        <v>-1730</v>
      </c>
      <c r="N17" s="6">
        <f t="shared" si="3"/>
        <v>-692</v>
      </c>
      <c r="O17" s="23" t="s">
        <v>15</v>
      </c>
      <c r="P17" s="24">
        <v>187.7</v>
      </c>
      <c r="Q17" s="26">
        <v>45267</v>
      </c>
      <c r="R17" s="26">
        <v>45307</v>
      </c>
      <c r="S17" s="6">
        <f t="shared" si="4"/>
        <v>-1730</v>
      </c>
      <c r="T17" s="6">
        <f t="shared" si="5"/>
        <v>-692</v>
      </c>
      <c r="U17" s="22"/>
      <c r="V17" s="11"/>
      <c r="W17" s="23" t="s">
        <v>15</v>
      </c>
      <c r="X17" s="24">
        <v>187.7</v>
      </c>
      <c r="Y17" s="26">
        <v>45267</v>
      </c>
      <c r="Z17" s="26">
        <v>45307</v>
      </c>
      <c r="AA17" s="6">
        <f t="shared" si="6"/>
        <v>-1730</v>
      </c>
      <c r="AB17" s="6">
        <f t="shared" si="7"/>
        <v>-692</v>
      </c>
      <c r="AC17" s="22"/>
      <c r="AD17" s="11"/>
      <c r="AE17" s="23" t="s">
        <v>15</v>
      </c>
      <c r="AF17" s="24">
        <v>187.7</v>
      </c>
      <c r="AG17" s="26">
        <v>45267</v>
      </c>
      <c r="AH17" s="26">
        <v>45307</v>
      </c>
      <c r="AI17" s="6">
        <f t="shared" si="8"/>
        <v>-1730</v>
      </c>
      <c r="AJ17" s="6">
        <f t="shared" si="9"/>
        <v>-692</v>
      </c>
      <c r="AK17" s="22"/>
      <c r="AL17" s="11"/>
      <c r="AM17" s="23" t="s">
        <v>15</v>
      </c>
      <c r="AN17" s="24">
        <v>187.7</v>
      </c>
      <c r="AO17" s="26">
        <v>45267</v>
      </c>
      <c r="AP17" s="26">
        <v>45307</v>
      </c>
      <c r="AQ17" s="6">
        <f t="shared" si="10"/>
        <v>-1730</v>
      </c>
      <c r="AR17" s="6">
        <f t="shared" si="11"/>
        <v>-692</v>
      </c>
      <c r="AS17" s="22"/>
      <c r="AT17" s="11"/>
    </row>
    <row r="18" spans="1:46" ht="22.15" hidden="1" customHeight="1">
      <c r="A18"/>
      <c r="B18" s="5" t="s">
        <v>27</v>
      </c>
      <c r="C18" s="23" t="s">
        <v>8</v>
      </c>
      <c r="D18" s="24">
        <v>77</v>
      </c>
      <c r="E18" s="26">
        <v>45268</v>
      </c>
      <c r="F18" s="26">
        <v>45308</v>
      </c>
      <c r="G18" s="6">
        <f t="shared" si="0"/>
        <v>-1727.4999999999998</v>
      </c>
      <c r="H18" s="6">
        <f t="shared" si="1"/>
        <v>-691</v>
      </c>
      <c r="I18" s="23" t="s">
        <v>8</v>
      </c>
      <c r="J18" s="24">
        <v>77</v>
      </c>
      <c r="K18" s="26">
        <v>45268</v>
      </c>
      <c r="L18" s="26">
        <v>45308</v>
      </c>
      <c r="M18" s="6">
        <f t="shared" si="2"/>
        <v>-1727.4999999999998</v>
      </c>
      <c r="N18" s="6">
        <f t="shared" si="3"/>
        <v>-691</v>
      </c>
      <c r="O18" s="23" t="s">
        <v>8</v>
      </c>
      <c r="P18" s="24">
        <v>77</v>
      </c>
      <c r="Q18" s="26">
        <v>45268</v>
      </c>
      <c r="R18" s="26">
        <v>45308</v>
      </c>
      <c r="S18" s="6">
        <f t="shared" si="4"/>
        <v>-1727.4999999999998</v>
      </c>
      <c r="T18" s="6">
        <f t="shared" si="5"/>
        <v>-691</v>
      </c>
      <c r="U18" s="22"/>
      <c r="V18" s="11"/>
      <c r="W18" s="23" t="s">
        <v>8</v>
      </c>
      <c r="X18" s="24">
        <v>77</v>
      </c>
      <c r="Y18" s="26">
        <v>45268</v>
      </c>
      <c r="Z18" s="26">
        <v>45308</v>
      </c>
      <c r="AA18" s="6">
        <f t="shared" si="6"/>
        <v>-1727.4999999999998</v>
      </c>
      <c r="AB18" s="6">
        <f t="shared" si="7"/>
        <v>-691</v>
      </c>
      <c r="AC18" s="22"/>
      <c r="AD18" s="11"/>
      <c r="AE18" s="23" t="s">
        <v>8</v>
      </c>
      <c r="AF18" s="24">
        <v>77</v>
      </c>
      <c r="AG18" s="26">
        <v>45268</v>
      </c>
      <c r="AH18" s="26">
        <v>45308</v>
      </c>
      <c r="AI18" s="6">
        <f t="shared" si="8"/>
        <v>-1727.4999999999998</v>
      </c>
      <c r="AJ18" s="6">
        <f t="shared" si="9"/>
        <v>-691</v>
      </c>
      <c r="AK18" s="22"/>
      <c r="AL18" s="11"/>
      <c r="AM18" s="23" t="s">
        <v>8</v>
      </c>
      <c r="AN18" s="24">
        <v>77</v>
      </c>
      <c r="AO18" s="26">
        <v>45268</v>
      </c>
      <c r="AP18" s="26">
        <v>45308</v>
      </c>
      <c r="AQ18" s="6">
        <f t="shared" si="10"/>
        <v>-1727.4999999999998</v>
      </c>
      <c r="AR18" s="6">
        <f t="shared" si="11"/>
        <v>-691</v>
      </c>
      <c r="AS18" s="22"/>
      <c r="AT18" s="11"/>
    </row>
    <row r="19" spans="1:46" ht="22.15" hidden="1" customHeight="1">
      <c r="A19"/>
      <c r="B19" s="5" t="s">
        <v>28</v>
      </c>
      <c r="C19" s="23" t="s">
        <v>8</v>
      </c>
      <c r="D19" s="24">
        <v>241</v>
      </c>
      <c r="E19" s="26">
        <v>45268</v>
      </c>
      <c r="F19" s="26">
        <v>45308</v>
      </c>
      <c r="G19" s="6">
        <f t="shared" si="0"/>
        <v>-1727.4999999999998</v>
      </c>
      <c r="H19" s="6">
        <f t="shared" si="1"/>
        <v>-691</v>
      </c>
      <c r="I19" s="23" t="s">
        <v>8</v>
      </c>
      <c r="J19" s="24">
        <v>241</v>
      </c>
      <c r="K19" s="26">
        <v>45268</v>
      </c>
      <c r="L19" s="26">
        <v>45308</v>
      </c>
      <c r="M19" s="6">
        <f t="shared" si="2"/>
        <v>-1727.4999999999998</v>
      </c>
      <c r="N19" s="6">
        <f t="shared" si="3"/>
        <v>-691</v>
      </c>
      <c r="O19" s="23" t="s">
        <v>8</v>
      </c>
      <c r="P19" s="24">
        <v>241</v>
      </c>
      <c r="Q19" s="26">
        <v>45268</v>
      </c>
      <c r="R19" s="26">
        <v>45308</v>
      </c>
      <c r="S19" s="6">
        <f t="shared" si="4"/>
        <v>-1727.4999999999998</v>
      </c>
      <c r="T19" s="6">
        <f t="shared" si="5"/>
        <v>-691</v>
      </c>
      <c r="U19" s="22"/>
      <c r="V19" s="11"/>
      <c r="W19" s="23" t="s">
        <v>8</v>
      </c>
      <c r="X19" s="24">
        <v>241</v>
      </c>
      <c r="Y19" s="26">
        <v>45268</v>
      </c>
      <c r="Z19" s="26">
        <v>45308</v>
      </c>
      <c r="AA19" s="6">
        <f t="shared" si="6"/>
        <v>-1727.4999999999998</v>
      </c>
      <c r="AB19" s="6">
        <f t="shared" si="7"/>
        <v>-691</v>
      </c>
      <c r="AC19" s="22"/>
      <c r="AD19" s="11"/>
      <c r="AE19" s="23" t="s">
        <v>8</v>
      </c>
      <c r="AF19" s="24">
        <v>241</v>
      </c>
      <c r="AG19" s="26">
        <v>45268</v>
      </c>
      <c r="AH19" s="26">
        <v>45308</v>
      </c>
      <c r="AI19" s="6">
        <f t="shared" si="8"/>
        <v>-1727.4999999999998</v>
      </c>
      <c r="AJ19" s="6">
        <f t="shared" si="9"/>
        <v>-691</v>
      </c>
      <c r="AK19" s="22"/>
      <c r="AL19" s="11"/>
      <c r="AM19" s="23" t="s">
        <v>8</v>
      </c>
      <c r="AN19" s="24">
        <v>241</v>
      </c>
      <c r="AO19" s="26">
        <v>45268</v>
      </c>
      <c r="AP19" s="26">
        <v>45308</v>
      </c>
      <c r="AQ19" s="6">
        <f t="shared" si="10"/>
        <v>-1727.4999999999998</v>
      </c>
      <c r="AR19" s="6">
        <f t="shared" si="11"/>
        <v>-691</v>
      </c>
      <c r="AS19" s="22"/>
      <c r="AT19" s="11"/>
    </row>
    <row r="20" spans="1:46" ht="22.15" hidden="1" customHeight="1">
      <c r="A20"/>
      <c r="B20" s="5" t="s">
        <v>29</v>
      </c>
      <c r="C20" s="23" t="s">
        <v>8</v>
      </c>
      <c r="D20" s="24">
        <v>354</v>
      </c>
      <c r="E20" s="26">
        <v>45268</v>
      </c>
      <c r="F20" s="26">
        <v>45308</v>
      </c>
      <c r="G20" s="6">
        <f t="shared" si="0"/>
        <v>-1727.4999999999998</v>
      </c>
      <c r="H20" s="6">
        <f t="shared" si="1"/>
        <v>-691</v>
      </c>
      <c r="I20" s="23" t="s">
        <v>8</v>
      </c>
      <c r="J20" s="24">
        <v>354</v>
      </c>
      <c r="K20" s="26">
        <v>45268</v>
      </c>
      <c r="L20" s="26">
        <v>45308</v>
      </c>
      <c r="M20" s="6">
        <f t="shared" si="2"/>
        <v>-1727.4999999999998</v>
      </c>
      <c r="N20" s="6">
        <f t="shared" si="3"/>
        <v>-691</v>
      </c>
      <c r="O20" s="23" t="s">
        <v>8</v>
      </c>
      <c r="P20" s="24">
        <v>354</v>
      </c>
      <c r="Q20" s="26">
        <v>45268</v>
      </c>
      <c r="R20" s="26">
        <v>45308</v>
      </c>
      <c r="S20" s="6">
        <f t="shared" si="4"/>
        <v>-1727.4999999999998</v>
      </c>
      <c r="T20" s="6">
        <f t="shared" si="5"/>
        <v>-691</v>
      </c>
      <c r="U20" s="22"/>
      <c r="V20" s="11"/>
      <c r="W20" s="23" t="s">
        <v>8</v>
      </c>
      <c r="X20" s="24">
        <v>354</v>
      </c>
      <c r="Y20" s="26">
        <v>45268</v>
      </c>
      <c r="Z20" s="26">
        <v>45308</v>
      </c>
      <c r="AA20" s="6">
        <f t="shared" si="6"/>
        <v>-1727.4999999999998</v>
      </c>
      <c r="AB20" s="6">
        <f t="shared" si="7"/>
        <v>-691</v>
      </c>
      <c r="AC20" s="22"/>
      <c r="AD20" s="11"/>
      <c r="AE20" s="23" t="s">
        <v>8</v>
      </c>
      <c r="AF20" s="24">
        <v>354</v>
      </c>
      <c r="AG20" s="26">
        <v>45268</v>
      </c>
      <c r="AH20" s="26">
        <v>45308</v>
      </c>
      <c r="AI20" s="6">
        <f t="shared" si="8"/>
        <v>-1727.4999999999998</v>
      </c>
      <c r="AJ20" s="6">
        <f t="shared" si="9"/>
        <v>-691</v>
      </c>
      <c r="AK20" s="22"/>
      <c r="AL20" s="11"/>
      <c r="AM20" s="23" t="s">
        <v>8</v>
      </c>
      <c r="AN20" s="24">
        <v>354</v>
      </c>
      <c r="AO20" s="26">
        <v>45268</v>
      </c>
      <c r="AP20" s="26">
        <v>45308</v>
      </c>
      <c r="AQ20" s="6">
        <f t="shared" si="10"/>
        <v>-1727.4999999999998</v>
      </c>
      <c r="AR20" s="6">
        <f t="shared" si="11"/>
        <v>-691</v>
      </c>
      <c r="AS20" s="22"/>
      <c r="AT20" s="11"/>
    </row>
    <row r="21" spans="1:46" ht="22.15" hidden="1" customHeight="1">
      <c r="A21"/>
      <c r="B21" s="5" t="s">
        <v>30</v>
      </c>
      <c r="C21" s="23" t="s">
        <v>8</v>
      </c>
      <c r="D21" s="24">
        <v>3</v>
      </c>
      <c r="E21" s="26">
        <v>45270</v>
      </c>
      <c r="F21" s="26">
        <v>45310</v>
      </c>
      <c r="G21" s="6">
        <f t="shared" si="0"/>
        <v>-1722.5000000000002</v>
      </c>
      <c r="H21" s="6">
        <f t="shared" si="1"/>
        <v>-689</v>
      </c>
      <c r="I21" s="23" t="s">
        <v>8</v>
      </c>
      <c r="J21" s="24">
        <v>3</v>
      </c>
      <c r="K21" s="26">
        <v>45270</v>
      </c>
      <c r="L21" s="26">
        <v>45310</v>
      </c>
      <c r="M21" s="6">
        <f t="shared" si="2"/>
        <v>-1722.5000000000002</v>
      </c>
      <c r="N21" s="6">
        <f t="shared" si="3"/>
        <v>-689</v>
      </c>
      <c r="O21" s="23" t="s">
        <v>8</v>
      </c>
      <c r="P21" s="24">
        <v>3</v>
      </c>
      <c r="Q21" s="26">
        <v>45270</v>
      </c>
      <c r="R21" s="26">
        <v>45310</v>
      </c>
      <c r="S21" s="6">
        <f t="shared" si="4"/>
        <v>-1722.5000000000002</v>
      </c>
      <c r="T21" s="6">
        <f t="shared" si="5"/>
        <v>-689</v>
      </c>
      <c r="U21" s="22"/>
      <c r="V21" s="11"/>
      <c r="W21" s="23" t="s">
        <v>8</v>
      </c>
      <c r="X21" s="24">
        <v>3</v>
      </c>
      <c r="Y21" s="26">
        <v>45270</v>
      </c>
      <c r="Z21" s="26">
        <v>45310</v>
      </c>
      <c r="AA21" s="6">
        <f t="shared" si="6"/>
        <v>-1722.5000000000002</v>
      </c>
      <c r="AB21" s="6">
        <f t="shared" si="7"/>
        <v>-689</v>
      </c>
      <c r="AC21" s="22"/>
      <c r="AD21" s="11"/>
      <c r="AE21" s="23" t="s">
        <v>8</v>
      </c>
      <c r="AF21" s="24">
        <v>3</v>
      </c>
      <c r="AG21" s="26">
        <v>45270</v>
      </c>
      <c r="AH21" s="26">
        <v>45310</v>
      </c>
      <c r="AI21" s="6">
        <f t="shared" si="8"/>
        <v>-1722.5000000000002</v>
      </c>
      <c r="AJ21" s="6">
        <f t="shared" si="9"/>
        <v>-689</v>
      </c>
      <c r="AK21" s="22"/>
      <c r="AL21" s="11"/>
      <c r="AM21" s="23" t="s">
        <v>8</v>
      </c>
      <c r="AN21" s="24">
        <v>3</v>
      </c>
      <c r="AO21" s="26">
        <v>45270</v>
      </c>
      <c r="AP21" s="26">
        <v>45310</v>
      </c>
      <c r="AQ21" s="6">
        <f t="shared" si="10"/>
        <v>-1722.5000000000002</v>
      </c>
      <c r="AR21" s="6">
        <f t="shared" si="11"/>
        <v>-689</v>
      </c>
      <c r="AS21" s="22"/>
      <c r="AT21" s="11"/>
    </row>
    <row r="22" spans="1:46" ht="22.15" hidden="1" customHeight="1">
      <c r="A22"/>
      <c r="B22" s="5" t="s">
        <v>31</v>
      </c>
      <c r="C22" s="23" t="s">
        <v>8</v>
      </c>
      <c r="D22" s="24">
        <v>45</v>
      </c>
      <c r="E22" s="26">
        <v>45268</v>
      </c>
      <c r="F22" s="26">
        <v>45311</v>
      </c>
      <c r="G22" s="6">
        <f t="shared" si="0"/>
        <v>-1600</v>
      </c>
      <c r="H22" s="6">
        <f t="shared" si="1"/>
        <v>-688</v>
      </c>
      <c r="I22" s="23" t="s">
        <v>8</v>
      </c>
      <c r="J22" s="24">
        <v>45</v>
      </c>
      <c r="K22" s="26">
        <v>45268</v>
      </c>
      <c r="L22" s="26">
        <v>45311</v>
      </c>
      <c r="M22" s="6">
        <f t="shared" si="2"/>
        <v>-1600</v>
      </c>
      <c r="N22" s="6">
        <f t="shared" si="3"/>
        <v>-688</v>
      </c>
      <c r="O22" s="23" t="s">
        <v>8</v>
      </c>
      <c r="P22" s="24">
        <v>45</v>
      </c>
      <c r="Q22" s="26">
        <v>45268</v>
      </c>
      <c r="R22" s="26">
        <v>45311</v>
      </c>
      <c r="S22" s="6">
        <f t="shared" si="4"/>
        <v>-1600</v>
      </c>
      <c r="T22" s="6">
        <f t="shared" si="5"/>
        <v>-688</v>
      </c>
      <c r="U22" s="22"/>
      <c r="V22" s="11"/>
      <c r="W22" s="23" t="s">
        <v>8</v>
      </c>
      <c r="X22" s="24">
        <v>45</v>
      </c>
      <c r="Y22" s="26">
        <v>45268</v>
      </c>
      <c r="Z22" s="26">
        <v>45311</v>
      </c>
      <c r="AA22" s="6">
        <f t="shared" si="6"/>
        <v>-1600</v>
      </c>
      <c r="AB22" s="6">
        <f t="shared" si="7"/>
        <v>-688</v>
      </c>
      <c r="AC22" s="22"/>
      <c r="AD22" s="11"/>
      <c r="AE22" s="23" t="s">
        <v>8</v>
      </c>
      <c r="AF22" s="24">
        <v>45</v>
      </c>
      <c r="AG22" s="26">
        <v>45268</v>
      </c>
      <c r="AH22" s="26">
        <v>45311</v>
      </c>
      <c r="AI22" s="6">
        <f t="shared" si="8"/>
        <v>-1600</v>
      </c>
      <c r="AJ22" s="6">
        <f t="shared" si="9"/>
        <v>-688</v>
      </c>
      <c r="AK22" s="22"/>
      <c r="AL22" s="11"/>
      <c r="AM22" s="23" t="s">
        <v>8</v>
      </c>
      <c r="AN22" s="24">
        <v>45</v>
      </c>
      <c r="AO22" s="26">
        <v>45268</v>
      </c>
      <c r="AP22" s="26">
        <v>45311</v>
      </c>
      <c r="AQ22" s="6">
        <f t="shared" si="10"/>
        <v>-1600</v>
      </c>
      <c r="AR22" s="6">
        <f t="shared" si="11"/>
        <v>-688</v>
      </c>
      <c r="AS22" s="22"/>
      <c r="AT22" s="11"/>
    </row>
    <row r="23" spans="1:46" ht="22.15" hidden="1" customHeight="1">
      <c r="A23"/>
      <c r="B23" s="5" t="s">
        <v>32</v>
      </c>
      <c r="C23" s="23" t="s">
        <v>15</v>
      </c>
      <c r="D23" s="24">
        <v>97.5</v>
      </c>
      <c r="E23" s="26">
        <v>45268</v>
      </c>
      <c r="F23" s="26">
        <v>45311</v>
      </c>
      <c r="G23" s="6">
        <f t="shared" si="0"/>
        <v>-1600</v>
      </c>
      <c r="H23" s="6">
        <f t="shared" si="1"/>
        <v>-688</v>
      </c>
      <c r="I23" s="23" t="s">
        <v>15</v>
      </c>
      <c r="J23" s="24">
        <v>97.5</v>
      </c>
      <c r="K23" s="26">
        <v>45268</v>
      </c>
      <c r="L23" s="26">
        <v>45311</v>
      </c>
      <c r="M23" s="6">
        <f t="shared" si="2"/>
        <v>-1600</v>
      </c>
      <c r="N23" s="6">
        <f t="shared" si="3"/>
        <v>-688</v>
      </c>
      <c r="O23" s="23" t="s">
        <v>15</v>
      </c>
      <c r="P23" s="24">
        <v>97.5</v>
      </c>
      <c r="Q23" s="26">
        <v>45268</v>
      </c>
      <c r="R23" s="26">
        <v>45311</v>
      </c>
      <c r="S23" s="6">
        <f t="shared" si="4"/>
        <v>-1600</v>
      </c>
      <c r="T23" s="6">
        <f t="shared" si="5"/>
        <v>-688</v>
      </c>
      <c r="U23" s="22"/>
      <c r="V23" s="11"/>
      <c r="W23" s="23" t="s">
        <v>15</v>
      </c>
      <c r="X23" s="24">
        <v>97.5</v>
      </c>
      <c r="Y23" s="26">
        <v>45268</v>
      </c>
      <c r="Z23" s="26">
        <v>45311</v>
      </c>
      <c r="AA23" s="6">
        <f t="shared" si="6"/>
        <v>-1600</v>
      </c>
      <c r="AB23" s="6">
        <f t="shared" si="7"/>
        <v>-688</v>
      </c>
      <c r="AC23" s="22"/>
      <c r="AD23" s="11"/>
      <c r="AE23" s="23" t="s">
        <v>15</v>
      </c>
      <c r="AF23" s="24">
        <v>97.5</v>
      </c>
      <c r="AG23" s="26">
        <v>45268</v>
      </c>
      <c r="AH23" s="26">
        <v>45311</v>
      </c>
      <c r="AI23" s="6">
        <f t="shared" si="8"/>
        <v>-1600</v>
      </c>
      <c r="AJ23" s="6">
        <f t="shared" si="9"/>
        <v>-688</v>
      </c>
      <c r="AK23" s="22"/>
      <c r="AL23" s="11"/>
      <c r="AM23" s="23" t="s">
        <v>15</v>
      </c>
      <c r="AN23" s="24">
        <v>97.5</v>
      </c>
      <c r="AO23" s="26">
        <v>45268</v>
      </c>
      <c r="AP23" s="26">
        <v>45311</v>
      </c>
      <c r="AQ23" s="6">
        <f t="shared" si="10"/>
        <v>-1600</v>
      </c>
      <c r="AR23" s="6">
        <f t="shared" si="11"/>
        <v>-688</v>
      </c>
      <c r="AS23" s="22"/>
      <c r="AT23" s="11"/>
    </row>
    <row r="24" spans="1:46" ht="22.15" hidden="1" customHeight="1">
      <c r="A24"/>
      <c r="B24" s="5" t="s">
        <v>33</v>
      </c>
      <c r="C24" s="23" t="s">
        <v>15</v>
      </c>
      <c r="D24" s="24">
        <v>85.93</v>
      </c>
      <c r="E24" s="26">
        <v>45276</v>
      </c>
      <c r="F24" s="26">
        <v>45311</v>
      </c>
      <c r="G24" s="6">
        <f t="shared" si="0"/>
        <v>-1965.7142857142858</v>
      </c>
      <c r="H24" s="6">
        <f t="shared" si="1"/>
        <v>-688</v>
      </c>
      <c r="I24" s="23" t="s">
        <v>15</v>
      </c>
      <c r="J24" s="24">
        <v>85.93</v>
      </c>
      <c r="K24" s="26">
        <v>45276</v>
      </c>
      <c r="L24" s="26">
        <v>45311</v>
      </c>
      <c r="M24" s="6">
        <f t="shared" si="2"/>
        <v>-1965.7142857142858</v>
      </c>
      <c r="N24" s="6">
        <f t="shared" si="3"/>
        <v>-688</v>
      </c>
      <c r="O24" s="23" t="s">
        <v>15</v>
      </c>
      <c r="P24" s="24">
        <v>85.93</v>
      </c>
      <c r="Q24" s="26">
        <v>45276</v>
      </c>
      <c r="R24" s="26">
        <v>45311</v>
      </c>
      <c r="S24" s="6">
        <f t="shared" si="4"/>
        <v>-1965.7142857142858</v>
      </c>
      <c r="T24" s="6">
        <f t="shared" si="5"/>
        <v>-688</v>
      </c>
      <c r="U24" s="22"/>
      <c r="V24" s="11"/>
      <c r="W24" s="23" t="s">
        <v>15</v>
      </c>
      <c r="X24" s="24">
        <v>85.93</v>
      </c>
      <c r="Y24" s="26">
        <v>45276</v>
      </c>
      <c r="Z24" s="26">
        <v>45311</v>
      </c>
      <c r="AA24" s="6">
        <f t="shared" si="6"/>
        <v>-1965.7142857142858</v>
      </c>
      <c r="AB24" s="6">
        <f t="shared" si="7"/>
        <v>-688</v>
      </c>
      <c r="AC24" s="22"/>
      <c r="AD24" s="11"/>
      <c r="AE24" s="23" t="s">
        <v>15</v>
      </c>
      <c r="AF24" s="24">
        <v>85.93</v>
      </c>
      <c r="AG24" s="26">
        <v>45276</v>
      </c>
      <c r="AH24" s="26">
        <v>45311</v>
      </c>
      <c r="AI24" s="6">
        <f t="shared" si="8"/>
        <v>-1965.7142857142858</v>
      </c>
      <c r="AJ24" s="6">
        <f t="shared" si="9"/>
        <v>-688</v>
      </c>
      <c r="AK24" s="22"/>
      <c r="AL24" s="11"/>
      <c r="AM24" s="23" t="s">
        <v>15</v>
      </c>
      <c r="AN24" s="24">
        <v>85.93</v>
      </c>
      <c r="AO24" s="26">
        <v>45276</v>
      </c>
      <c r="AP24" s="26">
        <v>45311</v>
      </c>
      <c r="AQ24" s="6">
        <f t="shared" si="10"/>
        <v>-1965.7142857142858</v>
      </c>
      <c r="AR24" s="6">
        <f t="shared" si="11"/>
        <v>-688</v>
      </c>
      <c r="AS24" s="22"/>
      <c r="AT24" s="11"/>
    </row>
    <row r="25" spans="1:46" ht="22.15" hidden="1" customHeight="1">
      <c r="A25"/>
      <c r="B25" s="5" t="s">
        <v>34</v>
      </c>
      <c r="C25" s="23" t="s">
        <v>15</v>
      </c>
      <c r="D25" s="24">
        <v>216.8</v>
      </c>
      <c r="E25" s="26">
        <v>45267</v>
      </c>
      <c r="F25" s="26">
        <v>45312</v>
      </c>
      <c r="G25" s="6">
        <f t="shared" si="0"/>
        <v>-1526.6666666666667</v>
      </c>
      <c r="H25" s="6">
        <f t="shared" si="1"/>
        <v>-687</v>
      </c>
      <c r="I25" s="23" t="s">
        <v>15</v>
      </c>
      <c r="J25" s="24">
        <v>216.8</v>
      </c>
      <c r="K25" s="26">
        <v>45267</v>
      </c>
      <c r="L25" s="26">
        <v>45312</v>
      </c>
      <c r="M25" s="6">
        <f t="shared" si="2"/>
        <v>-1526.6666666666667</v>
      </c>
      <c r="N25" s="6">
        <f t="shared" si="3"/>
        <v>-687</v>
      </c>
      <c r="O25" s="23" t="s">
        <v>15</v>
      </c>
      <c r="P25" s="24">
        <v>216.8</v>
      </c>
      <c r="Q25" s="26">
        <v>45267</v>
      </c>
      <c r="R25" s="26">
        <v>45312</v>
      </c>
      <c r="S25" s="6">
        <f t="shared" si="4"/>
        <v>-1526.6666666666667</v>
      </c>
      <c r="T25" s="6">
        <f t="shared" si="5"/>
        <v>-687</v>
      </c>
      <c r="U25" s="22"/>
      <c r="V25" s="11"/>
      <c r="W25" s="23" t="s">
        <v>15</v>
      </c>
      <c r="X25" s="24">
        <v>216.8</v>
      </c>
      <c r="Y25" s="26">
        <v>45267</v>
      </c>
      <c r="Z25" s="26">
        <v>45312</v>
      </c>
      <c r="AA25" s="6">
        <f t="shared" si="6"/>
        <v>-1526.6666666666667</v>
      </c>
      <c r="AB25" s="6">
        <f t="shared" si="7"/>
        <v>-687</v>
      </c>
      <c r="AC25" s="22"/>
      <c r="AD25" s="11"/>
      <c r="AE25" s="23" t="s">
        <v>15</v>
      </c>
      <c r="AF25" s="24">
        <v>216.8</v>
      </c>
      <c r="AG25" s="26">
        <v>45267</v>
      </c>
      <c r="AH25" s="26">
        <v>45312</v>
      </c>
      <c r="AI25" s="6">
        <f t="shared" si="8"/>
        <v>-1526.6666666666667</v>
      </c>
      <c r="AJ25" s="6">
        <f t="shared" si="9"/>
        <v>-687</v>
      </c>
      <c r="AK25" s="22"/>
      <c r="AL25" s="11"/>
      <c r="AM25" s="23" t="s">
        <v>15</v>
      </c>
      <c r="AN25" s="24">
        <v>216.8</v>
      </c>
      <c r="AO25" s="26">
        <v>45267</v>
      </c>
      <c r="AP25" s="26">
        <v>45312</v>
      </c>
      <c r="AQ25" s="6">
        <f t="shared" si="10"/>
        <v>-1526.6666666666667</v>
      </c>
      <c r="AR25" s="6">
        <f t="shared" si="11"/>
        <v>-687</v>
      </c>
      <c r="AS25" s="22"/>
      <c r="AT25" s="11"/>
    </row>
    <row r="26" spans="1:46" ht="22.15" hidden="1" customHeight="1">
      <c r="A26"/>
      <c r="B26" s="5" t="s">
        <v>35</v>
      </c>
      <c r="C26" s="23" t="s">
        <v>15</v>
      </c>
      <c r="D26" s="24">
        <v>170.9</v>
      </c>
      <c r="E26" s="26">
        <v>45277</v>
      </c>
      <c r="F26" s="26">
        <v>45312</v>
      </c>
      <c r="G26" s="6">
        <f t="shared" si="0"/>
        <v>-1962.8571428571429</v>
      </c>
      <c r="H26" s="6">
        <f t="shared" si="1"/>
        <v>-687</v>
      </c>
      <c r="I26" s="23" t="s">
        <v>15</v>
      </c>
      <c r="J26" s="24">
        <v>170.9</v>
      </c>
      <c r="K26" s="26">
        <v>45277</v>
      </c>
      <c r="L26" s="26">
        <v>45312</v>
      </c>
      <c r="M26" s="6">
        <f t="shared" si="2"/>
        <v>-1962.8571428571429</v>
      </c>
      <c r="N26" s="6">
        <f t="shared" si="3"/>
        <v>-687</v>
      </c>
      <c r="O26" s="23" t="s">
        <v>15</v>
      </c>
      <c r="P26" s="24">
        <v>170.9</v>
      </c>
      <c r="Q26" s="26">
        <v>45277</v>
      </c>
      <c r="R26" s="26">
        <v>45312</v>
      </c>
      <c r="S26" s="6">
        <f t="shared" si="4"/>
        <v>-1962.8571428571429</v>
      </c>
      <c r="T26" s="6">
        <f t="shared" si="5"/>
        <v>-687</v>
      </c>
      <c r="U26" s="22"/>
      <c r="V26" s="11"/>
      <c r="W26" s="23" t="s">
        <v>15</v>
      </c>
      <c r="X26" s="24">
        <v>170.9</v>
      </c>
      <c r="Y26" s="26">
        <v>45277</v>
      </c>
      <c r="Z26" s="26">
        <v>45312</v>
      </c>
      <c r="AA26" s="6">
        <f t="shared" si="6"/>
        <v>-1962.8571428571429</v>
      </c>
      <c r="AB26" s="6">
        <f t="shared" si="7"/>
        <v>-687</v>
      </c>
      <c r="AC26" s="22"/>
      <c r="AD26" s="11"/>
      <c r="AE26" s="23" t="s">
        <v>15</v>
      </c>
      <c r="AF26" s="24">
        <v>170.9</v>
      </c>
      <c r="AG26" s="26">
        <v>45277</v>
      </c>
      <c r="AH26" s="26">
        <v>45312</v>
      </c>
      <c r="AI26" s="6">
        <f t="shared" si="8"/>
        <v>-1962.8571428571429</v>
      </c>
      <c r="AJ26" s="6">
        <f t="shared" si="9"/>
        <v>-687</v>
      </c>
      <c r="AK26" s="22"/>
      <c r="AL26" s="11"/>
      <c r="AM26" s="23" t="s">
        <v>15</v>
      </c>
      <c r="AN26" s="24">
        <v>170.9</v>
      </c>
      <c r="AO26" s="26">
        <v>45277</v>
      </c>
      <c r="AP26" s="26">
        <v>45312</v>
      </c>
      <c r="AQ26" s="6">
        <f t="shared" si="10"/>
        <v>-1962.8571428571429</v>
      </c>
      <c r="AR26" s="6">
        <f t="shared" si="11"/>
        <v>-687</v>
      </c>
      <c r="AS26" s="22"/>
      <c r="AT26" s="11"/>
    </row>
    <row r="27" spans="1:46" ht="22.15" hidden="1" customHeight="1">
      <c r="A27"/>
      <c r="B27" s="5" t="s">
        <v>36</v>
      </c>
      <c r="C27" s="23" t="s">
        <v>15</v>
      </c>
      <c r="D27" s="24">
        <v>159.9</v>
      </c>
      <c r="E27" s="26">
        <v>45277</v>
      </c>
      <c r="F27" s="26">
        <v>45312</v>
      </c>
      <c r="G27" s="6">
        <f t="shared" si="0"/>
        <v>-1962.8571428571429</v>
      </c>
      <c r="H27" s="6">
        <f t="shared" si="1"/>
        <v>-687</v>
      </c>
      <c r="I27" s="23" t="s">
        <v>15</v>
      </c>
      <c r="J27" s="24">
        <v>159.9</v>
      </c>
      <c r="K27" s="26">
        <v>45277</v>
      </c>
      <c r="L27" s="26">
        <v>45312</v>
      </c>
      <c r="M27" s="6">
        <f t="shared" si="2"/>
        <v>-1962.8571428571429</v>
      </c>
      <c r="N27" s="6">
        <f t="shared" si="3"/>
        <v>-687</v>
      </c>
      <c r="O27" s="23" t="s">
        <v>15</v>
      </c>
      <c r="P27" s="24">
        <v>159.9</v>
      </c>
      <c r="Q27" s="26">
        <v>45277</v>
      </c>
      <c r="R27" s="26">
        <v>45312</v>
      </c>
      <c r="S27" s="6">
        <f t="shared" si="4"/>
        <v>-1962.8571428571429</v>
      </c>
      <c r="T27" s="6">
        <f t="shared" si="5"/>
        <v>-687</v>
      </c>
      <c r="U27" s="22"/>
      <c r="V27" s="11"/>
      <c r="W27" s="23" t="s">
        <v>15</v>
      </c>
      <c r="X27" s="24">
        <v>159.9</v>
      </c>
      <c r="Y27" s="26">
        <v>45277</v>
      </c>
      <c r="Z27" s="26">
        <v>45312</v>
      </c>
      <c r="AA27" s="6">
        <f t="shared" si="6"/>
        <v>-1962.8571428571429</v>
      </c>
      <c r="AB27" s="6">
        <f t="shared" si="7"/>
        <v>-687</v>
      </c>
      <c r="AC27" s="22"/>
      <c r="AD27" s="11"/>
      <c r="AE27" s="23" t="s">
        <v>15</v>
      </c>
      <c r="AF27" s="24">
        <v>159.9</v>
      </c>
      <c r="AG27" s="26">
        <v>45277</v>
      </c>
      <c r="AH27" s="26">
        <v>45312</v>
      </c>
      <c r="AI27" s="6">
        <f t="shared" si="8"/>
        <v>-1962.8571428571429</v>
      </c>
      <c r="AJ27" s="6">
        <f t="shared" si="9"/>
        <v>-687</v>
      </c>
      <c r="AK27" s="22"/>
      <c r="AL27" s="11"/>
      <c r="AM27" s="23" t="s">
        <v>15</v>
      </c>
      <c r="AN27" s="24">
        <v>159.9</v>
      </c>
      <c r="AO27" s="26">
        <v>45277</v>
      </c>
      <c r="AP27" s="26">
        <v>45312</v>
      </c>
      <c r="AQ27" s="6">
        <f t="shared" si="10"/>
        <v>-1962.8571428571429</v>
      </c>
      <c r="AR27" s="6">
        <f t="shared" si="11"/>
        <v>-687</v>
      </c>
      <c r="AS27" s="22"/>
      <c r="AT27" s="11"/>
    </row>
    <row r="28" spans="1:46" ht="22.15" hidden="1" customHeight="1">
      <c r="A28"/>
      <c r="B28" s="5" t="s">
        <v>37</v>
      </c>
      <c r="C28" s="23" t="s">
        <v>15</v>
      </c>
      <c r="D28" s="24">
        <v>358.6</v>
      </c>
      <c r="E28" s="26">
        <v>45272</v>
      </c>
      <c r="F28" s="26">
        <v>45312</v>
      </c>
      <c r="G28" s="6">
        <f t="shared" si="0"/>
        <v>-1717.5</v>
      </c>
      <c r="H28" s="6">
        <f t="shared" si="1"/>
        <v>-687</v>
      </c>
      <c r="I28" s="23" t="s">
        <v>15</v>
      </c>
      <c r="J28" s="24">
        <v>358.6</v>
      </c>
      <c r="K28" s="26">
        <v>45272</v>
      </c>
      <c r="L28" s="26">
        <v>45312</v>
      </c>
      <c r="M28" s="6">
        <f t="shared" si="2"/>
        <v>-1717.5</v>
      </c>
      <c r="N28" s="6">
        <f t="shared" si="3"/>
        <v>-687</v>
      </c>
      <c r="O28" s="23" t="s">
        <v>15</v>
      </c>
      <c r="P28" s="24">
        <v>358.6</v>
      </c>
      <c r="Q28" s="26">
        <v>45272</v>
      </c>
      <c r="R28" s="26">
        <v>45312</v>
      </c>
      <c r="S28" s="6">
        <f t="shared" si="4"/>
        <v>-1717.5</v>
      </c>
      <c r="T28" s="6">
        <f t="shared" si="5"/>
        <v>-687</v>
      </c>
      <c r="U28" s="22"/>
      <c r="V28" s="11"/>
      <c r="W28" s="23" t="s">
        <v>15</v>
      </c>
      <c r="X28" s="24">
        <v>358.6</v>
      </c>
      <c r="Y28" s="26">
        <v>45272</v>
      </c>
      <c r="Z28" s="26">
        <v>45312</v>
      </c>
      <c r="AA28" s="6">
        <f t="shared" si="6"/>
        <v>-1717.5</v>
      </c>
      <c r="AB28" s="6">
        <f t="shared" si="7"/>
        <v>-687</v>
      </c>
      <c r="AC28" s="22"/>
      <c r="AD28" s="11"/>
      <c r="AE28" s="23" t="s">
        <v>15</v>
      </c>
      <c r="AF28" s="24">
        <v>358.6</v>
      </c>
      <c r="AG28" s="26">
        <v>45272</v>
      </c>
      <c r="AH28" s="26">
        <v>45312</v>
      </c>
      <c r="AI28" s="6">
        <f t="shared" si="8"/>
        <v>-1717.5</v>
      </c>
      <c r="AJ28" s="6">
        <f t="shared" si="9"/>
        <v>-687</v>
      </c>
      <c r="AK28" s="22"/>
      <c r="AL28" s="11"/>
      <c r="AM28" s="23" t="s">
        <v>15</v>
      </c>
      <c r="AN28" s="24">
        <v>358.6</v>
      </c>
      <c r="AO28" s="26">
        <v>45272</v>
      </c>
      <c r="AP28" s="26">
        <v>45312</v>
      </c>
      <c r="AQ28" s="6">
        <f t="shared" si="10"/>
        <v>-1717.5</v>
      </c>
      <c r="AR28" s="6">
        <f t="shared" si="11"/>
        <v>-687</v>
      </c>
      <c r="AS28" s="22"/>
      <c r="AT28" s="11"/>
    </row>
    <row r="29" spans="1:46" ht="22.15" hidden="1" customHeight="1">
      <c r="A29"/>
      <c r="B29" s="5" t="s">
        <v>38</v>
      </c>
      <c r="C29" s="23" t="s">
        <v>8</v>
      </c>
      <c r="D29" s="24">
        <v>94</v>
      </c>
      <c r="E29" s="26">
        <v>45268</v>
      </c>
      <c r="F29" s="26">
        <v>45313</v>
      </c>
      <c r="G29" s="6">
        <f t="shared" si="0"/>
        <v>-1524.4444444444443</v>
      </c>
      <c r="H29" s="6">
        <f t="shared" si="1"/>
        <v>-686</v>
      </c>
      <c r="I29" s="23" t="s">
        <v>8</v>
      </c>
      <c r="J29" s="24">
        <v>94</v>
      </c>
      <c r="K29" s="26">
        <v>45268</v>
      </c>
      <c r="L29" s="26">
        <v>45313</v>
      </c>
      <c r="M29" s="6">
        <f t="shared" si="2"/>
        <v>-1524.4444444444443</v>
      </c>
      <c r="N29" s="6">
        <f t="shared" si="3"/>
        <v>-686</v>
      </c>
      <c r="O29" s="23" t="s">
        <v>8</v>
      </c>
      <c r="P29" s="24">
        <v>94</v>
      </c>
      <c r="Q29" s="26">
        <v>45268</v>
      </c>
      <c r="R29" s="26">
        <v>45313</v>
      </c>
      <c r="S29" s="6">
        <f t="shared" si="4"/>
        <v>-1524.4444444444443</v>
      </c>
      <c r="T29" s="6">
        <f t="shared" si="5"/>
        <v>-686</v>
      </c>
      <c r="U29" s="22"/>
      <c r="V29" s="11"/>
      <c r="W29" s="23" t="s">
        <v>8</v>
      </c>
      <c r="X29" s="24">
        <v>94</v>
      </c>
      <c r="Y29" s="26">
        <v>45268</v>
      </c>
      <c r="Z29" s="26">
        <v>45313</v>
      </c>
      <c r="AA29" s="6">
        <f t="shared" si="6"/>
        <v>-1524.4444444444443</v>
      </c>
      <c r="AB29" s="6">
        <f t="shared" si="7"/>
        <v>-686</v>
      </c>
      <c r="AC29" s="22"/>
      <c r="AD29" s="11"/>
      <c r="AE29" s="23" t="s">
        <v>8</v>
      </c>
      <c r="AF29" s="24">
        <v>94</v>
      </c>
      <c r="AG29" s="26">
        <v>45268</v>
      </c>
      <c r="AH29" s="26">
        <v>45313</v>
      </c>
      <c r="AI29" s="6">
        <f t="shared" si="8"/>
        <v>-1524.4444444444443</v>
      </c>
      <c r="AJ29" s="6">
        <f t="shared" si="9"/>
        <v>-686</v>
      </c>
      <c r="AK29" s="22"/>
      <c r="AL29" s="11"/>
      <c r="AM29" s="23" t="s">
        <v>8</v>
      </c>
      <c r="AN29" s="24">
        <v>94</v>
      </c>
      <c r="AO29" s="26">
        <v>45268</v>
      </c>
      <c r="AP29" s="26">
        <v>45313</v>
      </c>
      <c r="AQ29" s="6">
        <f t="shared" si="10"/>
        <v>-1524.4444444444443</v>
      </c>
      <c r="AR29" s="6">
        <f t="shared" si="11"/>
        <v>-686</v>
      </c>
      <c r="AS29" s="22"/>
      <c r="AT29" s="11"/>
    </row>
    <row r="30" spans="1:46" ht="22.15" hidden="1" customHeight="1">
      <c r="A30"/>
      <c r="B30" s="5" t="s">
        <v>39</v>
      </c>
      <c r="C30" s="23" t="s">
        <v>8</v>
      </c>
      <c r="D30" s="24">
        <v>134</v>
      </c>
      <c r="E30" s="26">
        <v>45268</v>
      </c>
      <c r="F30" s="26">
        <v>45313</v>
      </c>
      <c r="G30" s="6">
        <f t="shared" si="0"/>
        <v>-1524.4444444444443</v>
      </c>
      <c r="H30" s="6">
        <f t="shared" si="1"/>
        <v>-686</v>
      </c>
      <c r="I30" s="23" t="s">
        <v>8</v>
      </c>
      <c r="J30" s="24">
        <v>134</v>
      </c>
      <c r="K30" s="26">
        <v>45268</v>
      </c>
      <c r="L30" s="26">
        <v>45313</v>
      </c>
      <c r="M30" s="6">
        <f t="shared" si="2"/>
        <v>-1524.4444444444443</v>
      </c>
      <c r="N30" s="6">
        <f t="shared" si="3"/>
        <v>-686</v>
      </c>
      <c r="O30" s="23" t="s">
        <v>8</v>
      </c>
      <c r="P30" s="24">
        <v>134</v>
      </c>
      <c r="Q30" s="26">
        <v>45268</v>
      </c>
      <c r="R30" s="26">
        <v>45313</v>
      </c>
      <c r="S30" s="6">
        <f t="shared" si="4"/>
        <v>-1524.4444444444443</v>
      </c>
      <c r="T30" s="6">
        <f t="shared" si="5"/>
        <v>-686</v>
      </c>
      <c r="U30" s="22"/>
      <c r="V30" s="11"/>
      <c r="W30" s="23" t="s">
        <v>8</v>
      </c>
      <c r="X30" s="24">
        <v>134</v>
      </c>
      <c r="Y30" s="26">
        <v>45268</v>
      </c>
      <c r="Z30" s="26">
        <v>45313</v>
      </c>
      <c r="AA30" s="6">
        <f t="shared" si="6"/>
        <v>-1524.4444444444443</v>
      </c>
      <c r="AB30" s="6">
        <f t="shared" si="7"/>
        <v>-686</v>
      </c>
      <c r="AC30" s="22"/>
      <c r="AD30" s="11"/>
      <c r="AE30" s="23" t="s">
        <v>8</v>
      </c>
      <c r="AF30" s="24">
        <v>134</v>
      </c>
      <c r="AG30" s="26">
        <v>45268</v>
      </c>
      <c r="AH30" s="26">
        <v>45313</v>
      </c>
      <c r="AI30" s="6">
        <f t="shared" si="8"/>
        <v>-1524.4444444444443</v>
      </c>
      <c r="AJ30" s="6">
        <f t="shared" si="9"/>
        <v>-686</v>
      </c>
      <c r="AK30" s="22"/>
      <c r="AL30" s="11"/>
      <c r="AM30" s="23" t="s">
        <v>8</v>
      </c>
      <c r="AN30" s="24">
        <v>134</v>
      </c>
      <c r="AO30" s="26">
        <v>45268</v>
      </c>
      <c r="AP30" s="26">
        <v>45313</v>
      </c>
      <c r="AQ30" s="6">
        <f t="shared" si="10"/>
        <v>-1524.4444444444443</v>
      </c>
      <c r="AR30" s="6">
        <f t="shared" si="11"/>
        <v>-686</v>
      </c>
      <c r="AS30" s="22"/>
      <c r="AT30" s="11"/>
    </row>
    <row r="31" spans="1:46" ht="22.15" hidden="1" customHeight="1">
      <c r="A31"/>
      <c r="B31" s="5" t="s">
        <v>40</v>
      </c>
      <c r="C31" s="23" t="s">
        <v>8</v>
      </c>
      <c r="D31" s="24">
        <v>2</v>
      </c>
      <c r="E31" s="26">
        <v>45268</v>
      </c>
      <c r="F31" s="26">
        <v>45313</v>
      </c>
      <c r="G31" s="6">
        <f t="shared" si="0"/>
        <v>-1524.4444444444443</v>
      </c>
      <c r="H31" s="6">
        <f t="shared" si="1"/>
        <v>-686</v>
      </c>
      <c r="I31" s="23" t="s">
        <v>8</v>
      </c>
      <c r="J31" s="24">
        <v>2</v>
      </c>
      <c r="K31" s="26">
        <v>45268</v>
      </c>
      <c r="L31" s="26">
        <v>45313</v>
      </c>
      <c r="M31" s="6">
        <f t="shared" si="2"/>
        <v>-1524.4444444444443</v>
      </c>
      <c r="N31" s="6">
        <f t="shared" si="3"/>
        <v>-686</v>
      </c>
      <c r="O31" s="23" t="s">
        <v>8</v>
      </c>
      <c r="P31" s="24">
        <v>2</v>
      </c>
      <c r="Q31" s="26">
        <v>45268</v>
      </c>
      <c r="R31" s="26">
        <v>45313</v>
      </c>
      <c r="S31" s="6">
        <f t="shared" si="4"/>
        <v>-1524.4444444444443</v>
      </c>
      <c r="T31" s="6">
        <f t="shared" si="5"/>
        <v>-686</v>
      </c>
      <c r="U31" s="22"/>
      <c r="V31" s="11"/>
      <c r="W31" s="23" t="s">
        <v>8</v>
      </c>
      <c r="X31" s="24">
        <v>2</v>
      </c>
      <c r="Y31" s="26">
        <v>45268</v>
      </c>
      <c r="Z31" s="26">
        <v>45313</v>
      </c>
      <c r="AA31" s="6">
        <f t="shared" si="6"/>
        <v>-1524.4444444444443</v>
      </c>
      <c r="AB31" s="6">
        <f t="shared" si="7"/>
        <v>-686</v>
      </c>
      <c r="AC31" s="22"/>
      <c r="AD31" s="11"/>
      <c r="AE31" s="23" t="s">
        <v>8</v>
      </c>
      <c r="AF31" s="24">
        <v>2</v>
      </c>
      <c r="AG31" s="26">
        <v>45268</v>
      </c>
      <c r="AH31" s="26">
        <v>45313</v>
      </c>
      <c r="AI31" s="6">
        <f t="shared" si="8"/>
        <v>-1524.4444444444443</v>
      </c>
      <c r="AJ31" s="6">
        <f t="shared" si="9"/>
        <v>-686</v>
      </c>
      <c r="AK31" s="22"/>
      <c r="AL31" s="11"/>
      <c r="AM31" s="23" t="s">
        <v>8</v>
      </c>
      <c r="AN31" s="24">
        <v>2</v>
      </c>
      <c r="AO31" s="26">
        <v>45268</v>
      </c>
      <c r="AP31" s="26">
        <v>45313</v>
      </c>
      <c r="AQ31" s="6">
        <f t="shared" si="10"/>
        <v>-1524.4444444444443</v>
      </c>
      <c r="AR31" s="6">
        <f t="shared" si="11"/>
        <v>-686</v>
      </c>
      <c r="AS31" s="22"/>
      <c r="AT31" s="11"/>
    </row>
    <row r="32" spans="1:46" ht="22.15" hidden="1" customHeight="1">
      <c r="A32"/>
      <c r="B32" s="5" t="s">
        <v>41</v>
      </c>
      <c r="C32" s="23" t="s">
        <v>15</v>
      </c>
      <c r="D32" s="24">
        <v>273.39999999999998</v>
      </c>
      <c r="E32" s="26">
        <v>45268</v>
      </c>
      <c r="F32" s="26">
        <v>45313</v>
      </c>
      <c r="G32" s="6">
        <f t="shared" si="0"/>
        <v>-1524.4444444444443</v>
      </c>
      <c r="H32" s="6">
        <f t="shared" si="1"/>
        <v>-686</v>
      </c>
      <c r="I32" s="23" t="s">
        <v>15</v>
      </c>
      <c r="J32" s="24">
        <v>273.39999999999998</v>
      </c>
      <c r="K32" s="26">
        <v>45268</v>
      </c>
      <c r="L32" s="26">
        <v>45313</v>
      </c>
      <c r="M32" s="6">
        <f t="shared" si="2"/>
        <v>-1524.4444444444443</v>
      </c>
      <c r="N32" s="6">
        <f t="shared" si="3"/>
        <v>-686</v>
      </c>
      <c r="O32" s="23" t="s">
        <v>15</v>
      </c>
      <c r="P32" s="24">
        <v>273.39999999999998</v>
      </c>
      <c r="Q32" s="26">
        <v>45268</v>
      </c>
      <c r="R32" s="26">
        <v>45313</v>
      </c>
      <c r="S32" s="6">
        <f t="shared" si="4"/>
        <v>-1524.4444444444443</v>
      </c>
      <c r="T32" s="6">
        <f t="shared" si="5"/>
        <v>-686</v>
      </c>
      <c r="U32" s="22"/>
      <c r="V32" s="11"/>
      <c r="W32" s="23" t="s">
        <v>15</v>
      </c>
      <c r="X32" s="24">
        <v>273.39999999999998</v>
      </c>
      <c r="Y32" s="26">
        <v>45268</v>
      </c>
      <c r="Z32" s="26">
        <v>45313</v>
      </c>
      <c r="AA32" s="6">
        <f t="shared" si="6"/>
        <v>-1524.4444444444443</v>
      </c>
      <c r="AB32" s="6">
        <f t="shared" si="7"/>
        <v>-686</v>
      </c>
      <c r="AC32" s="22"/>
      <c r="AD32" s="11"/>
      <c r="AE32" s="23" t="s">
        <v>15</v>
      </c>
      <c r="AF32" s="24">
        <v>273.39999999999998</v>
      </c>
      <c r="AG32" s="26">
        <v>45268</v>
      </c>
      <c r="AH32" s="26">
        <v>45313</v>
      </c>
      <c r="AI32" s="6">
        <f t="shared" si="8"/>
        <v>-1524.4444444444443</v>
      </c>
      <c r="AJ32" s="6">
        <f t="shared" si="9"/>
        <v>-686</v>
      </c>
      <c r="AK32" s="22"/>
      <c r="AL32" s="11"/>
      <c r="AM32" s="23" t="s">
        <v>15</v>
      </c>
      <c r="AN32" s="24">
        <v>273.39999999999998</v>
      </c>
      <c r="AO32" s="26">
        <v>45268</v>
      </c>
      <c r="AP32" s="26">
        <v>45313</v>
      </c>
      <c r="AQ32" s="6">
        <f t="shared" si="10"/>
        <v>-1524.4444444444443</v>
      </c>
      <c r="AR32" s="6">
        <f t="shared" si="11"/>
        <v>-686</v>
      </c>
      <c r="AS32" s="22"/>
      <c r="AT32" s="11"/>
    </row>
    <row r="33" spans="1:46" ht="22.15" hidden="1" customHeight="1">
      <c r="A33"/>
      <c r="B33" s="5" t="s">
        <v>42</v>
      </c>
      <c r="C33" s="23" t="s">
        <v>15</v>
      </c>
      <c r="D33" s="24">
        <v>160.19999999999999</v>
      </c>
      <c r="E33" s="26">
        <v>45274</v>
      </c>
      <c r="F33" s="26">
        <v>45314</v>
      </c>
      <c r="G33" s="6">
        <f t="shared" si="0"/>
        <v>-1712.5</v>
      </c>
      <c r="H33" s="6">
        <f t="shared" si="1"/>
        <v>-685</v>
      </c>
      <c r="I33" s="23" t="s">
        <v>15</v>
      </c>
      <c r="J33" s="24">
        <v>160.19999999999999</v>
      </c>
      <c r="K33" s="26">
        <v>45274</v>
      </c>
      <c r="L33" s="26">
        <v>45314</v>
      </c>
      <c r="M33" s="6">
        <f t="shared" si="2"/>
        <v>-1712.5</v>
      </c>
      <c r="N33" s="6">
        <f t="shared" si="3"/>
        <v>-685</v>
      </c>
      <c r="O33" s="23" t="s">
        <v>15</v>
      </c>
      <c r="P33" s="24">
        <v>160.19999999999999</v>
      </c>
      <c r="Q33" s="26">
        <v>45274</v>
      </c>
      <c r="R33" s="26">
        <v>45314</v>
      </c>
      <c r="S33" s="6">
        <f t="shared" si="4"/>
        <v>-1712.5</v>
      </c>
      <c r="T33" s="6">
        <f t="shared" si="5"/>
        <v>-685</v>
      </c>
      <c r="U33" s="22"/>
      <c r="V33" s="11"/>
      <c r="W33" s="23" t="s">
        <v>15</v>
      </c>
      <c r="X33" s="24">
        <v>160.19999999999999</v>
      </c>
      <c r="Y33" s="26">
        <v>45274</v>
      </c>
      <c r="Z33" s="26">
        <v>45314</v>
      </c>
      <c r="AA33" s="6">
        <f t="shared" si="6"/>
        <v>-1712.5</v>
      </c>
      <c r="AB33" s="6">
        <f t="shared" si="7"/>
        <v>-685</v>
      </c>
      <c r="AC33" s="22"/>
      <c r="AD33" s="11"/>
      <c r="AE33" s="23" t="s">
        <v>15</v>
      </c>
      <c r="AF33" s="24">
        <v>160.19999999999999</v>
      </c>
      <c r="AG33" s="26">
        <v>45274</v>
      </c>
      <c r="AH33" s="26">
        <v>45314</v>
      </c>
      <c r="AI33" s="6">
        <f t="shared" si="8"/>
        <v>-1712.5</v>
      </c>
      <c r="AJ33" s="6">
        <f t="shared" si="9"/>
        <v>-685</v>
      </c>
      <c r="AK33" s="22"/>
      <c r="AL33" s="11"/>
      <c r="AM33" s="23" t="s">
        <v>15</v>
      </c>
      <c r="AN33" s="24">
        <v>160.19999999999999</v>
      </c>
      <c r="AO33" s="26">
        <v>45274</v>
      </c>
      <c r="AP33" s="26">
        <v>45314</v>
      </c>
      <c r="AQ33" s="6">
        <f t="shared" si="10"/>
        <v>-1712.5</v>
      </c>
      <c r="AR33" s="6">
        <f t="shared" si="11"/>
        <v>-685</v>
      </c>
      <c r="AS33" s="22"/>
      <c r="AT33" s="11"/>
    </row>
    <row r="34" spans="1:46" ht="22.15" hidden="1" customHeight="1">
      <c r="A34"/>
      <c r="B34" s="5" t="s">
        <v>43</v>
      </c>
      <c r="C34" s="23" t="s">
        <v>15</v>
      </c>
      <c r="D34" s="24">
        <v>351.4</v>
      </c>
      <c r="E34" s="26">
        <v>45275</v>
      </c>
      <c r="F34" s="26">
        <v>45315</v>
      </c>
      <c r="G34" s="6">
        <f t="shared" si="0"/>
        <v>-1710.0000000000002</v>
      </c>
      <c r="H34" s="6">
        <f t="shared" si="1"/>
        <v>-684</v>
      </c>
      <c r="I34" s="23" t="s">
        <v>15</v>
      </c>
      <c r="J34" s="24">
        <v>351.4</v>
      </c>
      <c r="K34" s="26">
        <v>45275</v>
      </c>
      <c r="L34" s="26">
        <v>45315</v>
      </c>
      <c r="M34" s="6">
        <f t="shared" si="2"/>
        <v>-1710.0000000000002</v>
      </c>
      <c r="N34" s="6">
        <f t="shared" si="3"/>
        <v>-684</v>
      </c>
      <c r="O34" s="23" t="s">
        <v>15</v>
      </c>
      <c r="P34" s="24">
        <v>351.4</v>
      </c>
      <c r="Q34" s="26">
        <v>45275</v>
      </c>
      <c r="R34" s="26">
        <v>45315</v>
      </c>
      <c r="S34" s="6">
        <f t="shared" si="4"/>
        <v>-1710.0000000000002</v>
      </c>
      <c r="T34" s="6">
        <f t="shared" si="5"/>
        <v>-684</v>
      </c>
      <c r="U34" s="22"/>
      <c r="V34" s="11"/>
      <c r="W34" s="23" t="s">
        <v>15</v>
      </c>
      <c r="X34" s="24">
        <v>351.4</v>
      </c>
      <c r="Y34" s="26">
        <v>45275</v>
      </c>
      <c r="Z34" s="26">
        <v>45315</v>
      </c>
      <c r="AA34" s="6">
        <f t="shared" si="6"/>
        <v>-1710.0000000000002</v>
      </c>
      <c r="AB34" s="6">
        <f t="shared" si="7"/>
        <v>-684</v>
      </c>
      <c r="AC34" s="22"/>
      <c r="AD34" s="11"/>
      <c r="AE34" s="23" t="s">
        <v>15</v>
      </c>
      <c r="AF34" s="24">
        <v>351.4</v>
      </c>
      <c r="AG34" s="26">
        <v>45275</v>
      </c>
      <c r="AH34" s="26">
        <v>45315</v>
      </c>
      <c r="AI34" s="6">
        <f t="shared" si="8"/>
        <v>-1710.0000000000002</v>
      </c>
      <c r="AJ34" s="6">
        <f t="shared" si="9"/>
        <v>-684</v>
      </c>
      <c r="AK34" s="22"/>
      <c r="AL34" s="11"/>
      <c r="AM34" s="23" t="s">
        <v>15</v>
      </c>
      <c r="AN34" s="24">
        <v>351.4</v>
      </c>
      <c r="AO34" s="26">
        <v>45275</v>
      </c>
      <c r="AP34" s="26">
        <v>45315</v>
      </c>
      <c r="AQ34" s="6">
        <f t="shared" si="10"/>
        <v>-1710.0000000000002</v>
      </c>
      <c r="AR34" s="6">
        <f t="shared" si="11"/>
        <v>-684</v>
      </c>
      <c r="AS34" s="22"/>
      <c r="AT34" s="11"/>
    </row>
    <row r="35" spans="1:46" ht="22.15" hidden="1" customHeight="1">
      <c r="A35"/>
      <c r="B35" s="5" t="s">
        <v>44</v>
      </c>
      <c r="C35" s="23" t="s">
        <v>15</v>
      </c>
      <c r="D35" s="24">
        <v>19.004000000000001</v>
      </c>
      <c r="E35" s="26">
        <v>45275</v>
      </c>
      <c r="F35" s="26">
        <v>45315</v>
      </c>
      <c r="G35" s="6">
        <f t="shared" si="0"/>
        <v>-1710.0000000000002</v>
      </c>
      <c r="H35" s="6">
        <f t="shared" si="1"/>
        <v>-684</v>
      </c>
      <c r="I35" s="23" t="s">
        <v>15</v>
      </c>
      <c r="J35" s="24">
        <v>19.004000000000001</v>
      </c>
      <c r="K35" s="26">
        <v>45275</v>
      </c>
      <c r="L35" s="26">
        <v>45315</v>
      </c>
      <c r="M35" s="6">
        <f t="shared" si="2"/>
        <v>-1710.0000000000002</v>
      </c>
      <c r="N35" s="6">
        <f t="shared" si="3"/>
        <v>-684</v>
      </c>
      <c r="O35" s="23" t="s">
        <v>15</v>
      </c>
      <c r="P35" s="24">
        <v>19.004000000000001</v>
      </c>
      <c r="Q35" s="26">
        <v>45275</v>
      </c>
      <c r="R35" s="26">
        <v>45315</v>
      </c>
      <c r="S35" s="6">
        <f t="shared" si="4"/>
        <v>-1710.0000000000002</v>
      </c>
      <c r="T35" s="6">
        <f t="shared" si="5"/>
        <v>-684</v>
      </c>
      <c r="U35" s="22"/>
      <c r="V35" s="11"/>
      <c r="W35" s="23" t="s">
        <v>15</v>
      </c>
      <c r="X35" s="24">
        <v>19.004000000000001</v>
      </c>
      <c r="Y35" s="26">
        <v>45275</v>
      </c>
      <c r="Z35" s="26">
        <v>45315</v>
      </c>
      <c r="AA35" s="6">
        <f t="shared" si="6"/>
        <v>-1710.0000000000002</v>
      </c>
      <c r="AB35" s="6">
        <f t="shared" si="7"/>
        <v>-684</v>
      </c>
      <c r="AC35" s="22"/>
      <c r="AD35" s="11"/>
      <c r="AE35" s="23" t="s">
        <v>15</v>
      </c>
      <c r="AF35" s="24">
        <v>19.004000000000001</v>
      </c>
      <c r="AG35" s="26">
        <v>45275</v>
      </c>
      <c r="AH35" s="26">
        <v>45315</v>
      </c>
      <c r="AI35" s="6">
        <f t="shared" si="8"/>
        <v>-1710.0000000000002</v>
      </c>
      <c r="AJ35" s="6">
        <f t="shared" si="9"/>
        <v>-684</v>
      </c>
      <c r="AK35" s="22"/>
      <c r="AL35" s="11"/>
      <c r="AM35" s="23" t="s">
        <v>15</v>
      </c>
      <c r="AN35" s="24">
        <v>19.004000000000001</v>
      </c>
      <c r="AO35" s="26">
        <v>45275</v>
      </c>
      <c r="AP35" s="26">
        <v>45315</v>
      </c>
      <c r="AQ35" s="6">
        <f t="shared" si="10"/>
        <v>-1710.0000000000002</v>
      </c>
      <c r="AR35" s="6">
        <f t="shared" si="11"/>
        <v>-684</v>
      </c>
      <c r="AS35" s="22"/>
      <c r="AT35" s="11"/>
    </row>
    <row r="36" spans="1:46" ht="22.15" hidden="1" customHeight="1">
      <c r="A36"/>
      <c r="B36" s="5" t="s">
        <v>45</v>
      </c>
      <c r="C36" s="23" t="s">
        <v>15</v>
      </c>
      <c r="D36" s="24">
        <v>6.56</v>
      </c>
      <c r="E36" s="26"/>
      <c r="F36" s="26"/>
      <c r="G36" s="6" t="str">
        <f t="shared" si="0"/>
        <v/>
      </c>
      <c r="H36" s="6">
        <f t="shared" si="1"/>
        <v>-45999</v>
      </c>
      <c r="I36" s="23" t="s">
        <v>15</v>
      </c>
      <c r="J36" s="24">
        <v>6.56</v>
      </c>
      <c r="K36" s="26"/>
      <c r="L36" s="26"/>
      <c r="M36" s="6" t="str">
        <f t="shared" si="2"/>
        <v/>
      </c>
      <c r="N36" s="6">
        <f t="shared" si="3"/>
        <v>-45999</v>
      </c>
      <c r="O36" s="23" t="s">
        <v>15</v>
      </c>
      <c r="P36" s="24">
        <v>6.56</v>
      </c>
      <c r="Q36" s="26"/>
      <c r="R36" s="26"/>
      <c r="S36" s="6" t="str">
        <f t="shared" si="4"/>
        <v/>
      </c>
      <c r="T36" s="6">
        <f t="shared" si="5"/>
        <v>-45999</v>
      </c>
      <c r="U36" s="22"/>
      <c r="V36" s="11"/>
      <c r="W36" s="23" t="s">
        <v>15</v>
      </c>
      <c r="X36" s="24">
        <v>6.56</v>
      </c>
      <c r="Y36" s="26"/>
      <c r="Z36" s="26"/>
      <c r="AA36" s="6" t="str">
        <f t="shared" si="6"/>
        <v/>
      </c>
      <c r="AB36" s="6">
        <f t="shared" si="7"/>
        <v>-45999</v>
      </c>
      <c r="AC36" s="22"/>
      <c r="AD36" s="11"/>
      <c r="AE36" s="23" t="s">
        <v>15</v>
      </c>
      <c r="AF36" s="24">
        <v>6.56</v>
      </c>
      <c r="AG36" s="26"/>
      <c r="AH36" s="26"/>
      <c r="AI36" s="6" t="str">
        <f t="shared" si="8"/>
        <v/>
      </c>
      <c r="AJ36" s="6">
        <f t="shared" si="9"/>
        <v>-45999</v>
      </c>
      <c r="AK36" s="22"/>
      <c r="AL36" s="11"/>
      <c r="AM36" s="23" t="s">
        <v>15</v>
      </c>
      <c r="AN36" s="24">
        <v>6.56</v>
      </c>
      <c r="AO36" s="26"/>
      <c r="AP36" s="26"/>
      <c r="AQ36" s="6" t="str">
        <f t="shared" si="10"/>
        <v/>
      </c>
      <c r="AR36" s="6">
        <f t="shared" si="11"/>
        <v>-45999</v>
      </c>
      <c r="AS36" s="22"/>
      <c r="AT36" s="11"/>
    </row>
    <row r="37" spans="1:46" ht="22.15" hidden="1" customHeight="1">
      <c r="A37"/>
      <c r="B37" s="5" t="s">
        <v>46</v>
      </c>
      <c r="C37" s="23" t="s">
        <v>15</v>
      </c>
      <c r="D37" s="24">
        <v>115.69499999999999</v>
      </c>
      <c r="E37" s="26">
        <v>45276</v>
      </c>
      <c r="F37" s="26">
        <v>45316</v>
      </c>
      <c r="G37" s="6">
        <f t="shared" si="0"/>
        <v>-1707.5</v>
      </c>
      <c r="H37" s="6">
        <f t="shared" si="1"/>
        <v>-683</v>
      </c>
      <c r="I37" s="23" t="s">
        <v>15</v>
      </c>
      <c r="J37" s="24">
        <v>115.69499999999999</v>
      </c>
      <c r="K37" s="26">
        <v>45276</v>
      </c>
      <c r="L37" s="26">
        <v>45316</v>
      </c>
      <c r="M37" s="6">
        <f t="shared" si="2"/>
        <v>-1707.5</v>
      </c>
      <c r="N37" s="6">
        <f t="shared" si="3"/>
        <v>-683</v>
      </c>
      <c r="O37" s="23" t="s">
        <v>15</v>
      </c>
      <c r="P37" s="24">
        <v>115.69499999999999</v>
      </c>
      <c r="Q37" s="26">
        <v>45276</v>
      </c>
      <c r="R37" s="26">
        <v>45316</v>
      </c>
      <c r="S37" s="6">
        <f t="shared" si="4"/>
        <v>-1707.5</v>
      </c>
      <c r="T37" s="6">
        <f t="shared" si="5"/>
        <v>-683</v>
      </c>
      <c r="U37" s="22"/>
      <c r="V37" s="11"/>
      <c r="W37" s="23" t="s">
        <v>15</v>
      </c>
      <c r="X37" s="24">
        <v>115.69499999999999</v>
      </c>
      <c r="Y37" s="26">
        <v>45276</v>
      </c>
      <c r="Z37" s="26">
        <v>45316</v>
      </c>
      <c r="AA37" s="6">
        <f t="shared" si="6"/>
        <v>-1707.5</v>
      </c>
      <c r="AB37" s="6">
        <f t="shared" si="7"/>
        <v>-683</v>
      </c>
      <c r="AC37" s="22"/>
      <c r="AD37" s="11"/>
      <c r="AE37" s="23" t="s">
        <v>15</v>
      </c>
      <c r="AF37" s="24">
        <v>115.69499999999999</v>
      </c>
      <c r="AG37" s="26">
        <v>45276</v>
      </c>
      <c r="AH37" s="26">
        <v>45316</v>
      </c>
      <c r="AI37" s="6">
        <f t="shared" si="8"/>
        <v>-1707.5</v>
      </c>
      <c r="AJ37" s="6">
        <f t="shared" si="9"/>
        <v>-683</v>
      </c>
      <c r="AK37" s="22"/>
      <c r="AL37" s="11"/>
      <c r="AM37" s="23" t="s">
        <v>15</v>
      </c>
      <c r="AN37" s="24">
        <v>115.69499999999999</v>
      </c>
      <c r="AO37" s="26">
        <v>45276</v>
      </c>
      <c r="AP37" s="26">
        <v>45316</v>
      </c>
      <c r="AQ37" s="6">
        <f t="shared" si="10"/>
        <v>-1707.5</v>
      </c>
      <c r="AR37" s="6">
        <f t="shared" si="11"/>
        <v>-683</v>
      </c>
      <c r="AS37" s="22"/>
      <c r="AT37" s="11"/>
    </row>
    <row r="38" spans="1:46" ht="22.15" hidden="1" customHeight="1">
      <c r="A38"/>
      <c r="B38" s="5" t="s">
        <v>47</v>
      </c>
      <c r="C38" s="23" t="s">
        <v>8</v>
      </c>
      <c r="D38" s="24">
        <v>234</v>
      </c>
      <c r="E38" s="26">
        <v>45260</v>
      </c>
      <c r="F38" s="26">
        <v>45320</v>
      </c>
      <c r="G38" s="6">
        <f>IFERROR((F38-$G$1)/(F38-E38)*100,"")</f>
        <v>-1131.6666666666667</v>
      </c>
      <c r="H38" s="6">
        <f>F38-$H$1</f>
        <v>-679</v>
      </c>
      <c r="I38" s="23" t="s">
        <v>8</v>
      </c>
      <c r="J38" s="24">
        <v>234</v>
      </c>
      <c r="K38" s="26">
        <v>45260</v>
      </c>
      <c r="L38" s="26">
        <v>45320</v>
      </c>
      <c r="M38" s="6">
        <f>IFERROR((L38-$G$1)/(L38-K38)*100,"")</f>
        <v>-1131.6666666666667</v>
      </c>
      <c r="N38" s="6">
        <f>L38-$H$1</f>
        <v>-679</v>
      </c>
      <c r="O38" s="23" t="s">
        <v>8</v>
      </c>
      <c r="P38" s="24">
        <v>234</v>
      </c>
      <c r="Q38" s="26">
        <v>45260</v>
      </c>
      <c r="R38" s="26">
        <v>45320</v>
      </c>
      <c r="S38" s="6">
        <f>IFERROR((R38-$G$1)/(R38-Q38)*100,"")</f>
        <v>-1131.6666666666667</v>
      </c>
      <c r="T38" s="6">
        <f>R38-$H$1</f>
        <v>-679</v>
      </c>
      <c r="U38" s="22"/>
      <c r="V38" s="11"/>
      <c r="W38" s="23" t="s">
        <v>8</v>
      </c>
      <c r="X38" s="24">
        <v>234</v>
      </c>
      <c r="Y38" s="26">
        <v>45260</v>
      </c>
      <c r="Z38" s="26">
        <v>45320</v>
      </c>
      <c r="AA38" s="6">
        <f>IFERROR((Z38-$G$1)/(Z38-Y38)*100,"")</f>
        <v>-1131.6666666666667</v>
      </c>
      <c r="AB38" s="6">
        <f>Z38-$H$1</f>
        <v>-679</v>
      </c>
      <c r="AC38" s="22"/>
      <c r="AD38" s="11"/>
      <c r="AE38" s="23" t="s">
        <v>8</v>
      </c>
      <c r="AF38" s="24">
        <v>234</v>
      </c>
      <c r="AG38" s="26">
        <v>45260</v>
      </c>
      <c r="AH38" s="26">
        <v>45320</v>
      </c>
      <c r="AI38" s="6">
        <f>IFERROR((AH38-$G$1)/(AH38-AG38)*100,"")</f>
        <v>-1131.6666666666667</v>
      </c>
      <c r="AJ38" s="6">
        <f>AH38-$H$1</f>
        <v>-679</v>
      </c>
      <c r="AK38" s="22"/>
      <c r="AL38" s="11"/>
      <c r="AM38" s="23" t="s">
        <v>8</v>
      </c>
      <c r="AN38" s="24">
        <v>234</v>
      </c>
      <c r="AO38" s="26">
        <v>45260</v>
      </c>
      <c r="AP38" s="26">
        <v>45320</v>
      </c>
      <c r="AQ38" s="6">
        <f>IFERROR((AP38-$G$1)/(AP38-AO38)*100,"")</f>
        <v>-1131.6666666666667</v>
      </c>
      <c r="AR38" s="6">
        <f>AP38-$H$1</f>
        <v>-679</v>
      </c>
      <c r="AS38" s="22"/>
      <c r="AT38" s="11"/>
    </row>
    <row r="39" spans="1:46" ht="22.15" hidden="1" customHeight="1">
      <c r="A39"/>
      <c r="B39" s="5" t="s">
        <v>48</v>
      </c>
      <c r="C39" s="23" t="s">
        <v>8</v>
      </c>
      <c r="D39" s="24">
        <v>480</v>
      </c>
      <c r="E39" s="26"/>
      <c r="F39" s="26"/>
      <c r="G39" s="6" t="str">
        <f t="shared" ref="G39:G71" si="12">IFERROR((F39-$G$1)/(F39-E39)*100,"")</f>
        <v/>
      </c>
      <c r="H39" s="6">
        <f t="shared" ref="H39:H71" si="13">F39-$H$1</f>
        <v>-45999</v>
      </c>
      <c r="I39" s="23" t="s">
        <v>8</v>
      </c>
      <c r="J39" s="24">
        <v>480</v>
      </c>
      <c r="K39" s="26"/>
      <c r="L39" s="26"/>
      <c r="M39" s="6" t="str">
        <f t="shared" ref="M39:M95" si="14">IFERROR((L39-$G$1)/(L39-K39)*100,"")</f>
        <v/>
      </c>
      <c r="N39" s="6">
        <f t="shared" ref="N39:N95" si="15">L39-$H$1</f>
        <v>-45999</v>
      </c>
      <c r="O39" s="23" t="s">
        <v>8</v>
      </c>
      <c r="P39" s="24">
        <v>480</v>
      </c>
      <c r="Q39" s="26"/>
      <c r="R39" s="26"/>
      <c r="S39" s="6" t="str">
        <f t="shared" ref="S39:S95" si="16">IFERROR((R39-$G$1)/(R39-Q39)*100,"")</f>
        <v/>
      </c>
      <c r="T39" s="6">
        <f t="shared" ref="T39:T95" si="17">R39-$H$1</f>
        <v>-45999</v>
      </c>
      <c r="U39" s="22"/>
      <c r="V39" s="11"/>
      <c r="W39" s="23" t="s">
        <v>8</v>
      </c>
      <c r="X39" s="24">
        <v>480</v>
      </c>
      <c r="Y39" s="26"/>
      <c r="Z39" s="26"/>
      <c r="AA39" s="6" t="str">
        <f t="shared" ref="AA39:AA95" si="18">IFERROR((Z39-$G$1)/(Z39-Y39)*100,"")</f>
        <v/>
      </c>
      <c r="AB39" s="6">
        <f t="shared" ref="AB39:AB95" si="19">Z39-$H$1</f>
        <v>-45999</v>
      </c>
      <c r="AC39" s="22"/>
      <c r="AD39" s="11"/>
      <c r="AE39" s="23" t="s">
        <v>8</v>
      </c>
      <c r="AF39" s="24">
        <v>480</v>
      </c>
      <c r="AG39" s="26"/>
      <c r="AH39" s="26"/>
      <c r="AI39" s="6" t="str">
        <f t="shared" ref="AI39:AI99" si="20">IFERROR((AH39-$G$1)/(AH39-AG39)*100,"")</f>
        <v/>
      </c>
      <c r="AJ39" s="6">
        <f t="shared" ref="AJ39:AJ96" si="21">AH39-$H$1</f>
        <v>-45999</v>
      </c>
      <c r="AK39" s="22"/>
      <c r="AL39" s="11"/>
      <c r="AM39" s="23" t="s">
        <v>8</v>
      </c>
      <c r="AN39" s="24">
        <v>480</v>
      </c>
      <c r="AO39" s="26"/>
      <c r="AP39" s="26"/>
      <c r="AQ39" s="6" t="str">
        <f t="shared" ref="AQ39:AQ101" si="22">IFERROR((AP39-$G$1)/(AP39-AO39)*100,"")</f>
        <v/>
      </c>
      <c r="AR39" s="6">
        <f t="shared" ref="AR39:AR101" si="23">AP39-$H$1</f>
        <v>-45999</v>
      </c>
      <c r="AS39" s="22"/>
      <c r="AT39" s="11"/>
    </row>
    <row r="40" spans="1:46" ht="22.15" hidden="1" customHeight="1">
      <c r="A40"/>
      <c r="B40" s="5" t="s">
        <v>49</v>
      </c>
      <c r="C40" s="23" t="s">
        <v>8</v>
      </c>
      <c r="D40" s="24">
        <v>480</v>
      </c>
      <c r="E40" s="26"/>
      <c r="F40" s="26"/>
      <c r="G40" s="6" t="str">
        <f t="shared" si="12"/>
        <v/>
      </c>
      <c r="H40" s="6">
        <f t="shared" si="13"/>
        <v>-45999</v>
      </c>
      <c r="I40" s="23" t="s">
        <v>8</v>
      </c>
      <c r="J40" s="24">
        <v>480</v>
      </c>
      <c r="K40" s="26"/>
      <c r="L40" s="26"/>
      <c r="M40" s="6" t="str">
        <f t="shared" si="14"/>
        <v/>
      </c>
      <c r="N40" s="6">
        <f t="shared" si="15"/>
        <v>-45999</v>
      </c>
      <c r="O40" s="23" t="s">
        <v>8</v>
      </c>
      <c r="P40" s="24">
        <v>480</v>
      </c>
      <c r="Q40" s="26"/>
      <c r="R40" s="26"/>
      <c r="S40" s="6" t="str">
        <f t="shared" si="16"/>
        <v/>
      </c>
      <c r="T40" s="6">
        <f t="shared" si="17"/>
        <v>-45999</v>
      </c>
      <c r="U40" s="22"/>
      <c r="V40" s="11"/>
      <c r="W40" s="23" t="s">
        <v>8</v>
      </c>
      <c r="X40" s="24">
        <v>480</v>
      </c>
      <c r="Y40" s="26"/>
      <c r="Z40" s="26"/>
      <c r="AA40" s="6" t="str">
        <f t="shared" si="18"/>
        <v/>
      </c>
      <c r="AB40" s="6">
        <f t="shared" si="19"/>
        <v>-45999</v>
      </c>
      <c r="AC40" s="22"/>
      <c r="AD40" s="11"/>
      <c r="AE40" s="23" t="s">
        <v>8</v>
      </c>
      <c r="AF40" s="24">
        <v>480</v>
      </c>
      <c r="AG40" s="26"/>
      <c r="AH40" s="26"/>
      <c r="AI40" s="6" t="str">
        <f t="shared" si="20"/>
        <v/>
      </c>
      <c r="AJ40" s="6">
        <f t="shared" si="21"/>
        <v>-45999</v>
      </c>
      <c r="AK40" s="22"/>
      <c r="AL40" s="11"/>
      <c r="AM40" s="23" t="s">
        <v>8</v>
      </c>
      <c r="AN40" s="24">
        <v>480</v>
      </c>
      <c r="AO40" s="26"/>
      <c r="AP40" s="26"/>
      <c r="AQ40" s="6" t="str">
        <f t="shared" si="22"/>
        <v/>
      </c>
      <c r="AR40" s="6">
        <f t="shared" si="23"/>
        <v>-45999</v>
      </c>
      <c r="AS40" s="22"/>
      <c r="AT40" s="11"/>
    </row>
    <row r="41" spans="1:46" ht="22.15" hidden="1" customHeight="1">
      <c r="A41"/>
      <c r="B41" s="5" t="s">
        <v>50</v>
      </c>
      <c r="C41" s="23" t="s">
        <v>8</v>
      </c>
      <c r="D41" s="24">
        <v>2136</v>
      </c>
      <c r="E41" s="26"/>
      <c r="F41" s="26"/>
      <c r="G41" s="6" t="str">
        <f t="shared" si="12"/>
        <v/>
      </c>
      <c r="H41" s="6">
        <f t="shared" si="13"/>
        <v>-45999</v>
      </c>
      <c r="I41" s="23" t="s">
        <v>8</v>
      </c>
      <c r="J41" s="24">
        <v>2136</v>
      </c>
      <c r="K41" s="26"/>
      <c r="L41" s="26"/>
      <c r="M41" s="6" t="str">
        <f t="shared" si="14"/>
        <v/>
      </c>
      <c r="N41" s="6">
        <f t="shared" si="15"/>
        <v>-45999</v>
      </c>
      <c r="O41" s="23" t="s">
        <v>8</v>
      </c>
      <c r="P41" s="24">
        <v>2136</v>
      </c>
      <c r="Q41" s="26"/>
      <c r="R41" s="26"/>
      <c r="S41" s="6" t="str">
        <f t="shared" si="16"/>
        <v/>
      </c>
      <c r="T41" s="6">
        <f t="shared" si="17"/>
        <v>-45999</v>
      </c>
      <c r="U41" s="22"/>
      <c r="V41" s="11"/>
      <c r="W41" s="23" t="s">
        <v>8</v>
      </c>
      <c r="X41" s="24">
        <v>2136</v>
      </c>
      <c r="Y41" s="26"/>
      <c r="Z41" s="26"/>
      <c r="AA41" s="6" t="str">
        <f t="shared" si="18"/>
        <v/>
      </c>
      <c r="AB41" s="6">
        <f t="shared" si="19"/>
        <v>-45999</v>
      </c>
      <c r="AC41" s="22"/>
      <c r="AD41" s="11"/>
      <c r="AE41" s="23" t="s">
        <v>8</v>
      </c>
      <c r="AF41" s="24">
        <v>2136</v>
      </c>
      <c r="AG41" s="26"/>
      <c r="AH41" s="26"/>
      <c r="AI41" s="6" t="str">
        <f t="shared" si="20"/>
        <v/>
      </c>
      <c r="AJ41" s="6">
        <f t="shared" si="21"/>
        <v>-45999</v>
      </c>
      <c r="AK41" s="22"/>
      <c r="AL41" s="11"/>
      <c r="AM41" s="23" t="s">
        <v>8</v>
      </c>
      <c r="AN41" s="24">
        <v>2136</v>
      </c>
      <c r="AO41" s="26"/>
      <c r="AP41" s="26"/>
      <c r="AQ41" s="6" t="str">
        <f t="shared" si="22"/>
        <v/>
      </c>
      <c r="AR41" s="6">
        <f t="shared" si="23"/>
        <v>-45999</v>
      </c>
      <c r="AS41" s="22"/>
      <c r="AT41" s="11"/>
    </row>
    <row r="42" spans="1:46" ht="22.15" hidden="1" customHeight="1">
      <c r="A42"/>
      <c r="B42" s="5" t="s">
        <v>51</v>
      </c>
      <c r="C42" s="23" t="s">
        <v>8</v>
      </c>
      <c r="D42" s="24">
        <v>192</v>
      </c>
      <c r="E42" s="26"/>
      <c r="F42" s="26"/>
      <c r="G42" s="6" t="str">
        <f t="shared" si="12"/>
        <v/>
      </c>
      <c r="H42" s="6">
        <f t="shared" si="13"/>
        <v>-45999</v>
      </c>
      <c r="I42" s="23" t="s">
        <v>8</v>
      </c>
      <c r="J42" s="24">
        <v>192</v>
      </c>
      <c r="K42" s="26"/>
      <c r="L42" s="26"/>
      <c r="M42" s="6" t="str">
        <f t="shared" si="14"/>
        <v/>
      </c>
      <c r="N42" s="6">
        <f t="shared" si="15"/>
        <v>-45999</v>
      </c>
      <c r="O42" s="23" t="s">
        <v>8</v>
      </c>
      <c r="P42" s="24">
        <v>192</v>
      </c>
      <c r="Q42" s="26"/>
      <c r="R42" s="26"/>
      <c r="S42" s="6" t="str">
        <f t="shared" si="16"/>
        <v/>
      </c>
      <c r="T42" s="6">
        <f t="shared" si="17"/>
        <v>-45999</v>
      </c>
      <c r="U42" s="22"/>
      <c r="V42" s="11"/>
      <c r="W42" s="23" t="s">
        <v>8</v>
      </c>
      <c r="X42" s="24">
        <v>192</v>
      </c>
      <c r="Y42" s="26"/>
      <c r="Z42" s="26"/>
      <c r="AA42" s="6" t="str">
        <f t="shared" si="18"/>
        <v/>
      </c>
      <c r="AB42" s="6">
        <f t="shared" si="19"/>
        <v>-45999</v>
      </c>
      <c r="AC42" s="22"/>
      <c r="AD42" s="11"/>
      <c r="AE42" s="23" t="s">
        <v>8</v>
      </c>
      <c r="AF42" s="24">
        <v>192</v>
      </c>
      <c r="AG42" s="26"/>
      <c r="AH42" s="26"/>
      <c r="AI42" s="6" t="str">
        <f t="shared" si="20"/>
        <v/>
      </c>
      <c r="AJ42" s="6">
        <f t="shared" si="21"/>
        <v>-45999</v>
      </c>
      <c r="AK42" s="22"/>
      <c r="AL42" s="11"/>
      <c r="AM42" s="23" t="s">
        <v>8</v>
      </c>
      <c r="AN42" s="24">
        <v>192</v>
      </c>
      <c r="AO42" s="26"/>
      <c r="AP42" s="26"/>
      <c r="AQ42" s="6" t="str">
        <f t="shared" si="22"/>
        <v/>
      </c>
      <c r="AR42" s="6">
        <f t="shared" si="23"/>
        <v>-45999</v>
      </c>
      <c r="AS42" s="22"/>
      <c r="AT42" s="11"/>
    </row>
    <row r="43" spans="1:46" ht="22.15" hidden="1" customHeight="1">
      <c r="A43"/>
      <c r="B43" s="5" t="s">
        <v>52</v>
      </c>
      <c r="C43" s="23" t="s">
        <v>8</v>
      </c>
      <c r="D43" s="24">
        <v>192</v>
      </c>
      <c r="E43" s="26"/>
      <c r="F43" s="26"/>
      <c r="G43" s="6" t="str">
        <f t="shared" si="12"/>
        <v/>
      </c>
      <c r="H43" s="6">
        <f t="shared" si="13"/>
        <v>-45999</v>
      </c>
      <c r="I43" s="23" t="s">
        <v>8</v>
      </c>
      <c r="J43" s="24">
        <v>192</v>
      </c>
      <c r="K43" s="26"/>
      <c r="L43" s="26"/>
      <c r="M43" s="6" t="str">
        <f t="shared" si="14"/>
        <v/>
      </c>
      <c r="N43" s="6">
        <f t="shared" si="15"/>
        <v>-45999</v>
      </c>
      <c r="O43" s="23" t="s">
        <v>8</v>
      </c>
      <c r="P43" s="24">
        <v>192</v>
      </c>
      <c r="Q43" s="26"/>
      <c r="R43" s="26"/>
      <c r="S43" s="6" t="str">
        <f t="shared" si="16"/>
        <v/>
      </c>
      <c r="T43" s="6">
        <f t="shared" si="17"/>
        <v>-45999</v>
      </c>
      <c r="U43" s="22"/>
      <c r="V43" s="11"/>
      <c r="W43" s="23" t="s">
        <v>8</v>
      </c>
      <c r="X43" s="24">
        <v>192</v>
      </c>
      <c r="Y43" s="26"/>
      <c r="Z43" s="26"/>
      <c r="AA43" s="6" t="str">
        <f t="shared" si="18"/>
        <v/>
      </c>
      <c r="AB43" s="6">
        <f t="shared" si="19"/>
        <v>-45999</v>
      </c>
      <c r="AC43" s="22"/>
      <c r="AD43" s="11"/>
      <c r="AE43" s="23" t="s">
        <v>8</v>
      </c>
      <c r="AF43" s="24">
        <v>192</v>
      </c>
      <c r="AG43" s="26"/>
      <c r="AH43" s="26"/>
      <c r="AI43" s="6" t="str">
        <f t="shared" si="20"/>
        <v/>
      </c>
      <c r="AJ43" s="6">
        <f t="shared" si="21"/>
        <v>-45999</v>
      </c>
      <c r="AK43" s="22"/>
      <c r="AL43" s="11"/>
      <c r="AM43" s="23" t="s">
        <v>8</v>
      </c>
      <c r="AN43" s="24">
        <v>192</v>
      </c>
      <c r="AO43" s="26"/>
      <c r="AP43" s="26"/>
      <c r="AQ43" s="6" t="str">
        <f t="shared" si="22"/>
        <v/>
      </c>
      <c r="AR43" s="6">
        <f t="shared" si="23"/>
        <v>-45999</v>
      </c>
      <c r="AS43" s="22"/>
      <c r="AT43" s="11"/>
    </row>
    <row r="44" spans="1:46" ht="22.15" hidden="1" customHeight="1">
      <c r="A44"/>
      <c r="B44" s="5" t="s">
        <v>53</v>
      </c>
      <c r="C44" s="23" t="s">
        <v>8</v>
      </c>
      <c r="D44" s="24">
        <v>2368</v>
      </c>
      <c r="E44" s="26"/>
      <c r="F44" s="26"/>
      <c r="G44" s="6" t="str">
        <f t="shared" si="12"/>
        <v/>
      </c>
      <c r="H44" s="6">
        <f t="shared" si="13"/>
        <v>-45999</v>
      </c>
      <c r="I44" s="23" t="s">
        <v>8</v>
      </c>
      <c r="J44" s="24">
        <v>2368</v>
      </c>
      <c r="K44" s="26"/>
      <c r="L44" s="26"/>
      <c r="M44" s="6" t="str">
        <f t="shared" si="14"/>
        <v/>
      </c>
      <c r="N44" s="6">
        <f t="shared" si="15"/>
        <v>-45999</v>
      </c>
      <c r="O44" s="23" t="s">
        <v>8</v>
      </c>
      <c r="P44" s="24">
        <v>2368</v>
      </c>
      <c r="Q44" s="26"/>
      <c r="R44" s="26"/>
      <c r="S44" s="6" t="str">
        <f t="shared" si="16"/>
        <v/>
      </c>
      <c r="T44" s="6">
        <f t="shared" si="17"/>
        <v>-45999</v>
      </c>
      <c r="U44" s="22"/>
      <c r="V44" s="11"/>
      <c r="W44" s="23" t="s">
        <v>8</v>
      </c>
      <c r="X44" s="24">
        <v>2368</v>
      </c>
      <c r="Y44" s="26"/>
      <c r="Z44" s="26"/>
      <c r="AA44" s="6" t="str">
        <f t="shared" si="18"/>
        <v/>
      </c>
      <c r="AB44" s="6">
        <f t="shared" si="19"/>
        <v>-45999</v>
      </c>
      <c r="AC44" s="22"/>
      <c r="AD44" s="11"/>
      <c r="AE44" s="23" t="s">
        <v>8</v>
      </c>
      <c r="AF44" s="24">
        <v>2368</v>
      </c>
      <c r="AG44" s="26"/>
      <c r="AH44" s="26"/>
      <c r="AI44" s="6" t="str">
        <f t="shared" si="20"/>
        <v/>
      </c>
      <c r="AJ44" s="6">
        <f t="shared" si="21"/>
        <v>-45999</v>
      </c>
      <c r="AK44" s="22"/>
      <c r="AL44" s="11"/>
      <c r="AM44" s="23" t="s">
        <v>8</v>
      </c>
      <c r="AN44" s="24">
        <v>2368</v>
      </c>
      <c r="AO44" s="26"/>
      <c r="AP44" s="26"/>
      <c r="AQ44" s="6" t="str">
        <f t="shared" si="22"/>
        <v/>
      </c>
      <c r="AR44" s="6">
        <f t="shared" si="23"/>
        <v>-45999</v>
      </c>
      <c r="AS44" s="22"/>
      <c r="AT44" s="11"/>
    </row>
    <row r="45" spans="1:46" ht="22.15" hidden="1" customHeight="1">
      <c r="A45"/>
      <c r="B45" s="5" t="s">
        <v>54</v>
      </c>
      <c r="C45" s="23" t="s">
        <v>8</v>
      </c>
      <c r="D45" s="24">
        <v>836</v>
      </c>
      <c r="E45" s="26"/>
      <c r="F45" s="26"/>
      <c r="G45" s="6" t="str">
        <f t="shared" si="12"/>
        <v/>
      </c>
      <c r="H45" s="6">
        <f t="shared" si="13"/>
        <v>-45999</v>
      </c>
      <c r="I45" s="23" t="s">
        <v>8</v>
      </c>
      <c r="J45" s="24">
        <v>836</v>
      </c>
      <c r="K45" s="26"/>
      <c r="L45" s="26"/>
      <c r="M45" s="6" t="str">
        <f t="shared" si="14"/>
        <v/>
      </c>
      <c r="N45" s="6">
        <f t="shared" si="15"/>
        <v>-45999</v>
      </c>
      <c r="O45" s="23" t="s">
        <v>8</v>
      </c>
      <c r="P45" s="24">
        <v>836</v>
      </c>
      <c r="Q45" s="26"/>
      <c r="R45" s="26"/>
      <c r="S45" s="6" t="str">
        <f t="shared" si="16"/>
        <v/>
      </c>
      <c r="T45" s="6">
        <f t="shared" si="17"/>
        <v>-45999</v>
      </c>
      <c r="U45" s="22"/>
      <c r="V45" s="11"/>
      <c r="W45" s="23" t="s">
        <v>8</v>
      </c>
      <c r="X45" s="24">
        <v>836</v>
      </c>
      <c r="Y45" s="26"/>
      <c r="Z45" s="26"/>
      <c r="AA45" s="6" t="str">
        <f t="shared" si="18"/>
        <v/>
      </c>
      <c r="AB45" s="6">
        <f t="shared" si="19"/>
        <v>-45999</v>
      </c>
      <c r="AC45" s="22"/>
      <c r="AD45" s="11"/>
      <c r="AE45" s="23" t="s">
        <v>8</v>
      </c>
      <c r="AF45" s="24">
        <v>836</v>
      </c>
      <c r="AG45" s="26"/>
      <c r="AH45" s="26"/>
      <c r="AI45" s="6" t="str">
        <f t="shared" si="20"/>
        <v/>
      </c>
      <c r="AJ45" s="6">
        <f t="shared" si="21"/>
        <v>-45999</v>
      </c>
      <c r="AK45" s="22"/>
      <c r="AL45" s="11"/>
      <c r="AM45" s="23" t="s">
        <v>8</v>
      </c>
      <c r="AN45" s="24">
        <v>836</v>
      </c>
      <c r="AO45" s="26"/>
      <c r="AP45" s="26"/>
      <c r="AQ45" s="6" t="str">
        <f t="shared" si="22"/>
        <v/>
      </c>
      <c r="AR45" s="6">
        <f t="shared" si="23"/>
        <v>-45999</v>
      </c>
      <c r="AS45" s="22"/>
      <c r="AT45" s="11"/>
    </row>
    <row r="46" spans="1:46" ht="22.15" hidden="1" customHeight="1">
      <c r="A46"/>
      <c r="B46" s="5" t="s">
        <v>55</v>
      </c>
      <c r="C46" s="23" t="s">
        <v>8</v>
      </c>
      <c r="D46" s="24">
        <v>620</v>
      </c>
      <c r="E46" s="26"/>
      <c r="F46" s="26"/>
      <c r="G46" s="6" t="str">
        <f t="shared" si="12"/>
        <v/>
      </c>
      <c r="H46" s="6">
        <f t="shared" si="13"/>
        <v>-45999</v>
      </c>
      <c r="I46" s="23" t="s">
        <v>8</v>
      </c>
      <c r="J46" s="24">
        <v>620</v>
      </c>
      <c r="K46" s="26"/>
      <c r="L46" s="26"/>
      <c r="M46" s="6" t="str">
        <f t="shared" si="14"/>
        <v/>
      </c>
      <c r="N46" s="6">
        <f t="shared" si="15"/>
        <v>-45999</v>
      </c>
      <c r="O46" s="23" t="s">
        <v>8</v>
      </c>
      <c r="P46" s="24">
        <v>620</v>
      </c>
      <c r="Q46" s="26"/>
      <c r="R46" s="26"/>
      <c r="S46" s="6" t="str">
        <f t="shared" si="16"/>
        <v/>
      </c>
      <c r="T46" s="6">
        <f t="shared" si="17"/>
        <v>-45999</v>
      </c>
      <c r="U46" s="22"/>
      <c r="V46" s="11"/>
      <c r="W46" s="23" t="s">
        <v>8</v>
      </c>
      <c r="X46" s="24">
        <v>620</v>
      </c>
      <c r="Y46" s="26"/>
      <c r="Z46" s="26"/>
      <c r="AA46" s="6" t="str">
        <f t="shared" si="18"/>
        <v/>
      </c>
      <c r="AB46" s="6">
        <f t="shared" si="19"/>
        <v>-45999</v>
      </c>
      <c r="AC46" s="22"/>
      <c r="AD46" s="11"/>
      <c r="AE46" s="23" t="s">
        <v>8</v>
      </c>
      <c r="AF46" s="24">
        <v>620</v>
      </c>
      <c r="AG46" s="26"/>
      <c r="AH46" s="26"/>
      <c r="AI46" s="6" t="str">
        <f t="shared" si="20"/>
        <v/>
      </c>
      <c r="AJ46" s="6">
        <f t="shared" si="21"/>
        <v>-45999</v>
      </c>
      <c r="AK46" s="22"/>
      <c r="AL46" s="11"/>
      <c r="AM46" s="23" t="s">
        <v>8</v>
      </c>
      <c r="AN46" s="24">
        <v>620</v>
      </c>
      <c r="AO46" s="26"/>
      <c r="AP46" s="26"/>
      <c r="AQ46" s="6" t="str">
        <f t="shared" si="22"/>
        <v/>
      </c>
      <c r="AR46" s="6">
        <f t="shared" si="23"/>
        <v>-45999</v>
      </c>
      <c r="AS46" s="22"/>
      <c r="AT46" s="11"/>
    </row>
    <row r="47" spans="1:46" ht="22.15" hidden="1" customHeight="1">
      <c r="A47"/>
      <c r="B47" s="5" t="s">
        <v>56</v>
      </c>
      <c r="C47" s="23" t="s">
        <v>8</v>
      </c>
      <c r="D47" s="24">
        <v>1484</v>
      </c>
      <c r="E47" s="26"/>
      <c r="F47" s="26"/>
      <c r="G47" s="6" t="str">
        <f t="shared" si="12"/>
        <v/>
      </c>
      <c r="H47" s="6">
        <f t="shared" si="13"/>
        <v>-45999</v>
      </c>
      <c r="I47" s="23" t="s">
        <v>8</v>
      </c>
      <c r="J47" s="24">
        <v>1484</v>
      </c>
      <c r="K47" s="26"/>
      <c r="L47" s="26"/>
      <c r="M47" s="6" t="str">
        <f t="shared" si="14"/>
        <v/>
      </c>
      <c r="N47" s="6">
        <f t="shared" si="15"/>
        <v>-45999</v>
      </c>
      <c r="O47" s="23" t="s">
        <v>8</v>
      </c>
      <c r="P47" s="24">
        <v>1484</v>
      </c>
      <c r="Q47" s="26"/>
      <c r="R47" s="26"/>
      <c r="S47" s="6" t="str">
        <f t="shared" si="16"/>
        <v/>
      </c>
      <c r="T47" s="6">
        <f t="shared" si="17"/>
        <v>-45999</v>
      </c>
      <c r="U47" s="22"/>
      <c r="V47" s="11"/>
      <c r="W47" s="23" t="s">
        <v>8</v>
      </c>
      <c r="X47" s="24">
        <v>1484</v>
      </c>
      <c r="Y47" s="26"/>
      <c r="Z47" s="26"/>
      <c r="AA47" s="6" t="str">
        <f t="shared" si="18"/>
        <v/>
      </c>
      <c r="AB47" s="6">
        <f t="shared" si="19"/>
        <v>-45999</v>
      </c>
      <c r="AC47" s="22"/>
      <c r="AD47" s="11"/>
      <c r="AE47" s="23" t="s">
        <v>8</v>
      </c>
      <c r="AF47" s="24">
        <v>1484</v>
      </c>
      <c r="AG47" s="26"/>
      <c r="AH47" s="26"/>
      <c r="AI47" s="6" t="str">
        <f t="shared" si="20"/>
        <v/>
      </c>
      <c r="AJ47" s="6">
        <f t="shared" si="21"/>
        <v>-45999</v>
      </c>
      <c r="AK47" s="22"/>
      <c r="AL47" s="11"/>
      <c r="AM47" s="23" t="s">
        <v>8</v>
      </c>
      <c r="AN47" s="24">
        <v>1484</v>
      </c>
      <c r="AO47" s="26"/>
      <c r="AP47" s="26"/>
      <c r="AQ47" s="6" t="str">
        <f t="shared" si="22"/>
        <v/>
      </c>
      <c r="AR47" s="6">
        <f t="shared" si="23"/>
        <v>-45999</v>
      </c>
      <c r="AS47" s="22"/>
      <c r="AT47" s="11"/>
    </row>
    <row r="48" spans="1:46" ht="22.15" hidden="1" customHeight="1">
      <c r="A48"/>
      <c r="B48" s="5" t="s">
        <v>57</v>
      </c>
      <c r="C48" s="23" t="s">
        <v>8</v>
      </c>
      <c r="D48" s="24">
        <v>644</v>
      </c>
      <c r="E48" s="26"/>
      <c r="F48" s="26"/>
      <c r="G48" s="6" t="str">
        <f t="shared" si="12"/>
        <v/>
      </c>
      <c r="H48" s="6">
        <f t="shared" si="13"/>
        <v>-45999</v>
      </c>
      <c r="I48" s="23" t="s">
        <v>8</v>
      </c>
      <c r="J48" s="24">
        <v>644</v>
      </c>
      <c r="K48" s="26"/>
      <c r="L48" s="26"/>
      <c r="M48" s="6" t="str">
        <f t="shared" si="14"/>
        <v/>
      </c>
      <c r="N48" s="6">
        <f t="shared" si="15"/>
        <v>-45999</v>
      </c>
      <c r="O48" s="23" t="s">
        <v>8</v>
      </c>
      <c r="P48" s="24">
        <v>644</v>
      </c>
      <c r="Q48" s="26"/>
      <c r="R48" s="26"/>
      <c r="S48" s="6" t="str">
        <f t="shared" si="16"/>
        <v/>
      </c>
      <c r="T48" s="6">
        <f t="shared" si="17"/>
        <v>-45999</v>
      </c>
      <c r="U48" s="22"/>
      <c r="V48" s="11"/>
      <c r="W48" s="23" t="s">
        <v>8</v>
      </c>
      <c r="X48" s="24">
        <v>644</v>
      </c>
      <c r="Y48" s="26"/>
      <c r="Z48" s="26"/>
      <c r="AA48" s="6" t="str">
        <f t="shared" si="18"/>
        <v/>
      </c>
      <c r="AB48" s="6">
        <f t="shared" si="19"/>
        <v>-45999</v>
      </c>
      <c r="AC48" s="22"/>
      <c r="AD48" s="11"/>
      <c r="AE48" s="23" t="s">
        <v>8</v>
      </c>
      <c r="AF48" s="24">
        <v>644</v>
      </c>
      <c r="AG48" s="26"/>
      <c r="AH48" s="26"/>
      <c r="AI48" s="6" t="str">
        <f t="shared" si="20"/>
        <v/>
      </c>
      <c r="AJ48" s="6">
        <f t="shared" si="21"/>
        <v>-45999</v>
      </c>
      <c r="AK48" s="22"/>
      <c r="AL48" s="11"/>
      <c r="AM48" s="23" t="s">
        <v>8</v>
      </c>
      <c r="AN48" s="24">
        <v>644</v>
      </c>
      <c r="AO48" s="26"/>
      <c r="AP48" s="26"/>
      <c r="AQ48" s="6" t="str">
        <f t="shared" si="22"/>
        <v/>
      </c>
      <c r="AR48" s="6">
        <f t="shared" si="23"/>
        <v>-45999</v>
      </c>
      <c r="AS48" s="22"/>
      <c r="AT48" s="11"/>
    </row>
    <row r="49" spans="1:46" ht="22.15" hidden="1" customHeight="1">
      <c r="A49"/>
      <c r="B49" s="5" t="s">
        <v>58</v>
      </c>
      <c r="C49" s="23" t="s">
        <v>8</v>
      </c>
      <c r="D49" s="24">
        <v>716</v>
      </c>
      <c r="E49" s="26"/>
      <c r="F49" s="26"/>
      <c r="G49" s="6" t="str">
        <f t="shared" si="12"/>
        <v/>
      </c>
      <c r="H49" s="6">
        <f t="shared" si="13"/>
        <v>-45999</v>
      </c>
      <c r="I49" s="23" t="s">
        <v>8</v>
      </c>
      <c r="J49" s="24">
        <v>716</v>
      </c>
      <c r="K49" s="26"/>
      <c r="L49" s="26"/>
      <c r="M49" s="6" t="str">
        <f t="shared" si="14"/>
        <v/>
      </c>
      <c r="N49" s="6">
        <f t="shared" si="15"/>
        <v>-45999</v>
      </c>
      <c r="O49" s="23" t="s">
        <v>8</v>
      </c>
      <c r="P49" s="24">
        <v>716</v>
      </c>
      <c r="Q49" s="26"/>
      <c r="R49" s="26"/>
      <c r="S49" s="6" t="str">
        <f t="shared" si="16"/>
        <v/>
      </c>
      <c r="T49" s="6">
        <f t="shared" si="17"/>
        <v>-45999</v>
      </c>
      <c r="U49" s="22"/>
      <c r="V49" s="11"/>
      <c r="W49" s="23" t="s">
        <v>8</v>
      </c>
      <c r="X49" s="24">
        <v>716</v>
      </c>
      <c r="Y49" s="26"/>
      <c r="Z49" s="26"/>
      <c r="AA49" s="6" t="str">
        <f t="shared" si="18"/>
        <v/>
      </c>
      <c r="AB49" s="6">
        <f t="shared" si="19"/>
        <v>-45999</v>
      </c>
      <c r="AC49" s="22"/>
      <c r="AD49" s="11"/>
      <c r="AE49" s="23" t="s">
        <v>8</v>
      </c>
      <c r="AF49" s="24">
        <v>716</v>
      </c>
      <c r="AG49" s="26"/>
      <c r="AH49" s="26"/>
      <c r="AI49" s="6" t="str">
        <f t="shared" si="20"/>
        <v/>
      </c>
      <c r="AJ49" s="6">
        <f t="shared" si="21"/>
        <v>-45999</v>
      </c>
      <c r="AK49" s="22"/>
      <c r="AL49" s="11"/>
      <c r="AM49" s="23" t="s">
        <v>8</v>
      </c>
      <c r="AN49" s="24">
        <v>716</v>
      </c>
      <c r="AO49" s="26"/>
      <c r="AP49" s="26"/>
      <c r="AQ49" s="6" t="str">
        <f t="shared" si="22"/>
        <v/>
      </c>
      <c r="AR49" s="6">
        <f t="shared" si="23"/>
        <v>-45999</v>
      </c>
      <c r="AS49" s="22"/>
      <c r="AT49" s="11"/>
    </row>
    <row r="50" spans="1:46" ht="22.15" hidden="1" customHeight="1">
      <c r="A50"/>
      <c r="B50" s="5" t="s">
        <v>59</v>
      </c>
      <c r="C50" s="23" t="s">
        <v>8</v>
      </c>
      <c r="D50" s="24">
        <v>500</v>
      </c>
      <c r="E50" s="26"/>
      <c r="F50" s="26"/>
      <c r="G50" s="6" t="str">
        <f t="shared" si="12"/>
        <v/>
      </c>
      <c r="H50" s="6">
        <f t="shared" si="13"/>
        <v>-45999</v>
      </c>
      <c r="I50" s="23" t="s">
        <v>8</v>
      </c>
      <c r="J50" s="24">
        <v>500</v>
      </c>
      <c r="K50" s="26"/>
      <c r="L50" s="26"/>
      <c r="M50" s="6" t="str">
        <f t="shared" si="14"/>
        <v/>
      </c>
      <c r="N50" s="6">
        <f t="shared" si="15"/>
        <v>-45999</v>
      </c>
      <c r="O50" s="23" t="s">
        <v>8</v>
      </c>
      <c r="P50" s="24">
        <v>500</v>
      </c>
      <c r="Q50" s="26"/>
      <c r="R50" s="26"/>
      <c r="S50" s="6" t="str">
        <f t="shared" si="16"/>
        <v/>
      </c>
      <c r="T50" s="6">
        <f t="shared" si="17"/>
        <v>-45999</v>
      </c>
      <c r="U50" s="22"/>
      <c r="V50" s="11"/>
      <c r="W50" s="23" t="s">
        <v>8</v>
      </c>
      <c r="X50" s="24">
        <v>500</v>
      </c>
      <c r="Y50" s="26"/>
      <c r="Z50" s="26"/>
      <c r="AA50" s="6" t="str">
        <f t="shared" si="18"/>
        <v/>
      </c>
      <c r="AB50" s="6">
        <f t="shared" si="19"/>
        <v>-45999</v>
      </c>
      <c r="AC50" s="22"/>
      <c r="AD50" s="11"/>
      <c r="AE50" s="23" t="s">
        <v>8</v>
      </c>
      <c r="AF50" s="24">
        <v>500</v>
      </c>
      <c r="AG50" s="26"/>
      <c r="AH50" s="26"/>
      <c r="AI50" s="6" t="str">
        <f t="shared" si="20"/>
        <v/>
      </c>
      <c r="AJ50" s="6">
        <f t="shared" si="21"/>
        <v>-45999</v>
      </c>
      <c r="AK50" s="22"/>
      <c r="AL50" s="11"/>
      <c r="AM50" s="23" t="s">
        <v>8</v>
      </c>
      <c r="AN50" s="24">
        <v>500</v>
      </c>
      <c r="AO50" s="26"/>
      <c r="AP50" s="26"/>
      <c r="AQ50" s="6" t="str">
        <f t="shared" si="22"/>
        <v/>
      </c>
      <c r="AR50" s="6">
        <f t="shared" si="23"/>
        <v>-45999</v>
      </c>
      <c r="AS50" s="22"/>
      <c r="AT50" s="11"/>
    </row>
    <row r="51" spans="1:46" ht="22.15" hidden="1" customHeight="1">
      <c r="A51"/>
      <c r="B51" s="5" t="s">
        <v>60</v>
      </c>
      <c r="C51" s="23" t="s">
        <v>8</v>
      </c>
      <c r="D51" s="24">
        <v>956</v>
      </c>
      <c r="E51" s="26"/>
      <c r="F51" s="26"/>
      <c r="G51" s="6" t="str">
        <f t="shared" si="12"/>
        <v/>
      </c>
      <c r="H51" s="6">
        <f t="shared" si="13"/>
        <v>-45999</v>
      </c>
      <c r="I51" s="23" t="s">
        <v>8</v>
      </c>
      <c r="J51" s="24">
        <v>956</v>
      </c>
      <c r="K51" s="26"/>
      <c r="L51" s="26"/>
      <c r="M51" s="6" t="str">
        <f t="shared" si="14"/>
        <v/>
      </c>
      <c r="N51" s="6">
        <f t="shared" si="15"/>
        <v>-45999</v>
      </c>
      <c r="O51" s="23" t="s">
        <v>8</v>
      </c>
      <c r="P51" s="24">
        <v>956</v>
      </c>
      <c r="Q51" s="26"/>
      <c r="R51" s="26"/>
      <c r="S51" s="6" t="str">
        <f t="shared" si="16"/>
        <v/>
      </c>
      <c r="T51" s="6">
        <f t="shared" si="17"/>
        <v>-45999</v>
      </c>
      <c r="U51" s="22"/>
      <c r="V51" s="11"/>
      <c r="W51" s="23" t="s">
        <v>8</v>
      </c>
      <c r="X51" s="24">
        <v>956</v>
      </c>
      <c r="Y51" s="26"/>
      <c r="Z51" s="26"/>
      <c r="AA51" s="6" t="str">
        <f t="shared" si="18"/>
        <v/>
      </c>
      <c r="AB51" s="6">
        <f t="shared" si="19"/>
        <v>-45999</v>
      </c>
      <c r="AC51" s="22"/>
      <c r="AD51" s="11"/>
      <c r="AE51" s="23" t="s">
        <v>8</v>
      </c>
      <c r="AF51" s="24">
        <v>956</v>
      </c>
      <c r="AG51" s="26"/>
      <c r="AH51" s="26"/>
      <c r="AI51" s="6" t="str">
        <f t="shared" si="20"/>
        <v/>
      </c>
      <c r="AJ51" s="6">
        <f t="shared" si="21"/>
        <v>-45999</v>
      </c>
      <c r="AK51" s="22"/>
      <c r="AL51" s="11"/>
      <c r="AM51" s="23" t="s">
        <v>8</v>
      </c>
      <c r="AN51" s="24">
        <v>956</v>
      </c>
      <c r="AO51" s="26"/>
      <c r="AP51" s="26"/>
      <c r="AQ51" s="6" t="str">
        <f t="shared" si="22"/>
        <v/>
      </c>
      <c r="AR51" s="6">
        <f t="shared" si="23"/>
        <v>-45999</v>
      </c>
      <c r="AS51" s="22"/>
      <c r="AT51" s="11"/>
    </row>
    <row r="52" spans="1:46" ht="22.15" hidden="1" customHeight="1">
      <c r="A52"/>
      <c r="B52" s="5" t="s">
        <v>61</v>
      </c>
      <c r="C52" s="23" t="s">
        <v>8</v>
      </c>
      <c r="D52" s="24">
        <v>2012</v>
      </c>
      <c r="E52" s="26"/>
      <c r="F52" s="26"/>
      <c r="G52" s="6" t="str">
        <f t="shared" si="12"/>
        <v/>
      </c>
      <c r="H52" s="6">
        <f t="shared" si="13"/>
        <v>-45999</v>
      </c>
      <c r="I52" s="23" t="s">
        <v>8</v>
      </c>
      <c r="J52" s="24">
        <v>2012</v>
      </c>
      <c r="K52" s="26"/>
      <c r="L52" s="26"/>
      <c r="M52" s="6" t="str">
        <f t="shared" si="14"/>
        <v/>
      </c>
      <c r="N52" s="6">
        <f t="shared" si="15"/>
        <v>-45999</v>
      </c>
      <c r="O52" s="23" t="s">
        <v>8</v>
      </c>
      <c r="P52" s="24">
        <v>2012</v>
      </c>
      <c r="Q52" s="26"/>
      <c r="R52" s="26"/>
      <c r="S52" s="6" t="str">
        <f t="shared" si="16"/>
        <v/>
      </c>
      <c r="T52" s="6">
        <f t="shared" si="17"/>
        <v>-45999</v>
      </c>
      <c r="U52" s="22"/>
      <c r="V52" s="11"/>
      <c r="W52" s="23" t="s">
        <v>8</v>
      </c>
      <c r="X52" s="24">
        <v>2012</v>
      </c>
      <c r="Y52" s="26"/>
      <c r="Z52" s="26"/>
      <c r="AA52" s="6" t="str">
        <f t="shared" si="18"/>
        <v/>
      </c>
      <c r="AB52" s="6">
        <f t="shared" si="19"/>
        <v>-45999</v>
      </c>
      <c r="AC52" s="22"/>
      <c r="AD52" s="11"/>
      <c r="AE52" s="23" t="s">
        <v>8</v>
      </c>
      <c r="AF52" s="24">
        <v>2012</v>
      </c>
      <c r="AG52" s="26"/>
      <c r="AH52" s="26"/>
      <c r="AI52" s="6" t="str">
        <f t="shared" si="20"/>
        <v/>
      </c>
      <c r="AJ52" s="6">
        <f t="shared" si="21"/>
        <v>-45999</v>
      </c>
      <c r="AK52" s="22"/>
      <c r="AL52" s="11"/>
      <c r="AM52" s="23" t="s">
        <v>8</v>
      </c>
      <c r="AN52" s="24">
        <v>2012</v>
      </c>
      <c r="AO52" s="26"/>
      <c r="AP52" s="26"/>
      <c r="AQ52" s="6" t="str">
        <f t="shared" si="22"/>
        <v/>
      </c>
      <c r="AR52" s="6">
        <f t="shared" si="23"/>
        <v>-45999</v>
      </c>
      <c r="AS52" s="22"/>
      <c r="AT52" s="11"/>
    </row>
    <row r="53" spans="1:46" ht="22.15" hidden="1" customHeight="1">
      <c r="A53"/>
      <c r="B53" s="5" t="s">
        <v>62</v>
      </c>
      <c r="C53" s="23" t="s">
        <v>8</v>
      </c>
      <c r="D53" s="24">
        <v>740</v>
      </c>
      <c r="E53" s="26"/>
      <c r="F53" s="26"/>
      <c r="G53" s="6" t="str">
        <f t="shared" si="12"/>
        <v/>
      </c>
      <c r="H53" s="6">
        <f t="shared" si="13"/>
        <v>-45999</v>
      </c>
      <c r="I53" s="23" t="s">
        <v>8</v>
      </c>
      <c r="J53" s="24">
        <v>740</v>
      </c>
      <c r="K53" s="26"/>
      <c r="L53" s="26"/>
      <c r="M53" s="6" t="str">
        <f t="shared" si="14"/>
        <v/>
      </c>
      <c r="N53" s="6">
        <f t="shared" si="15"/>
        <v>-45999</v>
      </c>
      <c r="O53" s="23" t="s">
        <v>8</v>
      </c>
      <c r="P53" s="24">
        <v>740</v>
      </c>
      <c r="Q53" s="26"/>
      <c r="R53" s="26"/>
      <c r="S53" s="6" t="str">
        <f t="shared" si="16"/>
        <v/>
      </c>
      <c r="T53" s="6">
        <f t="shared" si="17"/>
        <v>-45999</v>
      </c>
      <c r="U53" s="22"/>
      <c r="V53" s="11"/>
      <c r="W53" s="23" t="s">
        <v>8</v>
      </c>
      <c r="X53" s="24">
        <v>740</v>
      </c>
      <c r="Y53" s="26"/>
      <c r="Z53" s="26"/>
      <c r="AA53" s="6" t="str">
        <f t="shared" si="18"/>
        <v/>
      </c>
      <c r="AB53" s="6">
        <f t="shared" si="19"/>
        <v>-45999</v>
      </c>
      <c r="AC53" s="22"/>
      <c r="AD53" s="11"/>
      <c r="AE53" s="23" t="s">
        <v>8</v>
      </c>
      <c r="AF53" s="24">
        <v>740</v>
      </c>
      <c r="AG53" s="26"/>
      <c r="AH53" s="26"/>
      <c r="AI53" s="6" t="str">
        <f t="shared" si="20"/>
        <v/>
      </c>
      <c r="AJ53" s="6">
        <f t="shared" si="21"/>
        <v>-45999</v>
      </c>
      <c r="AK53" s="22"/>
      <c r="AL53" s="11"/>
      <c r="AM53" s="23" t="s">
        <v>8</v>
      </c>
      <c r="AN53" s="24">
        <v>740</v>
      </c>
      <c r="AO53" s="26"/>
      <c r="AP53" s="26"/>
      <c r="AQ53" s="6" t="str">
        <f t="shared" si="22"/>
        <v/>
      </c>
      <c r="AR53" s="6">
        <f t="shared" si="23"/>
        <v>-45999</v>
      </c>
      <c r="AS53" s="22"/>
      <c r="AT53" s="11"/>
    </row>
    <row r="54" spans="1:46" ht="22.15" hidden="1" customHeight="1">
      <c r="A54"/>
      <c r="B54" s="5" t="s">
        <v>63</v>
      </c>
      <c r="C54" s="23" t="s">
        <v>8</v>
      </c>
      <c r="D54" s="24">
        <v>92</v>
      </c>
      <c r="E54" s="26"/>
      <c r="F54" s="26"/>
      <c r="G54" s="6" t="str">
        <f t="shared" si="12"/>
        <v/>
      </c>
      <c r="H54" s="6">
        <f t="shared" si="13"/>
        <v>-45999</v>
      </c>
      <c r="I54" s="23" t="s">
        <v>8</v>
      </c>
      <c r="J54" s="24">
        <v>92</v>
      </c>
      <c r="K54" s="26"/>
      <c r="L54" s="26"/>
      <c r="M54" s="6" t="str">
        <f t="shared" si="14"/>
        <v/>
      </c>
      <c r="N54" s="6">
        <f t="shared" si="15"/>
        <v>-45999</v>
      </c>
      <c r="O54" s="23" t="s">
        <v>8</v>
      </c>
      <c r="P54" s="24">
        <v>92</v>
      </c>
      <c r="Q54" s="26"/>
      <c r="R54" s="26"/>
      <c r="S54" s="6" t="str">
        <f t="shared" si="16"/>
        <v/>
      </c>
      <c r="T54" s="6">
        <f t="shared" si="17"/>
        <v>-45999</v>
      </c>
      <c r="U54" s="22"/>
      <c r="V54" s="11"/>
      <c r="W54" s="23" t="s">
        <v>8</v>
      </c>
      <c r="X54" s="24">
        <v>92</v>
      </c>
      <c r="Y54" s="26"/>
      <c r="Z54" s="26"/>
      <c r="AA54" s="6" t="str">
        <f t="shared" si="18"/>
        <v/>
      </c>
      <c r="AB54" s="6">
        <f t="shared" si="19"/>
        <v>-45999</v>
      </c>
      <c r="AC54" s="22"/>
      <c r="AD54" s="11"/>
      <c r="AE54" s="23" t="s">
        <v>8</v>
      </c>
      <c r="AF54" s="24">
        <v>92</v>
      </c>
      <c r="AG54" s="26"/>
      <c r="AH54" s="26"/>
      <c r="AI54" s="6" t="str">
        <f t="shared" si="20"/>
        <v/>
      </c>
      <c r="AJ54" s="6">
        <f t="shared" si="21"/>
        <v>-45999</v>
      </c>
      <c r="AK54" s="22"/>
      <c r="AL54" s="11"/>
      <c r="AM54" s="23" t="s">
        <v>8</v>
      </c>
      <c r="AN54" s="24">
        <v>92</v>
      </c>
      <c r="AO54" s="26"/>
      <c r="AP54" s="26"/>
      <c r="AQ54" s="6" t="str">
        <f t="shared" si="22"/>
        <v/>
      </c>
      <c r="AR54" s="6">
        <f t="shared" si="23"/>
        <v>-45999</v>
      </c>
      <c r="AS54" s="22"/>
      <c r="AT54" s="11"/>
    </row>
    <row r="55" spans="1:46" ht="22.15" hidden="1" customHeight="1">
      <c r="A55"/>
      <c r="B55" s="5" t="s">
        <v>64</v>
      </c>
      <c r="C55" s="23" t="s">
        <v>8</v>
      </c>
      <c r="D55" s="24">
        <v>636</v>
      </c>
      <c r="E55" s="26"/>
      <c r="F55" s="26"/>
      <c r="G55" s="6" t="str">
        <f t="shared" si="12"/>
        <v/>
      </c>
      <c r="H55" s="6">
        <f t="shared" si="13"/>
        <v>-45999</v>
      </c>
      <c r="I55" s="23" t="s">
        <v>8</v>
      </c>
      <c r="J55" s="24">
        <v>636</v>
      </c>
      <c r="K55" s="26"/>
      <c r="L55" s="26"/>
      <c r="M55" s="6" t="str">
        <f t="shared" si="14"/>
        <v/>
      </c>
      <c r="N55" s="6">
        <f t="shared" si="15"/>
        <v>-45999</v>
      </c>
      <c r="O55" s="23" t="s">
        <v>8</v>
      </c>
      <c r="P55" s="24">
        <v>636</v>
      </c>
      <c r="Q55" s="26"/>
      <c r="R55" s="26"/>
      <c r="S55" s="6" t="str">
        <f t="shared" si="16"/>
        <v/>
      </c>
      <c r="T55" s="6">
        <f t="shared" si="17"/>
        <v>-45999</v>
      </c>
      <c r="U55" s="22"/>
      <c r="V55" s="11"/>
      <c r="W55" s="23" t="s">
        <v>8</v>
      </c>
      <c r="X55" s="24">
        <v>636</v>
      </c>
      <c r="Y55" s="26"/>
      <c r="Z55" s="26"/>
      <c r="AA55" s="6" t="str">
        <f t="shared" si="18"/>
        <v/>
      </c>
      <c r="AB55" s="6">
        <f t="shared" si="19"/>
        <v>-45999</v>
      </c>
      <c r="AC55" s="22"/>
      <c r="AD55" s="11"/>
      <c r="AE55" s="23" t="s">
        <v>8</v>
      </c>
      <c r="AF55" s="24">
        <v>636</v>
      </c>
      <c r="AG55" s="26"/>
      <c r="AH55" s="26"/>
      <c r="AI55" s="6" t="str">
        <f t="shared" si="20"/>
        <v/>
      </c>
      <c r="AJ55" s="6">
        <f t="shared" si="21"/>
        <v>-45999</v>
      </c>
      <c r="AK55" s="22"/>
      <c r="AL55" s="11"/>
      <c r="AM55" s="23" t="s">
        <v>8</v>
      </c>
      <c r="AN55" s="24">
        <v>636</v>
      </c>
      <c r="AO55" s="26"/>
      <c r="AP55" s="26"/>
      <c r="AQ55" s="6" t="str">
        <f t="shared" si="22"/>
        <v/>
      </c>
      <c r="AR55" s="6">
        <f t="shared" si="23"/>
        <v>-45999</v>
      </c>
      <c r="AS55" s="22"/>
      <c r="AT55" s="11"/>
    </row>
    <row r="56" spans="1:46" ht="22.15" hidden="1" customHeight="1">
      <c r="A56"/>
      <c r="B56" s="5" t="s">
        <v>65</v>
      </c>
      <c r="C56" s="23" t="s">
        <v>8</v>
      </c>
      <c r="D56" s="24">
        <v>636</v>
      </c>
      <c r="E56" s="26"/>
      <c r="F56" s="26"/>
      <c r="G56" s="6" t="str">
        <f t="shared" si="12"/>
        <v/>
      </c>
      <c r="H56" s="6">
        <f t="shared" si="13"/>
        <v>-45999</v>
      </c>
      <c r="I56" s="23" t="s">
        <v>8</v>
      </c>
      <c r="J56" s="24">
        <v>636</v>
      </c>
      <c r="K56" s="26"/>
      <c r="L56" s="26"/>
      <c r="M56" s="6" t="str">
        <f t="shared" si="14"/>
        <v/>
      </c>
      <c r="N56" s="6">
        <f t="shared" si="15"/>
        <v>-45999</v>
      </c>
      <c r="O56" s="23" t="s">
        <v>8</v>
      </c>
      <c r="P56" s="24">
        <v>636</v>
      </c>
      <c r="Q56" s="26"/>
      <c r="R56" s="26"/>
      <c r="S56" s="6" t="str">
        <f t="shared" si="16"/>
        <v/>
      </c>
      <c r="T56" s="6">
        <f t="shared" si="17"/>
        <v>-45999</v>
      </c>
      <c r="U56" s="22"/>
      <c r="V56" s="11"/>
      <c r="W56" s="23" t="s">
        <v>8</v>
      </c>
      <c r="X56" s="24">
        <v>636</v>
      </c>
      <c r="Y56" s="26"/>
      <c r="Z56" s="26"/>
      <c r="AA56" s="6" t="str">
        <f t="shared" si="18"/>
        <v/>
      </c>
      <c r="AB56" s="6">
        <f t="shared" si="19"/>
        <v>-45999</v>
      </c>
      <c r="AC56" s="22"/>
      <c r="AD56" s="11"/>
      <c r="AE56" s="23" t="s">
        <v>8</v>
      </c>
      <c r="AF56" s="24">
        <v>636</v>
      </c>
      <c r="AG56" s="26"/>
      <c r="AH56" s="26"/>
      <c r="AI56" s="6" t="str">
        <f t="shared" si="20"/>
        <v/>
      </c>
      <c r="AJ56" s="6">
        <f t="shared" si="21"/>
        <v>-45999</v>
      </c>
      <c r="AK56" s="22"/>
      <c r="AL56" s="11"/>
      <c r="AM56" s="23" t="s">
        <v>8</v>
      </c>
      <c r="AN56" s="24">
        <v>636</v>
      </c>
      <c r="AO56" s="26"/>
      <c r="AP56" s="26"/>
      <c r="AQ56" s="6" t="str">
        <f t="shared" si="22"/>
        <v/>
      </c>
      <c r="AR56" s="6">
        <f t="shared" si="23"/>
        <v>-45999</v>
      </c>
      <c r="AS56" s="22"/>
      <c r="AT56" s="11"/>
    </row>
    <row r="57" spans="1:46" ht="22.15" hidden="1" customHeight="1">
      <c r="A57"/>
      <c r="B57" s="5" t="s">
        <v>66</v>
      </c>
      <c r="C57" s="23" t="s">
        <v>8</v>
      </c>
      <c r="D57" s="24">
        <v>620</v>
      </c>
      <c r="E57" s="26"/>
      <c r="F57" s="26"/>
      <c r="G57" s="6" t="str">
        <f t="shared" si="12"/>
        <v/>
      </c>
      <c r="H57" s="6">
        <f t="shared" si="13"/>
        <v>-45999</v>
      </c>
      <c r="I57" s="23" t="s">
        <v>8</v>
      </c>
      <c r="J57" s="24">
        <v>620</v>
      </c>
      <c r="K57" s="26"/>
      <c r="L57" s="26"/>
      <c r="M57" s="6" t="str">
        <f t="shared" si="14"/>
        <v/>
      </c>
      <c r="N57" s="6">
        <f t="shared" si="15"/>
        <v>-45999</v>
      </c>
      <c r="O57" s="23" t="s">
        <v>8</v>
      </c>
      <c r="P57" s="24">
        <v>620</v>
      </c>
      <c r="Q57" s="26"/>
      <c r="R57" s="26"/>
      <c r="S57" s="6" t="str">
        <f t="shared" si="16"/>
        <v/>
      </c>
      <c r="T57" s="6">
        <f t="shared" si="17"/>
        <v>-45999</v>
      </c>
      <c r="U57" s="22"/>
      <c r="V57" s="11"/>
      <c r="W57" s="23" t="s">
        <v>8</v>
      </c>
      <c r="X57" s="24">
        <v>620</v>
      </c>
      <c r="Y57" s="26"/>
      <c r="Z57" s="26"/>
      <c r="AA57" s="6" t="str">
        <f t="shared" si="18"/>
        <v/>
      </c>
      <c r="AB57" s="6">
        <f t="shared" si="19"/>
        <v>-45999</v>
      </c>
      <c r="AC57" s="22"/>
      <c r="AD57" s="11"/>
      <c r="AE57" s="23" t="s">
        <v>8</v>
      </c>
      <c r="AF57" s="24">
        <v>620</v>
      </c>
      <c r="AG57" s="26"/>
      <c r="AH57" s="26"/>
      <c r="AI57" s="6" t="str">
        <f t="shared" si="20"/>
        <v/>
      </c>
      <c r="AJ57" s="6">
        <f t="shared" si="21"/>
        <v>-45999</v>
      </c>
      <c r="AK57" s="22"/>
      <c r="AL57" s="11"/>
      <c r="AM57" s="23" t="s">
        <v>8</v>
      </c>
      <c r="AN57" s="24">
        <v>620</v>
      </c>
      <c r="AO57" s="26"/>
      <c r="AP57" s="26"/>
      <c r="AQ57" s="6" t="str">
        <f t="shared" si="22"/>
        <v/>
      </c>
      <c r="AR57" s="6">
        <f t="shared" si="23"/>
        <v>-45999</v>
      </c>
      <c r="AS57" s="22"/>
      <c r="AT57" s="11"/>
    </row>
    <row r="58" spans="1:46" ht="22.15" hidden="1" customHeight="1">
      <c r="A58"/>
      <c r="B58" s="5" t="s">
        <v>67</v>
      </c>
      <c r="C58" s="23" t="s">
        <v>8</v>
      </c>
      <c r="D58" s="24">
        <v>636</v>
      </c>
      <c r="E58" s="26"/>
      <c r="F58" s="26"/>
      <c r="G58" s="6" t="str">
        <f t="shared" si="12"/>
        <v/>
      </c>
      <c r="H58" s="6">
        <f t="shared" si="13"/>
        <v>-45999</v>
      </c>
      <c r="I58" s="23" t="s">
        <v>8</v>
      </c>
      <c r="J58" s="24">
        <v>636</v>
      </c>
      <c r="K58" s="26"/>
      <c r="L58" s="26"/>
      <c r="M58" s="6" t="str">
        <f t="shared" si="14"/>
        <v/>
      </c>
      <c r="N58" s="6">
        <f t="shared" si="15"/>
        <v>-45999</v>
      </c>
      <c r="O58" s="23" t="s">
        <v>8</v>
      </c>
      <c r="P58" s="24">
        <v>636</v>
      </c>
      <c r="Q58" s="26"/>
      <c r="R58" s="26"/>
      <c r="S58" s="6" t="str">
        <f t="shared" si="16"/>
        <v/>
      </c>
      <c r="T58" s="6">
        <f t="shared" si="17"/>
        <v>-45999</v>
      </c>
      <c r="U58" s="22"/>
      <c r="V58" s="11"/>
      <c r="W58" s="23" t="s">
        <v>8</v>
      </c>
      <c r="X58" s="24">
        <v>636</v>
      </c>
      <c r="Y58" s="26"/>
      <c r="Z58" s="26"/>
      <c r="AA58" s="6" t="str">
        <f t="shared" si="18"/>
        <v/>
      </c>
      <c r="AB58" s="6">
        <f t="shared" si="19"/>
        <v>-45999</v>
      </c>
      <c r="AC58" s="22"/>
      <c r="AD58" s="11"/>
      <c r="AE58" s="23" t="s">
        <v>8</v>
      </c>
      <c r="AF58" s="24">
        <v>636</v>
      </c>
      <c r="AG58" s="26"/>
      <c r="AH58" s="26"/>
      <c r="AI58" s="6" t="str">
        <f t="shared" si="20"/>
        <v/>
      </c>
      <c r="AJ58" s="6">
        <f t="shared" si="21"/>
        <v>-45999</v>
      </c>
      <c r="AK58" s="22"/>
      <c r="AL58" s="11"/>
      <c r="AM58" s="23" t="s">
        <v>8</v>
      </c>
      <c r="AN58" s="24">
        <v>636</v>
      </c>
      <c r="AO58" s="26"/>
      <c r="AP58" s="26"/>
      <c r="AQ58" s="6" t="str">
        <f t="shared" si="22"/>
        <v/>
      </c>
      <c r="AR58" s="6">
        <f t="shared" si="23"/>
        <v>-45999</v>
      </c>
      <c r="AS58" s="22"/>
      <c r="AT58" s="11"/>
    </row>
    <row r="59" spans="1:46" ht="22.15" hidden="1" customHeight="1">
      <c r="A59"/>
      <c r="B59" s="5" t="s">
        <v>68</v>
      </c>
      <c r="C59" s="23" t="s">
        <v>8</v>
      </c>
      <c r="D59" s="24">
        <v>3844</v>
      </c>
      <c r="E59" s="26"/>
      <c r="F59" s="26"/>
      <c r="G59" s="6" t="str">
        <f t="shared" si="12"/>
        <v/>
      </c>
      <c r="H59" s="6">
        <f t="shared" si="13"/>
        <v>-45999</v>
      </c>
      <c r="I59" s="23" t="s">
        <v>8</v>
      </c>
      <c r="J59" s="24">
        <v>3844</v>
      </c>
      <c r="K59" s="26"/>
      <c r="L59" s="26"/>
      <c r="M59" s="6" t="str">
        <f t="shared" si="14"/>
        <v/>
      </c>
      <c r="N59" s="6">
        <f t="shared" si="15"/>
        <v>-45999</v>
      </c>
      <c r="O59" s="23" t="s">
        <v>8</v>
      </c>
      <c r="P59" s="24">
        <v>3844</v>
      </c>
      <c r="Q59" s="26"/>
      <c r="R59" s="26"/>
      <c r="S59" s="6" t="str">
        <f t="shared" si="16"/>
        <v/>
      </c>
      <c r="T59" s="6">
        <f t="shared" si="17"/>
        <v>-45999</v>
      </c>
      <c r="U59" s="22"/>
      <c r="V59" s="11"/>
      <c r="W59" s="23" t="s">
        <v>8</v>
      </c>
      <c r="X59" s="24">
        <v>3844</v>
      </c>
      <c r="Y59" s="26"/>
      <c r="Z59" s="26"/>
      <c r="AA59" s="6" t="str">
        <f t="shared" si="18"/>
        <v/>
      </c>
      <c r="AB59" s="6">
        <f t="shared" si="19"/>
        <v>-45999</v>
      </c>
      <c r="AC59" s="22"/>
      <c r="AD59" s="11"/>
      <c r="AE59" s="23" t="s">
        <v>8</v>
      </c>
      <c r="AF59" s="24">
        <v>3844</v>
      </c>
      <c r="AG59" s="26"/>
      <c r="AH59" s="26"/>
      <c r="AI59" s="6" t="str">
        <f t="shared" si="20"/>
        <v/>
      </c>
      <c r="AJ59" s="6">
        <f t="shared" si="21"/>
        <v>-45999</v>
      </c>
      <c r="AK59" s="22"/>
      <c r="AL59" s="11"/>
      <c r="AM59" s="23" t="s">
        <v>8</v>
      </c>
      <c r="AN59" s="24">
        <v>3844</v>
      </c>
      <c r="AO59" s="26"/>
      <c r="AP59" s="26"/>
      <c r="AQ59" s="6" t="str">
        <f t="shared" si="22"/>
        <v/>
      </c>
      <c r="AR59" s="6">
        <f t="shared" si="23"/>
        <v>-45999</v>
      </c>
      <c r="AS59" s="22"/>
      <c r="AT59" s="11"/>
    </row>
    <row r="60" spans="1:46" ht="22.15" hidden="1" customHeight="1">
      <c r="A60"/>
      <c r="B60" s="5" t="s">
        <v>69</v>
      </c>
      <c r="C60" s="23" t="s">
        <v>8</v>
      </c>
      <c r="D60" s="24">
        <v>3244</v>
      </c>
      <c r="E60" s="26"/>
      <c r="F60" s="26"/>
      <c r="G60" s="6" t="str">
        <f t="shared" si="12"/>
        <v/>
      </c>
      <c r="H60" s="6">
        <f t="shared" si="13"/>
        <v>-45999</v>
      </c>
      <c r="I60" s="23" t="s">
        <v>8</v>
      </c>
      <c r="J60" s="24">
        <v>3244</v>
      </c>
      <c r="K60" s="26"/>
      <c r="L60" s="26"/>
      <c r="M60" s="6" t="str">
        <f t="shared" si="14"/>
        <v/>
      </c>
      <c r="N60" s="6">
        <f t="shared" si="15"/>
        <v>-45999</v>
      </c>
      <c r="O60" s="23" t="s">
        <v>8</v>
      </c>
      <c r="P60" s="24">
        <v>3244</v>
      </c>
      <c r="Q60" s="26"/>
      <c r="R60" s="26"/>
      <c r="S60" s="6" t="str">
        <f t="shared" si="16"/>
        <v/>
      </c>
      <c r="T60" s="6">
        <f t="shared" si="17"/>
        <v>-45999</v>
      </c>
      <c r="U60" s="22"/>
      <c r="V60" s="11"/>
      <c r="W60" s="23" t="s">
        <v>8</v>
      </c>
      <c r="X60" s="24">
        <v>3244</v>
      </c>
      <c r="Y60" s="26"/>
      <c r="Z60" s="26"/>
      <c r="AA60" s="6" t="str">
        <f t="shared" si="18"/>
        <v/>
      </c>
      <c r="AB60" s="6">
        <f t="shared" si="19"/>
        <v>-45999</v>
      </c>
      <c r="AC60" s="22"/>
      <c r="AD60" s="11"/>
      <c r="AE60" s="23" t="s">
        <v>8</v>
      </c>
      <c r="AF60" s="24">
        <v>3244</v>
      </c>
      <c r="AG60" s="26"/>
      <c r="AH60" s="26"/>
      <c r="AI60" s="6" t="str">
        <f t="shared" si="20"/>
        <v/>
      </c>
      <c r="AJ60" s="6">
        <f t="shared" si="21"/>
        <v>-45999</v>
      </c>
      <c r="AK60" s="22"/>
      <c r="AL60" s="11"/>
      <c r="AM60" s="23" t="s">
        <v>8</v>
      </c>
      <c r="AN60" s="24">
        <v>3244</v>
      </c>
      <c r="AO60" s="26"/>
      <c r="AP60" s="26"/>
      <c r="AQ60" s="6" t="str">
        <f t="shared" si="22"/>
        <v/>
      </c>
      <c r="AR60" s="6">
        <f t="shared" si="23"/>
        <v>-45999</v>
      </c>
      <c r="AS60" s="22"/>
      <c r="AT60" s="11"/>
    </row>
    <row r="61" spans="1:46" ht="22.15" hidden="1" customHeight="1">
      <c r="A61"/>
      <c r="B61" s="5" t="s">
        <v>70</v>
      </c>
      <c r="C61" s="23" t="s">
        <v>8</v>
      </c>
      <c r="D61" s="24">
        <v>3244</v>
      </c>
      <c r="E61" s="26"/>
      <c r="F61" s="26"/>
      <c r="G61" s="6" t="str">
        <f t="shared" si="12"/>
        <v/>
      </c>
      <c r="H61" s="6">
        <f t="shared" si="13"/>
        <v>-45999</v>
      </c>
      <c r="I61" s="23" t="s">
        <v>8</v>
      </c>
      <c r="J61" s="24">
        <v>3244</v>
      </c>
      <c r="K61" s="26"/>
      <c r="L61" s="26"/>
      <c r="M61" s="6" t="str">
        <f t="shared" si="14"/>
        <v/>
      </c>
      <c r="N61" s="6">
        <f t="shared" si="15"/>
        <v>-45999</v>
      </c>
      <c r="O61" s="23" t="s">
        <v>8</v>
      </c>
      <c r="P61" s="24">
        <v>3244</v>
      </c>
      <c r="Q61" s="26"/>
      <c r="R61" s="26"/>
      <c r="S61" s="6" t="str">
        <f t="shared" si="16"/>
        <v/>
      </c>
      <c r="T61" s="6">
        <f t="shared" si="17"/>
        <v>-45999</v>
      </c>
      <c r="U61" s="22"/>
      <c r="V61" s="11"/>
      <c r="W61" s="23" t="s">
        <v>8</v>
      </c>
      <c r="X61" s="24">
        <v>3244</v>
      </c>
      <c r="Y61" s="26"/>
      <c r="Z61" s="26"/>
      <c r="AA61" s="6" t="str">
        <f t="shared" si="18"/>
        <v/>
      </c>
      <c r="AB61" s="6">
        <f t="shared" si="19"/>
        <v>-45999</v>
      </c>
      <c r="AC61" s="22"/>
      <c r="AD61" s="11"/>
      <c r="AE61" s="23" t="s">
        <v>8</v>
      </c>
      <c r="AF61" s="24">
        <v>3244</v>
      </c>
      <c r="AG61" s="26"/>
      <c r="AH61" s="26"/>
      <c r="AI61" s="6" t="str">
        <f t="shared" si="20"/>
        <v/>
      </c>
      <c r="AJ61" s="6">
        <f t="shared" si="21"/>
        <v>-45999</v>
      </c>
      <c r="AK61" s="22"/>
      <c r="AL61" s="11"/>
      <c r="AM61" s="23" t="s">
        <v>8</v>
      </c>
      <c r="AN61" s="24">
        <v>3244</v>
      </c>
      <c r="AO61" s="26"/>
      <c r="AP61" s="26"/>
      <c r="AQ61" s="6" t="str">
        <f t="shared" si="22"/>
        <v/>
      </c>
      <c r="AR61" s="6">
        <f t="shared" si="23"/>
        <v>-45999</v>
      </c>
      <c r="AS61" s="22"/>
      <c r="AT61" s="11"/>
    </row>
    <row r="62" spans="1:46" ht="22.15" hidden="1" customHeight="1">
      <c r="A62"/>
      <c r="B62" s="5" t="s">
        <v>71</v>
      </c>
      <c r="C62" s="23" t="s">
        <v>8</v>
      </c>
      <c r="D62" s="24">
        <v>3268</v>
      </c>
      <c r="E62" s="26"/>
      <c r="F62" s="26"/>
      <c r="G62" s="6" t="str">
        <f t="shared" si="12"/>
        <v/>
      </c>
      <c r="H62" s="6">
        <f t="shared" si="13"/>
        <v>-45999</v>
      </c>
      <c r="I62" s="23" t="s">
        <v>8</v>
      </c>
      <c r="J62" s="24">
        <v>3268</v>
      </c>
      <c r="K62" s="26"/>
      <c r="L62" s="26"/>
      <c r="M62" s="6" t="str">
        <f t="shared" si="14"/>
        <v/>
      </c>
      <c r="N62" s="6">
        <f t="shared" si="15"/>
        <v>-45999</v>
      </c>
      <c r="O62" s="23" t="s">
        <v>8</v>
      </c>
      <c r="P62" s="24">
        <v>3268</v>
      </c>
      <c r="Q62" s="26"/>
      <c r="R62" s="26"/>
      <c r="S62" s="6" t="str">
        <f t="shared" si="16"/>
        <v/>
      </c>
      <c r="T62" s="6">
        <f t="shared" si="17"/>
        <v>-45999</v>
      </c>
      <c r="U62" s="22"/>
      <c r="V62" s="11"/>
      <c r="W62" s="23" t="s">
        <v>8</v>
      </c>
      <c r="X62" s="24">
        <v>3268</v>
      </c>
      <c r="Y62" s="26"/>
      <c r="Z62" s="26"/>
      <c r="AA62" s="6" t="str">
        <f t="shared" si="18"/>
        <v/>
      </c>
      <c r="AB62" s="6">
        <f t="shared" si="19"/>
        <v>-45999</v>
      </c>
      <c r="AC62" s="22"/>
      <c r="AD62" s="11"/>
      <c r="AE62" s="23" t="s">
        <v>8</v>
      </c>
      <c r="AF62" s="24">
        <v>3268</v>
      </c>
      <c r="AG62" s="26"/>
      <c r="AH62" s="26"/>
      <c r="AI62" s="6" t="str">
        <f t="shared" si="20"/>
        <v/>
      </c>
      <c r="AJ62" s="6">
        <f t="shared" si="21"/>
        <v>-45999</v>
      </c>
      <c r="AK62" s="22"/>
      <c r="AL62" s="11"/>
      <c r="AM62" s="23" t="s">
        <v>8</v>
      </c>
      <c r="AN62" s="24">
        <v>3268</v>
      </c>
      <c r="AO62" s="26"/>
      <c r="AP62" s="26"/>
      <c r="AQ62" s="6" t="str">
        <f t="shared" si="22"/>
        <v/>
      </c>
      <c r="AR62" s="6">
        <f t="shared" si="23"/>
        <v>-45999</v>
      </c>
      <c r="AS62" s="22"/>
      <c r="AT62" s="11"/>
    </row>
    <row r="63" spans="1:46" ht="22.15" hidden="1" customHeight="1">
      <c r="A63"/>
      <c r="B63" s="5" t="s">
        <v>72</v>
      </c>
      <c r="C63" s="23" t="s">
        <v>8</v>
      </c>
      <c r="D63" s="24">
        <v>1608</v>
      </c>
      <c r="E63" s="26"/>
      <c r="F63" s="26"/>
      <c r="G63" s="6" t="str">
        <f t="shared" si="12"/>
        <v/>
      </c>
      <c r="H63" s="6">
        <f t="shared" si="13"/>
        <v>-45999</v>
      </c>
      <c r="I63" s="23" t="s">
        <v>8</v>
      </c>
      <c r="J63" s="24">
        <v>1608</v>
      </c>
      <c r="K63" s="26"/>
      <c r="L63" s="26"/>
      <c r="M63" s="6" t="str">
        <f t="shared" si="14"/>
        <v/>
      </c>
      <c r="N63" s="6">
        <f t="shared" si="15"/>
        <v>-45999</v>
      </c>
      <c r="O63" s="23" t="s">
        <v>8</v>
      </c>
      <c r="P63" s="24">
        <v>1608</v>
      </c>
      <c r="Q63" s="26"/>
      <c r="R63" s="26"/>
      <c r="S63" s="6" t="str">
        <f t="shared" si="16"/>
        <v/>
      </c>
      <c r="T63" s="6">
        <f t="shared" si="17"/>
        <v>-45999</v>
      </c>
      <c r="U63" s="22"/>
      <c r="V63" s="11"/>
      <c r="W63" s="23" t="s">
        <v>8</v>
      </c>
      <c r="X63" s="24">
        <v>1608</v>
      </c>
      <c r="Y63" s="26"/>
      <c r="Z63" s="26"/>
      <c r="AA63" s="6" t="str">
        <f t="shared" si="18"/>
        <v/>
      </c>
      <c r="AB63" s="6">
        <f t="shared" si="19"/>
        <v>-45999</v>
      </c>
      <c r="AC63" s="22"/>
      <c r="AD63" s="11"/>
      <c r="AE63" s="23" t="s">
        <v>8</v>
      </c>
      <c r="AF63" s="24">
        <v>1608</v>
      </c>
      <c r="AG63" s="26"/>
      <c r="AH63" s="26"/>
      <c r="AI63" s="6" t="str">
        <f t="shared" si="20"/>
        <v/>
      </c>
      <c r="AJ63" s="6">
        <f t="shared" si="21"/>
        <v>-45999</v>
      </c>
      <c r="AK63" s="22"/>
      <c r="AL63" s="11"/>
      <c r="AM63" s="23" t="s">
        <v>8</v>
      </c>
      <c r="AN63" s="24">
        <v>1608</v>
      </c>
      <c r="AO63" s="26"/>
      <c r="AP63" s="26"/>
      <c r="AQ63" s="6" t="str">
        <f t="shared" si="22"/>
        <v/>
      </c>
      <c r="AR63" s="6">
        <f t="shared" si="23"/>
        <v>-45999</v>
      </c>
      <c r="AS63" s="22"/>
      <c r="AT63" s="11"/>
    </row>
    <row r="64" spans="1:46" ht="22.15" hidden="1" customHeight="1">
      <c r="A64"/>
      <c r="B64" s="5" t="s">
        <v>73</v>
      </c>
      <c r="C64" s="23" t="s">
        <v>8</v>
      </c>
      <c r="D64" s="24">
        <v>1284</v>
      </c>
      <c r="E64" s="26"/>
      <c r="F64" s="26"/>
      <c r="G64" s="6" t="str">
        <f t="shared" si="12"/>
        <v/>
      </c>
      <c r="H64" s="6">
        <f t="shared" si="13"/>
        <v>-45999</v>
      </c>
      <c r="I64" s="23" t="s">
        <v>8</v>
      </c>
      <c r="J64" s="24">
        <v>1284</v>
      </c>
      <c r="K64" s="26"/>
      <c r="L64" s="26"/>
      <c r="M64" s="6" t="str">
        <f t="shared" si="14"/>
        <v/>
      </c>
      <c r="N64" s="6">
        <f t="shared" si="15"/>
        <v>-45999</v>
      </c>
      <c r="O64" s="23" t="s">
        <v>8</v>
      </c>
      <c r="P64" s="24">
        <v>1284</v>
      </c>
      <c r="Q64" s="26"/>
      <c r="R64" s="26"/>
      <c r="S64" s="6" t="str">
        <f t="shared" si="16"/>
        <v/>
      </c>
      <c r="T64" s="6">
        <f t="shared" si="17"/>
        <v>-45999</v>
      </c>
      <c r="U64" s="22"/>
      <c r="V64" s="11"/>
      <c r="W64" s="23" t="s">
        <v>8</v>
      </c>
      <c r="X64" s="24">
        <v>1284</v>
      </c>
      <c r="Y64" s="26"/>
      <c r="Z64" s="26"/>
      <c r="AA64" s="6" t="str">
        <f t="shared" si="18"/>
        <v/>
      </c>
      <c r="AB64" s="6">
        <f t="shared" si="19"/>
        <v>-45999</v>
      </c>
      <c r="AC64" s="22"/>
      <c r="AD64" s="11"/>
      <c r="AE64" s="23" t="s">
        <v>8</v>
      </c>
      <c r="AF64" s="24">
        <v>1284</v>
      </c>
      <c r="AG64" s="26"/>
      <c r="AH64" s="26"/>
      <c r="AI64" s="6" t="str">
        <f t="shared" si="20"/>
        <v/>
      </c>
      <c r="AJ64" s="6">
        <f t="shared" si="21"/>
        <v>-45999</v>
      </c>
      <c r="AK64" s="22"/>
      <c r="AL64" s="11"/>
      <c r="AM64" s="23" t="s">
        <v>8</v>
      </c>
      <c r="AN64" s="24">
        <v>1284</v>
      </c>
      <c r="AO64" s="26"/>
      <c r="AP64" s="26"/>
      <c r="AQ64" s="6" t="str">
        <f t="shared" si="22"/>
        <v/>
      </c>
      <c r="AR64" s="6">
        <f t="shared" si="23"/>
        <v>-45999</v>
      </c>
      <c r="AS64" s="22"/>
      <c r="AT64" s="11"/>
    </row>
    <row r="65" spans="1:46" ht="22.15" hidden="1" customHeight="1">
      <c r="A65"/>
      <c r="B65" s="5" t="s">
        <v>74</v>
      </c>
      <c r="C65" s="23" t="s">
        <v>8</v>
      </c>
      <c r="D65" s="24">
        <v>1266</v>
      </c>
      <c r="E65" s="26"/>
      <c r="F65" s="26"/>
      <c r="G65" s="6" t="str">
        <f t="shared" si="12"/>
        <v/>
      </c>
      <c r="H65" s="6">
        <f t="shared" si="13"/>
        <v>-45999</v>
      </c>
      <c r="I65" s="23" t="s">
        <v>8</v>
      </c>
      <c r="J65" s="24">
        <v>1266</v>
      </c>
      <c r="K65" s="26"/>
      <c r="L65" s="26"/>
      <c r="M65" s="6" t="str">
        <f t="shared" si="14"/>
        <v/>
      </c>
      <c r="N65" s="6">
        <f t="shared" si="15"/>
        <v>-45999</v>
      </c>
      <c r="O65" s="23" t="s">
        <v>8</v>
      </c>
      <c r="P65" s="24">
        <v>1266</v>
      </c>
      <c r="Q65" s="26"/>
      <c r="R65" s="26"/>
      <c r="S65" s="6" t="str">
        <f t="shared" si="16"/>
        <v/>
      </c>
      <c r="T65" s="6">
        <f t="shared" si="17"/>
        <v>-45999</v>
      </c>
      <c r="U65" s="22"/>
      <c r="V65" s="11"/>
      <c r="W65" s="23" t="s">
        <v>8</v>
      </c>
      <c r="X65" s="24">
        <v>1266</v>
      </c>
      <c r="Y65" s="26"/>
      <c r="Z65" s="26"/>
      <c r="AA65" s="6" t="str">
        <f t="shared" si="18"/>
        <v/>
      </c>
      <c r="AB65" s="6">
        <f t="shared" si="19"/>
        <v>-45999</v>
      </c>
      <c r="AC65" s="22"/>
      <c r="AD65" s="11"/>
      <c r="AE65" s="23" t="s">
        <v>8</v>
      </c>
      <c r="AF65" s="24">
        <v>1266</v>
      </c>
      <c r="AG65" s="26"/>
      <c r="AH65" s="26"/>
      <c r="AI65" s="6" t="str">
        <f t="shared" si="20"/>
        <v/>
      </c>
      <c r="AJ65" s="6">
        <f t="shared" si="21"/>
        <v>-45999</v>
      </c>
      <c r="AK65" s="22"/>
      <c r="AL65" s="11"/>
      <c r="AM65" s="23" t="s">
        <v>8</v>
      </c>
      <c r="AN65" s="24">
        <v>1266</v>
      </c>
      <c r="AO65" s="26"/>
      <c r="AP65" s="26"/>
      <c r="AQ65" s="6" t="str">
        <f t="shared" si="22"/>
        <v/>
      </c>
      <c r="AR65" s="6">
        <f t="shared" si="23"/>
        <v>-45999</v>
      </c>
      <c r="AS65" s="22"/>
      <c r="AT65" s="11"/>
    </row>
    <row r="66" spans="1:46" ht="22.15" hidden="1" customHeight="1">
      <c r="A66"/>
      <c r="B66" s="5" t="s">
        <v>75</v>
      </c>
      <c r="C66" s="23" t="s">
        <v>8</v>
      </c>
      <c r="D66" s="24">
        <v>1278</v>
      </c>
      <c r="E66" s="26"/>
      <c r="F66" s="26"/>
      <c r="G66" s="6" t="str">
        <f t="shared" si="12"/>
        <v/>
      </c>
      <c r="H66" s="6">
        <f t="shared" si="13"/>
        <v>-45999</v>
      </c>
      <c r="I66" s="23" t="s">
        <v>8</v>
      </c>
      <c r="J66" s="24">
        <v>1278</v>
      </c>
      <c r="K66" s="26"/>
      <c r="L66" s="26"/>
      <c r="M66" s="6" t="str">
        <f t="shared" si="14"/>
        <v/>
      </c>
      <c r="N66" s="6">
        <f t="shared" si="15"/>
        <v>-45999</v>
      </c>
      <c r="O66" s="23" t="s">
        <v>8</v>
      </c>
      <c r="P66" s="24">
        <v>1278</v>
      </c>
      <c r="Q66" s="26"/>
      <c r="R66" s="26"/>
      <c r="S66" s="6" t="str">
        <f t="shared" si="16"/>
        <v/>
      </c>
      <c r="T66" s="6">
        <f t="shared" si="17"/>
        <v>-45999</v>
      </c>
      <c r="U66" s="22"/>
      <c r="V66" s="11"/>
      <c r="W66" s="23" t="s">
        <v>8</v>
      </c>
      <c r="X66" s="24">
        <v>1278</v>
      </c>
      <c r="Y66" s="26"/>
      <c r="Z66" s="26"/>
      <c r="AA66" s="6" t="str">
        <f t="shared" si="18"/>
        <v/>
      </c>
      <c r="AB66" s="6">
        <f t="shared" si="19"/>
        <v>-45999</v>
      </c>
      <c r="AC66" s="22"/>
      <c r="AD66" s="11"/>
      <c r="AE66" s="23" t="s">
        <v>8</v>
      </c>
      <c r="AF66" s="24">
        <v>1278</v>
      </c>
      <c r="AG66" s="26"/>
      <c r="AH66" s="26"/>
      <c r="AI66" s="6" t="str">
        <f t="shared" si="20"/>
        <v/>
      </c>
      <c r="AJ66" s="6">
        <f t="shared" si="21"/>
        <v>-45999</v>
      </c>
      <c r="AK66" s="22"/>
      <c r="AL66" s="11"/>
      <c r="AM66" s="23" t="s">
        <v>8</v>
      </c>
      <c r="AN66" s="24">
        <v>1278</v>
      </c>
      <c r="AO66" s="26"/>
      <c r="AP66" s="26"/>
      <c r="AQ66" s="6" t="str">
        <f t="shared" si="22"/>
        <v/>
      </c>
      <c r="AR66" s="6">
        <f t="shared" si="23"/>
        <v>-45999</v>
      </c>
      <c r="AS66" s="22"/>
      <c r="AT66" s="11"/>
    </row>
    <row r="67" spans="1:46" ht="22.15" hidden="1" customHeight="1">
      <c r="A67"/>
      <c r="B67" s="5" t="s">
        <v>76</v>
      </c>
      <c r="C67" s="23" t="s">
        <v>8</v>
      </c>
      <c r="D67" s="24">
        <v>300</v>
      </c>
      <c r="E67" s="26"/>
      <c r="F67" s="26"/>
      <c r="G67" s="6" t="str">
        <f t="shared" si="12"/>
        <v/>
      </c>
      <c r="H67" s="6">
        <f t="shared" si="13"/>
        <v>-45999</v>
      </c>
      <c r="I67" s="23" t="s">
        <v>8</v>
      </c>
      <c r="J67" s="24">
        <v>300</v>
      </c>
      <c r="K67" s="26"/>
      <c r="L67" s="26"/>
      <c r="M67" s="6" t="str">
        <f t="shared" si="14"/>
        <v/>
      </c>
      <c r="N67" s="6">
        <f t="shared" si="15"/>
        <v>-45999</v>
      </c>
      <c r="O67" s="23" t="s">
        <v>8</v>
      </c>
      <c r="P67" s="24">
        <v>300</v>
      </c>
      <c r="Q67" s="26"/>
      <c r="R67" s="26"/>
      <c r="S67" s="6" t="str">
        <f t="shared" si="16"/>
        <v/>
      </c>
      <c r="T67" s="6">
        <f t="shared" si="17"/>
        <v>-45999</v>
      </c>
      <c r="U67" s="22"/>
      <c r="V67" s="11"/>
      <c r="W67" s="23" t="s">
        <v>8</v>
      </c>
      <c r="X67" s="24">
        <v>300</v>
      </c>
      <c r="Y67" s="26"/>
      <c r="Z67" s="26"/>
      <c r="AA67" s="6" t="str">
        <f t="shared" si="18"/>
        <v/>
      </c>
      <c r="AB67" s="6">
        <f t="shared" si="19"/>
        <v>-45999</v>
      </c>
      <c r="AC67" s="22"/>
      <c r="AD67" s="11"/>
      <c r="AE67" s="23" t="s">
        <v>8</v>
      </c>
      <c r="AF67" s="24">
        <v>300</v>
      </c>
      <c r="AG67" s="26"/>
      <c r="AH67" s="26"/>
      <c r="AI67" s="6" t="str">
        <f t="shared" si="20"/>
        <v/>
      </c>
      <c r="AJ67" s="6">
        <f t="shared" si="21"/>
        <v>-45999</v>
      </c>
      <c r="AK67" s="22"/>
      <c r="AL67" s="11"/>
      <c r="AM67" s="23" t="s">
        <v>8</v>
      </c>
      <c r="AN67" s="24">
        <v>300</v>
      </c>
      <c r="AO67" s="26"/>
      <c r="AP67" s="26"/>
      <c r="AQ67" s="6" t="str">
        <f t="shared" si="22"/>
        <v/>
      </c>
      <c r="AR67" s="6">
        <f t="shared" si="23"/>
        <v>-45999</v>
      </c>
      <c r="AS67" s="22"/>
      <c r="AT67" s="11"/>
    </row>
    <row r="68" spans="1:46" ht="22.15" hidden="1" customHeight="1">
      <c r="A68"/>
      <c r="B68" s="5" t="s">
        <v>77</v>
      </c>
      <c r="C68" s="23" t="s">
        <v>8</v>
      </c>
      <c r="D68" s="24">
        <v>306</v>
      </c>
      <c r="E68" s="26"/>
      <c r="F68" s="26"/>
      <c r="G68" s="6" t="str">
        <f t="shared" si="12"/>
        <v/>
      </c>
      <c r="H68" s="6">
        <f t="shared" si="13"/>
        <v>-45999</v>
      </c>
      <c r="I68" s="23" t="s">
        <v>8</v>
      </c>
      <c r="J68" s="24">
        <v>306</v>
      </c>
      <c r="K68" s="26"/>
      <c r="L68" s="26"/>
      <c r="M68" s="6" t="str">
        <f t="shared" si="14"/>
        <v/>
      </c>
      <c r="N68" s="6">
        <f t="shared" si="15"/>
        <v>-45999</v>
      </c>
      <c r="O68" s="23" t="s">
        <v>8</v>
      </c>
      <c r="P68" s="24">
        <v>306</v>
      </c>
      <c r="Q68" s="26"/>
      <c r="R68" s="26"/>
      <c r="S68" s="6" t="str">
        <f t="shared" si="16"/>
        <v/>
      </c>
      <c r="T68" s="6">
        <f t="shared" si="17"/>
        <v>-45999</v>
      </c>
      <c r="U68" s="22"/>
      <c r="V68" s="11"/>
      <c r="W68" s="23" t="s">
        <v>8</v>
      </c>
      <c r="X68" s="24">
        <v>306</v>
      </c>
      <c r="Y68" s="26"/>
      <c r="Z68" s="26"/>
      <c r="AA68" s="6" t="str">
        <f t="shared" si="18"/>
        <v/>
      </c>
      <c r="AB68" s="6">
        <f t="shared" si="19"/>
        <v>-45999</v>
      </c>
      <c r="AC68" s="22"/>
      <c r="AD68" s="11"/>
      <c r="AE68" s="23" t="s">
        <v>8</v>
      </c>
      <c r="AF68" s="24">
        <v>306</v>
      </c>
      <c r="AG68" s="26"/>
      <c r="AH68" s="26"/>
      <c r="AI68" s="6" t="str">
        <f t="shared" si="20"/>
        <v/>
      </c>
      <c r="AJ68" s="6">
        <f t="shared" si="21"/>
        <v>-45999</v>
      </c>
      <c r="AK68" s="22"/>
      <c r="AL68" s="11"/>
      <c r="AM68" s="23" t="s">
        <v>8</v>
      </c>
      <c r="AN68" s="24">
        <v>306</v>
      </c>
      <c r="AO68" s="26"/>
      <c r="AP68" s="26"/>
      <c r="AQ68" s="6" t="str">
        <f t="shared" si="22"/>
        <v/>
      </c>
      <c r="AR68" s="6">
        <f t="shared" si="23"/>
        <v>-45999</v>
      </c>
      <c r="AS68" s="22"/>
      <c r="AT68" s="11"/>
    </row>
    <row r="69" spans="1:46" ht="22.15" hidden="1" customHeight="1">
      <c r="A69"/>
      <c r="B69" s="5" t="s">
        <v>78</v>
      </c>
      <c r="C69" s="23" t="s">
        <v>8</v>
      </c>
      <c r="D69" s="24">
        <v>1296</v>
      </c>
      <c r="E69" s="26"/>
      <c r="F69" s="26"/>
      <c r="G69" s="6" t="str">
        <f t="shared" si="12"/>
        <v/>
      </c>
      <c r="H69" s="6">
        <f t="shared" si="13"/>
        <v>-45999</v>
      </c>
      <c r="I69" s="23" t="s">
        <v>8</v>
      </c>
      <c r="J69" s="24">
        <v>1296</v>
      </c>
      <c r="K69" s="26"/>
      <c r="L69" s="26"/>
      <c r="M69" s="6" t="str">
        <f t="shared" si="14"/>
        <v/>
      </c>
      <c r="N69" s="6">
        <f t="shared" si="15"/>
        <v>-45999</v>
      </c>
      <c r="O69" s="23" t="s">
        <v>8</v>
      </c>
      <c r="P69" s="24">
        <v>1296</v>
      </c>
      <c r="Q69" s="26"/>
      <c r="R69" s="26"/>
      <c r="S69" s="6" t="str">
        <f t="shared" si="16"/>
        <v/>
      </c>
      <c r="T69" s="6">
        <f t="shared" si="17"/>
        <v>-45999</v>
      </c>
      <c r="U69" s="22"/>
      <c r="V69" s="11"/>
      <c r="W69" s="23" t="s">
        <v>8</v>
      </c>
      <c r="X69" s="24">
        <v>1296</v>
      </c>
      <c r="Y69" s="26"/>
      <c r="Z69" s="26"/>
      <c r="AA69" s="6" t="str">
        <f t="shared" si="18"/>
        <v/>
      </c>
      <c r="AB69" s="6">
        <f t="shared" si="19"/>
        <v>-45999</v>
      </c>
      <c r="AC69" s="22"/>
      <c r="AD69" s="11"/>
      <c r="AE69" s="23" t="s">
        <v>8</v>
      </c>
      <c r="AF69" s="24">
        <v>1296</v>
      </c>
      <c r="AG69" s="26"/>
      <c r="AH69" s="26"/>
      <c r="AI69" s="6" t="str">
        <f t="shared" si="20"/>
        <v/>
      </c>
      <c r="AJ69" s="6">
        <f t="shared" si="21"/>
        <v>-45999</v>
      </c>
      <c r="AK69" s="22"/>
      <c r="AL69" s="11"/>
      <c r="AM69" s="23" t="s">
        <v>8</v>
      </c>
      <c r="AN69" s="24">
        <v>1296</v>
      </c>
      <c r="AO69" s="26"/>
      <c r="AP69" s="26"/>
      <c r="AQ69" s="6" t="str">
        <f t="shared" si="22"/>
        <v/>
      </c>
      <c r="AR69" s="6">
        <f t="shared" si="23"/>
        <v>-45999</v>
      </c>
      <c r="AS69" s="22"/>
      <c r="AT69" s="11"/>
    </row>
    <row r="70" spans="1:46" ht="22.15" hidden="1" customHeight="1">
      <c r="A70"/>
      <c r="B70" s="5" t="s">
        <v>79</v>
      </c>
      <c r="C70" s="23" t="s">
        <v>8</v>
      </c>
      <c r="D70" s="24">
        <v>414</v>
      </c>
      <c r="E70" s="26"/>
      <c r="F70" s="26"/>
      <c r="G70" s="6" t="str">
        <f t="shared" si="12"/>
        <v/>
      </c>
      <c r="H70" s="6">
        <f t="shared" si="13"/>
        <v>-45999</v>
      </c>
      <c r="I70" s="23" t="s">
        <v>8</v>
      </c>
      <c r="J70" s="24">
        <v>414</v>
      </c>
      <c r="K70" s="26"/>
      <c r="L70" s="26"/>
      <c r="M70" s="6" t="str">
        <f t="shared" si="14"/>
        <v/>
      </c>
      <c r="N70" s="6">
        <f t="shared" si="15"/>
        <v>-45999</v>
      </c>
      <c r="O70" s="23" t="s">
        <v>8</v>
      </c>
      <c r="P70" s="24">
        <v>414</v>
      </c>
      <c r="Q70" s="26"/>
      <c r="R70" s="26"/>
      <c r="S70" s="6" t="str">
        <f t="shared" si="16"/>
        <v/>
      </c>
      <c r="T70" s="6">
        <f t="shared" si="17"/>
        <v>-45999</v>
      </c>
      <c r="U70" s="22"/>
      <c r="V70" s="11"/>
      <c r="W70" s="23" t="s">
        <v>8</v>
      </c>
      <c r="X70" s="24">
        <v>414</v>
      </c>
      <c r="Y70" s="26"/>
      <c r="Z70" s="26"/>
      <c r="AA70" s="6" t="str">
        <f t="shared" si="18"/>
        <v/>
      </c>
      <c r="AB70" s="6">
        <f t="shared" si="19"/>
        <v>-45999</v>
      </c>
      <c r="AC70" s="22"/>
      <c r="AD70" s="11"/>
      <c r="AE70" s="23" t="s">
        <v>8</v>
      </c>
      <c r="AF70" s="24">
        <v>414</v>
      </c>
      <c r="AG70" s="26"/>
      <c r="AH70" s="26"/>
      <c r="AI70" s="6" t="str">
        <f t="shared" si="20"/>
        <v/>
      </c>
      <c r="AJ70" s="6">
        <f t="shared" si="21"/>
        <v>-45999</v>
      </c>
      <c r="AK70" s="22"/>
      <c r="AL70" s="11"/>
      <c r="AM70" s="23" t="s">
        <v>8</v>
      </c>
      <c r="AN70" s="24">
        <v>414</v>
      </c>
      <c r="AO70" s="26"/>
      <c r="AP70" s="26"/>
      <c r="AQ70" s="6" t="str">
        <f t="shared" si="22"/>
        <v/>
      </c>
      <c r="AR70" s="6">
        <f t="shared" si="23"/>
        <v>-45999</v>
      </c>
      <c r="AS70" s="22"/>
      <c r="AT70" s="11"/>
    </row>
    <row r="71" spans="1:46" ht="22.15" customHeight="1">
      <c r="A71"/>
      <c r="B71" s="13" t="s">
        <v>81</v>
      </c>
      <c r="C71" s="23" t="s">
        <v>15</v>
      </c>
      <c r="D71" s="27">
        <v>15</v>
      </c>
      <c r="E71" s="28">
        <v>45964</v>
      </c>
      <c r="F71" s="26">
        <v>46009</v>
      </c>
      <c r="G71" s="6">
        <f t="shared" si="12"/>
        <v>22.222222222222221</v>
      </c>
      <c r="H71" s="6">
        <f t="shared" si="13"/>
        <v>10</v>
      </c>
      <c r="I71" s="23"/>
      <c r="J71" s="29"/>
      <c r="K71" s="28"/>
      <c r="L71" s="26"/>
      <c r="M71" s="6" t="str">
        <f t="shared" si="14"/>
        <v/>
      </c>
      <c r="N71" s="6">
        <f t="shared" si="15"/>
        <v>-45999</v>
      </c>
      <c r="O71" s="23"/>
      <c r="P71" s="29"/>
      <c r="Q71" s="28"/>
      <c r="R71" s="26"/>
      <c r="S71" s="6" t="str">
        <f t="shared" si="16"/>
        <v/>
      </c>
      <c r="T71" s="6">
        <f t="shared" si="17"/>
        <v>-45999</v>
      </c>
      <c r="U71" s="30">
        <f>D71-P71</f>
        <v>15</v>
      </c>
      <c r="V71" s="11"/>
      <c r="W71" s="23"/>
      <c r="X71" s="29"/>
      <c r="Y71" s="28"/>
      <c r="Z71" s="26"/>
      <c r="AA71" s="6" t="str">
        <f t="shared" si="18"/>
        <v/>
      </c>
      <c r="AB71" s="6">
        <f t="shared" si="19"/>
        <v>-45999</v>
      </c>
      <c r="AC71" s="37"/>
      <c r="AD71" s="11"/>
      <c r="AE71" s="23"/>
      <c r="AF71" s="29"/>
      <c r="AG71" s="28"/>
      <c r="AH71" s="26"/>
      <c r="AI71" s="6" t="str">
        <f t="shared" si="20"/>
        <v/>
      </c>
      <c r="AJ71" s="6">
        <f t="shared" si="21"/>
        <v>-45999</v>
      </c>
      <c r="AK71" s="37"/>
      <c r="AL71" s="11"/>
      <c r="AM71" s="23"/>
      <c r="AN71" s="29"/>
      <c r="AO71" s="28"/>
      <c r="AP71" s="26"/>
      <c r="AQ71" s="6" t="str">
        <f t="shared" si="22"/>
        <v/>
      </c>
      <c r="AR71" s="6">
        <f t="shared" si="23"/>
        <v>-45999</v>
      </c>
      <c r="AS71" s="37"/>
      <c r="AT71" s="11"/>
    </row>
    <row r="72" spans="1:46" ht="22.15" hidden="1" customHeight="1">
      <c r="A72"/>
      <c r="B72" s="8"/>
      <c r="C72" s="23"/>
      <c r="D72" s="27"/>
      <c r="E72" s="26"/>
      <c r="F72" s="26"/>
      <c r="G72" s="6" t="str">
        <f t="shared" ref="G72:G82" si="24">IFERROR((F72-$G$1)/(F72-E72)*100,"")</f>
        <v/>
      </c>
      <c r="H72" s="6">
        <f t="shared" ref="H72:H82" si="25">F72-$H$1</f>
        <v>-45999</v>
      </c>
      <c r="I72" s="23"/>
      <c r="J72" s="27"/>
      <c r="K72" s="26"/>
      <c r="L72" s="26"/>
      <c r="M72" s="6" t="str">
        <f t="shared" si="14"/>
        <v/>
      </c>
      <c r="N72" s="6">
        <f t="shared" si="15"/>
        <v>-45999</v>
      </c>
      <c r="O72" s="23"/>
      <c r="P72" s="27"/>
      <c r="Q72" s="26"/>
      <c r="R72" s="26"/>
      <c r="S72" s="6" t="str">
        <f t="shared" si="16"/>
        <v/>
      </c>
      <c r="T72" s="6">
        <f t="shared" si="17"/>
        <v>-45999</v>
      </c>
      <c r="U72" s="22">
        <f t="shared" ref="U72:U76" si="26">L72-P72</f>
        <v>0</v>
      </c>
      <c r="V72" s="11"/>
      <c r="W72" s="23"/>
      <c r="X72" s="27"/>
      <c r="Y72" s="26"/>
      <c r="Z72" s="26"/>
      <c r="AA72" s="6" t="str">
        <f t="shared" si="18"/>
        <v/>
      </c>
      <c r="AB72" s="6">
        <f t="shared" si="19"/>
        <v>-45999</v>
      </c>
      <c r="AC72" s="22"/>
      <c r="AD72" s="11"/>
      <c r="AE72" s="23"/>
      <c r="AF72" s="27"/>
      <c r="AG72" s="26"/>
      <c r="AH72" s="26"/>
      <c r="AI72" s="6" t="str">
        <f t="shared" si="20"/>
        <v/>
      </c>
      <c r="AJ72" s="6">
        <f t="shared" si="21"/>
        <v>-45999</v>
      </c>
      <c r="AK72" s="37"/>
      <c r="AL72" s="11"/>
      <c r="AM72" s="23"/>
      <c r="AN72" s="27"/>
      <c r="AO72" s="26"/>
      <c r="AP72" s="26"/>
      <c r="AQ72" s="6" t="str">
        <f t="shared" si="22"/>
        <v/>
      </c>
      <c r="AR72" s="6">
        <f t="shared" si="23"/>
        <v>-45999</v>
      </c>
      <c r="AS72" s="37"/>
      <c r="AT72" s="11"/>
    </row>
    <row r="73" spans="1:46" ht="22.15" hidden="1" customHeight="1">
      <c r="A73"/>
      <c r="B73" s="8"/>
      <c r="C73" s="23"/>
      <c r="D73" s="27"/>
      <c r="E73" s="26"/>
      <c r="F73" s="26"/>
      <c r="G73" s="6" t="str">
        <f t="shared" si="24"/>
        <v/>
      </c>
      <c r="H73" s="6">
        <f t="shared" si="25"/>
        <v>-45999</v>
      </c>
      <c r="I73" s="23"/>
      <c r="J73" s="27"/>
      <c r="K73" s="26"/>
      <c r="L73" s="26"/>
      <c r="M73" s="6" t="str">
        <f t="shared" si="14"/>
        <v/>
      </c>
      <c r="N73" s="6">
        <f t="shared" si="15"/>
        <v>-45999</v>
      </c>
      <c r="O73" s="23"/>
      <c r="P73" s="27"/>
      <c r="Q73" s="26"/>
      <c r="R73" s="26"/>
      <c r="S73" s="6" t="str">
        <f t="shared" si="16"/>
        <v/>
      </c>
      <c r="T73" s="6">
        <f t="shared" si="17"/>
        <v>-45999</v>
      </c>
      <c r="U73" s="22">
        <f t="shared" si="26"/>
        <v>0</v>
      </c>
      <c r="V73" s="11"/>
      <c r="W73" s="23"/>
      <c r="X73" s="27"/>
      <c r="Y73" s="26"/>
      <c r="Z73" s="26"/>
      <c r="AA73" s="6" t="str">
        <f t="shared" si="18"/>
        <v/>
      </c>
      <c r="AB73" s="6">
        <f t="shared" si="19"/>
        <v>-45999</v>
      </c>
      <c r="AC73" s="22"/>
      <c r="AD73" s="11"/>
      <c r="AE73" s="23"/>
      <c r="AF73" s="27"/>
      <c r="AG73" s="26"/>
      <c r="AH73" s="26"/>
      <c r="AI73" s="6" t="str">
        <f t="shared" si="20"/>
        <v/>
      </c>
      <c r="AJ73" s="6">
        <f t="shared" si="21"/>
        <v>-45999</v>
      </c>
      <c r="AK73" s="37"/>
      <c r="AL73" s="11"/>
      <c r="AM73" s="23"/>
      <c r="AN73" s="27"/>
      <c r="AO73" s="26"/>
      <c r="AP73" s="26"/>
      <c r="AQ73" s="6" t="str">
        <f t="shared" si="22"/>
        <v/>
      </c>
      <c r="AR73" s="6">
        <f t="shared" si="23"/>
        <v>-45999</v>
      </c>
      <c r="AS73" s="37"/>
      <c r="AT73" s="11"/>
    </row>
    <row r="74" spans="1:46" ht="22.15" hidden="1" customHeight="1">
      <c r="A74"/>
      <c r="B74" s="8"/>
      <c r="C74" s="23"/>
      <c r="D74" s="27"/>
      <c r="E74" s="26"/>
      <c r="F74" s="26"/>
      <c r="G74" s="6" t="str">
        <f t="shared" si="24"/>
        <v/>
      </c>
      <c r="H74" s="6">
        <f t="shared" si="25"/>
        <v>-45999</v>
      </c>
      <c r="I74" s="23"/>
      <c r="J74" s="27"/>
      <c r="K74" s="26"/>
      <c r="L74" s="26"/>
      <c r="M74" s="6" t="str">
        <f t="shared" si="14"/>
        <v/>
      </c>
      <c r="N74" s="6">
        <f t="shared" si="15"/>
        <v>-45999</v>
      </c>
      <c r="O74" s="23"/>
      <c r="P74" s="27"/>
      <c r="Q74" s="26"/>
      <c r="R74" s="26"/>
      <c r="S74" s="6" t="str">
        <f t="shared" si="16"/>
        <v/>
      </c>
      <c r="T74" s="6">
        <f t="shared" si="17"/>
        <v>-45999</v>
      </c>
      <c r="U74" s="22">
        <f t="shared" si="26"/>
        <v>0</v>
      </c>
      <c r="V74" s="11"/>
      <c r="W74" s="23"/>
      <c r="X74" s="27"/>
      <c r="Y74" s="26"/>
      <c r="Z74" s="26"/>
      <c r="AA74" s="6" t="str">
        <f t="shared" si="18"/>
        <v/>
      </c>
      <c r="AB74" s="6">
        <f t="shared" si="19"/>
        <v>-45999</v>
      </c>
      <c r="AC74" s="22"/>
      <c r="AD74" s="11"/>
      <c r="AE74" s="23"/>
      <c r="AF74" s="27"/>
      <c r="AG74" s="26"/>
      <c r="AH74" s="26"/>
      <c r="AI74" s="6" t="str">
        <f t="shared" si="20"/>
        <v/>
      </c>
      <c r="AJ74" s="6">
        <f t="shared" si="21"/>
        <v>-45999</v>
      </c>
      <c r="AK74" s="37"/>
      <c r="AL74" s="11"/>
      <c r="AM74" s="23"/>
      <c r="AN74" s="27"/>
      <c r="AO74" s="26"/>
      <c r="AP74" s="26"/>
      <c r="AQ74" s="6" t="str">
        <f t="shared" si="22"/>
        <v/>
      </c>
      <c r="AR74" s="6">
        <f t="shared" si="23"/>
        <v>-45999</v>
      </c>
      <c r="AS74" s="37"/>
      <c r="AT74" s="11"/>
    </row>
    <row r="75" spans="1:46" ht="22.15" hidden="1" customHeight="1">
      <c r="A75"/>
      <c r="B75" s="8"/>
      <c r="C75" s="23"/>
      <c r="D75" s="27"/>
      <c r="E75" s="26"/>
      <c r="F75" s="26"/>
      <c r="G75" s="6" t="str">
        <f t="shared" si="24"/>
        <v/>
      </c>
      <c r="H75" s="6">
        <f t="shared" si="25"/>
        <v>-45999</v>
      </c>
      <c r="I75" s="23"/>
      <c r="J75" s="27"/>
      <c r="K75" s="26"/>
      <c r="L75" s="26"/>
      <c r="M75" s="6" t="str">
        <f t="shared" si="14"/>
        <v/>
      </c>
      <c r="N75" s="6">
        <f t="shared" si="15"/>
        <v>-45999</v>
      </c>
      <c r="O75" s="23"/>
      <c r="P75" s="27"/>
      <c r="Q75" s="26"/>
      <c r="R75" s="26"/>
      <c r="S75" s="6" t="str">
        <f t="shared" si="16"/>
        <v/>
      </c>
      <c r="T75" s="6">
        <f t="shared" si="17"/>
        <v>-45999</v>
      </c>
      <c r="U75" s="22">
        <f t="shared" si="26"/>
        <v>0</v>
      </c>
      <c r="V75" s="11"/>
      <c r="W75" s="23"/>
      <c r="X75" s="27"/>
      <c r="Y75" s="26"/>
      <c r="Z75" s="26"/>
      <c r="AA75" s="6" t="str">
        <f t="shared" si="18"/>
        <v/>
      </c>
      <c r="AB75" s="6">
        <f t="shared" si="19"/>
        <v>-45999</v>
      </c>
      <c r="AC75" s="22"/>
      <c r="AD75" s="11"/>
      <c r="AE75" s="23"/>
      <c r="AF75" s="27"/>
      <c r="AG75" s="26"/>
      <c r="AH75" s="26"/>
      <c r="AI75" s="6" t="str">
        <f t="shared" si="20"/>
        <v/>
      </c>
      <c r="AJ75" s="6">
        <f t="shared" si="21"/>
        <v>-45999</v>
      </c>
      <c r="AK75" s="37"/>
      <c r="AL75" s="11"/>
      <c r="AM75" s="23"/>
      <c r="AN75" s="27"/>
      <c r="AO75" s="26"/>
      <c r="AP75" s="26"/>
      <c r="AQ75" s="6" t="str">
        <f t="shared" si="22"/>
        <v/>
      </c>
      <c r="AR75" s="6">
        <f t="shared" si="23"/>
        <v>-45999</v>
      </c>
      <c r="AS75" s="37"/>
      <c r="AT75" s="11"/>
    </row>
    <row r="76" spans="1:46" ht="22.15" hidden="1" customHeight="1">
      <c r="A76"/>
      <c r="B76" s="8"/>
      <c r="C76" s="23"/>
      <c r="D76" s="27"/>
      <c r="E76" s="26"/>
      <c r="F76" s="26"/>
      <c r="G76" s="6" t="str">
        <f t="shared" si="24"/>
        <v/>
      </c>
      <c r="H76" s="6">
        <f t="shared" si="25"/>
        <v>-45999</v>
      </c>
      <c r="I76" s="23"/>
      <c r="J76" s="27"/>
      <c r="K76" s="26"/>
      <c r="L76" s="26"/>
      <c r="M76" s="6" t="str">
        <f t="shared" si="14"/>
        <v/>
      </c>
      <c r="N76" s="6">
        <f t="shared" si="15"/>
        <v>-45999</v>
      </c>
      <c r="O76" s="23"/>
      <c r="P76" s="27"/>
      <c r="Q76" s="26"/>
      <c r="R76" s="26"/>
      <c r="S76" s="6" t="str">
        <f t="shared" si="16"/>
        <v/>
      </c>
      <c r="T76" s="6">
        <f t="shared" si="17"/>
        <v>-45999</v>
      </c>
      <c r="U76" s="22">
        <f t="shared" si="26"/>
        <v>0</v>
      </c>
      <c r="V76" s="11"/>
      <c r="W76" s="23"/>
      <c r="X76" s="27"/>
      <c r="Y76" s="26"/>
      <c r="Z76" s="26"/>
      <c r="AA76" s="6" t="str">
        <f t="shared" si="18"/>
        <v/>
      </c>
      <c r="AB76" s="6">
        <f t="shared" si="19"/>
        <v>-45999</v>
      </c>
      <c r="AC76" s="22"/>
      <c r="AD76" s="11"/>
      <c r="AE76" s="23"/>
      <c r="AF76" s="27"/>
      <c r="AG76" s="26"/>
      <c r="AH76" s="26"/>
      <c r="AI76" s="6" t="str">
        <f t="shared" si="20"/>
        <v/>
      </c>
      <c r="AJ76" s="6">
        <f t="shared" si="21"/>
        <v>-45999</v>
      </c>
      <c r="AK76" s="37"/>
      <c r="AL76" s="11"/>
      <c r="AM76" s="23"/>
      <c r="AN76" s="27"/>
      <c r="AO76" s="26"/>
      <c r="AP76" s="26"/>
      <c r="AQ76" s="6" t="str">
        <f t="shared" si="22"/>
        <v/>
      </c>
      <c r="AR76" s="6">
        <f t="shared" si="23"/>
        <v>-45999</v>
      </c>
      <c r="AS76" s="37"/>
      <c r="AT76" s="11"/>
    </row>
    <row r="77" spans="1:46" ht="22.15" customHeight="1">
      <c r="A77"/>
      <c r="B77" s="40" t="s">
        <v>80</v>
      </c>
      <c r="C77" s="23" t="s">
        <v>8</v>
      </c>
      <c r="D77" s="27">
        <v>13</v>
      </c>
      <c r="E77" s="26">
        <v>45892</v>
      </c>
      <c r="F77" s="26">
        <v>46012</v>
      </c>
      <c r="G77" s="6">
        <f t="shared" si="24"/>
        <v>10.833333333333334</v>
      </c>
      <c r="H77" s="6">
        <f t="shared" si="25"/>
        <v>13</v>
      </c>
      <c r="I77" s="23" t="s">
        <v>8</v>
      </c>
      <c r="J77" s="27">
        <v>13</v>
      </c>
      <c r="K77" s="26">
        <v>45892</v>
      </c>
      <c r="L77" s="26">
        <v>46012</v>
      </c>
      <c r="M77" s="6">
        <f t="shared" si="14"/>
        <v>10.833333333333334</v>
      </c>
      <c r="N77" s="6">
        <f t="shared" si="15"/>
        <v>13</v>
      </c>
      <c r="O77" s="23" t="s">
        <v>8</v>
      </c>
      <c r="P77" s="27">
        <v>13</v>
      </c>
      <c r="Q77" s="26">
        <v>45892</v>
      </c>
      <c r="R77" s="26">
        <v>46012</v>
      </c>
      <c r="S77" s="6">
        <f t="shared" si="16"/>
        <v>10.833333333333334</v>
      </c>
      <c r="T77" s="6">
        <f t="shared" si="17"/>
        <v>13</v>
      </c>
      <c r="U77" s="31">
        <f>D77-P77</f>
        <v>0</v>
      </c>
      <c r="V77" s="11"/>
      <c r="W77" s="23" t="s">
        <v>8</v>
      </c>
      <c r="X77" s="27">
        <v>13</v>
      </c>
      <c r="Y77" s="26">
        <v>45892</v>
      </c>
      <c r="Z77" s="26">
        <v>46012</v>
      </c>
      <c r="AA77" s="6">
        <f t="shared" si="18"/>
        <v>10.833333333333334</v>
      </c>
      <c r="AB77" s="6">
        <f t="shared" si="19"/>
        <v>13</v>
      </c>
      <c r="AC77" s="31">
        <f>J77-P77</f>
        <v>0</v>
      </c>
      <c r="AD77" s="11"/>
      <c r="AE77" s="23"/>
      <c r="AF77" s="27"/>
      <c r="AG77" s="26"/>
      <c r="AH77" s="26"/>
      <c r="AI77" s="6" t="str">
        <f t="shared" si="20"/>
        <v/>
      </c>
      <c r="AJ77" s="6">
        <f t="shared" si="21"/>
        <v>-45999</v>
      </c>
      <c r="AK77" s="57">
        <f>X77-AF77</f>
        <v>13</v>
      </c>
      <c r="AL77" s="11"/>
      <c r="AM77" s="23"/>
      <c r="AN77" s="27"/>
      <c r="AO77" s="26"/>
      <c r="AP77" s="26"/>
      <c r="AQ77" s="6" t="str">
        <f t="shared" si="22"/>
        <v/>
      </c>
      <c r="AR77" s="6">
        <f t="shared" si="23"/>
        <v>-45999</v>
      </c>
      <c r="AS77" s="57">
        <f>AF77-AN77</f>
        <v>0</v>
      </c>
      <c r="AT77" s="11"/>
    </row>
    <row r="78" spans="1:46" ht="22.15" customHeight="1">
      <c r="A78"/>
      <c r="B78" s="13" t="s">
        <v>82</v>
      </c>
      <c r="C78" s="23" t="s">
        <v>15</v>
      </c>
      <c r="D78" s="27">
        <v>93.518000000000001</v>
      </c>
      <c r="E78" s="26">
        <v>45977</v>
      </c>
      <c r="F78" s="26">
        <v>46007</v>
      </c>
      <c r="G78" s="6">
        <f t="shared" si="24"/>
        <v>26.666666666666668</v>
      </c>
      <c r="H78" s="6">
        <f t="shared" si="25"/>
        <v>8</v>
      </c>
      <c r="I78" s="23" t="s">
        <v>15</v>
      </c>
      <c r="J78" s="27">
        <v>25.765999999999998</v>
      </c>
      <c r="K78" s="26">
        <v>45977</v>
      </c>
      <c r="L78" s="26">
        <v>46007</v>
      </c>
      <c r="M78" s="6">
        <f t="shared" si="14"/>
        <v>26.666666666666668</v>
      </c>
      <c r="N78" s="6">
        <f t="shared" si="15"/>
        <v>8</v>
      </c>
      <c r="O78" s="23"/>
      <c r="P78" s="27"/>
      <c r="Q78" s="26"/>
      <c r="R78" s="26"/>
      <c r="S78" s="6" t="str">
        <f t="shared" si="16"/>
        <v/>
      </c>
      <c r="T78" s="6">
        <f t="shared" si="17"/>
        <v>-45999</v>
      </c>
      <c r="U78" s="32">
        <f t="shared" ref="U78:U83" si="27">D78-P78</f>
        <v>93.518000000000001</v>
      </c>
      <c r="V78" s="11"/>
      <c r="W78" s="23"/>
      <c r="X78" s="27"/>
      <c r="Y78" s="26"/>
      <c r="Z78" s="26"/>
      <c r="AA78" s="6" t="str">
        <f t="shared" si="18"/>
        <v/>
      </c>
      <c r="AB78" s="6">
        <f t="shared" si="19"/>
        <v>-45999</v>
      </c>
      <c r="AC78" s="37"/>
      <c r="AD78" s="11"/>
      <c r="AE78" s="23"/>
      <c r="AF78" s="27"/>
      <c r="AG78" s="26"/>
      <c r="AH78" s="26"/>
      <c r="AI78" s="6" t="str">
        <f t="shared" si="20"/>
        <v/>
      </c>
      <c r="AJ78" s="6">
        <f t="shared" si="21"/>
        <v>-45999</v>
      </c>
      <c r="AK78" s="37"/>
      <c r="AL78" s="11"/>
      <c r="AM78" s="23"/>
      <c r="AN78" s="27"/>
      <c r="AO78" s="26"/>
      <c r="AP78" s="26"/>
      <c r="AQ78" s="6" t="str">
        <f t="shared" si="22"/>
        <v/>
      </c>
      <c r="AR78" s="6">
        <f t="shared" si="23"/>
        <v>-45999</v>
      </c>
      <c r="AS78" s="37"/>
      <c r="AT78" s="11"/>
    </row>
    <row r="79" spans="1:46" ht="22.15" customHeight="1">
      <c r="A79"/>
      <c r="B79" s="13" t="s">
        <v>83</v>
      </c>
      <c r="C79" s="23" t="s">
        <v>15</v>
      </c>
      <c r="D79" s="27">
        <v>26.315999999999999</v>
      </c>
      <c r="E79" s="26">
        <v>45982</v>
      </c>
      <c r="F79" s="26">
        <v>46012</v>
      </c>
      <c r="G79" s="6">
        <f t="shared" si="24"/>
        <v>43.333333333333336</v>
      </c>
      <c r="H79" s="6">
        <f t="shared" si="25"/>
        <v>13</v>
      </c>
      <c r="I79" s="23"/>
      <c r="J79" s="29"/>
      <c r="K79" s="26"/>
      <c r="L79" s="26"/>
      <c r="M79" s="6" t="str">
        <f t="shared" si="14"/>
        <v/>
      </c>
      <c r="N79" s="6">
        <f t="shared" si="15"/>
        <v>-45999</v>
      </c>
      <c r="O79" s="23"/>
      <c r="P79" s="29"/>
      <c r="Q79" s="26"/>
      <c r="R79" s="26"/>
      <c r="S79" s="6" t="str">
        <f t="shared" si="16"/>
        <v/>
      </c>
      <c r="T79" s="6">
        <f t="shared" si="17"/>
        <v>-45999</v>
      </c>
      <c r="U79" s="32">
        <f t="shared" si="27"/>
        <v>26.315999999999999</v>
      </c>
      <c r="V79" s="11"/>
      <c r="W79" s="23"/>
      <c r="X79" s="29"/>
      <c r="Y79" s="26"/>
      <c r="Z79" s="26"/>
      <c r="AA79" s="6" t="str">
        <f t="shared" si="18"/>
        <v/>
      </c>
      <c r="AB79" s="6">
        <f t="shared" si="19"/>
        <v>-45999</v>
      </c>
      <c r="AC79" s="37"/>
      <c r="AD79" s="11"/>
      <c r="AE79" s="23"/>
      <c r="AF79" s="29"/>
      <c r="AG79" s="26"/>
      <c r="AH79" s="26"/>
      <c r="AI79" s="6" t="str">
        <f t="shared" si="20"/>
        <v/>
      </c>
      <c r="AJ79" s="6">
        <f t="shared" si="21"/>
        <v>-45999</v>
      </c>
      <c r="AK79" s="37"/>
      <c r="AL79" s="11"/>
      <c r="AM79" s="23"/>
      <c r="AN79" s="29"/>
      <c r="AO79" s="26"/>
      <c r="AP79" s="26"/>
      <c r="AQ79" s="6" t="str">
        <f t="shared" si="22"/>
        <v/>
      </c>
      <c r="AR79" s="6">
        <f t="shared" si="23"/>
        <v>-45999</v>
      </c>
      <c r="AS79" s="37"/>
      <c r="AT79" s="11"/>
    </row>
    <row r="80" spans="1:46" ht="22.15" customHeight="1">
      <c r="A80"/>
      <c r="B80" s="13" t="s">
        <v>84</v>
      </c>
      <c r="C80" s="23" t="s">
        <v>15</v>
      </c>
      <c r="D80" s="27">
        <v>25</v>
      </c>
      <c r="E80" s="26">
        <v>45973</v>
      </c>
      <c r="F80" s="26">
        <v>46018</v>
      </c>
      <c r="G80" s="6">
        <f t="shared" si="24"/>
        <v>42.222222222222221</v>
      </c>
      <c r="H80" s="6">
        <f t="shared" si="25"/>
        <v>19</v>
      </c>
      <c r="I80" s="23" t="s">
        <v>15</v>
      </c>
      <c r="J80" s="27">
        <v>25</v>
      </c>
      <c r="K80" s="26">
        <v>45973</v>
      </c>
      <c r="L80" s="26">
        <v>46018</v>
      </c>
      <c r="M80" s="6">
        <f t="shared" si="14"/>
        <v>42.222222222222221</v>
      </c>
      <c r="N80" s="6">
        <f t="shared" si="15"/>
        <v>19</v>
      </c>
      <c r="O80" s="23"/>
      <c r="P80" s="27"/>
      <c r="Q80" s="26"/>
      <c r="R80" s="26"/>
      <c r="S80" s="6" t="str">
        <f t="shared" si="16"/>
        <v/>
      </c>
      <c r="T80" s="6">
        <f t="shared" si="17"/>
        <v>-45999</v>
      </c>
      <c r="U80" s="32">
        <f t="shared" si="27"/>
        <v>25</v>
      </c>
      <c r="V80" s="11"/>
      <c r="W80" s="23"/>
      <c r="X80" s="27"/>
      <c r="Y80" s="26"/>
      <c r="Z80" s="26"/>
      <c r="AA80" s="6" t="str">
        <f t="shared" si="18"/>
        <v/>
      </c>
      <c r="AB80" s="6">
        <f t="shared" si="19"/>
        <v>-45999</v>
      </c>
      <c r="AC80" s="37"/>
      <c r="AD80" s="11"/>
      <c r="AE80" s="23"/>
      <c r="AF80" s="27"/>
      <c r="AG80" s="26"/>
      <c r="AH80" s="26"/>
      <c r="AI80" s="6" t="str">
        <f t="shared" si="20"/>
        <v/>
      </c>
      <c r="AJ80" s="6">
        <f t="shared" si="21"/>
        <v>-45999</v>
      </c>
      <c r="AK80" s="37"/>
      <c r="AL80" s="11"/>
      <c r="AM80" s="23"/>
      <c r="AN80" s="27"/>
      <c r="AO80" s="26"/>
      <c r="AP80" s="26"/>
      <c r="AQ80" s="6" t="str">
        <f t="shared" si="22"/>
        <v/>
      </c>
      <c r="AR80" s="6">
        <f t="shared" si="23"/>
        <v>-45999</v>
      </c>
      <c r="AS80" s="37"/>
      <c r="AT80" s="11"/>
    </row>
    <row r="81" spans="1:46" ht="22.15" customHeight="1">
      <c r="A81"/>
      <c r="B81" s="13" t="s">
        <v>85</v>
      </c>
      <c r="C81" s="33" t="s">
        <v>8</v>
      </c>
      <c r="D81" s="34">
        <v>36</v>
      </c>
      <c r="E81" s="26">
        <v>45970</v>
      </c>
      <c r="F81" s="26">
        <v>46010</v>
      </c>
      <c r="G81" s="6">
        <f t="shared" si="24"/>
        <v>27.500000000000004</v>
      </c>
      <c r="H81" s="6">
        <f t="shared" si="25"/>
        <v>11</v>
      </c>
      <c r="I81" s="33" t="s">
        <v>8</v>
      </c>
      <c r="J81" s="34">
        <v>22</v>
      </c>
      <c r="K81" s="26">
        <v>45970</v>
      </c>
      <c r="L81" s="26">
        <v>46010</v>
      </c>
      <c r="M81" s="6">
        <f t="shared" si="14"/>
        <v>27.500000000000004</v>
      </c>
      <c r="N81" s="6">
        <f t="shared" si="15"/>
        <v>11</v>
      </c>
      <c r="O81" s="33"/>
      <c r="P81" s="34"/>
      <c r="Q81" s="26"/>
      <c r="R81" s="26"/>
      <c r="S81" s="6" t="str">
        <f t="shared" si="16"/>
        <v/>
      </c>
      <c r="T81" s="6">
        <f t="shared" si="17"/>
        <v>-45999</v>
      </c>
      <c r="U81" s="32">
        <f t="shared" si="27"/>
        <v>36</v>
      </c>
      <c r="V81" s="11"/>
      <c r="W81" s="33"/>
      <c r="X81" s="34"/>
      <c r="Y81" s="26"/>
      <c r="Z81" s="26"/>
      <c r="AA81" s="6" t="str">
        <f t="shared" si="18"/>
        <v/>
      </c>
      <c r="AB81" s="6">
        <f t="shared" si="19"/>
        <v>-45999</v>
      </c>
      <c r="AC81" s="37"/>
      <c r="AD81" s="11"/>
      <c r="AE81" s="33"/>
      <c r="AF81" s="34"/>
      <c r="AG81" s="26"/>
      <c r="AH81" s="26"/>
      <c r="AI81" s="6" t="str">
        <f t="shared" si="20"/>
        <v/>
      </c>
      <c r="AJ81" s="6">
        <f t="shared" si="21"/>
        <v>-45999</v>
      </c>
      <c r="AK81" s="37"/>
      <c r="AL81" s="11"/>
      <c r="AM81" s="33"/>
      <c r="AN81" s="34"/>
      <c r="AO81" s="26"/>
      <c r="AP81" s="26"/>
      <c r="AQ81" s="6" t="str">
        <f t="shared" si="22"/>
        <v/>
      </c>
      <c r="AR81" s="6">
        <f t="shared" si="23"/>
        <v>-45999</v>
      </c>
      <c r="AS81" s="37"/>
      <c r="AT81" s="11"/>
    </row>
    <row r="82" spans="1:46" ht="22.15" customHeight="1">
      <c r="A82"/>
      <c r="B82" s="9"/>
      <c r="C82" s="15"/>
      <c r="D82" s="35"/>
      <c r="E82" s="36"/>
      <c r="F82" s="15"/>
      <c r="G82" s="6" t="str">
        <f t="shared" si="24"/>
        <v/>
      </c>
      <c r="H82" s="6">
        <f t="shared" si="25"/>
        <v>-45999</v>
      </c>
      <c r="I82" s="15"/>
      <c r="J82" s="35"/>
      <c r="K82" s="36"/>
      <c r="L82" s="15"/>
      <c r="M82" s="6" t="str">
        <f t="shared" si="14"/>
        <v/>
      </c>
      <c r="N82" s="6">
        <f t="shared" si="15"/>
        <v>-45999</v>
      </c>
      <c r="O82" s="15"/>
      <c r="P82" s="35"/>
      <c r="Q82" s="36"/>
      <c r="R82" s="15"/>
      <c r="S82" s="6" t="str">
        <f t="shared" si="16"/>
        <v/>
      </c>
      <c r="T82" s="6">
        <f t="shared" si="17"/>
        <v>-45999</v>
      </c>
      <c r="U82" s="37"/>
      <c r="V82" s="11"/>
      <c r="W82" s="15"/>
      <c r="X82" s="35"/>
      <c r="Y82" s="36"/>
      <c r="Z82" s="15"/>
      <c r="AA82" s="6" t="str">
        <f t="shared" si="18"/>
        <v/>
      </c>
      <c r="AB82" s="6">
        <f t="shared" si="19"/>
        <v>-45999</v>
      </c>
      <c r="AC82" s="37"/>
      <c r="AD82" s="11"/>
      <c r="AE82" s="15"/>
      <c r="AF82" s="35"/>
      <c r="AG82" s="36"/>
      <c r="AH82" s="15"/>
      <c r="AI82" s="6" t="str">
        <f t="shared" si="20"/>
        <v/>
      </c>
      <c r="AJ82" s="6">
        <f t="shared" si="21"/>
        <v>-45999</v>
      </c>
      <c r="AK82" s="37"/>
      <c r="AL82" s="11"/>
      <c r="AM82" s="15"/>
      <c r="AN82" s="35"/>
      <c r="AO82" s="36"/>
      <c r="AP82" s="15"/>
      <c r="AQ82" s="6" t="str">
        <f t="shared" si="22"/>
        <v/>
      </c>
      <c r="AR82" s="6">
        <f t="shared" si="23"/>
        <v>-45999</v>
      </c>
      <c r="AS82" s="37"/>
      <c r="AT82" s="11"/>
    </row>
    <row r="83" spans="1:46" ht="22.15" customHeight="1">
      <c r="A83"/>
      <c r="B83" s="40" t="s">
        <v>86</v>
      </c>
      <c r="C83" s="23" t="s">
        <v>8</v>
      </c>
      <c r="D83" s="27">
        <v>233</v>
      </c>
      <c r="E83" s="26">
        <v>45979</v>
      </c>
      <c r="F83" s="26">
        <v>46019</v>
      </c>
      <c r="G83" s="6">
        <f>IFERROR((F83-$G$1)/(F83-E83)*100,"")</f>
        <v>50</v>
      </c>
      <c r="H83" s="6">
        <f t="shared" ref="H83" si="28">F83-$H$1</f>
        <v>20</v>
      </c>
      <c r="I83" s="23" t="s">
        <v>8</v>
      </c>
      <c r="J83" s="27">
        <v>204</v>
      </c>
      <c r="K83" s="26">
        <v>45979</v>
      </c>
      <c r="L83" s="26">
        <v>46019</v>
      </c>
      <c r="M83" s="6">
        <f t="shared" si="14"/>
        <v>50</v>
      </c>
      <c r="N83" s="6">
        <f t="shared" si="15"/>
        <v>20</v>
      </c>
      <c r="O83" s="23" t="s">
        <v>8</v>
      </c>
      <c r="P83" s="27">
        <v>202</v>
      </c>
      <c r="Q83" s="26">
        <v>45979</v>
      </c>
      <c r="R83" s="26">
        <v>46019</v>
      </c>
      <c r="S83" s="6">
        <f t="shared" si="16"/>
        <v>50</v>
      </c>
      <c r="T83" s="6">
        <f t="shared" si="17"/>
        <v>20</v>
      </c>
      <c r="U83" s="31">
        <f t="shared" si="27"/>
        <v>31</v>
      </c>
      <c r="V83" s="11"/>
      <c r="W83" s="23"/>
      <c r="X83" s="27"/>
      <c r="Y83" s="26"/>
      <c r="Z83" s="26"/>
      <c r="AA83" s="6" t="str">
        <f t="shared" si="18"/>
        <v/>
      </c>
      <c r="AB83" s="6">
        <f t="shared" si="19"/>
        <v>-45999</v>
      </c>
      <c r="AC83" s="30">
        <f>D83-W83</f>
        <v>233</v>
      </c>
      <c r="AD83" s="11"/>
      <c r="AE83" s="23"/>
      <c r="AF83" s="27"/>
      <c r="AG83" s="26"/>
      <c r="AH83" s="26"/>
      <c r="AI83" s="6" t="str">
        <f t="shared" si="20"/>
        <v/>
      </c>
      <c r="AJ83" s="6">
        <f t="shared" si="21"/>
        <v>-45999</v>
      </c>
      <c r="AK83" s="37"/>
      <c r="AL83" s="11"/>
      <c r="AM83" s="23"/>
      <c r="AN83" s="27"/>
      <c r="AO83" s="26"/>
      <c r="AP83" s="26"/>
      <c r="AQ83" s="6" t="str">
        <f t="shared" si="22"/>
        <v/>
      </c>
      <c r="AR83" s="6">
        <f t="shared" si="23"/>
        <v>-45999</v>
      </c>
      <c r="AS83" s="37"/>
      <c r="AT83" s="11"/>
    </row>
    <row r="84" spans="1:46" ht="22.15" customHeight="1">
      <c r="A84"/>
      <c r="B84" s="13" t="s">
        <v>87</v>
      </c>
      <c r="C84" s="23"/>
      <c r="D84" s="24"/>
      <c r="E84" s="26"/>
      <c r="F84" s="26"/>
      <c r="G84" s="6" t="str">
        <f t="shared" ref="G84:G86" si="29">IFERROR((F84-$G$1)/(F84-E84)*100,"")</f>
        <v/>
      </c>
      <c r="H84" s="6">
        <f t="shared" ref="H84:H86" si="30">F84-$H$1</f>
        <v>-45999</v>
      </c>
      <c r="I84" s="23" t="s">
        <v>8</v>
      </c>
      <c r="J84" s="24">
        <v>7</v>
      </c>
      <c r="K84" s="26">
        <v>45976</v>
      </c>
      <c r="L84" s="26">
        <v>46016</v>
      </c>
      <c r="M84" s="6">
        <f t="shared" si="14"/>
        <v>42.5</v>
      </c>
      <c r="N84" s="6">
        <f t="shared" si="15"/>
        <v>17</v>
      </c>
      <c r="O84" s="23"/>
      <c r="P84" s="24"/>
      <c r="Q84" s="26"/>
      <c r="R84" s="26"/>
      <c r="S84" s="6" t="str">
        <f t="shared" si="16"/>
        <v/>
      </c>
      <c r="T84" s="6">
        <f t="shared" si="17"/>
        <v>-45999</v>
      </c>
      <c r="U84" s="30">
        <f>J84-P84</f>
        <v>7</v>
      </c>
      <c r="V84" s="11"/>
      <c r="W84" s="23"/>
      <c r="X84" s="24"/>
      <c r="Y84" s="26"/>
      <c r="Z84" s="26"/>
      <c r="AA84" s="6" t="str">
        <f t="shared" si="18"/>
        <v/>
      </c>
      <c r="AB84" s="6">
        <f t="shared" si="19"/>
        <v>-45999</v>
      </c>
      <c r="AC84" s="37"/>
      <c r="AD84" s="11"/>
      <c r="AE84" s="23"/>
      <c r="AF84" s="24"/>
      <c r="AG84" s="26"/>
      <c r="AH84" s="26"/>
      <c r="AI84" s="6" t="str">
        <f t="shared" si="20"/>
        <v/>
      </c>
      <c r="AJ84" s="6">
        <f t="shared" si="21"/>
        <v>-45999</v>
      </c>
      <c r="AK84" s="37"/>
      <c r="AL84" s="11"/>
      <c r="AM84" s="23"/>
      <c r="AN84" s="24"/>
      <c r="AO84" s="26"/>
      <c r="AP84" s="26"/>
      <c r="AQ84" s="6" t="str">
        <f t="shared" si="22"/>
        <v/>
      </c>
      <c r="AR84" s="6">
        <f t="shared" si="23"/>
        <v>-45999</v>
      </c>
      <c r="AS84" s="37"/>
      <c r="AT84" s="11"/>
    </row>
    <row r="85" spans="1:46" ht="22.15" customHeight="1">
      <c r="A85"/>
      <c r="B85" s="13" t="s">
        <v>86</v>
      </c>
      <c r="C85" s="23"/>
      <c r="D85" s="27"/>
      <c r="E85" s="26"/>
      <c r="F85" s="26"/>
      <c r="G85" s="6" t="str">
        <f t="shared" si="29"/>
        <v/>
      </c>
      <c r="H85" s="6">
        <f t="shared" si="30"/>
        <v>-45999</v>
      </c>
      <c r="I85" s="23" t="s">
        <v>8</v>
      </c>
      <c r="J85" s="27">
        <v>21</v>
      </c>
      <c r="K85" s="26">
        <v>45974</v>
      </c>
      <c r="L85" s="26">
        <v>46014</v>
      </c>
      <c r="M85" s="6">
        <f t="shared" si="14"/>
        <v>37.5</v>
      </c>
      <c r="N85" s="6">
        <f t="shared" si="15"/>
        <v>15</v>
      </c>
      <c r="O85" s="23"/>
      <c r="P85" s="27"/>
      <c r="Q85" s="26"/>
      <c r="R85" s="26"/>
      <c r="S85" s="6" t="str">
        <f t="shared" si="16"/>
        <v/>
      </c>
      <c r="T85" s="6">
        <f t="shared" si="17"/>
        <v>-45999</v>
      </c>
      <c r="U85" s="30">
        <f>J85-P85</f>
        <v>21</v>
      </c>
      <c r="V85" s="11"/>
      <c r="W85" s="23"/>
      <c r="X85" s="27"/>
      <c r="Y85" s="26"/>
      <c r="Z85" s="26"/>
      <c r="AA85" s="6" t="str">
        <f t="shared" si="18"/>
        <v/>
      </c>
      <c r="AB85" s="6">
        <f t="shared" si="19"/>
        <v>-45999</v>
      </c>
      <c r="AC85" s="37"/>
      <c r="AD85" s="11"/>
      <c r="AE85" s="23"/>
      <c r="AF85" s="27"/>
      <c r="AG85" s="26"/>
      <c r="AH85" s="26"/>
      <c r="AI85" s="6" t="str">
        <f t="shared" si="20"/>
        <v/>
      </c>
      <c r="AJ85" s="6">
        <f t="shared" si="21"/>
        <v>-45999</v>
      </c>
      <c r="AK85" s="37"/>
      <c r="AL85" s="11"/>
      <c r="AM85" s="23"/>
      <c r="AN85" s="27"/>
      <c r="AO85" s="26"/>
      <c r="AP85" s="26"/>
      <c r="AQ85" s="6" t="str">
        <f t="shared" si="22"/>
        <v/>
      </c>
      <c r="AR85" s="6">
        <f t="shared" si="23"/>
        <v>-45999</v>
      </c>
      <c r="AS85" s="37"/>
      <c r="AT85" s="11"/>
    </row>
    <row r="86" spans="1:46" ht="22.15" customHeight="1">
      <c r="A86"/>
      <c r="B86" s="9" t="s">
        <v>85</v>
      </c>
      <c r="C86" s="23"/>
      <c r="D86" s="27"/>
      <c r="E86" s="26"/>
      <c r="F86" s="26"/>
      <c r="G86" s="6" t="str">
        <f t="shared" si="29"/>
        <v/>
      </c>
      <c r="H86" s="6">
        <f t="shared" si="30"/>
        <v>-45999</v>
      </c>
      <c r="I86" s="23" t="s">
        <v>8</v>
      </c>
      <c r="J86" s="27">
        <v>46</v>
      </c>
      <c r="K86" s="26">
        <v>45975</v>
      </c>
      <c r="L86" s="26">
        <v>46015</v>
      </c>
      <c r="M86" s="6">
        <f t="shared" si="14"/>
        <v>40</v>
      </c>
      <c r="N86" s="6">
        <f t="shared" si="15"/>
        <v>16</v>
      </c>
      <c r="O86" s="23" t="s">
        <v>8</v>
      </c>
      <c r="P86" s="27">
        <v>10</v>
      </c>
      <c r="Q86" s="26">
        <v>45975</v>
      </c>
      <c r="R86" s="26">
        <v>46015</v>
      </c>
      <c r="S86" s="6">
        <f t="shared" si="16"/>
        <v>40</v>
      </c>
      <c r="T86" s="6">
        <f t="shared" si="17"/>
        <v>16</v>
      </c>
      <c r="U86" s="37">
        <f>J86-P86</f>
        <v>36</v>
      </c>
      <c r="V86" s="11"/>
      <c r="W86" s="23"/>
      <c r="X86" s="27"/>
      <c r="Y86" s="26"/>
      <c r="Z86" s="26"/>
      <c r="AA86" s="6" t="str">
        <f t="shared" si="18"/>
        <v/>
      </c>
      <c r="AB86" s="6">
        <f t="shared" si="19"/>
        <v>-45999</v>
      </c>
      <c r="AC86" s="37"/>
      <c r="AD86" s="11"/>
      <c r="AE86" s="23"/>
      <c r="AF86" s="27"/>
      <c r="AG86" s="26"/>
      <c r="AH86" s="26"/>
      <c r="AI86" s="6" t="str">
        <f t="shared" si="20"/>
        <v/>
      </c>
      <c r="AJ86" s="6">
        <f t="shared" si="21"/>
        <v>-45999</v>
      </c>
      <c r="AK86" s="37"/>
      <c r="AL86" s="11"/>
      <c r="AM86" s="23"/>
      <c r="AN86" s="27"/>
      <c r="AO86" s="26"/>
      <c r="AP86" s="26"/>
      <c r="AQ86" s="6" t="str">
        <f t="shared" si="22"/>
        <v/>
      </c>
      <c r="AR86" s="6">
        <f t="shared" si="23"/>
        <v>-45999</v>
      </c>
      <c r="AS86" s="37"/>
      <c r="AT86" s="11"/>
    </row>
    <row r="87" spans="1:46" ht="22.15" customHeight="1">
      <c r="A87"/>
      <c r="B87" s="9"/>
      <c r="C87" s="23"/>
      <c r="D87" s="27"/>
      <c r="E87" s="26"/>
      <c r="F87" s="26"/>
      <c r="G87" s="6"/>
      <c r="H87" s="6"/>
      <c r="I87" s="23"/>
      <c r="J87" s="27"/>
      <c r="K87" s="26"/>
      <c r="L87" s="26"/>
      <c r="M87" s="6"/>
      <c r="N87" s="6"/>
      <c r="O87" s="23" t="s">
        <v>8</v>
      </c>
      <c r="P87" s="27">
        <v>30</v>
      </c>
      <c r="Q87" s="26">
        <v>45982</v>
      </c>
      <c r="R87" s="26">
        <v>46022</v>
      </c>
      <c r="S87" s="6">
        <f t="shared" ref="S87" si="31">IFERROR((R87-$G$1)/(R87-Q87)*100,"")</f>
        <v>57.499999999999993</v>
      </c>
      <c r="T87" s="6">
        <f t="shared" ref="T87" si="32">R87-$H$1</f>
        <v>23</v>
      </c>
      <c r="U87" s="37"/>
      <c r="V87" s="11"/>
      <c r="W87" s="23"/>
      <c r="X87" s="27"/>
      <c r="Y87" s="26"/>
      <c r="Z87" s="26"/>
      <c r="AA87" s="6" t="str">
        <f t="shared" si="18"/>
        <v/>
      </c>
      <c r="AB87" s="6">
        <f t="shared" si="19"/>
        <v>-45999</v>
      </c>
      <c r="AC87" s="37"/>
      <c r="AD87" s="11"/>
      <c r="AE87" s="23"/>
      <c r="AF87" s="27"/>
      <c r="AG87" s="26"/>
      <c r="AH87" s="26"/>
      <c r="AI87" s="6" t="str">
        <f t="shared" si="20"/>
        <v/>
      </c>
      <c r="AJ87" s="6">
        <f t="shared" si="21"/>
        <v>-45999</v>
      </c>
      <c r="AK87" s="37"/>
      <c r="AL87" s="11"/>
      <c r="AM87" s="23"/>
      <c r="AN87" s="27"/>
      <c r="AO87" s="26"/>
      <c r="AP87" s="26"/>
      <c r="AQ87" s="6" t="str">
        <f t="shared" si="22"/>
        <v/>
      </c>
      <c r="AR87" s="6">
        <f t="shared" si="23"/>
        <v>-45999</v>
      </c>
      <c r="AS87" s="37"/>
      <c r="AT87" s="11"/>
    </row>
    <row r="88" spans="1:46" ht="22.15" customHeight="1">
      <c r="A88"/>
      <c r="B88" s="9" t="s">
        <v>90</v>
      </c>
      <c r="C88" s="23"/>
      <c r="D88" s="27"/>
      <c r="E88" s="26"/>
      <c r="F88" s="26"/>
      <c r="G88" s="6" t="str">
        <f t="shared" ref="G88" si="33">IFERROR((F88-$G$1)/(F88-E88)*100,"")</f>
        <v/>
      </c>
      <c r="H88" s="6">
        <f t="shared" ref="H88" si="34">F88-$H$1</f>
        <v>-45999</v>
      </c>
      <c r="I88" s="23"/>
      <c r="J88" s="27"/>
      <c r="K88" s="26"/>
      <c r="L88" s="26"/>
      <c r="M88" s="6" t="str">
        <f t="shared" si="14"/>
        <v/>
      </c>
      <c r="N88" s="6">
        <f t="shared" si="15"/>
        <v>-45999</v>
      </c>
      <c r="O88" s="23" t="s">
        <v>15</v>
      </c>
      <c r="P88" s="27">
        <v>12</v>
      </c>
      <c r="Q88" s="26">
        <v>45973</v>
      </c>
      <c r="R88" s="26">
        <v>46018</v>
      </c>
      <c r="S88" s="6">
        <f t="shared" si="16"/>
        <v>42.222222222222221</v>
      </c>
      <c r="T88" s="6">
        <f t="shared" si="17"/>
        <v>19</v>
      </c>
      <c r="U88" s="37"/>
      <c r="V88" s="11"/>
      <c r="W88" s="23" t="s">
        <v>15</v>
      </c>
      <c r="X88" s="27">
        <v>12</v>
      </c>
      <c r="Y88" s="26">
        <v>45973</v>
      </c>
      <c r="Z88" s="26">
        <v>46018</v>
      </c>
      <c r="AA88" s="6">
        <f t="shared" si="18"/>
        <v>42.222222222222221</v>
      </c>
      <c r="AB88" s="6">
        <f t="shared" si="19"/>
        <v>19</v>
      </c>
      <c r="AC88" s="37"/>
      <c r="AD88" s="11"/>
      <c r="AE88" s="23"/>
      <c r="AF88" s="27"/>
      <c r="AG88" s="26"/>
      <c r="AH88" s="26"/>
      <c r="AI88" s="6" t="str">
        <f t="shared" si="20"/>
        <v/>
      </c>
      <c r="AJ88" s="6">
        <f t="shared" si="21"/>
        <v>-45999</v>
      </c>
      <c r="AK88" s="37"/>
      <c r="AL88" s="11"/>
      <c r="AM88" s="23"/>
      <c r="AN88" s="27"/>
      <c r="AO88" s="26"/>
      <c r="AP88" s="26"/>
      <c r="AQ88" s="6" t="str">
        <f t="shared" si="22"/>
        <v/>
      </c>
      <c r="AR88" s="6">
        <f t="shared" si="23"/>
        <v>-45999</v>
      </c>
      <c r="AS88" s="37"/>
      <c r="AT88" s="11"/>
    </row>
    <row r="89" spans="1:46" ht="22.15" customHeight="1">
      <c r="A89"/>
      <c r="B89" s="13" t="s">
        <v>84</v>
      </c>
      <c r="C89" s="23"/>
      <c r="D89" s="27"/>
      <c r="E89" s="26"/>
      <c r="F89" s="26"/>
      <c r="G89" s="6" t="str">
        <f t="shared" ref="G89:G91" si="35">IFERROR((F89-$G$1)/(F89-E89)*100,"")</f>
        <v/>
      </c>
      <c r="H89" s="6">
        <f t="shared" ref="H89:H91" si="36">F89-$H$1</f>
        <v>-45999</v>
      </c>
      <c r="I89" s="23"/>
      <c r="J89" s="27"/>
      <c r="K89" s="26"/>
      <c r="L89" s="26"/>
      <c r="M89" s="6" t="str">
        <f t="shared" si="14"/>
        <v/>
      </c>
      <c r="N89" s="6">
        <f t="shared" si="15"/>
        <v>-45999</v>
      </c>
      <c r="O89" s="23"/>
      <c r="P89" s="27"/>
      <c r="Q89" s="26"/>
      <c r="R89" s="26"/>
      <c r="S89" s="6" t="str">
        <f t="shared" si="16"/>
        <v/>
      </c>
      <c r="T89" s="6">
        <f t="shared" si="17"/>
        <v>-45999</v>
      </c>
      <c r="U89" s="37"/>
      <c r="V89" s="11"/>
      <c r="W89" s="23" t="s">
        <v>92</v>
      </c>
      <c r="X89" s="27">
        <v>18.225999999999999</v>
      </c>
      <c r="Y89" s="26">
        <v>45976</v>
      </c>
      <c r="Z89" s="26">
        <v>46021</v>
      </c>
      <c r="AA89" s="6">
        <f t="shared" si="18"/>
        <v>48.888888888888886</v>
      </c>
      <c r="AB89" s="6">
        <f t="shared" si="19"/>
        <v>22</v>
      </c>
      <c r="AC89" s="37"/>
      <c r="AD89" s="11"/>
      <c r="AE89" s="23" t="s">
        <v>92</v>
      </c>
      <c r="AF89" s="27">
        <v>15.45</v>
      </c>
      <c r="AG89" s="26">
        <v>45976</v>
      </c>
      <c r="AH89" s="26">
        <v>46021</v>
      </c>
      <c r="AI89" s="6">
        <f t="shared" si="20"/>
        <v>48.888888888888886</v>
      </c>
      <c r="AJ89" s="6">
        <f t="shared" si="21"/>
        <v>22</v>
      </c>
      <c r="AK89" s="37">
        <f>X89-AF89</f>
        <v>2.7759999999999998</v>
      </c>
      <c r="AL89" s="11"/>
      <c r="AM89" s="23" t="s">
        <v>92</v>
      </c>
      <c r="AN89" s="27">
        <v>0</v>
      </c>
      <c r="AO89" s="26"/>
      <c r="AP89" s="26"/>
      <c r="AQ89" s="6" t="str">
        <f t="shared" si="22"/>
        <v/>
      </c>
      <c r="AR89" s="6">
        <f t="shared" si="23"/>
        <v>-45999</v>
      </c>
      <c r="AS89" s="57">
        <f>AF89-AN89</f>
        <v>15.45</v>
      </c>
      <c r="AT89" s="11"/>
    </row>
    <row r="90" spans="1:46" ht="22.15" customHeight="1">
      <c r="A90"/>
      <c r="B90" s="13" t="s">
        <v>87</v>
      </c>
      <c r="C90" s="23"/>
      <c r="D90" s="27"/>
      <c r="E90" s="26"/>
      <c r="F90" s="26"/>
      <c r="G90" s="6" t="str">
        <f t="shared" si="35"/>
        <v/>
      </c>
      <c r="H90" s="6">
        <f t="shared" si="36"/>
        <v>-45999</v>
      </c>
      <c r="I90" s="23"/>
      <c r="J90" s="27"/>
      <c r="K90" s="26"/>
      <c r="L90" s="26"/>
      <c r="M90" s="6" t="str">
        <f t="shared" si="14"/>
        <v/>
      </c>
      <c r="N90" s="6">
        <f t="shared" si="15"/>
        <v>-45999</v>
      </c>
      <c r="O90" s="23"/>
      <c r="P90" s="27"/>
      <c r="Q90" s="26"/>
      <c r="R90" s="26"/>
      <c r="S90" s="6" t="str">
        <f t="shared" si="16"/>
        <v/>
      </c>
      <c r="T90" s="6">
        <f t="shared" si="17"/>
        <v>-45999</v>
      </c>
      <c r="U90" s="22"/>
      <c r="V90" s="11"/>
      <c r="W90" s="23" t="s">
        <v>91</v>
      </c>
      <c r="X90" s="27">
        <v>3</v>
      </c>
      <c r="Y90" s="26">
        <v>45982</v>
      </c>
      <c r="Z90" s="26">
        <v>46022</v>
      </c>
      <c r="AA90" s="6">
        <f t="shared" si="18"/>
        <v>57.499999999999993</v>
      </c>
      <c r="AB90" s="6">
        <f t="shared" si="19"/>
        <v>23</v>
      </c>
      <c r="AC90" s="22"/>
      <c r="AD90" s="11"/>
      <c r="AE90" s="23" t="s">
        <v>91</v>
      </c>
      <c r="AF90" s="27">
        <v>3</v>
      </c>
      <c r="AG90" s="26">
        <v>45982</v>
      </c>
      <c r="AH90" s="26">
        <v>46022</v>
      </c>
      <c r="AI90" s="6">
        <f t="shared" si="20"/>
        <v>57.499999999999993</v>
      </c>
      <c r="AJ90" s="6">
        <f t="shared" si="21"/>
        <v>23</v>
      </c>
      <c r="AK90" s="31">
        <f>X90-AF90</f>
        <v>0</v>
      </c>
      <c r="AL90" s="11"/>
      <c r="AM90" s="23" t="s">
        <v>91</v>
      </c>
      <c r="AN90" s="27">
        <v>0</v>
      </c>
      <c r="AO90" s="26"/>
      <c r="AP90" s="26"/>
      <c r="AQ90" s="6" t="str">
        <f t="shared" si="22"/>
        <v/>
      </c>
      <c r="AR90" s="6">
        <f t="shared" si="23"/>
        <v>-45999</v>
      </c>
      <c r="AS90" s="57">
        <f>AF90-AN90</f>
        <v>3</v>
      </c>
      <c r="AT90" s="11"/>
    </row>
    <row r="91" spans="1:46" ht="22.15" customHeight="1">
      <c r="A91"/>
      <c r="B91" s="40" t="s">
        <v>86</v>
      </c>
      <c r="C91" s="23"/>
      <c r="D91" s="27"/>
      <c r="E91" s="26"/>
      <c r="F91" s="26"/>
      <c r="G91" s="6" t="str">
        <f t="shared" si="35"/>
        <v/>
      </c>
      <c r="H91" s="6">
        <f t="shared" si="36"/>
        <v>-45999</v>
      </c>
      <c r="I91" s="23"/>
      <c r="J91" s="27"/>
      <c r="K91" s="26"/>
      <c r="L91" s="26"/>
      <c r="M91" s="6" t="str">
        <f t="shared" si="14"/>
        <v/>
      </c>
      <c r="N91" s="6">
        <f t="shared" si="15"/>
        <v>-45999</v>
      </c>
      <c r="O91" s="23"/>
      <c r="P91" s="27"/>
      <c r="Q91" s="26"/>
      <c r="R91" s="26"/>
      <c r="S91" s="6" t="str">
        <f t="shared" si="16"/>
        <v/>
      </c>
      <c r="T91" s="6">
        <f t="shared" si="17"/>
        <v>-45999</v>
      </c>
      <c r="U91" s="22"/>
      <c r="V91" s="11"/>
      <c r="W91" s="23"/>
      <c r="X91" s="27"/>
      <c r="Y91" s="26"/>
      <c r="Z91" s="26"/>
      <c r="AA91" s="6" t="str">
        <f t="shared" si="18"/>
        <v/>
      </c>
      <c r="AB91" s="6">
        <f t="shared" si="19"/>
        <v>-45999</v>
      </c>
      <c r="AC91" s="22"/>
      <c r="AD91" s="11"/>
      <c r="AE91" s="23" t="s">
        <v>91</v>
      </c>
      <c r="AF91" s="27">
        <v>170</v>
      </c>
      <c r="AG91" s="26">
        <v>45979</v>
      </c>
      <c r="AH91" s="26">
        <v>46019</v>
      </c>
      <c r="AI91" s="6">
        <f t="shared" si="20"/>
        <v>50</v>
      </c>
      <c r="AJ91" s="6">
        <f t="shared" si="21"/>
        <v>20</v>
      </c>
      <c r="AK91" s="22"/>
      <c r="AL91" s="11"/>
      <c r="AM91" s="23" t="s">
        <v>91</v>
      </c>
      <c r="AN91" s="27">
        <v>0</v>
      </c>
      <c r="AO91" s="26"/>
      <c r="AP91" s="26"/>
      <c r="AQ91" s="6" t="str">
        <f t="shared" si="22"/>
        <v/>
      </c>
      <c r="AR91" s="6">
        <f t="shared" si="23"/>
        <v>-45999</v>
      </c>
      <c r="AS91" s="57">
        <v>170</v>
      </c>
      <c r="AT91" s="11"/>
    </row>
    <row r="92" spans="1:46" ht="22.15" customHeight="1">
      <c r="A92"/>
      <c r="B92" s="13" t="s">
        <v>82</v>
      </c>
      <c r="C92" s="23"/>
      <c r="D92" s="27"/>
      <c r="E92" s="26"/>
      <c r="F92" s="26"/>
      <c r="G92" s="6" t="str">
        <f t="shared" ref="G92:G95" si="37">IFERROR((F92-$G$1)/(F92-E92)*100,"")</f>
        <v/>
      </c>
      <c r="H92" s="6">
        <f t="shared" ref="H92:H95" si="38">F92-$H$1</f>
        <v>-45999</v>
      </c>
      <c r="I92" s="23"/>
      <c r="J92" s="27"/>
      <c r="K92" s="26"/>
      <c r="L92" s="26"/>
      <c r="M92" s="6" t="str">
        <f t="shared" si="14"/>
        <v/>
      </c>
      <c r="N92" s="6">
        <f t="shared" si="15"/>
        <v>-45999</v>
      </c>
      <c r="O92" s="23"/>
      <c r="P92" s="27"/>
      <c r="Q92" s="26"/>
      <c r="R92" s="26"/>
      <c r="S92" s="6" t="str">
        <f t="shared" si="16"/>
        <v/>
      </c>
      <c r="T92" s="6">
        <f t="shared" si="17"/>
        <v>-45999</v>
      </c>
      <c r="U92" s="22"/>
      <c r="V92" s="11"/>
      <c r="W92" s="23"/>
      <c r="X92" s="27"/>
      <c r="Y92" s="26"/>
      <c r="Z92" s="26"/>
      <c r="AA92" s="6" t="str">
        <f t="shared" si="18"/>
        <v/>
      </c>
      <c r="AB92" s="6">
        <f t="shared" si="19"/>
        <v>-45999</v>
      </c>
      <c r="AC92" s="22"/>
      <c r="AD92" s="11"/>
      <c r="AE92" s="23" t="s">
        <v>92</v>
      </c>
      <c r="AF92" s="27">
        <v>48.203000000000003</v>
      </c>
      <c r="AG92" s="26">
        <v>46002</v>
      </c>
      <c r="AH92" s="26">
        <v>46032</v>
      </c>
      <c r="AI92" s="6">
        <f t="shared" si="20"/>
        <v>110.00000000000001</v>
      </c>
      <c r="AJ92" s="6">
        <f t="shared" si="21"/>
        <v>33</v>
      </c>
      <c r="AK92" s="22"/>
      <c r="AL92" s="11"/>
      <c r="AM92" s="23" t="s">
        <v>92</v>
      </c>
      <c r="AN92" s="27">
        <v>0</v>
      </c>
      <c r="AO92" s="26"/>
      <c r="AP92" s="26"/>
      <c r="AQ92" s="6" t="str">
        <f t="shared" si="22"/>
        <v/>
      </c>
      <c r="AR92" s="6">
        <f t="shared" si="23"/>
        <v>-45999</v>
      </c>
      <c r="AS92" s="57">
        <v>48.2</v>
      </c>
      <c r="AT92" s="11"/>
    </row>
    <row r="93" spans="1:46" ht="22.15" customHeight="1">
      <c r="A93"/>
      <c r="B93" s="13" t="s">
        <v>83</v>
      </c>
      <c r="C93" s="23"/>
      <c r="D93" s="27"/>
      <c r="E93" s="26"/>
      <c r="F93" s="26"/>
      <c r="G93" s="6" t="str">
        <f t="shared" si="37"/>
        <v/>
      </c>
      <c r="H93" s="6">
        <f t="shared" si="38"/>
        <v>-45999</v>
      </c>
      <c r="I93" s="23"/>
      <c r="J93" s="27"/>
      <c r="K93" s="26"/>
      <c r="L93" s="26"/>
      <c r="M93" s="6" t="str">
        <f t="shared" si="14"/>
        <v/>
      </c>
      <c r="N93" s="6">
        <f t="shared" si="15"/>
        <v>-45999</v>
      </c>
      <c r="O93" s="23"/>
      <c r="P93" s="27"/>
      <c r="Q93" s="26"/>
      <c r="R93" s="26"/>
      <c r="S93" s="6" t="str">
        <f t="shared" si="16"/>
        <v/>
      </c>
      <c r="T93" s="6">
        <f t="shared" si="17"/>
        <v>-45999</v>
      </c>
      <c r="U93" s="22"/>
      <c r="V93" s="11"/>
      <c r="W93" s="23"/>
      <c r="X93" s="27"/>
      <c r="Y93" s="26"/>
      <c r="Z93" s="26"/>
      <c r="AA93" s="6" t="str">
        <f t="shared" si="18"/>
        <v/>
      </c>
      <c r="AB93" s="6">
        <f t="shared" si="19"/>
        <v>-45999</v>
      </c>
      <c r="AC93" s="22"/>
      <c r="AD93" s="11"/>
      <c r="AE93" s="23" t="s">
        <v>92</v>
      </c>
      <c r="AF93" s="27">
        <v>18.73</v>
      </c>
      <c r="AG93" s="26">
        <v>45995</v>
      </c>
      <c r="AH93" s="26">
        <v>46025</v>
      </c>
      <c r="AI93" s="6">
        <f t="shared" si="20"/>
        <v>86.666666666666671</v>
      </c>
      <c r="AJ93" s="6">
        <f t="shared" si="21"/>
        <v>26</v>
      </c>
      <c r="AK93" s="22"/>
      <c r="AL93" s="11"/>
      <c r="AM93" s="23" t="s">
        <v>92</v>
      </c>
      <c r="AN93" s="27">
        <v>0</v>
      </c>
      <c r="AO93" s="26"/>
      <c r="AP93" s="26"/>
      <c r="AQ93" s="6" t="str">
        <f t="shared" si="22"/>
        <v/>
      </c>
      <c r="AR93" s="6">
        <f t="shared" si="23"/>
        <v>-45999</v>
      </c>
      <c r="AS93" s="57">
        <v>18.73</v>
      </c>
      <c r="AT93" s="11"/>
    </row>
    <row r="94" spans="1:46" ht="22.15" customHeight="1">
      <c r="A94" s="54"/>
      <c r="B94" s="52" t="s">
        <v>83</v>
      </c>
      <c r="C94" s="23"/>
      <c r="D94" s="27"/>
      <c r="E94" s="26"/>
      <c r="F94" s="26"/>
      <c r="G94" s="6" t="str">
        <f t="shared" si="37"/>
        <v/>
      </c>
      <c r="H94" s="6">
        <f t="shared" si="38"/>
        <v>-45999</v>
      </c>
      <c r="I94" s="23"/>
      <c r="J94" s="27"/>
      <c r="K94" s="26"/>
      <c r="L94" s="26"/>
      <c r="M94" s="6" t="str">
        <f t="shared" si="14"/>
        <v/>
      </c>
      <c r="N94" s="6">
        <f t="shared" si="15"/>
        <v>-45999</v>
      </c>
      <c r="O94" s="23"/>
      <c r="P94" s="27"/>
      <c r="Q94" s="26"/>
      <c r="R94" s="26"/>
      <c r="S94" s="6" t="str">
        <f t="shared" si="16"/>
        <v/>
      </c>
      <c r="T94" s="6">
        <f t="shared" si="17"/>
        <v>-45999</v>
      </c>
      <c r="U94" s="22"/>
      <c r="V94" s="11"/>
      <c r="W94" s="23"/>
      <c r="X94" s="27"/>
      <c r="Y94" s="26"/>
      <c r="Z94" s="26"/>
      <c r="AA94" s="6" t="str">
        <f t="shared" si="18"/>
        <v/>
      </c>
      <c r="AB94" s="6">
        <f t="shared" si="19"/>
        <v>-45999</v>
      </c>
      <c r="AC94" s="22"/>
      <c r="AD94" s="11"/>
      <c r="AE94" s="23" t="s">
        <v>92</v>
      </c>
      <c r="AF94" s="27">
        <v>62.65</v>
      </c>
      <c r="AG94" s="26">
        <v>45998</v>
      </c>
      <c r="AH94" s="26">
        <v>46028</v>
      </c>
      <c r="AI94" s="6">
        <f t="shared" si="20"/>
        <v>96.666666666666671</v>
      </c>
      <c r="AJ94" s="6">
        <f t="shared" si="21"/>
        <v>29</v>
      </c>
      <c r="AK94" s="22"/>
      <c r="AL94" s="11"/>
      <c r="AM94" s="23" t="s">
        <v>92</v>
      </c>
      <c r="AN94" s="27">
        <v>38.764000000000003</v>
      </c>
      <c r="AO94" s="26">
        <v>45998</v>
      </c>
      <c r="AP94" s="26">
        <v>46028</v>
      </c>
      <c r="AQ94" s="6">
        <f t="shared" si="22"/>
        <v>96.666666666666671</v>
      </c>
      <c r="AR94" s="6">
        <f t="shared" si="23"/>
        <v>29</v>
      </c>
      <c r="AS94" s="22">
        <f>AF94-AN94</f>
        <v>23.885999999999996</v>
      </c>
      <c r="AT94" s="11"/>
    </row>
    <row r="95" spans="1:46" ht="22.15" customHeight="1">
      <c r="A95" s="54"/>
      <c r="B95" s="9" t="s">
        <v>93</v>
      </c>
      <c r="C95" s="23"/>
      <c r="D95" s="27"/>
      <c r="E95" s="26"/>
      <c r="F95" s="26"/>
      <c r="G95" s="6" t="str">
        <f t="shared" si="37"/>
        <v/>
      </c>
      <c r="H95" s="6">
        <f t="shared" si="38"/>
        <v>-45999</v>
      </c>
      <c r="I95" s="23"/>
      <c r="J95" s="27"/>
      <c r="K95" s="26"/>
      <c r="L95" s="26"/>
      <c r="M95" s="6" t="str">
        <f t="shared" si="14"/>
        <v/>
      </c>
      <c r="N95" s="6">
        <f t="shared" si="15"/>
        <v>-45999</v>
      </c>
      <c r="O95" s="23"/>
      <c r="P95" s="27"/>
      <c r="Q95" s="26"/>
      <c r="R95" s="26"/>
      <c r="S95" s="6" t="str">
        <f t="shared" si="16"/>
        <v/>
      </c>
      <c r="T95" s="6">
        <f t="shared" si="17"/>
        <v>-45999</v>
      </c>
      <c r="U95" s="22"/>
      <c r="V95" s="11"/>
      <c r="W95" s="23"/>
      <c r="X95" s="27"/>
      <c r="Y95" s="26"/>
      <c r="Z95" s="26"/>
      <c r="AA95" s="6" t="str">
        <f t="shared" si="18"/>
        <v/>
      </c>
      <c r="AB95" s="6">
        <f t="shared" si="19"/>
        <v>-45999</v>
      </c>
      <c r="AC95" s="22"/>
      <c r="AD95" s="11"/>
      <c r="AE95" s="23" t="s">
        <v>91</v>
      </c>
      <c r="AF95" s="27">
        <v>96</v>
      </c>
      <c r="AG95" s="26">
        <v>45982</v>
      </c>
      <c r="AH95" s="26">
        <v>46027</v>
      </c>
      <c r="AI95" s="6">
        <f t="shared" si="20"/>
        <v>62.222222222222221</v>
      </c>
      <c r="AJ95" s="6">
        <f t="shared" si="21"/>
        <v>28</v>
      </c>
      <c r="AK95" s="22"/>
      <c r="AL95" s="11"/>
      <c r="AM95" s="23" t="s">
        <v>91</v>
      </c>
      <c r="AN95" s="27">
        <v>0</v>
      </c>
      <c r="AO95" s="26"/>
      <c r="AP95" s="26"/>
      <c r="AQ95" s="6" t="str">
        <f t="shared" si="22"/>
        <v/>
      </c>
      <c r="AR95" s="6">
        <f t="shared" si="23"/>
        <v>-45999</v>
      </c>
      <c r="AS95" s="57">
        <f t="shared" ref="AS95:AS96" si="39">AF95-AN95</f>
        <v>96</v>
      </c>
      <c r="AT95" s="11"/>
    </row>
    <row r="96" spans="1:46" ht="22.15" customHeight="1">
      <c r="A96" s="54"/>
      <c r="B96" s="9" t="s">
        <v>93</v>
      </c>
      <c r="C96" s="38"/>
      <c r="D96" s="39"/>
      <c r="E96" s="38"/>
      <c r="F96" s="38"/>
      <c r="G96" s="38"/>
      <c r="H96" s="38"/>
      <c r="I96" s="38"/>
      <c r="J96" s="39"/>
      <c r="K96" s="38"/>
      <c r="L96" s="38"/>
      <c r="M96" s="38"/>
      <c r="N96" s="38"/>
      <c r="O96" s="38"/>
      <c r="P96" s="39"/>
      <c r="Q96" s="38"/>
      <c r="R96" s="38"/>
      <c r="S96" s="38"/>
      <c r="T96" s="38"/>
      <c r="U96" s="41"/>
      <c r="V96" s="42"/>
      <c r="W96" s="38"/>
      <c r="X96" s="39"/>
      <c r="Y96" s="38"/>
      <c r="Z96" s="38"/>
      <c r="AA96" s="38"/>
      <c r="AB96" s="38"/>
      <c r="AC96" s="41"/>
      <c r="AD96" s="42"/>
      <c r="AE96" s="48" t="s">
        <v>91</v>
      </c>
      <c r="AF96" s="39">
        <v>14</v>
      </c>
      <c r="AG96" s="56">
        <v>45990</v>
      </c>
      <c r="AH96" s="28">
        <v>46035</v>
      </c>
      <c r="AI96" s="6">
        <f t="shared" si="20"/>
        <v>80</v>
      </c>
      <c r="AJ96" s="38">
        <f t="shared" si="21"/>
        <v>36</v>
      </c>
      <c r="AK96" s="22"/>
      <c r="AL96" s="11"/>
      <c r="AM96" s="48" t="s">
        <v>91</v>
      </c>
      <c r="AN96" s="39">
        <v>0</v>
      </c>
      <c r="AO96" s="56"/>
      <c r="AP96" s="28"/>
      <c r="AQ96" s="6" t="str">
        <f t="shared" si="22"/>
        <v/>
      </c>
      <c r="AR96" s="6">
        <f t="shared" si="23"/>
        <v>-45999</v>
      </c>
      <c r="AS96" s="57">
        <f t="shared" si="39"/>
        <v>14</v>
      </c>
      <c r="AT96" s="11"/>
    </row>
    <row r="97" spans="1:46" ht="22.15" customHeight="1">
      <c r="A97" s="54"/>
      <c r="B97" s="13" t="s">
        <v>84</v>
      </c>
      <c r="C97" s="43"/>
      <c r="D97" s="44"/>
      <c r="E97" s="43"/>
      <c r="F97" s="43"/>
      <c r="G97" s="43"/>
      <c r="H97" s="43"/>
      <c r="I97" s="43"/>
      <c r="J97" s="44"/>
      <c r="K97" s="43"/>
      <c r="L97" s="43"/>
      <c r="M97" s="43"/>
      <c r="N97" s="43"/>
      <c r="O97" s="43"/>
      <c r="P97" s="44"/>
      <c r="Q97" s="43"/>
      <c r="R97" s="43"/>
      <c r="S97" s="43"/>
      <c r="T97" s="43"/>
      <c r="U97" s="22"/>
      <c r="V97" s="11"/>
      <c r="W97" s="43"/>
      <c r="X97" s="44"/>
      <c r="Y97" s="43"/>
      <c r="Z97" s="43"/>
      <c r="AA97" s="43"/>
      <c r="AB97" s="43"/>
      <c r="AC97" s="22"/>
      <c r="AD97" s="11"/>
      <c r="AE97" s="43"/>
      <c r="AF97" s="47"/>
      <c r="AG97" s="43"/>
      <c r="AH97" s="46"/>
      <c r="AI97" s="6" t="str">
        <f t="shared" si="20"/>
        <v/>
      </c>
      <c r="AJ97" s="43"/>
      <c r="AK97" s="22"/>
      <c r="AL97" s="11"/>
      <c r="AM97" s="43" t="s">
        <v>92</v>
      </c>
      <c r="AN97" s="47">
        <v>5.6040000000000001</v>
      </c>
      <c r="AO97" s="56">
        <v>45990</v>
      </c>
      <c r="AP97" s="58">
        <v>46035</v>
      </c>
      <c r="AQ97" s="6">
        <f t="shared" si="22"/>
        <v>80</v>
      </c>
      <c r="AR97" s="6">
        <f t="shared" si="23"/>
        <v>36</v>
      </c>
      <c r="AS97" s="22"/>
      <c r="AT97" s="11"/>
    </row>
    <row r="98" spans="1:46" ht="22.15" customHeight="1">
      <c r="A98" s="54"/>
      <c r="B98" s="9" t="s">
        <v>94</v>
      </c>
      <c r="C98" s="43"/>
      <c r="D98" s="44"/>
      <c r="E98" s="43"/>
      <c r="F98" s="43"/>
      <c r="G98" s="43"/>
      <c r="H98" s="43"/>
      <c r="I98" s="43"/>
      <c r="J98" s="44"/>
      <c r="K98" s="43"/>
      <c r="L98" s="43"/>
      <c r="M98" s="43"/>
      <c r="N98" s="43"/>
      <c r="O98" s="43"/>
      <c r="P98" s="44"/>
      <c r="Q98" s="43"/>
      <c r="R98" s="43"/>
      <c r="S98" s="43"/>
      <c r="T98" s="43"/>
      <c r="U98" s="22"/>
      <c r="V98" s="11"/>
      <c r="W98" s="43"/>
      <c r="X98" s="44"/>
      <c r="Y98" s="43"/>
      <c r="Z98" s="43"/>
      <c r="AA98" s="43"/>
      <c r="AB98" s="43"/>
      <c r="AC98" s="22"/>
      <c r="AD98" s="11"/>
      <c r="AE98" s="43"/>
      <c r="AF98" s="47"/>
      <c r="AG98" s="43"/>
      <c r="AH98" s="46"/>
      <c r="AI98" s="6" t="str">
        <f t="shared" si="20"/>
        <v/>
      </c>
      <c r="AJ98" s="43"/>
      <c r="AK98" s="22"/>
      <c r="AL98" s="11"/>
      <c r="AM98" s="43" t="s">
        <v>92</v>
      </c>
      <c r="AN98" s="47">
        <v>254</v>
      </c>
      <c r="AO98" s="56">
        <v>45994</v>
      </c>
      <c r="AP98" s="58">
        <v>46034</v>
      </c>
      <c r="AQ98" s="6">
        <f t="shared" si="22"/>
        <v>87.5</v>
      </c>
      <c r="AR98" s="6">
        <f t="shared" si="23"/>
        <v>35</v>
      </c>
      <c r="AS98" s="22"/>
      <c r="AT98" s="11"/>
    </row>
    <row r="99" spans="1:46" ht="22.15" customHeight="1">
      <c r="A99" s="55"/>
      <c r="B99" s="9" t="s">
        <v>95</v>
      </c>
      <c r="C99" s="38"/>
      <c r="D99" s="39"/>
      <c r="E99" s="38"/>
      <c r="F99" s="38"/>
      <c r="G99" s="38"/>
      <c r="H99" s="38"/>
      <c r="I99" s="38"/>
      <c r="J99" s="39"/>
      <c r="K99" s="38"/>
      <c r="L99" s="38"/>
      <c r="M99" s="38"/>
      <c r="N99" s="38"/>
      <c r="O99" s="38"/>
      <c r="P99" s="39"/>
      <c r="Q99" s="38"/>
      <c r="R99" s="38"/>
      <c r="S99" s="38"/>
      <c r="T99" s="38"/>
      <c r="U99" s="50"/>
      <c r="V99" s="51"/>
      <c r="W99" s="38"/>
      <c r="X99" s="39"/>
      <c r="Y99" s="38"/>
      <c r="Z99" s="38"/>
      <c r="AA99" s="38"/>
      <c r="AB99" s="38"/>
      <c r="AC99" s="50"/>
      <c r="AD99" s="51"/>
      <c r="AE99" s="49"/>
      <c r="AF99" s="39"/>
      <c r="AG99" s="48"/>
      <c r="AH99" s="38"/>
      <c r="AI99" s="6" t="str">
        <f t="shared" si="20"/>
        <v/>
      </c>
      <c r="AJ99" s="38"/>
      <c r="AK99" s="22"/>
      <c r="AL99" s="11"/>
      <c r="AM99" s="43" t="s">
        <v>91</v>
      </c>
      <c r="AN99" s="39">
        <v>10</v>
      </c>
      <c r="AO99" s="59">
        <v>45995</v>
      </c>
      <c r="AP99" s="28">
        <v>46035</v>
      </c>
      <c r="AQ99" s="6">
        <f t="shared" si="22"/>
        <v>90</v>
      </c>
      <c r="AR99" s="6">
        <f t="shared" si="23"/>
        <v>36</v>
      </c>
      <c r="AS99" s="22"/>
      <c r="AT99" s="11"/>
    </row>
    <row r="100" spans="1:46" ht="22.15" customHeight="1">
      <c r="A100" s="55"/>
      <c r="B100" s="60" t="s">
        <v>96</v>
      </c>
      <c r="C100" s="38"/>
      <c r="D100" s="39"/>
      <c r="E100" s="38"/>
      <c r="F100" s="38"/>
      <c r="G100" s="38"/>
      <c r="H100" s="38"/>
      <c r="I100" s="38"/>
      <c r="J100" s="39"/>
      <c r="K100" s="38"/>
      <c r="L100" s="38"/>
      <c r="M100" s="38"/>
      <c r="N100" s="38"/>
      <c r="O100" s="38"/>
      <c r="P100" s="39"/>
      <c r="Q100" s="38"/>
      <c r="R100" s="38"/>
      <c r="S100" s="38"/>
      <c r="T100" s="38"/>
      <c r="U100" s="50"/>
      <c r="V100" s="51"/>
      <c r="W100" s="38"/>
      <c r="X100" s="39"/>
      <c r="Y100" s="38"/>
      <c r="Z100" s="38"/>
      <c r="AA100" s="38"/>
      <c r="AB100" s="38"/>
      <c r="AC100" s="50"/>
      <c r="AD100" s="51"/>
      <c r="AE100" s="49"/>
      <c r="AF100" s="39"/>
      <c r="AG100" s="48"/>
      <c r="AH100" s="38"/>
      <c r="AI100" s="6"/>
      <c r="AJ100" s="38"/>
      <c r="AK100" s="22"/>
      <c r="AL100" s="11"/>
      <c r="AM100" s="43" t="s">
        <v>91</v>
      </c>
      <c r="AN100" s="44">
        <v>192</v>
      </c>
      <c r="AO100" s="56">
        <v>45990</v>
      </c>
      <c r="AP100" s="56">
        <v>46035</v>
      </c>
      <c r="AQ100" s="6">
        <f t="shared" si="22"/>
        <v>80</v>
      </c>
      <c r="AR100" s="6">
        <f t="shared" si="23"/>
        <v>36</v>
      </c>
      <c r="AS100" s="22"/>
      <c r="AT100" s="11"/>
    </row>
    <row r="101" spans="1:46" ht="22.15" customHeight="1">
      <c r="A101" s="55"/>
      <c r="B101" s="60" t="s">
        <v>96</v>
      </c>
      <c r="C101" s="38"/>
      <c r="D101" s="39"/>
      <c r="E101" s="38"/>
      <c r="F101" s="38"/>
      <c r="G101" s="38"/>
      <c r="H101" s="38"/>
      <c r="I101" s="38"/>
      <c r="J101" s="39"/>
      <c r="K101" s="38"/>
      <c r="L101" s="38"/>
      <c r="M101" s="38"/>
      <c r="N101" s="38"/>
      <c r="O101" s="38"/>
      <c r="P101" s="39"/>
      <c r="Q101" s="38"/>
      <c r="R101" s="38"/>
      <c r="S101" s="38"/>
      <c r="T101" s="38"/>
      <c r="U101" s="50"/>
      <c r="V101" s="51"/>
      <c r="W101" s="38"/>
      <c r="X101" s="39"/>
      <c r="Y101" s="38"/>
      <c r="Z101" s="38"/>
      <c r="AA101" s="38"/>
      <c r="AB101" s="38"/>
      <c r="AC101" s="50"/>
      <c r="AD101" s="51"/>
      <c r="AE101" s="49"/>
      <c r="AF101" s="39"/>
      <c r="AG101" s="48"/>
      <c r="AH101" s="38"/>
      <c r="AI101" s="6"/>
      <c r="AJ101" s="38"/>
      <c r="AK101" s="22"/>
      <c r="AL101" s="11"/>
      <c r="AM101" s="49" t="s">
        <v>91</v>
      </c>
      <c r="AN101" s="64">
        <v>89</v>
      </c>
      <c r="AO101" s="71">
        <v>45995</v>
      </c>
      <c r="AP101" s="71">
        <v>46040</v>
      </c>
      <c r="AQ101" s="6">
        <f t="shared" si="22"/>
        <v>91.111111111111114</v>
      </c>
      <c r="AR101" s="6">
        <f t="shared" si="23"/>
        <v>41</v>
      </c>
      <c r="AS101" s="22"/>
      <c r="AT101" s="11"/>
    </row>
    <row r="102" spans="1:46" ht="22.15" customHeight="1">
      <c r="A102"/>
      <c r="B102" s="53"/>
      <c r="C102" s="62"/>
      <c r="D102" s="47"/>
      <c r="E102" s="62"/>
      <c r="F102" s="62"/>
      <c r="G102" s="62"/>
      <c r="H102" s="62"/>
      <c r="I102" s="62"/>
      <c r="J102" s="47"/>
      <c r="K102" s="62"/>
      <c r="L102" s="62"/>
      <c r="M102" s="62"/>
      <c r="N102" s="62"/>
      <c r="O102" s="62"/>
      <c r="P102" s="47"/>
      <c r="Q102" s="62"/>
      <c r="R102" s="62"/>
      <c r="S102" s="62"/>
      <c r="T102" s="62"/>
      <c r="U102" s="47"/>
      <c r="V102" s="66"/>
      <c r="W102" s="62"/>
      <c r="X102" s="47"/>
      <c r="Y102" s="62"/>
      <c r="Z102" s="62"/>
      <c r="AA102" s="62"/>
      <c r="AB102" s="62"/>
      <c r="AC102" s="47"/>
      <c r="AD102" s="66"/>
      <c r="AE102" s="62"/>
      <c r="AF102" s="47"/>
      <c r="AG102" s="62"/>
      <c r="AH102" s="62"/>
      <c r="AI102" s="62"/>
      <c r="AJ102" s="62"/>
      <c r="AK102" s="47"/>
      <c r="AL102" s="66"/>
      <c r="AM102" s="43"/>
      <c r="AN102" s="67"/>
      <c r="AO102" s="46"/>
      <c r="AP102" s="43"/>
      <c r="AR102" s="43"/>
      <c r="AS102" s="67"/>
      <c r="AT102" s="69"/>
    </row>
    <row r="103" spans="1:46" ht="22.15" customHeight="1">
      <c r="A103"/>
      <c r="B103" s="53"/>
      <c r="C103" s="38"/>
      <c r="D103" s="39"/>
      <c r="E103" s="38"/>
      <c r="F103" s="38"/>
      <c r="G103" s="38"/>
      <c r="H103" s="38"/>
      <c r="I103" s="38"/>
      <c r="J103" s="39"/>
      <c r="K103" s="38"/>
      <c r="L103" s="38"/>
      <c r="M103" s="38"/>
      <c r="N103" s="38"/>
      <c r="O103" s="38"/>
      <c r="P103" s="39"/>
      <c r="Q103" s="38"/>
      <c r="R103" s="38"/>
      <c r="S103" s="38"/>
      <c r="T103" s="38"/>
      <c r="U103" s="39"/>
      <c r="W103" s="38"/>
      <c r="X103" s="39"/>
      <c r="Y103" s="38"/>
      <c r="Z103" s="38"/>
      <c r="AA103" s="38"/>
      <c r="AB103" s="38"/>
      <c r="AC103" s="39"/>
      <c r="AE103" s="38"/>
      <c r="AF103" s="39"/>
      <c r="AG103" s="38"/>
      <c r="AH103" s="38"/>
      <c r="AI103" s="38"/>
      <c r="AJ103" s="38"/>
      <c r="AK103" s="39"/>
      <c r="AM103" s="63"/>
      <c r="AN103" s="67"/>
      <c r="AO103" s="43"/>
      <c r="AP103" s="46"/>
      <c r="AQ103" s="46"/>
      <c r="AR103" s="46"/>
      <c r="AS103" s="67"/>
      <c r="AT103" s="69"/>
    </row>
    <row r="104" spans="1:46" ht="22.15" customHeight="1">
      <c r="A104"/>
      <c r="B104" s="45"/>
      <c r="C104" s="38"/>
      <c r="D104" s="39"/>
      <c r="E104" s="38"/>
      <c r="F104" s="38"/>
      <c r="G104" s="38"/>
      <c r="H104" s="38"/>
      <c r="I104" s="38"/>
      <c r="J104" s="39"/>
      <c r="K104" s="38"/>
      <c r="L104" s="38"/>
      <c r="M104" s="38"/>
      <c r="N104" s="38"/>
      <c r="O104" s="38"/>
      <c r="P104" s="39"/>
      <c r="Q104" s="38"/>
      <c r="R104" s="38"/>
      <c r="S104" s="38"/>
      <c r="T104" s="38"/>
      <c r="W104" s="38"/>
      <c r="X104" s="39"/>
      <c r="Y104" s="38"/>
      <c r="Z104" s="38"/>
      <c r="AA104" s="38"/>
      <c r="AB104" s="38"/>
      <c r="AE104" s="38"/>
      <c r="AF104" s="39"/>
      <c r="AG104" s="38"/>
      <c r="AH104" s="38"/>
      <c r="AI104" s="38"/>
      <c r="AJ104" s="38"/>
      <c r="AM104" s="63"/>
      <c r="AN104" s="65"/>
      <c r="AO104" s="61"/>
      <c r="AP104" s="61"/>
      <c r="AQ104" s="61"/>
      <c r="AR104" s="61"/>
      <c r="AS104" s="70"/>
      <c r="AT104" s="68"/>
    </row>
    <row r="105" spans="1:46" ht="22.15" customHeight="1">
      <c r="A105"/>
      <c r="B105" s="54"/>
      <c r="C105" s="38"/>
      <c r="D105" s="39"/>
      <c r="E105" s="38"/>
      <c r="F105" s="38"/>
      <c r="I105" s="38"/>
      <c r="J105" s="39"/>
      <c r="K105" s="38"/>
      <c r="L105" s="38"/>
      <c r="O105" s="38"/>
      <c r="P105" s="39"/>
      <c r="Q105" s="38"/>
      <c r="R105" s="38"/>
      <c r="W105" s="38"/>
      <c r="X105" s="39"/>
      <c r="Y105" s="38"/>
      <c r="Z105" s="38"/>
      <c r="AE105" s="38"/>
      <c r="AF105" s="39"/>
      <c r="AG105" s="38"/>
      <c r="AH105" s="38"/>
      <c r="AM105" s="38"/>
      <c r="AN105" s="39"/>
      <c r="AO105" s="38"/>
      <c r="AP105" s="38"/>
    </row>
  </sheetData>
  <mergeCells count="5">
    <mergeCell ref="AV3:AZ3"/>
    <mergeCell ref="AV4:AZ5"/>
    <mergeCell ref="AV7:AZ7"/>
    <mergeCell ref="AV8:AZ8"/>
    <mergeCell ref="AV9:AZ10"/>
  </mergeCells>
  <phoneticPr fontId="9" type="noConversion"/>
  <conditionalFormatting sqref="G3:H95">
    <cfRule type="cellIs" dxfId="53" priority="52" stopIfTrue="1" operator="equal">
      <formula>50</formula>
    </cfRule>
    <cfRule type="cellIs" dxfId="52" priority="53" stopIfTrue="1" operator="lessThan">
      <formula>50</formula>
    </cfRule>
    <cfRule type="cellIs" dxfId="51" priority="54" stopIfTrue="1" operator="greaterThan">
      <formula>50</formula>
    </cfRule>
  </conditionalFormatting>
  <conditionalFormatting sqref="H3:H95">
    <cfRule type="cellIs" dxfId="50" priority="46" stopIfTrue="1" operator="between">
      <formula>15</formula>
      <formula>20</formula>
    </cfRule>
    <cfRule type="cellIs" dxfId="49" priority="47" stopIfTrue="1" operator="lessThan">
      <formula>15</formula>
    </cfRule>
    <cfRule type="cellIs" dxfId="48" priority="48" stopIfTrue="1" operator="greaterThan">
      <formula>20</formula>
    </cfRule>
    <cfRule type="cellIs" dxfId="47" priority="49" stopIfTrue="1" operator="between">
      <formula>15</formula>
      <formula>20</formula>
    </cfRule>
    <cfRule type="cellIs" dxfId="46" priority="50" stopIfTrue="1" operator="lessThan">
      <formula>15</formula>
    </cfRule>
    <cfRule type="cellIs" dxfId="45" priority="51" stopIfTrue="1" operator="greaterThan">
      <formula>20</formula>
    </cfRule>
  </conditionalFormatting>
  <conditionalFormatting sqref="M3:N95">
    <cfRule type="cellIs" dxfId="44" priority="43" stopIfTrue="1" operator="equal">
      <formula>50</formula>
    </cfRule>
    <cfRule type="cellIs" dxfId="43" priority="44" stopIfTrue="1" operator="lessThan">
      <formula>50</formula>
    </cfRule>
    <cfRule type="cellIs" dxfId="42" priority="45" stopIfTrue="1" operator="greaterThan">
      <formula>50</formula>
    </cfRule>
  </conditionalFormatting>
  <conditionalFormatting sqref="N3:N95">
    <cfRule type="cellIs" dxfId="41" priority="37" stopIfTrue="1" operator="between">
      <formula>15</formula>
      <formula>20</formula>
    </cfRule>
    <cfRule type="cellIs" dxfId="40" priority="38" stopIfTrue="1" operator="lessThan">
      <formula>15</formula>
    </cfRule>
    <cfRule type="cellIs" dxfId="39" priority="39" stopIfTrue="1" operator="greaterThan">
      <formula>20</formula>
    </cfRule>
    <cfRule type="cellIs" dxfId="38" priority="40" stopIfTrue="1" operator="between">
      <formula>15</formula>
      <formula>20</formula>
    </cfRule>
    <cfRule type="cellIs" dxfId="37" priority="41" stopIfTrue="1" operator="lessThan">
      <formula>15</formula>
    </cfRule>
    <cfRule type="cellIs" dxfId="36" priority="42" stopIfTrue="1" operator="greaterThan">
      <formula>20</formula>
    </cfRule>
  </conditionalFormatting>
  <conditionalFormatting sqref="S3:T95">
    <cfRule type="cellIs" dxfId="35" priority="34" stopIfTrue="1" operator="equal">
      <formula>50</formula>
    </cfRule>
    <cfRule type="cellIs" dxfId="34" priority="35" stopIfTrue="1" operator="lessThan">
      <formula>50</formula>
    </cfRule>
    <cfRule type="cellIs" dxfId="33" priority="36" stopIfTrue="1" operator="greaterThan">
      <formula>50</formula>
    </cfRule>
  </conditionalFormatting>
  <conditionalFormatting sqref="T3:T95">
    <cfRule type="cellIs" dxfId="32" priority="28" stopIfTrue="1" operator="between">
      <formula>15</formula>
      <formula>20</formula>
    </cfRule>
    <cfRule type="cellIs" dxfId="31" priority="29" stopIfTrue="1" operator="lessThan">
      <formula>15</formula>
    </cfRule>
    <cfRule type="cellIs" dxfId="30" priority="30" stopIfTrue="1" operator="greaterThan">
      <formula>20</formula>
    </cfRule>
    <cfRule type="cellIs" dxfId="29" priority="31" stopIfTrue="1" operator="between">
      <formula>15</formula>
      <formula>20</formula>
    </cfRule>
    <cfRule type="cellIs" dxfId="28" priority="32" stopIfTrue="1" operator="lessThan">
      <formula>15</formula>
    </cfRule>
    <cfRule type="cellIs" dxfId="27" priority="33" stopIfTrue="1" operator="greaterThan">
      <formula>20</formula>
    </cfRule>
  </conditionalFormatting>
  <conditionalFormatting sqref="AA3:AB95">
    <cfRule type="cellIs" dxfId="26" priority="25" stopIfTrue="1" operator="equal">
      <formula>50</formula>
    </cfRule>
    <cfRule type="cellIs" dxfId="25" priority="26" stopIfTrue="1" operator="lessThan">
      <formula>50</formula>
    </cfRule>
    <cfRule type="cellIs" dxfId="24" priority="27" stopIfTrue="1" operator="greaterThan">
      <formula>50</formula>
    </cfRule>
  </conditionalFormatting>
  <conditionalFormatting sqref="AB3:AB95">
    <cfRule type="cellIs" dxfId="23" priority="19" stopIfTrue="1" operator="between">
      <formula>15</formula>
      <formula>20</formula>
    </cfRule>
    <cfRule type="cellIs" dxfId="22" priority="20" stopIfTrue="1" operator="lessThan">
      <formula>15</formula>
    </cfRule>
    <cfRule type="cellIs" dxfId="21" priority="21" stopIfTrue="1" operator="greaterThan">
      <formula>20</formula>
    </cfRule>
    <cfRule type="cellIs" dxfId="20" priority="22" stopIfTrue="1" operator="between">
      <formula>15</formula>
      <formula>20</formula>
    </cfRule>
    <cfRule type="cellIs" dxfId="19" priority="23" stopIfTrue="1" operator="lessThan">
      <formula>15</formula>
    </cfRule>
    <cfRule type="cellIs" dxfId="18" priority="24" stopIfTrue="1" operator="greaterThan">
      <formula>20</formula>
    </cfRule>
  </conditionalFormatting>
  <conditionalFormatting sqref="AI3:AJ95 AI96:AI101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AJ3:AJ95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AQ3:AR101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AR3:AR101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2025-12-25T14:07:44Z</dcterms:modified>
</cp:coreProperties>
</file>