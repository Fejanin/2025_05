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"/>
    </mc:Choice>
  </mc:AlternateContent>
  <xr:revisionPtr revIDLastSave="0" documentId="13_ncr:1_{3A4AFD78-8885-4CA3-95B3-18690C9DC5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Sheet!$A$3:$AF$38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AH29" i="1"/>
  <c r="AH28" i="1"/>
  <c r="AH27" i="1"/>
  <c r="AH25" i="1"/>
  <c r="AH24" i="1"/>
  <c r="AH23" i="1"/>
  <c r="AH22" i="1"/>
  <c r="AH21" i="1"/>
  <c r="AH20" i="1"/>
  <c r="AH19" i="1"/>
  <c r="AH18" i="1"/>
  <c r="AH17" i="1"/>
  <c r="AH16" i="1"/>
  <c r="AH15" i="1"/>
  <c r="R15" i="1" s="1"/>
  <c r="AI15" i="1" s="1"/>
  <c r="AH14" i="1"/>
  <c r="AH13" i="1"/>
  <c r="R13" i="1" s="1"/>
  <c r="AI13" i="1" s="1"/>
  <c r="AG35" i="1"/>
  <c r="AI35" i="1" s="1"/>
  <c r="AG34" i="1"/>
  <c r="R34" i="1" s="1"/>
  <c r="AG33" i="1"/>
  <c r="AI33" i="1" s="1"/>
  <c r="AG32" i="1"/>
  <c r="AG31" i="1"/>
  <c r="AI31" i="1" s="1"/>
  <c r="AG30" i="1"/>
  <c r="R30" i="1" s="1"/>
  <c r="AG29" i="1"/>
  <c r="AI29" i="1" s="1"/>
  <c r="AG28" i="1"/>
  <c r="R28" i="1" s="1"/>
  <c r="AG27" i="1"/>
  <c r="AI27" i="1" s="1"/>
  <c r="AG25" i="1"/>
  <c r="R25" i="1" s="1"/>
  <c r="AG24" i="1"/>
  <c r="AI24" i="1" s="1"/>
  <c r="AG23" i="1"/>
  <c r="R23" i="1" s="1"/>
  <c r="AG22" i="1"/>
  <c r="AI22" i="1" s="1"/>
  <c r="AG21" i="1"/>
  <c r="R21" i="1" s="1"/>
  <c r="AG20" i="1"/>
  <c r="AI20" i="1" s="1"/>
  <c r="AG19" i="1"/>
  <c r="R19" i="1" s="1"/>
  <c r="AG18" i="1"/>
  <c r="AI18" i="1" s="1"/>
  <c r="AG17" i="1"/>
  <c r="R17" i="1" s="1"/>
  <c r="AG16" i="1"/>
  <c r="AI16" i="1" s="1"/>
  <c r="AG15" i="1"/>
  <c r="AG14" i="1"/>
  <c r="AG13" i="1"/>
  <c r="R14" i="1"/>
  <c r="AI14" i="1" s="1"/>
  <c r="R16" i="1"/>
  <c r="R18" i="1"/>
  <c r="R20" i="1"/>
  <c r="R22" i="1"/>
  <c r="R24" i="1"/>
  <c r="R27" i="1"/>
  <c r="R29" i="1"/>
  <c r="R31" i="1"/>
  <c r="R32" i="1"/>
  <c r="AI32" i="1" s="1"/>
  <c r="R33" i="1"/>
  <c r="R35" i="1"/>
  <c r="AI17" i="1" l="1"/>
  <c r="AI5" i="1" s="1"/>
  <c r="AI19" i="1"/>
  <c r="AI21" i="1"/>
  <c r="AI23" i="1"/>
  <c r="AI25" i="1"/>
  <c r="AI28" i="1"/>
  <c r="AI30" i="1"/>
  <c r="AI34" i="1"/>
  <c r="R5" i="1"/>
  <c r="W38" i="1" l="1"/>
  <c r="P38" i="1"/>
  <c r="V38" i="1" s="1"/>
  <c r="L38" i="1"/>
  <c r="W37" i="1"/>
  <c r="P37" i="1"/>
  <c r="V37" i="1" s="1"/>
  <c r="L37" i="1"/>
  <c r="W36" i="1"/>
  <c r="P36" i="1"/>
  <c r="V36" i="1" s="1"/>
  <c r="L36" i="1"/>
  <c r="W35" i="1"/>
  <c r="P35" i="1"/>
  <c r="V35" i="1" s="1"/>
  <c r="L35" i="1"/>
  <c r="W34" i="1"/>
  <c r="E34" i="1"/>
  <c r="P34" i="1" s="1"/>
  <c r="W33" i="1"/>
  <c r="F33" i="1"/>
  <c r="E33" i="1"/>
  <c r="L33" i="1" s="1"/>
  <c r="W32" i="1"/>
  <c r="P32" i="1"/>
  <c r="V32" i="1" s="1"/>
  <c r="L32" i="1"/>
  <c r="W31" i="1"/>
  <c r="P31" i="1"/>
  <c r="V31" i="1" s="1"/>
  <c r="L31" i="1"/>
  <c r="W30" i="1"/>
  <c r="P30" i="1"/>
  <c r="V30" i="1" s="1"/>
  <c r="L30" i="1"/>
  <c r="W29" i="1"/>
  <c r="P29" i="1"/>
  <c r="V29" i="1" s="1"/>
  <c r="L29" i="1"/>
  <c r="W28" i="1"/>
  <c r="P28" i="1"/>
  <c r="V28" i="1" s="1"/>
  <c r="L28" i="1"/>
  <c r="W27" i="1"/>
  <c r="P27" i="1"/>
  <c r="L27" i="1"/>
  <c r="F27" i="1"/>
  <c r="V27" i="1" s="1"/>
  <c r="W26" i="1"/>
  <c r="P26" i="1"/>
  <c r="V26" i="1" s="1"/>
  <c r="L26" i="1"/>
  <c r="W25" i="1"/>
  <c r="P25" i="1"/>
  <c r="V25" i="1" s="1"/>
  <c r="L25" i="1"/>
  <c r="W24" i="1"/>
  <c r="P24" i="1"/>
  <c r="V24" i="1" s="1"/>
  <c r="L24" i="1"/>
  <c r="W23" i="1"/>
  <c r="P23" i="1"/>
  <c r="V23" i="1" s="1"/>
  <c r="L23" i="1"/>
  <c r="W22" i="1"/>
  <c r="P22" i="1"/>
  <c r="V22" i="1" s="1"/>
  <c r="L22" i="1"/>
  <c r="W21" i="1"/>
  <c r="P21" i="1"/>
  <c r="V21" i="1" s="1"/>
  <c r="L21" i="1"/>
  <c r="W20" i="1"/>
  <c r="F20" i="1"/>
  <c r="E20" i="1"/>
  <c r="P20" i="1" s="1"/>
  <c r="AF20" i="1" s="1"/>
  <c r="W19" i="1"/>
  <c r="P19" i="1"/>
  <c r="V19" i="1" s="1"/>
  <c r="L19" i="1"/>
  <c r="W18" i="1"/>
  <c r="E18" i="1"/>
  <c r="P18" i="1" s="1"/>
  <c r="AF18" i="1" s="1"/>
  <c r="W17" i="1"/>
  <c r="F17" i="1"/>
  <c r="E17" i="1"/>
  <c r="L17" i="1" s="1"/>
  <c r="W16" i="1"/>
  <c r="P16" i="1"/>
  <c r="L16" i="1"/>
  <c r="W15" i="1"/>
  <c r="F15" i="1"/>
  <c r="E15" i="1"/>
  <c r="L15" i="1" s="1"/>
  <c r="W14" i="1"/>
  <c r="F14" i="1"/>
  <c r="E14" i="1"/>
  <c r="L14" i="1" s="1"/>
  <c r="W13" i="1"/>
  <c r="P13" i="1"/>
  <c r="L13" i="1"/>
  <c r="W12" i="1"/>
  <c r="P12" i="1"/>
  <c r="V12" i="1" s="1"/>
  <c r="L12" i="1"/>
  <c r="W11" i="1"/>
  <c r="P11" i="1"/>
  <c r="U11" i="1" s="1"/>
  <c r="L11" i="1"/>
  <c r="W10" i="1"/>
  <c r="P10" i="1"/>
  <c r="V10" i="1" s="1"/>
  <c r="L10" i="1"/>
  <c r="W9" i="1"/>
  <c r="P9" i="1"/>
  <c r="U9" i="1" s="1"/>
  <c r="L9" i="1"/>
  <c r="W8" i="1"/>
  <c r="P8" i="1"/>
  <c r="V8" i="1" s="1"/>
  <c r="L8" i="1"/>
  <c r="W7" i="1"/>
  <c r="P7" i="1"/>
  <c r="U7" i="1" s="1"/>
  <c r="L7" i="1"/>
  <c r="W6" i="1"/>
  <c r="P6" i="1"/>
  <c r="V6" i="1" s="1"/>
  <c r="L6" i="1"/>
  <c r="AD5" i="1"/>
  <c r="AC5" i="1"/>
  <c r="AB5" i="1"/>
  <c r="AA5" i="1"/>
  <c r="Z5" i="1"/>
  <c r="Y5" i="1"/>
  <c r="X5" i="1"/>
  <c r="S5" i="1"/>
  <c r="O5" i="1"/>
  <c r="N5" i="1"/>
  <c r="M5" i="1"/>
  <c r="K5" i="1"/>
  <c r="F5" i="1"/>
  <c r="AF34" i="1" l="1"/>
  <c r="AF27" i="1"/>
  <c r="U6" i="1"/>
  <c r="E5" i="1"/>
  <c r="V20" i="1"/>
  <c r="AF21" i="1"/>
  <c r="AF23" i="1"/>
  <c r="AF25" i="1"/>
  <c r="AF28" i="1"/>
  <c r="AF30" i="1"/>
  <c r="AF32" i="1"/>
  <c r="AF16" i="1"/>
  <c r="AF22" i="1"/>
  <c r="AF29" i="1"/>
  <c r="AF31" i="1"/>
  <c r="AF35" i="1"/>
  <c r="U10" i="1"/>
  <c r="U26" i="1"/>
  <c r="W5" i="1"/>
  <c r="U8" i="1"/>
  <c r="U12" i="1"/>
  <c r="P14" i="1"/>
  <c r="P17" i="1"/>
  <c r="L18" i="1"/>
  <c r="U20" i="1"/>
  <c r="U21" i="1"/>
  <c r="U25" i="1"/>
  <c r="P33" i="1"/>
  <c r="AF33" i="1" s="1"/>
  <c r="L34" i="1"/>
  <c r="U36" i="1"/>
  <c r="U37" i="1"/>
  <c r="U38" i="1"/>
  <c r="P15" i="1"/>
  <c r="V33" i="1"/>
  <c r="V18" i="1"/>
  <c r="U18" i="1"/>
  <c r="U34" i="1"/>
  <c r="V34" i="1"/>
  <c r="V7" i="1"/>
  <c r="V9" i="1"/>
  <c r="V11" i="1"/>
  <c r="L20" i="1"/>
  <c r="U27" i="1"/>
  <c r="U32" i="1"/>
  <c r="V13" i="1"/>
  <c r="V16" i="1"/>
  <c r="U29" i="1" l="1"/>
  <c r="V14" i="1"/>
  <c r="U35" i="1"/>
  <c r="U31" i="1"/>
  <c r="U22" i="1"/>
  <c r="U33" i="1"/>
  <c r="U28" i="1"/>
  <c r="U23" i="1"/>
  <c r="AF15" i="1"/>
  <c r="AF14" i="1"/>
  <c r="AF24" i="1"/>
  <c r="U24" i="1"/>
  <c r="AF13" i="1"/>
  <c r="U16" i="1"/>
  <c r="U30" i="1"/>
  <c r="AF17" i="1"/>
  <c r="AF19" i="1"/>
  <c r="U19" i="1"/>
  <c r="U13" i="1"/>
  <c r="L5" i="1"/>
  <c r="V17" i="1"/>
  <c r="V15" i="1"/>
  <c r="P5" i="1"/>
  <c r="U17" i="1" l="1"/>
  <c r="U14" i="1"/>
  <c r="U15" i="1"/>
  <c r="AF5" i="1"/>
  <c r="Q5" i="1"/>
</calcChain>
</file>

<file path=xl/sharedStrings.xml><?xml version="1.0" encoding="utf-8"?>
<sst xmlns="http://schemas.openxmlformats.org/spreadsheetml/2006/main" count="143" uniqueCount="85">
  <si>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</si>
  <si>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</si>
  <si>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</si>
  <si>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</si>
  <si>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</si>
  <si>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</si>
  <si>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</si>
  <si>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</si>
  <si>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</si>
  <si>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</si>
  <si>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</si>
  <si>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</si>
  <si>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</si>
  <si>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</si>
  <si>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</si>
  <si>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</si>
  <si>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</si>
  <si>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</si>
  <si>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</si>
  <si>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</si>
  <si>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</si>
  <si>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</si>
  <si>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</si>
  <si>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</si>
  <si>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</si>
  <si>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</si>
  <si>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</si>
  <si>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</si>
  <si>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</si>
  <si>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</si>
  <si>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</si>
  <si>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</si>
  <si>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11,09,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</si>
  <si>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</si>
  <si>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</si>
  <si>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</si>
  <si>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</si>
  <si>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</si>
  <si>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</si>
  <si>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</si>
  <si>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</si>
  <si>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</si>
  <si>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</si>
  <si>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</si>
  <si>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</si>
  <si>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</si>
  <si>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БОНУС_СОС КОПЧ ПО-Ч ЛОТ ПМО ЗА ШТ 0.4КГ K1.6  ЧЕРКИЗОВО</t>
  </si>
  <si>
    <t>СОС КОПЧ ПО-Ч ЛОТ ПМО ЗА ШТ 0.4КГ K1.6  ЧЕРКИЗОВО</t>
  </si>
  <si>
    <t>БОНУС_СОС МОЛОЧНЫЕ ПО-Ч ПМО ЗА ЛОТ ШТ 0.45КГ K1.8 ЧЕРКИЗОВО</t>
  </si>
  <si>
    <t>СОС МОЛОЧНЫЕ ПО-Ч ПМО ЗА ЛОТ ШТ 0.45КГ K1.8 ЧЕРКИЗОВО</t>
  </si>
  <si>
    <t>ВАР АРОМАТНАЯ ПО-Ч ЦО ЗА 1.6КГ K3.2 ЧЕРКИЗОВО</t>
  </si>
  <si>
    <t>03,06,25 в уценку 119кг</t>
  </si>
  <si>
    <t>03,06,25 в уценку 75кг</t>
  </si>
  <si>
    <t>нужно увеличить продажи!!!</t>
  </si>
  <si>
    <t>ВАР МОЛОЧНАЯ ПО-ЧЕ НМО ШТ 0.4КГ К2.4  ЧЕРКИЗОВО</t>
  </si>
  <si>
    <t>нужно увеличить продажи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</si>
  <si>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</si>
  <si>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</si>
  <si>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</si>
  <si>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</si>
  <si>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</si>
  <si>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</si>
  <si>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</si>
  <si>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 ФИБ ЗА ШТ 0.1КГ K1.2 ЧЕРКИЗОВО</t>
  </si>
  <si>
    <t>дубль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</si>
  <si>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</si>
  <si>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</si>
  <si>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</si>
  <si>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</si>
  <si>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</si>
  <si>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</si>
  <si>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</si>
  <si>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</si>
  <si>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</si>
  <si>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КОПЧ ПО-Ч ЛОТ ПМО ЗА ШТ 0.4КГ K1.6  ЧЕРКИЗОВО</t>
  </si>
  <si>
    <t>У_СОС МОЛОЧНЫЕ ПО-Ч ПМО ЗА ЛОТ ШТ 0.45КГ K1.8 ЧЕРКИЗОВО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</si>
  <si>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11,08,25 завод не отгрузил / 28,07,25 завод не отгрузил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</si>
  <si>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03,06,25 в уценку 98 шт.</t>
    </r>
  </si>
  <si>
    <t>03,06,25 в уценку 240 шт.</t>
  </si>
  <si>
    <t>заказ в бланк завода</t>
  </si>
  <si>
    <t>вес за ед.</t>
  </si>
  <si>
    <t>вес кор</t>
  </si>
  <si>
    <t>ВЕС в бланке завода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</si>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</sst>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6" fillId="0" borderId="1" xfId="1" applyNumberFormat="1" applyFont="1"/>
    <xf numFmtId="164" fontId="7" fillId="2" borderId="1" xfId="1" applyNumberFormat="1" applyFont="1" applyFill="1"/>
    <xf numFmtId="0" fontId="0" fillId="0" borderId="1" xfId="0"/>
    <xf numFmtId="2" fontId="8" fillId="2" borderId="1" xfId="1" applyNumberFormat="1" applyFont="1" applyFill="1"/>
    <xf numFmtId="165" fontId="8" fillId="2" borderId="1" xfId="1" applyNumberFormat="1" applyFont="1" applyFill="1"/>
    <xf numFmtId="2" fontId="0" fillId="0" borderId="1" xfId="0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31,10,25-06,11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30,10,25%20&#1090;&#1096;&#1088;&#1089;&#1095;%20&#1095;&#1088;&#1082;&#1079;&#1074;%20&#1086;&#1090;%20&#1051;&#1099;&#1075;&#1080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31.10.2025 - 06.11.2025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31.10.25</v>
          </cell>
          <cell r="E6" t="str">
            <v>01.11.25</v>
          </cell>
          <cell r="F6" t="str">
            <v>02.11.25</v>
          </cell>
        </row>
        <row r="8">
          <cell r="A8" t="str">
            <v>7187 ГРУДИНКА ПРЕМИУМ к/в мл/к в/у 0.3кг_50с  ОСТАНКИНО</v>
          </cell>
          <cell r="C8">
            <v>1473</v>
          </cell>
          <cell r="D8">
            <v>290</v>
          </cell>
          <cell r="E8">
            <v>198</v>
          </cell>
        </row>
        <row r="9">
          <cell r="A9" t="str">
            <v>1721-Сосиски Вязанка Сливочные ТМ Стародворские колбасы</v>
          </cell>
          <cell r="C9">
            <v>549.07399999999996</v>
          </cell>
          <cell r="D9">
            <v>148.34</v>
          </cell>
          <cell r="E9">
            <v>66.930000000000007</v>
          </cell>
        </row>
        <row r="10">
          <cell r="A10" t="str">
            <v>2074-Сосиски Молочные для завтрака Особый рецепт</v>
          </cell>
          <cell r="C10">
            <v>590.00300000000004</v>
          </cell>
          <cell r="D10">
            <v>156.828</v>
          </cell>
          <cell r="E10">
            <v>125.35899999999999</v>
          </cell>
        </row>
        <row r="11">
          <cell r="A11" t="str">
            <v>7070 СОЧНЫЕ ПМ сос п/о мгс 1.5*4_А_50с  ОСТАНКИНО</v>
          </cell>
          <cell r="C11">
            <v>483.31900000000002</v>
          </cell>
          <cell r="D11">
            <v>88.061000000000007</v>
          </cell>
          <cell r="E11">
            <v>74.763999999999996</v>
          </cell>
        </row>
        <row r="12">
          <cell r="A12" t="str">
            <v>2205-Сосиски Молочные для завтрака ТМ Особый рецепт 0,4кг</v>
          </cell>
          <cell r="C12">
            <v>755</v>
          </cell>
          <cell r="D12">
            <v>69</v>
          </cell>
          <cell r="E12">
            <v>53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511.28500000000003</v>
          </cell>
          <cell r="D13">
            <v>28.827000000000002</v>
          </cell>
          <cell r="E13">
            <v>49.8</v>
          </cell>
        </row>
        <row r="14">
          <cell r="A14" t="str">
            <v>0222-Ветчины Дугушка Дугушка б/о Стародворье, 1кг</v>
          </cell>
          <cell r="C14">
            <v>255.93899999999999</v>
          </cell>
          <cell r="D14">
            <v>42.567</v>
          </cell>
          <cell r="E14">
            <v>24.782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253.346</v>
          </cell>
          <cell r="D15">
            <v>45.555999999999997</v>
          </cell>
          <cell r="E15">
            <v>43.006999999999998</v>
          </cell>
        </row>
        <row r="16">
          <cell r="A16" t="str">
            <v>4087   СЕРВЕЛАТ КОПЧЕНЫЙ НА БУКЕ в/к в/К 0,35</v>
          </cell>
          <cell r="C16">
            <v>572</v>
          </cell>
          <cell r="D16">
            <v>104</v>
          </cell>
          <cell r="E16">
            <v>48</v>
          </cell>
        </row>
        <row r="17">
          <cell r="A17" t="str">
            <v>Фарш куриный "Домашний",зам,в/у0,75кг*8(6кг)  МИРАТОРГ</v>
          </cell>
          <cell r="C17">
            <v>500</v>
          </cell>
          <cell r="D17">
            <v>480</v>
          </cell>
          <cell r="E17">
            <v>20</v>
          </cell>
        </row>
        <row r="18">
          <cell r="A18" t="str">
            <v>6072 ЭКСТРА Папа может вар п/о 0.4кг_UZ</v>
          </cell>
          <cell r="C18">
            <v>622</v>
          </cell>
          <cell r="D18">
            <v>33</v>
          </cell>
          <cell r="E18">
            <v>39</v>
          </cell>
        </row>
        <row r="19">
          <cell r="A19" t="str">
            <v>2472 Сардельки Левантские Особая Без свинины Весовые NDX мгс Особый рецепт, вес 1кг</v>
          </cell>
          <cell r="C19">
            <v>233.30600000000001</v>
          </cell>
          <cell r="D19">
            <v>28.442</v>
          </cell>
          <cell r="E19">
            <v>73.245999999999995</v>
          </cell>
        </row>
        <row r="20">
          <cell r="A20" t="str">
            <v>7058 ШПИКАЧКИ СОЧНЫЕ С БЕКОНОМ п/о мгс 1*3_60с  ОСТАНКИНО</v>
          </cell>
          <cell r="C20">
            <v>234.48</v>
          </cell>
          <cell r="D20">
            <v>34.570999999999998</v>
          </cell>
          <cell r="E20">
            <v>38.816000000000003</v>
          </cell>
        </row>
        <row r="21">
          <cell r="A21" t="str">
            <v>6787 СЕРВЕЛАТ КРЕМЛЕВСКИЙ в/к в/у 0.33кг 8шт.  ОСТАНКИНО</v>
          </cell>
          <cell r="C21">
            <v>367</v>
          </cell>
          <cell r="D21">
            <v>89</v>
          </cell>
          <cell r="E21">
            <v>40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175.197</v>
          </cell>
          <cell r="D22">
            <v>37.9</v>
          </cell>
          <cell r="E22">
            <v>25.555</v>
          </cell>
        </row>
        <row r="23">
          <cell r="A23" t="str">
            <v>1120 В/к колбасы Сервелат Запеченный Дугушка Вес Вектор Стародворье, вес 1кг</v>
          </cell>
          <cell r="C23">
            <v>173.04900000000001</v>
          </cell>
          <cell r="D23">
            <v>9.6379999999999999</v>
          </cell>
          <cell r="E23">
            <v>13.173</v>
          </cell>
        </row>
        <row r="24">
          <cell r="A24" t="str">
            <v>Сервелат полусухой с/к ВУ ОХЛ 300гр МИРАТОРГ</v>
          </cell>
          <cell r="C24">
            <v>177</v>
          </cell>
          <cell r="E24">
            <v>18</v>
          </cell>
        </row>
        <row r="25">
          <cell r="A25" t="str">
            <v>1370-Сосиски Сочинки Бордо Весовой п/а Стародворье</v>
          </cell>
          <cell r="C25">
            <v>210.036</v>
          </cell>
          <cell r="D25">
            <v>22.195</v>
          </cell>
          <cell r="E25">
            <v>46.673999999999999</v>
          </cell>
        </row>
        <row r="26">
          <cell r="A26" t="str">
            <v>СОС СЛИВОЧНЫЕ ГОСТ ЦО ЗА ЛОТ ШТ 0.45КГ K1.8 ЧЕРКИЗОВО</v>
          </cell>
          <cell r="C26">
            <v>240</v>
          </cell>
          <cell r="D26">
            <v>78</v>
          </cell>
          <cell r="E26">
            <v>8</v>
          </cell>
        </row>
        <row r="27">
          <cell r="A27" t="str">
            <v>6093 САЛЯМИ ИТАЛЬЯНСКАЯ с/к в/у 1/250 8шт_UZ</v>
          </cell>
          <cell r="C27">
            <v>312</v>
          </cell>
          <cell r="D27">
            <v>75</v>
          </cell>
          <cell r="E27">
            <v>48</v>
          </cell>
        </row>
        <row r="28">
          <cell r="A28" t="str">
            <v>1867-Колбаса Филейная ТМ Особый рецепт в оболочке полиамид большой батон.  ПОКОМ</v>
          </cell>
          <cell r="C28">
            <v>273.17500000000001</v>
          </cell>
          <cell r="D28">
            <v>64.435000000000002</v>
          </cell>
          <cell r="E28">
            <v>42.375999999999998</v>
          </cell>
        </row>
        <row r="29">
          <cell r="A29" t="str">
            <v>4079 СЕРВЕЛАТ КОПЧЕНЫЙ НА БУКЕ в/к в/у_СНГ</v>
          </cell>
          <cell r="C29">
            <v>151.36099999999999</v>
          </cell>
          <cell r="D29">
            <v>17.488</v>
          </cell>
          <cell r="E29">
            <v>5.6909999999999998</v>
          </cell>
        </row>
        <row r="30">
          <cell r="A30" t="str">
            <v>6346 ФИЛЕЙНАЯ Папа может вар п/о 0.5кг_СНГ  ОСТАНКИНО</v>
          </cell>
          <cell r="C30">
            <v>406</v>
          </cell>
          <cell r="D30">
            <v>46</v>
          </cell>
          <cell r="E30">
            <v>68</v>
          </cell>
        </row>
        <row r="31">
          <cell r="A31" t="str">
            <v>1118 В/к колбасы Салями Запеченая Дугушка  Вектор Стародворье, 1кг</v>
          </cell>
          <cell r="C31">
            <v>144.15600000000001</v>
          </cell>
          <cell r="D31">
            <v>21.131</v>
          </cell>
          <cell r="E31">
            <v>11.414999999999999</v>
          </cell>
        </row>
        <row r="32">
          <cell r="A32" t="str">
            <v>СК БОГОРОДСКАЯ ПРЕСС ФИБ ВУ ШТ0.3КГ К3.6  ЧЕРКИЗОВО</v>
          </cell>
          <cell r="C32">
            <v>227</v>
          </cell>
          <cell r="D32">
            <v>51</v>
          </cell>
          <cell r="E32">
            <v>35</v>
          </cell>
        </row>
        <row r="33">
          <cell r="A33" t="str">
            <v>1523-Сосиски Вязанка Молочные ТМ Стародворские колбасы</v>
          </cell>
          <cell r="C33">
            <v>154.25899999999999</v>
          </cell>
          <cell r="D33">
            <v>26.207999999999998</v>
          </cell>
          <cell r="E33">
            <v>24.300999999999998</v>
          </cell>
        </row>
        <row r="34">
          <cell r="A34" t="str">
            <v>1875-Колбаса Филейная оригинальная ТМ Особый рецепт в оболочке полиамид.  ПОКОМ</v>
          </cell>
          <cell r="C34">
            <v>216.39699999999999</v>
          </cell>
          <cell r="D34">
            <v>30.824999999999999</v>
          </cell>
          <cell r="E34">
            <v>39.066000000000003</v>
          </cell>
        </row>
        <row r="35">
          <cell r="A35" t="str">
            <v>5608 СЕРВЕЛАТ ФИНСКИЙ в/к в/у срез 0.35кг_СНГ</v>
          </cell>
          <cell r="C35">
            <v>391</v>
          </cell>
          <cell r="D35">
            <v>74</v>
          </cell>
          <cell r="E35">
            <v>44</v>
          </cell>
        </row>
        <row r="36">
          <cell r="A36" t="str">
            <v>1870-Колбаса Со шпиком ТМ Особый рецепт в оболочке полиамид большой батон.  ПОКОМ</v>
          </cell>
          <cell r="C36">
            <v>239.22</v>
          </cell>
          <cell r="D36">
            <v>33.99</v>
          </cell>
          <cell r="E36">
            <v>50.417999999999999</v>
          </cell>
        </row>
        <row r="37">
          <cell r="A37" t="str">
            <v>5096   СЕРВЕЛАТ КРЕМЛЕВСКИЙ в/к в/у_СНГ</v>
          </cell>
          <cell r="C37">
            <v>100.622</v>
          </cell>
          <cell r="D37">
            <v>13.064</v>
          </cell>
          <cell r="E37">
            <v>26.61</v>
          </cell>
        </row>
        <row r="38">
          <cell r="A38" t="str">
            <v>Вареные колбасы Сливушка Вязанка Фикс.вес 0,45 П/а Вязанка  ПОКОМ</v>
          </cell>
          <cell r="C38">
            <v>275</v>
          </cell>
          <cell r="D38">
            <v>97</v>
          </cell>
          <cell r="E38">
            <v>13</v>
          </cell>
        </row>
        <row r="39">
          <cell r="A39" t="str">
            <v>7075 МОЛОЧ.ПРЕМИУМ ПМ сос п/о мгс 1.5*4_О_50с  ОСТАНКИНО</v>
          </cell>
          <cell r="C39">
            <v>164.49600000000001</v>
          </cell>
          <cell r="D39">
            <v>29.39</v>
          </cell>
          <cell r="E39">
            <v>25.05</v>
          </cell>
        </row>
        <row r="40">
          <cell r="A40" t="str">
            <v>2634 Колбаса Дугушка Стародворская ТМ Стародворье ТС Дугушка  ПОКОМ</v>
          </cell>
          <cell r="C40">
            <v>153.94300000000001</v>
          </cell>
          <cell r="D40">
            <v>20.396000000000001</v>
          </cell>
          <cell r="E40">
            <v>28.183</v>
          </cell>
        </row>
        <row r="41">
          <cell r="A41" t="str">
            <v>1202 В/к колбасы Сервелат Мясорубский с мелкорубленным окороком срез Бордо Фикс.вес 0,35 фиброуз Ста</v>
          </cell>
          <cell r="C41">
            <v>344</v>
          </cell>
          <cell r="D41">
            <v>66</v>
          </cell>
          <cell r="E41">
            <v>57</v>
          </cell>
        </row>
        <row r="42">
          <cell r="A42" t="str">
            <v>1720-Сосиски Вязанка Сливочные ТМ Стародворские колбасы ТС Вязанка амицел в мод газов.среде 0,45кг</v>
          </cell>
          <cell r="C42">
            <v>207</v>
          </cell>
          <cell r="D42">
            <v>45</v>
          </cell>
          <cell r="E42">
            <v>47</v>
          </cell>
        </row>
        <row r="43">
          <cell r="A43" t="str">
            <v>6095 ЮБИЛЕЙНАЯ с/к в/у 1/250 8шт_UZ</v>
          </cell>
          <cell r="C43">
            <v>234</v>
          </cell>
          <cell r="D43">
            <v>43</v>
          </cell>
          <cell r="E43">
            <v>32</v>
          </cell>
        </row>
        <row r="44">
          <cell r="A44" t="str">
            <v>МХБ Колб полусухая «Салями» ВУ ОХЛ 280гр*6 (1,68кг)  МИРАТОРГ</v>
          </cell>
          <cell r="C44">
            <v>181</v>
          </cell>
          <cell r="D44">
            <v>13</v>
          </cell>
          <cell r="E44">
            <v>40</v>
          </cell>
        </row>
        <row r="45">
          <cell r="A45" t="str">
            <v>6807 СЕРВЕЛАТ ЕВРОПЕЙСКИЙ в/к в/у 0.33кг 8шт.  ОСТАНКИНО</v>
          </cell>
          <cell r="C45">
            <v>241</v>
          </cell>
          <cell r="D45">
            <v>63</v>
          </cell>
          <cell r="E45">
            <v>41</v>
          </cell>
        </row>
        <row r="46">
          <cell r="A46" t="str">
            <v>ВК СЕРВ ГОСТ СРЕЗ ФИБ ВУ ШТ 0.5КГ К2  ЧЕРКИЗОВО</v>
          </cell>
          <cell r="C46">
            <v>114</v>
          </cell>
          <cell r="D46">
            <v>9</v>
          </cell>
          <cell r="E46">
            <v>8</v>
          </cell>
        </row>
        <row r="47">
          <cell r="A47" t="str">
            <v>1871-Колбаса Филейная оригинальная ТМ Особый рецепт в оболочке полиамид 0,4 кг.  ПОКОМ</v>
          </cell>
          <cell r="C47">
            <v>325</v>
          </cell>
          <cell r="D47">
            <v>13</v>
          </cell>
          <cell r="E47">
            <v>10</v>
          </cell>
        </row>
        <row r="48">
          <cell r="A48" t="str">
            <v>ВАР КЛАССИЧЕСКАЯ ПО-Ч ЦО ЗА 1.6КГ K3.2 ЧЕРКИЗОВО</v>
          </cell>
          <cell r="C48">
            <v>86.548000000000002</v>
          </cell>
          <cell r="D48">
            <v>13.015000000000001</v>
          </cell>
          <cell r="E48">
            <v>8.0579999999999998</v>
          </cell>
        </row>
        <row r="49">
          <cell r="A49" t="str">
            <v>1204 Копченые колбасы Салями Мясорубская с рубленым шпиком Бордо Весовой фиброуз Стародворье  ПОКОМ</v>
          </cell>
          <cell r="C49">
            <v>113.53400000000001</v>
          </cell>
          <cell r="D49">
            <v>39.283000000000001</v>
          </cell>
          <cell r="E49">
            <v>10.195</v>
          </cell>
        </row>
        <row r="50">
          <cell r="A50" t="str">
            <v>1205 Копченые колбасы Салями Мясорубская с рубленым шпиком срез Бордо ф/в 0,35 фиброуз Стародворье  ПОКОМ</v>
          </cell>
          <cell r="C50">
            <v>308</v>
          </cell>
          <cell r="D50">
            <v>94</v>
          </cell>
          <cell r="E50">
            <v>51</v>
          </cell>
        </row>
        <row r="51">
          <cell r="A51" t="str">
            <v>1201 В/к колбасы Сервелат Мясорубский с мелкорубленным окороком Бордо Весовой фиброуз Стародворье  П</v>
          </cell>
          <cell r="C51">
            <v>111.78700000000001</v>
          </cell>
          <cell r="D51">
            <v>31.779</v>
          </cell>
          <cell r="E51">
            <v>10.224</v>
          </cell>
        </row>
        <row r="52">
          <cell r="A52" t="str">
            <v>Вареные колбасы Докторская ГОСТ Вязанка Фикс.вес 0,4 Вектор Вязанка  ПОКОМ</v>
          </cell>
          <cell r="C52">
            <v>201</v>
          </cell>
          <cell r="D52">
            <v>74</v>
          </cell>
          <cell r="E52">
            <v>29</v>
          </cell>
        </row>
        <row r="53">
          <cell r="A53" t="str">
            <v>6092 АРОМАТНАЯ с/к в/у 1/250 8шт_UZ</v>
          </cell>
          <cell r="C53">
            <v>203</v>
          </cell>
          <cell r="D53">
            <v>59</v>
          </cell>
          <cell r="E53">
            <v>32</v>
          </cell>
        </row>
        <row r="54">
          <cell r="A54" t="str">
            <v>ВАР МОЛОЧНАЯ ПО-ЧЕ НМО ШТ 0.4КГ К2.4  ЧЕРКИЗОВО</v>
          </cell>
          <cell r="C54">
            <v>249</v>
          </cell>
          <cell r="D54">
            <v>66</v>
          </cell>
          <cell r="E54">
            <v>36</v>
          </cell>
        </row>
        <row r="55">
          <cell r="A55" t="str">
            <v>МХБ Мясной продукт из свинины сырокопченый Бекон ШТ. ОХЛ ВУ 200г*10 (2 кг) МИРАТОРГ</v>
          </cell>
          <cell r="C55">
            <v>261</v>
          </cell>
          <cell r="D55">
            <v>33</v>
          </cell>
          <cell r="E55">
            <v>35</v>
          </cell>
        </row>
        <row r="56">
          <cell r="A56" t="str">
            <v>КОПЧ БЕКОН НАР ВУ ШТ 0.18КГ К1.8  ЧЕРКИЗОВО</v>
          </cell>
          <cell r="C56">
            <v>211</v>
          </cell>
          <cell r="D56">
            <v>19</v>
          </cell>
          <cell r="E56">
            <v>10</v>
          </cell>
        </row>
        <row r="57">
          <cell r="A57" t="str">
            <v>ВАР МОЛОЧНАЯ ПО-Ч НМО 1 КГ К3  ЧЕРКИЗОВО</v>
          </cell>
          <cell r="C57">
            <v>95.459000000000003</v>
          </cell>
          <cell r="D57">
            <v>47.768000000000001</v>
          </cell>
          <cell r="E57">
            <v>11.464</v>
          </cell>
        </row>
        <row r="58">
          <cell r="A58" t="str">
            <v>СК СЕРВЕЛЕТТИ ПРЕСС СРЕЗ БО ВУ ШТ 0.25КГ  ЧЕРКИЗОВО</v>
          </cell>
          <cell r="C58">
            <v>124</v>
          </cell>
          <cell r="D58">
            <v>2</v>
          </cell>
          <cell r="E58">
            <v>26</v>
          </cell>
        </row>
        <row r="59">
          <cell r="A59" t="str">
            <v>ВАР АРОМАТНАЯ ПО-Ч ЦО ЗА 1.6КГ K3.2 ЧЕРКИЗОВО</v>
          </cell>
          <cell r="C59">
            <v>73.876000000000005</v>
          </cell>
          <cell r="D59">
            <v>13.015000000000001</v>
          </cell>
          <cell r="E59">
            <v>3.2509999999999999</v>
          </cell>
        </row>
        <row r="60">
          <cell r="A60" t="str">
            <v>6076 МЯСНАЯ Папа может вар п/о 0.4кг_UZ</v>
          </cell>
          <cell r="C60">
            <v>335</v>
          </cell>
          <cell r="D60">
            <v>68</v>
          </cell>
          <cell r="E60">
            <v>47</v>
          </cell>
        </row>
        <row r="61">
          <cell r="A61" t="str">
            <v>МХБ Колбаса варено-копченая Сервелат Финский ШТ. Ф/О ОХЛ В/У 375г*6 (2,25кг) МИРАТОРГ</v>
          </cell>
          <cell r="C61">
            <v>200</v>
          </cell>
          <cell r="D61">
            <v>6</v>
          </cell>
          <cell r="E61">
            <v>42</v>
          </cell>
        </row>
        <row r="62">
          <cell r="A62" t="str">
            <v>1411 Сосиски «Сочинки Сливочные» Весовые ТМ «Стародворье» 1,35 кг  ПОКОМ</v>
          </cell>
          <cell r="C62">
            <v>115.376</v>
          </cell>
          <cell r="D62">
            <v>32.616999999999997</v>
          </cell>
          <cell r="E62">
            <v>9.6029999999999998</v>
          </cell>
        </row>
        <row r="63">
          <cell r="A63" t="str">
            <v>6094 ЮБИЛЕЙНАЯ с/к в/у_UZ</v>
          </cell>
          <cell r="C63">
            <v>44.857999999999997</v>
          </cell>
          <cell r="D63">
            <v>2.4780000000000002</v>
          </cell>
        </row>
        <row r="64">
          <cell r="A64" t="str">
            <v>0262 Ветчина «Сочинка с сочным окороком» Весовой п/а ТМ «Стародворье»  ПОКОМ</v>
          </cell>
          <cell r="C64">
            <v>88.614999999999995</v>
          </cell>
          <cell r="D64">
            <v>6.7709999999999999</v>
          </cell>
          <cell r="E64">
            <v>32.326000000000001</v>
          </cell>
        </row>
        <row r="65">
          <cell r="A65" t="str">
            <v>СОС КОПЧ ПО-Ч ЛОТ ПМО ЗА ШТ 0.4КГ K1.6  ЧЕРКИЗОВО</v>
          </cell>
          <cell r="C65">
            <v>194</v>
          </cell>
          <cell r="D65">
            <v>45</v>
          </cell>
          <cell r="E65">
            <v>20</v>
          </cell>
        </row>
        <row r="66">
          <cell r="A66" t="str">
            <v>1224 В/к колбасы «Сочинка по-европейски с сочной грудинкой» Весовой фиброуз ТМ «Стародворье»  ПОКОМ</v>
          </cell>
          <cell r="C66">
            <v>89.221999999999994</v>
          </cell>
          <cell r="D66">
            <v>28.030999999999999</v>
          </cell>
          <cell r="E66">
            <v>6.4050000000000002</v>
          </cell>
        </row>
        <row r="67">
          <cell r="A67" t="str">
            <v>6268 ГОВЯЖЬЯ Папа может вар п/о 0.4кг 8шт.  ОСТАНКИНО</v>
          </cell>
          <cell r="C67">
            <v>256</v>
          </cell>
          <cell r="D67">
            <v>37</v>
          </cell>
          <cell r="E67">
            <v>55</v>
          </cell>
        </row>
        <row r="68">
          <cell r="A68" t="str">
            <v>6765 РУБЛЕНЫЕ сос ц/о мгс 0.36кг 6шт.  ОСТАНКИНО</v>
          </cell>
          <cell r="C68">
            <v>168</v>
          </cell>
          <cell r="D68">
            <v>37</v>
          </cell>
          <cell r="E68">
            <v>36</v>
          </cell>
        </row>
        <row r="69">
          <cell r="A69" t="str">
            <v>1371-Сосиски Сочинки с сочной грудинкой Бордо Фикс.вес 0,4 П/а мгс Стародворье</v>
          </cell>
          <cell r="C69">
            <v>232</v>
          </cell>
          <cell r="D69">
            <v>65</v>
          </cell>
          <cell r="E69">
            <v>25</v>
          </cell>
        </row>
        <row r="70">
          <cell r="A70" t="str">
            <v>7333 СЕРВЕЛАТ ОХОТНИЧИЙ ПМ в/к в/у 0.28кг_СНГ  ОСТАНКИНО</v>
          </cell>
          <cell r="C70">
            <v>232</v>
          </cell>
          <cell r="D70">
            <v>61</v>
          </cell>
          <cell r="E70">
            <v>48</v>
          </cell>
        </row>
        <row r="71">
          <cell r="A71" t="str">
            <v>Вареные колбасы Молокуша Вязанка Вес п/а Вязанка  ПОКОМ</v>
          </cell>
          <cell r="C71">
            <v>82.13</v>
          </cell>
          <cell r="D71">
            <v>23.84</v>
          </cell>
          <cell r="E71">
            <v>12.135999999999999</v>
          </cell>
        </row>
        <row r="72">
          <cell r="A72" t="str">
            <v>СК БОРОДИНСКАЯ СРЕЗ ФИБ ВУ 0.3КГ ШТ К3.6  ЧЕРКИЗОВО</v>
          </cell>
          <cell r="C72">
            <v>109</v>
          </cell>
          <cell r="D72">
            <v>13</v>
          </cell>
          <cell r="E72">
            <v>24</v>
          </cell>
        </row>
        <row r="73">
          <cell r="A73" t="str">
            <v>МХБ Колбаса полукопченая Чесночная ШТ. ф/о ОХЛ 375г*6 (2,25кг) МИРАТОРГ</v>
          </cell>
          <cell r="C73">
            <v>157</v>
          </cell>
          <cell r="E73">
            <v>36</v>
          </cell>
        </row>
        <row r="74">
          <cell r="A74" t="str">
            <v>СОС МОЛОЧНЫЕ ПО-Ч ПМО ЗА ЛОТ ШТ 0.45КГ K1.8 ЧЕРКИЗОВО</v>
          </cell>
          <cell r="C74">
            <v>133</v>
          </cell>
          <cell r="D74">
            <v>26</v>
          </cell>
          <cell r="E74">
            <v>8</v>
          </cell>
        </row>
        <row r="75">
          <cell r="A75" t="str">
            <v>1231 Сосиски Сливочные Дугушки Дугушка Весовые П/а Стародворье, вес 1кг</v>
          </cell>
          <cell r="C75">
            <v>76.847999999999999</v>
          </cell>
          <cell r="D75">
            <v>44.947000000000003</v>
          </cell>
        </row>
        <row r="76">
          <cell r="A76" t="str">
            <v>1372-Сосиски Сочинки с сочным окороком Бордо Фикс.вес 0,4 П/а мгс Стародворье</v>
          </cell>
          <cell r="C76">
            <v>207</v>
          </cell>
          <cell r="D76">
            <v>57</v>
          </cell>
          <cell r="E76">
            <v>25</v>
          </cell>
        </row>
        <row r="77">
          <cell r="A77" t="str">
            <v>МХБ Колбаса сырокопченая Брауншвейгская ШТ. ВУ ОХЛ 300гр*8 (2,4 кг) МИРАТОРГ</v>
          </cell>
          <cell r="C77">
            <v>73</v>
          </cell>
          <cell r="D77">
            <v>2</v>
          </cell>
          <cell r="E77">
            <v>17</v>
          </cell>
        </row>
        <row r="78">
          <cell r="A78" t="str">
            <v>СОС ВЕНСКИЕ БО ЗА ПАК 1.25КГ K5 ЧЕРКИЗОВО</v>
          </cell>
          <cell r="C78">
            <v>57.436999999999998</v>
          </cell>
          <cell r="D78">
            <v>10.013</v>
          </cell>
          <cell r="E78">
            <v>7.4409999999999998</v>
          </cell>
        </row>
        <row r="79">
          <cell r="A79" t="str">
            <v>7104 БЕКОН Останкино с/к с/н в/у 1/180_СНГ_50 ОСТАНКИНО</v>
          </cell>
          <cell r="C79">
            <v>160</v>
          </cell>
          <cell r="D79">
            <v>29</v>
          </cell>
          <cell r="E79">
            <v>20</v>
          </cell>
        </row>
        <row r="80">
          <cell r="A80" t="str">
            <v>МХБ Сервелат Мраморный ШТ. в/к ВУ ОХЛ 330г*6 (1,98кг)  МИРАТОРГ</v>
          </cell>
          <cell r="C80">
            <v>107</v>
          </cell>
          <cell r="D80">
            <v>5</v>
          </cell>
          <cell r="E80">
            <v>18</v>
          </cell>
        </row>
        <row r="81">
          <cell r="A81" t="str">
            <v>1851-Колбаса Филедворская по-стародворски ТМ Стародворье в оболочке полиамид 0,4 кг.  ПОКОМ</v>
          </cell>
          <cell r="C81">
            <v>201</v>
          </cell>
          <cell r="D81">
            <v>41</v>
          </cell>
          <cell r="E81">
            <v>31</v>
          </cell>
        </row>
        <row r="82">
          <cell r="A82" t="str">
            <v>МХБ Колбаса варено-копченая Сервелат ШТ. Ф/О ОХЛ В/У 375г*6 (2,25кг) МИРАТОРГ</v>
          </cell>
          <cell r="C82">
            <v>133</v>
          </cell>
          <cell r="D82">
            <v>4</v>
          </cell>
          <cell r="E82">
            <v>28</v>
          </cell>
        </row>
        <row r="83">
          <cell r="A83" t="str">
            <v>7077 МЯСНЫЕ С ГОВЯД.ПМ сос п/о мгс 0.4кг_50с ОСТАНКИНО</v>
          </cell>
          <cell r="C83">
            <v>208</v>
          </cell>
          <cell r="D83">
            <v>32</v>
          </cell>
          <cell r="E83">
            <v>38</v>
          </cell>
        </row>
        <row r="84">
          <cell r="A84" t="str">
            <v>1284-Сосиски Баварушки ТМ Баварушка в оболочке амицел в модифицированной газовой среде 0,6 кг.</v>
          </cell>
          <cell r="C84">
            <v>84</v>
          </cell>
          <cell r="D84">
            <v>44</v>
          </cell>
          <cell r="E84">
            <v>6</v>
          </cell>
        </row>
        <row r="85">
          <cell r="A85" t="str">
            <v>КП Колбаса в/к Балыковая ВУ охл 300г*6  МИРАТОРГ</v>
          </cell>
          <cell r="C85">
            <v>154</v>
          </cell>
          <cell r="D85">
            <v>-3</v>
          </cell>
          <cell r="E85">
            <v>45</v>
          </cell>
        </row>
        <row r="86">
          <cell r="A86" t="str">
            <v>Колбаса п/к Краковская ОХЛ ВУ 330г*5 (1,65 кг)  МИРАТОРГ</v>
          </cell>
          <cell r="C86">
            <v>102</v>
          </cell>
          <cell r="D86">
            <v>8</v>
          </cell>
          <cell r="E86">
            <v>19</v>
          </cell>
        </row>
        <row r="87">
          <cell r="A87" t="str">
            <v>6220 ГОВЯЖЬЯ Папа может вар п/о  ОСТАНКИНО</v>
          </cell>
          <cell r="C87">
            <v>56.24</v>
          </cell>
          <cell r="D87">
            <v>9.3439999999999994</v>
          </cell>
          <cell r="E87">
            <v>9.3610000000000007</v>
          </cell>
        </row>
        <row r="88">
          <cell r="A88" t="str">
            <v>Вареные колбасы «Филейская» Весовые Вектор ТМ «Вязанка»  ПОКОМ</v>
          </cell>
          <cell r="C88">
            <v>55.091000000000001</v>
          </cell>
          <cell r="D88">
            <v>12.930999999999999</v>
          </cell>
          <cell r="E88">
            <v>10.67</v>
          </cell>
        </row>
        <row r="89">
          <cell r="A89" t="str">
            <v>7067 СОЧНЫЕ ПМ сос п/о мгс 0.41кг_СНГ_50с  ОСТАНКИНО</v>
          </cell>
          <cell r="C89">
            <v>156</v>
          </cell>
          <cell r="D89">
            <v>26</v>
          </cell>
          <cell r="E89">
            <v>39</v>
          </cell>
        </row>
        <row r="90">
          <cell r="A90" t="str">
            <v>6837 ФИЛЕЙНЫЕ Папа Может сос ц/о мгс 0.4кг  ОСТАНКИНО</v>
          </cell>
          <cell r="C90">
            <v>143</v>
          </cell>
          <cell r="D90">
            <v>32</v>
          </cell>
          <cell r="E90">
            <v>25</v>
          </cell>
        </row>
        <row r="91">
          <cell r="A91" t="str">
            <v>Вареные колбасы «Филейская» Фикс.вес 0,45 Вектор ТМ «Вязанка»  ПОКОМ</v>
          </cell>
          <cell r="C91">
            <v>102</v>
          </cell>
          <cell r="D91">
            <v>4</v>
          </cell>
          <cell r="E91">
            <v>27</v>
          </cell>
        </row>
        <row r="92">
          <cell r="A92" t="str">
            <v>Колбаса с/к Сальчичон ВУ ОХЛ 280г*6 (1,68 кг)  МИРАТОРГ</v>
          </cell>
          <cell r="C92">
            <v>61</v>
          </cell>
          <cell r="D92">
            <v>2</v>
          </cell>
          <cell r="E92">
            <v>24</v>
          </cell>
        </row>
        <row r="93">
          <cell r="A93" t="str">
            <v>СК САЛЬЧИЧОН СРЕЗ ФИБ ВУ ШТ 0,3 КГ ЧЕРКИЗОВО (ПРЕМИУМ)</v>
          </cell>
          <cell r="C93">
            <v>58</v>
          </cell>
          <cell r="D93">
            <v>2</v>
          </cell>
          <cell r="E93">
            <v>5</v>
          </cell>
        </row>
        <row r="94">
          <cell r="A94" t="str">
            <v>6091 АРОМАТНАЯ с/к в/у_UZ</v>
          </cell>
          <cell r="C94">
            <v>22.76</v>
          </cell>
          <cell r="D94">
            <v>0.98</v>
          </cell>
          <cell r="E94">
            <v>1.4730000000000001</v>
          </cell>
        </row>
        <row r="95">
          <cell r="A95" t="str">
            <v>МХБ Колбаса варено-копченая Сервелат Коньячный Ф/О ОХЛ В/У 300г*6 (1,8кг)  МИРАТОРГ</v>
          </cell>
          <cell r="C95">
            <v>118</v>
          </cell>
          <cell r="D95">
            <v>4</v>
          </cell>
          <cell r="E95">
            <v>22</v>
          </cell>
        </row>
        <row r="96">
          <cell r="A96" t="str">
            <v>7059 ШПИКАЧКИ СОЧНЫЕ С БЕК. п/о мгс 0.3кг_60с  ОСТАНКИНО</v>
          </cell>
          <cell r="C96">
            <v>143</v>
          </cell>
          <cell r="D96">
            <v>12</v>
          </cell>
          <cell r="E96">
            <v>27</v>
          </cell>
        </row>
        <row r="97">
          <cell r="A97" t="str">
            <v>Наггетсы куриные Классические 300г*12 (3,6кг) Мираторг Россия</v>
          </cell>
          <cell r="C97">
            <v>103</v>
          </cell>
          <cell r="D97">
            <v>14</v>
          </cell>
        </row>
        <row r="98">
          <cell r="A98" t="str">
            <v>СК САЛЬЧИЧОН С РОЗОВЫМ ПЕРЦ. СРЕЗ ШТ 0,3  ЧЕРКИЗОВО</v>
          </cell>
          <cell r="C98">
            <v>50</v>
          </cell>
          <cell r="E98">
            <v>5</v>
          </cell>
        </row>
        <row r="99">
          <cell r="A99" t="str">
            <v>ВЕТЧ МРАМОРНАЯ ПО-ЧЕРКИЗОВСКИ ШТ 0,4 КГ  ЧЕРКИЗОВО</v>
          </cell>
          <cell r="C99">
            <v>60</v>
          </cell>
          <cell r="D99">
            <v>4</v>
          </cell>
          <cell r="E99">
            <v>12</v>
          </cell>
        </row>
        <row r="100">
          <cell r="A100" t="str">
            <v>6075 МЯСНАЯ Папа может вар п/о_UZ</v>
          </cell>
          <cell r="C100">
            <v>48.143999999999998</v>
          </cell>
          <cell r="D100">
            <v>13.632</v>
          </cell>
          <cell r="E100">
            <v>12.170999999999999</v>
          </cell>
        </row>
        <row r="101">
          <cell r="A101" t="str">
            <v>2027 Ветчина Нежная п/а ТМ Особый рецепт шт. 0,4кг</v>
          </cell>
          <cell r="C101">
            <v>71</v>
          </cell>
          <cell r="E101">
            <v>19</v>
          </cell>
        </row>
        <row r="102">
          <cell r="A102" t="str">
            <v>МХБ Колбаса вареная Докторская ШТ. п/а ОХЛ 470г*6 (2,82 кг) МИРАТОРГ</v>
          </cell>
          <cell r="C102">
            <v>50</v>
          </cell>
          <cell r="D102">
            <v>5</v>
          </cell>
          <cell r="E102">
            <v>6</v>
          </cell>
        </row>
        <row r="103">
          <cell r="A103" t="str">
            <v>1461 Сосиски «Баварские» Фикс.вес 0,35 П/а ТМ «Стародворье»  ПОКОМ</v>
          </cell>
          <cell r="C103">
            <v>97</v>
          </cell>
          <cell r="D103">
            <v>25</v>
          </cell>
          <cell r="E103">
            <v>20</v>
          </cell>
        </row>
        <row r="104">
          <cell r="A104" t="str">
            <v>МХБ Ветчина для завтрака ШТ. ОХЛ п/а 400г*6 (2,4кг) МИРАТОРГ</v>
          </cell>
          <cell r="C104">
            <v>52</v>
          </cell>
          <cell r="D104">
            <v>-4</v>
          </cell>
          <cell r="E104">
            <v>12</v>
          </cell>
        </row>
        <row r="105">
          <cell r="A105" t="str">
            <v>СК САЛЬЧИЧОН НАРЕЗ ФИБ ЗА ШТ 0.1КГ К1.2  ЧЕРКИЗОВО</v>
          </cell>
          <cell r="C105">
            <v>62</v>
          </cell>
          <cell r="D105">
            <v>3</v>
          </cell>
        </row>
        <row r="106">
          <cell r="A106" t="str">
            <v>Карибская смесь с/м 400г*10 (4кг) Мираторг Россия</v>
          </cell>
          <cell r="C106">
            <v>71</v>
          </cell>
        </row>
        <row r="107">
          <cell r="A107" t="str">
            <v>СК ОНЕЖСКАЯ СРЕЗ ФИБ ВУ ШТ 0.3КГ K1.8 ЧЕРКИЗОВО</v>
          </cell>
          <cell r="C107">
            <v>32</v>
          </cell>
          <cell r="D107">
            <v>-1</v>
          </cell>
          <cell r="E107">
            <v>8</v>
          </cell>
        </row>
        <row r="108">
          <cell r="A108" t="str">
            <v>1952-Колбаса Со шпиком ТМ Особый рецепт в оболочке полиамид 0,5 кг.  ПОКОМ</v>
          </cell>
          <cell r="C108">
            <v>65</v>
          </cell>
          <cell r="D108">
            <v>17</v>
          </cell>
          <cell r="E108">
            <v>27</v>
          </cell>
        </row>
        <row r="109">
          <cell r="A109" t="str">
            <v>У_Фарш куриный "Домашний",зам,в/у0,75кг*8(6кг)  МИРАТОРГ</v>
          </cell>
          <cell r="C109">
            <v>71</v>
          </cell>
          <cell r="D109">
            <v>71</v>
          </cell>
        </row>
        <row r="110">
          <cell r="A110" t="str">
            <v>МХБ Колбаса вареная Молочная ШТ. п/а ОХЛ 470*6 (2,82 кг) МИРАТОРГ</v>
          </cell>
          <cell r="C110">
            <v>38</v>
          </cell>
          <cell r="D110">
            <v>1</v>
          </cell>
          <cell r="E110">
            <v>6</v>
          </cell>
        </row>
        <row r="111">
          <cell r="A111" t="str">
            <v>Бургер Класс из мр гов зам ШТ 1,05кг TF *6  МИРАТОРГ</v>
          </cell>
          <cell r="C111">
            <v>12</v>
          </cell>
        </row>
        <row r="112">
          <cell r="A112" t="str">
            <v>С/к колбасы Баварская Бавария Фикс.вес 0,17 б/о терм/п Стародворье</v>
          </cell>
          <cell r="C112">
            <v>37</v>
          </cell>
          <cell r="D112">
            <v>8</v>
          </cell>
          <cell r="E112">
            <v>5</v>
          </cell>
        </row>
        <row r="113">
          <cell r="A113" t="str">
            <v>Пельмени "Из мраморной говядины" с/м пленка  400г*16(6,4кг) BLACK ANGUS Мираторг (Брянск) Россия</v>
          </cell>
          <cell r="C113">
            <v>46</v>
          </cell>
          <cell r="D113">
            <v>12</v>
          </cell>
        </row>
        <row r="114">
          <cell r="A114" t="str">
            <v>Наггетсы куриные хрустящие 300г*12 (3,6кг) Мираторг Россия</v>
          </cell>
          <cell r="C114">
            <v>49</v>
          </cell>
          <cell r="D114">
            <v>12</v>
          </cell>
        </row>
        <row r="115">
          <cell r="A115" t="str">
            <v>Вишня б/косточки с/м 300г*20 (6кг) Мираторг Россия</v>
          </cell>
          <cell r="C115">
            <v>32</v>
          </cell>
        </row>
        <row r="116">
          <cell r="A116" t="str">
            <v>Колбаса с/к Сервелат ГОСТ ВУ ОХЛ 0,3кг*6(1,8кг)  МИРАТОРГ</v>
          </cell>
          <cell r="C116">
            <v>17</v>
          </cell>
          <cell r="D116">
            <v>11</v>
          </cell>
          <cell r="E116">
            <v>6</v>
          </cell>
        </row>
        <row r="117">
          <cell r="A117" t="str">
            <v>1728-Сосиски сливочные по-стародворски в оболочке</v>
          </cell>
          <cell r="C117">
            <v>17.617999999999999</v>
          </cell>
          <cell r="D117">
            <v>6.7880000000000003</v>
          </cell>
        </row>
        <row r="118">
          <cell r="A118" t="str">
            <v>6078 ФИЛЕЙНАЯ Папа может вар п/о_UZ</v>
          </cell>
          <cell r="C118">
            <v>19.664000000000001</v>
          </cell>
          <cell r="D118">
            <v>3.9660000000000002</v>
          </cell>
          <cell r="E118">
            <v>8.0820000000000007</v>
          </cell>
        </row>
        <row r="119">
          <cell r="A119" t="str">
            <v>1868-Колбаса Филейная ТМ Особый рецепт в оболочке полиамид 0,5 кг.  ПОКОМ</v>
          </cell>
          <cell r="C119">
            <v>26</v>
          </cell>
          <cell r="E119">
            <v>16</v>
          </cell>
        </row>
        <row r="120">
          <cell r="A120" t="str">
            <v>Пельмени «Сочные» ГВ зам пакет 700г*8  МИРАТОРГ</v>
          </cell>
          <cell r="C120">
            <v>20</v>
          </cell>
        </row>
        <row r="121">
          <cell r="A121" t="str">
            <v>Сырники классические ЗАМ 280гр*4 (1,12кг) Мираторг Трио Россия</v>
          </cell>
          <cell r="C121">
            <v>21</v>
          </cell>
        </row>
        <row r="122">
          <cell r="A122" t="str">
            <v>0232 С/к колбасы Княжеская Бордо Весовые б/о терм/п Стародворье</v>
          </cell>
          <cell r="C122">
            <v>2.415</v>
          </cell>
          <cell r="D122">
            <v>1.1950000000000001</v>
          </cell>
          <cell r="E122">
            <v>1.22</v>
          </cell>
        </row>
        <row r="123">
          <cell r="A123" t="str">
            <v>ВК БАЛЫКОВАЯ ПО-ЧЕРКИЗ СРЕЗ ШТ0,3 К1,8  ЧЕРКИЗОВО</v>
          </cell>
          <cell r="C123">
            <v>11</v>
          </cell>
          <cell r="D123">
            <v>2</v>
          </cell>
          <cell r="E123">
            <v>12</v>
          </cell>
        </row>
        <row r="124">
          <cell r="A124" t="str">
            <v>КП Колбаса с/к Брауншвейгская ВУ ОХЛ 300г*6 (1,8кг)  МИРАТОРГ</v>
          </cell>
          <cell r="C124">
            <v>6</v>
          </cell>
          <cell r="E124">
            <v>6</v>
          </cell>
        </row>
        <row r="125">
          <cell r="A125" t="str">
            <v>Итальянская смесь с/м 400г*10 (4кг) Vитамин  МИРАТОРГ</v>
          </cell>
          <cell r="C125">
            <v>14</v>
          </cell>
        </row>
        <row r="126">
          <cell r="A126" t="str">
            <v>Сырники с вишневой начинкой ЗАМ 280гр*4 (1,12кг) Мираторг Трио Россия</v>
          </cell>
          <cell r="C126">
            <v>13</v>
          </cell>
        </row>
        <row r="127">
          <cell r="A127" t="str">
            <v>Сырники с клубн.нач. 280гр ЗАМ  МИРАТОРГ</v>
          </cell>
          <cell r="C127">
            <v>13</v>
          </cell>
        </row>
        <row r="128">
          <cell r="A128" t="str">
            <v>Картофель фри с/м 500г*10 (5кг) МИРАТОРГ Россия</v>
          </cell>
          <cell r="C128">
            <v>10</v>
          </cell>
        </row>
        <row r="129">
          <cell r="A129" t="str">
            <v>МХБ Колбаса вареная Классическая ШТ. ОХЛ п/а 470г*6 (2,82кг) МИРАТОРГ</v>
          </cell>
          <cell r="C129">
            <v>10</v>
          </cell>
          <cell r="D129">
            <v>1</v>
          </cell>
        </row>
        <row r="130">
          <cell r="A130" t="str">
            <v>Фарш говяжий зам 0,4кг ШТ  TF  МИРАТОРГ</v>
          </cell>
          <cell r="C130">
            <v>7</v>
          </cell>
        </row>
        <row r="131">
          <cell r="A131" t="str">
            <v>Черная смородина с/м 300г*10 (3кг) Россия Мираторг</v>
          </cell>
          <cell r="C131">
            <v>8</v>
          </cell>
        </row>
        <row r="132">
          <cell r="A132" t="str">
            <v>Гавайская смесь 400г*20 (8кг) Vитамин Мираторг РОССИЯ  МИРАТОРГ</v>
          </cell>
          <cell r="C132">
            <v>10</v>
          </cell>
        </row>
        <row r="133">
          <cell r="A133" t="str">
            <v>СК БРАУНШВЕЙГСКАЯ ГОСТ БО СРЕЗ ШТ 0,2КГ  ЧЕРКИЗОВО</v>
          </cell>
          <cell r="C133">
            <v>5</v>
          </cell>
          <cell r="D133">
            <v>-8</v>
          </cell>
          <cell r="E133">
            <v>6</v>
          </cell>
        </row>
        <row r="134">
          <cell r="A134" t="str">
            <v>Ягодный морс 300г*10 зам  МИРАТОРГ</v>
          </cell>
          <cell r="C134">
            <v>5</v>
          </cell>
        </row>
        <row r="135">
          <cell r="A135" t="str">
            <v>Лечо по-венгерски 0,4кг ОФ зам кор  МИРАТОРГ</v>
          </cell>
          <cell r="C135">
            <v>7</v>
          </cell>
        </row>
        <row r="136">
          <cell r="A136" t="str">
            <v>Шампиньоны рез. 400*20 зам  МИРАТОРГ</v>
          </cell>
          <cell r="C136">
            <v>6</v>
          </cell>
        </row>
        <row r="137">
          <cell r="A137" t="str">
            <v>Брокколи капуста 400 ЗАМ  МИРАТОРГ</v>
          </cell>
          <cell r="C137">
            <v>4</v>
          </cell>
        </row>
        <row r="138">
          <cell r="A138" t="str">
            <v>Ягодный коктейль 300г зам  МИРАТОРГ</v>
          </cell>
          <cell r="C138">
            <v>4</v>
          </cell>
        </row>
        <row r="139">
          <cell r="A139" t="str">
            <v>Мексиканская смесь с/м 400г*10 (4кг) Мираторг Россия</v>
          </cell>
          <cell r="C139">
            <v>5</v>
          </cell>
        </row>
        <row r="140">
          <cell r="A140" t="str">
            <v>Сотэ с прованскими травами 400г зам  МИРАТОРГ</v>
          </cell>
          <cell r="C140">
            <v>3</v>
          </cell>
        </row>
        <row r="141">
          <cell r="A141" t="str">
            <v>БОНУС_2634 Колбаса Дугушка Стародворская ТМ Стародворье ТС Дугушка  ПОКОМ</v>
          </cell>
          <cell r="C141">
            <v>125.833</v>
          </cell>
          <cell r="D141">
            <v>15.294</v>
          </cell>
          <cell r="E141">
            <v>17.033999999999999</v>
          </cell>
        </row>
        <row r="142">
          <cell r="A142" t="str">
            <v>БОНУС_2074-Сосиски Молочные для завтрака Особый рецепт</v>
          </cell>
          <cell r="C142">
            <v>106.926</v>
          </cell>
          <cell r="D142">
            <v>23.611000000000001</v>
          </cell>
          <cell r="E142">
            <v>35.442999999999998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88.56</v>
          </cell>
          <cell r="D143">
            <v>12.358000000000001</v>
          </cell>
          <cell r="E143">
            <v>7.49</v>
          </cell>
        </row>
        <row r="144">
          <cell r="A144" t="str">
            <v>БОНУС_Консервы стерилизованные. Баранина тушеная  высший сорт ГОСТ, 325г, 36 вл.  Новые фермы</v>
          </cell>
          <cell r="C144">
            <v>83</v>
          </cell>
          <cell r="E144">
            <v>34</v>
          </cell>
        </row>
        <row r="145">
          <cell r="A145" t="str">
            <v>БОНУС_1205 Копченые колбасы Салями Мясорубская с рубленым шпиком срез Бордо ф/в 0,35 фиброуз Стародворье</v>
          </cell>
          <cell r="C145">
            <v>70</v>
          </cell>
          <cell r="D145">
            <v>17</v>
          </cell>
          <cell r="E145">
            <v>12</v>
          </cell>
        </row>
        <row r="146">
          <cell r="A146" t="str">
            <v>БОНУС_2205-Сосиски Молочные для завтрака ТМ Особый рецепт 0,4кг</v>
          </cell>
          <cell r="C146">
            <v>61</v>
          </cell>
          <cell r="D146">
            <v>11</v>
          </cell>
          <cell r="E146">
            <v>10</v>
          </cell>
        </row>
        <row r="147">
          <cell r="A147" t="str">
            <v>БОНУС_1870-Колбаса Со шпиком ТМ Особый рецепт в оболочке полиамид большой батон.  ПОКОМ</v>
          </cell>
          <cell r="C147">
            <v>55.036000000000001</v>
          </cell>
          <cell r="D147">
            <v>5.03</v>
          </cell>
          <cell r="E147">
            <v>7.61</v>
          </cell>
        </row>
        <row r="148">
          <cell r="A148" t="str">
            <v>БОНУС_Консервы мясные кусковые стерилизованные. Баранина Классическая, 325г, 36 вл.  Новые фермы</v>
          </cell>
          <cell r="C148">
            <v>48</v>
          </cell>
          <cell r="E148">
            <v>33</v>
          </cell>
        </row>
        <row r="149">
          <cell r="A149" t="str">
            <v>БОНУС_1370-Сосиски Сочинки Бордо Весовой п/а Стародворье</v>
          </cell>
          <cell r="C149">
            <v>39.32</v>
          </cell>
          <cell r="D149">
            <v>7.35</v>
          </cell>
          <cell r="E149">
            <v>5.77</v>
          </cell>
        </row>
        <row r="150">
          <cell r="A150" t="str">
            <v>БОНУС_1204 Копченые колбасы Салями Мясорубская с рубленым шпиком Бордо Весовой фиброуз Стародворье  ПОКОМ</v>
          </cell>
          <cell r="C150">
            <v>35.012999999999998</v>
          </cell>
          <cell r="D150">
            <v>10.945</v>
          </cell>
          <cell r="E150">
            <v>4.3890000000000002</v>
          </cell>
        </row>
        <row r="151">
          <cell r="A151" t="str">
            <v>БОНУС_1869-Колбаса Молочная ТМ Особый рецепт в оболочке полиамид большой батон.  ПОКОМ</v>
          </cell>
          <cell r="C151">
            <v>32.247999999999998</v>
          </cell>
          <cell r="D151">
            <v>2.5739999999999998</v>
          </cell>
          <cell r="E151">
            <v>9.8179999999999996</v>
          </cell>
        </row>
        <row r="152">
          <cell r="A152" t="str">
            <v>БОНУС_1875-Колбаса Филейная оригинальная ТМ Особый рецепт в оболочке полиамид.  ПОКОМ</v>
          </cell>
          <cell r="C152">
            <v>30.815000000000001</v>
          </cell>
          <cell r="D152">
            <v>4.859</v>
          </cell>
          <cell r="E152">
            <v>7.335</v>
          </cell>
        </row>
        <row r="153">
          <cell r="A153" t="str">
            <v>БОНУС_1871-Колбаса Филейная оригинальная ТМ Особый рецепт в оболочке полиамид 0,4 кг.  ПОКОМ</v>
          </cell>
          <cell r="C153">
            <v>17</v>
          </cell>
          <cell r="D153">
            <v>4</v>
          </cell>
        </row>
        <row r="154">
          <cell r="A154" t="str">
            <v>БОНУС_1371-Сосиски Сочинки с сочной грудинкой Бордо Фикс.вес 0,4 П/а мгс Стародворье</v>
          </cell>
          <cell r="C154">
            <v>14</v>
          </cell>
          <cell r="E154">
            <v>2</v>
          </cell>
        </row>
        <row r="155">
          <cell r="A155" t="str">
            <v>БОНУС_1411 Сосиски «Сочинки Сливочные» Весовые ТМ «Стародворье» 1,35 кг  ПОКОМ</v>
          </cell>
          <cell r="C155">
            <v>12.153</v>
          </cell>
          <cell r="D155">
            <v>2.698</v>
          </cell>
          <cell r="E155">
            <v>1.3660000000000001</v>
          </cell>
        </row>
        <row r="156">
          <cell r="A156" t="str">
            <v>БОНУС_Колбаса «Филедворская по-стародворски» Весовой п/а ТМ «Стародворье»  ПОКОМ</v>
          </cell>
          <cell r="C156">
            <v>2.6749999999999998</v>
          </cell>
          <cell r="D156">
            <v>2.6749999999999998</v>
          </cell>
        </row>
        <row r="157">
          <cell r="A157" t="str">
            <v>СК САЛЯМИНИ ВУ ШТ 0.18 КГ  ЧЕРКИЗОВО</v>
          </cell>
          <cell r="C157">
            <v>-1</v>
          </cell>
        </row>
        <row r="158">
          <cell r="A158" t="str">
            <v>Пельмени Отборные из говядины Медвежье ушко 0,9 Псевдозащип Стародворье  ПОКОМ</v>
          </cell>
          <cell r="C158">
            <v>-1</v>
          </cell>
        </row>
        <row r="159">
          <cell r="A159" t="str">
            <v>СК САЛЬЧИЧОН С РОЗОВЫМ ПЕРЦЕМ НАР ШТ 85Г  ЧЕРКИЗОВО</v>
          </cell>
          <cell r="C159">
            <v>-2</v>
          </cell>
          <cell r="D159">
            <v>-1</v>
          </cell>
        </row>
        <row r="160">
          <cell r="A160" t="str">
            <v>МХБ Колбаса с/к "Куршская" ВУ ОХЛ 280г*8 (2,24 кг)  МИРАТОРГ</v>
          </cell>
          <cell r="C160">
            <v>-1</v>
          </cell>
        </row>
        <row r="161">
          <cell r="A161" t="str">
            <v>Сервелат Коньячный в/к ВУ ОХЛ 375гр  МИРАТОРГ</v>
          </cell>
          <cell r="C161">
            <v>-2</v>
          </cell>
          <cell r="D161">
            <v>-1</v>
          </cell>
        </row>
        <row r="162">
          <cell r="A162" t="str">
            <v>2094 Вареные колбасы Докторская Дугушка Дугушка Весовые Вектор Стародворье, вес 1кг</v>
          </cell>
          <cell r="C162">
            <v>-1.696</v>
          </cell>
          <cell r="D162">
            <v>-1.696</v>
          </cell>
        </row>
        <row r="163">
          <cell r="A163" t="str">
            <v>Итого</v>
          </cell>
          <cell r="C163">
            <v>22306.168000000001</v>
          </cell>
          <cell r="D163">
            <v>4274.9430000000002</v>
          </cell>
          <cell r="E163">
            <v>3185.5509999999999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в бланк завода</v>
          </cell>
          <cell r="S3" t="str">
            <v>заказ филиала</v>
          </cell>
          <cell r="T3" t="str">
            <v>Комментарии филиала</v>
          </cell>
          <cell r="U3" t="str">
            <v>кон ост</v>
          </cell>
          <cell r="V3" t="str">
            <v>факт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комментарии</v>
          </cell>
          <cell r="AF3" t="str">
            <v>вес</v>
          </cell>
          <cell r="AG3" t="str">
            <v>вес за ед.</v>
          </cell>
          <cell r="AH3" t="str">
            <v>вес кор</v>
          </cell>
        </row>
        <row r="4">
          <cell r="O4" t="str">
            <v>26,10,</v>
          </cell>
          <cell r="P4" t="str">
            <v>30,10,</v>
          </cell>
          <cell r="Q4" t="str">
            <v>10,11,</v>
          </cell>
          <cell r="W4" t="str">
            <v>23,10,</v>
          </cell>
          <cell r="X4" t="str">
            <v>16,10,</v>
          </cell>
          <cell r="Y4" t="str">
            <v>09,10,</v>
          </cell>
          <cell r="Z4" t="str">
            <v>02,10,</v>
          </cell>
          <cell r="AA4" t="str">
            <v>25,09,</v>
          </cell>
          <cell r="AB4" t="str">
            <v>11,09,</v>
          </cell>
          <cell r="AC4" t="str">
            <v>04,09,</v>
          </cell>
          <cell r="AD4" t="str">
            <v>28,08,</v>
          </cell>
        </row>
        <row r="5">
          <cell r="K5">
            <v>0</v>
          </cell>
          <cell r="L5">
            <v>1717.9459999999999</v>
          </cell>
          <cell r="M5">
            <v>0</v>
          </cell>
          <cell r="N5">
            <v>0</v>
          </cell>
          <cell r="O5">
            <v>1660</v>
          </cell>
          <cell r="P5">
            <v>343.58919999999995</v>
          </cell>
          <cell r="Q5">
            <v>1170</v>
          </cell>
          <cell r="R5">
            <v>1168.8</v>
          </cell>
          <cell r="S5">
            <v>0</v>
          </cell>
          <cell r="W5">
            <v>470.89920000000006</v>
          </cell>
          <cell r="X5">
            <v>323.58160000000004</v>
          </cell>
          <cell r="Y5">
            <v>651.3252</v>
          </cell>
          <cell r="Z5">
            <v>259.14660000000003</v>
          </cell>
          <cell r="AA5">
            <v>656.98899999999992</v>
          </cell>
          <cell r="AB5">
            <v>920.69899999999996</v>
          </cell>
          <cell r="AC5">
            <v>209.11559999999994</v>
          </cell>
          <cell r="AD5">
            <v>857.93319999999983</v>
          </cell>
          <cell r="AF5">
            <v>533.5</v>
          </cell>
        </row>
        <row r="6">
          <cell r="I6" t="str">
            <v>бонус</v>
          </cell>
          <cell r="J6" t="str">
            <v>ВАР АРОМАТНАЯ ПО-Ч ЦО ЗА 1.6КГ K3.2 ЧЕРКИЗОВО</v>
          </cell>
          <cell r="L6">
            <v>0</v>
          </cell>
          <cell r="P6">
            <v>0</v>
          </cell>
          <cell r="U6" t="e">
            <v>#DIV/0!</v>
          </cell>
          <cell r="V6" t="e">
            <v>#DIV/0!</v>
          </cell>
          <cell r="W6">
            <v>0.97460000000000002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I7" t="str">
            <v>бонус</v>
          </cell>
          <cell r="J7" t="str">
            <v>ВАР КЛАССИЧЕСКАЯ ПО-Ч ЦО ЗА 1.6КГ K3.2 ЧЕРКИЗОВО</v>
          </cell>
          <cell r="L7">
            <v>11.291</v>
          </cell>
          <cell r="P7">
            <v>2.2582</v>
          </cell>
          <cell r="U7">
            <v>-5.7187140200159421</v>
          </cell>
          <cell r="V7">
            <v>-5.7187140200159421</v>
          </cell>
          <cell r="W7">
            <v>0.3246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8">
          <cell r="I8" t="str">
            <v>бонус</v>
          </cell>
          <cell r="J8" t="str">
            <v>ВАР МОЛОЧНАЯ ПО-Ч НМО 1 КГ К3  ЧЕРКИЗОВО</v>
          </cell>
          <cell r="L8">
            <v>0</v>
          </cell>
          <cell r="P8">
            <v>0</v>
          </cell>
          <cell r="U8" t="e">
            <v>#DIV/0!</v>
          </cell>
          <cell r="V8" t="e">
            <v>#DIV/0!</v>
          </cell>
          <cell r="W8">
            <v>5.8015999999999996</v>
          </cell>
          <cell r="X8">
            <v>0.82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  <row r="9">
          <cell r="I9" t="str">
            <v>бонус</v>
          </cell>
          <cell r="J9" t="str">
            <v>КОПЧ БЕКОН НАР ВУ ШТ 0.18КГ К1.8  ЧЕРКИЗОВО</v>
          </cell>
          <cell r="L9">
            <v>14</v>
          </cell>
          <cell r="P9">
            <v>2.8</v>
          </cell>
          <cell r="U9">
            <v>-10.357142857142858</v>
          </cell>
          <cell r="V9">
            <v>-10.357142857142858</v>
          </cell>
          <cell r="W9">
            <v>4.5999999999999996</v>
          </cell>
          <cell r="X9">
            <v>0</v>
          </cell>
          <cell r="Y9">
            <v>0</v>
          </cell>
          <cell r="Z9">
            <v>7.2</v>
          </cell>
          <cell r="AA9">
            <v>9</v>
          </cell>
          <cell r="AB9">
            <v>15.2</v>
          </cell>
          <cell r="AC9">
            <v>0.4</v>
          </cell>
          <cell r="AD9">
            <v>13.6</v>
          </cell>
        </row>
        <row r="10">
          <cell r="I10" t="str">
            <v>бонус</v>
          </cell>
          <cell r="J10" t="str">
            <v>СОС ВЕНСКИЕ БО ЗА ПАК 1.25КГ K5 ЧЕРКИЗОВО</v>
          </cell>
          <cell r="L10">
            <v>26.658999999999999</v>
          </cell>
          <cell r="P10">
            <v>5.3317999999999994</v>
          </cell>
          <cell r="U10">
            <v>-5.2316290933643428</v>
          </cell>
          <cell r="V10">
            <v>-5.2316290933643428</v>
          </cell>
          <cell r="W10">
            <v>0.247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</row>
        <row r="11">
          <cell r="I11" t="str">
            <v>бонус</v>
          </cell>
          <cell r="J11" t="str">
            <v>СОС КОПЧ ПО-Ч ЛОТ ПМО ЗА ШТ 0.4КГ K1.6  ЧЕРКИЗОВО</v>
          </cell>
          <cell r="L11">
            <v>29</v>
          </cell>
          <cell r="P11">
            <v>5.8</v>
          </cell>
          <cell r="U11">
            <v>-11.03448275862069</v>
          </cell>
          <cell r="V11">
            <v>-11.03448275862069</v>
          </cell>
          <cell r="W11">
            <v>12</v>
          </cell>
          <cell r="X11">
            <v>0</v>
          </cell>
          <cell r="Y11">
            <v>0</v>
          </cell>
          <cell r="Z11">
            <v>3.2</v>
          </cell>
          <cell r="AA11">
            <v>17</v>
          </cell>
          <cell r="AB11">
            <v>29.4</v>
          </cell>
          <cell r="AC11">
            <v>0</v>
          </cell>
          <cell r="AD11">
            <v>18.8</v>
          </cell>
        </row>
        <row r="12">
          <cell r="I12" t="str">
            <v>бонус</v>
          </cell>
          <cell r="J12" t="str">
            <v>СОС МОЛОЧНЫЕ ПО-Ч ПМО ЗА ЛОТ ШТ 0.45КГ K1.8 ЧЕРКИЗОВО</v>
          </cell>
          <cell r="L12">
            <v>12</v>
          </cell>
          <cell r="P12">
            <v>2.4</v>
          </cell>
          <cell r="U12">
            <v>-21.666666666666668</v>
          </cell>
          <cell r="V12">
            <v>-21.666666666666668</v>
          </cell>
          <cell r="W12">
            <v>8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I13">
            <v>1030112235</v>
          </cell>
          <cell r="L13">
            <v>-0.26500000000000001</v>
          </cell>
          <cell r="O13">
            <v>30</v>
          </cell>
          <cell r="P13">
            <v>-5.3000000000000005E-2</v>
          </cell>
          <cell r="Q13">
            <v>30</v>
          </cell>
          <cell r="R13">
            <v>28.8</v>
          </cell>
          <cell r="U13">
            <v>-2729.6415094339618</v>
          </cell>
          <cell r="V13">
            <v>-2163.6037735849054</v>
          </cell>
          <cell r="W13">
            <v>12.9244</v>
          </cell>
          <cell r="X13">
            <v>5.71</v>
          </cell>
          <cell r="Y13">
            <v>10.6648</v>
          </cell>
          <cell r="Z13">
            <v>12.1486</v>
          </cell>
          <cell r="AA13">
            <v>9.0993999999999993</v>
          </cell>
          <cell r="AB13">
            <v>26.653199999999998</v>
          </cell>
          <cell r="AC13">
            <v>2.097</v>
          </cell>
          <cell r="AD13">
            <v>22.7834</v>
          </cell>
          <cell r="AE13" t="str">
            <v>03,06,25 в уценку 119кг</v>
          </cell>
          <cell r="AF13">
            <v>30</v>
          </cell>
          <cell r="AG13">
            <v>1.6</v>
          </cell>
          <cell r="AH13">
            <v>3.2</v>
          </cell>
        </row>
        <row r="14">
          <cell r="I14">
            <v>1030112635</v>
          </cell>
          <cell r="L14">
            <v>71.393000000000001</v>
          </cell>
          <cell r="O14">
            <v>60</v>
          </cell>
          <cell r="P14">
            <v>14.278600000000001</v>
          </cell>
          <cell r="Q14">
            <v>80</v>
          </cell>
          <cell r="R14">
            <v>80</v>
          </cell>
          <cell r="T14">
            <v>126.02979999999999</v>
          </cell>
          <cell r="U14">
            <v>19.776308601683642</v>
          </cell>
          <cell r="V14">
            <v>14.17351841216926</v>
          </cell>
          <cell r="W14">
            <v>20.921199999999999</v>
          </cell>
          <cell r="X14">
            <v>12.272</v>
          </cell>
          <cell r="Y14">
            <v>18.5562</v>
          </cell>
          <cell r="Z14">
            <v>4.3045999999999998</v>
          </cell>
          <cell r="AA14">
            <v>31.763400000000001</v>
          </cell>
          <cell r="AB14">
            <v>28.996600000000001</v>
          </cell>
          <cell r="AC14">
            <v>-0.433</v>
          </cell>
          <cell r="AD14">
            <v>29.310600000000001</v>
          </cell>
          <cell r="AE14" t="str">
            <v>03,06,25 в уценку 75кг</v>
          </cell>
          <cell r="AF14">
            <v>80</v>
          </cell>
          <cell r="AG14">
            <v>1.6</v>
          </cell>
          <cell r="AH14">
            <v>3.2</v>
          </cell>
        </row>
        <row r="15">
          <cell r="I15">
            <v>1030115552</v>
          </cell>
          <cell r="L15">
            <v>32.576999999999998</v>
          </cell>
          <cell r="P15">
            <v>6.5153999999999996</v>
          </cell>
          <cell r="R15">
            <v>0</v>
          </cell>
          <cell r="U15">
            <v>88.032354114866322</v>
          </cell>
          <cell r="V15">
            <v>88.032354114866322</v>
          </cell>
          <cell r="W15">
            <v>18.439599999999999</v>
          </cell>
          <cell r="X15">
            <v>10.619199999999999</v>
          </cell>
          <cell r="Y15">
            <v>20.4344</v>
          </cell>
          <cell r="Z15">
            <v>9.9225999999999992</v>
          </cell>
          <cell r="AA15">
            <v>21.495799999999999</v>
          </cell>
          <cell r="AB15">
            <v>21.397600000000001</v>
          </cell>
          <cell r="AC15">
            <v>14.695399999999999</v>
          </cell>
          <cell r="AD15">
            <v>17.125</v>
          </cell>
          <cell r="AE15" t="str">
            <v>нужно увеличить продажи!!!</v>
          </cell>
          <cell r="AF15">
            <v>0</v>
          </cell>
          <cell r="AG15">
            <v>1</v>
          </cell>
          <cell r="AH15">
            <v>3</v>
          </cell>
        </row>
        <row r="16">
          <cell r="I16">
            <v>1030115404</v>
          </cell>
          <cell r="L16">
            <v>203</v>
          </cell>
          <cell r="O16">
            <v>200</v>
          </cell>
          <cell r="P16">
            <v>40.6</v>
          </cell>
          <cell r="Q16">
            <v>200</v>
          </cell>
          <cell r="R16">
            <v>198</v>
          </cell>
          <cell r="U16">
            <v>31.47783251231527</v>
          </cell>
          <cell r="V16">
            <v>26.551724137931032</v>
          </cell>
          <cell r="W16">
            <v>42.6</v>
          </cell>
          <cell r="X16">
            <v>30.6</v>
          </cell>
          <cell r="Y16">
            <v>78.2</v>
          </cell>
          <cell r="Z16">
            <v>25.6</v>
          </cell>
          <cell r="AA16">
            <v>54.6</v>
          </cell>
          <cell r="AB16">
            <v>54.2</v>
          </cell>
          <cell r="AC16">
            <v>38</v>
          </cell>
          <cell r="AD16">
            <v>73.2</v>
          </cell>
          <cell r="AE16" t="str">
            <v>нужно увеличить продажи</v>
          </cell>
          <cell r="AF16">
            <v>80</v>
          </cell>
          <cell r="AG16">
            <v>0.4</v>
          </cell>
          <cell r="AH16">
            <v>2.4</v>
          </cell>
        </row>
        <row r="17">
          <cell r="I17">
            <v>1030804004</v>
          </cell>
          <cell r="L17">
            <v>82</v>
          </cell>
          <cell r="P17">
            <v>16.399999999999999</v>
          </cell>
          <cell r="Q17">
            <v>100</v>
          </cell>
          <cell r="R17">
            <v>101.99999999999999</v>
          </cell>
          <cell r="U17">
            <v>38.658536585365859</v>
          </cell>
          <cell r="V17">
            <v>32.560975609756099</v>
          </cell>
          <cell r="W17">
            <v>12</v>
          </cell>
          <cell r="X17">
            <v>18.8</v>
          </cell>
          <cell r="Y17">
            <v>22.2</v>
          </cell>
          <cell r="Z17">
            <v>10.6</v>
          </cell>
          <cell r="AA17">
            <v>29.6</v>
          </cell>
          <cell r="AB17">
            <v>35.200000000000003</v>
          </cell>
          <cell r="AC17">
            <v>21.4</v>
          </cell>
          <cell r="AD17">
            <v>35.4</v>
          </cell>
          <cell r="AE17" t="str">
            <v>нужно увеличить продажи!!!</v>
          </cell>
          <cell r="AF17">
            <v>40</v>
          </cell>
          <cell r="AG17">
            <v>0.4</v>
          </cell>
          <cell r="AH17">
            <v>2.4</v>
          </cell>
        </row>
        <row r="18">
          <cell r="I18">
            <v>1030419235</v>
          </cell>
          <cell r="L18">
            <v>41</v>
          </cell>
          <cell r="P18">
            <v>8.1999999999999993</v>
          </cell>
          <cell r="R18">
            <v>0</v>
          </cell>
          <cell r="U18">
            <v>44.390243902439025</v>
          </cell>
          <cell r="V18">
            <v>44.390243902439025</v>
          </cell>
          <cell r="W18">
            <v>4.5999999999999996</v>
          </cell>
          <cell r="X18">
            <v>6.2</v>
          </cell>
          <cell r="Y18">
            <v>14.6</v>
          </cell>
          <cell r="Z18">
            <v>12.4</v>
          </cell>
          <cell r="AA18">
            <v>14</v>
          </cell>
          <cell r="AB18">
            <v>50.4</v>
          </cell>
          <cell r="AC18">
            <v>0</v>
          </cell>
          <cell r="AD18">
            <v>-0.4</v>
          </cell>
          <cell r="AE18" t="str">
            <v>нужно увеличить продажи!!! / 11,08,25 завод не отгрузил / 28,07,25 завод не отгрузил</v>
          </cell>
          <cell r="AF18">
            <v>0</v>
          </cell>
          <cell r="AG18">
            <v>0.3</v>
          </cell>
          <cell r="AH18">
            <v>1.8</v>
          </cell>
        </row>
        <row r="19">
          <cell r="I19">
            <v>1030412236</v>
          </cell>
          <cell r="L19">
            <v>66</v>
          </cell>
          <cell r="O19">
            <v>250</v>
          </cell>
          <cell r="P19">
            <v>13.2</v>
          </cell>
          <cell r="R19">
            <v>0</v>
          </cell>
          <cell r="U19">
            <v>34.31818181818182</v>
          </cell>
          <cell r="V19">
            <v>34.31818181818182</v>
          </cell>
          <cell r="W19">
            <v>16.8</v>
          </cell>
          <cell r="X19">
            <v>9.4</v>
          </cell>
          <cell r="Y19">
            <v>26.4</v>
          </cell>
          <cell r="Z19">
            <v>26.4</v>
          </cell>
          <cell r="AA19">
            <v>20.2</v>
          </cell>
          <cell r="AB19">
            <v>1</v>
          </cell>
          <cell r="AC19">
            <v>17.600000000000001</v>
          </cell>
          <cell r="AD19">
            <v>40</v>
          </cell>
          <cell r="AE19" t="str">
            <v>нужно увеличить продажи</v>
          </cell>
          <cell r="AF19">
            <v>0</v>
          </cell>
          <cell r="AG19">
            <v>0.5</v>
          </cell>
          <cell r="AH19">
            <v>2</v>
          </cell>
        </row>
        <row r="20">
          <cell r="I20">
            <v>1030712385</v>
          </cell>
          <cell r="L20">
            <v>196</v>
          </cell>
          <cell r="P20">
            <v>39.200000000000003</v>
          </cell>
          <cell r="Q20">
            <v>100</v>
          </cell>
          <cell r="R20">
            <v>100</v>
          </cell>
          <cell r="U20">
            <v>26.530612244897956</v>
          </cell>
          <cell r="V20">
            <v>23.979591836734691</v>
          </cell>
          <cell r="W20">
            <v>42</v>
          </cell>
          <cell r="X20">
            <v>47.6</v>
          </cell>
          <cell r="Y20">
            <v>40.799999999999997</v>
          </cell>
          <cell r="Z20">
            <v>17.399999999999999</v>
          </cell>
          <cell r="AA20">
            <v>48.6</v>
          </cell>
          <cell r="AB20">
            <v>104.6</v>
          </cell>
          <cell r="AC20">
            <v>6.8</v>
          </cell>
          <cell r="AD20">
            <v>91.8</v>
          </cell>
          <cell r="AE20" t="str">
            <v>нужно увеличить продажи!!!</v>
          </cell>
          <cell r="AF20">
            <v>18</v>
          </cell>
          <cell r="AG20">
            <v>0.18</v>
          </cell>
          <cell r="AH20">
            <v>1.8</v>
          </cell>
        </row>
        <row r="21">
          <cell r="I21">
            <v>1030709904</v>
          </cell>
          <cell r="L21">
            <v>0</v>
          </cell>
          <cell r="P21">
            <v>0</v>
          </cell>
          <cell r="R21">
            <v>0</v>
          </cell>
          <cell r="U21" t="e">
            <v>#DIV/0!</v>
          </cell>
          <cell r="V21" t="e">
            <v>#DIV/0!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-0.2</v>
          </cell>
          <cell r="AD21">
            <v>0</v>
          </cell>
          <cell r="AE21" t="str">
            <v>22,05,25 в уценку 234шт.</v>
          </cell>
          <cell r="AF21">
            <v>0</v>
          </cell>
          <cell r="AG21">
            <v>0.3</v>
          </cell>
          <cell r="AH21">
            <v>1.8</v>
          </cell>
        </row>
        <row r="22">
          <cell r="I22" t="str">
            <v>НЕ ЗАКАЗЫВАТЬ / 1030633904</v>
          </cell>
          <cell r="L22">
            <v>-1</v>
          </cell>
          <cell r="P22">
            <v>-0.2</v>
          </cell>
          <cell r="U22">
            <v>0</v>
          </cell>
          <cell r="V22">
            <v>0</v>
          </cell>
          <cell r="W22">
            <v>1.2</v>
          </cell>
          <cell r="X22">
            <v>8</v>
          </cell>
          <cell r="Y22">
            <v>12</v>
          </cell>
          <cell r="Z22">
            <v>5.6</v>
          </cell>
          <cell r="AA22">
            <v>12.8</v>
          </cell>
          <cell r="AB22">
            <v>16.399999999999999</v>
          </cell>
          <cell r="AC22">
            <v>0</v>
          </cell>
          <cell r="AD22">
            <v>39.6</v>
          </cell>
          <cell r="AE22" t="str">
            <v>НЕ ЗАКАЗЫВАТЬ (новая площадка не аттестована)</v>
          </cell>
        </row>
        <row r="23">
          <cell r="I23">
            <v>1030686740</v>
          </cell>
          <cell r="L23">
            <v>163</v>
          </cell>
          <cell r="P23">
            <v>32.6</v>
          </cell>
          <cell r="Q23">
            <v>100</v>
          </cell>
          <cell r="R23">
            <v>96</v>
          </cell>
          <cell r="U23">
            <v>33.006134969325153</v>
          </cell>
          <cell r="V23">
            <v>29.938650306748464</v>
          </cell>
          <cell r="W23">
            <v>21.2</v>
          </cell>
          <cell r="X23">
            <v>32.6</v>
          </cell>
          <cell r="Y23">
            <v>36.799999999999997</v>
          </cell>
          <cell r="Z23">
            <v>25.2</v>
          </cell>
          <cell r="AA23">
            <v>58.4</v>
          </cell>
          <cell r="AB23">
            <v>81.400000000000006</v>
          </cell>
          <cell r="AC23">
            <v>26</v>
          </cell>
          <cell r="AD23">
            <v>76.8</v>
          </cell>
          <cell r="AE23" t="str">
            <v>нужно увеличить продажи!!!</v>
          </cell>
          <cell r="AF23">
            <v>30</v>
          </cell>
          <cell r="AG23">
            <v>0.3</v>
          </cell>
          <cell r="AH23">
            <v>3.6</v>
          </cell>
        </row>
        <row r="24">
          <cell r="I24">
            <v>1030686857</v>
          </cell>
          <cell r="L24">
            <v>143</v>
          </cell>
          <cell r="O24">
            <v>200</v>
          </cell>
          <cell r="P24">
            <v>28.6</v>
          </cell>
          <cell r="R24">
            <v>0</v>
          </cell>
          <cell r="U24">
            <v>39.055944055944053</v>
          </cell>
          <cell r="V24">
            <v>39.055944055944053</v>
          </cell>
          <cell r="W24">
            <v>18.2</v>
          </cell>
          <cell r="X24">
            <v>24.4</v>
          </cell>
          <cell r="Y24">
            <v>43</v>
          </cell>
          <cell r="Z24">
            <v>10.8</v>
          </cell>
          <cell r="AA24">
            <v>34.200000000000003</v>
          </cell>
          <cell r="AB24">
            <v>53.6</v>
          </cell>
          <cell r="AC24">
            <v>28.6</v>
          </cell>
          <cell r="AD24">
            <v>65</v>
          </cell>
          <cell r="AE24" t="str">
            <v>нужно увеличить продажи!!!</v>
          </cell>
          <cell r="AF24">
            <v>0</v>
          </cell>
          <cell r="AG24">
            <v>0.3</v>
          </cell>
          <cell r="AH24">
            <v>3.6</v>
          </cell>
        </row>
        <row r="25">
          <cell r="I25">
            <v>1030654104</v>
          </cell>
          <cell r="L25">
            <v>30</v>
          </cell>
          <cell r="O25">
            <v>80</v>
          </cell>
          <cell r="P25">
            <v>6</v>
          </cell>
          <cell r="R25">
            <v>0</v>
          </cell>
          <cell r="U25">
            <v>75.333333333333329</v>
          </cell>
          <cell r="V25">
            <v>75.333333333333329</v>
          </cell>
          <cell r="W25">
            <v>5.4</v>
          </cell>
          <cell r="X25">
            <v>11.4</v>
          </cell>
          <cell r="Y25">
            <v>17.399999999999999</v>
          </cell>
          <cell r="Z25">
            <v>4.8</v>
          </cell>
          <cell r="AA25">
            <v>13.8</v>
          </cell>
          <cell r="AB25">
            <v>23</v>
          </cell>
          <cell r="AC25">
            <v>8.6</v>
          </cell>
          <cell r="AD25">
            <v>27.8</v>
          </cell>
          <cell r="AE25" t="str">
            <v>нужно увеличить продажи!!!</v>
          </cell>
          <cell r="AF25">
            <v>0</v>
          </cell>
          <cell r="AG25">
            <v>0.2</v>
          </cell>
          <cell r="AH25">
            <v>1.2</v>
          </cell>
        </row>
        <row r="26">
          <cell r="I26">
            <v>1030686241</v>
          </cell>
          <cell r="L26">
            <v>31</v>
          </cell>
          <cell r="P26">
            <v>6.2</v>
          </cell>
          <cell r="R26">
            <v>0</v>
          </cell>
          <cell r="U26">
            <v>62.58064516129032</v>
          </cell>
          <cell r="V26">
            <v>62.58064516129032</v>
          </cell>
          <cell r="W26">
            <v>5.2</v>
          </cell>
          <cell r="X26">
            <v>1.2</v>
          </cell>
          <cell r="Y26">
            <v>15.6</v>
          </cell>
          <cell r="Z26">
            <v>4</v>
          </cell>
          <cell r="AA26">
            <v>4</v>
          </cell>
          <cell r="AB26">
            <v>10.6</v>
          </cell>
          <cell r="AC26">
            <v>10.199999999999999</v>
          </cell>
          <cell r="AD26">
            <v>11.8</v>
          </cell>
          <cell r="AE26" t="str">
            <v>нужно увеличить продажи!!!</v>
          </cell>
          <cell r="AF26">
            <v>0</v>
          </cell>
          <cell r="AG26">
            <v>0.3</v>
          </cell>
          <cell r="AH26">
            <v>1.8</v>
          </cell>
        </row>
        <row r="27">
          <cell r="I27" t="str">
            <v>дубль</v>
          </cell>
          <cell r="J27" t="str">
            <v>СК САЛЬЧИЧОН НАРЕЗ ФИБ ЗА ШТ 0.1КГ К1.2  ЧЕРКИЗОВО</v>
          </cell>
          <cell r="L27">
            <v>0</v>
          </cell>
          <cell r="P27">
            <v>0</v>
          </cell>
          <cell r="U27" t="e">
            <v>#DIV/0!</v>
          </cell>
          <cell r="V27" t="e">
            <v>#DIV/0!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I28">
            <v>1030650028</v>
          </cell>
          <cell r="L28">
            <v>31</v>
          </cell>
          <cell r="O28">
            <v>120</v>
          </cell>
          <cell r="P28">
            <v>6.2</v>
          </cell>
          <cell r="R28">
            <v>0</v>
          </cell>
          <cell r="U28">
            <v>45</v>
          </cell>
          <cell r="V28">
            <v>45</v>
          </cell>
          <cell r="W28">
            <v>17</v>
          </cell>
          <cell r="X28">
            <v>4.5999999999999996</v>
          </cell>
          <cell r="Y28">
            <v>23.2</v>
          </cell>
          <cell r="Z28">
            <v>-0.2</v>
          </cell>
          <cell r="AA28">
            <v>19.2</v>
          </cell>
          <cell r="AB28">
            <v>10.4</v>
          </cell>
          <cell r="AC28">
            <v>0</v>
          </cell>
          <cell r="AD28">
            <v>-0.4</v>
          </cell>
          <cell r="AE28" t="str">
            <v>нужно увеличить продажи!!! / 03,06,25 в уценку 98 шт.</v>
          </cell>
          <cell r="AF28">
            <v>0</v>
          </cell>
          <cell r="AG28">
            <v>0.1</v>
          </cell>
          <cell r="AH28">
            <v>1.2000000000000002</v>
          </cell>
        </row>
        <row r="29">
          <cell r="I29">
            <v>1030657419</v>
          </cell>
          <cell r="L29">
            <v>40</v>
          </cell>
          <cell r="O29">
            <v>120</v>
          </cell>
          <cell r="P29">
            <v>8</v>
          </cell>
          <cell r="R29">
            <v>0</v>
          </cell>
          <cell r="U29">
            <v>51.5</v>
          </cell>
          <cell r="V29">
            <v>51.5</v>
          </cell>
          <cell r="W29">
            <v>9.1999999999999993</v>
          </cell>
          <cell r="X29">
            <v>7</v>
          </cell>
          <cell r="Y29">
            <v>15</v>
          </cell>
          <cell r="Z29">
            <v>2.6</v>
          </cell>
          <cell r="AA29">
            <v>8.4</v>
          </cell>
          <cell r="AB29">
            <v>14</v>
          </cell>
          <cell r="AC29">
            <v>4.5999999999999996</v>
          </cell>
          <cell r="AD29">
            <v>10.4</v>
          </cell>
          <cell r="AE29" t="str">
            <v>нужно увеличить продажи!!!</v>
          </cell>
          <cell r="AF29">
            <v>0</v>
          </cell>
          <cell r="AG29">
            <v>0.3</v>
          </cell>
          <cell r="AH29">
            <v>1.8</v>
          </cell>
        </row>
        <row r="30">
          <cell r="I30">
            <v>1030657628</v>
          </cell>
          <cell r="L30">
            <v>11</v>
          </cell>
          <cell r="O30">
            <v>60</v>
          </cell>
          <cell r="P30">
            <v>2.2000000000000002</v>
          </cell>
          <cell r="R30">
            <v>0</v>
          </cell>
          <cell r="U30">
            <v>72.272727272727266</v>
          </cell>
          <cell r="V30">
            <v>72.272727272727266</v>
          </cell>
          <cell r="W30">
            <v>15.8</v>
          </cell>
          <cell r="X30">
            <v>6.2</v>
          </cell>
          <cell r="Y30">
            <v>8.6</v>
          </cell>
          <cell r="Z30">
            <v>-0.8</v>
          </cell>
          <cell r="AA30">
            <v>12</v>
          </cell>
          <cell r="AB30">
            <v>-1.6</v>
          </cell>
          <cell r="AC30">
            <v>0</v>
          </cell>
          <cell r="AD30">
            <v>-0.4</v>
          </cell>
          <cell r="AE30" t="str">
            <v>нужно увеличить продажи!!! / 03,06,25 в уценку 240 шт.</v>
          </cell>
          <cell r="AF30">
            <v>0</v>
          </cell>
          <cell r="AG30">
            <v>8.5000000000000006E-2</v>
          </cell>
          <cell r="AH30">
            <v>1.02</v>
          </cell>
        </row>
        <row r="31">
          <cell r="I31">
            <v>1030679319</v>
          </cell>
          <cell r="L31">
            <v>66</v>
          </cell>
          <cell r="P31">
            <v>13.2</v>
          </cell>
          <cell r="Q31">
            <v>160</v>
          </cell>
          <cell r="R31">
            <v>162</v>
          </cell>
          <cell r="U31">
            <v>37.348484848484851</v>
          </cell>
          <cell r="V31">
            <v>25.22727272727273</v>
          </cell>
          <cell r="W31">
            <v>10.199999999999999</v>
          </cell>
          <cell r="X31">
            <v>8.8000000000000007</v>
          </cell>
          <cell r="Y31">
            <v>14</v>
          </cell>
          <cell r="Z31">
            <v>11.4</v>
          </cell>
          <cell r="AA31">
            <v>14.8</v>
          </cell>
          <cell r="AB31">
            <v>15.2</v>
          </cell>
          <cell r="AC31">
            <v>11.2</v>
          </cell>
          <cell r="AD31">
            <v>17.8</v>
          </cell>
          <cell r="AE31" t="str">
            <v>нужно увеличить продажи!!!</v>
          </cell>
          <cell r="AF31">
            <v>48</v>
          </cell>
          <cell r="AG31">
            <v>0.3</v>
          </cell>
          <cell r="AH31">
            <v>1.8</v>
          </cell>
        </row>
        <row r="32">
          <cell r="I32">
            <v>1030638204</v>
          </cell>
          <cell r="L32">
            <v>0</v>
          </cell>
          <cell r="P32">
            <v>0</v>
          </cell>
          <cell r="U32" t="e">
            <v>#DIV/0!</v>
          </cell>
          <cell r="V32" t="e">
            <v>#DIV/0!</v>
          </cell>
          <cell r="W32">
            <v>-0.4</v>
          </cell>
          <cell r="X32">
            <v>-0.6</v>
          </cell>
          <cell r="Y32">
            <v>43.6</v>
          </cell>
          <cell r="Z32">
            <v>21.2</v>
          </cell>
          <cell r="AA32">
            <v>25.4</v>
          </cell>
          <cell r="AB32">
            <v>44.4</v>
          </cell>
          <cell r="AC32">
            <v>18.600000000000001</v>
          </cell>
          <cell r="AD32">
            <v>40.799999999999997</v>
          </cell>
          <cell r="AE32" t="str">
            <v>завод не отгружает</v>
          </cell>
        </row>
        <row r="33">
          <cell r="I33">
            <v>1030670844</v>
          </cell>
          <cell r="L33">
            <v>94</v>
          </cell>
          <cell r="O33">
            <v>120</v>
          </cell>
          <cell r="P33">
            <v>18.8</v>
          </cell>
          <cell r="R33">
            <v>0</v>
          </cell>
          <cell r="U33">
            <v>32.553191489361701</v>
          </cell>
          <cell r="V33">
            <v>32.553191489361701</v>
          </cell>
          <cell r="W33">
            <v>19.600000000000001</v>
          </cell>
          <cell r="X33">
            <v>14.2</v>
          </cell>
          <cell r="Y33">
            <v>32.799999999999997</v>
          </cell>
          <cell r="Z33">
            <v>15.6</v>
          </cell>
          <cell r="AA33">
            <v>17</v>
          </cell>
          <cell r="AB33">
            <v>29.2</v>
          </cell>
          <cell r="AC33">
            <v>0.6</v>
          </cell>
          <cell r="AD33">
            <v>21.4</v>
          </cell>
          <cell r="AE33" t="str">
            <v>нужно увеличить продажи!!!</v>
          </cell>
          <cell r="AF33">
            <v>0</v>
          </cell>
          <cell r="AG33">
            <v>0.25</v>
          </cell>
          <cell r="AH33">
            <v>1.5</v>
          </cell>
        </row>
        <row r="34">
          <cell r="I34">
            <v>1030228316</v>
          </cell>
          <cell r="L34">
            <v>91.290999999999997</v>
          </cell>
          <cell r="P34">
            <v>18.258199999999999</v>
          </cell>
          <cell r="Q34">
            <v>50</v>
          </cell>
          <cell r="R34">
            <v>50</v>
          </cell>
          <cell r="T34">
            <v>233.44619999999998</v>
          </cell>
          <cell r="U34">
            <v>5.9526678423941028</v>
          </cell>
          <cell r="V34">
            <v>3.2141722623259685</v>
          </cell>
          <cell r="W34">
            <v>12.2662</v>
          </cell>
          <cell r="X34">
            <v>8.3604000000000003</v>
          </cell>
          <cell r="Y34">
            <v>12.2698</v>
          </cell>
          <cell r="Z34">
            <v>6.3708</v>
          </cell>
          <cell r="AA34">
            <v>18.630400000000002</v>
          </cell>
          <cell r="AB34">
            <v>23.451599999999999</v>
          </cell>
          <cell r="AC34">
            <v>0.95619999999999994</v>
          </cell>
          <cell r="AD34">
            <v>17.914200000000001</v>
          </cell>
          <cell r="AF34">
            <v>50</v>
          </cell>
          <cell r="AG34">
            <v>1.25</v>
          </cell>
          <cell r="AH34">
            <v>5</v>
          </cell>
        </row>
        <row r="35">
          <cell r="I35">
            <v>1030234120</v>
          </cell>
          <cell r="L35">
            <v>118</v>
          </cell>
          <cell r="O35">
            <v>100</v>
          </cell>
          <cell r="P35">
            <v>23.6</v>
          </cell>
          <cell r="R35">
            <v>0</v>
          </cell>
          <cell r="U35">
            <v>41.483050847457626</v>
          </cell>
          <cell r="V35">
            <v>41.483050847457626</v>
          </cell>
          <cell r="W35">
            <v>41</v>
          </cell>
          <cell r="X35">
            <v>41</v>
          </cell>
          <cell r="Y35">
            <v>50.6</v>
          </cell>
          <cell r="Z35">
            <v>16</v>
          </cell>
          <cell r="AA35">
            <v>67</v>
          </cell>
          <cell r="AB35">
            <v>103.4</v>
          </cell>
          <cell r="AC35">
            <v>0</v>
          </cell>
          <cell r="AD35">
            <v>84.2</v>
          </cell>
          <cell r="AE35" t="str">
            <v>нужно увеличить продажи!!!</v>
          </cell>
          <cell r="AF35">
            <v>0</v>
          </cell>
          <cell r="AG35">
            <v>0.4</v>
          </cell>
          <cell r="AH35">
            <v>1.6</v>
          </cell>
        </row>
        <row r="36">
          <cell r="I36">
            <v>1030228620</v>
          </cell>
          <cell r="L36">
            <v>54</v>
          </cell>
          <cell r="O36">
            <v>120</v>
          </cell>
          <cell r="P36">
            <v>10.8</v>
          </cell>
          <cell r="Q36">
            <v>150</v>
          </cell>
          <cell r="R36">
            <v>152</v>
          </cell>
          <cell r="U36">
            <v>46.944444444444443</v>
          </cell>
          <cell r="V36">
            <v>33.05555555555555</v>
          </cell>
          <cell r="W36">
            <v>41.6</v>
          </cell>
          <cell r="X36">
            <v>13</v>
          </cell>
          <cell r="Y36">
            <v>42.4</v>
          </cell>
          <cell r="Z36">
            <v>9.8000000000000007</v>
          </cell>
          <cell r="AA36">
            <v>50.2</v>
          </cell>
          <cell r="AB36">
            <v>58.2</v>
          </cell>
          <cell r="AC36">
            <v>0</v>
          </cell>
          <cell r="AD36">
            <v>58.8</v>
          </cell>
          <cell r="AE36" t="str">
            <v>нужно увеличить продажи</v>
          </cell>
          <cell r="AF36">
            <v>67.5</v>
          </cell>
          <cell r="AG36">
            <v>0.45</v>
          </cell>
          <cell r="AH36">
            <v>1.8</v>
          </cell>
        </row>
        <row r="37">
          <cell r="I37">
            <v>1030212603</v>
          </cell>
          <cell r="L37">
            <v>62</v>
          </cell>
          <cell r="O37">
            <v>200</v>
          </cell>
          <cell r="P37">
            <v>12.4</v>
          </cell>
          <cell r="Q37">
            <v>200</v>
          </cell>
          <cell r="R37">
            <v>200</v>
          </cell>
          <cell r="U37">
            <v>56.612903225806448</v>
          </cell>
          <cell r="V37">
            <v>40.483870967741936</v>
          </cell>
          <cell r="W37">
            <v>51.2</v>
          </cell>
          <cell r="X37">
            <v>1.4</v>
          </cell>
          <cell r="Y37">
            <v>52.2</v>
          </cell>
          <cell r="Z37">
            <v>-2.4</v>
          </cell>
          <cell r="AA37">
            <v>45.8</v>
          </cell>
          <cell r="AB37">
            <v>72</v>
          </cell>
          <cell r="AC37">
            <v>-0.6</v>
          </cell>
          <cell r="AD37">
            <v>44.8</v>
          </cell>
          <cell r="AF37">
            <v>90</v>
          </cell>
          <cell r="AG37">
            <v>0.45</v>
          </cell>
          <cell r="AH37">
            <v>1.8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22.7109375" style="21" bestFit="1" customWidth="1"/>
    <col min="19" max="19" width="7" customWidth="1"/>
    <col min="20" max="20" width="12.28515625" customWidth="1"/>
    <col min="21" max="22" width="5" customWidth="1"/>
    <col min="23" max="30" width="6" customWidth="1"/>
    <col min="31" max="31" width="34.28515625" customWidth="1"/>
    <col min="32" max="32" width="7" customWidth="1"/>
    <col min="33" max="33" width="9.7109375" style="24" customWidth="1"/>
    <col min="34" max="34" width="7.7109375" style="24" customWidth="1"/>
    <col min="35" max="35" width="17.5703125" style="21" customWidth="1"/>
    <col min="36" max="51" width="3" customWidth="1"/>
  </cols>
  <sheetData>
    <row r="1" spans="1:51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7"/>
      <c r="AH1" s="7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7"/>
      <c r="AH2" s="7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83</v>
      </c>
      <c r="R3" s="20" t="s">
        <v>79</v>
      </c>
      <c r="S3" s="6" t="s">
        <v>16</v>
      </c>
      <c r="T3" s="6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22" t="s">
        <v>80</v>
      </c>
      <c r="AH3" s="22" t="s">
        <v>81</v>
      </c>
      <c r="AI3" s="23" t="s">
        <v>82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23</v>
      </c>
      <c r="P4" s="15" t="s">
        <v>24</v>
      </c>
      <c r="Q4" s="15" t="s">
        <v>84</v>
      </c>
      <c r="R4" s="15"/>
      <c r="S4" s="15"/>
      <c r="T4" s="15"/>
      <c r="U4" s="15"/>
      <c r="V4" s="15"/>
      <c r="W4" s="15" t="s">
        <v>25</v>
      </c>
      <c r="X4" s="15" t="s">
        <v>26</v>
      </c>
      <c r="Y4" s="15" t="s">
        <v>27</v>
      </c>
      <c r="Z4" s="15" t="s">
        <v>28</v>
      </c>
      <c r="AA4" s="15" t="s">
        <v>29</v>
      </c>
      <c r="AB4" s="15" t="s">
        <v>30</v>
      </c>
      <c r="AC4" s="15" t="s">
        <v>31</v>
      </c>
      <c r="AD4" s="15" t="s">
        <v>32</v>
      </c>
      <c r="AE4" s="15"/>
      <c r="AF4" s="15"/>
      <c r="AG4" s="7"/>
      <c r="AH4" s="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25">
      <c r="A5" s="15"/>
      <c r="B5" s="15"/>
      <c r="C5" s="15"/>
      <c r="D5" s="15"/>
      <c r="E5" s="3">
        <f>SUM(E6:E496)</f>
        <v>2265.4139999999998</v>
      </c>
      <c r="F5" s="3">
        <f>SUM(F6:F496)</f>
        <v>6208.4610000000002</v>
      </c>
      <c r="G5" s="7"/>
      <c r="H5" s="15"/>
      <c r="I5" s="15"/>
      <c r="J5" s="15"/>
      <c r="K5" s="3">
        <f t="shared" ref="K5:S5" si="0">SUM(K6:K496)</f>
        <v>0</v>
      </c>
      <c r="L5" s="3">
        <f t="shared" si="0"/>
        <v>2265.4139999999998</v>
      </c>
      <c r="M5" s="3">
        <f t="shared" si="0"/>
        <v>0</v>
      </c>
      <c r="N5" s="3">
        <f t="shared" si="0"/>
        <v>0</v>
      </c>
      <c r="O5" s="3">
        <f t="shared" si="0"/>
        <v>1170</v>
      </c>
      <c r="P5" s="3">
        <f t="shared" si="0"/>
        <v>453.08280000000008</v>
      </c>
      <c r="Q5" s="3">
        <f t="shared" si="0"/>
        <v>2084</v>
      </c>
      <c r="R5" s="3">
        <f t="shared" ref="R5" si="1">SUM(R6:R498)</f>
        <v>2087.8000000000002</v>
      </c>
      <c r="S5" s="3">
        <f t="shared" si="0"/>
        <v>3298.2215999999999</v>
      </c>
      <c r="T5" s="15"/>
      <c r="U5" s="15"/>
      <c r="V5" s="15"/>
      <c r="W5" s="3">
        <f t="shared" ref="W5:AD5" si="2">SUM(W6:W496)</f>
        <v>438.06400000000008</v>
      </c>
      <c r="X5" s="3">
        <f t="shared" si="2"/>
        <v>338.45739999999995</v>
      </c>
      <c r="Y5" s="3">
        <f t="shared" si="2"/>
        <v>468.87760000000003</v>
      </c>
      <c r="Z5" s="3">
        <f t="shared" si="2"/>
        <v>316.1816</v>
      </c>
      <c r="AA5" s="3">
        <f t="shared" si="2"/>
        <v>595.72520000000009</v>
      </c>
      <c r="AB5" s="3">
        <f t="shared" si="2"/>
        <v>232.34660000000002</v>
      </c>
      <c r="AC5" s="3">
        <f t="shared" si="2"/>
        <v>618.78899999999999</v>
      </c>
      <c r="AD5" s="3">
        <f t="shared" si="2"/>
        <v>859.899</v>
      </c>
      <c r="AE5" s="15"/>
      <c r="AF5" s="3">
        <f>SUM(AF6:AF496)</f>
        <v>984</v>
      </c>
      <c r="AG5" s="7"/>
      <c r="AH5" s="7"/>
      <c r="AI5" s="3">
        <f>SUM(AI6:AI500)</f>
        <v>987.8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25">
      <c r="A6" s="12" t="s">
        <v>33</v>
      </c>
      <c r="B6" s="12" t="s">
        <v>34</v>
      </c>
      <c r="C6" s="12">
        <v>1.61</v>
      </c>
      <c r="D6" s="12"/>
      <c r="E6" s="16">
        <v>4.8920000000000003</v>
      </c>
      <c r="F6" s="16">
        <v>-3.282</v>
      </c>
      <c r="G6" s="13">
        <v>0</v>
      </c>
      <c r="H6" s="12"/>
      <c r="I6" s="12" t="s">
        <v>35</v>
      </c>
      <c r="J6" s="12" t="s">
        <v>36</v>
      </c>
      <c r="K6" s="12"/>
      <c r="L6" s="12">
        <f t="shared" ref="L6:L38" si="3">E6-K6</f>
        <v>4.8920000000000003</v>
      </c>
      <c r="M6" s="12"/>
      <c r="N6" s="12"/>
      <c r="O6" s="12"/>
      <c r="P6" s="12">
        <f t="shared" ref="P6:P38" si="4">E6/5</f>
        <v>0.97840000000000005</v>
      </c>
      <c r="Q6" s="14"/>
      <c r="R6" s="14"/>
      <c r="S6" s="14"/>
      <c r="T6" s="12"/>
      <c r="U6" s="12">
        <f t="shared" ref="U6:U38" si="5">(F6+O6+Q6)/P6</f>
        <v>-3.3544562551103843</v>
      </c>
      <c r="V6" s="12">
        <f t="shared" ref="V6:V38" si="6">(F6+O6)/P6</f>
        <v>-3.3544562551103843</v>
      </c>
      <c r="W6" s="12">
        <f>IFERROR(VLOOKUP(A6,[1]TDSheet!$A:$G,3,0),0)/5</f>
        <v>0</v>
      </c>
      <c r="X6" s="12">
        <v>2.2582</v>
      </c>
      <c r="Y6" s="12">
        <v>0.3246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/>
      <c r="AF6" s="12"/>
      <c r="AG6" s="7"/>
      <c r="AH6" s="7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25">
      <c r="A7" s="12" t="s">
        <v>37</v>
      </c>
      <c r="B7" s="12" t="s">
        <v>34</v>
      </c>
      <c r="C7" s="12">
        <v>7.23</v>
      </c>
      <c r="D7" s="12"/>
      <c r="E7" s="16">
        <v>26.012</v>
      </c>
      <c r="F7" s="16">
        <v>-18.782</v>
      </c>
      <c r="G7" s="13">
        <v>0</v>
      </c>
      <c r="H7" s="12"/>
      <c r="I7" s="12" t="s">
        <v>35</v>
      </c>
      <c r="J7" s="12" t="s">
        <v>38</v>
      </c>
      <c r="K7" s="12"/>
      <c r="L7" s="12">
        <f t="shared" si="3"/>
        <v>26.012</v>
      </c>
      <c r="M7" s="12"/>
      <c r="N7" s="12"/>
      <c r="O7" s="12"/>
      <c r="P7" s="12">
        <f t="shared" si="4"/>
        <v>5.2023999999999999</v>
      </c>
      <c r="Q7" s="14"/>
      <c r="R7" s="14"/>
      <c r="S7" s="14"/>
      <c r="T7" s="12"/>
      <c r="U7" s="12">
        <f t="shared" si="5"/>
        <v>-3.6102568045517454</v>
      </c>
      <c r="V7" s="12">
        <f t="shared" si="6"/>
        <v>-3.6102568045517454</v>
      </c>
      <c r="W7" s="12">
        <f>IFERROR(VLOOKUP(A7,[1]TDSheet!$A:$G,3,0),0)/5</f>
        <v>0</v>
      </c>
      <c r="X7" s="12">
        <v>0</v>
      </c>
      <c r="Y7" s="12">
        <v>5.8015999999999996</v>
      </c>
      <c r="Z7" s="12">
        <v>0.82</v>
      </c>
      <c r="AA7" s="12">
        <v>0</v>
      </c>
      <c r="AB7" s="12">
        <v>0</v>
      </c>
      <c r="AC7" s="12">
        <v>0</v>
      </c>
      <c r="AD7" s="12">
        <v>0</v>
      </c>
      <c r="AE7" s="12"/>
      <c r="AF7" s="12"/>
      <c r="AG7" s="7"/>
      <c r="AH7" s="7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25">
      <c r="A8" s="12" t="s">
        <v>39</v>
      </c>
      <c r="B8" s="12" t="s">
        <v>40</v>
      </c>
      <c r="C8" s="12">
        <v>14</v>
      </c>
      <c r="D8" s="12"/>
      <c r="E8" s="16">
        <v>26</v>
      </c>
      <c r="F8" s="16">
        <v>-12</v>
      </c>
      <c r="G8" s="13">
        <v>0</v>
      </c>
      <c r="H8" s="12"/>
      <c r="I8" s="12" t="s">
        <v>35</v>
      </c>
      <c r="J8" s="12" t="s">
        <v>41</v>
      </c>
      <c r="K8" s="12"/>
      <c r="L8" s="12">
        <f t="shared" si="3"/>
        <v>26</v>
      </c>
      <c r="M8" s="12"/>
      <c r="N8" s="12"/>
      <c r="O8" s="12"/>
      <c r="P8" s="12">
        <f t="shared" si="4"/>
        <v>5.2</v>
      </c>
      <c r="Q8" s="14"/>
      <c r="R8" s="14"/>
      <c r="S8" s="14"/>
      <c r="T8" s="12"/>
      <c r="U8" s="12">
        <f t="shared" si="5"/>
        <v>-2.3076923076923075</v>
      </c>
      <c r="V8" s="12">
        <f t="shared" si="6"/>
        <v>-2.3076923076923075</v>
      </c>
      <c r="W8" s="12">
        <f>IFERROR(VLOOKUP(A8,[1]TDSheet!$A:$G,3,0),0)/5</f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12"/>
      <c r="AG8" s="7"/>
      <c r="AH8" s="7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25">
      <c r="A9" s="12" t="s">
        <v>42</v>
      </c>
      <c r="B9" s="12" t="s">
        <v>40</v>
      </c>
      <c r="C9" s="12">
        <v>5</v>
      </c>
      <c r="D9" s="12"/>
      <c r="E9" s="16">
        <v>5</v>
      </c>
      <c r="F9" s="12"/>
      <c r="G9" s="13">
        <v>0</v>
      </c>
      <c r="H9" s="12"/>
      <c r="I9" s="12" t="s">
        <v>35</v>
      </c>
      <c r="J9" s="12" t="s">
        <v>43</v>
      </c>
      <c r="K9" s="12"/>
      <c r="L9" s="12">
        <f t="shared" si="3"/>
        <v>5</v>
      </c>
      <c r="M9" s="12"/>
      <c r="N9" s="12"/>
      <c r="O9" s="12"/>
      <c r="P9" s="12">
        <f t="shared" si="4"/>
        <v>1</v>
      </c>
      <c r="Q9" s="14"/>
      <c r="R9" s="14"/>
      <c r="S9" s="14"/>
      <c r="T9" s="12"/>
      <c r="U9" s="12">
        <f t="shared" si="5"/>
        <v>0</v>
      </c>
      <c r="V9" s="12">
        <f t="shared" si="6"/>
        <v>0</v>
      </c>
      <c r="W9" s="12">
        <f>IFERROR(VLOOKUP(A9,[1]TDSheet!$A:$G,3,0),0)/5</f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/>
      <c r="AF9" s="12"/>
      <c r="AG9" s="7"/>
      <c r="AH9" s="7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25">
      <c r="A10" s="12" t="s">
        <v>44</v>
      </c>
      <c r="B10" s="12" t="s">
        <v>40</v>
      </c>
      <c r="C10" s="12">
        <v>5</v>
      </c>
      <c r="D10" s="12"/>
      <c r="E10" s="16">
        <v>8</v>
      </c>
      <c r="F10" s="16">
        <v>-3</v>
      </c>
      <c r="G10" s="13">
        <v>0</v>
      </c>
      <c r="H10" s="12"/>
      <c r="I10" s="12" t="s">
        <v>35</v>
      </c>
      <c r="J10" s="12" t="s">
        <v>45</v>
      </c>
      <c r="K10" s="12"/>
      <c r="L10" s="12">
        <f t="shared" si="3"/>
        <v>8</v>
      </c>
      <c r="M10" s="12"/>
      <c r="N10" s="12"/>
      <c r="O10" s="12"/>
      <c r="P10" s="12">
        <f t="shared" si="4"/>
        <v>1.6</v>
      </c>
      <c r="Q10" s="14"/>
      <c r="R10" s="14"/>
      <c r="S10" s="14"/>
      <c r="T10" s="12"/>
      <c r="U10" s="12">
        <f t="shared" si="5"/>
        <v>-1.875</v>
      </c>
      <c r="V10" s="12">
        <f t="shared" si="6"/>
        <v>-1.875</v>
      </c>
      <c r="W10" s="12">
        <f>IFERROR(VLOOKUP(A10,[1]TDSheet!$A:$G,3,0),0)/5</f>
        <v>0</v>
      </c>
      <c r="X10" s="12">
        <v>2.8</v>
      </c>
      <c r="Y10" s="12">
        <v>4.5999999999999996</v>
      </c>
      <c r="Z10" s="12">
        <v>0</v>
      </c>
      <c r="AA10" s="12">
        <v>0</v>
      </c>
      <c r="AB10" s="12">
        <v>7.2</v>
      </c>
      <c r="AC10" s="12">
        <v>9</v>
      </c>
      <c r="AD10" s="12">
        <v>15.2</v>
      </c>
      <c r="AE10" s="12"/>
      <c r="AF10" s="12"/>
      <c r="AG10" s="7"/>
      <c r="AH10" s="7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25">
      <c r="A11" s="12" t="s">
        <v>46</v>
      </c>
      <c r="B11" s="12" t="s">
        <v>40</v>
      </c>
      <c r="C11" s="12">
        <v>24</v>
      </c>
      <c r="D11" s="12"/>
      <c r="E11" s="16">
        <v>70</v>
      </c>
      <c r="F11" s="16">
        <v>-46</v>
      </c>
      <c r="G11" s="13">
        <v>0</v>
      </c>
      <c r="H11" s="12"/>
      <c r="I11" s="12" t="s">
        <v>35</v>
      </c>
      <c r="J11" s="12" t="s">
        <v>47</v>
      </c>
      <c r="K11" s="12"/>
      <c r="L11" s="12">
        <f t="shared" si="3"/>
        <v>70</v>
      </c>
      <c r="M11" s="12"/>
      <c r="N11" s="12"/>
      <c r="O11" s="12"/>
      <c r="P11" s="12">
        <f t="shared" si="4"/>
        <v>14</v>
      </c>
      <c r="Q11" s="14"/>
      <c r="R11" s="14"/>
      <c r="S11" s="14"/>
      <c r="T11" s="12"/>
      <c r="U11" s="12">
        <f t="shared" si="5"/>
        <v>-3.2857142857142856</v>
      </c>
      <c r="V11" s="12">
        <f t="shared" si="6"/>
        <v>-3.2857142857142856</v>
      </c>
      <c r="W11" s="12">
        <f>IFERROR(VLOOKUP(A11,[1]TDSheet!$A:$G,3,0),0)/5</f>
        <v>0</v>
      </c>
      <c r="X11" s="12">
        <v>5.8</v>
      </c>
      <c r="Y11" s="12">
        <v>12</v>
      </c>
      <c r="Z11" s="12">
        <v>0</v>
      </c>
      <c r="AA11" s="12">
        <v>0</v>
      </c>
      <c r="AB11" s="12">
        <v>3.2</v>
      </c>
      <c r="AC11" s="12">
        <v>17</v>
      </c>
      <c r="AD11" s="12">
        <v>29.4</v>
      </c>
      <c r="AE11" s="12"/>
      <c r="AF11" s="12"/>
      <c r="AG11" s="7"/>
      <c r="AH11" s="7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25">
      <c r="A12" s="12" t="s">
        <v>48</v>
      </c>
      <c r="B12" s="12" t="s">
        <v>40</v>
      </c>
      <c r="C12" s="12">
        <v>2</v>
      </c>
      <c r="D12" s="12"/>
      <c r="E12" s="16">
        <v>2</v>
      </c>
      <c r="F12" s="12"/>
      <c r="G12" s="13">
        <v>0</v>
      </c>
      <c r="H12" s="12"/>
      <c r="I12" s="12" t="s">
        <v>35</v>
      </c>
      <c r="J12" s="12" t="s">
        <v>49</v>
      </c>
      <c r="K12" s="12"/>
      <c r="L12" s="12">
        <f t="shared" si="3"/>
        <v>2</v>
      </c>
      <c r="M12" s="12"/>
      <c r="N12" s="12"/>
      <c r="O12" s="12"/>
      <c r="P12" s="12">
        <f t="shared" si="4"/>
        <v>0.4</v>
      </c>
      <c r="Q12" s="14"/>
      <c r="R12" s="14"/>
      <c r="S12" s="14"/>
      <c r="T12" s="12"/>
      <c r="U12" s="12">
        <f t="shared" si="5"/>
        <v>0</v>
      </c>
      <c r="V12" s="12">
        <f t="shared" si="6"/>
        <v>0</v>
      </c>
      <c r="W12" s="12">
        <f>IFERROR(VLOOKUP(A12,[1]TDSheet!$A:$G,3,0),0)/5</f>
        <v>0</v>
      </c>
      <c r="X12" s="12">
        <v>2.4</v>
      </c>
      <c r="Y12" s="12">
        <v>8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/>
      <c r="AF12" s="12"/>
      <c r="AG12" s="7"/>
      <c r="AH12" s="7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25">
      <c r="A13" s="15" t="s">
        <v>50</v>
      </c>
      <c r="B13" s="15" t="s">
        <v>34</v>
      </c>
      <c r="C13" s="15">
        <v>-1.867</v>
      </c>
      <c r="D13" s="15">
        <v>31.111999999999998</v>
      </c>
      <c r="E13" s="15">
        <v>25.712</v>
      </c>
      <c r="F13" s="15">
        <v>-0.155</v>
      </c>
      <c r="G13" s="7">
        <v>1</v>
      </c>
      <c r="H13" s="15">
        <v>30</v>
      </c>
      <c r="I13" s="15">
        <v>1030112235</v>
      </c>
      <c r="J13" s="15"/>
      <c r="K13" s="15"/>
      <c r="L13" s="15">
        <f t="shared" si="3"/>
        <v>25.712</v>
      </c>
      <c r="M13" s="15"/>
      <c r="N13" s="15"/>
      <c r="O13" s="15">
        <v>30</v>
      </c>
      <c r="P13" s="15">
        <f t="shared" si="4"/>
        <v>5.1424000000000003</v>
      </c>
      <c r="Q13" s="14">
        <v>50</v>
      </c>
      <c r="R13" s="4">
        <f>IF(G13&lt;1,MROUND(Q13*G13,AH13)/AG13,MROUND(Q13,AH13))</f>
        <v>51.2</v>
      </c>
      <c r="S13" s="4">
        <v>67.860600000000005</v>
      </c>
      <c r="T13" s="15"/>
      <c r="U13" s="15">
        <f t="shared" si="5"/>
        <v>15.526796826384567</v>
      </c>
      <c r="V13" s="15">
        <f t="shared" si="6"/>
        <v>5.8037103298070933</v>
      </c>
      <c r="W13" s="15">
        <f>IFERROR(VLOOKUP(A13,[1]TDSheet!$A:$G,3,0),0)/5</f>
        <v>14.775200000000002</v>
      </c>
      <c r="X13" s="15">
        <v>-5.3000000000000012E-2</v>
      </c>
      <c r="Y13" s="15">
        <v>12.9244</v>
      </c>
      <c r="Z13" s="15">
        <v>5.71</v>
      </c>
      <c r="AA13" s="15">
        <v>10.6648</v>
      </c>
      <c r="AB13" s="15">
        <v>12.1486</v>
      </c>
      <c r="AC13" s="15">
        <v>9.0993999999999993</v>
      </c>
      <c r="AD13" s="15">
        <v>26.653199999999998</v>
      </c>
      <c r="AE13" s="15" t="s">
        <v>51</v>
      </c>
      <c r="AF13" s="15">
        <f t="shared" ref="AF13:AF25" si="7">G13*Q13</f>
        <v>50</v>
      </c>
      <c r="AG13" s="7">
        <f>VLOOKUP(I13,[2]Sheet!$I:$AH,25,0)</f>
        <v>1.6</v>
      </c>
      <c r="AH13" s="7">
        <f>VLOOKUP(I13,[2]Sheet!$I:$AH,26,0)</f>
        <v>3.2</v>
      </c>
      <c r="AI13" s="15">
        <f>IF(G13&lt;1,AG13*R13,R13)</f>
        <v>51.2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25">
      <c r="A14" s="15" t="s">
        <v>36</v>
      </c>
      <c r="B14" s="15" t="s">
        <v>34</v>
      </c>
      <c r="C14" s="15">
        <v>39.511000000000003</v>
      </c>
      <c r="D14" s="15">
        <v>61.691000000000003</v>
      </c>
      <c r="E14" s="16">
        <f>84.661+E6</f>
        <v>89.552999999999997</v>
      </c>
      <c r="F14" s="16">
        <f>10.534+F6</f>
        <v>7.2520000000000007</v>
      </c>
      <c r="G14" s="7">
        <v>1</v>
      </c>
      <c r="H14" s="15">
        <v>30</v>
      </c>
      <c r="I14" s="15">
        <v>1030112635</v>
      </c>
      <c r="J14" s="15"/>
      <c r="K14" s="15"/>
      <c r="L14" s="15">
        <f t="shared" si="3"/>
        <v>89.552999999999997</v>
      </c>
      <c r="M14" s="15"/>
      <c r="N14" s="15"/>
      <c r="O14" s="15">
        <v>80</v>
      </c>
      <c r="P14" s="15">
        <f t="shared" si="4"/>
        <v>17.910599999999999</v>
      </c>
      <c r="Q14" s="14">
        <v>120</v>
      </c>
      <c r="R14" s="4">
        <f t="shared" ref="R14:R38" si="8">IF(G14&lt;1,MROUND(Q14*G14,AH14)/AG14,MROUND(Q14,AH14))</f>
        <v>121.60000000000001</v>
      </c>
      <c r="S14" s="4">
        <v>235.13879999999995</v>
      </c>
      <c r="T14" s="15"/>
      <c r="U14" s="15">
        <f t="shared" si="5"/>
        <v>11.571471642491041</v>
      </c>
      <c r="V14" s="15">
        <f t="shared" si="6"/>
        <v>4.8715285920069684</v>
      </c>
      <c r="W14" s="15">
        <f>IFERROR(VLOOKUP(A14,[1]TDSheet!$A:$G,3,0),0)/5</f>
        <v>17.3096</v>
      </c>
      <c r="X14" s="15">
        <v>14.278600000000001</v>
      </c>
      <c r="Y14" s="15">
        <v>20.921199999999999</v>
      </c>
      <c r="Z14" s="15">
        <v>12.272</v>
      </c>
      <c r="AA14" s="15">
        <v>18.5562</v>
      </c>
      <c r="AB14" s="15">
        <v>4.3045999999999998</v>
      </c>
      <c r="AC14" s="15">
        <v>31.763400000000001</v>
      </c>
      <c r="AD14" s="15">
        <v>28.996600000000001</v>
      </c>
      <c r="AE14" s="15" t="s">
        <v>52</v>
      </c>
      <c r="AF14" s="15">
        <f t="shared" si="7"/>
        <v>120</v>
      </c>
      <c r="AG14" s="7">
        <f>VLOOKUP(I14,[2]Sheet!$I:$AH,25,0)</f>
        <v>1.6</v>
      </c>
      <c r="AH14" s="7">
        <f>VLOOKUP(I14,[2]Sheet!$I:$AH,26,0)</f>
        <v>3.2</v>
      </c>
      <c r="AI14" s="15">
        <f t="shared" ref="AI14:AI25" si="9">IF(G14&lt;1,AG14*R14,R14)</f>
        <v>121.60000000000001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25">
      <c r="A15" s="15" t="s">
        <v>38</v>
      </c>
      <c r="B15" s="15" t="s">
        <v>34</v>
      </c>
      <c r="C15" s="15">
        <v>454.97800000000001</v>
      </c>
      <c r="D15" s="15"/>
      <c r="E15" s="16">
        <f>89.695+E7</f>
        <v>115.70699999999999</v>
      </c>
      <c r="F15" s="16">
        <f>355.612+F7</f>
        <v>336.83000000000004</v>
      </c>
      <c r="G15" s="7">
        <v>1</v>
      </c>
      <c r="H15" s="15">
        <v>75</v>
      </c>
      <c r="I15" s="15">
        <v>1030115552</v>
      </c>
      <c r="J15" s="15"/>
      <c r="K15" s="15"/>
      <c r="L15" s="15">
        <f t="shared" si="3"/>
        <v>115.70699999999999</v>
      </c>
      <c r="M15" s="15"/>
      <c r="N15" s="15"/>
      <c r="O15" s="15"/>
      <c r="P15" s="15">
        <f t="shared" si="4"/>
        <v>23.141399999999997</v>
      </c>
      <c r="Q15" s="14">
        <v>80</v>
      </c>
      <c r="R15" s="4">
        <f t="shared" si="8"/>
        <v>81</v>
      </c>
      <c r="S15" s="4">
        <v>195.42219999999986</v>
      </c>
      <c r="T15" s="15"/>
      <c r="U15" s="15">
        <f t="shared" si="5"/>
        <v>18.012306947721402</v>
      </c>
      <c r="V15" s="15">
        <f t="shared" si="6"/>
        <v>14.555299160811364</v>
      </c>
      <c r="W15" s="15">
        <f>IFERROR(VLOOKUP(A15,[1]TDSheet!$A:$G,3,0),0)/5</f>
        <v>19.091799999999999</v>
      </c>
      <c r="X15" s="15">
        <v>6.5153999999999996</v>
      </c>
      <c r="Y15" s="15">
        <v>18.439599999999999</v>
      </c>
      <c r="Z15" s="15">
        <v>10.619199999999999</v>
      </c>
      <c r="AA15" s="15">
        <v>20.4344</v>
      </c>
      <c r="AB15" s="15">
        <v>9.9225999999999992</v>
      </c>
      <c r="AC15" s="15">
        <v>21.495799999999999</v>
      </c>
      <c r="AD15" s="15">
        <v>21.397600000000001</v>
      </c>
      <c r="AE15" s="15"/>
      <c r="AF15" s="15">
        <f t="shared" si="7"/>
        <v>80</v>
      </c>
      <c r="AG15" s="7">
        <f>VLOOKUP(I15,[2]Sheet!$I:$AH,25,0)</f>
        <v>1</v>
      </c>
      <c r="AH15" s="7">
        <f>VLOOKUP(I15,[2]Sheet!$I:$AH,26,0)</f>
        <v>3</v>
      </c>
      <c r="AI15" s="15">
        <f t="shared" si="9"/>
        <v>81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25">
      <c r="A16" s="15" t="s">
        <v>54</v>
      </c>
      <c r="B16" s="15" t="s">
        <v>40</v>
      </c>
      <c r="C16" s="15">
        <v>627</v>
      </c>
      <c r="D16" s="15">
        <v>198</v>
      </c>
      <c r="E16" s="15">
        <v>242</v>
      </c>
      <c r="F16" s="15">
        <v>554</v>
      </c>
      <c r="G16" s="7">
        <v>0.4</v>
      </c>
      <c r="H16" s="15">
        <v>75</v>
      </c>
      <c r="I16" s="15">
        <v>1030115404</v>
      </c>
      <c r="J16" s="15"/>
      <c r="K16" s="15"/>
      <c r="L16" s="15">
        <f t="shared" si="3"/>
        <v>242</v>
      </c>
      <c r="M16" s="15"/>
      <c r="N16" s="15"/>
      <c r="O16" s="15">
        <v>200</v>
      </c>
      <c r="P16" s="15">
        <f t="shared" si="4"/>
        <v>48.4</v>
      </c>
      <c r="Q16" s="14">
        <v>400</v>
      </c>
      <c r="R16" s="4">
        <f t="shared" si="8"/>
        <v>401.99999999999994</v>
      </c>
      <c r="S16" s="4">
        <v>359.20000000000005</v>
      </c>
      <c r="T16" s="15"/>
      <c r="U16" s="15">
        <f t="shared" si="5"/>
        <v>23.84297520661157</v>
      </c>
      <c r="V16" s="15">
        <f t="shared" si="6"/>
        <v>15.578512396694215</v>
      </c>
      <c r="W16" s="15">
        <f>IFERROR(VLOOKUP(A16,[1]TDSheet!$A:$G,3,0),0)/5</f>
        <v>49.8</v>
      </c>
      <c r="X16" s="15">
        <v>40.6</v>
      </c>
      <c r="Y16" s="15">
        <v>42.6</v>
      </c>
      <c r="Z16" s="15">
        <v>30.6</v>
      </c>
      <c r="AA16" s="15">
        <v>78.2</v>
      </c>
      <c r="AB16" s="15">
        <v>25.6</v>
      </c>
      <c r="AC16" s="15">
        <v>54.6</v>
      </c>
      <c r="AD16" s="15">
        <v>54.2</v>
      </c>
      <c r="AE16" s="15"/>
      <c r="AF16" s="15">
        <f t="shared" si="7"/>
        <v>160</v>
      </c>
      <c r="AG16" s="7">
        <f>VLOOKUP(I16,[2]Sheet!$I:$AH,25,0)</f>
        <v>0.4</v>
      </c>
      <c r="AH16" s="7">
        <f>VLOOKUP(I16,[2]Sheet!$I:$AH,26,0)</f>
        <v>2.4</v>
      </c>
      <c r="AI16" s="15">
        <f t="shared" si="9"/>
        <v>160.79999999999998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25">
      <c r="A17" s="15" t="s">
        <v>41</v>
      </c>
      <c r="B17" s="15" t="s">
        <v>40</v>
      </c>
      <c r="C17" s="15">
        <v>458</v>
      </c>
      <c r="D17" s="15">
        <v>2</v>
      </c>
      <c r="E17" s="16">
        <f>102+E8</f>
        <v>128</v>
      </c>
      <c r="F17" s="16">
        <f>336+F8</f>
        <v>324</v>
      </c>
      <c r="G17" s="7">
        <v>0.4</v>
      </c>
      <c r="H17" s="15">
        <v>75</v>
      </c>
      <c r="I17" s="15">
        <v>1030804004</v>
      </c>
      <c r="J17" s="15"/>
      <c r="K17" s="15"/>
      <c r="L17" s="15">
        <f t="shared" si="3"/>
        <v>128</v>
      </c>
      <c r="M17" s="15"/>
      <c r="N17" s="15"/>
      <c r="O17" s="15">
        <v>100</v>
      </c>
      <c r="P17" s="15">
        <f t="shared" si="4"/>
        <v>25.6</v>
      </c>
      <c r="Q17" s="14">
        <v>80</v>
      </c>
      <c r="R17" s="4">
        <f t="shared" si="8"/>
        <v>78</v>
      </c>
      <c r="S17" s="4">
        <v>164.80000000000007</v>
      </c>
      <c r="T17" s="15"/>
      <c r="U17" s="15">
        <f t="shared" si="5"/>
        <v>19.6875</v>
      </c>
      <c r="V17" s="15">
        <f t="shared" si="6"/>
        <v>16.5625</v>
      </c>
      <c r="W17" s="15">
        <f>IFERROR(VLOOKUP(A17,[1]TDSheet!$A:$G,3,0),0)/5</f>
        <v>12</v>
      </c>
      <c r="X17" s="15">
        <v>16.399999999999999</v>
      </c>
      <c r="Y17" s="15">
        <v>12</v>
      </c>
      <c r="Z17" s="15">
        <v>18.8</v>
      </c>
      <c r="AA17" s="15">
        <v>22.2</v>
      </c>
      <c r="AB17" s="15">
        <v>10.6</v>
      </c>
      <c r="AC17" s="15">
        <v>29.6</v>
      </c>
      <c r="AD17" s="15">
        <v>35.200000000000003</v>
      </c>
      <c r="AE17" s="15"/>
      <c r="AF17" s="15">
        <f t="shared" si="7"/>
        <v>32</v>
      </c>
      <c r="AG17" s="7">
        <f>VLOOKUP(I17,[2]Sheet!$I:$AH,25,0)</f>
        <v>0.4</v>
      </c>
      <c r="AH17" s="7">
        <f>VLOOKUP(I17,[2]Sheet!$I:$AH,26,0)</f>
        <v>2.4</v>
      </c>
      <c r="AI17" s="15">
        <f t="shared" si="9"/>
        <v>31.200000000000003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25">
      <c r="A18" s="15" t="s">
        <v>43</v>
      </c>
      <c r="B18" s="15" t="s">
        <v>40</v>
      </c>
      <c r="C18" s="15">
        <v>307</v>
      </c>
      <c r="D18" s="15">
        <v>5</v>
      </c>
      <c r="E18" s="16">
        <f>32+E9</f>
        <v>37</v>
      </c>
      <c r="F18" s="15">
        <v>261</v>
      </c>
      <c r="G18" s="7">
        <v>0.3</v>
      </c>
      <c r="H18" s="15">
        <v>45</v>
      </c>
      <c r="I18" s="15">
        <v>1030419235</v>
      </c>
      <c r="J18" s="15"/>
      <c r="K18" s="15"/>
      <c r="L18" s="15">
        <f t="shared" si="3"/>
        <v>37</v>
      </c>
      <c r="M18" s="15"/>
      <c r="N18" s="15"/>
      <c r="O18" s="15"/>
      <c r="P18" s="15">
        <f t="shared" si="4"/>
        <v>7.4</v>
      </c>
      <c r="Q18" s="14"/>
      <c r="R18" s="4">
        <f t="shared" si="8"/>
        <v>0</v>
      </c>
      <c r="S18" s="4"/>
      <c r="T18" s="15"/>
      <c r="U18" s="15">
        <f t="shared" si="5"/>
        <v>35.270270270270267</v>
      </c>
      <c r="V18" s="15">
        <f t="shared" si="6"/>
        <v>35.270270270270267</v>
      </c>
      <c r="W18" s="15">
        <f>IFERROR(VLOOKUP(A18,[1]TDSheet!$A:$G,3,0),0)/5</f>
        <v>2.2000000000000002</v>
      </c>
      <c r="X18" s="15">
        <v>8.1999999999999993</v>
      </c>
      <c r="Y18" s="15">
        <v>4.5999999999999996</v>
      </c>
      <c r="Z18" s="15">
        <v>6.2</v>
      </c>
      <c r="AA18" s="15">
        <v>14.6</v>
      </c>
      <c r="AB18" s="15">
        <v>12.4</v>
      </c>
      <c r="AC18" s="15">
        <v>14</v>
      </c>
      <c r="AD18" s="15">
        <v>50.4</v>
      </c>
      <c r="AE18" s="17" t="s">
        <v>76</v>
      </c>
      <c r="AF18" s="15">
        <f t="shared" si="7"/>
        <v>0</v>
      </c>
      <c r="AG18" s="7">
        <f>VLOOKUP(I18,[2]Sheet!$I:$AH,25,0)</f>
        <v>0.3</v>
      </c>
      <c r="AH18" s="7">
        <f>VLOOKUP(I18,[2]Sheet!$I:$AH,26,0)</f>
        <v>1.8</v>
      </c>
      <c r="AI18" s="15">
        <f t="shared" si="9"/>
        <v>0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25">
      <c r="A19" s="15" t="s">
        <v>56</v>
      </c>
      <c r="B19" s="15" t="s">
        <v>40</v>
      </c>
      <c r="C19" s="15">
        <v>83</v>
      </c>
      <c r="D19" s="15">
        <v>252</v>
      </c>
      <c r="E19" s="15">
        <v>87</v>
      </c>
      <c r="F19" s="15">
        <v>230</v>
      </c>
      <c r="G19" s="7">
        <v>0.5</v>
      </c>
      <c r="H19" s="15">
        <v>45</v>
      </c>
      <c r="I19" s="15">
        <v>1030412236</v>
      </c>
      <c r="J19" s="15"/>
      <c r="K19" s="15"/>
      <c r="L19" s="15">
        <f t="shared" si="3"/>
        <v>87</v>
      </c>
      <c r="M19" s="15"/>
      <c r="N19" s="15"/>
      <c r="O19" s="15"/>
      <c r="P19" s="15">
        <f t="shared" si="4"/>
        <v>17.399999999999999</v>
      </c>
      <c r="Q19" s="14">
        <v>200</v>
      </c>
      <c r="R19" s="4">
        <f t="shared" si="8"/>
        <v>200</v>
      </c>
      <c r="S19" s="4">
        <v>170.2</v>
      </c>
      <c r="T19" s="15"/>
      <c r="U19" s="15">
        <f t="shared" si="5"/>
        <v>24.712643678160923</v>
      </c>
      <c r="V19" s="15">
        <f t="shared" si="6"/>
        <v>13.218390804597702</v>
      </c>
      <c r="W19" s="15">
        <f>IFERROR(VLOOKUP(A19,[1]TDSheet!$A:$G,3,0),0)/5</f>
        <v>22.8</v>
      </c>
      <c r="X19" s="15">
        <v>13.2</v>
      </c>
      <c r="Y19" s="15">
        <v>16.8</v>
      </c>
      <c r="Z19" s="15">
        <v>9.4</v>
      </c>
      <c r="AA19" s="15">
        <v>26.4</v>
      </c>
      <c r="AB19" s="15">
        <v>26.4</v>
      </c>
      <c r="AC19" s="15">
        <v>20.2</v>
      </c>
      <c r="AD19" s="15">
        <v>1</v>
      </c>
      <c r="AE19" s="15"/>
      <c r="AF19" s="15">
        <f t="shared" si="7"/>
        <v>100</v>
      </c>
      <c r="AG19" s="7">
        <f>VLOOKUP(I19,[2]Sheet!$I:$AH,25,0)</f>
        <v>0.5</v>
      </c>
      <c r="AH19" s="7">
        <f>VLOOKUP(I19,[2]Sheet!$I:$AH,26,0)</f>
        <v>2</v>
      </c>
      <c r="AI19" s="15">
        <f t="shared" si="9"/>
        <v>100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25">
      <c r="A20" s="15" t="s">
        <v>45</v>
      </c>
      <c r="B20" s="15" t="s">
        <v>40</v>
      </c>
      <c r="C20" s="15">
        <v>721</v>
      </c>
      <c r="D20" s="15">
        <v>1</v>
      </c>
      <c r="E20" s="16">
        <f>147+E10</f>
        <v>155</v>
      </c>
      <c r="F20" s="16">
        <f>574+F10</f>
        <v>571</v>
      </c>
      <c r="G20" s="7">
        <v>0.18</v>
      </c>
      <c r="H20" s="15">
        <v>90</v>
      </c>
      <c r="I20" s="15">
        <v>1030712385</v>
      </c>
      <c r="J20" s="15"/>
      <c r="K20" s="15"/>
      <c r="L20" s="15">
        <f t="shared" si="3"/>
        <v>155</v>
      </c>
      <c r="M20" s="15"/>
      <c r="N20" s="15"/>
      <c r="O20" s="15">
        <v>100</v>
      </c>
      <c r="P20" s="15">
        <f t="shared" si="4"/>
        <v>31</v>
      </c>
      <c r="Q20" s="14">
        <v>100</v>
      </c>
      <c r="R20" s="4">
        <f t="shared" si="8"/>
        <v>100</v>
      </c>
      <c r="S20" s="4">
        <v>42</v>
      </c>
      <c r="T20" s="15"/>
      <c r="U20" s="15">
        <f t="shared" si="5"/>
        <v>24.870967741935484</v>
      </c>
      <c r="V20" s="15">
        <f t="shared" si="6"/>
        <v>21.64516129032258</v>
      </c>
      <c r="W20" s="15">
        <f>IFERROR(VLOOKUP(A20,[1]TDSheet!$A:$G,3,0),0)/5</f>
        <v>42.2</v>
      </c>
      <c r="X20" s="15">
        <v>39.200000000000003</v>
      </c>
      <c r="Y20" s="15">
        <v>42</v>
      </c>
      <c r="Z20" s="15">
        <v>47.6</v>
      </c>
      <c r="AA20" s="15">
        <v>40.799999999999997</v>
      </c>
      <c r="AB20" s="15">
        <v>17.399999999999999</v>
      </c>
      <c r="AC20" s="15">
        <v>48.6</v>
      </c>
      <c r="AD20" s="15">
        <v>104.6</v>
      </c>
      <c r="AE20" s="17" t="s">
        <v>55</v>
      </c>
      <c r="AF20" s="15">
        <f t="shared" si="7"/>
        <v>18</v>
      </c>
      <c r="AG20" s="7">
        <f>VLOOKUP(I20,[2]Sheet!$I:$AH,25,0)</f>
        <v>0.18</v>
      </c>
      <c r="AH20" s="7">
        <f>VLOOKUP(I20,[2]Sheet!$I:$AH,26,0)</f>
        <v>1.8</v>
      </c>
      <c r="AI20" s="15">
        <f t="shared" si="9"/>
        <v>18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25">
      <c r="A21" s="15" t="s">
        <v>57</v>
      </c>
      <c r="B21" s="15" t="s">
        <v>40</v>
      </c>
      <c r="C21" s="15"/>
      <c r="D21" s="15"/>
      <c r="E21" s="15"/>
      <c r="F21" s="15"/>
      <c r="G21" s="7">
        <v>0.3</v>
      </c>
      <c r="H21" s="15">
        <v>60</v>
      </c>
      <c r="I21" s="15">
        <v>1030709904</v>
      </c>
      <c r="J21" s="15"/>
      <c r="K21" s="15"/>
      <c r="L21" s="15">
        <f t="shared" si="3"/>
        <v>0</v>
      </c>
      <c r="M21" s="15"/>
      <c r="N21" s="15"/>
      <c r="O21" s="15"/>
      <c r="P21" s="15">
        <f t="shared" si="4"/>
        <v>0</v>
      </c>
      <c r="Q21" s="14"/>
      <c r="R21" s="4">
        <f t="shared" si="8"/>
        <v>0</v>
      </c>
      <c r="S21" s="4"/>
      <c r="T21" s="15"/>
      <c r="U21" s="15" t="e">
        <f t="shared" si="5"/>
        <v>#DIV/0!</v>
      </c>
      <c r="V21" s="15" t="e">
        <f t="shared" si="6"/>
        <v>#DIV/0!</v>
      </c>
      <c r="W21" s="15">
        <f>IFERROR(VLOOKUP(A21,[1]TDSheet!$A:$G,3,0),0)/5</f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 t="s">
        <v>58</v>
      </c>
      <c r="AF21" s="15">
        <f t="shared" si="7"/>
        <v>0</v>
      </c>
      <c r="AG21" s="7">
        <f>VLOOKUP(I21,[2]Sheet!$I:$AH,25,0)</f>
        <v>0.3</v>
      </c>
      <c r="AH21" s="7">
        <f>VLOOKUP(I21,[2]Sheet!$I:$AH,26,0)</f>
        <v>1.8</v>
      </c>
      <c r="AI21" s="15">
        <f t="shared" si="9"/>
        <v>0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25">
      <c r="A22" s="15" t="s">
        <v>59</v>
      </c>
      <c r="B22" s="15" t="s">
        <v>40</v>
      </c>
      <c r="C22" s="15">
        <v>749</v>
      </c>
      <c r="D22" s="15">
        <v>5</v>
      </c>
      <c r="E22" s="15">
        <v>232</v>
      </c>
      <c r="F22" s="15">
        <v>521</v>
      </c>
      <c r="G22" s="7">
        <v>0.3</v>
      </c>
      <c r="H22" s="15">
        <v>150</v>
      </c>
      <c r="I22" s="15">
        <v>1030686740</v>
      </c>
      <c r="J22" s="15"/>
      <c r="K22" s="15"/>
      <c r="L22" s="15">
        <f t="shared" si="3"/>
        <v>232</v>
      </c>
      <c r="M22" s="15"/>
      <c r="N22" s="15"/>
      <c r="O22" s="15">
        <v>100</v>
      </c>
      <c r="P22" s="15">
        <f t="shared" si="4"/>
        <v>46.4</v>
      </c>
      <c r="Q22" s="14">
        <v>300</v>
      </c>
      <c r="R22" s="4">
        <f t="shared" si="8"/>
        <v>300</v>
      </c>
      <c r="S22" s="4">
        <v>446.20000000000005</v>
      </c>
      <c r="T22" s="15"/>
      <c r="U22" s="15">
        <f t="shared" si="5"/>
        <v>19.849137931034484</v>
      </c>
      <c r="V22" s="15">
        <f t="shared" si="6"/>
        <v>13.383620689655173</v>
      </c>
      <c r="W22" s="15">
        <f>IFERROR(VLOOKUP(A22,[1]TDSheet!$A:$G,3,0),0)/5</f>
        <v>45.4</v>
      </c>
      <c r="X22" s="15">
        <v>32.6</v>
      </c>
      <c r="Y22" s="15">
        <v>21.2</v>
      </c>
      <c r="Z22" s="15">
        <v>32.6</v>
      </c>
      <c r="AA22" s="15">
        <v>36.799999999999997</v>
      </c>
      <c r="AB22" s="15">
        <v>25.2</v>
      </c>
      <c r="AC22" s="15">
        <v>58.4</v>
      </c>
      <c r="AD22" s="15">
        <v>81.400000000000006</v>
      </c>
      <c r="AE22" s="15"/>
      <c r="AF22" s="15">
        <f t="shared" si="7"/>
        <v>90</v>
      </c>
      <c r="AG22" s="7">
        <f>VLOOKUP(I22,[2]Sheet!$I:$AH,25,0)</f>
        <v>0.3</v>
      </c>
      <c r="AH22" s="7">
        <f>VLOOKUP(I22,[2]Sheet!$I:$AH,26,0)</f>
        <v>3.6</v>
      </c>
      <c r="AI22" s="15">
        <f t="shared" si="9"/>
        <v>90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25">
      <c r="A23" s="15" t="s">
        <v>60</v>
      </c>
      <c r="B23" s="15" t="s">
        <v>40</v>
      </c>
      <c r="C23" s="15">
        <v>804</v>
      </c>
      <c r="D23" s="15">
        <v>204</v>
      </c>
      <c r="E23" s="15">
        <v>132</v>
      </c>
      <c r="F23" s="15">
        <v>873</v>
      </c>
      <c r="G23" s="7">
        <v>0.3</v>
      </c>
      <c r="H23" s="15">
        <v>135</v>
      </c>
      <c r="I23" s="15">
        <v>1030686857</v>
      </c>
      <c r="J23" s="15"/>
      <c r="K23" s="15"/>
      <c r="L23" s="15">
        <f t="shared" si="3"/>
        <v>132</v>
      </c>
      <c r="M23" s="15"/>
      <c r="N23" s="15"/>
      <c r="O23" s="15"/>
      <c r="P23" s="15">
        <f t="shared" si="4"/>
        <v>26.4</v>
      </c>
      <c r="Q23" s="14"/>
      <c r="R23" s="4">
        <f t="shared" si="8"/>
        <v>0</v>
      </c>
      <c r="S23" s="4"/>
      <c r="T23" s="15"/>
      <c r="U23" s="15">
        <f t="shared" si="5"/>
        <v>33.06818181818182</v>
      </c>
      <c r="V23" s="15">
        <f t="shared" si="6"/>
        <v>33.06818181818182</v>
      </c>
      <c r="W23" s="15">
        <f>IFERROR(VLOOKUP(A23,[1]TDSheet!$A:$G,3,0),0)/5</f>
        <v>21.8</v>
      </c>
      <c r="X23" s="15">
        <v>28.6</v>
      </c>
      <c r="Y23" s="15">
        <v>18.2</v>
      </c>
      <c r="Z23" s="15">
        <v>24.4</v>
      </c>
      <c r="AA23" s="15">
        <v>43</v>
      </c>
      <c r="AB23" s="15">
        <v>10.8</v>
      </c>
      <c r="AC23" s="15">
        <v>34.200000000000003</v>
      </c>
      <c r="AD23" s="15">
        <v>53.6</v>
      </c>
      <c r="AE23" s="18" t="s">
        <v>53</v>
      </c>
      <c r="AF23" s="15">
        <f t="shared" si="7"/>
        <v>0</v>
      </c>
      <c r="AG23" s="7">
        <f>VLOOKUP(I23,[2]Sheet!$I:$AH,25,0)</f>
        <v>0.3</v>
      </c>
      <c r="AH23" s="7">
        <f>VLOOKUP(I23,[2]Sheet!$I:$AH,26,0)</f>
        <v>3.6</v>
      </c>
      <c r="AI23" s="15">
        <f t="shared" si="9"/>
        <v>0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25">
      <c r="A24" s="15" t="s">
        <v>61</v>
      </c>
      <c r="B24" s="15" t="s">
        <v>40</v>
      </c>
      <c r="C24" s="15">
        <v>337</v>
      </c>
      <c r="D24" s="15">
        <v>79</v>
      </c>
      <c r="E24" s="15">
        <v>59</v>
      </c>
      <c r="F24" s="15">
        <v>314</v>
      </c>
      <c r="G24" s="7">
        <v>0.2</v>
      </c>
      <c r="H24" s="15">
        <v>90</v>
      </c>
      <c r="I24" s="15">
        <v>1030654104</v>
      </c>
      <c r="J24" s="15"/>
      <c r="K24" s="15"/>
      <c r="L24" s="15">
        <f t="shared" si="3"/>
        <v>59</v>
      </c>
      <c r="M24" s="15"/>
      <c r="N24" s="15"/>
      <c r="O24" s="15"/>
      <c r="P24" s="15">
        <f t="shared" si="4"/>
        <v>11.8</v>
      </c>
      <c r="Q24" s="14"/>
      <c r="R24" s="4">
        <f t="shared" si="8"/>
        <v>0</v>
      </c>
      <c r="S24" s="4"/>
      <c r="T24" s="15"/>
      <c r="U24" s="15">
        <f t="shared" si="5"/>
        <v>26.610169491525422</v>
      </c>
      <c r="V24" s="15">
        <f t="shared" si="6"/>
        <v>26.610169491525422</v>
      </c>
      <c r="W24" s="15">
        <f>IFERROR(VLOOKUP(A24,[1]TDSheet!$A:$G,3,0),0)/5</f>
        <v>1</v>
      </c>
      <c r="X24" s="15">
        <v>6</v>
      </c>
      <c r="Y24" s="15">
        <v>5.4</v>
      </c>
      <c r="Z24" s="15">
        <v>11.4</v>
      </c>
      <c r="AA24" s="15">
        <v>17.399999999999999</v>
      </c>
      <c r="AB24" s="15">
        <v>4.8</v>
      </c>
      <c r="AC24" s="15">
        <v>13.8</v>
      </c>
      <c r="AD24" s="15">
        <v>23</v>
      </c>
      <c r="AE24" s="18" t="s">
        <v>53</v>
      </c>
      <c r="AF24" s="15">
        <f t="shared" si="7"/>
        <v>0</v>
      </c>
      <c r="AG24" s="7">
        <f>VLOOKUP(I24,[2]Sheet!$I:$AH,25,0)</f>
        <v>0.2</v>
      </c>
      <c r="AH24" s="7">
        <f>VLOOKUP(I24,[2]Sheet!$I:$AH,26,0)</f>
        <v>1.2</v>
      </c>
      <c r="AI24" s="15">
        <f t="shared" si="9"/>
        <v>0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25">
      <c r="A25" s="15" t="s">
        <v>62</v>
      </c>
      <c r="B25" s="15" t="s">
        <v>40</v>
      </c>
      <c r="C25" s="15">
        <v>355</v>
      </c>
      <c r="D25" s="15"/>
      <c r="E25" s="15">
        <v>41</v>
      </c>
      <c r="F25" s="15">
        <v>311</v>
      </c>
      <c r="G25" s="7">
        <v>0.3</v>
      </c>
      <c r="H25" s="15">
        <v>135</v>
      </c>
      <c r="I25" s="15">
        <v>1030686241</v>
      </c>
      <c r="J25" s="15"/>
      <c r="K25" s="15"/>
      <c r="L25" s="15">
        <f t="shared" si="3"/>
        <v>41</v>
      </c>
      <c r="M25" s="15"/>
      <c r="N25" s="15"/>
      <c r="O25" s="15"/>
      <c r="P25" s="15">
        <f t="shared" si="4"/>
        <v>8.1999999999999993</v>
      </c>
      <c r="Q25" s="14"/>
      <c r="R25" s="4">
        <f t="shared" si="8"/>
        <v>0</v>
      </c>
      <c r="S25" s="4"/>
      <c r="T25" s="15"/>
      <c r="U25" s="15">
        <f t="shared" si="5"/>
        <v>37.926829268292686</v>
      </c>
      <c r="V25" s="15">
        <f t="shared" si="6"/>
        <v>37.926829268292686</v>
      </c>
      <c r="W25" s="15">
        <f>IFERROR(VLOOKUP(A25,[1]TDSheet!$A:$G,3,0),0)/5</f>
        <v>6.4</v>
      </c>
      <c r="X25" s="15">
        <v>6.2</v>
      </c>
      <c r="Y25" s="15">
        <v>5.2</v>
      </c>
      <c r="Z25" s="15">
        <v>1.2</v>
      </c>
      <c r="AA25" s="15">
        <v>15.6</v>
      </c>
      <c r="AB25" s="15">
        <v>4</v>
      </c>
      <c r="AC25" s="15">
        <v>4</v>
      </c>
      <c r="AD25" s="15">
        <v>10.6</v>
      </c>
      <c r="AE25" s="18" t="s">
        <v>53</v>
      </c>
      <c r="AF25" s="15">
        <f t="shared" si="7"/>
        <v>0</v>
      </c>
      <c r="AG25" s="7">
        <f>VLOOKUP(I25,[2]Sheet!$I:$AH,25,0)</f>
        <v>0.3</v>
      </c>
      <c r="AH25" s="7">
        <f>VLOOKUP(I25,[2]Sheet!$I:$AH,26,0)</f>
        <v>1.8</v>
      </c>
      <c r="AI25" s="15">
        <f t="shared" si="9"/>
        <v>0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25">
      <c r="A26" s="9" t="s">
        <v>63</v>
      </c>
      <c r="B26" s="9" t="s">
        <v>40</v>
      </c>
      <c r="C26" s="9">
        <v>120</v>
      </c>
      <c r="D26" s="9">
        <v>120</v>
      </c>
      <c r="E26" s="9"/>
      <c r="F26" s="16">
        <v>240</v>
      </c>
      <c r="G26" s="10">
        <v>0</v>
      </c>
      <c r="H26" s="9"/>
      <c r="I26" s="9" t="s">
        <v>64</v>
      </c>
      <c r="J26" s="9" t="s">
        <v>65</v>
      </c>
      <c r="K26" s="9"/>
      <c r="L26" s="9">
        <f t="shared" si="3"/>
        <v>0</v>
      </c>
      <c r="M26" s="9"/>
      <c r="N26" s="9"/>
      <c r="O26" s="9"/>
      <c r="P26" s="9">
        <f t="shared" si="4"/>
        <v>0</v>
      </c>
      <c r="Q26" s="11"/>
      <c r="R26" s="11"/>
      <c r="S26" s="11"/>
      <c r="T26" s="9"/>
      <c r="U26" s="9" t="e">
        <f t="shared" si="5"/>
        <v>#DIV/0!</v>
      </c>
      <c r="V26" s="9" t="e">
        <f t="shared" si="6"/>
        <v>#DIV/0!</v>
      </c>
      <c r="W26" s="9">
        <f>IFERROR(VLOOKUP(A26,[1]TDSheet!$A:$G,3,0),0)/5</f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7"/>
      <c r="AH26" s="7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25">
      <c r="A27" s="15" t="s">
        <v>65</v>
      </c>
      <c r="B27" s="15" t="s">
        <v>40</v>
      </c>
      <c r="C27" s="15">
        <v>-24</v>
      </c>
      <c r="D27" s="15"/>
      <c r="E27" s="15"/>
      <c r="F27" s="16">
        <f>-24+F26</f>
        <v>216</v>
      </c>
      <c r="G27" s="7">
        <v>0.1</v>
      </c>
      <c r="H27" s="15">
        <v>90</v>
      </c>
      <c r="I27" s="15">
        <v>1030650028</v>
      </c>
      <c r="J27" s="15"/>
      <c r="K27" s="15"/>
      <c r="L27" s="15">
        <f t="shared" si="3"/>
        <v>0</v>
      </c>
      <c r="M27" s="15"/>
      <c r="N27" s="15"/>
      <c r="O27" s="15"/>
      <c r="P27" s="15">
        <f t="shared" si="4"/>
        <v>0</v>
      </c>
      <c r="Q27" s="14"/>
      <c r="R27" s="4">
        <f t="shared" si="8"/>
        <v>0</v>
      </c>
      <c r="S27" s="4"/>
      <c r="T27" s="15"/>
      <c r="U27" s="15" t="e">
        <f t="shared" si="5"/>
        <v>#DIV/0!</v>
      </c>
      <c r="V27" s="15" t="e">
        <f t="shared" si="6"/>
        <v>#DIV/0!</v>
      </c>
      <c r="W27" s="15">
        <f>IFERROR(VLOOKUP(A27,[1]TDSheet!$A:$G,3,0),0)/5</f>
        <v>12.4</v>
      </c>
      <c r="X27" s="15">
        <v>6.2</v>
      </c>
      <c r="Y27" s="15">
        <v>17</v>
      </c>
      <c r="Z27" s="15">
        <v>4.5999999999999996</v>
      </c>
      <c r="AA27" s="15">
        <v>23.2</v>
      </c>
      <c r="AB27" s="15">
        <v>-0.2</v>
      </c>
      <c r="AC27" s="15">
        <v>19.2</v>
      </c>
      <c r="AD27" s="15">
        <v>10.4</v>
      </c>
      <c r="AE27" s="17" t="s">
        <v>77</v>
      </c>
      <c r="AF27" s="15">
        <f t="shared" ref="AF27:AF35" si="10">G27*Q27</f>
        <v>0</v>
      </c>
      <c r="AG27" s="7">
        <f>VLOOKUP(I27,[2]Sheet!$I:$AH,25,0)</f>
        <v>0.1</v>
      </c>
      <c r="AH27" s="7">
        <f>VLOOKUP(I27,[2]Sheet!$I:$AH,26,0)</f>
        <v>1.2000000000000002</v>
      </c>
      <c r="AI27" s="15">
        <f t="shared" ref="AI27:AI35" si="11">IF(G27&lt;1,AG27*R27,R27)</f>
        <v>0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25">
      <c r="A28" s="15" t="s">
        <v>66</v>
      </c>
      <c r="B28" s="15" t="s">
        <v>40</v>
      </c>
      <c r="C28" s="15">
        <v>242</v>
      </c>
      <c r="D28" s="15">
        <v>121</v>
      </c>
      <c r="E28" s="15">
        <v>28</v>
      </c>
      <c r="F28" s="15">
        <v>335</v>
      </c>
      <c r="G28" s="7">
        <v>0.3</v>
      </c>
      <c r="H28" s="15">
        <v>135</v>
      </c>
      <c r="I28" s="15">
        <v>1030657419</v>
      </c>
      <c r="J28" s="15"/>
      <c r="K28" s="15"/>
      <c r="L28" s="15">
        <f t="shared" si="3"/>
        <v>28</v>
      </c>
      <c r="M28" s="15"/>
      <c r="N28" s="15"/>
      <c r="O28" s="15"/>
      <c r="P28" s="15">
        <f t="shared" si="4"/>
        <v>5.6</v>
      </c>
      <c r="Q28" s="14"/>
      <c r="R28" s="4">
        <f t="shared" si="8"/>
        <v>0</v>
      </c>
      <c r="S28" s="4"/>
      <c r="T28" s="15"/>
      <c r="U28" s="15">
        <f t="shared" si="5"/>
        <v>59.821428571428577</v>
      </c>
      <c r="V28" s="15">
        <f t="shared" si="6"/>
        <v>59.821428571428577</v>
      </c>
      <c r="W28" s="15">
        <f>IFERROR(VLOOKUP(A28,[1]TDSheet!$A:$G,3,0),0)/5</f>
        <v>10</v>
      </c>
      <c r="X28" s="15">
        <v>8</v>
      </c>
      <c r="Y28" s="15">
        <v>9.1999999999999993</v>
      </c>
      <c r="Z28" s="15">
        <v>7</v>
      </c>
      <c r="AA28" s="15">
        <v>15</v>
      </c>
      <c r="AB28" s="15">
        <v>2.6</v>
      </c>
      <c r="AC28" s="15">
        <v>8.4</v>
      </c>
      <c r="AD28" s="15">
        <v>14</v>
      </c>
      <c r="AE28" s="18" t="s">
        <v>53</v>
      </c>
      <c r="AF28" s="15">
        <f t="shared" si="10"/>
        <v>0</v>
      </c>
      <c r="AG28" s="7">
        <f>VLOOKUP(I28,[2]Sheet!$I:$AH,25,0)</f>
        <v>0.3</v>
      </c>
      <c r="AH28" s="7">
        <f>VLOOKUP(I28,[2]Sheet!$I:$AH,26,0)</f>
        <v>1.8</v>
      </c>
      <c r="AI28" s="15">
        <f t="shared" si="11"/>
        <v>0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25">
      <c r="A29" s="15" t="s">
        <v>67</v>
      </c>
      <c r="B29" s="15" t="s">
        <v>40</v>
      </c>
      <c r="C29" s="15">
        <v>99</v>
      </c>
      <c r="D29" s="15">
        <v>60</v>
      </c>
      <c r="E29" s="15">
        <v>51</v>
      </c>
      <c r="F29" s="15">
        <v>106</v>
      </c>
      <c r="G29" s="7">
        <v>8.5000000000000006E-2</v>
      </c>
      <c r="H29" s="15">
        <v>90</v>
      </c>
      <c r="I29" s="15">
        <v>1030657628</v>
      </c>
      <c r="J29" s="15"/>
      <c r="K29" s="15"/>
      <c r="L29" s="15">
        <f t="shared" si="3"/>
        <v>51</v>
      </c>
      <c r="M29" s="15"/>
      <c r="N29" s="15"/>
      <c r="O29" s="15"/>
      <c r="P29" s="15">
        <f t="shared" si="4"/>
        <v>10.199999999999999</v>
      </c>
      <c r="Q29" s="14"/>
      <c r="R29" s="4">
        <f t="shared" si="8"/>
        <v>0</v>
      </c>
      <c r="S29" s="4">
        <v>128.6</v>
      </c>
      <c r="T29" s="15"/>
      <c r="U29" s="15">
        <f t="shared" si="5"/>
        <v>10.392156862745098</v>
      </c>
      <c r="V29" s="15">
        <f t="shared" si="6"/>
        <v>10.392156862745098</v>
      </c>
      <c r="W29" s="15">
        <f>IFERROR(VLOOKUP(A29,[1]TDSheet!$A:$G,3,0),0)/5</f>
        <v>-0.4</v>
      </c>
      <c r="X29" s="15">
        <v>2.2000000000000002</v>
      </c>
      <c r="Y29" s="15">
        <v>15.8</v>
      </c>
      <c r="Z29" s="15">
        <v>6.2</v>
      </c>
      <c r="AA29" s="15">
        <v>8.6</v>
      </c>
      <c r="AB29" s="15">
        <v>-0.8</v>
      </c>
      <c r="AC29" s="15">
        <v>12</v>
      </c>
      <c r="AD29" s="15">
        <v>-1.6</v>
      </c>
      <c r="AE29" s="19" t="s">
        <v>78</v>
      </c>
      <c r="AF29" s="15">
        <f t="shared" si="10"/>
        <v>0</v>
      </c>
      <c r="AG29" s="7">
        <f>VLOOKUP(I29,[2]Sheet!$I:$AH,25,0)</f>
        <v>8.5000000000000006E-2</v>
      </c>
      <c r="AH29" s="7">
        <f>VLOOKUP(I29,[2]Sheet!$I:$AH,26,0)</f>
        <v>1.02</v>
      </c>
      <c r="AI29" s="15">
        <f t="shared" si="11"/>
        <v>0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25">
      <c r="A30" s="15" t="s">
        <v>68</v>
      </c>
      <c r="B30" s="15" t="s">
        <v>40</v>
      </c>
      <c r="C30" s="15">
        <v>277</v>
      </c>
      <c r="D30" s="15"/>
      <c r="E30" s="15">
        <v>68</v>
      </c>
      <c r="F30" s="15">
        <v>176</v>
      </c>
      <c r="G30" s="7">
        <v>0.3</v>
      </c>
      <c r="H30" s="15">
        <v>135</v>
      </c>
      <c r="I30" s="15">
        <v>1030679319</v>
      </c>
      <c r="J30" s="15"/>
      <c r="K30" s="15"/>
      <c r="L30" s="15">
        <f t="shared" si="3"/>
        <v>68</v>
      </c>
      <c r="M30" s="15"/>
      <c r="N30" s="15"/>
      <c r="O30" s="15">
        <v>160</v>
      </c>
      <c r="P30" s="15">
        <f t="shared" si="4"/>
        <v>13.6</v>
      </c>
      <c r="Q30" s="14">
        <v>120</v>
      </c>
      <c r="R30" s="4">
        <f t="shared" si="8"/>
        <v>120</v>
      </c>
      <c r="S30" s="4"/>
      <c r="T30" s="15"/>
      <c r="U30" s="15">
        <f t="shared" si="5"/>
        <v>33.529411764705884</v>
      </c>
      <c r="V30" s="15">
        <f t="shared" si="6"/>
        <v>24.705882352941178</v>
      </c>
      <c r="W30" s="15">
        <f>IFERROR(VLOOKUP(A30,[1]TDSheet!$A:$G,3,0),0)/5</f>
        <v>11.6</v>
      </c>
      <c r="X30" s="15">
        <v>13.2</v>
      </c>
      <c r="Y30" s="15">
        <v>10.199999999999999</v>
      </c>
      <c r="Z30" s="15">
        <v>8.8000000000000007</v>
      </c>
      <c r="AA30" s="15">
        <v>14</v>
      </c>
      <c r="AB30" s="15">
        <v>11.4</v>
      </c>
      <c r="AC30" s="15">
        <v>14.8</v>
      </c>
      <c r="AD30" s="15">
        <v>15.2</v>
      </c>
      <c r="AE30" s="17" t="s">
        <v>55</v>
      </c>
      <c r="AF30" s="15">
        <f t="shared" si="10"/>
        <v>36</v>
      </c>
      <c r="AG30" s="7">
        <f>VLOOKUP(I30,[2]Sheet!$I:$AH,25,0)</f>
        <v>0.3</v>
      </c>
      <c r="AH30" s="7">
        <f>VLOOKUP(I30,[2]Sheet!$I:$AH,26,0)</f>
        <v>1.8</v>
      </c>
      <c r="AI30" s="15">
        <f t="shared" si="11"/>
        <v>36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25">
      <c r="A31" s="15" t="s">
        <v>69</v>
      </c>
      <c r="B31" s="15" t="s">
        <v>40</v>
      </c>
      <c r="C31" s="15">
        <v>360</v>
      </c>
      <c r="D31" s="15">
        <v>132</v>
      </c>
      <c r="E31" s="15">
        <v>99</v>
      </c>
      <c r="F31" s="15">
        <v>388</v>
      </c>
      <c r="G31" s="7">
        <v>0.25</v>
      </c>
      <c r="H31" s="15">
        <v>120</v>
      </c>
      <c r="I31" s="15">
        <v>1030670844</v>
      </c>
      <c r="J31" s="15"/>
      <c r="K31" s="15"/>
      <c r="L31" s="15">
        <f t="shared" si="3"/>
        <v>99</v>
      </c>
      <c r="M31" s="15"/>
      <c r="N31" s="15"/>
      <c r="O31" s="15"/>
      <c r="P31" s="15">
        <f t="shared" si="4"/>
        <v>19.8</v>
      </c>
      <c r="Q31" s="14">
        <v>24</v>
      </c>
      <c r="R31" s="4">
        <f t="shared" si="8"/>
        <v>24</v>
      </c>
      <c r="S31" s="4">
        <v>67.400000000000034</v>
      </c>
      <c r="T31" s="15"/>
      <c r="U31" s="15">
        <f t="shared" si="5"/>
        <v>20.808080808080806</v>
      </c>
      <c r="V31" s="15">
        <f t="shared" si="6"/>
        <v>19.595959595959595</v>
      </c>
      <c r="W31" s="15">
        <f>IFERROR(VLOOKUP(A31,[1]TDSheet!$A:$G,3,0),0)/5</f>
        <v>24.8</v>
      </c>
      <c r="X31" s="15">
        <v>18.8</v>
      </c>
      <c r="Y31" s="15">
        <v>19.600000000000001</v>
      </c>
      <c r="Z31" s="15">
        <v>14.2</v>
      </c>
      <c r="AA31" s="15">
        <v>32.799999999999997</v>
      </c>
      <c r="AB31" s="15">
        <v>15.6</v>
      </c>
      <c r="AC31" s="15">
        <v>17</v>
      </c>
      <c r="AD31" s="15">
        <v>29.2</v>
      </c>
      <c r="AE31" s="15"/>
      <c r="AF31" s="15">
        <f t="shared" si="10"/>
        <v>6</v>
      </c>
      <c r="AG31" s="7">
        <f>VLOOKUP(I31,[2]Sheet!$I:$AH,25,0)</f>
        <v>0.25</v>
      </c>
      <c r="AH31" s="7">
        <f>VLOOKUP(I31,[2]Sheet!$I:$AH,26,0)</f>
        <v>1.5</v>
      </c>
      <c r="AI31" s="15">
        <f t="shared" si="11"/>
        <v>6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25">
      <c r="A32" s="15" t="s">
        <v>70</v>
      </c>
      <c r="B32" s="15" t="s">
        <v>34</v>
      </c>
      <c r="C32" s="15">
        <v>-1.22</v>
      </c>
      <c r="D32" s="15"/>
      <c r="E32" s="15">
        <v>-26.643999999999998</v>
      </c>
      <c r="F32" s="15">
        <v>-1.22</v>
      </c>
      <c r="G32" s="7">
        <v>1</v>
      </c>
      <c r="H32" s="15">
        <v>35</v>
      </c>
      <c r="I32" s="15">
        <v>1030228316</v>
      </c>
      <c r="J32" s="15"/>
      <c r="K32" s="15"/>
      <c r="L32" s="15">
        <f t="shared" si="3"/>
        <v>-26.643999999999998</v>
      </c>
      <c r="M32" s="15"/>
      <c r="N32" s="15"/>
      <c r="O32" s="15">
        <v>50</v>
      </c>
      <c r="P32" s="15">
        <f t="shared" si="4"/>
        <v>-5.3287999999999993</v>
      </c>
      <c r="Q32" s="14">
        <v>50</v>
      </c>
      <c r="R32" s="4">
        <f t="shared" si="8"/>
        <v>50</v>
      </c>
      <c r="S32" s="4"/>
      <c r="T32" s="15"/>
      <c r="U32" s="15">
        <f t="shared" si="5"/>
        <v>-18.537006455487166</v>
      </c>
      <c r="V32" s="15">
        <f t="shared" si="6"/>
        <v>-9.154030926287346</v>
      </c>
      <c r="W32" s="15">
        <f>IFERROR(VLOOKUP(A32,[1]TDSheet!$A:$G,3,0),0)/5</f>
        <v>11.487399999999999</v>
      </c>
      <c r="X32" s="15">
        <v>18.258199999999999</v>
      </c>
      <c r="Y32" s="15">
        <v>12.2662</v>
      </c>
      <c r="Z32" s="15">
        <v>8.3604000000000003</v>
      </c>
      <c r="AA32" s="15">
        <v>12.2698</v>
      </c>
      <c r="AB32" s="15">
        <v>6.3708</v>
      </c>
      <c r="AC32" s="15">
        <v>18.630400000000002</v>
      </c>
      <c r="AD32" s="15">
        <v>23.451599999999999</v>
      </c>
      <c r="AE32" s="15"/>
      <c r="AF32" s="15">
        <f t="shared" si="10"/>
        <v>50</v>
      </c>
      <c r="AG32" s="7">
        <f>VLOOKUP(I32,[2]Sheet!$I:$AH,25,0)</f>
        <v>1.25</v>
      </c>
      <c r="AH32" s="7">
        <f>VLOOKUP(I32,[2]Sheet!$I:$AH,26,0)</f>
        <v>5</v>
      </c>
      <c r="AI32" s="15">
        <f t="shared" si="11"/>
        <v>50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25">
      <c r="A33" s="15" t="s">
        <v>47</v>
      </c>
      <c r="B33" s="15" t="s">
        <v>40</v>
      </c>
      <c r="C33" s="15">
        <v>625</v>
      </c>
      <c r="D33" s="15">
        <v>100</v>
      </c>
      <c r="E33" s="16">
        <f>164+E11</f>
        <v>234</v>
      </c>
      <c r="F33" s="16">
        <f>527+F11</f>
        <v>481</v>
      </c>
      <c r="G33" s="7">
        <v>0.4</v>
      </c>
      <c r="H33" s="15">
        <v>41</v>
      </c>
      <c r="I33" s="15">
        <v>1030234120</v>
      </c>
      <c r="J33" s="15"/>
      <c r="K33" s="15"/>
      <c r="L33" s="15">
        <f t="shared" si="3"/>
        <v>234</v>
      </c>
      <c r="M33" s="15"/>
      <c r="N33" s="15"/>
      <c r="O33" s="15"/>
      <c r="P33" s="15">
        <f t="shared" si="4"/>
        <v>46.8</v>
      </c>
      <c r="Q33" s="14">
        <v>200</v>
      </c>
      <c r="R33" s="4">
        <f t="shared" si="8"/>
        <v>200</v>
      </c>
      <c r="S33" s="4">
        <v>595.39999999999986</v>
      </c>
      <c r="T33" s="15"/>
      <c r="U33" s="15">
        <f t="shared" si="5"/>
        <v>14.551282051282053</v>
      </c>
      <c r="V33" s="15">
        <f t="shared" si="6"/>
        <v>10.277777777777779</v>
      </c>
      <c r="W33" s="15">
        <f>IFERROR(VLOOKUP(A33,[1]TDSheet!$A:$G,3,0),0)/5</f>
        <v>38.799999999999997</v>
      </c>
      <c r="X33" s="15">
        <v>23.6</v>
      </c>
      <c r="Y33" s="15">
        <v>41</v>
      </c>
      <c r="Z33" s="15">
        <v>41</v>
      </c>
      <c r="AA33" s="15">
        <v>50.6</v>
      </c>
      <c r="AB33" s="15">
        <v>16</v>
      </c>
      <c r="AC33" s="15">
        <v>67</v>
      </c>
      <c r="AD33" s="15">
        <v>103.4</v>
      </c>
      <c r="AE33" s="15"/>
      <c r="AF33" s="15">
        <f t="shared" si="10"/>
        <v>80</v>
      </c>
      <c r="AG33" s="7">
        <f>VLOOKUP(I33,[2]Sheet!$I:$AH,25,0)</f>
        <v>0.4</v>
      </c>
      <c r="AH33" s="7">
        <f>VLOOKUP(I33,[2]Sheet!$I:$AH,26,0)</f>
        <v>1.6</v>
      </c>
      <c r="AI33" s="15">
        <f t="shared" si="11"/>
        <v>80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25">
      <c r="A34" s="15" t="s">
        <v>49</v>
      </c>
      <c r="B34" s="15" t="s">
        <v>40</v>
      </c>
      <c r="C34" s="15">
        <v>64</v>
      </c>
      <c r="D34" s="15">
        <v>122</v>
      </c>
      <c r="E34" s="16">
        <f>127+E12</f>
        <v>129</v>
      </c>
      <c r="F34" s="15">
        <v>23</v>
      </c>
      <c r="G34" s="7">
        <v>0.45</v>
      </c>
      <c r="H34" s="15">
        <v>31</v>
      </c>
      <c r="I34" s="15">
        <v>1030228620</v>
      </c>
      <c r="J34" s="15"/>
      <c r="K34" s="15"/>
      <c r="L34" s="15">
        <f t="shared" si="3"/>
        <v>129</v>
      </c>
      <c r="M34" s="15"/>
      <c r="N34" s="15"/>
      <c r="O34" s="15">
        <v>150</v>
      </c>
      <c r="P34" s="15">
        <f t="shared" si="4"/>
        <v>25.8</v>
      </c>
      <c r="Q34" s="14">
        <v>160</v>
      </c>
      <c r="R34" s="4">
        <f t="shared" si="8"/>
        <v>160</v>
      </c>
      <c r="S34" s="4">
        <v>343</v>
      </c>
      <c r="T34" s="15"/>
      <c r="U34" s="15">
        <f t="shared" si="5"/>
        <v>12.906976744186046</v>
      </c>
      <c r="V34" s="15">
        <f t="shared" si="6"/>
        <v>6.7054263565891468</v>
      </c>
      <c r="W34" s="15">
        <f>IFERROR(VLOOKUP(A34,[1]TDSheet!$A:$G,3,0),0)/5</f>
        <v>26.6</v>
      </c>
      <c r="X34" s="15">
        <v>10.8</v>
      </c>
      <c r="Y34" s="15">
        <v>41.6</v>
      </c>
      <c r="Z34" s="15">
        <v>13</v>
      </c>
      <c r="AA34" s="15">
        <v>42.4</v>
      </c>
      <c r="AB34" s="15">
        <v>9.8000000000000007</v>
      </c>
      <c r="AC34" s="15">
        <v>50.2</v>
      </c>
      <c r="AD34" s="15">
        <v>58.2</v>
      </c>
      <c r="AE34" s="15"/>
      <c r="AF34" s="15">
        <f t="shared" si="10"/>
        <v>72</v>
      </c>
      <c r="AG34" s="7">
        <f>VLOOKUP(I34,[2]Sheet!$I:$AH,25,0)</f>
        <v>0.45</v>
      </c>
      <c r="AH34" s="7">
        <f>VLOOKUP(I34,[2]Sheet!$I:$AH,26,0)</f>
        <v>1.8</v>
      </c>
      <c r="AI34" s="15">
        <f t="shared" si="11"/>
        <v>72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25">
      <c r="A35" s="15" t="s">
        <v>71</v>
      </c>
      <c r="B35" s="15" t="s">
        <v>40</v>
      </c>
      <c r="C35" s="15">
        <v>39</v>
      </c>
      <c r="D35" s="15">
        <v>200</v>
      </c>
      <c r="E35" s="15">
        <v>181</v>
      </c>
      <c r="F35" s="15">
        <v>41</v>
      </c>
      <c r="G35" s="7">
        <v>0.45</v>
      </c>
      <c r="H35" s="15">
        <v>30</v>
      </c>
      <c r="I35" s="15">
        <v>1030212603</v>
      </c>
      <c r="J35" s="15"/>
      <c r="K35" s="15"/>
      <c r="L35" s="15">
        <f t="shared" si="3"/>
        <v>181</v>
      </c>
      <c r="M35" s="15"/>
      <c r="N35" s="15"/>
      <c r="O35" s="15">
        <v>200</v>
      </c>
      <c r="P35" s="15">
        <f t="shared" si="4"/>
        <v>36.200000000000003</v>
      </c>
      <c r="Q35" s="14">
        <v>200</v>
      </c>
      <c r="R35" s="4">
        <f t="shared" si="8"/>
        <v>200</v>
      </c>
      <c r="S35" s="4">
        <v>483</v>
      </c>
      <c r="T35" s="15"/>
      <c r="U35" s="15">
        <f t="shared" si="5"/>
        <v>12.182320441988949</v>
      </c>
      <c r="V35" s="15">
        <f t="shared" si="6"/>
        <v>6.6574585635359114</v>
      </c>
      <c r="W35" s="15">
        <f>IFERROR(VLOOKUP(A35,[1]TDSheet!$A:$G,3,0),0)/5</f>
        <v>48</v>
      </c>
      <c r="X35" s="15">
        <v>12.4</v>
      </c>
      <c r="Y35" s="15">
        <v>51.2</v>
      </c>
      <c r="Z35" s="15">
        <v>1.4</v>
      </c>
      <c r="AA35" s="15">
        <v>52.2</v>
      </c>
      <c r="AB35" s="15">
        <v>-2.4</v>
      </c>
      <c r="AC35" s="15">
        <v>45.8</v>
      </c>
      <c r="AD35" s="15">
        <v>72</v>
      </c>
      <c r="AE35" s="15"/>
      <c r="AF35" s="15">
        <f t="shared" si="10"/>
        <v>90</v>
      </c>
      <c r="AG35" s="7">
        <f>VLOOKUP(I35,[2]Sheet!$I:$AH,25,0)</f>
        <v>0.45</v>
      </c>
      <c r="AH35" s="7">
        <f>VLOOKUP(I35,[2]Sheet!$I:$AH,26,0)</f>
        <v>1.8</v>
      </c>
      <c r="AI35" s="15">
        <f t="shared" si="11"/>
        <v>90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25">
      <c r="A36" s="9" t="s">
        <v>72</v>
      </c>
      <c r="B36" s="9" t="s">
        <v>34</v>
      </c>
      <c r="C36" s="9"/>
      <c r="D36" s="9"/>
      <c r="E36" s="9">
        <v>8.1820000000000004</v>
      </c>
      <c r="F36" s="9">
        <v>-8.1820000000000004</v>
      </c>
      <c r="G36" s="10">
        <v>0</v>
      </c>
      <c r="H36" s="9"/>
      <c r="I36" s="9" t="s">
        <v>73</v>
      </c>
      <c r="J36" s="9"/>
      <c r="K36" s="9"/>
      <c r="L36" s="9">
        <f t="shared" si="3"/>
        <v>8.1820000000000004</v>
      </c>
      <c r="M36" s="9"/>
      <c r="N36" s="9"/>
      <c r="O36" s="9"/>
      <c r="P36" s="9">
        <f t="shared" si="4"/>
        <v>1.6364000000000001</v>
      </c>
      <c r="Q36" s="11"/>
      <c r="R36" s="11"/>
      <c r="S36" s="11"/>
      <c r="T36" s="9"/>
      <c r="U36" s="9">
        <f t="shared" si="5"/>
        <v>-5</v>
      </c>
      <c r="V36" s="9">
        <f t="shared" si="6"/>
        <v>-5</v>
      </c>
      <c r="W36" s="9">
        <f>IFERROR(VLOOKUP(A36,[1]TDSheet!$A:$G,3,0),0)/5</f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7"/>
      <c r="AH36" s="7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25">
      <c r="A37" s="9" t="s">
        <v>74</v>
      </c>
      <c r="B37" s="9" t="s">
        <v>40</v>
      </c>
      <c r="C37" s="9"/>
      <c r="D37" s="9"/>
      <c r="E37" s="9">
        <v>4</v>
      </c>
      <c r="F37" s="9">
        <v>-4</v>
      </c>
      <c r="G37" s="10">
        <v>0</v>
      </c>
      <c r="H37" s="9"/>
      <c r="I37" s="9" t="s">
        <v>73</v>
      </c>
      <c r="J37" s="9"/>
      <c r="K37" s="9"/>
      <c r="L37" s="9">
        <f t="shared" si="3"/>
        <v>4</v>
      </c>
      <c r="M37" s="9"/>
      <c r="N37" s="9"/>
      <c r="O37" s="9"/>
      <c r="P37" s="9">
        <f t="shared" si="4"/>
        <v>0.8</v>
      </c>
      <c r="Q37" s="11"/>
      <c r="R37" s="11"/>
      <c r="S37" s="11"/>
      <c r="T37" s="9"/>
      <c r="U37" s="9">
        <f t="shared" si="5"/>
        <v>-5</v>
      </c>
      <c r="V37" s="9">
        <f t="shared" si="6"/>
        <v>-5</v>
      </c>
      <c r="W37" s="9">
        <f>IFERROR(VLOOKUP(A37,[1]TDSheet!$A:$G,3,0),0)/5</f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7"/>
      <c r="AH37" s="7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25">
      <c r="A38" s="9" t="s">
        <v>75</v>
      </c>
      <c r="B38" s="9" t="s">
        <v>40</v>
      </c>
      <c r="C38" s="9"/>
      <c r="D38" s="9"/>
      <c r="E38" s="9">
        <v>4</v>
      </c>
      <c r="F38" s="9">
        <v>-4</v>
      </c>
      <c r="G38" s="10">
        <v>0</v>
      </c>
      <c r="H38" s="9"/>
      <c r="I38" s="9" t="s">
        <v>73</v>
      </c>
      <c r="J38" s="9"/>
      <c r="K38" s="9"/>
      <c r="L38" s="9">
        <f t="shared" si="3"/>
        <v>4</v>
      </c>
      <c r="M38" s="9"/>
      <c r="N38" s="9"/>
      <c r="O38" s="9"/>
      <c r="P38" s="9">
        <f t="shared" si="4"/>
        <v>0.8</v>
      </c>
      <c r="Q38" s="11"/>
      <c r="R38" s="11"/>
      <c r="S38" s="11"/>
      <c r="T38" s="9"/>
      <c r="U38" s="9">
        <f t="shared" si="5"/>
        <v>-5</v>
      </c>
      <c r="V38" s="9">
        <f t="shared" si="6"/>
        <v>-5</v>
      </c>
      <c r="W38" s="9">
        <f>IFERROR(VLOOKUP(A38,[1]TDSheet!$A:$G,3,0),0)/5</f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7"/>
      <c r="AH38" s="7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25">
      <c r="A39" s="15"/>
      <c r="B39" s="15"/>
      <c r="C39" s="15"/>
      <c r="D39" s="15"/>
      <c r="E39" s="15"/>
      <c r="F39" s="15"/>
      <c r="G39" s="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7"/>
      <c r="AH39" s="7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25">
      <c r="A40" s="15"/>
      <c r="B40" s="15"/>
      <c r="C40" s="15"/>
      <c r="D40" s="15"/>
      <c r="E40" s="15"/>
      <c r="F40" s="15"/>
      <c r="G40" s="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7"/>
      <c r="AH40" s="7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25">
      <c r="A41" s="15"/>
      <c r="B41" s="15"/>
      <c r="C41" s="15"/>
      <c r="D41" s="15"/>
      <c r="E41" s="15"/>
      <c r="F41" s="15"/>
      <c r="G41" s="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7"/>
      <c r="AH41" s="7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25">
      <c r="A42" s="15"/>
      <c r="B42" s="15"/>
      <c r="C42" s="15"/>
      <c r="D42" s="15"/>
      <c r="E42" s="15"/>
      <c r="F42" s="15"/>
      <c r="G42" s="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7"/>
      <c r="AH42" s="7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25">
      <c r="A43" s="15"/>
      <c r="B43" s="15"/>
      <c r="C43" s="15"/>
      <c r="D43" s="15"/>
      <c r="E43" s="15"/>
      <c r="F43" s="15"/>
      <c r="G43" s="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7"/>
      <c r="AH43" s="7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25">
      <c r="A44" s="15"/>
      <c r="B44" s="15"/>
      <c r="C44" s="15"/>
      <c r="D44" s="15"/>
      <c r="E44" s="15"/>
      <c r="F44" s="15"/>
      <c r="G44" s="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7"/>
      <c r="AH44" s="7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25">
      <c r="A45" s="15"/>
      <c r="B45" s="15"/>
      <c r="C45" s="15"/>
      <c r="D45" s="15"/>
      <c r="E45" s="15"/>
      <c r="F45" s="15"/>
      <c r="G45" s="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7"/>
      <c r="AH45" s="7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25">
      <c r="A46" s="15"/>
      <c r="B46" s="15"/>
      <c r="C46" s="15"/>
      <c r="D46" s="15"/>
      <c r="E46" s="15"/>
      <c r="F46" s="15"/>
      <c r="G46" s="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7"/>
      <c r="AH46" s="7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25">
      <c r="A47" s="15"/>
      <c r="B47" s="15"/>
      <c r="C47" s="15"/>
      <c r="D47" s="15"/>
      <c r="E47" s="15"/>
      <c r="F47" s="15"/>
      <c r="G47" s="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7"/>
      <c r="AH47" s="7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25">
      <c r="A48" s="15"/>
      <c r="B48" s="15"/>
      <c r="C48" s="15"/>
      <c r="D48" s="15"/>
      <c r="E48" s="15"/>
      <c r="F48" s="15"/>
      <c r="G48" s="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7"/>
      <c r="AH48" s="7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25">
      <c r="A49" s="15"/>
      <c r="B49" s="15"/>
      <c r="C49" s="15"/>
      <c r="D49" s="15"/>
      <c r="E49" s="15"/>
      <c r="F49" s="15"/>
      <c r="G49" s="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7"/>
      <c r="AH49" s="7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25">
      <c r="A50" s="15"/>
      <c r="B50" s="15"/>
      <c r="C50" s="15"/>
      <c r="D50" s="15"/>
      <c r="E50" s="15"/>
      <c r="F50" s="15"/>
      <c r="G50" s="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7"/>
      <c r="AH50" s="7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25">
      <c r="A51" s="15"/>
      <c r="B51" s="15"/>
      <c r="C51" s="15"/>
      <c r="D51" s="15"/>
      <c r="E51" s="15"/>
      <c r="F51" s="15"/>
      <c r="G51" s="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7"/>
      <c r="AH51" s="7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25">
      <c r="A52" s="15"/>
      <c r="B52" s="15"/>
      <c r="C52" s="15"/>
      <c r="D52" s="15"/>
      <c r="E52" s="15"/>
      <c r="F52" s="15"/>
      <c r="G52" s="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7"/>
      <c r="AH52" s="7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25">
      <c r="A53" s="15"/>
      <c r="B53" s="15"/>
      <c r="C53" s="15"/>
      <c r="D53" s="15"/>
      <c r="E53" s="15"/>
      <c r="F53" s="15"/>
      <c r="G53" s="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7"/>
      <c r="AH53" s="7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25">
      <c r="A54" s="15"/>
      <c r="B54" s="15"/>
      <c r="C54" s="15"/>
      <c r="D54" s="15"/>
      <c r="E54" s="15"/>
      <c r="F54" s="15"/>
      <c r="G54" s="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7"/>
      <c r="AH54" s="7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25">
      <c r="A55" s="15"/>
      <c r="B55" s="15"/>
      <c r="C55" s="15"/>
      <c r="D55" s="15"/>
      <c r="E55" s="15"/>
      <c r="F55" s="15"/>
      <c r="G55" s="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7"/>
      <c r="AH55" s="7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25">
      <c r="A56" s="15"/>
      <c r="B56" s="15"/>
      <c r="C56" s="15"/>
      <c r="D56" s="15"/>
      <c r="E56" s="15"/>
      <c r="F56" s="15"/>
      <c r="G56" s="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7"/>
      <c r="AH56" s="7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25">
      <c r="A57" s="15"/>
      <c r="B57" s="15"/>
      <c r="C57" s="15"/>
      <c r="D57" s="15"/>
      <c r="E57" s="15"/>
      <c r="F57" s="15"/>
      <c r="G57" s="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7"/>
      <c r="AH57" s="7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25">
      <c r="A58" s="15"/>
      <c r="B58" s="15"/>
      <c r="C58" s="15"/>
      <c r="D58" s="15"/>
      <c r="E58" s="15"/>
      <c r="F58" s="15"/>
      <c r="G58" s="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7"/>
      <c r="AH58" s="7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25">
      <c r="A59" s="15"/>
      <c r="B59" s="15"/>
      <c r="C59" s="15"/>
      <c r="D59" s="15"/>
      <c r="E59" s="15"/>
      <c r="F59" s="15"/>
      <c r="G59" s="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7"/>
      <c r="AH59" s="7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25">
      <c r="A60" s="15"/>
      <c r="B60" s="15"/>
      <c r="C60" s="15"/>
      <c r="D60" s="15"/>
      <c r="E60" s="15"/>
      <c r="F60" s="15"/>
      <c r="G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7"/>
      <c r="AH60" s="7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25">
      <c r="A61" s="15"/>
      <c r="B61" s="15"/>
      <c r="C61" s="15"/>
      <c r="D61" s="15"/>
      <c r="E61" s="15"/>
      <c r="F61" s="15"/>
      <c r="G61" s="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7"/>
      <c r="AH61" s="7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25">
      <c r="A62" s="15"/>
      <c r="B62" s="15"/>
      <c r="C62" s="15"/>
      <c r="D62" s="15"/>
      <c r="E62" s="15"/>
      <c r="F62" s="15"/>
      <c r="G62" s="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7"/>
      <c r="AH62" s="7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25">
      <c r="A63" s="15"/>
      <c r="B63" s="15"/>
      <c r="C63" s="15"/>
      <c r="D63" s="15"/>
      <c r="E63" s="15"/>
      <c r="F63" s="15"/>
      <c r="G63" s="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7"/>
      <c r="AH63" s="7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25">
      <c r="A64" s="15"/>
      <c r="B64" s="15"/>
      <c r="C64" s="15"/>
      <c r="D64" s="15"/>
      <c r="E64" s="15"/>
      <c r="F64" s="15"/>
      <c r="G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7"/>
      <c r="AH64" s="7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25">
      <c r="A65" s="15"/>
      <c r="B65" s="15"/>
      <c r="C65" s="15"/>
      <c r="D65" s="15"/>
      <c r="E65" s="15"/>
      <c r="F65" s="15"/>
      <c r="G65" s="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7"/>
      <c r="AH65" s="7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25">
      <c r="A66" s="15"/>
      <c r="B66" s="15"/>
      <c r="C66" s="15"/>
      <c r="D66" s="15"/>
      <c r="E66" s="15"/>
      <c r="F66" s="15"/>
      <c r="G66" s="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7"/>
      <c r="AH66" s="7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25">
      <c r="A67" s="15"/>
      <c r="B67" s="15"/>
      <c r="C67" s="15"/>
      <c r="D67" s="15"/>
      <c r="E67" s="15"/>
      <c r="F67" s="15"/>
      <c r="G67" s="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7"/>
      <c r="AH67" s="7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25">
      <c r="A68" s="15"/>
      <c r="B68" s="15"/>
      <c r="C68" s="15"/>
      <c r="D68" s="15"/>
      <c r="E68" s="15"/>
      <c r="F68" s="15"/>
      <c r="G68" s="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7"/>
      <c r="AH68" s="7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25">
      <c r="A69" s="15"/>
      <c r="B69" s="15"/>
      <c r="C69" s="15"/>
      <c r="D69" s="15"/>
      <c r="E69" s="15"/>
      <c r="F69" s="15"/>
      <c r="G69" s="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7"/>
      <c r="AH69" s="7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25">
      <c r="A70" s="15"/>
      <c r="B70" s="15"/>
      <c r="C70" s="15"/>
      <c r="D70" s="15"/>
      <c r="E70" s="15"/>
      <c r="F70" s="15"/>
      <c r="G70" s="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7"/>
      <c r="AH70" s="7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25">
      <c r="A71" s="15"/>
      <c r="B71" s="15"/>
      <c r="C71" s="15"/>
      <c r="D71" s="15"/>
      <c r="E71" s="15"/>
      <c r="F71" s="15"/>
      <c r="G71" s="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7"/>
      <c r="AH71" s="7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25">
      <c r="A72" s="15"/>
      <c r="B72" s="15"/>
      <c r="C72" s="15"/>
      <c r="D72" s="15"/>
      <c r="E72" s="15"/>
      <c r="F72" s="15"/>
      <c r="G72" s="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7"/>
      <c r="AH72" s="7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25">
      <c r="A73" s="15"/>
      <c r="B73" s="15"/>
      <c r="C73" s="15"/>
      <c r="D73" s="15"/>
      <c r="E73" s="15"/>
      <c r="F73" s="15"/>
      <c r="G73" s="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7"/>
      <c r="AH73" s="7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25">
      <c r="A74" s="15"/>
      <c r="B74" s="15"/>
      <c r="C74" s="15"/>
      <c r="D74" s="15"/>
      <c r="E74" s="15"/>
      <c r="F74" s="15"/>
      <c r="G74" s="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7"/>
      <c r="AH74" s="7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25">
      <c r="A75" s="15"/>
      <c r="B75" s="15"/>
      <c r="C75" s="15"/>
      <c r="D75" s="15"/>
      <c r="E75" s="15"/>
      <c r="F75" s="15"/>
      <c r="G75" s="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7"/>
      <c r="AH75" s="7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25">
      <c r="A76" s="15"/>
      <c r="B76" s="15"/>
      <c r="C76" s="15"/>
      <c r="D76" s="15"/>
      <c r="E76" s="15"/>
      <c r="F76" s="15"/>
      <c r="G76" s="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7"/>
      <c r="AH76" s="7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25">
      <c r="A77" s="15"/>
      <c r="B77" s="15"/>
      <c r="C77" s="15"/>
      <c r="D77" s="15"/>
      <c r="E77" s="15"/>
      <c r="F77" s="15"/>
      <c r="G77" s="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7"/>
      <c r="AH77" s="7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25">
      <c r="A78" s="15"/>
      <c r="B78" s="15"/>
      <c r="C78" s="15"/>
      <c r="D78" s="15"/>
      <c r="E78" s="15"/>
      <c r="F78" s="15"/>
      <c r="G78" s="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7"/>
      <c r="AH78" s="7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25">
      <c r="A79" s="15"/>
      <c r="B79" s="15"/>
      <c r="C79" s="15"/>
      <c r="D79" s="15"/>
      <c r="E79" s="15"/>
      <c r="F79" s="15"/>
      <c r="G79" s="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7"/>
      <c r="AH79" s="7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25">
      <c r="A80" s="15"/>
      <c r="B80" s="15"/>
      <c r="C80" s="15"/>
      <c r="D80" s="15"/>
      <c r="E80" s="15"/>
      <c r="F80" s="15"/>
      <c r="G80" s="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7"/>
      <c r="AH80" s="7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25">
      <c r="A81" s="15"/>
      <c r="B81" s="15"/>
      <c r="C81" s="15"/>
      <c r="D81" s="15"/>
      <c r="E81" s="15"/>
      <c r="F81" s="15"/>
      <c r="G81" s="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7"/>
      <c r="AH81" s="7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25">
      <c r="A82" s="15"/>
      <c r="B82" s="15"/>
      <c r="C82" s="15"/>
      <c r="D82" s="15"/>
      <c r="E82" s="15"/>
      <c r="F82" s="15"/>
      <c r="G82" s="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7"/>
      <c r="AH82" s="7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25">
      <c r="A83" s="15"/>
      <c r="B83" s="15"/>
      <c r="C83" s="15"/>
      <c r="D83" s="15"/>
      <c r="E83" s="15"/>
      <c r="F83" s="15"/>
      <c r="G83" s="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7"/>
      <c r="AH83" s="7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1:51" x14ac:dyDescent="0.25">
      <c r="A84" s="15"/>
      <c r="B84" s="15"/>
      <c r="C84" s="15"/>
      <c r="D84" s="15"/>
      <c r="E84" s="15"/>
      <c r="F84" s="15"/>
      <c r="G84" s="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7"/>
      <c r="AH84" s="7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1:51" x14ac:dyDescent="0.25">
      <c r="A85" s="15"/>
      <c r="B85" s="15"/>
      <c r="C85" s="15"/>
      <c r="D85" s="15"/>
      <c r="E85" s="15"/>
      <c r="F85" s="15"/>
      <c r="G85" s="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7"/>
      <c r="AH85" s="7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1:51" x14ac:dyDescent="0.25">
      <c r="A86" s="15"/>
      <c r="B86" s="15"/>
      <c r="C86" s="15"/>
      <c r="D86" s="15"/>
      <c r="E86" s="15"/>
      <c r="F86" s="15"/>
      <c r="G86" s="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7"/>
      <c r="AH86" s="7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1:51" x14ac:dyDescent="0.25">
      <c r="A87" s="15"/>
      <c r="B87" s="15"/>
      <c r="C87" s="15"/>
      <c r="D87" s="15"/>
      <c r="E87" s="15"/>
      <c r="F87" s="15"/>
      <c r="G87" s="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7"/>
      <c r="AH87" s="7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spans="1:51" x14ac:dyDescent="0.25">
      <c r="A88" s="15"/>
      <c r="B88" s="15"/>
      <c r="C88" s="15"/>
      <c r="D88" s="15"/>
      <c r="E88" s="15"/>
      <c r="F88" s="15"/>
      <c r="G88" s="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7"/>
      <c r="AH88" s="7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spans="1:51" x14ac:dyDescent="0.25">
      <c r="A89" s="15"/>
      <c r="B89" s="15"/>
      <c r="C89" s="15"/>
      <c r="D89" s="15"/>
      <c r="E89" s="15"/>
      <c r="F89" s="15"/>
      <c r="G89" s="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7"/>
      <c r="AH89" s="7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spans="1:51" x14ac:dyDescent="0.25">
      <c r="A90" s="15"/>
      <c r="B90" s="15"/>
      <c r="C90" s="15"/>
      <c r="D90" s="15"/>
      <c r="E90" s="15"/>
      <c r="F90" s="15"/>
      <c r="G90" s="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7"/>
      <c r="AH90" s="7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spans="1:51" x14ac:dyDescent="0.25">
      <c r="A91" s="15"/>
      <c r="B91" s="15"/>
      <c r="C91" s="15"/>
      <c r="D91" s="15"/>
      <c r="E91" s="15"/>
      <c r="F91" s="15"/>
      <c r="G91" s="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7"/>
      <c r="AH91" s="7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spans="1:51" x14ac:dyDescent="0.25">
      <c r="A92" s="15"/>
      <c r="B92" s="15"/>
      <c r="C92" s="15"/>
      <c r="D92" s="15"/>
      <c r="E92" s="15"/>
      <c r="F92" s="15"/>
      <c r="G92" s="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7"/>
      <c r="AH92" s="7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spans="1:51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7"/>
      <c r="AH93" s="7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spans="1:51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7"/>
      <c r="AH94" s="7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spans="1:51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7"/>
      <c r="AH95" s="7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spans="1:51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7"/>
      <c r="AH96" s="7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spans="1:51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7"/>
      <c r="AH97" s="7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spans="1:51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7"/>
      <c r="AH98" s="7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spans="1:51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7"/>
      <c r="AH99" s="7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spans="1:51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7"/>
      <c r="AH100" s="7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spans="1:51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7"/>
      <c r="AH101" s="7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spans="1:51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7"/>
      <c r="AH102" s="7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spans="1:51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7"/>
      <c r="AH103" s="7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spans="1:51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7"/>
      <c r="AH104" s="7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spans="1:51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7"/>
      <c r="AH105" s="7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spans="1:51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7"/>
      <c r="AH106" s="7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spans="1:51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7"/>
      <c r="AH107" s="7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spans="1:51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7"/>
      <c r="AH108" s="7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spans="1:51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7"/>
      <c r="AH109" s="7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spans="1:51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7"/>
      <c r="AH110" s="7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spans="1:51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7"/>
      <c r="AH111" s="7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spans="1:51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7"/>
      <c r="AH112" s="7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spans="1:51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7"/>
      <c r="AH113" s="7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spans="1:51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7"/>
      <c r="AH114" s="7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spans="1:51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7"/>
      <c r="AH115" s="7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spans="1:51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7"/>
      <c r="AH116" s="7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spans="1:51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7"/>
      <c r="AH117" s="7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 spans="1:51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7"/>
      <c r="AH118" s="7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 spans="1:51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7"/>
      <c r="AH119" s="7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 spans="1:51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7"/>
      <c r="AH120" s="7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 spans="1:51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7"/>
      <c r="AH121" s="7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 spans="1:51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7"/>
      <c r="AH122" s="7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 spans="1:51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7"/>
      <c r="AH123" s="7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 spans="1:51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7"/>
      <c r="AH124" s="7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 spans="1:51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7"/>
      <c r="AH125" s="7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 spans="1:51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7"/>
      <c r="AH126" s="7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 spans="1:51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7"/>
      <c r="AH127" s="7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 spans="1:51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7"/>
      <c r="AH128" s="7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 spans="1:51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7"/>
      <c r="AH129" s="7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7"/>
      <c r="AH130" s="7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 spans="1:51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7"/>
      <c r="AH131" s="7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 spans="1:51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7"/>
      <c r="AH132" s="7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 spans="1:51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7"/>
      <c r="AH133" s="7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spans="1:51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7"/>
      <c r="AH134" s="7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spans="1:51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7"/>
      <c r="AH135" s="7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spans="1:51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7"/>
      <c r="AH136" s="7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spans="1:51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7"/>
      <c r="AH137" s="7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spans="1:51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7"/>
      <c r="AH138" s="7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spans="1:51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7"/>
      <c r="AH139" s="7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spans="1:51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7"/>
      <c r="AH140" s="7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spans="1:51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7"/>
      <c r="AH141" s="7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spans="1:51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7"/>
      <c r="AH142" s="7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spans="1:51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7"/>
      <c r="AH143" s="7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spans="1:51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7"/>
      <c r="AH144" s="7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spans="1:51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7"/>
      <c r="AH145" s="7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spans="1:51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7"/>
      <c r="AH146" s="7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spans="1:51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7"/>
      <c r="AH147" s="7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spans="1:51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7"/>
      <c r="AH148" s="7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spans="1:51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7"/>
      <c r="AH149" s="7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spans="1:51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7"/>
      <c r="AH150" s="7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spans="1:51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7"/>
      <c r="AH151" s="7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spans="1:51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7"/>
      <c r="AH152" s="7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spans="1:51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7"/>
      <c r="AH153" s="7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spans="1:51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7"/>
      <c r="AH154" s="7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spans="1:51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7"/>
      <c r="AH155" s="7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spans="1:51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7"/>
      <c r="AH156" s="7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spans="1:51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7"/>
      <c r="AH157" s="7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51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7"/>
      <c r="AH158" s="7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51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7"/>
      <c r="AH159" s="7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51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7"/>
      <c r="AH160" s="7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51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7"/>
      <c r="AH161" s="7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spans="1:51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7"/>
      <c r="AH162" s="7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spans="1:51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7"/>
      <c r="AH163" s="7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spans="1:51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7"/>
      <c r="AH164" s="7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spans="1:51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7"/>
      <c r="AH165" s="7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spans="1:51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7"/>
      <c r="AH166" s="7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spans="1:51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7"/>
      <c r="AH167" s="7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spans="1:51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7"/>
      <c r="AH168" s="7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spans="1:51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7"/>
      <c r="AH169" s="7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spans="1:51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7"/>
      <c r="AH170" s="7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spans="1:51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7"/>
      <c r="AH171" s="7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spans="1:51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7"/>
      <c r="AH172" s="7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spans="1:51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7"/>
      <c r="AH173" s="7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spans="1:51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7"/>
      <c r="AH174" s="7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spans="1:51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7"/>
      <c r="AH175" s="7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spans="1:51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7"/>
      <c r="AH176" s="7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spans="1:51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7"/>
      <c r="AH177" s="7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spans="1:51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7"/>
      <c r="AH178" s="7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spans="1:51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7"/>
      <c r="AH179" s="7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spans="1:51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7"/>
      <c r="AH180" s="7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spans="1:51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7"/>
      <c r="AH181" s="7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spans="1:51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7"/>
      <c r="AH182" s="7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51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7"/>
      <c r="AH183" s="7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7"/>
      <c r="AH184" s="7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51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7"/>
      <c r="AH185" s="7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51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7"/>
      <c r="AH186" s="7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51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7"/>
      <c r="AH187" s="7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spans="1:51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7"/>
      <c r="AH188" s="7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spans="1:51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7"/>
      <c r="AH189" s="7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spans="1:51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7"/>
      <c r="AH190" s="7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spans="1:51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7"/>
      <c r="AH191" s="7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spans="1:51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7"/>
      <c r="AH192" s="7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spans="1:51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7"/>
      <c r="AH193" s="7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spans="1:51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7"/>
      <c r="AH194" s="7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spans="1:51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7"/>
      <c r="AH195" s="7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spans="1:51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7"/>
      <c r="AH196" s="7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spans="1:51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7"/>
      <c r="AH197" s="7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spans="1:51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7"/>
      <c r="AH198" s="7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spans="1:51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7"/>
      <c r="AH199" s="7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spans="1:51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7"/>
      <c r="AH200" s="7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spans="1:51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7"/>
      <c r="AH201" s="7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spans="1:51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7"/>
      <c r="AH202" s="7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spans="1:51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7"/>
      <c r="AH203" s="7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spans="1:51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7"/>
      <c r="AH204" s="7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spans="1:51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7"/>
      <c r="AH205" s="7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spans="1:51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7"/>
      <c r="AH206" s="7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spans="1:51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7"/>
      <c r="AH207" s="7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spans="1:51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7"/>
      <c r="AH208" s="7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spans="1:51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7"/>
      <c r="AH209" s="7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spans="1:51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7"/>
      <c r="AH210" s="7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spans="1:51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7"/>
      <c r="AH211" s="7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spans="1:51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7"/>
      <c r="AH212" s="7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spans="1:51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7"/>
      <c r="AH213" s="7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spans="1:51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7"/>
      <c r="AH214" s="7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spans="1:51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7"/>
      <c r="AH215" s="7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spans="1:51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7"/>
      <c r="AH216" s="7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spans="1:51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7"/>
      <c r="AH217" s="7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spans="1:51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7"/>
      <c r="AH218" s="7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spans="1:51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7"/>
      <c r="AH219" s="7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spans="1:51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7"/>
      <c r="AH220" s="7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spans="1:51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7"/>
      <c r="AH221" s="7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spans="1:51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7"/>
      <c r="AH222" s="7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spans="1:51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7"/>
      <c r="AH223" s="7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spans="1:51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7"/>
      <c r="AH224" s="7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spans="1:51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7"/>
      <c r="AH225" s="7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spans="1:51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7"/>
      <c r="AH226" s="7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spans="1:51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7"/>
      <c r="AH227" s="7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spans="1:51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7"/>
      <c r="AH228" s="7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spans="1:51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7"/>
      <c r="AH229" s="7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spans="1:51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7"/>
      <c r="AH230" s="7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spans="1:51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7"/>
      <c r="AH231" s="7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spans="1:51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7"/>
      <c r="AH232" s="7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spans="1:51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7"/>
      <c r="AH233" s="7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spans="1:51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7"/>
      <c r="AH234" s="7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spans="1:51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7"/>
      <c r="AH235" s="7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spans="1:51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7"/>
      <c r="AH236" s="7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spans="1:51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7"/>
      <c r="AH237" s="7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spans="1:51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7"/>
      <c r="AH238" s="7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spans="1:51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7"/>
      <c r="AH239" s="7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spans="1:51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7"/>
      <c r="AH240" s="7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spans="1:51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7"/>
      <c r="AH241" s="7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spans="1:51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7"/>
      <c r="AH242" s="7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spans="1:51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7"/>
      <c r="AH243" s="7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spans="1:51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7"/>
      <c r="AH244" s="7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spans="1:51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7"/>
      <c r="AH245" s="7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spans="1:51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7"/>
      <c r="AH246" s="7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spans="1:51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7"/>
      <c r="AH247" s="7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spans="1:51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7"/>
      <c r="AH248" s="7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spans="1:51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7"/>
      <c r="AH249" s="7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spans="1:51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7"/>
      <c r="AH250" s="7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spans="1:51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7"/>
      <c r="AH251" s="7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spans="1:51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7"/>
      <c r="AH252" s="7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spans="1:51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7"/>
      <c r="AH253" s="7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spans="1:51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7"/>
      <c r="AH254" s="7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spans="1:51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7"/>
      <c r="AH255" s="7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spans="1:51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7"/>
      <c r="AH256" s="7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spans="1:51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7"/>
      <c r="AH257" s="7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spans="1:51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7"/>
      <c r="AH258" s="7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spans="1:51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7"/>
      <c r="AH259" s="7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spans="1:51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7"/>
      <c r="AH260" s="7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spans="1:51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7"/>
      <c r="AH261" s="7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spans="1:51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7"/>
      <c r="AH262" s="7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spans="1:51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7"/>
      <c r="AH263" s="7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spans="1:51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7"/>
      <c r="AH264" s="7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spans="1:51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7"/>
      <c r="AH265" s="7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spans="1:51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7"/>
      <c r="AH266" s="7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spans="1:51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7"/>
      <c r="AH267" s="7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spans="1:51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7"/>
      <c r="AH268" s="7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spans="1:51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7"/>
      <c r="AH269" s="7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spans="1:51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7"/>
      <c r="AH270" s="7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spans="1:51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7"/>
      <c r="AH271" s="7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spans="1:51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7"/>
      <c r="AH272" s="7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spans="1:51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7"/>
      <c r="AH273" s="7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spans="1:51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7"/>
      <c r="AH274" s="7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spans="1:51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7"/>
      <c r="AH275" s="7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spans="1:51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7"/>
      <c r="AH276" s="7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spans="1:51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7"/>
      <c r="AH277" s="7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spans="1:51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7"/>
      <c r="AH278" s="7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spans="1:51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7"/>
      <c r="AH279" s="7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spans="1:51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7"/>
      <c r="AH280" s="7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spans="1:51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7"/>
      <c r="AH281" s="7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spans="1:51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7"/>
      <c r="AH282" s="7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spans="1:51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7"/>
      <c r="AH283" s="7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spans="1:51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7"/>
      <c r="AH284" s="7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spans="1:51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7"/>
      <c r="AH285" s="7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spans="1:51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7"/>
      <c r="AH286" s="7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spans="1:51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7"/>
      <c r="AH287" s="7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spans="1:51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7"/>
      <c r="AH288" s="7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spans="1:51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7"/>
      <c r="AH289" s="7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spans="1:51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7"/>
      <c r="AH290" s="7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spans="1:51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7"/>
      <c r="AH291" s="7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spans="1:51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7"/>
      <c r="AH292" s="7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spans="1:51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7"/>
      <c r="AH293" s="7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spans="1:51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7"/>
      <c r="AH294" s="7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spans="1:51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7"/>
      <c r="AH295" s="7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spans="1:51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7"/>
      <c r="AH296" s="7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spans="1:51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7"/>
      <c r="AH297" s="7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spans="1:51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7"/>
      <c r="AH298" s="7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spans="1:51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7"/>
      <c r="AH299" s="7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spans="1:51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7"/>
      <c r="AH300" s="7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spans="1:51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7"/>
      <c r="AH301" s="7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spans="1:51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7"/>
      <c r="AH302" s="7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spans="1:51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7"/>
      <c r="AH303" s="7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spans="1:51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7"/>
      <c r="AH304" s="7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spans="1:51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7"/>
      <c r="AH305" s="7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spans="1:51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7"/>
      <c r="AH306" s="7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spans="1:51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7"/>
      <c r="AH307" s="7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spans="1:51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7"/>
      <c r="AH308" s="7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spans="1:51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7"/>
      <c r="AH309" s="7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spans="1:51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7"/>
      <c r="AH310" s="7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spans="1:51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7"/>
      <c r="AH311" s="7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spans="1:51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7"/>
      <c r="AH312" s="7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spans="1:51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7"/>
      <c r="AH313" s="7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spans="1:51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7"/>
      <c r="AH314" s="7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spans="1:51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7"/>
      <c r="AH315" s="7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spans="1:51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7"/>
      <c r="AH316" s="7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spans="1:51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7"/>
      <c r="AH317" s="7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spans="1:51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7"/>
      <c r="AH318" s="7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spans="1:51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7"/>
      <c r="AH319" s="7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spans="1:51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7"/>
      <c r="AH320" s="7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spans="1:51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7"/>
      <c r="AH321" s="7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spans="1:51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7"/>
      <c r="AH322" s="7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spans="1:51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7"/>
      <c r="AH323" s="7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spans="1:51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7"/>
      <c r="AH324" s="7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spans="1:51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7"/>
      <c r="AH325" s="7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spans="1:51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7"/>
      <c r="AH326" s="7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spans="1:51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7"/>
      <c r="AH327" s="7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spans="1:51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7"/>
      <c r="AH328" s="7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spans="1:51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7"/>
      <c r="AH329" s="7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spans="1:51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7"/>
      <c r="AH330" s="7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spans="1:51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7"/>
      <c r="AH331" s="7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spans="1:51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7"/>
      <c r="AH332" s="7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spans="1:51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7"/>
      <c r="AH333" s="7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spans="1:51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7"/>
      <c r="AH334" s="7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spans="1:51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7"/>
      <c r="AH335" s="7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spans="1:51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7"/>
      <c r="AH336" s="7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spans="1:51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7"/>
      <c r="AH337" s="7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spans="1:51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7"/>
      <c r="AH338" s="7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spans="1:51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7"/>
      <c r="AH339" s="7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spans="1:51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7"/>
      <c r="AH340" s="7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spans="1:51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7"/>
      <c r="AH341" s="7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spans="1:51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7"/>
      <c r="AH342" s="7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spans="1:51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7"/>
      <c r="AH343" s="7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spans="1:51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7"/>
      <c r="AH344" s="7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spans="1:51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7"/>
      <c r="AH345" s="7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spans="1:51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7"/>
      <c r="AH346" s="7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spans="1:51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7"/>
      <c r="AH347" s="7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spans="1:51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7"/>
      <c r="AH348" s="7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spans="1:51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7"/>
      <c r="AH349" s="7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spans="1:51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7"/>
      <c r="AH350" s="7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spans="1:51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7"/>
      <c r="AH351" s="7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spans="1:51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7"/>
      <c r="AH352" s="7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spans="1:51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7"/>
      <c r="AH353" s="7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spans="1:51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7"/>
      <c r="AH354" s="7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spans="1:51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7"/>
      <c r="AH355" s="7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spans="1:51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7"/>
      <c r="AH356" s="7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spans="1:51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7"/>
      <c r="AH357" s="7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spans="1:51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7"/>
      <c r="AH358" s="7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spans="1:51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7"/>
      <c r="AH359" s="7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spans="1:51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7"/>
      <c r="AH360" s="7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spans="1:51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7"/>
      <c r="AH361" s="7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spans="1:51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7"/>
      <c r="AH362" s="7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spans="1:51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7"/>
      <c r="AH363" s="7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spans="1:51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7"/>
      <c r="AH364" s="7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spans="1:51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7"/>
      <c r="AH365" s="7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spans="1:51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7"/>
      <c r="AH366" s="7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spans="1:51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7"/>
      <c r="AH367" s="7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spans="1:51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7"/>
      <c r="AH368" s="7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spans="1:51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7"/>
      <c r="AH369" s="7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spans="1:51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7"/>
      <c r="AH370" s="7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spans="1:51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7"/>
      <c r="AH371" s="7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spans="1:51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7"/>
      <c r="AH372" s="7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spans="1:51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7"/>
      <c r="AH373" s="7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spans="1:51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7"/>
      <c r="AH374" s="7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spans="1:51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7"/>
      <c r="AH375" s="7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spans="1:51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7"/>
      <c r="AH376" s="7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spans="1:51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7"/>
      <c r="AH377" s="7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spans="1:51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7"/>
      <c r="AH378" s="7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spans="1:51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7"/>
      <c r="AH379" s="7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spans="1:51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7"/>
      <c r="AH380" s="7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spans="1:51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7"/>
      <c r="AH381" s="7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spans="1:51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7"/>
      <c r="AH382" s="7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spans="1:51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7"/>
      <c r="AH383" s="7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spans="1:51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7"/>
      <c r="AH384" s="7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spans="1:51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7"/>
      <c r="AH385" s="7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spans="1:51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7"/>
      <c r="AH386" s="7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spans="1:51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7"/>
      <c r="AH387" s="7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spans="1:51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7"/>
      <c r="AH388" s="7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spans="1:51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7"/>
      <c r="AH389" s="7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spans="1:51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7"/>
      <c r="AH390" s="7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spans="1:51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7"/>
      <c r="AH391" s="7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spans="1:51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7"/>
      <c r="AH392" s="7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spans="1:51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7"/>
      <c r="AH393" s="7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spans="1:51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7"/>
      <c r="AH394" s="7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spans="1:51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7"/>
      <c r="AH395" s="7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spans="1:51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7"/>
      <c r="AH396" s="7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spans="1:51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7"/>
      <c r="AH397" s="7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spans="1:51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7"/>
      <c r="AH398" s="7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spans="1:51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7"/>
      <c r="AH399" s="7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spans="1:51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7"/>
      <c r="AH400" s="7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spans="1:51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7"/>
      <c r="AH401" s="7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spans="1:51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7"/>
      <c r="AH402" s="7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spans="1:51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7"/>
      <c r="AH403" s="7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spans="1:51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7"/>
      <c r="AH404" s="7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spans="1:51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7"/>
      <c r="AH405" s="7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spans="1:51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7"/>
      <c r="AH406" s="7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spans="1:51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7"/>
      <c r="AH407" s="7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spans="1:51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7"/>
      <c r="AH408" s="7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spans="1:51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7"/>
      <c r="AH409" s="7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spans="1:51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7"/>
      <c r="AH410" s="7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spans="1:51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7"/>
      <c r="AH411" s="7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spans="1:51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7"/>
      <c r="AH412" s="7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spans="1:51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7"/>
      <c r="AH413" s="7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spans="1:51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7"/>
      <c r="AH414" s="7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spans="1:51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7"/>
      <c r="AH415" s="7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spans="1:51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7"/>
      <c r="AH416" s="7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spans="1:51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7"/>
      <c r="AH417" s="7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spans="1:51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7"/>
      <c r="AH418" s="7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spans="1:51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7"/>
      <c r="AH419" s="7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spans="1:51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7"/>
      <c r="AH420" s="7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spans="1:51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7"/>
      <c r="AH421" s="7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spans="1:51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7"/>
      <c r="AH422" s="7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spans="1:51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7"/>
      <c r="AH423" s="7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spans="1:51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7"/>
      <c r="AH424" s="7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spans="1:51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7"/>
      <c r="AH425" s="7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spans="1:51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7"/>
      <c r="AH426" s="7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spans="1:51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7"/>
      <c r="AH427" s="7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spans="1:51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7"/>
      <c r="AH428" s="7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spans="1:51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7"/>
      <c r="AH429" s="7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spans="1:51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7"/>
      <c r="AH430" s="7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spans="1:51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7"/>
      <c r="AH431" s="7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spans="1:51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7"/>
      <c r="AH432" s="7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spans="1:51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7"/>
      <c r="AH433" s="7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spans="1:51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7"/>
      <c r="AH434" s="7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spans="1:51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7"/>
      <c r="AH435" s="7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spans="1:51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7"/>
      <c r="AH436" s="7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spans="1:51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7"/>
      <c r="AH437" s="7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spans="1:51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7"/>
      <c r="AH438" s="7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spans="1:51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7"/>
      <c r="AH439" s="7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spans="1:51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7"/>
      <c r="AH440" s="7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spans="1:51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7"/>
      <c r="AH441" s="7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spans="1:51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7"/>
      <c r="AH442" s="7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spans="1:51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7"/>
      <c r="AH443" s="7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spans="1:51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7"/>
      <c r="AH444" s="7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spans="1:51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7"/>
      <c r="AH445" s="7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spans="1:51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7"/>
      <c r="AH446" s="7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spans="1:51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7"/>
      <c r="AH447" s="7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spans="1:51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7"/>
      <c r="AH448" s="7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spans="1:51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7"/>
      <c r="AH449" s="7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spans="1:51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7"/>
      <c r="AH450" s="7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spans="1:51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7"/>
      <c r="AH451" s="7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spans="1:51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7"/>
      <c r="AH452" s="7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spans="1:51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7"/>
      <c r="AH453" s="7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spans="1:51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7"/>
      <c r="AH454" s="7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spans="1:51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7"/>
      <c r="AH455" s="7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spans="1:51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7"/>
      <c r="AH456" s="7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spans="1:51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7"/>
      <c r="AH457" s="7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spans="1:51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7"/>
      <c r="AH458" s="7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spans="1:51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7"/>
      <c r="AH459" s="7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spans="1:51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7"/>
      <c r="AH460" s="7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spans="1:51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7"/>
      <c r="AH461" s="7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spans="1:51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7"/>
      <c r="AH462" s="7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spans="1:51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7"/>
      <c r="AH463" s="7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spans="1:51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7"/>
      <c r="AH464" s="7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spans="1:51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7"/>
      <c r="AH465" s="7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spans="1:51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7"/>
      <c r="AH466" s="7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spans="1:51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7"/>
      <c r="AH467" s="7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spans="1:51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7"/>
      <c r="AH468" s="7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spans="1:51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7"/>
      <c r="AH469" s="7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spans="1:51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7"/>
      <c r="AH470" s="7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spans="1:51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7"/>
      <c r="AH471" s="7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spans="1:51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7"/>
      <c r="AH472" s="7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spans="1:51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7"/>
      <c r="AH473" s="7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spans="1:51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7"/>
      <c r="AH474" s="7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spans="1:51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7"/>
      <c r="AH475" s="7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spans="1:51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7"/>
      <c r="AH476" s="7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spans="1:51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7"/>
      <c r="AH477" s="7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spans="1:51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7"/>
      <c r="AH478" s="7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spans="1:51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7"/>
      <c r="AH479" s="7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spans="1:51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7"/>
      <c r="AH480" s="7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spans="1:51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7"/>
      <c r="AH481" s="7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spans="1:51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7"/>
      <c r="AH482" s="7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spans="1:51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7"/>
      <c r="AH483" s="7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spans="1:51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7"/>
      <c r="AH484" s="7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spans="1:51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7"/>
      <c r="AH485" s="7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spans="1:51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7"/>
      <c r="AH486" s="7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spans="1:51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7"/>
      <c r="AH487" s="7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spans="1:51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7"/>
      <c r="AH488" s="7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spans="1:51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7"/>
      <c r="AH489" s="7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spans="1:51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7"/>
      <c r="AH490" s="7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spans="1:51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7"/>
      <c r="AH491" s="7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spans="1:51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7"/>
      <c r="AH492" s="7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spans="1:51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7"/>
      <c r="AH493" s="7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spans="1:51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7"/>
      <c r="AH494" s="7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spans="1:51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7"/>
      <c r="AH495" s="7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spans="1:51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7"/>
      <c r="AH496" s="7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spans="18:35" x14ac:dyDescent="0.25">
      <c r="R497" s="15"/>
      <c r="AG497" s="7"/>
      <c r="AH497" s="7"/>
      <c r="AI497" s="15"/>
    </row>
    <row r="498" spans="18:35" x14ac:dyDescent="0.25">
      <c r="R498" s="15"/>
      <c r="AG498" s="7"/>
      <c r="AH498" s="7"/>
      <c r="AI498" s="15"/>
    </row>
    <row r="499" spans="18:35" x14ac:dyDescent="0.25">
      <c r="R499" s="15"/>
      <c r="AG499" s="7"/>
      <c r="AH499" s="7"/>
      <c r="AI499" s="15"/>
    </row>
    <row r="500" spans="18:35" x14ac:dyDescent="0.25">
      <c r="AG500" s="7"/>
      <c r="AH500" s="7"/>
      <c r="AI500" s="15"/>
    </row>
  </sheetData>
  <autoFilter ref="A3:AF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2025-11-13T12:01:49Z</dcterms:created>
  <dcterms:modified xsi:type="dcterms:W3CDTF">2025-11-14T13:58:22Z</dcterms:modified>
</cp:coreProperties>
</file>