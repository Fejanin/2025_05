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"/>
    </mc:Choice>
  </mc:AlternateContent>
  <xr:revisionPtr revIDLastSave="0" documentId="13_ncr:1_{C8F594A4-5DBB-4F4B-9940-955365DABB5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Лист1!$A$10:$M$174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" l="1"/>
  <c r="H23" i="1"/>
  <c r="H48" i="1"/>
  <c r="H39" i="1"/>
  <c r="H22" i="1"/>
  <c r="H141" i="1" l="1"/>
  <c r="H11" i="1"/>
  <c r="H148" i="1"/>
  <c r="H168" i="1" l="1"/>
  <c r="H12" i="1"/>
  <c r="H13" i="1"/>
  <c r="H14" i="1"/>
  <c r="H15" i="1"/>
  <c r="H16" i="1"/>
  <c r="H17" i="1"/>
  <c r="H18" i="1"/>
  <c r="H19" i="1"/>
  <c r="H20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9" i="1"/>
  <c r="H170" i="1"/>
  <c r="H171" i="1"/>
  <c r="H172" i="1"/>
  <c r="H173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</calcChain>
</file>

<file path=xl/sharedStrings.xml><?xml version="1.0" encoding="utf-8"?>
<sst xmlns="http://schemas.openxmlformats.org/spreadsheetml/2006/main" count="688" uniqueCount="200">
  <si>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</si>
  <si>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</si>
  <si>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</si>
  <si>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</si>
  <si>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</si>
  <si>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</si>
  <si>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</si>
  <si>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</si>
  <si>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</si>
  <si>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</si>
  <si>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</si>
  <si>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</si>
  <si>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</si>
  <si>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</si>
  <si>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</si>
  <si>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</si>
  <si>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</si>
  <si>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</si>
  <si>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</si>
  <si>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</si>
  <si>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</si>
  <si>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</si>
  <si>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</si>
  <si>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</si>
  <si>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</si>
  <si>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</si>
  <si>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</si>
  <si>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</si>
  <si>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</si>
  <si>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</si>
  <si>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</si>
  <si>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</si>
  <si>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</si>
  <si>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</si>
  <si>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ВК СЕРВЕЛАТ МУСКАТНЫЙ ФИБ ВУ 0.8КГ (ТМ ЧЕРКИЗОВО) K3.2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</si>
  <si>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</si>
  <si>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</si>
  <si>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</si>
  <si>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>КОПЧ КАРБОНАД ФЕРМЕРСКИЙ КК ВУ 1.5КГ (ТМ ЧЕРКИЗОВО) K4.5</t>
  </si>
  <si>
    <t>КОПЧ КАРБОНАД ФЕРМЕРСКИЙ МК ВУ 0.4КГ (ТМ ЧЕРКИЗОВО) K2.4</t>
  </si>
  <si>
    <t xml:space="preserve">шт </t>
  </si>
  <si>
    <t>ПК ЧЕСНОЧНАЯ ФИБ ВУ СРЕЗ ШТ 0.3КГ (ТМ ЧЕРКИЗОВО) K1.8</t>
  </si>
  <si>
    <t>ПК ФЕРМЕРСКАЯ НО ВУ ШТ 0.35КГ К1,75</t>
  </si>
  <si>
    <t>СВ ФУЭТ ЭКСТРА ФИБ ШТ 0.15КГ (ТМ ЧЕРКИЗОВО ПРЕМИУМ) K0.9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</si>
  <si>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</si>
  <si>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</si>
  <si>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</si>
  <si>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</si>
  <si>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</si>
  <si>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</si>
  <si>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БРАУНШВЕЙГСКАЯ ГОСТ НАР ФИБ ЗА ШТ 0.085КГ (ТМ ЧЕРКИЗОВО ПРЕМИУМ) K1.02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</si>
  <si>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</si>
  <si>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</si>
  <si>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ПРЕОБРАЖЕНСКАЯ ФИБ ВУ 0.6КГ (ТМ ЧЕРКИЗОВО) K2.4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</si>
  <si>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</si>
  <si>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</si>
  <si>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</si>
  <si>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</si>
  <si>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</si>
  <si>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</si>
  <si>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</si>
  <si>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</si>
  <si>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</si>
  <si>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</si>
  <si>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САЛЯМИНИ ФИБ ВУ ШТ 0.18КГ (ТМ ЧЕРКИЗОВО) K1.08</t>
  </si>
  <si>
    <t>СК СЕРВЕЛЕТТИ ПРЕССНАР БО ЗА ШТ 0.085КГ (ТМ ЧЕРКИЗОВО ПРЕМИУМ) K1.02</t>
  </si>
  <si>
    <t>СК СЕРВЕЛЕТТИ ПРЕСС СРЕЗ БО ВУ ШТ 0.25КГ (ТМ ЧЕРКИЗОВО ПРЕМИУМ) K1.5</t>
  </si>
  <si>
    <t>СК СЕРВЕЛЕТТИ ПРЕСС БО ВУ 0.5КГ (ТМ ЧЕРКИЗОВО ПРЕМИУМ) K3</t>
  </si>
  <si>
    <t>СОС АППЕТИТНЫЕ КЛАССИЧЕСКИЕ БО ЗА ПАК 1.25КГ (ТМ МГ) K5</t>
  </si>
  <si>
    <t>СОС АППЕТИТНЫЕ КЛАССИЧЕСКИЕ ПМО ЗА ПАК 1.5КГ (ТМ МГ) K6</t>
  </si>
  <si>
    <t>СОС ВЕНСКИЕ БО ЗА ЛОТ ШТ 0.45КГ (ТМ ЧЕРКИЗОВО) K3.6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</si>
  <si>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</si>
  <si>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</si>
  <si>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</si>
  <si>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</si>
  <si>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</si>
  <si>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ЦО ЗА ПАК 1.5КГ (ТМ ЧЕРКИЗОВО) K6</t>
  </si>
  <si>
    <t>СОС МОЛОЧНЫЕ ПО-ЧЕРКИЗОВСКИ ПМО ЗА ЛОТ ШТ 0.45КГ (ТМ ЧЕРКИЗОВО) K1.8</t>
  </si>
  <si>
    <t>СОС С ИНДЕЙКОЙ ЦО ВУ ШТ 0.27КГ (ТМ ИВ) K2.16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</si>
  <si>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</si>
  <si>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</si>
  <si>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СЛИВОЧНЫЕ ПО-ЧЕРКИЗОВСКИ ЦО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</si>
  <si>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</si>
  <si>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</si>
  <si>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ВАР ДОКТОРСКАЯ ГОСТ НАР ЗА TF ШТ 0.2КГ (ТМ КАМ) K1.6</t>
  </si>
  <si>
    <t>ВЕТЧ ХАМОН КОСИДО КК ПЛМ ВУ ПАКВ 2.5КГ (ТМ CAS) K2.5</t>
  </si>
  <si>
    <t>СВ ЛОНГАНИЗА НАР БО ЗА TF ШТ 0.09КГ (ТМ CAS) K0.9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</si>
  <si>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</si>
  <si>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</si>
  <si>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</si>
  <si>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</si>
  <si>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</si>
  <si>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</si>
  <si>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</si>
  <si>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</si>
  <si>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</si>
  <si>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СВ ЧОРИЗО БО ПЕРГ ПРГ 1КГ (ТМ CAS) K3</t>
  </si>
  <si>
    <t>ХАМОН СЕРРАНО КК ВУ ПАКВ 1*7КГ (ТМ CAS) K7</t>
  </si>
  <si>
    <t>СОС КОКТЕЙЛЬНЫЕ ИЗ СВИНИНЫ ЗАМ ВУ TF ШТ 1.2КГ (ТМ ПИТ) K4.8</t>
  </si>
  <si>
    <t>СК МЯСНОЙ СНЕК КЛАССИЧЕСКИЙ ЗА ШТ 0.07КГ (ТМ ЧЕРКИЗОВО ПРЕМИУМ) K0.7</t>
  </si>
  <si>
    <t>СОС МОЛОЧНЫЕ ПО-ЧЕРКИЗОВСКИ ЦО ПАСТ ШТ 0.25КГ (ТМ ЧЕРКИЗОВО) K2</t>
  </si>
  <si>
    <t>СОС ПОДКОПЧЕННЫЕ ПМО ЗА ЛОТ ШТ 0.4КГ (ТМ ЧЕРКИЗОВО) K1.6</t>
  </si>
  <si>
    <t>СОС МИНИ ЗА ЛОТ ШТ 0.336КГ К2,016</t>
  </si>
  <si>
    <t>СВ ХАМОН СЕРРАН CAS ЗА НАР 0,1КГ К0,6</t>
  </si>
  <si>
    <t>СВ ЧОРИЗО НАР ЗА TF ШТ 0.07КГ (ТМ CAS) K0.7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</si>
  <si>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</si>
  <si>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</si>
  <si>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</si>
  <si>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</si>
  <si>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</si>
  <si>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КОПЧ ГРУДИНКА ОСОБАЯ МК ВУ 0.35КГ (ТМ ЧЕРКИЗОВО) K2.1</t>
  </si>
  <si>
    <t>ВК ВЕТЧИННО-РУБЛЕНАЯ ФИБ ВУ ШТ 0.4КГ (ТМ ЧЕРКИЗОВО) K4.8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</si>
  <si>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</si>
  <si>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</si>
  <si>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ВУ ШТ 0.45КГ (ТМ ЧЕРКИЗОВО) K4.5</t>
  </si>
  <si>
    <t>ВЕТЧ ДОМАШНЯЯ ЦО ЗА 0.9КГ (ТМ ЧЕРКИЗОВО) K9</t>
  </si>
  <si>
    <t>ВЕТЧ ГУБЕРНСКАЯ В СЕТКЕ МБ НМО ШТ 0.9КГ (ТМ МГ) K9</t>
  </si>
  <si>
    <t>СОС МЯСНАЯ КОЛЛЕКЦИЯ ЗА ЛОТ ШТ 0.336КГ (ТМ ЧЕРКИЗОВО ПРЕМИУМ) K2.016</t>
  </si>
  <si>
    <t>ВК СЕРВЕЛАТ ФИНСКИЙ НАР ФИБ ЗА ШТ 0.15КГ (ТМ ЧЕРКИЗОВО) K0.9</t>
  </si>
  <si>
    <t>ВЕТЧ ВЕТЧИНА ПО-ЧЕРКИЗОВСКИ ЦО ВУ ШТ 0.5КГ (ТМ ЧЕРКИЗОВО) K3</t>
  </si>
  <si>
    <t>КОПЧ КАРПАЧЧО ИЗ ИНДЕЙКИ НАР ЗА ЛОТ ШТ 0.085КГ (ТМ ЧЕРКИЗОВО ПРЕМИУМ) K0.85</t>
  </si>
  <si>
    <t>СК САЛЬЧИЧОН СРЕЗ ФИБ ВУ ШТ 0.3КГ (ТМ ЧЕРКИЗОВО ПРЕМИУМ) K1.8</t>
  </si>
  <si>
    <t>СК САЛЬЧИЧОН ФИБ ВУ 0.6КГ (ТМ ЧЕРКИЗОВО ПРЕМИУМ) K2.4</t>
  </si>
  <si>
    <t>ВАР ФЕРМЕРСКАЯ НМО 1.5КГ (ТМ МГ) K12</t>
  </si>
  <si>
    <t>ВЕТЧ МЯСНАЯ МБ НМО ШТ 0.4КГ (ТМ ЧЕРКИЗОВО)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</si>
  <si>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</si>
  <si>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</si>
  <si>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</si>
  <si>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КОПЧ КОРЕЙКА ФЕРМЕРСКАЯ МК ВУ 0.35КГ (ТМ ЧЕРКИЗОВО) K2.1</t>
  </si>
  <si>
    <t>КОПЧ ЛОПАТКА ФЕРМЕРСКАЯ МК ВУ 0.35КГ (ТМ ЧЕРКИЗОВО) K2.1</t>
  </si>
  <si>
    <t>КОПЧ ГОЛЕНЬ ИНДЕЙКИ "ПОДКОПЧЕННАЯ" МК ВУ 0.6КГ (ТМ ПАВ) K3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</si>
  <si>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</si>
  <si>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</si>
  <si>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</si>
  <si>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</si>
  <si>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</si>
  <si>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ПК РУБЛЕНАЯ НО ВУ ШТ 0.35КГ (ТМ МГ) K11.9</t>
  </si>
  <si>
    <t>ВЕТЧ ВЕТЧИНА ПО-ЧЕРКИЗОВСКИ ЦО ВУ ШТ 0.4КГ (ТМ ЧЕРКИЗОВО) K1.6</t>
  </si>
  <si>
    <t>СВ ФУЭТ ЭКСТРА С ТРЮФЕЛЕМ НО ПЛЁН ШТ 0.11КГ (ТМ CAS) K0,66</t>
  </si>
  <si>
    <t>СК ПРЕОБРАЖЕНСКАЯ СРЕЗ ФИБ ВУ ШТ 0.3КГ (ТМ ЧЕРКИЗОВО) K1.8</t>
  </si>
  <si>
    <t>СК ПРЕОБРАЖЕНСКАЯ СРЕЗ ФИБ ВУ 0.3КГ (ТМ ЧЕРКИЗОВО) K3.6</t>
  </si>
  <si>
    <t>ВАР ДОКТОРСКАЯ ГОСТ НАР ЗА ШТ 0.15КГ (ТМ ЧЕРКИЗОВО ПРЕМИУМ) K0.75</t>
  </si>
  <si>
    <t>ВАР ДОКТОРСКАЯ ГОСТ НАР ЗА TF ШТ 0.3КГ (ТМ КАМ) K0</t>
  </si>
  <si>
    <t>ВК ИМПЕРСКАЯ НАР ВУ СКИН ШТ 0.1КГ (ТМ ЧЕРКИЗОВО ПРЕМИУМ) K1.2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</si>
  <si>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</si>
  <si>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</si>
  <si>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СК КЛАССИКО ИТАЛИАНО НАР ФИБ ЗА ШТ 0.085КГ (ТМ ЧЕРКИЗОВО ПРЕМИУМ) K0.85</t>
  </si>
  <si>
    <t>ВАР ГУБЕРНСКАЯ В СЕТКЕ НМО 1.5КГ (ТМ МГ) K3</t>
  </si>
  <si>
    <t>СК ОНЕЖСКАЯ БО ВУ 0.6КГ (ТМ ЧЕРКИЗОВО) K2.4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</si>
  <si>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</si>
  <si>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</si>
  <si>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</si>
  <si>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КОПЧ ШЕЙКА БРЮССЕЛЬСКАЯ НАР ВУ СКИН ШТ 0.1КГ (ТМ ЧЕРКИЗОВО ПРЕМИУМ) K1.2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</si>
  <si>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</si>
  <si>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</si>
  <si>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</si>
  <si>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</si>
  <si>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ВАР ГУБЕРНСКАЯ В СЕТКЕ НМО ШТ 1КГ МГ К3</t>
  </si>
  <si>
    <t>ВАР ОТБОР СО ШПИК НМО ШТ 1КГ К3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</si>
  <si>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</si>
  <si>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</si>
  <si>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</si>
  <si>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ОЗЕРСКАЯ НМО 1.5КГ К12  (ТМ МГ)</t>
  </si>
  <si>
    <t>ВАР СОЧНАЯ СО ШПИКОМ НМО 1.5КГ К12</t>
  </si>
  <si>
    <t>ВАР ОТБОРНАЯ СО ШПИКОМ НМО 1.5КГ К3</t>
  </si>
  <si>
    <t>ВК МРАМОРН С БАЛЫК ФИБ ВУ ШТ 0.8КГ (МГ)</t>
  </si>
  <si>
    <t>СК БРАУНБУРГСКАЯ ФИБ ВУ ШТ 0.5КГ (ТМ ЧЕРКИЗОВО) K3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</si>
  <si>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</si>
  <si>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</si>
  <si>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</si>
  <si>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СОС ФЛОРЕНТИЙСКИЕ С ГОВЯДИНОЙ НО ЗА ЛОТ ШТ 0.24КГ (ТМ ЧЕРКИЗОВО ПРЕМИУМ) K1.44</t>
  </si>
  <si>
    <t>Изготовитель</t>
  </si>
  <si>
    <t>Вес</t>
  </si>
  <si>
    <t>ВАР АППЕТИТНАЯ НМО ШТ 0.4КГ (ТМ ИВ) K2.4</t>
  </si>
  <si>
    <t>СОС АРОМАТНЫЕ ПМО ЗА ПАК ШТ 1КГ (ТМ ИВ) K6</t>
  </si>
  <si>
    <t>ВАР ВКУСНАЯ НМО ШТ 1КГ (ТМ ИВ) К3</t>
  </si>
  <si>
    <t>ВК СЕРВЕЛАТ ЗЕРНИСТЫЙ СРЕЗ ФИБ ВУ ШТ 0.3КГ (ТМ ЧЕРКИЗОВО) K1.8</t>
  </si>
  <si>
    <t>ВЕТЧ ПО-ЧЕРКИЗОВСКИ СВИНАЯ ЦО ВУ ШТ 0.4КГ (ТМ ЧЕРКИЗОВО) K2.4</t>
  </si>
  <si>
    <t>pork free</t>
  </si>
  <si>
    <t>ПК СЕРВЕЛАТ КАРЕЛЬСКИЙ СРЕЗ ФИБ ВУ ШТ 0.3КГ (ТМ ЧЕРКИЗОВО) K1.8</t>
  </si>
  <si>
    <t>новинка</t>
  </si>
  <si>
    <t xml:space="preserve">Срок годности </t>
  </si>
  <si>
    <t>ЧМПЗ Москва</t>
  </si>
  <si>
    <t>Пит Продукт Горелово</t>
  </si>
  <si>
    <t>ЧМПЗ Ульяновск</t>
  </si>
  <si>
    <t>ПКО Отечественный Продукт</t>
  </si>
  <si>
    <t>Пит Продукт Синявино</t>
  </si>
  <si>
    <t>ЧМПЗ Пенза</t>
  </si>
  <si>
    <t>Черкизово-Кашира</t>
  </si>
  <si>
    <t>Вес ед.кг</t>
  </si>
  <si>
    <t>не аттестовано</t>
  </si>
  <si>
    <t>ВАР МОЛОЧНАЯ ПО-ЧЕРКИЗОВСКИ НМО 1КГ (ТМ ЧЕРКИЗОВО) K3</t>
  </si>
  <si>
    <t>Адрес изготовителя</t>
  </si>
  <si>
    <t xml:space="preserve">АО «ЧМПЗ», 107143, г. Москва, ул. Пермская, вл.5 </t>
  </si>
  <si>
    <t xml:space="preserve">Ульяновский филиал АО «ЧМПЗ», 432045, г. Ульяновск, Московское шоссе, 12 </t>
  </si>
  <si>
    <t xml:space="preserve">Пензенский филиал АО «ЧМПЗ», 440015, г. Пенза, ул. Аустрина, д.178Б </t>
  </si>
  <si>
    <t xml:space="preserve">АО «Черкизово-Кашира», 142931, МО, г. Кашира, д. Топканово, ул. Черкизовская (мясопереработка тер.), д.1, пом.1, каб.1 </t>
  </si>
  <si>
    <t xml:space="preserve">ООО ПКО «Отечественный продукт», 238400, Калининградская обл., Правдинский р-н, г. Правдинск, Дружбинское шоссе, дом </t>
  </si>
  <si>
    <t>АО «ПИТ-ПРОДУКТ» 188508 Ленинградская обл. Южная часть производственной зоны Горелово  ул.Понссе д 3</t>
  </si>
  <si>
    <t>КОД ТНВЭД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</si>
</sst>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0.000"/>
  </numFmts>
  <fonts count="2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164" fontId="7" fillId="2" borderId="6" applyNumberFormat="0" applyAlignment="0" applyProtection="0">
      <alignment horizontal="left" vertical="center" indent="1"/>
    </xf>
    <xf numFmtId="0" fontId="5" fillId="0" borderId="0"/>
    <xf numFmtId="0" fontId="6" fillId="0" borderId="0"/>
    <xf numFmtId="0" fontId="1" fillId="0" borderId="0"/>
  </cellStyleXfs>
  <cellXfs count="98">
    <xf numFmtId="0" fontId="0" fillId="0" borderId="0" xfId="0"/>
    <xf numFmtId="0" fontId="10" fillId="3" borderId="1" xfId="4" applyFont="1" applyFill="1" applyBorder="1" applyAlignment="1">
      <alignment horizontal="left" vertical="center"/>
    </xf>
    <xf numFmtId="49" fontId="11" fillId="3" borderId="1" xfId="4" applyNumberFormat="1" applyFont="1" applyFill="1" applyBorder="1" applyAlignment="1">
      <alignment horizontal="center"/>
    </xf>
    <xf numFmtId="0" fontId="10" fillId="4" borderId="1" xfId="4" applyFont="1" applyFill="1" applyBorder="1" applyAlignment="1" applyProtection="1">
      <alignment horizontal="left"/>
      <protection locked="0"/>
    </xf>
    <xf numFmtId="49" fontId="10" fillId="3" borderId="1" xfId="4" applyNumberFormat="1" applyFont="1" applyFill="1" applyBorder="1" applyAlignment="1">
      <alignment horizontal="center" vertical="center"/>
    </xf>
    <xf numFmtId="0" fontId="13" fillId="0" borderId="0" xfId="4" applyFont="1" applyAlignment="1">
      <alignment horizontal="left"/>
    </xf>
    <xf numFmtId="0" fontId="14" fillId="3" borderId="0" xfId="4" applyFont="1" applyFill="1" applyAlignment="1">
      <alignment horizontal="left" vertical="center"/>
    </xf>
    <xf numFmtId="49" fontId="12" fillId="3" borderId="0" xfId="4" applyNumberFormat="1" applyFont="1" applyFill="1" applyAlignment="1">
      <alignment horizontal="center"/>
    </xf>
    <xf numFmtId="0" fontId="15" fillId="0" borderId="0" xfId="0" applyFont="1" applyAlignment="1">
      <alignment horizontal="left" wrapText="1"/>
    </xf>
    <xf numFmtId="49" fontId="11" fillId="3" borderId="0" xfId="4" applyNumberFormat="1" applyFont="1" applyFill="1" applyAlignment="1">
      <alignment horizontal="center" vertical="center"/>
    </xf>
    <xf numFmtId="0" fontId="13" fillId="0" borderId="0" xfId="4" applyFont="1"/>
    <xf numFmtId="0" fontId="16" fillId="0" borderId="0" xfId="0" applyFont="1"/>
    <xf numFmtId="0" fontId="17" fillId="3" borderId="0" xfId="4" applyFont="1" applyFill="1" applyAlignment="1">
      <alignment horizontal="left" wrapText="1"/>
    </xf>
    <xf numFmtId="49" fontId="3" fillId="3" borderId="0" xfId="4" applyNumberFormat="1" applyFont="1" applyFill="1" applyAlignment="1">
      <alignment horizontal="center" vertical="center"/>
    </xf>
    <xf numFmtId="0" fontId="4" fillId="3" borderId="0" xfId="4" applyFont="1" applyFill="1" applyAlignment="1">
      <alignment horizontal="left" wrapText="1"/>
    </xf>
    <xf numFmtId="49" fontId="14" fillId="3" borderId="0" xfId="4" applyNumberFormat="1" applyFont="1" applyFill="1" applyAlignment="1">
      <alignment horizontal="center"/>
    </xf>
    <xf numFmtId="0" fontId="18" fillId="3" borderId="0" xfId="4" applyFont="1" applyFill="1" applyAlignment="1">
      <alignment horizontal="left" wrapText="1"/>
    </xf>
    <xf numFmtId="0" fontId="13" fillId="3" borderId="0" xfId="4" applyFont="1" applyFill="1" applyAlignment="1">
      <alignment horizontal="left"/>
    </xf>
    <xf numFmtId="49" fontId="13" fillId="3" borderId="0" xfId="4" applyNumberFormat="1" applyFont="1" applyFill="1" applyAlignment="1">
      <alignment horizontal="center" vertical="center"/>
    </xf>
    <xf numFmtId="0" fontId="13" fillId="0" borderId="0" xfId="4" applyFont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4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49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0" fillId="0" borderId="2" xfId="4" applyFont="1" applyBorder="1" applyAlignment="1">
      <alignment horizontal="center" vertical="center"/>
    </xf>
    <xf numFmtId="49" fontId="20" fillId="0" borderId="2" xfId="4" applyNumberFormat="1" applyFont="1" applyBorder="1" applyAlignment="1">
      <alignment horizontal="center"/>
    </xf>
    <xf numFmtId="0" fontId="20" fillId="0" borderId="2" xfId="4" applyFont="1" applyBorder="1" applyAlignment="1">
      <alignment horizontal="center"/>
    </xf>
    <xf numFmtId="0" fontId="19" fillId="0" borderId="2" xfId="4" applyFont="1" applyBorder="1" applyAlignment="1">
      <alignment horizontal="center" vertical="center" wrapText="1"/>
    </xf>
    <xf numFmtId="49" fontId="19" fillId="0" borderId="2" xfId="4" applyNumberFormat="1" applyFont="1" applyBorder="1" applyAlignment="1">
      <alignment horizontal="center" vertical="center" wrapText="1"/>
    </xf>
    <xf numFmtId="0" fontId="20" fillId="0" borderId="2" xfId="4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/>
    </xf>
    <xf numFmtId="0" fontId="19" fillId="0" borderId="2" xfId="2" applyFont="1" applyBorder="1" applyAlignment="1">
      <alignment horizontal="center"/>
    </xf>
    <xf numFmtId="0" fontId="19" fillId="0" borderId="2" xfId="4" applyFont="1" applyBorder="1" applyAlignment="1" applyProtection="1">
      <alignment horizontal="center"/>
      <protection locked="0"/>
    </xf>
    <xf numFmtId="0" fontId="19" fillId="0" borderId="2" xfId="0" applyFont="1" applyBorder="1" applyAlignment="1">
      <alignment horizontal="center" vertical="top"/>
    </xf>
    <xf numFmtId="1" fontId="19" fillId="0" borderId="2" xfId="4" applyNumberFormat="1" applyFont="1" applyBorder="1" applyAlignment="1" applyProtection="1">
      <alignment horizontal="center"/>
      <protection locked="0"/>
    </xf>
    <xf numFmtId="49" fontId="19" fillId="0" borderId="2" xfId="4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21" fillId="0" borderId="0" xfId="0" applyFont="1"/>
    <xf numFmtId="165" fontId="19" fillId="0" borderId="2" xfId="0" applyNumberFormat="1" applyFont="1" applyBorder="1" applyAlignment="1">
      <alignment horizontal="center" vertical="top"/>
    </xf>
    <xf numFmtId="0" fontId="22" fillId="0" borderId="2" xfId="4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2" xfId="0" applyBorder="1"/>
    <xf numFmtId="0" fontId="21" fillId="0" borderId="2" xfId="0" applyFont="1" applyBorder="1"/>
    <xf numFmtId="0" fontId="9" fillId="0" borderId="2" xfId="0" applyFont="1" applyBorder="1"/>
    <xf numFmtId="165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2" xfId="0" applyFont="1" applyBorder="1" applyAlignment="1">
      <alignment horizontal="left"/>
    </xf>
    <xf numFmtId="0" fontId="6" fillId="0" borderId="2" xfId="3" applyBorder="1" applyAlignment="1">
      <alignment horizontal="left"/>
    </xf>
    <xf numFmtId="1" fontId="22" fillId="0" borderId="2" xfId="0" applyNumberFormat="1" applyFont="1" applyBorder="1" applyAlignment="1">
      <alignment horizontal="left"/>
    </xf>
    <xf numFmtId="0" fontId="22" fillId="0" borderId="2" xfId="3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22" fillId="0" borderId="2" xfId="2" applyFont="1" applyBorder="1" applyAlignment="1">
      <alignment horizontal="left"/>
    </xf>
    <xf numFmtId="0" fontId="22" fillId="0" borderId="2" xfId="0" applyFont="1" applyBorder="1" applyAlignment="1">
      <alignment horizontal="left" wrapText="1"/>
    </xf>
    <xf numFmtId="49" fontId="22" fillId="0" borderId="2" xfId="0" applyNumberFormat="1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2" xfId="0" applyFont="1" applyFill="1" applyBorder="1"/>
    <xf numFmtId="0" fontId="8" fillId="0" borderId="2" xfId="0" applyFont="1" applyBorder="1"/>
    <xf numFmtId="0" fontId="24" fillId="3" borderId="2" xfId="0" applyFont="1" applyFill="1" applyBorder="1"/>
    <xf numFmtId="0" fontId="24" fillId="0" borderId="2" xfId="0" applyFont="1" applyBorder="1"/>
    <xf numFmtId="0" fontId="22" fillId="0" borderId="2" xfId="0" applyFont="1" applyBorder="1" applyAlignment="1">
      <alignment horizontal="left" vertical="center"/>
    </xf>
    <xf numFmtId="0" fontId="24" fillId="3" borderId="4" xfId="0" applyFont="1" applyFill="1" applyBorder="1"/>
    <xf numFmtId="0" fontId="24" fillId="0" borderId="4" xfId="0" applyFont="1" applyBorder="1"/>
    <xf numFmtId="0" fontId="21" fillId="3" borderId="2" xfId="0" applyFont="1" applyFill="1" applyBorder="1"/>
    <xf numFmtId="0" fontId="5" fillId="0" borderId="0" xfId="2" applyAlignment="1">
      <alignment vertical="top"/>
    </xf>
    <xf numFmtId="0" fontId="24" fillId="0" borderId="5" xfId="0" applyFont="1" applyBorder="1"/>
    <xf numFmtId="0" fontId="24" fillId="0" borderId="2" xfId="3" applyFont="1" applyBorder="1" applyAlignment="1">
      <alignment horizontal="left" vertical="center"/>
    </xf>
    <xf numFmtId="1" fontId="8" fillId="0" borderId="2" xfId="0" applyNumberFormat="1" applyFont="1" applyBorder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4" fillId="3" borderId="5" xfId="0" applyFont="1" applyFill="1" applyBorder="1"/>
    <xf numFmtId="0" fontId="24" fillId="0" borderId="5" xfId="3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6" fillId="4" borderId="2" xfId="3" applyFill="1" applyBorder="1" applyAlignment="1">
      <alignment horizontal="left"/>
    </xf>
    <xf numFmtId="0" fontId="22" fillId="4" borderId="2" xfId="4" applyFont="1" applyFill="1" applyBorder="1" applyAlignment="1">
      <alignment horizontal="left"/>
    </xf>
    <xf numFmtId="0" fontId="19" fillId="4" borderId="2" xfId="2" applyFont="1" applyFill="1" applyBorder="1" applyAlignment="1">
      <alignment horizontal="center"/>
    </xf>
    <xf numFmtId="0" fontId="6" fillId="0" borderId="3" xfId="3" applyBorder="1" applyAlignment="1">
      <alignment horizontal="left"/>
    </xf>
    <xf numFmtId="0" fontId="22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center"/>
    </xf>
    <xf numFmtId="0" fontId="22" fillId="4" borderId="0" xfId="2" applyFont="1" applyFill="1" applyAlignment="1">
      <alignment horizontal="left" vertical="center"/>
    </xf>
    <xf numFmtId="0" fontId="22" fillId="4" borderId="2" xfId="2" applyFont="1" applyFill="1" applyBorder="1" applyAlignment="1">
      <alignment horizontal="left"/>
    </xf>
    <xf numFmtId="14" fontId="12" fillId="0" borderId="1" xfId="4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top"/>
    </xf>
  </cellXfs>
  <cellStyles count="5">
    <cellStyle name="SAPMemberCell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571500</xdr:colOff>
      <xdr:row>5</xdr:row>
      <xdr:rowOff>133350</xdr:rowOff>
    </xdr:to>
    <xdr:pic>
      <xdr:nvPicPr>
        <xdr:cNvPr id="1090" name="Рисунок 14">
          <a:extLst>
            <a:ext uri="{FF2B5EF4-FFF2-40B4-BE49-F238E27FC236}">
              <a16:creationId xmlns:a16="http://schemas.microsoft.com/office/drawing/2014/main" id="{779955D7-80D9-4A77-A6C2-60746179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1466850"/>
          <a:ext cx="5715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190500</xdr:rowOff>
    </xdr:from>
    <xdr:to>
      <xdr:col>9</xdr:col>
      <xdr:colOff>775759</xdr:colOff>
      <xdr:row>6</xdr:row>
      <xdr:rowOff>123825</xdr:rowOff>
    </xdr:to>
    <xdr:pic>
      <xdr:nvPicPr>
        <xdr:cNvPr id="1091" name="Рисунок 15">
          <a:extLst>
            <a:ext uri="{FF2B5EF4-FFF2-40B4-BE49-F238E27FC236}">
              <a16:creationId xmlns:a16="http://schemas.microsoft.com/office/drawing/2014/main" id="{536B8569-C382-48F7-96EF-A1441A3D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6850"/>
          <a:ext cx="1323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"/>
  <sheetViews>
    <sheetView tabSelected="1" zoomScale="90" zoomScaleNormal="90" workbookViewId="0">
      <pane ySplit="10" topLeftCell="A11" activePane="bottomLeft" state="frozen"/>
      <selection pane="bottomLeft" activeCell="G8" sqref="G8"/>
    </sheetView>
  </sheetViews>
  <sheetFormatPr defaultRowHeight="15" x14ac:dyDescent="0.25"/>
  <cols>
    <col min="1" max="1" width="9.140625" customWidth="1"/>
    <col min="2" max="2" width="13.28515625" style="24" customWidth="1"/>
    <col min="3" max="3" width="64.7109375" customWidth="1"/>
    <col min="4" max="4" width="11.7109375" style="24" customWidth="1"/>
    <col min="5" max="6" width="14.5703125" style="26" customWidth="1"/>
    <col min="7" max="7" width="11" style="24" customWidth="1"/>
    <col min="8" max="8" width="8.42578125" customWidth="1"/>
    <col min="9" max="9" width="8.28515625" customWidth="1"/>
    <col min="10" max="10" width="17.42578125" customWidth="1"/>
    <col min="11" max="11" width="23" customWidth="1"/>
    <col min="12" max="12" width="65.5703125" customWidth="1"/>
    <col min="13" max="13" width="10.42578125" customWidth="1"/>
  </cols>
  <sheetData>
    <row r="1" spans="1:15" ht="18.75" x14ac:dyDescent="0.3">
      <c r="A1" s="1"/>
      <c r="B1" s="2"/>
      <c r="C1" s="3" t="s">
        <v>0</v>
      </c>
      <c r="D1" s="20"/>
      <c r="E1" s="4"/>
      <c r="F1" s="4"/>
      <c r="G1" s="96">
        <v>45748</v>
      </c>
      <c r="H1" s="5"/>
    </row>
    <row r="2" spans="1:15" ht="51.75" x14ac:dyDescent="0.25">
      <c r="A2" s="6"/>
      <c r="B2" s="7" t="s">
        <v>1</v>
      </c>
      <c r="C2" s="8" t="s">
        <v>2</v>
      </c>
      <c r="D2" s="21"/>
      <c r="E2" s="9"/>
      <c r="F2" s="9"/>
      <c r="G2" s="21"/>
      <c r="H2" s="10"/>
    </row>
    <row r="3" spans="1:15" x14ac:dyDescent="0.25">
      <c r="A3" s="6"/>
      <c r="B3" s="7"/>
      <c r="C3" s="11"/>
      <c r="D3" s="21"/>
      <c r="E3" s="9"/>
      <c r="F3" s="9"/>
      <c r="G3" s="21"/>
      <c r="H3" s="10"/>
    </row>
    <row r="4" spans="1:15" x14ac:dyDescent="0.25">
      <c r="A4" s="6"/>
      <c r="B4" s="7" t="s">
        <v>3</v>
      </c>
      <c r="C4" s="12"/>
      <c r="D4" s="22"/>
      <c r="E4" s="13"/>
      <c r="F4" s="13"/>
      <c r="G4" s="21"/>
      <c r="H4" s="10"/>
    </row>
    <row r="5" spans="1:15" x14ac:dyDescent="0.25">
      <c r="A5" s="6"/>
      <c r="B5" s="7"/>
      <c r="C5" s="12"/>
      <c r="D5" s="22"/>
      <c r="E5" s="13"/>
      <c r="F5" s="13"/>
      <c r="G5" s="21"/>
      <c r="H5" s="10"/>
    </row>
    <row r="6" spans="1:15" x14ac:dyDescent="0.25">
      <c r="A6" s="6"/>
      <c r="B6" s="7"/>
      <c r="C6" s="14"/>
      <c r="D6" s="22"/>
      <c r="E6" s="13"/>
      <c r="F6" s="13"/>
      <c r="G6" s="21"/>
      <c r="H6" s="10"/>
    </row>
    <row r="7" spans="1:15" x14ac:dyDescent="0.25">
      <c r="A7" s="6"/>
      <c r="B7" s="7" t="s">
        <v>5</v>
      </c>
      <c r="C7" s="12" t="s">
        <v>4</v>
      </c>
      <c r="D7" s="22"/>
      <c r="E7" s="13"/>
      <c r="F7" s="13"/>
      <c r="G7" s="21"/>
      <c r="H7" s="10"/>
    </row>
    <row r="8" spans="1:15" x14ac:dyDescent="0.25">
      <c r="A8" s="6"/>
      <c r="B8" s="15"/>
      <c r="C8" s="16"/>
      <c r="D8" s="21"/>
      <c r="E8" s="9"/>
      <c r="F8" s="9"/>
      <c r="G8" s="21"/>
      <c r="H8" s="10"/>
    </row>
    <row r="9" spans="1:15" x14ac:dyDescent="0.25">
      <c r="A9" s="17"/>
      <c r="B9" s="15"/>
      <c r="C9" s="17"/>
      <c r="D9" s="23"/>
      <c r="E9" s="18"/>
      <c r="F9" s="18"/>
      <c r="G9" s="19"/>
      <c r="H9" s="5"/>
    </row>
    <row r="10" spans="1:15" ht="45" x14ac:dyDescent="0.25">
      <c r="A10" s="28" t="s">
        <v>6</v>
      </c>
      <c r="B10" s="29" t="s">
        <v>7</v>
      </c>
      <c r="C10" s="30" t="s">
        <v>8</v>
      </c>
      <c r="D10" s="31" t="s">
        <v>9</v>
      </c>
      <c r="E10" s="32" t="s">
        <v>10</v>
      </c>
      <c r="F10" s="32" t="s">
        <v>189</v>
      </c>
      <c r="G10" s="33" t="s">
        <v>11</v>
      </c>
      <c r="H10" s="28" t="s">
        <v>172</v>
      </c>
      <c r="I10" s="46"/>
      <c r="J10" s="46" t="s">
        <v>199</v>
      </c>
      <c r="K10" s="64" t="s">
        <v>171</v>
      </c>
      <c r="L10" s="64" t="s">
        <v>192</v>
      </c>
      <c r="M10" s="65" t="s">
        <v>181</v>
      </c>
    </row>
    <row r="11" spans="1:15" x14ac:dyDescent="0.25">
      <c r="A11" s="43">
        <v>1</v>
      </c>
      <c r="B11" s="88">
        <v>1030112235</v>
      </c>
      <c r="C11" s="89" t="s">
        <v>12</v>
      </c>
      <c r="D11" s="90">
        <v>3.2</v>
      </c>
      <c r="E11" s="34" t="s">
        <v>13</v>
      </c>
      <c r="F11" s="34">
        <v>1.6</v>
      </c>
      <c r="G11" s="36">
        <v>99.2</v>
      </c>
      <c r="H11" s="30">
        <f>G11*1</f>
        <v>99.2</v>
      </c>
      <c r="I11" s="77"/>
      <c r="J11" s="81">
        <v>1601009901</v>
      </c>
      <c r="K11" s="79" t="s">
        <v>182</v>
      </c>
      <c r="L11" s="66" t="s">
        <v>193</v>
      </c>
      <c r="M11" s="67">
        <v>30</v>
      </c>
    </row>
    <row r="12" spans="1:15" x14ac:dyDescent="0.25">
      <c r="A12" s="43">
        <f>A11+1</f>
        <v>2</v>
      </c>
      <c r="B12" s="56">
        <v>1030127969</v>
      </c>
      <c r="C12" s="43" t="s">
        <v>84</v>
      </c>
      <c r="D12" s="27">
        <v>1.6</v>
      </c>
      <c r="E12" s="27" t="s">
        <v>14</v>
      </c>
      <c r="F12" s="34">
        <v>0.2</v>
      </c>
      <c r="G12" s="36"/>
      <c r="H12" s="30">
        <f t="shared" ref="H12:H76" si="0">G12*F12</f>
        <v>0</v>
      </c>
      <c r="I12" s="46"/>
      <c r="J12" s="78">
        <v>1601009901</v>
      </c>
      <c r="K12" s="66" t="s">
        <v>183</v>
      </c>
      <c r="L12" s="77" t="s">
        <v>198</v>
      </c>
      <c r="M12" s="73">
        <v>31</v>
      </c>
    </row>
    <row r="13" spans="1:15" x14ac:dyDescent="0.25">
      <c r="A13" s="43">
        <f t="shared" ref="A13:A70" si="1">A12+1</f>
        <v>3</v>
      </c>
      <c r="B13" s="56">
        <v>1030128069</v>
      </c>
      <c r="C13" s="43" t="s">
        <v>142</v>
      </c>
      <c r="D13" s="27">
        <v>1.8</v>
      </c>
      <c r="E13" s="27" t="s">
        <v>14</v>
      </c>
      <c r="F13" s="34">
        <v>0.3</v>
      </c>
      <c r="G13" s="36"/>
      <c r="H13" s="30">
        <f t="shared" si="0"/>
        <v>0</v>
      </c>
      <c r="I13" s="46"/>
      <c r="J13" s="78">
        <v>1601009901</v>
      </c>
      <c r="K13" s="66" t="s">
        <v>183</v>
      </c>
      <c r="L13" s="77" t="s">
        <v>198</v>
      </c>
      <c r="M13" s="73">
        <v>31</v>
      </c>
    </row>
    <row r="14" spans="1:15" x14ac:dyDescent="0.25">
      <c r="A14" s="43">
        <f t="shared" si="1"/>
        <v>4</v>
      </c>
      <c r="B14" s="56">
        <v>1030123769</v>
      </c>
      <c r="C14" s="43" t="s">
        <v>141</v>
      </c>
      <c r="D14" s="27">
        <v>0.75</v>
      </c>
      <c r="E14" s="27" t="s">
        <v>14</v>
      </c>
      <c r="F14" s="34">
        <v>0.15</v>
      </c>
      <c r="G14" s="36"/>
      <c r="H14" s="30">
        <f t="shared" si="0"/>
        <v>0</v>
      </c>
      <c r="I14" s="46"/>
      <c r="J14" s="78">
        <v>1601009901</v>
      </c>
      <c r="K14" s="66" t="s">
        <v>183</v>
      </c>
      <c r="L14" s="77" t="s">
        <v>198</v>
      </c>
      <c r="M14" s="73">
        <v>31</v>
      </c>
    </row>
    <row r="15" spans="1:15" s="41" customFormat="1" x14ac:dyDescent="0.25">
      <c r="A15" s="43">
        <f t="shared" si="1"/>
        <v>5</v>
      </c>
      <c r="B15" s="57">
        <v>1030126452</v>
      </c>
      <c r="C15" s="56" t="s">
        <v>147</v>
      </c>
      <c r="D15" s="35">
        <v>3</v>
      </c>
      <c r="E15" s="34" t="s">
        <v>13</v>
      </c>
      <c r="F15" s="34">
        <v>1.5</v>
      </c>
      <c r="G15" s="36"/>
      <c r="H15" s="30">
        <f t="shared" si="0"/>
        <v>0</v>
      </c>
      <c r="I15" s="47"/>
      <c r="J15" s="84">
        <v>1601009901</v>
      </c>
      <c r="K15" s="66" t="s">
        <v>184</v>
      </c>
      <c r="L15" s="46" t="s">
        <v>194</v>
      </c>
      <c r="M15" s="73">
        <v>75</v>
      </c>
      <c r="O15"/>
    </row>
    <row r="16" spans="1:15" x14ac:dyDescent="0.25">
      <c r="A16" s="43">
        <f>A15+1</f>
        <v>6</v>
      </c>
      <c r="B16" s="56">
        <v>1030125652</v>
      </c>
      <c r="C16" s="54" t="s">
        <v>157</v>
      </c>
      <c r="D16" s="35">
        <v>3</v>
      </c>
      <c r="E16" s="34" t="s">
        <v>14</v>
      </c>
      <c r="F16" s="34">
        <v>1</v>
      </c>
      <c r="G16" s="36"/>
      <c r="H16" s="30">
        <f t="shared" si="0"/>
        <v>0</v>
      </c>
      <c r="I16" s="46"/>
      <c r="J16" s="78">
        <v>1601009901</v>
      </c>
      <c r="K16" s="66" t="s">
        <v>184</v>
      </c>
      <c r="L16" s="46" t="s">
        <v>194</v>
      </c>
      <c r="M16" s="73">
        <v>75</v>
      </c>
    </row>
    <row r="17" spans="1:15" s="41" customFormat="1" x14ac:dyDescent="0.25">
      <c r="A17" s="43">
        <f t="shared" si="1"/>
        <v>7</v>
      </c>
      <c r="B17" s="58">
        <v>1030126535</v>
      </c>
      <c r="C17" s="58" t="s">
        <v>161</v>
      </c>
      <c r="D17" s="35">
        <v>3</v>
      </c>
      <c r="E17" s="34" t="s">
        <v>14</v>
      </c>
      <c r="F17" s="34">
        <v>0.5</v>
      </c>
      <c r="G17" s="36"/>
      <c r="H17" s="30">
        <f t="shared" si="0"/>
        <v>0</v>
      </c>
      <c r="I17" s="47"/>
      <c r="J17" s="84">
        <v>1601009901</v>
      </c>
      <c r="K17" s="66" t="s">
        <v>184</v>
      </c>
      <c r="L17" s="46" t="s">
        <v>194</v>
      </c>
      <c r="M17" s="73">
        <v>75</v>
      </c>
      <c r="O17"/>
    </row>
    <row r="18" spans="1:15" x14ac:dyDescent="0.25">
      <c r="A18" s="43">
        <f t="shared" si="1"/>
        <v>8</v>
      </c>
      <c r="B18" s="54">
        <v>1030129536</v>
      </c>
      <c r="C18" s="43" t="s">
        <v>145</v>
      </c>
      <c r="D18" s="35">
        <v>2.2799999999999998</v>
      </c>
      <c r="E18" s="27" t="s">
        <v>14</v>
      </c>
      <c r="F18" s="34">
        <v>0.38</v>
      </c>
      <c r="G18" s="36"/>
      <c r="H18" s="30">
        <f t="shared" si="0"/>
        <v>0</v>
      </c>
      <c r="I18" s="46" t="s">
        <v>180</v>
      </c>
      <c r="J18" s="78">
        <v>1601009901</v>
      </c>
      <c r="K18" s="66" t="s">
        <v>184</v>
      </c>
      <c r="L18" s="46" t="s">
        <v>194</v>
      </c>
      <c r="M18" s="73">
        <v>60</v>
      </c>
    </row>
    <row r="19" spans="1:15" x14ac:dyDescent="0.25">
      <c r="A19" s="43">
        <f t="shared" si="1"/>
        <v>9</v>
      </c>
      <c r="B19" s="56">
        <v>1030810104</v>
      </c>
      <c r="C19" s="43" t="s">
        <v>137</v>
      </c>
      <c r="D19" s="35">
        <v>1.6</v>
      </c>
      <c r="E19" s="34" t="s">
        <v>14</v>
      </c>
      <c r="F19" s="34">
        <v>0.4</v>
      </c>
      <c r="G19" s="36"/>
      <c r="H19" s="30">
        <f t="shared" si="0"/>
        <v>0</v>
      </c>
      <c r="I19" s="77"/>
      <c r="J19" s="81">
        <v>1602493000</v>
      </c>
      <c r="K19" s="79" t="s">
        <v>182</v>
      </c>
      <c r="L19" s="66" t="s">
        <v>193</v>
      </c>
      <c r="M19" s="73">
        <v>30</v>
      </c>
    </row>
    <row r="20" spans="1:15" x14ac:dyDescent="0.25">
      <c r="A20" s="43">
        <f t="shared" si="1"/>
        <v>10</v>
      </c>
      <c r="B20" s="54">
        <v>1030121144</v>
      </c>
      <c r="C20" s="43" t="s">
        <v>15</v>
      </c>
      <c r="D20" s="35">
        <v>1.2</v>
      </c>
      <c r="E20" s="34" t="s">
        <v>14</v>
      </c>
      <c r="F20" s="34">
        <v>0.2</v>
      </c>
      <c r="G20" s="36"/>
      <c r="H20" s="30">
        <f t="shared" si="0"/>
        <v>0</v>
      </c>
      <c r="I20" s="46"/>
      <c r="J20" s="78">
        <v>1601009901</v>
      </c>
      <c r="K20" s="66" t="s">
        <v>183</v>
      </c>
      <c r="L20" s="77" t="s">
        <v>198</v>
      </c>
      <c r="M20" s="73">
        <v>31</v>
      </c>
    </row>
    <row r="21" spans="1:15" x14ac:dyDescent="0.25">
      <c r="A21" s="43">
        <f t="shared" si="1"/>
        <v>11</v>
      </c>
      <c r="B21" s="88">
        <v>1030112635</v>
      </c>
      <c r="C21" s="89" t="s">
        <v>16</v>
      </c>
      <c r="D21" s="90">
        <v>3.2</v>
      </c>
      <c r="E21" s="34" t="s">
        <v>13</v>
      </c>
      <c r="F21" s="34">
        <v>1.6</v>
      </c>
      <c r="G21" s="36">
        <v>160</v>
      </c>
      <c r="H21" s="30">
        <f>G21*1</f>
        <v>160</v>
      </c>
      <c r="I21" s="77"/>
      <c r="J21" s="81">
        <v>1601009901</v>
      </c>
      <c r="K21" s="79" t="s">
        <v>182</v>
      </c>
      <c r="L21" s="66" t="s">
        <v>193</v>
      </c>
      <c r="M21" s="73">
        <v>30</v>
      </c>
    </row>
    <row r="22" spans="1:15" x14ac:dyDescent="0.25">
      <c r="A22" s="43">
        <f>A21+1</f>
        <v>12</v>
      </c>
      <c r="B22" s="88">
        <v>1030115404</v>
      </c>
      <c r="C22" s="89" t="s">
        <v>17</v>
      </c>
      <c r="D22" s="90">
        <v>2.4</v>
      </c>
      <c r="E22" s="34" t="s">
        <v>14</v>
      </c>
      <c r="F22" s="34">
        <v>0.4</v>
      </c>
      <c r="G22" s="36">
        <v>401.99999999999994</v>
      </c>
      <c r="H22" s="30">
        <f>G22*F22</f>
        <v>160.79999999999998</v>
      </c>
      <c r="I22" s="46"/>
      <c r="J22" s="84">
        <v>1601009901</v>
      </c>
      <c r="K22" s="66" t="s">
        <v>184</v>
      </c>
      <c r="L22" s="46" t="s">
        <v>194</v>
      </c>
      <c r="M22" s="73">
        <v>75</v>
      </c>
    </row>
    <row r="23" spans="1:15" x14ac:dyDescent="0.25">
      <c r="A23" s="43">
        <f>A22+1</f>
        <v>13</v>
      </c>
      <c r="B23" s="88">
        <v>1030115552</v>
      </c>
      <c r="C23" s="89" t="s">
        <v>191</v>
      </c>
      <c r="D23" s="90">
        <v>3</v>
      </c>
      <c r="E23" s="34" t="s">
        <v>13</v>
      </c>
      <c r="F23" s="34">
        <v>1</v>
      </c>
      <c r="G23" s="36">
        <v>249</v>
      </c>
      <c r="H23" s="30">
        <f>G23*F23</f>
        <v>249</v>
      </c>
      <c r="I23" s="46"/>
      <c r="J23" s="84">
        <v>1601009901</v>
      </c>
      <c r="K23" s="66" t="s">
        <v>184</v>
      </c>
      <c r="L23" s="46" t="s">
        <v>194</v>
      </c>
      <c r="M23" s="73">
        <v>75</v>
      </c>
    </row>
    <row r="24" spans="1:15" x14ac:dyDescent="0.25">
      <c r="A24" s="43">
        <f>A23+1</f>
        <v>14</v>
      </c>
      <c r="B24" s="58">
        <v>1030128902</v>
      </c>
      <c r="C24" s="58" t="s">
        <v>162</v>
      </c>
      <c r="D24" s="35">
        <v>12</v>
      </c>
      <c r="E24" s="34" t="s">
        <v>13</v>
      </c>
      <c r="F24" s="34">
        <v>1.5</v>
      </c>
      <c r="G24" s="36"/>
      <c r="H24" s="30">
        <f t="shared" si="0"/>
        <v>0</v>
      </c>
      <c r="I24" s="77"/>
      <c r="J24" s="85">
        <v>1601009901</v>
      </c>
      <c r="K24" s="79" t="s">
        <v>182</v>
      </c>
      <c r="L24" s="66" t="s">
        <v>193</v>
      </c>
      <c r="M24" s="73">
        <v>75</v>
      </c>
    </row>
    <row r="25" spans="1:15" s="41" customFormat="1" x14ac:dyDescent="0.25">
      <c r="A25" s="43">
        <f t="shared" si="1"/>
        <v>15</v>
      </c>
      <c r="B25" s="58">
        <v>1030128435</v>
      </c>
      <c r="C25" s="58" t="s">
        <v>18</v>
      </c>
      <c r="D25" s="35">
        <v>3</v>
      </c>
      <c r="E25" s="34" t="s">
        <v>14</v>
      </c>
      <c r="F25" s="34">
        <v>0.5</v>
      </c>
      <c r="G25" s="36"/>
      <c r="H25" s="30">
        <f t="shared" si="0"/>
        <v>0</v>
      </c>
      <c r="I25" s="47"/>
      <c r="J25" s="84">
        <v>1601009901</v>
      </c>
      <c r="K25" s="66" t="s">
        <v>184</v>
      </c>
      <c r="L25" s="46" t="s">
        <v>194</v>
      </c>
      <c r="M25" s="73">
        <v>75</v>
      </c>
      <c r="O25"/>
    </row>
    <row r="26" spans="1:15" x14ac:dyDescent="0.25">
      <c r="A26" s="43">
        <f t="shared" si="1"/>
        <v>16</v>
      </c>
      <c r="B26" s="58">
        <v>1030126602</v>
      </c>
      <c r="C26" s="58" t="s">
        <v>163</v>
      </c>
      <c r="D26" s="35">
        <v>12</v>
      </c>
      <c r="E26" s="34" t="s">
        <v>13</v>
      </c>
      <c r="F26" s="34">
        <v>1.5</v>
      </c>
      <c r="G26" s="36"/>
      <c r="H26" s="30">
        <f t="shared" si="0"/>
        <v>0</v>
      </c>
      <c r="I26" s="46"/>
      <c r="J26" s="84">
        <v>1601009901</v>
      </c>
      <c r="K26" s="66" t="s">
        <v>184</v>
      </c>
      <c r="L26" s="46" t="s">
        <v>194</v>
      </c>
      <c r="M26" s="73">
        <v>75</v>
      </c>
    </row>
    <row r="27" spans="1:15" x14ac:dyDescent="0.25">
      <c r="A27" s="43">
        <f t="shared" si="1"/>
        <v>17</v>
      </c>
      <c r="B27" s="59">
        <v>1030126052</v>
      </c>
      <c r="C27" s="43" t="s">
        <v>158</v>
      </c>
      <c r="D27" s="35">
        <v>3</v>
      </c>
      <c r="E27" s="34" t="s">
        <v>14</v>
      </c>
      <c r="F27" s="34">
        <v>1</v>
      </c>
      <c r="G27" s="36"/>
      <c r="H27" s="30">
        <f t="shared" si="0"/>
        <v>0</v>
      </c>
      <c r="I27" s="77"/>
      <c r="J27" s="85">
        <v>1601009901</v>
      </c>
      <c r="K27" s="79" t="s">
        <v>182</v>
      </c>
      <c r="L27" s="66" t="s">
        <v>193</v>
      </c>
      <c r="M27" s="73">
        <v>75</v>
      </c>
    </row>
    <row r="28" spans="1:15" ht="13.7" customHeight="1" x14ac:dyDescent="0.25">
      <c r="A28" s="43">
        <f t="shared" si="1"/>
        <v>18</v>
      </c>
      <c r="B28" s="58">
        <v>1030126152</v>
      </c>
      <c r="C28" s="58" t="s">
        <v>164</v>
      </c>
      <c r="D28" s="35">
        <v>3</v>
      </c>
      <c r="E28" s="34" t="s">
        <v>13</v>
      </c>
      <c r="F28" s="34">
        <v>1.5</v>
      </c>
      <c r="G28" s="36"/>
      <c r="H28" s="30">
        <f t="shared" si="0"/>
        <v>0</v>
      </c>
      <c r="I28" s="46"/>
      <c r="J28" s="84">
        <v>1601009901</v>
      </c>
      <c r="K28" s="66" t="s">
        <v>184</v>
      </c>
      <c r="L28" s="46" t="s">
        <v>194</v>
      </c>
      <c r="M28" s="73">
        <v>75</v>
      </c>
    </row>
    <row r="29" spans="1:15" s="41" customFormat="1" x14ac:dyDescent="0.25">
      <c r="A29" s="43">
        <f t="shared" si="1"/>
        <v>19</v>
      </c>
      <c r="B29" s="54">
        <v>1030125935</v>
      </c>
      <c r="C29" s="60" t="s">
        <v>151</v>
      </c>
      <c r="D29" s="35">
        <v>3</v>
      </c>
      <c r="E29" s="34" t="s">
        <v>14</v>
      </c>
      <c r="F29" s="34">
        <v>0.5</v>
      </c>
      <c r="G29" s="36"/>
      <c r="H29" s="30">
        <f t="shared" si="0"/>
        <v>0</v>
      </c>
      <c r="I29" s="77"/>
      <c r="J29" s="85">
        <v>1601009901</v>
      </c>
      <c r="K29" s="79" t="s">
        <v>182</v>
      </c>
      <c r="L29" s="66" t="s">
        <v>193</v>
      </c>
      <c r="M29" s="73">
        <v>75</v>
      </c>
      <c r="O29"/>
    </row>
    <row r="30" spans="1:15" x14ac:dyDescent="0.25">
      <c r="A30" s="43">
        <f t="shared" si="1"/>
        <v>20</v>
      </c>
      <c r="B30" s="54">
        <v>1030125702</v>
      </c>
      <c r="C30" s="43" t="s">
        <v>153</v>
      </c>
      <c r="D30" s="35">
        <v>12</v>
      </c>
      <c r="E30" s="34" t="s">
        <v>13</v>
      </c>
      <c r="F30" s="34">
        <v>1.5</v>
      </c>
      <c r="G30" s="36"/>
      <c r="H30" s="30">
        <f t="shared" si="0"/>
        <v>0</v>
      </c>
      <c r="I30" s="46"/>
      <c r="J30" s="85">
        <v>1601009901</v>
      </c>
      <c r="K30" s="66" t="s">
        <v>184</v>
      </c>
      <c r="L30" s="46" t="s">
        <v>194</v>
      </c>
      <c r="M30" s="73">
        <v>75</v>
      </c>
    </row>
    <row r="31" spans="1:15" s="41" customFormat="1" x14ac:dyDescent="0.25">
      <c r="A31" s="43">
        <f t="shared" si="1"/>
        <v>21</v>
      </c>
      <c r="B31" s="54">
        <v>1030128702</v>
      </c>
      <c r="C31" s="43" t="s">
        <v>123</v>
      </c>
      <c r="D31" s="35">
        <v>12</v>
      </c>
      <c r="E31" s="34" t="s">
        <v>13</v>
      </c>
      <c r="F31" s="34">
        <v>1.5</v>
      </c>
      <c r="G31" s="36"/>
      <c r="H31" s="30">
        <f t="shared" si="0"/>
        <v>0</v>
      </c>
      <c r="I31" s="47"/>
      <c r="J31" s="85">
        <v>1601009901</v>
      </c>
      <c r="K31" s="66" t="s">
        <v>184</v>
      </c>
      <c r="L31" s="46" t="s">
        <v>194</v>
      </c>
      <c r="M31" s="73">
        <v>75</v>
      </c>
      <c r="O31"/>
    </row>
    <row r="32" spans="1:15" s="41" customFormat="1" x14ac:dyDescent="0.25">
      <c r="A32" s="43">
        <f t="shared" si="1"/>
        <v>22</v>
      </c>
      <c r="B32" s="59">
        <v>1030128802</v>
      </c>
      <c r="C32" s="43" t="s">
        <v>154</v>
      </c>
      <c r="D32" s="35">
        <v>12</v>
      </c>
      <c r="E32" s="34" t="s">
        <v>13</v>
      </c>
      <c r="F32" s="34">
        <v>1.5</v>
      </c>
      <c r="G32" s="36"/>
      <c r="H32" s="30">
        <f t="shared" si="0"/>
        <v>0</v>
      </c>
      <c r="I32" s="47"/>
      <c r="J32" s="85">
        <v>1601009901</v>
      </c>
      <c r="K32" s="66" t="s">
        <v>184</v>
      </c>
      <c r="L32" s="46" t="s">
        <v>194</v>
      </c>
      <c r="M32" s="73">
        <v>75</v>
      </c>
      <c r="O32"/>
    </row>
    <row r="33" spans="1:13" x14ac:dyDescent="0.25">
      <c r="A33" s="43">
        <f t="shared" si="1"/>
        <v>23</v>
      </c>
      <c r="B33" s="54">
        <v>1030807244</v>
      </c>
      <c r="C33" s="43" t="s">
        <v>19</v>
      </c>
      <c r="D33" s="35">
        <v>1.2</v>
      </c>
      <c r="E33" s="34" t="s">
        <v>14</v>
      </c>
      <c r="F33" s="34">
        <v>0.2</v>
      </c>
      <c r="G33" s="36"/>
      <c r="H33" s="30">
        <f t="shared" si="0"/>
        <v>0</v>
      </c>
      <c r="I33" s="46"/>
      <c r="J33" s="78">
        <v>1602493000</v>
      </c>
      <c r="K33" s="66" t="s">
        <v>183</v>
      </c>
      <c r="L33" s="77" t="s">
        <v>198</v>
      </c>
      <c r="M33" s="73">
        <v>31</v>
      </c>
    </row>
    <row r="34" spans="1:13" x14ac:dyDescent="0.25">
      <c r="A34" s="43">
        <f t="shared" si="1"/>
        <v>24</v>
      </c>
      <c r="B34" s="54">
        <v>1030801815</v>
      </c>
      <c r="C34" s="43" t="s">
        <v>119</v>
      </c>
      <c r="D34" s="35">
        <v>3</v>
      </c>
      <c r="E34" s="34" t="s">
        <v>14</v>
      </c>
      <c r="F34" s="34">
        <v>0.5</v>
      </c>
      <c r="G34" s="36"/>
      <c r="H34" s="30">
        <f t="shared" si="0"/>
        <v>0</v>
      </c>
      <c r="I34" s="77"/>
      <c r="J34" s="81">
        <v>1602493000</v>
      </c>
      <c r="K34" s="79" t="s">
        <v>182</v>
      </c>
      <c r="L34" s="66" t="s">
        <v>193</v>
      </c>
      <c r="M34" s="73">
        <v>30</v>
      </c>
    </row>
    <row r="35" spans="1:13" x14ac:dyDescent="0.25">
      <c r="A35" s="43">
        <f t="shared" si="1"/>
        <v>25</v>
      </c>
      <c r="B35" s="55">
        <v>1030801535</v>
      </c>
      <c r="C35" s="43" t="s">
        <v>20</v>
      </c>
      <c r="D35" s="35">
        <v>3.2</v>
      </c>
      <c r="E35" s="34" t="s">
        <v>13</v>
      </c>
      <c r="F35" s="34">
        <v>1.6</v>
      </c>
      <c r="G35" s="36"/>
      <c r="H35" s="30">
        <f t="shared" si="0"/>
        <v>0</v>
      </c>
      <c r="I35" s="77"/>
      <c r="J35" s="81">
        <v>1602493000</v>
      </c>
      <c r="K35" s="79" t="s">
        <v>182</v>
      </c>
      <c r="L35" s="66" t="s">
        <v>193</v>
      </c>
      <c r="M35" s="73">
        <v>30</v>
      </c>
    </row>
    <row r="36" spans="1:13" x14ac:dyDescent="0.25">
      <c r="A36" s="43">
        <f t="shared" si="1"/>
        <v>26</v>
      </c>
      <c r="B36" s="54">
        <v>1030810002</v>
      </c>
      <c r="C36" s="43" t="s">
        <v>116</v>
      </c>
      <c r="D36" s="37">
        <v>9</v>
      </c>
      <c r="E36" s="27" t="s">
        <v>14</v>
      </c>
      <c r="F36" s="34">
        <v>0.9</v>
      </c>
      <c r="G36" s="27"/>
      <c r="H36" s="30">
        <f t="shared" si="0"/>
        <v>0</v>
      </c>
      <c r="I36" s="77"/>
      <c r="J36" s="81">
        <v>1602493000</v>
      </c>
      <c r="K36" s="79" t="s">
        <v>182</v>
      </c>
      <c r="L36" s="66" t="s">
        <v>193</v>
      </c>
      <c r="M36" s="73">
        <v>75</v>
      </c>
    </row>
    <row r="37" spans="1:13" x14ac:dyDescent="0.25">
      <c r="A37" s="43">
        <f t="shared" si="1"/>
        <v>27</v>
      </c>
      <c r="B37" s="54">
        <v>1030809841</v>
      </c>
      <c r="C37" s="43" t="s">
        <v>114</v>
      </c>
      <c r="D37" s="37">
        <v>4.5</v>
      </c>
      <c r="E37" s="27" t="s">
        <v>14</v>
      </c>
      <c r="F37" s="34">
        <v>0.45</v>
      </c>
      <c r="G37" s="27"/>
      <c r="H37" s="30">
        <f t="shared" si="0"/>
        <v>0</v>
      </c>
      <c r="I37" s="77"/>
      <c r="J37" s="81">
        <v>1602493000</v>
      </c>
      <c r="K37" s="79" t="s">
        <v>182</v>
      </c>
      <c r="L37" s="66" t="s">
        <v>193</v>
      </c>
      <c r="M37" s="73">
        <v>31</v>
      </c>
    </row>
    <row r="38" spans="1:13" x14ac:dyDescent="0.25">
      <c r="A38" s="43">
        <f t="shared" si="1"/>
        <v>28</v>
      </c>
      <c r="B38" s="54">
        <v>1030809702</v>
      </c>
      <c r="C38" s="43" t="s">
        <v>115</v>
      </c>
      <c r="D38" s="37">
        <v>9</v>
      </c>
      <c r="E38" s="27" t="s">
        <v>13</v>
      </c>
      <c r="F38" s="34">
        <v>0.9</v>
      </c>
      <c r="G38" s="27"/>
      <c r="H38" s="30">
        <f t="shared" si="0"/>
        <v>0</v>
      </c>
      <c r="I38" s="77"/>
      <c r="J38" s="81">
        <v>1602493000</v>
      </c>
      <c r="K38" s="79" t="s">
        <v>182</v>
      </c>
      <c r="L38" s="66" t="s">
        <v>193</v>
      </c>
      <c r="M38" s="73">
        <v>31</v>
      </c>
    </row>
    <row r="39" spans="1:13" x14ac:dyDescent="0.25">
      <c r="A39" s="43">
        <f>A38+1</f>
        <v>29</v>
      </c>
      <c r="B39" s="88">
        <v>1030804004</v>
      </c>
      <c r="C39" s="89" t="s">
        <v>21</v>
      </c>
      <c r="D39" s="90">
        <v>2.4</v>
      </c>
      <c r="E39" s="39" t="s">
        <v>14</v>
      </c>
      <c r="F39" s="34">
        <v>0.4</v>
      </c>
      <c r="G39" s="27">
        <v>101.99999999999999</v>
      </c>
      <c r="H39" s="30">
        <f>G39*F39</f>
        <v>40.799999999999997</v>
      </c>
      <c r="I39" s="77"/>
      <c r="J39" s="81">
        <v>1602493000</v>
      </c>
      <c r="K39" s="79" t="s">
        <v>182</v>
      </c>
      <c r="L39" s="66" t="s">
        <v>193</v>
      </c>
      <c r="M39" s="73">
        <v>75</v>
      </c>
    </row>
    <row r="40" spans="1:13" x14ac:dyDescent="0.25">
      <c r="A40" s="43">
        <f t="shared" si="1"/>
        <v>30</v>
      </c>
      <c r="B40" s="59">
        <v>1030810660</v>
      </c>
      <c r="C40" s="43" t="s">
        <v>124</v>
      </c>
      <c r="D40" s="35">
        <v>2.4</v>
      </c>
      <c r="E40" s="39" t="s">
        <v>14</v>
      </c>
      <c r="F40" s="34">
        <v>0.4</v>
      </c>
      <c r="G40" s="27"/>
      <c r="H40" s="30">
        <f t="shared" si="0"/>
        <v>0</v>
      </c>
      <c r="I40" s="46" t="s">
        <v>180</v>
      </c>
      <c r="J40" s="78">
        <v>1602493000</v>
      </c>
      <c r="K40" s="66" t="s">
        <v>183</v>
      </c>
      <c r="L40" s="77" t="s">
        <v>198</v>
      </c>
      <c r="M40" s="73">
        <v>60</v>
      </c>
    </row>
    <row r="41" spans="1:13" x14ac:dyDescent="0.25">
      <c r="A41" s="43">
        <f t="shared" si="1"/>
        <v>31</v>
      </c>
      <c r="B41" s="54">
        <v>1030815152</v>
      </c>
      <c r="C41" s="43" t="s">
        <v>156</v>
      </c>
      <c r="D41" s="35">
        <v>0.9</v>
      </c>
      <c r="E41" s="39" t="s">
        <v>14</v>
      </c>
      <c r="F41" s="34">
        <v>0.15</v>
      </c>
      <c r="G41" s="27"/>
      <c r="H41" s="30">
        <f t="shared" si="0"/>
        <v>0</v>
      </c>
      <c r="I41" s="46"/>
      <c r="J41" s="78">
        <v>1602321900</v>
      </c>
      <c r="K41" s="66" t="s">
        <v>183</v>
      </c>
      <c r="L41" s="77" t="s">
        <v>198</v>
      </c>
      <c r="M41" s="73">
        <v>31</v>
      </c>
    </row>
    <row r="42" spans="1:13" x14ac:dyDescent="0.25">
      <c r="A42" s="43">
        <f t="shared" si="1"/>
        <v>32</v>
      </c>
      <c r="B42" s="54">
        <v>1030803235</v>
      </c>
      <c r="C42" s="43" t="s">
        <v>22</v>
      </c>
      <c r="D42" s="35">
        <v>5.4</v>
      </c>
      <c r="E42" s="39" t="s">
        <v>13</v>
      </c>
      <c r="F42" s="34">
        <v>2.7</v>
      </c>
      <c r="G42" s="27"/>
      <c r="H42" s="30">
        <f t="shared" si="0"/>
        <v>0</v>
      </c>
      <c r="I42" s="46"/>
      <c r="J42" s="78">
        <v>1602321900</v>
      </c>
      <c r="K42" s="66" t="s">
        <v>185</v>
      </c>
      <c r="L42" s="46" t="s">
        <v>197</v>
      </c>
      <c r="M42" s="73">
        <v>90</v>
      </c>
    </row>
    <row r="43" spans="1:13" x14ac:dyDescent="0.25">
      <c r="A43" s="43">
        <f t="shared" si="1"/>
        <v>33</v>
      </c>
      <c r="B43" s="54">
        <v>1030803450</v>
      </c>
      <c r="C43" s="43" t="s">
        <v>23</v>
      </c>
      <c r="D43" s="35">
        <v>3.6</v>
      </c>
      <c r="E43" s="39" t="s">
        <v>14</v>
      </c>
      <c r="F43" s="34">
        <v>0.4</v>
      </c>
      <c r="G43" s="38"/>
      <c r="H43" s="30">
        <f t="shared" si="0"/>
        <v>0</v>
      </c>
      <c r="I43" s="46"/>
      <c r="J43" s="78">
        <v>1602321900</v>
      </c>
      <c r="K43" s="66" t="s">
        <v>183</v>
      </c>
      <c r="L43" s="77" t="s">
        <v>198</v>
      </c>
      <c r="M43" s="73">
        <v>90</v>
      </c>
    </row>
    <row r="44" spans="1:13" x14ac:dyDescent="0.25">
      <c r="A44" s="43">
        <f t="shared" si="1"/>
        <v>34</v>
      </c>
      <c r="B44" s="54">
        <v>1030803635</v>
      </c>
      <c r="C44" s="43" t="s">
        <v>24</v>
      </c>
      <c r="D44" s="35">
        <v>5.6</v>
      </c>
      <c r="E44" s="39" t="s">
        <v>14</v>
      </c>
      <c r="F44" s="34">
        <v>0.8</v>
      </c>
      <c r="G44" s="38"/>
      <c r="H44" s="30">
        <f t="shared" si="0"/>
        <v>0</v>
      </c>
      <c r="I44" s="46"/>
      <c r="J44" s="78">
        <v>1602321900</v>
      </c>
      <c r="K44" s="66" t="s">
        <v>183</v>
      </c>
      <c r="L44" s="77" t="s">
        <v>198</v>
      </c>
      <c r="M44" s="73">
        <v>90</v>
      </c>
    </row>
    <row r="45" spans="1:13" x14ac:dyDescent="0.25">
      <c r="A45" s="43">
        <f t="shared" si="1"/>
        <v>35</v>
      </c>
      <c r="B45" s="59">
        <v>1030803550</v>
      </c>
      <c r="C45" s="43" t="s">
        <v>25</v>
      </c>
      <c r="D45" s="35">
        <v>3.6</v>
      </c>
      <c r="E45" s="39" t="s">
        <v>14</v>
      </c>
      <c r="F45" s="34">
        <v>0.4</v>
      </c>
      <c r="G45" s="38"/>
      <c r="H45" s="30">
        <f t="shared" si="0"/>
        <v>0</v>
      </c>
      <c r="I45" s="46"/>
      <c r="J45" s="78">
        <v>1602321900</v>
      </c>
      <c r="K45" s="66" t="s">
        <v>183</v>
      </c>
      <c r="L45" s="77" t="s">
        <v>198</v>
      </c>
      <c r="M45" s="73">
        <v>90</v>
      </c>
    </row>
    <row r="46" spans="1:13" x14ac:dyDescent="0.25">
      <c r="A46" s="43">
        <f t="shared" si="1"/>
        <v>36</v>
      </c>
      <c r="B46" s="54">
        <v>1030804220</v>
      </c>
      <c r="C46" s="43" t="s">
        <v>26</v>
      </c>
      <c r="D46" s="35">
        <v>8.6999999999999993</v>
      </c>
      <c r="E46" s="39" t="s">
        <v>13</v>
      </c>
      <c r="F46" s="34">
        <v>2.9</v>
      </c>
      <c r="G46" s="38"/>
      <c r="H46" s="30">
        <f t="shared" si="0"/>
        <v>0</v>
      </c>
      <c r="I46" s="46"/>
      <c r="J46" s="78">
        <v>1602321900</v>
      </c>
      <c r="K46" s="66" t="s">
        <v>185</v>
      </c>
      <c r="L46" s="46" t="s">
        <v>197</v>
      </c>
      <c r="M46" s="73">
        <v>90</v>
      </c>
    </row>
    <row r="47" spans="1:13" x14ac:dyDescent="0.25">
      <c r="A47" s="43">
        <f t="shared" si="1"/>
        <v>37</v>
      </c>
      <c r="B47" s="54">
        <v>1030806974</v>
      </c>
      <c r="C47" s="43" t="s">
        <v>85</v>
      </c>
      <c r="D47" s="27">
        <v>2.5</v>
      </c>
      <c r="E47" s="27" t="s">
        <v>13</v>
      </c>
      <c r="F47" s="34">
        <v>2.5</v>
      </c>
      <c r="G47" s="38"/>
      <c r="H47" s="30">
        <f t="shared" si="0"/>
        <v>0</v>
      </c>
      <c r="I47" s="46" t="s">
        <v>190</v>
      </c>
      <c r="J47" s="87"/>
      <c r="K47" s="71" t="s">
        <v>186</v>
      </c>
      <c r="L47" s="71"/>
      <c r="M47" s="73">
        <v>60</v>
      </c>
    </row>
    <row r="48" spans="1:13" x14ac:dyDescent="0.25">
      <c r="A48" s="43">
        <f t="shared" si="1"/>
        <v>38</v>
      </c>
      <c r="B48" s="92">
        <v>1030419235</v>
      </c>
      <c r="C48" s="89" t="s">
        <v>150</v>
      </c>
      <c r="D48" s="93">
        <v>1.8</v>
      </c>
      <c r="E48" s="27" t="s">
        <v>14</v>
      </c>
      <c r="F48" s="34">
        <v>0.3</v>
      </c>
      <c r="G48" s="38">
        <v>120</v>
      </c>
      <c r="H48" s="30">
        <f>G48*F48</f>
        <v>36</v>
      </c>
      <c r="I48" s="77"/>
      <c r="J48" s="81">
        <v>1601009901</v>
      </c>
      <c r="K48" s="79" t="s">
        <v>182</v>
      </c>
      <c r="L48" s="66" t="s">
        <v>193</v>
      </c>
      <c r="M48" s="73">
        <v>45</v>
      </c>
    </row>
    <row r="49" spans="1:13" x14ac:dyDescent="0.25">
      <c r="A49" s="43">
        <f>A48+1</f>
        <v>39</v>
      </c>
      <c r="B49" s="54">
        <v>1030417205</v>
      </c>
      <c r="C49" s="43" t="s">
        <v>113</v>
      </c>
      <c r="D49" s="37">
        <v>3.8</v>
      </c>
      <c r="E49" s="27" t="s">
        <v>14</v>
      </c>
      <c r="F49" s="34">
        <v>0.42</v>
      </c>
      <c r="G49" s="38"/>
      <c r="H49" s="30">
        <f t="shared" si="0"/>
        <v>0</v>
      </c>
      <c r="I49" s="77"/>
      <c r="J49" s="81">
        <v>1601009901</v>
      </c>
      <c r="K49" s="79" t="s">
        <v>182</v>
      </c>
      <c r="L49" s="66" t="s">
        <v>193</v>
      </c>
      <c r="M49" s="73">
        <v>45</v>
      </c>
    </row>
    <row r="50" spans="1:13" x14ac:dyDescent="0.25">
      <c r="A50" s="43">
        <f t="shared" si="1"/>
        <v>40</v>
      </c>
      <c r="B50" s="54">
        <v>1030417305</v>
      </c>
      <c r="C50" s="43" t="s">
        <v>111</v>
      </c>
      <c r="D50" s="37">
        <v>4.8</v>
      </c>
      <c r="E50" s="27" t="s">
        <v>14</v>
      </c>
      <c r="F50" s="34">
        <v>0.4</v>
      </c>
      <c r="G50" s="38"/>
      <c r="H50" s="30">
        <f t="shared" si="0"/>
        <v>0</v>
      </c>
      <c r="I50" s="77"/>
      <c r="J50" s="81">
        <v>16022493000</v>
      </c>
      <c r="K50" s="79" t="s">
        <v>182</v>
      </c>
      <c r="L50" s="66" t="s">
        <v>193</v>
      </c>
      <c r="M50" s="73">
        <v>60</v>
      </c>
    </row>
    <row r="51" spans="1:13" x14ac:dyDescent="0.25">
      <c r="A51" s="43">
        <f t="shared" si="1"/>
        <v>41</v>
      </c>
      <c r="B51" s="55">
        <v>1030412036</v>
      </c>
      <c r="C51" s="43" t="s">
        <v>27</v>
      </c>
      <c r="D51" s="27">
        <v>2</v>
      </c>
      <c r="E51" s="39" t="s">
        <v>14</v>
      </c>
      <c r="F51" s="34">
        <v>0.5</v>
      </c>
      <c r="G51" s="38"/>
      <c r="H51" s="30">
        <f t="shared" si="0"/>
        <v>0</v>
      </c>
      <c r="I51" s="77"/>
      <c r="J51" s="81">
        <v>1601009901</v>
      </c>
      <c r="K51" s="79" t="s">
        <v>182</v>
      </c>
      <c r="L51" s="66" t="s">
        <v>193</v>
      </c>
      <c r="M51" s="73">
        <v>45</v>
      </c>
    </row>
    <row r="52" spans="1:13" x14ac:dyDescent="0.25">
      <c r="A52" s="43">
        <f t="shared" si="1"/>
        <v>42</v>
      </c>
      <c r="B52" s="55">
        <v>1030417435</v>
      </c>
      <c r="C52" s="43" t="s">
        <v>132</v>
      </c>
      <c r="D52" s="27">
        <v>1.8</v>
      </c>
      <c r="E52" s="39" t="s">
        <v>14</v>
      </c>
      <c r="F52" s="34">
        <v>0.3</v>
      </c>
      <c r="G52" s="38"/>
      <c r="H52" s="30">
        <f t="shared" si="0"/>
        <v>0</v>
      </c>
      <c r="I52" s="77"/>
      <c r="J52" s="81">
        <v>1601009901</v>
      </c>
      <c r="K52" s="79" t="s">
        <v>182</v>
      </c>
      <c r="L52" s="66" t="s">
        <v>193</v>
      </c>
      <c r="M52" s="73">
        <v>45</v>
      </c>
    </row>
    <row r="53" spans="1:13" x14ac:dyDescent="0.25">
      <c r="A53" s="43">
        <f t="shared" si="1"/>
        <v>43</v>
      </c>
      <c r="B53" s="54">
        <v>1030418605</v>
      </c>
      <c r="C53" s="43" t="s">
        <v>143</v>
      </c>
      <c r="D53" s="27">
        <v>1.2</v>
      </c>
      <c r="E53" s="27" t="s">
        <v>14</v>
      </c>
      <c r="F53" s="34">
        <v>0.1</v>
      </c>
      <c r="G53" s="38"/>
      <c r="H53" s="30">
        <f t="shared" si="0"/>
        <v>0</v>
      </c>
      <c r="I53" s="77"/>
      <c r="J53" s="81">
        <v>1601009901</v>
      </c>
      <c r="K53" s="79" t="s">
        <v>182</v>
      </c>
      <c r="L53" s="66" t="s">
        <v>193</v>
      </c>
      <c r="M53" s="73">
        <v>45</v>
      </c>
    </row>
    <row r="54" spans="1:13" x14ac:dyDescent="0.25">
      <c r="A54" s="43">
        <f t="shared" si="1"/>
        <v>44</v>
      </c>
      <c r="B54" s="55">
        <v>1030412136</v>
      </c>
      <c r="C54" s="43" t="s">
        <v>28</v>
      </c>
      <c r="D54" s="27">
        <v>2</v>
      </c>
      <c r="E54" s="39" t="s">
        <v>14</v>
      </c>
      <c r="F54" s="34">
        <v>0.5</v>
      </c>
      <c r="G54" s="38"/>
      <c r="H54" s="30">
        <f t="shared" si="0"/>
        <v>0</v>
      </c>
      <c r="I54" s="77"/>
      <c r="J54" s="81">
        <v>1601009901</v>
      </c>
      <c r="K54" s="79" t="s">
        <v>182</v>
      </c>
      <c r="L54" s="66" t="s">
        <v>193</v>
      </c>
      <c r="M54" s="73">
        <v>45</v>
      </c>
    </row>
    <row r="55" spans="1:13" x14ac:dyDescent="0.25">
      <c r="A55" s="43">
        <f t="shared" si="1"/>
        <v>45</v>
      </c>
      <c r="B55" s="59">
        <v>1030404404</v>
      </c>
      <c r="C55" s="43" t="s">
        <v>29</v>
      </c>
      <c r="D55" s="27">
        <v>2</v>
      </c>
      <c r="E55" s="39" t="s">
        <v>13</v>
      </c>
      <c r="F55" s="34">
        <v>1</v>
      </c>
      <c r="G55" s="38"/>
      <c r="H55" s="30">
        <f t="shared" si="0"/>
        <v>0</v>
      </c>
      <c r="I55" s="77"/>
      <c r="J55" s="81">
        <v>1601009901</v>
      </c>
      <c r="K55" s="79" t="s">
        <v>182</v>
      </c>
      <c r="L55" s="66" t="s">
        <v>193</v>
      </c>
      <c r="M55" s="73">
        <v>60</v>
      </c>
    </row>
    <row r="56" spans="1:13" x14ac:dyDescent="0.25">
      <c r="A56" s="43">
        <f t="shared" si="1"/>
        <v>46</v>
      </c>
      <c r="B56" s="58">
        <v>1030419602</v>
      </c>
      <c r="C56" s="58" t="s">
        <v>165</v>
      </c>
      <c r="D56" s="27">
        <v>6.4</v>
      </c>
      <c r="E56" s="39" t="s">
        <v>14</v>
      </c>
      <c r="F56" s="34">
        <v>0.8</v>
      </c>
      <c r="G56" s="38"/>
      <c r="H56" s="30">
        <f t="shared" si="0"/>
        <v>0</v>
      </c>
      <c r="I56" s="77"/>
      <c r="J56" s="81">
        <v>1601009901</v>
      </c>
      <c r="K56" s="72" t="s">
        <v>182</v>
      </c>
      <c r="L56" s="66" t="s">
        <v>193</v>
      </c>
      <c r="M56" s="76">
        <v>60</v>
      </c>
    </row>
    <row r="57" spans="1:13" x14ac:dyDescent="0.25">
      <c r="A57" s="43">
        <f t="shared" si="1"/>
        <v>47</v>
      </c>
      <c r="B57" s="55">
        <v>1030411735</v>
      </c>
      <c r="C57" s="43" t="s">
        <v>30</v>
      </c>
      <c r="D57" s="27">
        <v>1.8</v>
      </c>
      <c r="E57" s="39" t="s">
        <v>14</v>
      </c>
      <c r="F57" s="34">
        <v>0.3</v>
      </c>
      <c r="G57" s="38"/>
      <c r="H57" s="30">
        <f t="shared" si="0"/>
        <v>0</v>
      </c>
      <c r="I57" s="77"/>
      <c r="J57" s="81">
        <v>1601009901</v>
      </c>
      <c r="K57" s="79" t="s">
        <v>182</v>
      </c>
      <c r="L57" s="66" t="s">
        <v>193</v>
      </c>
      <c r="M57" s="73">
        <v>45</v>
      </c>
    </row>
    <row r="58" spans="1:13" x14ac:dyDescent="0.25">
      <c r="A58" s="43">
        <f t="shared" si="1"/>
        <v>48</v>
      </c>
      <c r="B58" s="55">
        <v>1030411835</v>
      </c>
      <c r="C58" s="43" t="s">
        <v>31</v>
      </c>
      <c r="D58" s="27">
        <v>2.4</v>
      </c>
      <c r="E58" s="39" t="s">
        <v>13</v>
      </c>
      <c r="F58" s="34">
        <v>0.6</v>
      </c>
      <c r="G58" s="38"/>
      <c r="H58" s="30">
        <f t="shared" si="0"/>
        <v>0</v>
      </c>
      <c r="I58" s="77"/>
      <c r="J58" s="81">
        <v>1601009901</v>
      </c>
      <c r="K58" s="79" t="s">
        <v>182</v>
      </c>
      <c r="L58" s="66" t="s">
        <v>193</v>
      </c>
      <c r="M58" s="73">
        <v>60</v>
      </c>
    </row>
    <row r="59" spans="1:13" x14ac:dyDescent="0.25">
      <c r="A59" s="43">
        <f>A58+1</f>
        <v>49</v>
      </c>
      <c r="B59" s="88">
        <v>1030412236</v>
      </c>
      <c r="C59" s="89" t="s">
        <v>32</v>
      </c>
      <c r="D59" s="93">
        <v>2</v>
      </c>
      <c r="E59" s="39" t="s">
        <v>14</v>
      </c>
      <c r="F59" s="34">
        <v>0.5</v>
      </c>
      <c r="G59" s="38">
        <v>252</v>
      </c>
      <c r="H59" s="30">
        <f t="shared" si="0"/>
        <v>126</v>
      </c>
      <c r="I59" s="46"/>
      <c r="J59" s="78">
        <v>1601009901</v>
      </c>
      <c r="K59" s="79" t="s">
        <v>182</v>
      </c>
      <c r="L59" s="66" t="s">
        <v>193</v>
      </c>
      <c r="M59" s="73">
        <v>45</v>
      </c>
    </row>
    <row r="60" spans="1:13" x14ac:dyDescent="0.25">
      <c r="A60" s="43">
        <f t="shared" si="1"/>
        <v>50</v>
      </c>
      <c r="B60" s="55">
        <v>1030403204</v>
      </c>
      <c r="C60" s="43" t="s">
        <v>33</v>
      </c>
      <c r="D60" s="27">
        <v>2</v>
      </c>
      <c r="E60" s="39" t="s">
        <v>13</v>
      </c>
      <c r="F60" s="34">
        <v>1</v>
      </c>
      <c r="G60" s="38"/>
      <c r="H60" s="30">
        <f t="shared" si="0"/>
        <v>0</v>
      </c>
      <c r="I60" s="46"/>
      <c r="J60" s="78">
        <v>1601009901</v>
      </c>
      <c r="K60" s="79" t="s">
        <v>182</v>
      </c>
      <c r="L60" s="66" t="s">
        <v>193</v>
      </c>
      <c r="M60" s="73">
        <v>60</v>
      </c>
    </row>
    <row r="61" spans="1:13" x14ac:dyDescent="0.25">
      <c r="A61" s="43">
        <f t="shared" si="1"/>
        <v>51</v>
      </c>
      <c r="B61" s="56">
        <v>1030416735</v>
      </c>
      <c r="C61" s="43" t="s">
        <v>107</v>
      </c>
      <c r="D61" s="27">
        <v>2.4000000000000004</v>
      </c>
      <c r="E61" s="39" t="s">
        <v>14</v>
      </c>
      <c r="F61" s="34">
        <v>0.4</v>
      </c>
      <c r="G61" s="38"/>
      <c r="H61" s="30">
        <f t="shared" si="0"/>
        <v>0</v>
      </c>
      <c r="I61" s="46"/>
      <c r="J61" s="78">
        <v>1601009901</v>
      </c>
      <c r="K61" s="79" t="s">
        <v>182</v>
      </c>
      <c r="L61" s="66" t="s">
        <v>193</v>
      </c>
      <c r="M61" s="73">
        <v>60</v>
      </c>
    </row>
    <row r="62" spans="1:13" ht="15" customHeight="1" x14ac:dyDescent="0.25">
      <c r="A62" s="43">
        <f t="shared" si="1"/>
        <v>52</v>
      </c>
      <c r="B62" s="55">
        <v>1030404535</v>
      </c>
      <c r="C62" s="43" t="s">
        <v>34</v>
      </c>
      <c r="D62" s="27">
        <v>3.2</v>
      </c>
      <c r="E62" s="39" t="s">
        <v>13</v>
      </c>
      <c r="F62" s="34">
        <v>0.8</v>
      </c>
      <c r="G62" s="38"/>
      <c r="H62" s="30">
        <f t="shared" si="0"/>
        <v>0</v>
      </c>
      <c r="I62" s="46"/>
      <c r="J62" s="78">
        <v>1601009901</v>
      </c>
      <c r="K62" s="79" t="s">
        <v>182</v>
      </c>
      <c r="L62" s="66" t="s">
        <v>193</v>
      </c>
      <c r="M62" s="73">
        <v>60</v>
      </c>
    </row>
    <row r="63" spans="1:13" x14ac:dyDescent="0.25">
      <c r="A63" s="43">
        <f t="shared" si="1"/>
        <v>53</v>
      </c>
      <c r="B63" s="68">
        <v>1030417869</v>
      </c>
      <c r="C63" s="43" t="s">
        <v>118</v>
      </c>
      <c r="D63" s="27">
        <v>0.9</v>
      </c>
      <c r="E63" s="39" t="s">
        <v>14</v>
      </c>
      <c r="F63" s="34">
        <v>0.15</v>
      </c>
      <c r="G63" s="38"/>
      <c r="H63" s="30">
        <f t="shared" si="0"/>
        <v>0</v>
      </c>
      <c r="I63" s="46"/>
      <c r="J63" s="78">
        <v>1601009901</v>
      </c>
      <c r="K63" s="66" t="s">
        <v>183</v>
      </c>
      <c r="L63" s="77" t="s">
        <v>198</v>
      </c>
      <c r="M63" s="73">
        <v>45</v>
      </c>
    </row>
    <row r="64" spans="1:13" x14ac:dyDescent="0.25">
      <c r="A64" s="43">
        <f t="shared" si="1"/>
        <v>54</v>
      </c>
      <c r="B64" s="94">
        <v>1030712385</v>
      </c>
      <c r="C64" s="89" t="s">
        <v>35</v>
      </c>
      <c r="D64" s="93">
        <v>1.8</v>
      </c>
      <c r="E64" s="39" t="s">
        <v>14</v>
      </c>
      <c r="F64" s="34">
        <v>0.18</v>
      </c>
      <c r="G64" s="36">
        <v>800</v>
      </c>
      <c r="H64" s="30">
        <f t="shared" si="0"/>
        <v>144</v>
      </c>
      <c r="I64" s="46"/>
      <c r="J64" s="78">
        <v>1602491900</v>
      </c>
      <c r="K64" s="79" t="s">
        <v>182</v>
      </c>
      <c r="L64" s="66" t="s">
        <v>193</v>
      </c>
      <c r="M64" s="73">
        <v>90</v>
      </c>
    </row>
    <row r="65" spans="1:13" x14ac:dyDescent="0.25">
      <c r="A65" s="43">
        <f t="shared" si="1"/>
        <v>55</v>
      </c>
      <c r="B65" s="68">
        <v>1030712486</v>
      </c>
      <c r="C65" s="43" t="s">
        <v>36</v>
      </c>
      <c r="D65" s="27">
        <v>1.8</v>
      </c>
      <c r="E65" s="39" t="s">
        <v>14</v>
      </c>
      <c r="F65" s="34">
        <v>0.36</v>
      </c>
      <c r="G65" s="38"/>
      <c r="H65" s="30">
        <f t="shared" si="0"/>
        <v>0</v>
      </c>
      <c r="I65" s="46"/>
      <c r="J65" s="78">
        <v>1602491900</v>
      </c>
      <c r="K65" s="79" t="s">
        <v>182</v>
      </c>
      <c r="L65" s="66" t="s">
        <v>193</v>
      </c>
      <c r="M65" s="73">
        <v>90</v>
      </c>
    </row>
    <row r="66" spans="1:13" x14ac:dyDescent="0.25">
      <c r="A66" s="43">
        <f t="shared" si="1"/>
        <v>56</v>
      </c>
      <c r="B66" s="54">
        <v>1030734735</v>
      </c>
      <c r="C66" s="43" t="s">
        <v>130</v>
      </c>
      <c r="D66" s="27">
        <v>3</v>
      </c>
      <c r="E66" s="40" t="s">
        <v>13</v>
      </c>
      <c r="F66" s="34">
        <v>0.6</v>
      </c>
      <c r="G66" s="27"/>
      <c r="H66" s="30">
        <f t="shared" si="0"/>
        <v>0</v>
      </c>
      <c r="I66" s="46"/>
      <c r="J66" s="78">
        <v>1602311900</v>
      </c>
      <c r="K66" s="79" t="s">
        <v>182</v>
      </c>
      <c r="L66" s="66" t="s">
        <v>193</v>
      </c>
      <c r="M66" s="73">
        <v>31</v>
      </c>
    </row>
    <row r="67" spans="1:13" x14ac:dyDescent="0.25">
      <c r="A67" s="43">
        <f t="shared" si="1"/>
        <v>57</v>
      </c>
      <c r="B67" s="54">
        <v>1030723951</v>
      </c>
      <c r="C67" s="43" t="s">
        <v>110</v>
      </c>
      <c r="D67" s="27">
        <v>2.1</v>
      </c>
      <c r="E67" s="40" t="s">
        <v>13</v>
      </c>
      <c r="F67" s="34">
        <v>0.35</v>
      </c>
      <c r="G67" s="27"/>
      <c r="H67" s="30">
        <f t="shared" si="0"/>
        <v>0</v>
      </c>
      <c r="I67" s="46"/>
      <c r="J67" s="78">
        <v>1602491900</v>
      </c>
      <c r="K67" s="79" t="s">
        <v>182</v>
      </c>
      <c r="L67" s="66" t="s">
        <v>193</v>
      </c>
      <c r="M67" s="73">
        <v>30</v>
      </c>
    </row>
    <row r="68" spans="1:13" x14ac:dyDescent="0.25">
      <c r="A68" s="43">
        <f t="shared" si="1"/>
        <v>58</v>
      </c>
      <c r="B68" s="88">
        <v>1030709904</v>
      </c>
      <c r="C68" s="89" t="s">
        <v>37</v>
      </c>
      <c r="D68" s="93">
        <v>1.8</v>
      </c>
      <c r="E68" s="39" t="s">
        <v>14</v>
      </c>
      <c r="F68" s="34">
        <v>0.3</v>
      </c>
      <c r="G68" s="27"/>
      <c r="H68" s="30">
        <f t="shared" si="0"/>
        <v>0</v>
      </c>
      <c r="I68" s="46"/>
      <c r="J68" s="78">
        <v>1602491900</v>
      </c>
      <c r="K68" s="79" t="s">
        <v>182</v>
      </c>
      <c r="L68" s="66" t="s">
        <v>193</v>
      </c>
      <c r="M68" s="73">
        <v>60</v>
      </c>
    </row>
    <row r="69" spans="1:13" x14ac:dyDescent="0.25">
      <c r="A69" s="43">
        <f t="shared" si="1"/>
        <v>59</v>
      </c>
      <c r="B69" s="43">
        <v>1030708605</v>
      </c>
      <c r="C69" s="43" t="s">
        <v>38</v>
      </c>
      <c r="D69" s="27">
        <v>4.5</v>
      </c>
      <c r="E69" s="39" t="s">
        <v>13</v>
      </c>
      <c r="F69" s="34">
        <v>1.5</v>
      </c>
      <c r="G69" s="27"/>
      <c r="H69" s="30">
        <f t="shared" si="0"/>
        <v>0</v>
      </c>
      <c r="I69" s="46"/>
      <c r="J69" s="78">
        <v>1602491100</v>
      </c>
      <c r="K69" s="79" t="s">
        <v>182</v>
      </c>
      <c r="L69" s="66" t="s">
        <v>193</v>
      </c>
      <c r="M69" s="73">
        <v>60</v>
      </c>
    </row>
    <row r="70" spans="1:13" x14ac:dyDescent="0.25">
      <c r="A70" s="43">
        <f t="shared" si="1"/>
        <v>60</v>
      </c>
      <c r="B70" s="43">
        <v>1030708704</v>
      </c>
      <c r="C70" s="43" t="s">
        <v>39</v>
      </c>
      <c r="D70" s="27">
        <v>2.4</v>
      </c>
      <c r="E70" s="39" t="s">
        <v>13</v>
      </c>
      <c r="F70" s="34">
        <v>0.4</v>
      </c>
      <c r="G70" s="27"/>
      <c r="H70" s="30">
        <f t="shared" si="0"/>
        <v>0</v>
      </c>
      <c r="I70" s="46"/>
      <c r="J70" s="78">
        <v>1602491100</v>
      </c>
      <c r="K70" s="79" t="s">
        <v>182</v>
      </c>
      <c r="L70" s="66" t="s">
        <v>193</v>
      </c>
      <c r="M70" s="73">
        <v>60</v>
      </c>
    </row>
    <row r="71" spans="1:13" x14ac:dyDescent="0.25">
      <c r="A71" s="43">
        <f>A70+1</f>
        <v>61</v>
      </c>
      <c r="B71" s="56">
        <v>1030719957</v>
      </c>
      <c r="C71" s="43" t="s">
        <v>120</v>
      </c>
      <c r="D71" s="27">
        <v>0.85</v>
      </c>
      <c r="E71" s="39" t="s">
        <v>14</v>
      </c>
      <c r="F71" s="34">
        <v>8.5000000000000006E-2</v>
      </c>
      <c r="G71" s="38"/>
      <c r="H71" s="30">
        <f t="shared" si="0"/>
        <v>0</v>
      </c>
      <c r="I71" s="46"/>
      <c r="J71" s="78">
        <v>1602491100</v>
      </c>
      <c r="K71" s="79" t="s">
        <v>182</v>
      </c>
      <c r="L71" s="66" t="s">
        <v>193</v>
      </c>
      <c r="M71" s="73">
        <v>60</v>
      </c>
    </row>
    <row r="72" spans="1:13" x14ac:dyDescent="0.25">
      <c r="A72" s="43">
        <f t="shared" ref="A72:A96" si="2">A71+1</f>
        <v>62</v>
      </c>
      <c r="B72" s="56">
        <v>1030716604</v>
      </c>
      <c r="C72" s="43" t="s">
        <v>128</v>
      </c>
      <c r="D72" s="27">
        <v>2.1</v>
      </c>
      <c r="E72" s="39" t="s">
        <v>13</v>
      </c>
      <c r="F72" s="34">
        <v>0.35</v>
      </c>
      <c r="G72" s="38"/>
      <c r="H72" s="30">
        <f t="shared" si="0"/>
        <v>0</v>
      </c>
      <c r="I72" s="46"/>
      <c r="J72" s="78">
        <v>1602491900</v>
      </c>
      <c r="K72" s="79" t="s">
        <v>182</v>
      </c>
      <c r="L72" s="66" t="s">
        <v>193</v>
      </c>
      <c r="M72" s="73">
        <v>60</v>
      </c>
    </row>
    <row r="73" spans="1:13" x14ac:dyDescent="0.25">
      <c r="A73" s="43">
        <f t="shared" si="2"/>
        <v>63</v>
      </c>
      <c r="B73" s="56">
        <v>1030716504</v>
      </c>
      <c r="C73" s="43" t="s">
        <v>129</v>
      </c>
      <c r="D73" s="27">
        <v>2.1</v>
      </c>
      <c r="E73" s="39" t="s">
        <v>13</v>
      </c>
      <c r="F73" s="34">
        <v>0.35</v>
      </c>
      <c r="G73" s="38"/>
      <c r="H73" s="30">
        <f t="shared" si="0"/>
        <v>0</v>
      </c>
      <c r="I73" s="46"/>
      <c r="J73" s="78">
        <v>1602491900</v>
      </c>
      <c r="K73" s="79" t="s">
        <v>182</v>
      </c>
      <c r="L73" s="66" t="s">
        <v>193</v>
      </c>
      <c r="M73" s="73">
        <v>60</v>
      </c>
    </row>
    <row r="74" spans="1:13" x14ac:dyDescent="0.25">
      <c r="A74" s="43">
        <f t="shared" si="2"/>
        <v>64</v>
      </c>
      <c r="B74" s="56">
        <v>1030734505</v>
      </c>
      <c r="C74" s="43" t="s">
        <v>152</v>
      </c>
      <c r="D74" s="27">
        <v>1.2</v>
      </c>
      <c r="E74" s="39" t="s">
        <v>14</v>
      </c>
      <c r="F74" s="34">
        <v>0.1</v>
      </c>
      <c r="G74" s="38"/>
      <c r="H74" s="30">
        <f t="shared" si="0"/>
        <v>0</v>
      </c>
      <c r="I74" s="46" t="s">
        <v>180</v>
      </c>
      <c r="J74" s="78">
        <v>1602491900</v>
      </c>
      <c r="K74" s="79" t="s">
        <v>182</v>
      </c>
      <c r="L74" s="66" t="s">
        <v>193</v>
      </c>
      <c r="M74" s="73">
        <v>35</v>
      </c>
    </row>
    <row r="75" spans="1:13" x14ac:dyDescent="0.25">
      <c r="A75" s="43">
        <f t="shared" si="2"/>
        <v>65</v>
      </c>
      <c r="B75" s="54">
        <v>1030515905</v>
      </c>
      <c r="C75" s="43" t="s">
        <v>112</v>
      </c>
      <c r="D75" s="37">
        <v>4.2</v>
      </c>
      <c r="E75" s="27" t="s">
        <v>14</v>
      </c>
      <c r="F75" s="34">
        <v>0.3</v>
      </c>
      <c r="G75" s="27"/>
      <c r="H75" s="30">
        <f t="shared" si="0"/>
        <v>0</v>
      </c>
      <c r="I75" s="46"/>
      <c r="J75" s="78">
        <v>1601009901</v>
      </c>
      <c r="K75" s="79" t="s">
        <v>182</v>
      </c>
      <c r="L75" s="66" t="s">
        <v>193</v>
      </c>
      <c r="M75" s="73">
        <v>45</v>
      </c>
    </row>
    <row r="76" spans="1:13" x14ac:dyDescent="0.25">
      <c r="A76" s="43">
        <f t="shared" si="2"/>
        <v>66</v>
      </c>
      <c r="B76" s="59">
        <v>1030516463</v>
      </c>
      <c r="C76" s="43" t="s">
        <v>131</v>
      </c>
      <c r="D76" s="27">
        <v>1.75</v>
      </c>
      <c r="E76" s="39" t="s">
        <v>40</v>
      </c>
      <c r="F76" s="34">
        <v>0.35</v>
      </c>
      <c r="G76" s="38"/>
      <c r="H76" s="30">
        <f t="shared" si="0"/>
        <v>0</v>
      </c>
      <c r="I76" s="46"/>
      <c r="J76" s="78">
        <v>1601009901</v>
      </c>
      <c r="K76" s="66" t="s">
        <v>187</v>
      </c>
      <c r="L76" s="46" t="s">
        <v>195</v>
      </c>
      <c r="M76" s="73">
        <v>45</v>
      </c>
    </row>
    <row r="77" spans="1:13" x14ac:dyDescent="0.25">
      <c r="A77" s="43">
        <f t="shared" si="2"/>
        <v>67</v>
      </c>
      <c r="B77" s="54">
        <v>1030517905</v>
      </c>
      <c r="C77" s="43" t="s">
        <v>167</v>
      </c>
      <c r="D77" s="27">
        <v>3.6</v>
      </c>
      <c r="E77" s="39" t="s">
        <v>14</v>
      </c>
      <c r="F77" s="34">
        <v>0.3</v>
      </c>
      <c r="G77" s="38"/>
      <c r="H77" s="30">
        <f t="shared" ref="H77:H138" si="3">G77*F77</f>
        <v>0</v>
      </c>
      <c r="I77" s="46" t="s">
        <v>180</v>
      </c>
      <c r="J77" s="78">
        <v>1601009901</v>
      </c>
      <c r="K77" s="79" t="s">
        <v>182</v>
      </c>
      <c r="L77" s="66" t="s">
        <v>193</v>
      </c>
      <c r="M77" s="73">
        <v>45</v>
      </c>
    </row>
    <row r="78" spans="1:13" x14ac:dyDescent="0.25">
      <c r="A78" s="43">
        <f t="shared" si="2"/>
        <v>68</v>
      </c>
      <c r="B78" s="54">
        <v>1030515507</v>
      </c>
      <c r="C78" s="43" t="s">
        <v>136</v>
      </c>
      <c r="D78" s="27">
        <v>11.9</v>
      </c>
      <c r="E78" s="39" t="s">
        <v>14</v>
      </c>
      <c r="F78" s="34">
        <v>0.35</v>
      </c>
      <c r="G78" s="38"/>
      <c r="H78" s="30">
        <f t="shared" si="3"/>
        <v>0</v>
      </c>
      <c r="I78" s="46"/>
      <c r="J78" s="78">
        <v>1601009901</v>
      </c>
      <c r="K78" s="66" t="s">
        <v>187</v>
      </c>
      <c r="L78" s="46" t="s">
        <v>195</v>
      </c>
      <c r="M78" s="73">
        <v>45</v>
      </c>
    </row>
    <row r="79" spans="1:13" x14ac:dyDescent="0.25">
      <c r="A79" s="43">
        <f t="shared" si="2"/>
        <v>69</v>
      </c>
      <c r="B79" s="54">
        <v>1030503663</v>
      </c>
      <c r="C79" s="43" t="s">
        <v>42</v>
      </c>
      <c r="D79" s="35">
        <v>1.75</v>
      </c>
      <c r="E79" s="39" t="s">
        <v>14</v>
      </c>
      <c r="F79" s="34">
        <v>0.35</v>
      </c>
      <c r="G79" s="38"/>
      <c r="H79" s="30">
        <f t="shared" si="3"/>
        <v>0</v>
      </c>
      <c r="I79" s="46"/>
      <c r="J79" s="78">
        <v>1601009901</v>
      </c>
      <c r="K79" s="66" t="s">
        <v>187</v>
      </c>
      <c r="L79" s="46" t="s">
        <v>195</v>
      </c>
      <c r="M79" s="73">
        <v>45</v>
      </c>
    </row>
    <row r="80" spans="1:13" x14ac:dyDescent="0.25">
      <c r="A80" s="43">
        <f t="shared" si="2"/>
        <v>70</v>
      </c>
      <c r="B80" s="55">
        <v>1030502935</v>
      </c>
      <c r="C80" s="43" t="s">
        <v>41</v>
      </c>
      <c r="D80" s="35">
        <v>1.8</v>
      </c>
      <c r="E80" s="39" t="s">
        <v>14</v>
      </c>
      <c r="F80" s="34">
        <v>0.3</v>
      </c>
      <c r="G80" s="38"/>
      <c r="H80" s="30">
        <f t="shared" si="3"/>
        <v>0</v>
      </c>
      <c r="I80" s="46"/>
      <c r="J80" s="78">
        <v>1601009901</v>
      </c>
      <c r="K80" s="79" t="s">
        <v>182</v>
      </c>
      <c r="L80" s="66" t="s">
        <v>193</v>
      </c>
      <c r="M80" s="73">
        <v>45</v>
      </c>
    </row>
    <row r="81" spans="1:13" x14ac:dyDescent="0.25">
      <c r="A81" s="43">
        <f t="shared" si="2"/>
        <v>71</v>
      </c>
      <c r="B81" s="54">
        <v>1030663583</v>
      </c>
      <c r="C81" s="43" t="s">
        <v>86</v>
      </c>
      <c r="D81" s="27">
        <v>0.9</v>
      </c>
      <c r="E81" s="27" t="s">
        <v>14</v>
      </c>
      <c r="F81" s="34">
        <v>0.09</v>
      </c>
      <c r="G81" s="38"/>
      <c r="H81" s="30">
        <f t="shared" si="3"/>
        <v>0</v>
      </c>
      <c r="I81" s="46"/>
      <c r="J81" s="78">
        <v>1601009101</v>
      </c>
      <c r="K81" s="66" t="s">
        <v>183</v>
      </c>
      <c r="L81" s="77" t="s">
        <v>198</v>
      </c>
      <c r="M81" s="73">
        <v>45</v>
      </c>
    </row>
    <row r="82" spans="1:13" x14ac:dyDescent="0.25">
      <c r="A82" s="43">
        <f t="shared" si="2"/>
        <v>72</v>
      </c>
      <c r="B82" s="54">
        <v>1030663476</v>
      </c>
      <c r="C82" s="43" t="s">
        <v>87</v>
      </c>
      <c r="D82" s="27">
        <v>1.5</v>
      </c>
      <c r="E82" s="27" t="s">
        <v>14</v>
      </c>
      <c r="F82" s="34">
        <v>0.25</v>
      </c>
      <c r="G82" s="38"/>
      <c r="H82" s="30">
        <f t="shared" si="3"/>
        <v>0</v>
      </c>
      <c r="I82" s="46" t="s">
        <v>190</v>
      </c>
      <c r="J82" s="78">
        <v>1601009101</v>
      </c>
      <c r="K82" s="71" t="s">
        <v>186</v>
      </c>
      <c r="L82" s="71"/>
      <c r="M82" s="73">
        <v>90</v>
      </c>
    </row>
    <row r="83" spans="1:13" x14ac:dyDescent="0.25">
      <c r="A83" s="43">
        <f t="shared" si="2"/>
        <v>73</v>
      </c>
      <c r="B83" s="54">
        <v>1030663376</v>
      </c>
      <c r="C83" s="43" t="s">
        <v>88</v>
      </c>
      <c r="D83" s="27">
        <v>2</v>
      </c>
      <c r="E83" s="27" t="s">
        <v>13</v>
      </c>
      <c r="F83" s="34">
        <v>0.5</v>
      </c>
      <c r="G83" s="38"/>
      <c r="H83" s="30">
        <f t="shared" si="3"/>
        <v>0</v>
      </c>
      <c r="I83" s="46" t="s">
        <v>190</v>
      </c>
      <c r="J83" s="78">
        <v>1601009101</v>
      </c>
      <c r="K83" s="71" t="s">
        <v>186</v>
      </c>
      <c r="L83" s="71"/>
      <c r="M83" s="73">
        <v>90</v>
      </c>
    </row>
    <row r="84" spans="1:13" x14ac:dyDescent="0.25">
      <c r="A84" s="43">
        <f t="shared" si="2"/>
        <v>74</v>
      </c>
      <c r="B84" s="54">
        <v>1030663083</v>
      </c>
      <c r="C84" s="43" t="s">
        <v>89</v>
      </c>
      <c r="D84" s="27">
        <v>0.9</v>
      </c>
      <c r="E84" s="27" t="s">
        <v>14</v>
      </c>
      <c r="F84" s="34">
        <v>0.09</v>
      </c>
      <c r="G84" s="38"/>
      <c r="H84" s="30">
        <f t="shared" si="3"/>
        <v>0</v>
      </c>
      <c r="I84" s="46"/>
      <c r="J84" s="78">
        <v>1601009101</v>
      </c>
      <c r="K84" s="66" t="s">
        <v>183</v>
      </c>
      <c r="L84" s="77" t="s">
        <v>198</v>
      </c>
      <c r="M84" s="73">
        <v>90</v>
      </c>
    </row>
    <row r="85" spans="1:13" x14ac:dyDescent="0.25">
      <c r="A85" s="43">
        <f t="shared" si="2"/>
        <v>75</v>
      </c>
      <c r="B85" s="54">
        <v>1030662774</v>
      </c>
      <c r="C85" s="43" t="s">
        <v>90</v>
      </c>
      <c r="D85" s="27">
        <v>3</v>
      </c>
      <c r="E85" s="27" t="s">
        <v>13</v>
      </c>
      <c r="F85" s="34">
        <v>1</v>
      </c>
      <c r="G85" s="38"/>
      <c r="H85" s="30">
        <f t="shared" si="3"/>
        <v>0</v>
      </c>
      <c r="I85" s="46" t="s">
        <v>190</v>
      </c>
      <c r="J85" s="78">
        <v>1601009101</v>
      </c>
      <c r="K85" s="71" t="s">
        <v>186</v>
      </c>
      <c r="L85" s="71"/>
      <c r="M85" s="73">
        <v>90</v>
      </c>
    </row>
    <row r="86" spans="1:13" x14ac:dyDescent="0.25">
      <c r="A86" s="43">
        <f t="shared" si="2"/>
        <v>76</v>
      </c>
      <c r="B86" s="54">
        <v>1030662575</v>
      </c>
      <c r="C86" s="43" t="s">
        <v>91</v>
      </c>
      <c r="D86" s="27">
        <v>1.5</v>
      </c>
      <c r="E86" s="27" t="s">
        <v>14</v>
      </c>
      <c r="F86" s="34">
        <v>0.25</v>
      </c>
      <c r="G86" s="38"/>
      <c r="H86" s="30">
        <f t="shared" si="3"/>
        <v>0</v>
      </c>
      <c r="I86" s="46" t="s">
        <v>190</v>
      </c>
      <c r="J86" s="78">
        <v>1601009101</v>
      </c>
      <c r="K86" s="71" t="s">
        <v>186</v>
      </c>
      <c r="L86" s="71"/>
      <c r="M86" s="73">
        <v>90</v>
      </c>
    </row>
    <row r="87" spans="1:13" x14ac:dyDescent="0.25">
      <c r="A87" s="43">
        <f t="shared" si="2"/>
        <v>77</v>
      </c>
      <c r="B87" s="54">
        <v>1030678083</v>
      </c>
      <c r="C87" s="43" t="s">
        <v>105</v>
      </c>
      <c r="D87" s="27">
        <v>0.7</v>
      </c>
      <c r="E87" s="27" t="s">
        <v>14</v>
      </c>
      <c r="F87" s="34">
        <v>7.0000000000000007E-2</v>
      </c>
      <c r="G87" s="38"/>
      <c r="H87" s="30">
        <f t="shared" si="3"/>
        <v>0</v>
      </c>
      <c r="I87" s="46"/>
      <c r="J87" s="78">
        <v>1601009101</v>
      </c>
      <c r="K87" s="66" t="s">
        <v>183</v>
      </c>
      <c r="L87" s="77" t="s">
        <v>198</v>
      </c>
      <c r="M87" s="73">
        <v>90</v>
      </c>
    </row>
    <row r="88" spans="1:13" x14ac:dyDescent="0.25">
      <c r="A88" s="43">
        <f t="shared" si="2"/>
        <v>78</v>
      </c>
      <c r="B88" s="54">
        <v>1030664877</v>
      </c>
      <c r="C88" s="43" t="s">
        <v>92</v>
      </c>
      <c r="D88" s="27">
        <v>0.93</v>
      </c>
      <c r="E88" s="27" t="s">
        <v>14</v>
      </c>
      <c r="F88" s="34">
        <v>0.155</v>
      </c>
      <c r="G88" s="38"/>
      <c r="H88" s="30">
        <f t="shared" si="3"/>
        <v>0</v>
      </c>
      <c r="I88" s="46" t="s">
        <v>190</v>
      </c>
      <c r="J88" s="78">
        <v>1601009101</v>
      </c>
      <c r="K88" s="71" t="s">
        <v>186</v>
      </c>
      <c r="L88" s="71"/>
      <c r="M88" s="73">
        <v>90</v>
      </c>
    </row>
    <row r="89" spans="1:13" x14ac:dyDescent="0.25">
      <c r="A89" s="43">
        <f t="shared" si="2"/>
        <v>79</v>
      </c>
      <c r="B89" s="54">
        <v>1030664277</v>
      </c>
      <c r="C89" s="43" t="s">
        <v>93</v>
      </c>
      <c r="D89" s="27">
        <v>0.9</v>
      </c>
      <c r="E89" s="27" t="s">
        <v>14</v>
      </c>
      <c r="F89" s="34">
        <v>0.15</v>
      </c>
      <c r="G89" s="38"/>
      <c r="H89" s="30">
        <f t="shared" si="3"/>
        <v>0</v>
      </c>
      <c r="I89" s="46" t="s">
        <v>190</v>
      </c>
      <c r="J89" s="78">
        <v>1601009101</v>
      </c>
      <c r="K89" s="71" t="s">
        <v>186</v>
      </c>
      <c r="L89" s="71"/>
      <c r="M89" s="73">
        <v>90</v>
      </c>
    </row>
    <row r="90" spans="1:13" x14ac:dyDescent="0.25">
      <c r="A90" s="43">
        <f t="shared" si="2"/>
        <v>80</v>
      </c>
      <c r="B90" s="54">
        <v>1030664677</v>
      </c>
      <c r="C90" s="43" t="s">
        <v>94</v>
      </c>
      <c r="D90" s="27">
        <v>0.66</v>
      </c>
      <c r="E90" s="27" t="s">
        <v>14</v>
      </c>
      <c r="F90" s="34">
        <v>0.11</v>
      </c>
      <c r="G90" s="38"/>
      <c r="H90" s="30">
        <f t="shared" si="3"/>
        <v>0</v>
      </c>
      <c r="I90" s="46" t="s">
        <v>190</v>
      </c>
      <c r="J90" s="78">
        <v>1601009101</v>
      </c>
      <c r="K90" s="71" t="s">
        <v>186</v>
      </c>
      <c r="L90" s="71"/>
      <c r="M90" s="73">
        <v>90</v>
      </c>
    </row>
    <row r="91" spans="1:13" x14ac:dyDescent="0.25">
      <c r="A91" s="43">
        <f t="shared" si="2"/>
        <v>81</v>
      </c>
      <c r="B91" s="54">
        <v>1030664477</v>
      </c>
      <c r="C91" s="43" t="s">
        <v>95</v>
      </c>
      <c r="D91" s="27">
        <v>0.66</v>
      </c>
      <c r="E91" s="27" t="s">
        <v>14</v>
      </c>
      <c r="F91" s="34">
        <v>0.11</v>
      </c>
      <c r="G91" s="38"/>
      <c r="H91" s="30">
        <f t="shared" si="3"/>
        <v>0</v>
      </c>
      <c r="I91" s="46" t="s">
        <v>190</v>
      </c>
      <c r="J91" s="78">
        <v>1601009101</v>
      </c>
      <c r="K91" s="71" t="s">
        <v>186</v>
      </c>
      <c r="L91" s="71"/>
      <c r="M91" s="73">
        <v>90</v>
      </c>
    </row>
    <row r="92" spans="1:13" x14ac:dyDescent="0.25">
      <c r="A92" s="43">
        <f t="shared" si="2"/>
        <v>82</v>
      </c>
      <c r="B92" s="54">
        <v>1030684277</v>
      </c>
      <c r="C92" s="43" t="s">
        <v>138</v>
      </c>
      <c r="D92" s="27">
        <v>0.66</v>
      </c>
      <c r="E92" s="27" t="s">
        <v>14</v>
      </c>
      <c r="F92" s="34">
        <v>0.11</v>
      </c>
      <c r="G92" s="38"/>
      <c r="H92" s="30">
        <f t="shared" si="3"/>
        <v>0</v>
      </c>
      <c r="I92" s="46" t="s">
        <v>190</v>
      </c>
      <c r="J92" s="78">
        <v>1601009101</v>
      </c>
      <c r="K92" s="71" t="s">
        <v>186</v>
      </c>
      <c r="L92" s="71"/>
      <c r="M92" s="73">
        <v>90</v>
      </c>
    </row>
    <row r="93" spans="1:13" x14ac:dyDescent="0.25">
      <c r="A93" s="43">
        <f t="shared" si="2"/>
        <v>83</v>
      </c>
      <c r="B93" s="92">
        <v>1030633904</v>
      </c>
      <c r="C93" s="89" t="s">
        <v>43</v>
      </c>
      <c r="D93" s="90">
        <v>0.9</v>
      </c>
      <c r="E93" s="39" t="s">
        <v>14</v>
      </c>
      <c r="F93" s="34">
        <v>0.15</v>
      </c>
      <c r="G93" s="38"/>
      <c r="H93" s="30">
        <f t="shared" si="3"/>
        <v>0</v>
      </c>
      <c r="I93" s="46"/>
      <c r="J93" s="78">
        <v>1601009101</v>
      </c>
      <c r="K93" s="79" t="s">
        <v>182</v>
      </c>
      <c r="L93" s="66" t="s">
        <v>193</v>
      </c>
      <c r="M93" s="73">
        <v>90</v>
      </c>
    </row>
    <row r="94" spans="1:13" x14ac:dyDescent="0.25">
      <c r="A94" s="43">
        <f t="shared" si="2"/>
        <v>84</v>
      </c>
      <c r="B94" s="54">
        <v>1030662183</v>
      </c>
      <c r="C94" s="43" t="s">
        <v>103</v>
      </c>
      <c r="D94" s="27">
        <v>0.6</v>
      </c>
      <c r="E94" s="27" t="s">
        <v>14</v>
      </c>
      <c r="F94" s="34">
        <v>0.1</v>
      </c>
      <c r="G94" s="38"/>
      <c r="H94" s="30">
        <f t="shared" si="3"/>
        <v>0</v>
      </c>
      <c r="I94" s="46"/>
      <c r="J94" s="78">
        <v>1602411000</v>
      </c>
      <c r="K94" s="66" t="s">
        <v>183</v>
      </c>
      <c r="L94" s="77" t="s">
        <v>198</v>
      </c>
      <c r="M94" s="73">
        <v>90</v>
      </c>
    </row>
    <row r="95" spans="1:13" x14ac:dyDescent="0.25">
      <c r="A95" s="43">
        <f t="shared" si="2"/>
        <v>85</v>
      </c>
      <c r="B95" s="54">
        <v>1030662974</v>
      </c>
      <c r="C95" s="43" t="s">
        <v>96</v>
      </c>
      <c r="D95" s="27">
        <v>3</v>
      </c>
      <c r="E95" s="27" t="s">
        <v>13</v>
      </c>
      <c r="F95" s="34">
        <v>1</v>
      </c>
      <c r="G95" s="38"/>
      <c r="H95" s="30">
        <f t="shared" si="3"/>
        <v>0</v>
      </c>
      <c r="I95" s="46" t="s">
        <v>190</v>
      </c>
      <c r="J95" s="78">
        <v>1601009101</v>
      </c>
      <c r="K95" s="71" t="s">
        <v>186</v>
      </c>
      <c r="L95" s="71"/>
      <c r="M95" s="73">
        <v>55</v>
      </c>
    </row>
    <row r="96" spans="1:13" x14ac:dyDescent="0.25">
      <c r="A96" s="43">
        <f t="shared" si="2"/>
        <v>86</v>
      </c>
      <c r="B96" s="54">
        <v>1030678483</v>
      </c>
      <c r="C96" s="43" t="s">
        <v>104</v>
      </c>
      <c r="D96" s="27">
        <v>0.7</v>
      </c>
      <c r="E96" s="27" t="s">
        <v>14</v>
      </c>
      <c r="F96" s="34">
        <v>7.0000000000000007E-2</v>
      </c>
      <c r="G96" s="38"/>
      <c r="H96" s="30">
        <f t="shared" si="3"/>
        <v>0</v>
      </c>
      <c r="I96" s="46"/>
      <c r="J96" s="78">
        <v>1601009101</v>
      </c>
      <c r="K96" s="66" t="s">
        <v>183</v>
      </c>
      <c r="L96" s="77" t="s">
        <v>198</v>
      </c>
      <c r="M96" s="73">
        <v>90</v>
      </c>
    </row>
    <row r="97" spans="1:15" x14ac:dyDescent="0.25">
      <c r="A97" s="43">
        <f t="shared" ref="A97:A160" si="4">A96+1</f>
        <v>87</v>
      </c>
      <c r="B97" s="56">
        <v>1030680357</v>
      </c>
      <c r="C97" s="43" t="s">
        <v>125</v>
      </c>
      <c r="D97" s="35">
        <v>0.85</v>
      </c>
      <c r="E97" s="39" t="s">
        <v>14</v>
      </c>
      <c r="F97" s="34">
        <v>8.5000000000000006E-2</v>
      </c>
      <c r="G97" s="38"/>
      <c r="H97" s="30">
        <f t="shared" si="3"/>
        <v>0</v>
      </c>
      <c r="I97" s="46"/>
      <c r="J97" s="78">
        <v>1601009101</v>
      </c>
      <c r="K97" s="79" t="s">
        <v>182</v>
      </c>
      <c r="L97" s="66" t="s">
        <v>193</v>
      </c>
      <c r="M97" s="73">
        <v>90</v>
      </c>
    </row>
    <row r="98" spans="1:15" x14ac:dyDescent="0.25">
      <c r="A98" s="43">
        <f t="shared" si="4"/>
        <v>88</v>
      </c>
      <c r="B98" s="55">
        <v>1030686051</v>
      </c>
      <c r="C98" s="43" t="s">
        <v>44</v>
      </c>
      <c r="D98" s="35">
        <v>3.3</v>
      </c>
      <c r="E98" s="39" t="s">
        <v>13</v>
      </c>
      <c r="F98" s="34">
        <v>0.55000000000000004</v>
      </c>
      <c r="G98" s="38"/>
      <c r="H98" s="30">
        <f t="shared" si="3"/>
        <v>0</v>
      </c>
      <c r="I98" s="46"/>
      <c r="J98" s="78">
        <v>1601009101</v>
      </c>
      <c r="K98" s="79" t="s">
        <v>182</v>
      </c>
      <c r="L98" s="66" t="s">
        <v>193</v>
      </c>
      <c r="M98" s="73">
        <v>150</v>
      </c>
    </row>
    <row r="99" spans="1:15" x14ac:dyDescent="0.25">
      <c r="A99" s="43">
        <f t="shared" si="4"/>
        <v>89</v>
      </c>
      <c r="B99" s="88">
        <v>1030686740</v>
      </c>
      <c r="C99" s="89" t="s">
        <v>45</v>
      </c>
      <c r="D99" s="90">
        <v>3.6</v>
      </c>
      <c r="E99" s="39" t="s">
        <v>14</v>
      </c>
      <c r="F99" s="34">
        <v>0.3</v>
      </c>
      <c r="G99" s="38">
        <v>600</v>
      </c>
      <c r="H99" s="30">
        <f t="shared" si="3"/>
        <v>180</v>
      </c>
      <c r="I99" s="46"/>
      <c r="J99" s="78">
        <v>1601009101</v>
      </c>
      <c r="K99" s="79" t="s">
        <v>182</v>
      </c>
      <c r="L99" s="66" t="s">
        <v>193</v>
      </c>
      <c r="M99" s="73">
        <v>150</v>
      </c>
    </row>
    <row r="100" spans="1:15" s="41" customFormat="1" x14ac:dyDescent="0.25">
      <c r="A100" s="43">
        <f t="shared" si="4"/>
        <v>90</v>
      </c>
      <c r="B100" s="88">
        <v>1030686857</v>
      </c>
      <c r="C100" s="89" t="s">
        <v>47</v>
      </c>
      <c r="D100" s="90">
        <v>3.6</v>
      </c>
      <c r="E100" s="39" t="s">
        <v>14</v>
      </c>
      <c r="F100" s="34">
        <v>0.3</v>
      </c>
      <c r="G100" s="38">
        <v>396</v>
      </c>
      <c r="H100" s="30">
        <f t="shared" si="3"/>
        <v>118.8</v>
      </c>
      <c r="I100" s="47"/>
      <c r="J100" s="82">
        <v>1601009101</v>
      </c>
      <c r="K100" s="66" t="s">
        <v>188</v>
      </c>
      <c r="L100" s="46" t="s">
        <v>196</v>
      </c>
      <c r="M100" s="73">
        <v>135</v>
      </c>
      <c r="O100"/>
    </row>
    <row r="101" spans="1:15" x14ac:dyDescent="0.25">
      <c r="A101" s="43">
        <f t="shared" si="4"/>
        <v>91</v>
      </c>
      <c r="B101" s="55">
        <v>1030686641</v>
      </c>
      <c r="C101" s="43" t="s">
        <v>46</v>
      </c>
      <c r="D101" s="35">
        <v>2.4</v>
      </c>
      <c r="E101" s="39" t="s">
        <v>13</v>
      </c>
      <c r="F101" s="34">
        <v>0.6</v>
      </c>
      <c r="G101" s="38"/>
      <c r="H101" s="30">
        <f t="shared" si="3"/>
        <v>0</v>
      </c>
      <c r="I101" s="46"/>
      <c r="J101" s="82">
        <v>1601009101</v>
      </c>
      <c r="K101" s="66" t="s">
        <v>188</v>
      </c>
      <c r="L101" s="46" t="s">
        <v>196</v>
      </c>
      <c r="M101" s="73">
        <v>150</v>
      </c>
    </row>
    <row r="102" spans="1:15" x14ac:dyDescent="0.25">
      <c r="A102" s="43">
        <f t="shared" si="4"/>
        <v>92</v>
      </c>
      <c r="B102" s="54">
        <v>1030672134</v>
      </c>
      <c r="C102" s="43" t="s">
        <v>48</v>
      </c>
      <c r="D102" s="35">
        <v>1.2000000000000002</v>
      </c>
      <c r="E102" s="39" t="s">
        <v>14</v>
      </c>
      <c r="F102" s="34">
        <v>0.2</v>
      </c>
      <c r="G102" s="38"/>
      <c r="H102" s="30">
        <f t="shared" si="3"/>
        <v>0</v>
      </c>
      <c r="I102" s="46"/>
      <c r="J102" s="82">
        <v>1601009101</v>
      </c>
      <c r="K102" s="66" t="s">
        <v>188</v>
      </c>
      <c r="L102" s="46" t="s">
        <v>196</v>
      </c>
      <c r="M102" s="73">
        <v>135</v>
      </c>
    </row>
    <row r="103" spans="1:15" x14ac:dyDescent="0.25">
      <c r="A103" s="43">
        <f t="shared" si="4"/>
        <v>93</v>
      </c>
      <c r="B103" s="54">
        <v>1030684920</v>
      </c>
      <c r="C103" s="43" t="s">
        <v>166</v>
      </c>
      <c r="D103" s="35">
        <v>3</v>
      </c>
      <c r="E103" s="39" t="s">
        <v>14</v>
      </c>
      <c r="F103" s="34">
        <v>0.5</v>
      </c>
      <c r="G103" s="38"/>
      <c r="H103" s="30">
        <f t="shared" si="3"/>
        <v>0</v>
      </c>
      <c r="I103" s="46" t="s">
        <v>180</v>
      </c>
      <c r="J103" s="82">
        <v>1601009101</v>
      </c>
      <c r="K103" s="66" t="s">
        <v>188</v>
      </c>
      <c r="L103" s="46" t="s">
        <v>196</v>
      </c>
      <c r="M103" s="73">
        <v>150</v>
      </c>
    </row>
    <row r="104" spans="1:15" x14ac:dyDescent="0.25">
      <c r="A104" s="43">
        <f t="shared" si="4"/>
        <v>94</v>
      </c>
      <c r="B104" s="92">
        <v>1030654104</v>
      </c>
      <c r="C104" s="89" t="s">
        <v>49</v>
      </c>
      <c r="D104" s="90">
        <v>1.2</v>
      </c>
      <c r="E104" s="39" t="s">
        <v>14</v>
      </c>
      <c r="F104" s="34">
        <v>0.2</v>
      </c>
      <c r="G104" s="38">
        <v>300</v>
      </c>
      <c r="H104" s="30">
        <f t="shared" si="3"/>
        <v>60</v>
      </c>
      <c r="I104" s="46"/>
      <c r="J104" s="82">
        <v>1601009101</v>
      </c>
      <c r="K104" s="79" t="s">
        <v>182</v>
      </c>
      <c r="L104" s="66" t="s">
        <v>193</v>
      </c>
      <c r="M104" s="73">
        <v>90</v>
      </c>
    </row>
    <row r="105" spans="1:15" x14ac:dyDescent="0.25">
      <c r="A105" s="43">
        <f t="shared" si="4"/>
        <v>95</v>
      </c>
      <c r="B105" s="54">
        <v>1030653905</v>
      </c>
      <c r="C105" s="43" t="s">
        <v>50</v>
      </c>
      <c r="D105" s="35">
        <v>1.02</v>
      </c>
      <c r="E105" s="39" t="s">
        <v>14</v>
      </c>
      <c r="F105" s="34">
        <v>8.5000000000000006E-2</v>
      </c>
      <c r="G105" s="38"/>
      <c r="H105" s="30">
        <f t="shared" si="3"/>
        <v>0</v>
      </c>
      <c r="I105" s="46"/>
      <c r="J105" s="82">
        <v>1601009101</v>
      </c>
      <c r="K105" s="79" t="s">
        <v>182</v>
      </c>
      <c r="L105" s="66" t="s">
        <v>193</v>
      </c>
      <c r="M105" s="73">
        <v>90</v>
      </c>
    </row>
    <row r="106" spans="1:15" x14ac:dyDescent="0.25">
      <c r="A106" s="43">
        <f t="shared" si="4"/>
        <v>96</v>
      </c>
      <c r="B106" s="54">
        <v>1030683905</v>
      </c>
      <c r="C106" s="43" t="s">
        <v>146</v>
      </c>
      <c r="D106" s="35">
        <v>0.85</v>
      </c>
      <c r="E106" s="39" t="s">
        <v>14</v>
      </c>
      <c r="F106" s="34">
        <v>8.5000000000000006E-2</v>
      </c>
      <c r="G106" s="38"/>
      <c r="H106" s="30">
        <f t="shared" si="3"/>
        <v>0</v>
      </c>
      <c r="I106" s="46" t="s">
        <v>180</v>
      </c>
      <c r="J106" s="82">
        <v>1601009101</v>
      </c>
      <c r="K106" s="79" t="s">
        <v>182</v>
      </c>
      <c r="L106" s="66" t="s">
        <v>193</v>
      </c>
      <c r="M106" s="73">
        <v>90</v>
      </c>
    </row>
    <row r="107" spans="1:15" x14ac:dyDescent="0.25">
      <c r="A107" s="43">
        <f t="shared" si="4"/>
        <v>97</v>
      </c>
      <c r="B107" s="54">
        <v>1031300908</v>
      </c>
      <c r="C107" s="43" t="s">
        <v>99</v>
      </c>
      <c r="D107" s="27">
        <v>0.7</v>
      </c>
      <c r="E107" s="39" t="s">
        <v>14</v>
      </c>
      <c r="F107" s="34">
        <v>7.0000000000000007E-2</v>
      </c>
      <c r="G107" s="38"/>
      <c r="H107" s="30">
        <f t="shared" si="3"/>
        <v>0</v>
      </c>
      <c r="I107" s="46"/>
      <c r="J107" s="82">
        <v>1601009101</v>
      </c>
      <c r="K107" s="79" t="s">
        <v>182</v>
      </c>
      <c r="L107" s="66" t="s">
        <v>193</v>
      </c>
      <c r="M107" s="73">
        <v>90</v>
      </c>
    </row>
    <row r="108" spans="1:15" x14ac:dyDescent="0.25">
      <c r="A108" s="43">
        <f t="shared" si="4"/>
        <v>98</v>
      </c>
      <c r="B108" s="54">
        <v>1031300808</v>
      </c>
      <c r="C108" s="43" t="s">
        <v>51</v>
      </c>
      <c r="D108" s="27">
        <v>0.7</v>
      </c>
      <c r="E108" s="39" t="s">
        <v>14</v>
      </c>
      <c r="F108" s="34">
        <v>7.0000000000000007E-2</v>
      </c>
      <c r="G108" s="38"/>
      <c r="H108" s="30">
        <f t="shared" si="3"/>
        <v>0</v>
      </c>
      <c r="I108" s="46"/>
      <c r="J108" s="82">
        <v>1601009101</v>
      </c>
      <c r="K108" s="79" t="s">
        <v>182</v>
      </c>
      <c r="L108" s="66" t="s">
        <v>193</v>
      </c>
      <c r="M108" s="73">
        <v>90</v>
      </c>
    </row>
    <row r="109" spans="1:15" x14ac:dyDescent="0.25">
      <c r="A109" s="43">
        <f t="shared" si="4"/>
        <v>99</v>
      </c>
      <c r="B109" s="56">
        <v>1030686541</v>
      </c>
      <c r="C109" s="43" t="s">
        <v>148</v>
      </c>
      <c r="D109" s="27">
        <v>2.4</v>
      </c>
      <c r="E109" s="39" t="s">
        <v>13</v>
      </c>
      <c r="F109" s="34">
        <v>0.6</v>
      </c>
      <c r="G109" s="38"/>
      <c r="H109" s="30">
        <f t="shared" si="3"/>
        <v>0</v>
      </c>
      <c r="I109" s="46"/>
      <c r="J109" s="82">
        <v>1601009101</v>
      </c>
      <c r="K109" s="66" t="s">
        <v>188</v>
      </c>
      <c r="L109" s="46" t="s">
        <v>196</v>
      </c>
      <c r="M109" s="73">
        <v>150</v>
      </c>
    </row>
    <row r="110" spans="1:15" x14ac:dyDescent="0.25">
      <c r="A110" s="43">
        <f t="shared" si="4"/>
        <v>100</v>
      </c>
      <c r="B110" s="92">
        <v>1030686241</v>
      </c>
      <c r="C110" s="89" t="s">
        <v>133</v>
      </c>
      <c r="D110" s="93">
        <v>1.8</v>
      </c>
      <c r="E110" s="39" t="s">
        <v>14</v>
      </c>
      <c r="F110" s="34">
        <v>0.3</v>
      </c>
      <c r="G110" s="36">
        <v>90</v>
      </c>
      <c r="H110" s="30">
        <f t="shared" si="3"/>
        <v>27</v>
      </c>
      <c r="I110" s="46"/>
      <c r="J110" s="82">
        <v>1601009101</v>
      </c>
      <c r="K110" s="66" t="s">
        <v>188</v>
      </c>
      <c r="L110" s="46" t="s">
        <v>196</v>
      </c>
      <c r="M110" s="73">
        <v>135</v>
      </c>
    </row>
    <row r="111" spans="1:15" x14ac:dyDescent="0.25">
      <c r="A111" s="43">
        <f t="shared" si="4"/>
        <v>101</v>
      </c>
      <c r="B111" s="59">
        <v>1030686441</v>
      </c>
      <c r="C111" s="43" t="s">
        <v>53</v>
      </c>
      <c r="D111" s="35">
        <v>2.4</v>
      </c>
      <c r="E111" s="39" t="s">
        <v>13</v>
      </c>
      <c r="F111" s="34">
        <v>0.6</v>
      </c>
      <c r="G111" s="38"/>
      <c r="H111" s="30">
        <f t="shared" si="3"/>
        <v>0</v>
      </c>
      <c r="I111" s="46"/>
      <c r="J111" s="82">
        <v>1601009101</v>
      </c>
      <c r="K111" s="66" t="s">
        <v>188</v>
      </c>
      <c r="L111" s="46" t="s">
        <v>196</v>
      </c>
      <c r="M111" s="73">
        <v>150</v>
      </c>
    </row>
    <row r="112" spans="1:15" x14ac:dyDescent="0.25">
      <c r="A112" s="43">
        <f t="shared" si="4"/>
        <v>102</v>
      </c>
      <c r="B112" s="54">
        <v>1030687257</v>
      </c>
      <c r="C112" s="43" t="s">
        <v>140</v>
      </c>
      <c r="D112" s="35">
        <v>3.6</v>
      </c>
      <c r="E112" s="39" t="s">
        <v>13</v>
      </c>
      <c r="F112" s="34">
        <v>0.3</v>
      </c>
      <c r="G112" s="38"/>
      <c r="H112" s="30">
        <f t="shared" si="3"/>
        <v>0</v>
      </c>
      <c r="I112" s="46"/>
      <c r="J112" s="82">
        <v>1601009101</v>
      </c>
      <c r="K112" s="66" t="s">
        <v>188</v>
      </c>
      <c r="L112" s="46" t="s">
        <v>196</v>
      </c>
      <c r="M112" s="73">
        <v>135</v>
      </c>
    </row>
    <row r="113" spans="1:15" x14ac:dyDescent="0.25">
      <c r="A113" s="43">
        <f t="shared" si="4"/>
        <v>103</v>
      </c>
      <c r="B113" s="54">
        <v>1030686341</v>
      </c>
      <c r="C113" s="43" t="s">
        <v>139</v>
      </c>
      <c r="D113" s="35">
        <v>1.8</v>
      </c>
      <c r="E113" s="39" t="s">
        <v>14</v>
      </c>
      <c r="F113" s="34">
        <v>0.3</v>
      </c>
      <c r="G113" s="38"/>
      <c r="H113" s="30">
        <f t="shared" si="3"/>
        <v>0</v>
      </c>
      <c r="I113" s="46"/>
      <c r="J113" s="82">
        <v>1601009101</v>
      </c>
      <c r="K113" s="66" t="s">
        <v>188</v>
      </c>
      <c r="L113" s="46" t="s">
        <v>196</v>
      </c>
      <c r="M113" s="73">
        <v>135</v>
      </c>
    </row>
    <row r="114" spans="1:15" x14ac:dyDescent="0.25">
      <c r="A114" s="43">
        <f t="shared" si="4"/>
        <v>104</v>
      </c>
      <c r="B114" s="54">
        <v>1030650205</v>
      </c>
      <c r="C114" s="43" t="s">
        <v>54</v>
      </c>
      <c r="D114" s="27">
        <v>1.2000000000000002</v>
      </c>
      <c r="E114" s="39" t="s">
        <v>14</v>
      </c>
      <c r="F114" s="34">
        <v>0.1</v>
      </c>
      <c r="G114" s="38"/>
      <c r="H114" s="30">
        <f t="shared" si="3"/>
        <v>0</v>
      </c>
      <c r="I114" s="46"/>
      <c r="J114" s="78">
        <v>1601009101</v>
      </c>
      <c r="K114" s="79" t="s">
        <v>182</v>
      </c>
      <c r="L114" s="66" t="s">
        <v>193</v>
      </c>
      <c r="M114" s="73">
        <v>90</v>
      </c>
    </row>
    <row r="115" spans="1:15" x14ac:dyDescent="0.25">
      <c r="A115" s="43">
        <f t="shared" si="4"/>
        <v>105</v>
      </c>
      <c r="B115" s="92">
        <v>1030650028</v>
      </c>
      <c r="C115" s="89" t="s">
        <v>55</v>
      </c>
      <c r="D115" s="93">
        <v>1.2000000000000002</v>
      </c>
      <c r="E115" s="39" t="s">
        <v>14</v>
      </c>
      <c r="F115" s="34">
        <v>0.1</v>
      </c>
      <c r="G115" s="38">
        <v>204</v>
      </c>
      <c r="H115" s="30">
        <f t="shared" si="3"/>
        <v>20.400000000000002</v>
      </c>
      <c r="I115" s="46"/>
      <c r="J115" s="78">
        <v>1601009101</v>
      </c>
      <c r="K115" s="79" t="s">
        <v>182</v>
      </c>
      <c r="L115" s="66" t="s">
        <v>193</v>
      </c>
      <c r="M115" s="73">
        <v>90</v>
      </c>
    </row>
    <row r="116" spans="1:15" x14ac:dyDescent="0.25">
      <c r="A116" s="43">
        <f t="shared" si="4"/>
        <v>106</v>
      </c>
      <c r="B116" s="92">
        <v>1030657628</v>
      </c>
      <c r="C116" s="89" t="s">
        <v>56</v>
      </c>
      <c r="D116" s="90">
        <v>1.02</v>
      </c>
      <c r="E116" s="39" t="s">
        <v>14</v>
      </c>
      <c r="F116" s="34">
        <v>8.5000000000000006E-2</v>
      </c>
      <c r="G116" s="38">
        <v>203.99999999999997</v>
      </c>
      <c r="H116" s="30">
        <f t="shared" si="3"/>
        <v>17.34</v>
      </c>
      <c r="I116" s="46"/>
      <c r="J116" s="78">
        <v>1601009101</v>
      </c>
      <c r="K116" s="79" t="s">
        <v>182</v>
      </c>
      <c r="L116" s="66" t="s">
        <v>193</v>
      </c>
      <c r="M116" s="73">
        <v>90</v>
      </c>
    </row>
    <row r="117" spans="1:15" x14ac:dyDescent="0.25">
      <c r="A117" s="43">
        <f t="shared" si="4"/>
        <v>107</v>
      </c>
      <c r="B117" s="95">
        <v>1030657419</v>
      </c>
      <c r="C117" s="89" t="s">
        <v>57</v>
      </c>
      <c r="D117" s="90">
        <v>1.8</v>
      </c>
      <c r="E117" s="39" t="s">
        <v>14</v>
      </c>
      <c r="F117" s="34">
        <v>0.3</v>
      </c>
      <c r="G117" s="38">
        <v>48</v>
      </c>
      <c r="H117" s="30">
        <f t="shared" si="3"/>
        <v>14.399999999999999</v>
      </c>
      <c r="I117" s="46"/>
      <c r="J117" s="82">
        <v>1601009101</v>
      </c>
      <c r="K117" s="66" t="s">
        <v>188</v>
      </c>
      <c r="L117" s="46" t="s">
        <v>196</v>
      </c>
      <c r="M117" s="73">
        <v>135</v>
      </c>
    </row>
    <row r="118" spans="1:15" x14ac:dyDescent="0.25">
      <c r="A118" s="43">
        <f t="shared" si="4"/>
        <v>108</v>
      </c>
      <c r="B118" s="59">
        <v>1030657219</v>
      </c>
      <c r="C118" s="43" t="s">
        <v>58</v>
      </c>
      <c r="D118" s="35">
        <v>2.4</v>
      </c>
      <c r="E118" s="39" t="s">
        <v>13</v>
      </c>
      <c r="F118" s="34">
        <v>0.6</v>
      </c>
      <c r="G118" s="38"/>
      <c r="H118" s="30">
        <f t="shared" si="3"/>
        <v>0</v>
      </c>
      <c r="I118" s="46"/>
      <c r="J118" s="82">
        <v>1601009101</v>
      </c>
      <c r="K118" s="66" t="s">
        <v>188</v>
      </c>
      <c r="L118" s="46" t="s">
        <v>196</v>
      </c>
      <c r="M118" s="73">
        <v>150</v>
      </c>
    </row>
    <row r="119" spans="1:15" s="25" customFormat="1" x14ac:dyDescent="0.25">
      <c r="A119" s="43">
        <f t="shared" si="4"/>
        <v>109</v>
      </c>
      <c r="B119" s="88">
        <v>1030679319</v>
      </c>
      <c r="C119" s="89" t="s">
        <v>121</v>
      </c>
      <c r="D119" s="90">
        <v>1.8</v>
      </c>
      <c r="E119" s="39" t="s">
        <v>14</v>
      </c>
      <c r="F119" s="34">
        <v>0.3</v>
      </c>
      <c r="G119" s="38">
        <v>48</v>
      </c>
      <c r="H119" s="30">
        <f t="shared" si="3"/>
        <v>14.399999999999999</v>
      </c>
      <c r="I119" s="48"/>
      <c r="J119" s="82">
        <v>1601009101</v>
      </c>
      <c r="K119" s="66" t="s">
        <v>188</v>
      </c>
      <c r="L119" s="46" t="s">
        <v>196</v>
      </c>
      <c r="M119" s="73">
        <v>135</v>
      </c>
      <c r="O119"/>
    </row>
    <row r="120" spans="1:15" s="25" customFormat="1" x14ac:dyDescent="0.25">
      <c r="A120" s="43">
        <f t="shared" si="4"/>
        <v>110</v>
      </c>
      <c r="B120" s="55">
        <v>1030679419</v>
      </c>
      <c r="C120" s="43" t="s">
        <v>122</v>
      </c>
      <c r="D120" s="35">
        <v>2.4</v>
      </c>
      <c r="E120" s="39" t="s">
        <v>13</v>
      </c>
      <c r="F120" s="34">
        <v>0.6</v>
      </c>
      <c r="G120" s="38"/>
      <c r="H120" s="30">
        <f t="shared" si="3"/>
        <v>0</v>
      </c>
      <c r="I120" s="48"/>
      <c r="J120" s="82">
        <v>1601009101</v>
      </c>
      <c r="K120" s="66" t="s">
        <v>188</v>
      </c>
      <c r="L120" s="46" t="s">
        <v>196</v>
      </c>
      <c r="M120" s="73">
        <v>150</v>
      </c>
      <c r="O120"/>
    </row>
    <row r="121" spans="1:15" x14ac:dyDescent="0.25">
      <c r="A121" s="43">
        <f t="shared" si="4"/>
        <v>111</v>
      </c>
      <c r="B121" s="54">
        <v>1030650605</v>
      </c>
      <c r="C121" s="43" t="s">
        <v>59</v>
      </c>
      <c r="D121" s="35">
        <v>1.02</v>
      </c>
      <c r="E121" s="39" t="s">
        <v>14</v>
      </c>
      <c r="F121" s="34">
        <v>8.5000000000000006E-2</v>
      </c>
      <c r="G121" s="38"/>
      <c r="H121" s="30">
        <f t="shared" si="3"/>
        <v>0</v>
      </c>
      <c r="I121" s="46"/>
      <c r="J121" s="78">
        <v>1601009101</v>
      </c>
      <c r="K121" s="79" t="s">
        <v>182</v>
      </c>
      <c r="L121" s="66" t="s">
        <v>193</v>
      </c>
      <c r="M121" s="73">
        <v>90</v>
      </c>
    </row>
    <row r="122" spans="1:15" ht="13.7" customHeight="1" x14ac:dyDescent="0.25">
      <c r="A122" s="43">
        <f t="shared" si="4"/>
        <v>112</v>
      </c>
      <c r="B122" s="54">
        <v>1030671534</v>
      </c>
      <c r="C122" s="43" t="s">
        <v>60</v>
      </c>
      <c r="D122" s="35">
        <v>1.35</v>
      </c>
      <c r="E122" s="39" t="s">
        <v>14</v>
      </c>
      <c r="F122" s="34">
        <v>0.22500000000000001</v>
      </c>
      <c r="G122" s="38"/>
      <c r="H122" s="30">
        <f t="shared" si="3"/>
        <v>0</v>
      </c>
      <c r="I122" s="46"/>
      <c r="J122" s="82">
        <v>1601009101</v>
      </c>
      <c r="K122" s="66" t="s">
        <v>188</v>
      </c>
      <c r="L122" s="46" t="s">
        <v>196</v>
      </c>
      <c r="M122" s="73">
        <v>135</v>
      </c>
    </row>
    <row r="123" spans="1:15" s="25" customFormat="1" ht="15" customHeight="1" x14ac:dyDescent="0.25">
      <c r="A123" s="43">
        <f t="shared" si="4"/>
        <v>113</v>
      </c>
      <c r="B123" s="54">
        <v>1030688205</v>
      </c>
      <c r="C123" s="43" t="s">
        <v>169</v>
      </c>
      <c r="D123" s="35">
        <v>1.2</v>
      </c>
      <c r="E123" s="39" t="s">
        <v>14</v>
      </c>
      <c r="F123" s="34">
        <v>0.2</v>
      </c>
      <c r="G123" s="38"/>
      <c r="H123" s="30">
        <f t="shared" si="3"/>
        <v>0</v>
      </c>
      <c r="I123" s="46" t="s">
        <v>180</v>
      </c>
      <c r="J123" s="78">
        <v>1601009101</v>
      </c>
      <c r="K123" s="79" t="s">
        <v>182</v>
      </c>
      <c r="L123" s="66" t="s">
        <v>193</v>
      </c>
      <c r="M123" s="73">
        <v>90</v>
      </c>
      <c r="O123"/>
    </row>
    <row r="124" spans="1:15" x14ac:dyDescent="0.25">
      <c r="A124" s="43">
        <f t="shared" si="4"/>
        <v>114</v>
      </c>
      <c r="B124" s="59">
        <v>1030650105</v>
      </c>
      <c r="C124" s="43" t="s">
        <v>61</v>
      </c>
      <c r="D124" s="35">
        <v>1.2000000000000002</v>
      </c>
      <c r="E124" s="39" t="s">
        <v>14</v>
      </c>
      <c r="F124" s="34">
        <v>0.1</v>
      </c>
      <c r="G124" s="38"/>
      <c r="H124" s="30">
        <f t="shared" si="3"/>
        <v>0</v>
      </c>
      <c r="I124" s="46"/>
      <c r="J124" s="78">
        <v>1601009101</v>
      </c>
      <c r="K124" s="79" t="s">
        <v>182</v>
      </c>
      <c r="L124" s="66" t="s">
        <v>193</v>
      </c>
      <c r="M124" s="73">
        <v>90</v>
      </c>
    </row>
    <row r="125" spans="1:15" x14ac:dyDescent="0.25">
      <c r="A125" s="43">
        <f t="shared" si="4"/>
        <v>115</v>
      </c>
      <c r="B125" s="59">
        <v>1030636019</v>
      </c>
      <c r="C125" s="43" t="s">
        <v>62</v>
      </c>
      <c r="D125" s="35">
        <v>1.5</v>
      </c>
      <c r="E125" s="39" t="s">
        <v>14</v>
      </c>
      <c r="F125" s="34">
        <v>0.25</v>
      </c>
      <c r="G125" s="38"/>
      <c r="H125" s="30">
        <f t="shared" si="3"/>
        <v>0</v>
      </c>
      <c r="I125" s="46"/>
      <c r="J125" s="82">
        <v>1601009101</v>
      </c>
      <c r="K125" s="66" t="s">
        <v>188</v>
      </c>
      <c r="L125" s="46" t="s">
        <v>196</v>
      </c>
      <c r="M125" s="73">
        <v>120</v>
      </c>
    </row>
    <row r="126" spans="1:15" x14ac:dyDescent="0.25">
      <c r="A126" s="43">
        <f t="shared" si="4"/>
        <v>116</v>
      </c>
      <c r="B126" s="59">
        <v>1030636520</v>
      </c>
      <c r="C126" s="43" t="s">
        <v>63</v>
      </c>
      <c r="D126" s="35">
        <v>3</v>
      </c>
      <c r="E126" s="39" t="s">
        <v>13</v>
      </c>
      <c r="F126" s="34">
        <v>0.5</v>
      </c>
      <c r="G126" s="38"/>
      <c r="H126" s="30">
        <f t="shared" si="3"/>
        <v>0</v>
      </c>
      <c r="I126" s="46"/>
      <c r="J126" s="82">
        <v>1601009101</v>
      </c>
      <c r="K126" s="66" t="s">
        <v>188</v>
      </c>
      <c r="L126" s="46" t="s">
        <v>196</v>
      </c>
      <c r="M126" s="73">
        <v>150</v>
      </c>
    </row>
    <row r="127" spans="1:15" x14ac:dyDescent="0.25">
      <c r="A127" s="43">
        <f t="shared" si="4"/>
        <v>117</v>
      </c>
      <c r="B127" s="88">
        <v>1030638204</v>
      </c>
      <c r="C127" s="89" t="s">
        <v>64</v>
      </c>
      <c r="D127" s="90">
        <v>1.08</v>
      </c>
      <c r="E127" s="39" t="s">
        <v>14</v>
      </c>
      <c r="F127" s="34">
        <v>0.18</v>
      </c>
      <c r="G127" s="38"/>
      <c r="H127" s="30">
        <f t="shared" si="3"/>
        <v>0</v>
      </c>
      <c r="I127" s="46"/>
      <c r="J127" s="78">
        <v>1601009101</v>
      </c>
      <c r="K127" s="79" t="s">
        <v>182</v>
      </c>
      <c r="L127" s="66" t="s">
        <v>193</v>
      </c>
      <c r="M127" s="73">
        <v>150</v>
      </c>
    </row>
    <row r="128" spans="1:15" x14ac:dyDescent="0.25">
      <c r="A128" s="43">
        <f t="shared" si="4"/>
        <v>118</v>
      </c>
      <c r="B128" s="54">
        <v>1030688634</v>
      </c>
      <c r="C128" s="43" t="s">
        <v>155</v>
      </c>
      <c r="D128" s="35">
        <v>1.35</v>
      </c>
      <c r="E128" s="39" t="s">
        <v>14</v>
      </c>
      <c r="F128" s="34">
        <v>0.22500000000000001</v>
      </c>
      <c r="G128" s="38"/>
      <c r="H128" s="30">
        <f t="shared" si="3"/>
        <v>0</v>
      </c>
      <c r="I128" s="46" t="s">
        <v>180</v>
      </c>
      <c r="J128" s="82">
        <v>1601009101</v>
      </c>
      <c r="K128" s="66" t="s">
        <v>188</v>
      </c>
      <c r="L128" s="46" t="s">
        <v>196</v>
      </c>
      <c r="M128" s="73">
        <v>135</v>
      </c>
    </row>
    <row r="129" spans="1:15" x14ac:dyDescent="0.25">
      <c r="A129" s="43">
        <f t="shared" si="4"/>
        <v>119</v>
      </c>
      <c r="B129" s="55">
        <v>1030670704</v>
      </c>
      <c r="C129" s="43" t="s">
        <v>67</v>
      </c>
      <c r="D129" s="35">
        <v>3</v>
      </c>
      <c r="E129" s="39" t="s">
        <v>13</v>
      </c>
      <c r="F129" s="34">
        <v>0.5</v>
      </c>
      <c r="G129" s="38"/>
      <c r="H129" s="30">
        <f t="shared" si="3"/>
        <v>0</v>
      </c>
      <c r="I129" s="46"/>
      <c r="J129" s="78">
        <v>1601009101</v>
      </c>
      <c r="K129" s="79" t="s">
        <v>182</v>
      </c>
      <c r="L129" s="66" t="s">
        <v>193</v>
      </c>
      <c r="M129" s="73">
        <v>150</v>
      </c>
    </row>
    <row r="130" spans="1:15" x14ac:dyDescent="0.25">
      <c r="A130" s="43">
        <f t="shared" si="4"/>
        <v>120</v>
      </c>
      <c r="B130" s="88">
        <v>1030670844</v>
      </c>
      <c r="C130" s="89" t="s">
        <v>66</v>
      </c>
      <c r="D130" s="90">
        <v>1.5</v>
      </c>
      <c r="E130" s="39" t="s">
        <v>14</v>
      </c>
      <c r="F130" s="34">
        <v>0.25</v>
      </c>
      <c r="G130" s="38">
        <v>552</v>
      </c>
      <c r="H130" s="30">
        <f t="shared" si="3"/>
        <v>138</v>
      </c>
      <c r="I130" s="46"/>
      <c r="J130" s="78">
        <v>1601009101</v>
      </c>
      <c r="K130" s="79" t="s">
        <v>182</v>
      </c>
      <c r="L130" s="66" t="s">
        <v>193</v>
      </c>
      <c r="M130" s="73">
        <v>120</v>
      </c>
    </row>
    <row r="131" spans="1:15" x14ac:dyDescent="0.25">
      <c r="A131" s="43">
        <f t="shared" si="4"/>
        <v>121</v>
      </c>
      <c r="B131" s="54">
        <v>1030670905</v>
      </c>
      <c r="C131" s="43" t="s">
        <v>65</v>
      </c>
      <c r="D131" s="35">
        <v>1.02</v>
      </c>
      <c r="E131" s="39" t="s">
        <v>14</v>
      </c>
      <c r="F131" s="34">
        <v>8.5000000000000006E-2</v>
      </c>
      <c r="G131" s="38"/>
      <c r="H131" s="30">
        <f t="shared" si="3"/>
        <v>0</v>
      </c>
      <c r="I131" s="46"/>
      <c r="J131" s="78">
        <v>1601009101</v>
      </c>
      <c r="K131" s="79" t="s">
        <v>182</v>
      </c>
      <c r="L131" s="66" t="s">
        <v>193</v>
      </c>
      <c r="M131" s="73">
        <v>90</v>
      </c>
    </row>
    <row r="132" spans="1:15" x14ac:dyDescent="0.25">
      <c r="A132" s="43">
        <f t="shared" si="4"/>
        <v>122</v>
      </c>
      <c r="B132" s="58">
        <v>1031302048</v>
      </c>
      <c r="C132" s="58" t="s">
        <v>52</v>
      </c>
      <c r="D132" s="27">
        <v>0.7</v>
      </c>
      <c r="E132" s="39" t="s">
        <v>14</v>
      </c>
      <c r="F132" s="34">
        <v>7.0000000000000007E-2</v>
      </c>
      <c r="G132" s="38"/>
      <c r="H132" s="30">
        <f t="shared" si="3"/>
        <v>0</v>
      </c>
      <c r="I132" s="46"/>
      <c r="J132" s="78">
        <v>1601009101</v>
      </c>
      <c r="K132" s="79" t="s">
        <v>182</v>
      </c>
      <c r="L132" s="66" t="s">
        <v>193</v>
      </c>
      <c r="M132" s="73">
        <v>90</v>
      </c>
    </row>
    <row r="133" spans="1:15" x14ac:dyDescent="0.25">
      <c r="A133" s="43">
        <f t="shared" si="4"/>
        <v>123</v>
      </c>
      <c r="B133" s="56">
        <v>1031302148</v>
      </c>
      <c r="C133" s="56" t="s">
        <v>149</v>
      </c>
      <c r="D133" s="27">
        <v>0.7</v>
      </c>
      <c r="E133" s="39" t="s">
        <v>14</v>
      </c>
      <c r="F133" s="34">
        <v>7.0000000000000007E-2</v>
      </c>
      <c r="G133" s="38"/>
      <c r="H133" s="30">
        <f t="shared" si="3"/>
        <v>0</v>
      </c>
      <c r="I133" s="46"/>
      <c r="J133" s="78">
        <v>1601009101</v>
      </c>
      <c r="K133" s="79" t="s">
        <v>182</v>
      </c>
      <c r="L133" s="66" t="s">
        <v>193</v>
      </c>
      <c r="M133" s="73">
        <v>90</v>
      </c>
    </row>
    <row r="134" spans="1:15" x14ac:dyDescent="0.25">
      <c r="A134" s="43">
        <f t="shared" si="4"/>
        <v>124</v>
      </c>
      <c r="B134" s="54">
        <v>1031301504</v>
      </c>
      <c r="C134" s="43" t="s">
        <v>126</v>
      </c>
      <c r="D134" s="27">
        <v>0.7</v>
      </c>
      <c r="E134" s="39" t="s">
        <v>14</v>
      </c>
      <c r="F134" s="34">
        <v>7.0000000000000007E-2</v>
      </c>
      <c r="G134" s="38"/>
      <c r="H134" s="30">
        <f t="shared" si="3"/>
        <v>0</v>
      </c>
      <c r="I134" s="46"/>
      <c r="J134" s="78">
        <v>1601009101</v>
      </c>
      <c r="K134" s="79" t="s">
        <v>182</v>
      </c>
      <c r="L134" s="66" t="s">
        <v>193</v>
      </c>
      <c r="M134" s="73">
        <v>90</v>
      </c>
    </row>
    <row r="135" spans="1:15" s="25" customFormat="1" x14ac:dyDescent="0.25">
      <c r="A135" s="43">
        <f t="shared" si="4"/>
        <v>125</v>
      </c>
      <c r="B135" s="56">
        <v>1030689334</v>
      </c>
      <c r="C135" s="43" t="s">
        <v>168</v>
      </c>
      <c r="D135" s="37">
        <v>1.35</v>
      </c>
      <c r="E135" s="27" t="s">
        <v>14</v>
      </c>
      <c r="F135" s="34">
        <v>0.22500000000000001</v>
      </c>
      <c r="G135" s="38"/>
      <c r="H135" s="30">
        <f t="shared" si="3"/>
        <v>0</v>
      </c>
      <c r="I135" s="46" t="s">
        <v>180</v>
      </c>
      <c r="J135" s="82">
        <v>1601009101</v>
      </c>
      <c r="K135" s="66" t="s">
        <v>188</v>
      </c>
      <c r="L135" s="46" t="s">
        <v>196</v>
      </c>
      <c r="M135" s="73">
        <v>135</v>
      </c>
      <c r="O135"/>
    </row>
    <row r="136" spans="1:15" x14ac:dyDescent="0.25">
      <c r="A136" s="43">
        <f t="shared" si="4"/>
        <v>126</v>
      </c>
      <c r="B136" s="56">
        <v>1030235505</v>
      </c>
      <c r="C136" s="43" t="s">
        <v>68</v>
      </c>
      <c r="D136" s="35">
        <v>5</v>
      </c>
      <c r="E136" s="39" t="s">
        <v>13</v>
      </c>
      <c r="F136" s="34">
        <v>1.25</v>
      </c>
      <c r="G136" s="38"/>
      <c r="H136" s="30">
        <f t="shared" si="3"/>
        <v>0</v>
      </c>
      <c r="I136" s="46"/>
      <c r="J136" s="78">
        <v>1601009901</v>
      </c>
      <c r="K136" s="79" t="s">
        <v>182</v>
      </c>
      <c r="L136" s="66" t="s">
        <v>193</v>
      </c>
      <c r="M136" s="73">
        <v>30</v>
      </c>
    </row>
    <row r="137" spans="1:15" x14ac:dyDescent="0.25">
      <c r="A137" s="43">
        <f t="shared" si="4"/>
        <v>127</v>
      </c>
      <c r="B137" s="54">
        <v>1030235455</v>
      </c>
      <c r="C137" s="43" t="s">
        <v>69</v>
      </c>
      <c r="D137" s="35">
        <v>6</v>
      </c>
      <c r="E137" s="39" t="s">
        <v>13</v>
      </c>
      <c r="F137" s="34">
        <v>1.5</v>
      </c>
      <c r="G137" s="38"/>
      <c r="H137" s="30">
        <f t="shared" si="3"/>
        <v>0</v>
      </c>
      <c r="I137" s="46"/>
      <c r="J137" s="78">
        <v>1601009901</v>
      </c>
      <c r="K137" s="79" t="s">
        <v>182</v>
      </c>
      <c r="L137" s="66" t="s">
        <v>193</v>
      </c>
      <c r="M137" s="73">
        <v>30</v>
      </c>
    </row>
    <row r="138" spans="1:15" x14ac:dyDescent="0.25">
      <c r="A138" s="43">
        <f t="shared" si="4"/>
        <v>128</v>
      </c>
      <c r="B138" s="56">
        <v>1030230771</v>
      </c>
      <c r="C138" s="43" t="s">
        <v>127</v>
      </c>
      <c r="D138" s="27">
        <v>1.8</v>
      </c>
      <c r="E138" s="27" t="s">
        <v>14</v>
      </c>
      <c r="F138" s="34">
        <v>0.3</v>
      </c>
      <c r="G138" s="38"/>
      <c r="H138" s="30">
        <f t="shared" si="3"/>
        <v>0</v>
      </c>
      <c r="I138" s="46"/>
      <c r="J138" s="78">
        <v>1601009901</v>
      </c>
      <c r="K138" s="66" t="s">
        <v>183</v>
      </c>
      <c r="L138" s="77" t="s">
        <v>198</v>
      </c>
      <c r="M138" s="73">
        <v>31</v>
      </c>
    </row>
    <row r="139" spans="1:15" x14ac:dyDescent="0.25">
      <c r="A139" s="43">
        <f t="shared" si="4"/>
        <v>129</v>
      </c>
      <c r="B139" s="56">
        <v>1030231003</v>
      </c>
      <c r="C139" s="43" t="s">
        <v>134</v>
      </c>
      <c r="D139" s="27">
        <v>1.3440000000000001</v>
      </c>
      <c r="E139" s="27" t="s">
        <v>14</v>
      </c>
      <c r="F139" s="34">
        <v>0.33600000000000002</v>
      </c>
      <c r="G139" s="38"/>
      <c r="H139" s="30">
        <f t="shared" ref="H139:H173" si="5">G139*F139</f>
        <v>0</v>
      </c>
      <c r="I139" s="46"/>
      <c r="J139" s="78">
        <v>1601009901</v>
      </c>
      <c r="K139" s="79" t="s">
        <v>182</v>
      </c>
      <c r="L139" s="66" t="s">
        <v>193</v>
      </c>
      <c r="M139" s="73">
        <v>31</v>
      </c>
    </row>
    <row r="140" spans="1:15" x14ac:dyDescent="0.25">
      <c r="A140" s="43">
        <f t="shared" si="4"/>
        <v>130</v>
      </c>
      <c r="B140" s="59">
        <v>1030228416</v>
      </c>
      <c r="C140" s="43" t="s">
        <v>70</v>
      </c>
      <c r="D140" s="35">
        <v>3.6</v>
      </c>
      <c r="E140" s="39" t="s">
        <v>14</v>
      </c>
      <c r="F140" s="34">
        <v>0.45</v>
      </c>
      <c r="G140" s="38"/>
      <c r="H140" s="30">
        <f t="shared" si="5"/>
        <v>0</v>
      </c>
      <c r="I140" s="46"/>
      <c r="J140" s="78">
        <v>1601009901</v>
      </c>
      <c r="K140" s="79" t="s">
        <v>182</v>
      </c>
      <c r="L140" s="66" t="s">
        <v>193</v>
      </c>
      <c r="M140" s="73">
        <v>35</v>
      </c>
    </row>
    <row r="141" spans="1:15" x14ac:dyDescent="0.25">
      <c r="A141" s="43">
        <f t="shared" si="4"/>
        <v>131</v>
      </c>
      <c r="B141" s="95">
        <v>1030228316</v>
      </c>
      <c r="C141" s="89" t="s">
        <v>71</v>
      </c>
      <c r="D141" s="90">
        <v>5</v>
      </c>
      <c r="E141" s="39" t="s">
        <v>13</v>
      </c>
      <c r="F141" s="34">
        <v>1.25</v>
      </c>
      <c r="G141" s="38">
        <v>80</v>
      </c>
      <c r="H141" s="30">
        <f>G141*1</f>
        <v>80</v>
      </c>
      <c r="I141" s="46"/>
      <c r="J141" s="78">
        <v>1601009901</v>
      </c>
      <c r="K141" s="79" t="s">
        <v>182</v>
      </c>
      <c r="L141" s="66" t="s">
        <v>193</v>
      </c>
      <c r="M141" s="73">
        <v>35</v>
      </c>
    </row>
    <row r="142" spans="1:15" x14ac:dyDescent="0.25">
      <c r="A142" s="43">
        <f t="shared" si="4"/>
        <v>132</v>
      </c>
      <c r="B142" s="78">
        <v>1030233855</v>
      </c>
      <c r="C142" s="43" t="s">
        <v>159</v>
      </c>
      <c r="D142" s="35">
        <v>6</v>
      </c>
      <c r="E142" s="39" t="s">
        <v>13</v>
      </c>
      <c r="F142" s="34">
        <v>1.5</v>
      </c>
      <c r="G142" s="38"/>
      <c r="H142" s="30">
        <f t="shared" si="5"/>
        <v>0</v>
      </c>
      <c r="I142" s="46" t="s">
        <v>180</v>
      </c>
      <c r="J142" s="78">
        <v>1601009901</v>
      </c>
      <c r="K142" s="79" t="s">
        <v>182</v>
      </c>
      <c r="L142" s="66" t="s">
        <v>193</v>
      </c>
      <c r="M142" s="73">
        <v>30</v>
      </c>
    </row>
    <row r="143" spans="1:15" x14ac:dyDescent="0.25">
      <c r="A143" s="43">
        <f t="shared" si="4"/>
        <v>133</v>
      </c>
      <c r="B143" s="54">
        <v>1030227474</v>
      </c>
      <c r="C143" s="43" t="s">
        <v>98</v>
      </c>
      <c r="D143" s="27">
        <v>4.8</v>
      </c>
      <c r="E143" s="27" t="s">
        <v>14</v>
      </c>
      <c r="F143" s="34">
        <v>1.2</v>
      </c>
      <c r="G143" s="38"/>
      <c r="H143" s="30">
        <f t="shared" si="5"/>
        <v>0</v>
      </c>
      <c r="I143" s="46"/>
      <c r="J143" s="78">
        <v>1601009901</v>
      </c>
      <c r="K143" s="66" t="s">
        <v>183</v>
      </c>
      <c r="L143" s="77" t="s">
        <v>198</v>
      </c>
      <c r="M143" s="73">
        <v>120</v>
      </c>
    </row>
    <row r="144" spans="1:15" s="41" customFormat="1" x14ac:dyDescent="0.25">
      <c r="A144" s="43">
        <f t="shared" si="4"/>
        <v>134</v>
      </c>
      <c r="B144" s="95">
        <v>1030234120</v>
      </c>
      <c r="C144" s="89" t="s">
        <v>72</v>
      </c>
      <c r="D144" s="93">
        <v>1.6</v>
      </c>
      <c r="E144" s="40" t="s">
        <v>14</v>
      </c>
      <c r="F144" s="34">
        <v>0.4</v>
      </c>
      <c r="G144" s="38">
        <v>400</v>
      </c>
      <c r="H144" s="30">
        <f t="shared" si="5"/>
        <v>160</v>
      </c>
      <c r="I144" s="47"/>
      <c r="J144" s="82">
        <v>1601009901</v>
      </c>
      <c r="K144" s="79" t="s">
        <v>182</v>
      </c>
      <c r="L144" s="66" t="s">
        <v>193</v>
      </c>
      <c r="M144" s="73">
        <v>41</v>
      </c>
      <c r="O144"/>
    </row>
    <row r="145" spans="1:13" x14ac:dyDescent="0.25">
      <c r="A145" s="43">
        <f t="shared" si="4"/>
        <v>135</v>
      </c>
      <c r="B145" s="54">
        <v>1030207903</v>
      </c>
      <c r="C145" s="43" t="s">
        <v>73</v>
      </c>
      <c r="D145" s="35">
        <v>2</v>
      </c>
      <c r="E145" s="39" t="s">
        <v>14</v>
      </c>
      <c r="F145" s="34">
        <v>0.5</v>
      </c>
      <c r="G145" s="38"/>
      <c r="H145" s="30">
        <f t="shared" si="5"/>
        <v>0</v>
      </c>
      <c r="I145" s="46"/>
      <c r="J145" s="82">
        <v>1601009901</v>
      </c>
      <c r="K145" s="79" t="s">
        <v>182</v>
      </c>
      <c r="L145" s="66" t="s">
        <v>193</v>
      </c>
      <c r="M145" s="73">
        <v>25</v>
      </c>
    </row>
    <row r="146" spans="1:13" x14ac:dyDescent="0.25">
      <c r="A146" s="43">
        <f t="shared" si="4"/>
        <v>136</v>
      </c>
      <c r="B146" s="56">
        <v>1030211055</v>
      </c>
      <c r="C146" s="43" t="s">
        <v>74</v>
      </c>
      <c r="D146" s="35">
        <v>6</v>
      </c>
      <c r="E146" s="39" t="s">
        <v>13</v>
      </c>
      <c r="F146" s="34">
        <v>1.5</v>
      </c>
      <c r="G146" s="38"/>
      <c r="H146" s="30">
        <f t="shared" si="5"/>
        <v>0</v>
      </c>
      <c r="I146" s="46"/>
      <c r="J146" s="82">
        <v>1601009901</v>
      </c>
      <c r="K146" s="79" t="s">
        <v>182</v>
      </c>
      <c r="L146" s="66" t="s">
        <v>193</v>
      </c>
      <c r="M146" s="73">
        <v>30</v>
      </c>
    </row>
    <row r="147" spans="1:13" x14ac:dyDescent="0.25">
      <c r="A147" s="43">
        <f t="shared" si="4"/>
        <v>137</v>
      </c>
      <c r="B147" s="59">
        <v>1030227771</v>
      </c>
      <c r="C147" s="43" t="s">
        <v>102</v>
      </c>
      <c r="D147" s="42">
        <v>2.016</v>
      </c>
      <c r="E147" s="39" t="s">
        <v>14</v>
      </c>
      <c r="F147" s="34">
        <v>0.33600000000000002</v>
      </c>
      <c r="G147" s="38"/>
      <c r="H147" s="30">
        <f t="shared" si="5"/>
        <v>0</v>
      </c>
      <c r="I147" s="46"/>
      <c r="J147" s="82">
        <v>1601009901</v>
      </c>
      <c r="K147" s="66" t="s">
        <v>183</v>
      </c>
      <c r="L147" s="77" t="s">
        <v>198</v>
      </c>
      <c r="M147" s="73">
        <v>35</v>
      </c>
    </row>
    <row r="148" spans="1:13" x14ac:dyDescent="0.25">
      <c r="A148" s="43">
        <f t="shared" si="4"/>
        <v>138</v>
      </c>
      <c r="B148" s="88">
        <v>1030228620</v>
      </c>
      <c r="C148" s="89" t="s">
        <v>77</v>
      </c>
      <c r="D148" s="90">
        <v>1.8</v>
      </c>
      <c r="E148" s="39" t="s">
        <v>14</v>
      </c>
      <c r="F148" s="34">
        <v>0.45</v>
      </c>
      <c r="G148" s="38">
        <v>200</v>
      </c>
      <c r="H148" s="30">
        <f>G148*F148</f>
        <v>90</v>
      </c>
      <c r="I148" s="46"/>
      <c r="J148" s="82">
        <v>1601009901</v>
      </c>
      <c r="K148" s="79" t="s">
        <v>182</v>
      </c>
      <c r="L148" s="66" t="s">
        <v>193</v>
      </c>
      <c r="M148" s="73">
        <v>31</v>
      </c>
    </row>
    <row r="149" spans="1:13" x14ac:dyDescent="0.25">
      <c r="A149" s="43">
        <f t="shared" si="4"/>
        <v>139</v>
      </c>
      <c r="B149" s="55">
        <v>1030229055</v>
      </c>
      <c r="C149" s="43" t="s">
        <v>75</v>
      </c>
      <c r="D149" s="35">
        <v>6</v>
      </c>
      <c r="E149" s="39" t="s">
        <v>13</v>
      </c>
      <c r="F149" s="34">
        <v>1.5</v>
      </c>
      <c r="G149" s="38"/>
      <c r="H149" s="30">
        <f t="shared" si="5"/>
        <v>0</v>
      </c>
      <c r="I149" s="46"/>
      <c r="J149" s="82">
        <v>1601009901</v>
      </c>
      <c r="K149" s="79" t="s">
        <v>182</v>
      </c>
      <c r="L149" s="66" t="s">
        <v>193</v>
      </c>
      <c r="M149" s="73">
        <v>31</v>
      </c>
    </row>
    <row r="150" spans="1:13" x14ac:dyDescent="0.25">
      <c r="A150" s="43">
        <f t="shared" si="4"/>
        <v>140</v>
      </c>
      <c r="B150" s="60">
        <v>1030228716</v>
      </c>
      <c r="C150" s="43" t="s">
        <v>108</v>
      </c>
      <c r="D150" s="35">
        <v>2.6</v>
      </c>
      <c r="E150" s="39" t="s">
        <v>14</v>
      </c>
      <c r="F150" s="34">
        <v>0.65</v>
      </c>
      <c r="G150" s="38"/>
      <c r="H150" s="30">
        <f t="shared" si="5"/>
        <v>0</v>
      </c>
      <c r="I150" s="46"/>
      <c r="J150" s="82">
        <v>1601009901</v>
      </c>
      <c r="K150" s="79" t="s">
        <v>182</v>
      </c>
      <c r="L150" s="66" t="s">
        <v>193</v>
      </c>
      <c r="M150" s="73">
        <v>31</v>
      </c>
    </row>
    <row r="151" spans="1:13" x14ac:dyDescent="0.25">
      <c r="A151" s="43">
        <f t="shared" si="4"/>
        <v>141</v>
      </c>
      <c r="B151" s="61">
        <v>1030210655</v>
      </c>
      <c r="C151" s="43" t="s">
        <v>76</v>
      </c>
      <c r="D151" s="35">
        <v>6</v>
      </c>
      <c r="E151" s="39" t="s">
        <v>13</v>
      </c>
      <c r="F151" s="34">
        <v>1.5</v>
      </c>
      <c r="G151" s="38"/>
      <c r="H151" s="30">
        <f t="shared" si="5"/>
        <v>0</v>
      </c>
      <c r="I151" s="46"/>
      <c r="J151" s="82">
        <v>1601009901</v>
      </c>
      <c r="K151" s="79" t="s">
        <v>182</v>
      </c>
      <c r="L151" s="66" t="s">
        <v>193</v>
      </c>
      <c r="M151" s="73">
        <v>30</v>
      </c>
    </row>
    <row r="152" spans="1:13" x14ac:dyDescent="0.25">
      <c r="A152" s="43">
        <f t="shared" si="4"/>
        <v>142</v>
      </c>
      <c r="B152" s="55">
        <v>1030208803</v>
      </c>
      <c r="C152" s="43" t="s">
        <v>100</v>
      </c>
      <c r="D152" s="35">
        <v>2</v>
      </c>
      <c r="E152" s="39" t="s">
        <v>14</v>
      </c>
      <c r="F152" s="34">
        <v>0.25</v>
      </c>
      <c r="G152" s="38"/>
      <c r="H152" s="30">
        <f t="shared" si="5"/>
        <v>0</v>
      </c>
      <c r="I152" s="46"/>
      <c r="J152" s="82">
        <v>1601009901</v>
      </c>
      <c r="K152" s="79" t="s">
        <v>182</v>
      </c>
      <c r="L152" s="66" t="s">
        <v>193</v>
      </c>
      <c r="M152" s="73">
        <v>60</v>
      </c>
    </row>
    <row r="153" spans="1:13" x14ac:dyDescent="0.25">
      <c r="A153" s="43">
        <f t="shared" si="4"/>
        <v>143</v>
      </c>
      <c r="B153" s="54">
        <v>1030231903</v>
      </c>
      <c r="C153" s="43" t="s">
        <v>135</v>
      </c>
      <c r="D153" s="35">
        <v>1.6</v>
      </c>
      <c r="E153" s="39" t="s">
        <v>14</v>
      </c>
      <c r="F153" s="34">
        <v>0.4</v>
      </c>
      <c r="G153" s="38"/>
      <c r="H153" s="30">
        <f t="shared" si="5"/>
        <v>0</v>
      </c>
      <c r="I153" s="46" t="s">
        <v>180</v>
      </c>
      <c r="J153" s="82">
        <v>1601009901</v>
      </c>
      <c r="K153" s="79" t="s">
        <v>182</v>
      </c>
      <c r="L153" s="66" t="s">
        <v>193</v>
      </c>
      <c r="M153" s="73">
        <v>31</v>
      </c>
    </row>
    <row r="154" spans="1:13" x14ac:dyDescent="0.25">
      <c r="A154" s="43">
        <f t="shared" si="4"/>
        <v>144</v>
      </c>
      <c r="B154" s="54">
        <v>1030228071</v>
      </c>
      <c r="C154" s="43" t="s">
        <v>117</v>
      </c>
      <c r="D154" s="35">
        <v>2.016</v>
      </c>
      <c r="E154" s="39" t="s">
        <v>14</v>
      </c>
      <c r="F154" s="34">
        <v>0.33600000000000002</v>
      </c>
      <c r="G154" s="38"/>
      <c r="H154" s="30">
        <f t="shared" si="5"/>
        <v>0</v>
      </c>
      <c r="I154" s="46"/>
      <c r="J154" s="82">
        <v>1601009901</v>
      </c>
      <c r="K154" s="66" t="s">
        <v>183</v>
      </c>
      <c r="L154" s="77" t="s">
        <v>198</v>
      </c>
      <c r="M154" s="73">
        <v>35</v>
      </c>
    </row>
    <row r="155" spans="1:13" x14ac:dyDescent="0.25">
      <c r="A155" s="43">
        <f t="shared" si="4"/>
        <v>145</v>
      </c>
      <c r="B155" s="55">
        <v>1030229205</v>
      </c>
      <c r="C155" s="43" t="s">
        <v>109</v>
      </c>
      <c r="D155" s="35">
        <v>3.2</v>
      </c>
      <c r="E155" s="39" t="s">
        <v>14</v>
      </c>
      <c r="F155" s="34">
        <v>0.4</v>
      </c>
      <c r="G155" s="38"/>
      <c r="H155" s="30">
        <f t="shared" si="5"/>
        <v>0</v>
      </c>
      <c r="I155" s="46"/>
      <c r="J155" s="82">
        <v>1601009901</v>
      </c>
      <c r="K155" s="79" t="s">
        <v>182</v>
      </c>
      <c r="L155" s="66" t="s">
        <v>193</v>
      </c>
      <c r="M155" s="73">
        <v>31</v>
      </c>
    </row>
    <row r="156" spans="1:13" ht="16.5" customHeight="1" x14ac:dyDescent="0.25">
      <c r="A156" s="43">
        <f t="shared" si="4"/>
        <v>146</v>
      </c>
      <c r="B156" s="62">
        <v>1030235655</v>
      </c>
      <c r="C156" s="43" t="s">
        <v>160</v>
      </c>
      <c r="D156" s="35">
        <v>6</v>
      </c>
      <c r="E156" s="39" t="s">
        <v>13</v>
      </c>
      <c r="F156" s="34">
        <v>1.5</v>
      </c>
      <c r="G156" s="38"/>
      <c r="H156" s="30">
        <f t="shared" si="5"/>
        <v>0</v>
      </c>
      <c r="I156" s="46"/>
      <c r="J156" s="82">
        <v>1601009901</v>
      </c>
      <c r="K156" s="79" t="s">
        <v>182</v>
      </c>
      <c r="L156" s="66" t="s">
        <v>193</v>
      </c>
      <c r="M156" s="73">
        <v>30</v>
      </c>
    </row>
    <row r="157" spans="1:13" ht="16.5" customHeight="1" x14ac:dyDescent="0.25">
      <c r="A157" s="43">
        <f t="shared" si="4"/>
        <v>147</v>
      </c>
      <c r="B157" s="54">
        <v>1030227903</v>
      </c>
      <c r="C157" s="43" t="s">
        <v>101</v>
      </c>
      <c r="D157" s="35">
        <v>1.6</v>
      </c>
      <c r="E157" s="39" t="s">
        <v>14</v>
      </c>
      <c r="F157" s="34">
        <v>0.4</v>
      </c>
      <c r="G157" s="38"/>
      <c r="H157" s="30">
        <f t="shared" si="5"/>
        <v>0</v>
      </c>
      <c r="I157" s="46"/>
      <c r="J157" s="82">
        <v>1601009901</v>
      </c>
      <c r="K157" s="79" t="s">
        <v>182</v>
      </c>
      <c r="L157" s="66" t="s">
        <v>193</v>
      </c>
      <c r="M157" s="73">
        <v>30</v>
      </c>
    </row>
    <row r="158" spans="1:13" x14ac:dyDescent="0.25">
      <c r="A158" s="43">
        <f t="shared" si="4"/>
        <v>148</v>
      </c>
      <c r="B158" s="54">
        <v>1030213203</v>
      </c>
      <c r="C158" s="43" t="s">
        <v>78</v>
      </c>
      <c r="D158" s="35">
        <v>2.16</v>
      </c>
      <c r="E158" s="39" t="s">
        <v>14</v>
      </c>
      <c r="F158" s="34">
        <v>0.27</v>
      </c>
      <c r="G158" s="38"/>
      <c r="H158" s="30">
        <f t="shared" si="5"/>
        <v>0</v>
      </c>
      <c r="I158" s="46"/>
      <c r="J158" s="82">
        <v>1601009901</v>
      </c>
      <c r="K158" s="79" t="s">
        <v>182</v>
      </c>
      <c r="L158" s="66" t="s">
        <v>193</v>
      </c>
      <c r="M158" s="73">
        <v>30</v>
      </c>
    </row>
    <row r="159" spans="1:13" x14ac:dyDescent="0.25">
      <c r="A159" s="43">
        <f t="shared" si="4"/>
        <v>149</v>
      </c>
      <c r="B159" s="92">
        <v>1030212603</v>
      </c>
      <c r="C159" s="89" t="s">
        <v>79</v>
      </c>
      <c r="D159" s="90">
        <v>1.8</v>
      </c>
      <c r="E159" s="39" t="s">
        <v>14</v>
      </c>
      <c r="F159" s="34">
        <v>0.45</v>
      </c>
      <c r="G159" s="36">
        <v>200</v>
      </c>
      <c r="H159" s="30">
        <f t="shared" si="5"/>
        <v>90</v>
      </c>
      <c r="I159" s="46"/>
      <c r="J159" s="82">
        <v>1601009901</v>
      </c>
      <c r="K159" s="79" t="s">
        <v>182</v>
      </c>
      <c r="L159" s="66" t="s">
        <v>193</v>
      </c>
      <c r="M159" s="73">
        <v>30</v>
      </c>
    </row>
    <row r="160" spans="1:13" x14ac:dyDescent="0.25">
      <c r="A160" s="43">
        <f t="shared" si="4"/>
        <v>150</v>
      </c>
      <c r="B160" s="56">
        <v>1030228855</v>
      </c>
      <c r="C160" s="43" t="s">
        <v>80</v>
      </c>
      <c r="D160" s="35">
        <v>6</v>
      </c>
      <c r="E160" s="39" t="s">
        <v>13</v>
      </c>
      <c r="F160" s="34">
        <v>1.5</v>
      </c>
      <c r="G160" s="38"/>
      <c r="H160" s="30">
        <f t="shared" si="5"/>
        <v>0</v>
      </c>
      <c r="I160" s="46"/>
      <c r="J160" s="82">
        <v>1601009901</v>
      </c>
      <c r="K160" s="79" t="s">
        <v>182</v>
      </c>
      <c r="L160" s="66" t="s">
        <v>193</v>
      </c>
      <c r="M160" s="73">
        <v>31</v>
      </c>
    </row>
    <row r="161" spans="1:13" x14ac:dyDescent="0.25">
      <c r="A161" s="43">
        <f t="shared" ref="A161:A173" si="6">A160+1</f>
        <v>151</v>
      </c>
      <c r="B161" s="59">
        <v>1030228916</v>
      </c>
      <c r="C161" s="43" t="s">
        <v>106</v>
      </c>
      <c r="D161" s="35">
        <v>2.6</v>
      </c>
      <c r="E161" s="39" t="s">
        <v>14</v>
      </c>
      <c r="F161" s="34">
        <v>0.65</v>
      </c>
      <c r="G161" s="38"/>
      <c r="H161" s="30">
        <f t="shared" si="5"/>
        <v>0</v>
      </c>
      <c r="I161" s="46"/>
      <c r="J161" s="82">
        <v>1601009901</v>
      </c>
      <c r="K161" s="79" t="s">
        <v>182</v>
      </c>
      <c r="L161" s="66" t="s">
        <v>193</v>
      </c>
      <c r="M161" s="73">
        <v>31</v>
      </c>
    </row>
    <row r="162" spans="1:13" x14ac:dyDescent="0.25">
      <c r="A162" s="43">
        <f t="shared" si="6"/>
        <v>152</v>
      </c>
      <c r="B162" s="61">
        <v>1030210955</v>
      </c>
      <c r="C162" s="43" t="s">
        <v>81</v>
      </c>
      <c r="D162" s="35">
        <v>6</v>
      </c>
      <c r="E162" s="39" t="s">
        <v>13</v>
      </c>
      <c r="F162" s="34">
        <v>1.5</v>
      </c>
      <c r="G162" s="38"/>
      <c r="H162" s="30">
        <f t="shared" si="5"/>
        <v>0</v>
      </c>
      <c r="I162" s="46"/>
      <c r="J162" s="82">
        <v>1601009901</v>
      </c>
      <c r="K162" s="79" t="s">
        <v>182</v>
      </c>
      <c r="L162" s="66" t="s">
        <v>193</v>
      </c>
      <c r="M162" s="73">
        <v>30</v>
      </c>
    </row>
    <row r="163" spans="1:13" x14ac:dyDescent="0.25">
      <c r="A163" s="43">
        <f t="shared" si="6"/>
        <v>153</v>
      </c>
      <c r="B163" s="59">
        <v>1030203205</v>
      </c>
      <c r="C163" s="43" t="s">
        <v>82</v>
      </c>
      <c r="D163" s="35">
        <v>2.5</v>
      </c>
      <c r="E163" s="39" t="s">
        <v>13</v>
      </c>
      <c r="F163" s="34">
        <v>1.25</v>
      </c>
      <c r="G163" s="38"/>
      <c r="H163" s="30">
        <f t="shared" si="5"/>
        <v>0</v>
      </c>
      <c r="I163" s="46"/>
      <c r="J163" s="82">
        <v>1601009901</v>
      </c>
      <c r="K163" s="79" t="s">
        <v>182</v>
      </c>
      <c r="L163" s="66" t="s">
        <v>193</v>
      </c>
      <c r="M163" s="73">
        <v>30</v>
      </c>
    </row>
    <row r="164" spans="1:13" x14ac:dyDescent="0.25">
      <c r="A164" s="43">
        <f t="shared" si="6"/>
        <v>154</v>
      </c>
      <c r="B164" s="59">
        <v>1030232736</v>
      </c>
      <c r="C164" s="43" t="s">
        <v>170</v>
      </c>
      <c r="D164" s="35">
        <v>1.44</v>
      </c>
      <c r="E164" s="39" t="s">
        <v>14</v>
      </c>
      <c r="F164" s="34">
        <v>0.24</v>
      </c>
      <c r="G164" s="38"/>
      <c r="H164" s="30">
        <f t="shared" si="5"/>
        <v>0</v>
      </c>
      <c r="I164" s="46"/>
      <c r="J164" s="82">
        <v>1601009901</v>
      </c>
      <c r="K164" s="79" t="s">
        <v>182</v>
      </c>
      <c r="L164" s="66" t="s">
        <v>193</v>
      </c>
      <c r="M164" s="73">
        <v>31</v>
      </c>
    </row>
    <row r="165" spans="1:13" x14ac:dyDescent="0.25">
      <c r="A165" s="43">
        <f t="shared" si="6"/>
        <v>155</v>
      </c>
      <c r="B165" s="54">
        <v>1030234503</v>
      </c>
      <c r="C165" s="43" t="s">
        <v>144</v>
      </c>
      <c r="D165" s="35">
        <v>2.16</v>
      </c>
      <c r="E165" s="27" t="s">
        <v>14</v>
      </c>
      <c r="F165" s="34">
        <v>0.27</v>
      </c>
      <c r="G165" s="38"/>
      <c r="H165" s="30">
        <f t="shared" si="5"/>
        <v>0</v>
      </c>
      <c r="I165" s="46" t="s">
        <v>180</v>
      </c>
      <c r="J165" s="82">
        <v>1601009901</v>
      </c>
      <c r="K165" s="79" t="s">
        <v>182</v>
      </c>
      <c r="L165" s="66" t="s">
        <v>193</v>
      </c>
      <c r="M165" s="73">
        <v>31</v>
      </c>
    </row>
    <row r="166" spans="1:13" x14ac:dyDescent="0.25">
      <c r="A166" s="43">
        <f t="shared" si="6"/>
        <v>156</v>
      </c>
      <c r="B166" s="54">
        <v>1031000837</v>
      </c>
      <c r="C166" s="43" t="s">
        <v>83</v>
      </c>
      <c r="D166" s="35">
        <v>2</v>
      </c>
      <c r="E166" s="39" t="s">
        <v>14</v>
      </c>
      <c r="F166" s="34">
        <v>0.4</v>
      </c>
      <c r="G166" s="38"/>
      <c r="H166" s="30">
        <f t="shared" si="5"/>
        <v>0</v>
      </c>
      <c r="I166" s="46"/>
      <c r="J166" s="82">
        <v>1601009901</v>
      </c>
      <c r="K166" s="66" t="s">
        <v>187</v>
      </c>
      <c r="L166" s="46" t="s">
        <v>195</v>
      </c>
      <c r="M166" s="73">
        <v>40</v>
      </c>
    </row>
    <row r="167" spans="1:13" x14ac:dyDescent="0.25">
      <c r="A167" s="43">
        <f t="shared" si="6"/>
        <v>157</v>
      </c>
      <c r="B167" s="54">
        <v>1030661973</v>
      </c>
      <c r="C167" s="43" t="s">
        <v>97</v>
      </c>
      <c r="D167" s="27">
        <v>7</v>
      </c>
      <c r="E167" s="27" t="s">
        <v>13</v>
      </c>
      <c r="F167" s="34">
        <v>7</v>
      </c>
      <c r="G167" s="38"/>
      <c r="H167" s="30">
        <f t="shared" si="5"/>
        <v>0</v>
      </c>
      <c r="I167" s="46" t="s">
        <v>190</v>
      </c>
      <c r="J167" s="78">
        <v>1602411000</v>
      </c>
      <c r="K167" s="71" t="s">
        <v>186</v>
      </c>
      <c r="L167" s="71"/>
      <c r="M167" s="73">
        <v>180</v>
      </c>
    </row>
    <row r="168" spans="1:13" x14ac:dyDescent="0.25">
      <c r="A168" s="43">
        <f t="shared" si="6"/>
        <v>158</v>
      </c>
      <c r="B168" s="55">
        <v>1030127804</v>
      </c>
      <c r="C168" s="91" t="s">
        <v>173</v>
      </c>
      <c r="D168" s="53">
        <v>2.4</v>
      </c>
      <c r="E168" s="50" t="s">
        <v>14</v>
      </c>
      <c r="F168" s="34">
        <v>0.4</v>
      </c>
      <c r="G168" s="97"/>
      <c r="H168" s="30">
        <f>G168*F168</f>
        <v>0</v>
      </c>
      <c r="I168" s="75" t="s">
        <v>178</v>
      </c>
      <c r="J168" s="86">
        <v>1601009901</v>
      </c>
      <c r="K168" s="74" t="s">
        <v>184</v>
      </c>
      <c r="L168" s="46" t="s">
        <v>194</v>
      </c>
      <c r="M168" s="73">
        <v>75</v>
      </c>
    </row>
    <row r="169" spans="1:13" x14ac:dyDescent="0.25">
      <c r="A169" s="43">
        <f t="shared" si="6"/>
        <v>159</v>
      </c>
      <c r="B169" s="55">
        <v>1030235215</v>
      </c>
      <c r="C169" s="55" t="s">
        <v>174</v>
      </c>
      <c r="D169" s="52">
        <v>6</v>
      </c>
      <c r="E169" s="49" t="s">
        <v>13</v>
      </c>
      <c r="F169" s="34">
        <v>1</v>
      </c>
      <c r="G169" s="97"/>
      <c r="H169" s="30">
        <f t="shared" si="5"/>
        <v>0</v>
      </c>
      <c r="I169" s="75" t="s">
        <v>178</v>
      </c>
      <c r="J169" s="86">
        <v>1601009901</v>
      </c>
      <c r="K169" s="80" t="s">
        <v>182</v>
      </c>
      <c r="L169" s="66" t="s">
        <v>193</v>
      </c>
      <c r="M169" s="73">
        <v>30</v>
      </c>
    </row>
    <row r="170" spans="1:13" x14ac:dyDescent="0.25">
      <c r="A170" s="43">
        <f t="shared" si="6"/>
        <v>160</v>
      </c>
      <c r="B170" s="54">
        <v>1030126752</v>
      </c>
      <c r="C170" s="54" t="s">
        <v>175</v>
      </c>
      <c r="D170" s="45">
        <v>3</v>
      </c>
      <c r="E170" s="27" t="s">
        <v>13</v>
      </c>
      <c r="F170" s="34">
        <v>1</v>
      </c>
      <c r="G170" s="97"/>
      <c r="H170" s="30">
        <f t="shared" si="5"/>
        <v>0</v>
      </c>
      <c r="I170" s="75" t="s">
        <v>178</v>
      </c>
      <c r="J170" s="86">
        <v>1601009901</v>
      </c>
      <c r="K170" s="66" t="s">
        <v>184</v>
      </c>
      <c r="L170" s="46" t="s">
        <v>194</v>
      </c>
      <c r="M170" s="73">
        <v>75</v>
      </c>
    </row>
    <row r="171" spans="1:13" x14ac:dyDescent="0.25">
      <c r="A171" s="43">
        <f t="shared" si="6"/>
        <v>161</v>
      </c>
      <c r="B171" s="54">
        <v>1030419435</v>
      </c>
      <c r="C171" s="43" t="s">
        <v>176</v>
      </c>
      <c r="D171" s="45">
        <v>1.8</v>
      </c>
      <c r="E171" s="27" t="s">
        <v>14</v>
      </c>
      <c r="F171" s="34">
        <v>0.3</v>
      </c>
      <c r="G171" s="97"/>
      <c r="H171" s="30">
        <f t="shared" si="5"/>
        <v>0</v>
      </c>
      <c r="I171" s="75" t="s">
        <v>178</v>
      </c>
      <c r="J171" s="86">
        <v>1601009901</v>
      </c>
      <c r="K171" s="79" t="s">
        <v>182</v>
      </c>
      <c r="L171" s="66" t="s">
        <v>193</v>
      </c>
      <c r="M171" s="73">
        <v>45</v>
      </c>
    </row>
    <row r="172" spans="1:13" x14ac:dyDescent="0.25">
      <c r="A172" s="43">
        <f t="shared" si="6"/>
        <v>162</v>
      </c>
      <c r="B172" s="78">
        <v>1030814715</v>
      </c>
      <c r="C172" s="78" t="s">
        <v>177</v>
      </c>
      <c r="D172" s="51">
        <v>2.4</v>
      </c>
      <c r="E172" s="44" t="s">
        <v>14</v>
      </c>
      <c r="F172" s="34">
        <v>0.4</v>
      </c>
      <c r="G172" s="63"/>
      <c r="H172" s="30">
        <f t="shared" si="5"/>
        <v>0</v>
      </c>
      <c r="I172" s="46" t="s">
        <v>180</v>
      </c>
      <c r="J172" s="78">
        <v>1602493000</v>
      </c>
      <c r="K172" s="79" t="s">
        <v>182</v>
      </c>
      <c r="L172" s="66" t="s">
        <v>193</v>
      </c>
      <c r="M172" s="73">
        <v>31</v>
      </c>
    </row>
    <row r="173" spans="1:13" x14ac:dyDescent="0.25">
      <c r="A173" s="43">
        <f t="shared" si="6"/>
        <v>163</v>
      </c>
      <c r="B173" s="59">
        <v>1030516635</v>
      </c>
      <c r="C173" s="59" t="s">
        <v>179</v>
      </c>
      <c r="D173" s="63">
        <v>1.8</v>
      </c>
      <c r="E173" s="44" t="s">
        <v>14</v>
      </c>
      <c r="F173" s="34">
        <v>0.3</v>
      </c>
      <c r="G173" s="97"/>
      <c r="H173" s="30">
        <f t="shared" si="5"/>
        <v>0</v>
      </c>
      <c r="I173" s="46" t="s">
        <v>180</v>
      </c>
      <c r="J173" s="78">
        <v>1601009901</v>
      </c>
      <c r="K173" s="79" t="s">
        <v>182</v>
      </c>
      <c r="L173" s="66" t="s">
        <v>193</v>
      </c>
      <c r="M173" s="73">
        <v>45</v>
      </c>
    </row>
    <row r="174" spans="1:13" x14ac:dyDescent="0.25">
      <c r="J174" s="83"/>
      <c r="K174" s="69"/>
      <c r="L174" s="69"/>
      <c r="M174" s="70"/>
    </row>
  </sheetData>
  <protectedRanges>
    <protectedRange sqref="C1" name="Диапазон2"/>
    <protectedRange sqref="E36:E38 E49:E50 E135 E75 G159 G11:G151" name="Диапазон1_2"/>
  </protectedRanges>
  <autoFilter ref="A10:M174" xr:uid="{00000000-0009-0000-0000-000000000000}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2025-11-28T12:07:51Z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