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5\ЗАВОДЫ\Черкизово UZ\2025\12,25\11,12,25 Черкизово Ташкент\"/>
    </mc:Choice>
  </mc:AlternateContent>
  <xr:revisionPtr revIDLastSave="0" documentId="13_ncr:1_{73FCE2C9-2164-42E2-A0EB-FBE827FBCF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ВЫВОД" sheetId="2" r:id="rId2"/>
  </sheets>
  <externalReferences>
    <externalReference r:id="rId3"/>
  </externalReferences>
  <definedNames>
    <definedName name="_xlnm._FilterDatabase" localSheetId="0" hidden="1">Sheet!$A$3:$AF$18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AF7" i="1" s="1"/>
  <c r="R8" i="1"/>
  <c r="AF8" i="1" s="1"/>
  <c r="R9" i="1"/>
  <c r="AF9" i="1" s="1"/>
  <c r="R10" i="1"/>
  <c r="AF10" i="1" s="1"/>
  <c r="R11" i="1"/>
  <c r="AF11" i="1" s="1"/>
  <c r="R12" i="1"/>
  <c r="AF12" i="1" s="1"/>
  <c r="R13" i="1"/>
  <c r="AF13" i="1" s="1"/>
  <c r="R14" i="1"/>
  <c r="AF14" i="1" s="1"/>
  <c r="R15" i="1"/>
  <c r="AF15" i="1" s="1"/>
  <c r="R16" i="1"/>
  <c r="AF16" i="1" s="1"/>
  <c r="R17" i="1"/>
  <c r="AF17" i="1" s="1"/>
  <c r="R18" i="1"/>
  <c r="AF18" i="1" s="1"/>
  <c r="R6" i="1"/>
  <c r="AF6" i="1" s="1"/>
  <c r="R5" i="1" l="1"/>
  <c r="AD5" i="1" l="1"/>
  <c r="AC5" i="1"/>
  <c r="AB5" i="1"/>
  <c r="AA5" i="1"/>
  <c r="Z5" i="1"/>
  <c r="Y5" i="1"/>
  <c r="X5" i="1"/>
  <c r="S5" i="1"/>
  <c r="O5" i="1"/>
  <c r="N5" i="1"/>
  <c r="M5" i="1"/>
  <c r="K5" i="1"/>
  <c r="F5" i="1"/>
  <c r="W5" i="1" l="1"/>
  <c r="E5" i="1"/>
  <c r="P5" i="1"/>
  <c r="AF5" i="1" l="1"/>
  <c r="Q5" i="1"/>
  <c r="L5" i="1"/>
</calcChain>
</file>

<file path=xl/sharedStrings.xml><?xml version="1.0" encoding="utf-8"?>
<sst xmlns="http://schemas.openxmlformats.org/spreadsheetml/2006/main" count="82" uniqueCount="54">
  <si>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</si>
  <si>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</si>
  <si>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</si>
  <si>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</si>
  <si>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</si>
  <si>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</si>
  <si>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</si>
  <si>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</si>
  <si>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</si>
  <si>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</si>
  <si>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</si>
  <si>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</si>
  <si>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</si>
  <si>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</si>
  <si>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</si>
  <si>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</si>
  <si>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</si>
  <si>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</si>
  <si>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</si>
  <si>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</si>
  <si>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</si>
  <si>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</si>
  <si>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</si>
  <si>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</si>
  <si>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</si>
  <si>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</si>
  <si>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</si>
  <si>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</si>
  <si>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</si>
  <si>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</si>
  <si>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</si>
  <si>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</si>
  <si>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</si>
  <si>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</si>
  <si>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кг</t>
  </si>
  <si>
    <t>шт</t>
  </si>
  <si>
    <t>СК СЕРВЕЛЕТТИ ПРЕСС СРЕЗ БО ВУ ШТ 0.25КГ  ЧЕРКИЗОВО</t>
  </si>
  <si>
    <t>заказ</t>
  </si>
  <si>
    <t>25,12(новинки)</t>
  </si>
  <si>
    <t>СОС СЛИВ ПО-ЧЕРК ПМО ЗА 1.5КГ К6</t>
  </si>
  <si>
    <t>ВК СЕРВЕЛАТ ЗЕРНИСТЫЙ СРЕЗ ВУ ШТ К1.8</t>
  </si>
  <si>
    <t>СК АССОРТИ СЕРВ И ПРОШУТ 0.085КГ К 0,85</t>
  </si>
  <si>
    <t>СК КЛАССИКО ИТАЛИАНОНАР ЗА ШТ0.085 K0.85</t>
  </si>
  <si>
    <t>СК СВИНАЯ ПО-ЧЕРКИЗОВ СРЕЗ ШТ0,225 К1,35</t>
  </si>
  <si>
    <t>Клб вар Мусул/ЛТФ/ТУ/охл/-/гк329</t>
  </si>
  <si>
    <t>Сосиски Мусульм/ЛТФ/ТУ/охл/TF/гк254</t>
  </si>
  <si>
    <t>ВК Серв с говяд/ЛТФ/ох/шт 0.4кг/гк329/KZ</t>
  </si>
  <si>
    <t>Клб ПолуКпч С говяд/ЛТФ/ТУ/охл/-/гк329</t>
  </si>
  <si>
    <t>ЦБ/РУЛЕТ/-/НЕЖНЫЙ/ИВ/-/ОХЛ/-/-/0,4 K2.4</t>
  </si>
  <si>
    <t>Клб ПолуКпч Чесн/ТСБ/ТУ/охл/-/гк380т</t>
  </si>
  <si>
    <t>СК САЛЯМИ АСТОРИЯ СРЕЗ ФИБ ВУ ШТ 0.225КГ (ТМ ЧЕРКИЗОВО) K1.35</t>
  </si>
  <si>
    <t>новинка</t>
  </si>
  <si>
    <t>ИЗМЕНИЛСЯ АРТИКУЛ / нет в бланке</t>
  </si>
  <si>
    <t>новинка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</si>
</sst>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trike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" fontId="4" fillId="6" borderId="2" xfId="0" applyNumberFormat="1" applyFont="1" applyFill="1" applyBorder="1"/>
    <xf numFmtId="1" fontId="0" fillId="0" borderId="0" xfId="0" applyNumberFormat="1" applyBorder="1"/>
    <xf numFmtId="0" fontId="0" fillId="7" borderId="0" xfId="0" applyFill="1" applyBorder="1"/>
    <xf numFmtId="0" fontId="0" fillId="0" borderId="1" xfId="0" applyBorder="1"/>
    <xf numFmtId="164" fontId="1" fillId="7" borderId="1" xfId="1" applyNumberFormat="1" applyFill="1"/>
    <xf numFmtId="164" fontId="1" fillId="8" borderId="1" xfId="1" applyNumberFormat="1" applyFill="1"/>
    <xf numFmtId="164" fontId="1" fillId="9" borderId="1" xfId="1" applyNumberFormat="1" applyFill="1"/>
    <xf numFmtId="164" fontId="1" fillId="0" borderId="4" xfId="1" applyNumberFormat="1" applyBorder="1"/>
    <xf numFmtId="164" fontId="1" fillId="0" borderId="2" xfId="1" applyNumberFormat="1" applyBorder="1"/>
    <xf numFmtId="164" fontId="1" fillId="10" borderId="4" xfId="1" applyNumberFormat="1" applyFill="1" applyBorder="1"/>
    <xf numFmtId="164" fontId="1" fillId="10" borderId="5" xfId="1" applyNumberFormat="1" applyFill="1" applyBorder="1"/>
    <xf numFmtId="164" fontId="1" fillId="10" borderId="3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63;&#1077;&#1088;&#1082;&#1080;&#1079;&#1086;&#1074;&#1086;%20UZ/2025/12,25/11,12,25%20&#1063;&#1077;&#1088;&#1082;&#1080;&#1079;&#1086;&#1074;&#1086;%20&#1058;&#1072;&#1096;&#1082;&#1077;&#1085;&#1090;/&#1076;&#1074;%2016,12,25%20&#1090;&#1096;&#1088;&#1089;&#1095;%20&#1095;&#1088;&#1082;&#1079;&#1074;%20&#1086;&#1090;%20&#1064;&#1091;&#1074;&#1072;&#1083;&#1086;&#1074;&#1086;&#1081;%20(+&#1085;&#1086;&#1074;&#1080;&#1085;&#1082;&#10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 refreshError="1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08,12,</v>
          </cell>
          <cell r="P4" t="str">
            <v>11,12,</v>
          </cell>
        </row>
        <row r="5"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544.91780000000006</v>
          </cell>
          <cell r="Q5">
            <v>5808.7104000000008</v>
          </cell>
          <cell r="R5">
            <v>3521</v>
          </cell>
        </row>
        <row r="6"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312.62240000000003</v>
          </cell>
          <cell r="R14">
            <v>3</v>
          </cell>
        </row>
        <row r="15"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400.20079999999996</v>
          </cell>
          <cell r="R15">
            <v>300</v>
          </cell>
        </row>
        <row r="16"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825.60000000000014</v>
          </cell>
          <cell r="R16">
            <v>400</v>
          </cell>
        </row>
        <row r="17"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352.2</v>
          </cell>
          <cell r="R17">
            <v>200</v>
          </cell>
        </row>
        <row r="18"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</row>
        <row r="19"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362</v>
          </cell>
          <cell r="R19">
            <v>150</v>
          </cell>
        </row>
        <row r="20">
          <cell r="I20">
            <v>1030712385</v>
          </cell>
          <cell r="L20">
            <v>88</v>
          </cell>
          <cell r="O20">
            <v>800</v>
          </cell>
          <cell r="P20">
            <v>40</v>
          </cell>
          <cell r="Q20">
            <v>116</v>
          </cell>
          <cell r="R20">
            <v>400</v>
          </cell>
        </row>
        <row r="21">
          <cell r="I21">
            <v>1030709904</v>
          </cell>
          <cell r="L21">
            <v>0</v>
          </cell>
          <cell r="P21">
            <v>0</v>
          </cell>
        </row>
        <row r="22"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692.2</v>
          </cell>
          <cell r="R22">
            <v>500</v>
          </cell>
        </row>
        <row r="23"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859.8</v>
          </cell>
          <cell r="R23">
            <v>400</v>
          </cell>
        </row>
        <row r="24">
          <cell r="I24">
            <v>1030654104</v>
          </cell>
          <cell r="L24">
            <v>38</v>
          </cell>
          <cell r="O24">
            <v>300</v>
          </cell>
          <cell r="P24">
            <v>12</v>
          </cell>
          <cell r="Q24">
            <v>-27</v>
          </cell>
          <cell r="R24">
            <v>120</v>
          </cell>
        </row>
        <row r="25"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112.19999999999999</v>
          </cell>
        </row>
        <row r="26"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</row>
        <row r="27"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</row>
        <row r="28">
          <cell r="I28">
            <v>1030657628</v>
          </cell>
          <cell r="L28">
            <v>0</v>
          </cell>
          <cell r="O28">
            <v>200</v>
          </cell>
          <cell r="P28">
            <v>0</v>
          </cell>
        </row>
        <row r="29"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558.80000000000007</v>
          </cell>
          <cell r="R29">
            <v>250</v>
          </cell>
        </row>
        <row r="30">
          <cell r="I30">
            <v>1030670803</v>
          </cell>
          <cell r="L30">
            <v>98</v>
          </cell>
          <cell r="O30">
            <v>550</v>
          </cell>
          <cell r="P30">
            <v>19.600000000000001</v>
          </cell>
          <cell r="Q30">
            <v>-105.19999999999999</v>
          </cell>
          <cell r="R30">
            <v>200</v>
          </cell>
        </row>
        <row r="31"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</row>
        <row r="32"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503.6</v>
          </cell>
          <cell r="R32">
            <v>80</v>
          </cell>
        </row>
        <row r="33"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</row>
        <row r="34"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687.80000000000007</v>
          </cell>
          <cell r="R34">
            <v>4</v>
          </cell>
        </row>
        <row r="35">
          <cell r="I35" t="str">
            <v>уценка</v>
          </cell>
          <cell r="L35">
            <v>0</v>
          </cell>
          <cell r="P35">
            <v>0</v>
          </cell>
          <cell r="Q35">
            <v>4.8390000000000004</v>
          </cell>
        </row>
        <row r="36">
          <cell r="I36" t="str">
            <v>уценка</v>
          </cell>
          <cell r="L36">
            <v>1.2390000000000001</v>
          </cell>
          <cell r="P36">
            <v>0.24780000000000002</v>
          </cell>
          <cell r="Q36">
            <v>6.9384000000000006</v>
          </cell>
        </row>
        <row r="37">
          <cell r="I37" t="str">
            <v>уценка</v>
          </cell>
          <cell r="L37">
            <v>0</v>
          </cell>
          <cell r="P37">
            <v>0</v>
          </cell>
          <cell r="Q37">
            <v>4</v>
          </cell>
        </row>
        <row r="38">
          <cell r="I38" t="str">
            <v>уценка</v>
          </cell>
          <cell r="L38">
            <v>0</v>
          </cell>
          <cell r="P38">
            <v>0</v>
          </cell>
          <cell r="Q38">
            <v>4</v>
          </cell>
        </row>
        <row r="39">
          <cell r="I39">
            <v>1030228855</v>
          </cell>
          <cell r="Q39">
            <v>0</v>
          </cell>
          <cell r="R39">
            <v>6</v>
          </cell>
        </row>
        <row r="40">
          <cell r="I40">
            <v>1030419435</v>
          </cell>
          <cell r="Q40">
            <v>0</v>
          </cell>
          <cell r="R40">
            <v>60</v>
          </cell>
        </row>
        <row r="41">
          <cell r="I41">
            <v>1030680328</v>
          </cell>
          <cell r="Q41">
            <v>0</v>
          </cell>
          <cell r="R41">
            <v>50</v>
          </cell>
        </row>
        <row r="42">
          <cell r="I42">
            <v>1030683928</v>
          </cell>
          <cell r="Q42">
            <v>0</v>
          </cell>
          <cell r="R42">
            <v>50</v>
          </cell>
        </row>
        <row r="43">
          <cell r="I43">
            <v>1030688634</v>
          </cell>
          <cell r="Q43">
            <v>0</v>
          </cell>
          <cell r="R43">
            <v>80</v>
          </cell>
        </row>
        <row r="44">
          <cell r="I44">
            <v>1030129697</v>
          </cell>
          <cell r="Q44">
            <v>0</v>
          </cell>
          <cell r="R44">
            <v>40</v>
          </cell>
        </row>
        <row r="45">
          <cell r="I45">
            <v>1030236957</v>
          </cell>
          <cell r="Q45">
            <v>0</v>
          </cell>
          <cell r="R45">
            <v>5</v>
          </cell>
        </row>
        <row r="46">
          <cell r="I46">
            <v>1030503997</v>
          </cell>
          <cell r="Q46">
            <v>0</v>
          </cell>
          <cell r="R46">
            <v>10</v>
          </cell>
        </row>
        <row r="47">
          <cell r="I47">
            <v>1030518197</v>
          </cell>
          <cell r="Q47">
            <v>0</v>
          </cell>
          <cell r="R47">
            <v>40</v>
          </cell>
        </row>
        <row r="48">
          <cell r="I48">
            <v>1030707697</v>
          </cell>
          <cell r="Q48">
            <v>0</v>
          </cell>
          <cell r="R48">
            <v>5</v>
          </cell>
        </row>
        <row r="49">
          <cell r="I49">
            <v>1030517871</v>
          </cell>
          <cell r="Q49">
            <v>0</v>
          </cell>
          <cell r="R49">
            <v>40</v>
          </cell>
        </row>
        <row r="50">
          <cell r="I50">
            <v>1030671534</v>
          </cell>
          <cell r="Q50">
            <v>0</v>
          </cell>
          <cell r="R50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6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9" sqref="R2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4" width="0.28515625" customWidth="1"/>
    <col min="15" max="17" width="7" customWidth="1"/>
    <col min="18" max="18" width="7" style="13" customWidth="1"/>
    <col min="19" max="19" width="7" customWidth="1"/>
    <col min="20" max="20" width="25.7109375" customWidth="1"/>
    <col min="21" max="22" width="5" customWidth="1"/>
    <col min="23" max="30" width="6" customWidth="1"/>
    <col min="31" max="31" width="55.85546875" customWidth="1"/>
    <col min="32" max="32" width="7" customWidth="1"/>
    <col min="33" max="51" width="3" customWidth="1"/>
  </cols>
  <sheetData>
    <row r="1" spans="1:51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37</v>
      </c>
      <c r="S3" s="5" t="s">
        <v>17</v>
      </c>
      <c r="T3" s="5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24</v>
      </c>
      <c r="P4" s="7" t="s">
        <v>25</v>
      </c>
      <c r="Q4" s="7"/>
      <c r="R4" s="7" t="s">
        <v>38</v>
      </c>
      <c r="S4" s="7"/>
      <c r="T4" s="7"/>
      <c r="U4" s="7"/>
      <c r="V4" s="7"/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5">
      <c r="A5" s="7"/>
      <c r="B5" s="7"/>
      <c r="C5" s="7"/>
      <c r="D5" s="7"/>
      <c r="E5" s="3">
        <f>SUM(E6:E467)</f>
        <v>0</v>
      </c>
      <c r="F5" s="3">
        <f>SUM(F6:F467)</f>
        <v>0</v>
      </c>
      <c r="G5" s="8"/>
      <c r="H5" s="7"/>
      <c r="I5" s="7"/>
      <c r="J5" s="7"/>
      <c r="K5" s="3">
        <f t="shared" ref="K5:S5" si="0">SUM(K6:K467)</f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0</v>
      </c>
      <c r="Q5" s="3">
        <f t="shared" si="0"/>
        <v>0</v>
      </c>
      <c r="R5" s="3">
        <f t="shared" si="0"/>
        <v>706</v>
      </c>
      <c r="S5" s="3">
        <f t="shared" si="0"/>
        <v>0</v>
      </c>
      <c r="T5" s="7"/>
      <c r="U5" s="7"/>
      <c r="V5" s="7"/>
      <c r="W5" s="3">
        <f t="shared" ref="W5:AD5" si="1">SUM(W6:W467)</f>
        <v>0</v>
      </c>
      <c r="X5" s="3">
        <f t="shared" si="1"/>
        <v>0</v>
      </c>
      <c r="Y5" s="3">
        <f t="shared" si="1"/>
        <v>0</v>
      </c>
      <c r="Z5" s="3">
        <f t="shared" si="1"/>
        <v>0</v>
      </c>
      <c r="AA5" s="3">
        <f t="shared" si="1"/>
        <v>0</v>
      </c>
      <c r="AB5" s="3">
        <f t="shared" si="1"/>
        <v>0</v>
      </c>
      <c r="AC5" s="3">
        <f t="shared" si="1"/>
        <v>0</v>
      </c>
      <c r="AD5" s="3">
        <f t="shared" si="1"/>
        <v>0</v>
      </c>
      <c r="AE5" s="7"/>
      <c r="AF5" s="3">
        <f>SUM(AF6:AF467)</f>
        <v>186.25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ht="15.75" thickBot="1" x14ac:dyDescent="0.3">
      <c r="A6" s="14" t="s">
        <v>36</v>
      </c>
      <c r="B6" s="7" t="s">
        <v>35</v>
      </c>
      <c r="C6" s="7"/>
      <c r="D6" s="7"/>
      <c r="E6" s="7"/>
      <c r="F6" s="6"/>
      <c r="G6" s="8">
        <v>0.25</v>
      </c>
      <c r="H6" s="7">
        <v>120</v>
      </c>
      <c r="I6" s="15">
        <v>1030670803</v>
      </c>
      <c r="J6" s="7"/>
      <c r="K6" s="7"/>
      <c r="L6" s="7"/>
      <c r="M6" s="7"/>
      <c r="N6" s="7"/>
      <c r="O6" s="7"/>
      <c r="P6" s="7">
        <v>0</v>
      </c>
      <c r="Q6" s="18"/>
      <c r="R6" s="18">
        <f>IFERROR(VLOOKUP(I6,[1]Sheet!$I:$R,10,0),0)</f>
        <v>200</v>
      </c>
      <c r="S6" s="18"/>
      <c r="T6" s="7"/>
      <c r="U6" s="7"/>
      <c r="V6" s="7"/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15" t="s">
        <v>52</v>
      </c>
      <c r="AF6" s="7">
        <f t="shared" ref="AF6:AF18" si="2">R6*G6</f>
        <v>50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5">
      <c r="A7" s="21" t="s">
        <v>39</v>
      </c>
      <c r="B7" s="7" t="s">
        <v>34</v>
      </c>
      <c r="C7" s="7"/>
      <c r="D7" s="7"/>
      <c r="E7" s="7"/>
      <c r="F7" s="7"/>
      <c r="G7" s="8">
        <v>1.5</v>
      </c>
      <c r="H7" s="16">
        <v>31</v>
      </c>
      <c r="I7" s="7">
        <v>1030228855</v>
      </c>
      <c r="J7" s="7"/>
      <c r="K7" s="7"/>
      <c r="L7" s="7"/>
      <c r="M7" s="7"/>
      <c r="N7" s="7"/>
      <c r="O7" s="7"/>
      <c r="P7" s="7">
        <v>0</v>
      </c>
      <c r="Q7" s="18"/>
      <c r="R7" s="18">
        <f>IFERROR(VLOOKUP(I7,[1]Sheet!$I:$R,10,0),0)</f>
        <v>6</v>
      </c>
      <c r="S7" s="18"/>
      <c r="T7" s="7"/>
      <c r="U7" s="7"/>
      <c r="V7" s="7"/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 t="s">
        <v>51</v>
      </c>
      <c r="AF7" s="7">
        <f t="shared" si="2"/>
        <v>9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5">
      <c r="A8" s="19" t="s">
        <v>40</v>
      </c>
      <c r="B8" s="7" t="s">
        <v>35</v>
      </c>
      <c r="C8" s="7"/>
      <c r="D8" s="7"/>
      <c r="E8" s="7"/>
      <c r="F8" s="7"/>
      <c r="G8" s="8">
        <v>0.3</v>
      </c>
      <c r="H8" s="7">
        <v>45</v>
      </c>
      <c r="I8" s="7">
        <v>1030419435</v>
      </c>
      <c r="J8" s="7"/>
      <c r="K8" s="7"/>
      <c r="L8" s="7"/>
      <c r="M8" s="7"/>
      <c r="N8" s="7"/>
      <c r="O8" s="7"/>
      <c r="P8" s="7">
        <v>0</v>
      </c>
      <c r="Q8" s="18"/>
      <c r="R8" s="18">
        <f>IFERROR(VLOOKUP(I8,[1]Sheet!$I:$R,10,0),0)</f>
        <v>60</v>
      </c>
      <c r="S8" s="18"/>
      <c r="T8" s="7"/>
      <c r="U8" s="7"/>
      <c r="V8" s="7"/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 t="s">
        <v>51</v>
      </c>
      <c r="AF8" s="7">
        <f t="shared" si="2"/>
        <v>18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A9" s="19" t="s">
        <v>41</v>
      </c>
      <c r="B9" s="7" t="s">
        <v>35</v>
      </c>
      <c r="C9" s="7"/>
      <c r="D9" s="7"/>
      <c r="E9" s="7"/>
      <c r="F9" s="7"/>
      <c r="G9" s="8">
        <v>8.5000000000000006E-2</v>
      </c>
      <c r="H9" s="7">
        <v>90</v>
      </c>
      <c r="I9" s="15">
        <v>1030680328</v>
      </c>
      <c r="J9" s="7"/>
      <c r="K9" s="7"/>
      <c r="L9" s="7"/>
      <c r="M9" s="7"/>
      <c r="N9" s="7"/>
      <c r="O9" s="7"/>
      <c r="P9" s="7">
        <v>0</v>
      </c>
      <c r="Q9" s="18"/>
      <c r="R9" s="18">
        <f>IFERROR(VLOOKUP(I9,[1]Sheet!$I:$R,10,0),0)</f>
        <v>50</v>
      </c>
      <c r="S9" s="18"/>
      <c r="T9" s="7"/>
      <c r="U9" s="7"/>
      <c r="V9" s="7"/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15" t="s">
        <v>53</v>
      </c>
      <c r="AF9" s="7">
        <f t="shared" si="2"/>
        <v>4.25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A10" s="19" t="s">
        <v>42</v>
      </c>
      <c r="B10" s="7" t="s">
        <v>35</v>
      </c>
      <c r="C10" s="7"/>
      <c r="D10" s="7"/>
      <c r="E10" s="7"/>
      <c r="F10" s="7"/>
      <c r="G10" s="8">
        <v>8.5000000000000006E-2</v>
      </c>
      <c r="H10" s="7">
        <v>90</v>
      </c>
      <c r="I10" s="15">
        <v>1030683928</v>
      </c>
      <c r="J10" s="7"/>
      <c r="K10" s="7"/>
      <c r="L10" s="7"/>
      <c r="M10" s="7"/>
      <c r="N10" s="7"/>
      <c r="O10" s="7"/>
      <c r="P10" s="7">
        <v>0</v>
      </c>
      <c r="Q10" s="18"/>
      <c r="R10" s="18">
        <f>IFERROR(VLOOKUP(I10,[1]Sheet!$I:$R,10,0),0)</f>
        <v>50</v>
      </c>
      <c r="S10" s="18"/>
      <c r="T10" s="7"/>
      <c r="U10" s="7"/>
      <c r="V10" s="7"/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15" t="s">
        <v>53</v>
      </c>
      <c r="AF10" s="7">
        <f t="shared" si="2"/>
        <v>4.25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19" t="s">
        <v>43</v>
      </c>
      <c r="B11" s="7" t="s">
        <v>35</v>
      </c>
      <c r="C11" s="7"/>
      <c r="D11" s="7"/>
      <c r="E11" s="7"/>
      <c r="F11" s="7"/>
      <c r="G11" s="8">
        <v>0.22500000000000001</v>
      </c>
      <c r="H11" s="7">
        <v>135</v>
      </c>
      <c r="I11" s="7">
        <v>1030688634</v>
      </c>
      <c r="J11" s="7"/>
      <c r="K11" s="7"/>
      <c r="L11" s="7"/>
      <c r="M11" s="7"/>
      <c r="N11" s="7"/>
      <c r="O11" s="7"/>
      <c r="P11" s="7">
        <v>0</v>
      </c>
      <c r="Q11" s="18"/>
      <c r="R11" s="18">
        <f>IFERROR(VLOOKUP(I11,[1]Sheet!$I:$R,10,0),0)</f>
        <v>80</v>
      </c>
      <c r="S11" s="18"/>
      <c r="T11" s="7"/>
      <c r="U11" s="7"/>
      <c r="V11" s="7"/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 t="s">
        <v>51</v>
      </c>
      <c r="AF11" s="7">
        <f t="shared" si="2"/>
        <v>18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A12" s="19" t="s">
        <v>44</v>
      </c>
      <c r="B12" s="7" t="s">
        <v>35</v>
      </c>
      <c r="C12" s="7"/>
      <c r="D12" s="7"/>
      <c r="E12" s="7"/>
      <c r="F12" s="7"/>
      <c r="G12" s="8">
        <v>0.4</v>
      </c>
      <c r="H12" s="7">
        <v>65</v>
      </c>
      <c r="I12" s="15">
        <v>1030129697</v>
      </c>
      <c r="J12" s="7"/>
      <c r="K12" s="7"/>
      <c r="L12" s="7"/>
      <c r="M12" s="7"/>
      <c r="N12" s="7"/>
      <c r="O12" s="7"/>
      <c r="P12" s="7">
        <v>0</v>
      </c>
      <c r="Q12" s="18"/>
      <c r="R12" s="18">
        <f>IFERROR(VLOOKUP(I12,[1]Sheet!$I:$R,10,0),0)</f>
        <v>40</v>
      </c>
      <c r="S12" s="18"/>
      <c r="T12" s="7"/>
      <c r="U12" s="7"/>
      <c r="V12" s="7"/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15" t="s">
        <v>53</v>
      </c>
      <c r="AF12" s="7">
        <f t="shared" si="2"/>
        <v>16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A13" s="17" t="s">
        <v>45</v>
      </c>
      <c r="B13" s="7" t="s">
        <v>35</v>
      </c>
      <c r="C13" s="7"/>
      <c r="D13" s="7"/>
      <c r="E13" s="7"/>
      <c r="F13" s="7"/>
      <c r="G13" s="8">
        <v>0.35</v>
      </c>
      <c r="H13" s="16">
        <v>31</v>
      </c>
      <c r="I13" s="15">
        <v>1030236957</v>
      </c>
      <c r="J13" s="7"/>
      <c r="K13" s="7"/>
      <c r="L13" s="7"/>
      <c r="M13" s="7"/>
      <c r="N13" s="7"/>
      <c r="O13" s="7"/>
      <c r="P13" s="7">
        <v>0</v>
      </c>
      <c r="Q13" s="18"/>
      <c r="R13" s="18">
        <f>IFERROR(VLOOKUP(I13,[1]Sheet!$I:$R,10,0),0)</f>
        <v>5</v>
      </c>
      <c r="S13" s="18"/>
      <c r="T13" s="7"/>
      <c r="U13" s="7"/>
      <c r="V13" s="7"/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15" t="s">
        <v>53</v>
      </c>
      <c r="AF13" s="7">
        <f t="shared" si="2"/>
        <v>1.75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A14" s="19" t="s">
        <v>46</v>
      </c>
      <c r="B14" s="7" t="s">
        <v>35</v>
      </c>
      <c r="C14" s="7"/>
      <c r="D14" s="7"/>
      <c r="E14" s="7"/>
      <c r="F14" s="7"/>
      <c r="G14" s="8">
        <v>0.4</v>
      </c>
      <c r="H14" s="16">
        <v>45</v>
      </c>
      <c r="I14" s="15">
        <v>1030503997</v>
      </c>
      <c r="J14" s="7"/>
      <c r="K14" s="7"/>
      <c r="L14" s="7"/>
      <c r="M14" s="7"/>
      <c r="N14" s="7"/>
      <c r="O14" s="7"/>
      <c r="P14" s="7">
        <v>0</v>
      </c>
      <c r="Q14" s="18"/>
      <c r="R14" s="18">
        <f>IFERROR(VLOOKUP(I14,[1]Sheet!$I:$R,10,0),0)</f>
        <v>10</v>
      </c>
      <c r="S14" s="18"/>
      <c r="T14" s="7"/>
      <c r="U14" s="7"/>
      <c r="V14" s="7"/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15" t="s">
        <v>53</v>
      </c>
      <c r="AF14" s="7">
        <f t="shared" si="2"/>
        <v>4</v>
      </c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A15" s="19" t="s">
        <v>47</v>
      </c>
      <c r="B15" s="7" t="s">
        <v>35</v>
      </c>
      <c r="C15" s="7"/>
      <c r="D15" s="7"/>
      <c r="E15" s="7"/>
      <c r="F15" s="7"/>
      <c r="G15" s="8">
        <v>0.4</v>
      </c>
      <c r="H15" s="7">
        <v>60</v>
      </c>
      <c r="I15" s="15">
        <v>1030518197</v>
      </c>
      <c r="J15" s="7"/>
      <c r="K15" s="7"/>
      <c r="L15" s="7"/>
      <c r="M15" s="7"/>
      <c r="N15" s="7"/>
      <c r="O15" s="7"/>
      <c r="P15" s="7">
        <v>0</v>
      </c>
      <c r="Q15" s="18"/>
      <c r="R15" s="18">
        <f>IFERROR(VLOOKUP(I15,[1]Sheet!$I:$R,10,0),0)</f>
        <v>40</v>
      </c>
      <c r="S15" s="18"/>
      <c r="T15" s="7"/>
      <c r="U15" s="7"/>
      <c r="V15" s="7"/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15" t="s">
        <v>53</v>
      </c>
      <c r="AF15" s="7">
        <f t="shared" si="2"/>
        <v>16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A16" s="19" t="s">
        <v>48</v>
      </c>
      <c r="B16" s="7" t="s">
        <v>35</v>
      </c>
      <c r="C16" s="7"/>
      <c r="D16" s="7"/>
      <c r="E16" s="7"/>
      <c r="F16" s="7"/>
      <c r="G16" s="8">
        <v>0.4</v>
      </c>
      <c r="H16" s="16">
        <v>40</v>
      </c>
      <c r="I16" s="15">
        <v>1030707697</v>
      </c>
      <c r="J16" s="7"/>
      <c r="K16" s="7"/>
      <c r="L16" s="7"/>
      <c r="M16" s="7"/>
      <c r="N16" s="7"/>
      <c r="O16" s="7"/>
      <c r="P16" s="7">
        <v>0</v>
      </c>
      <c r="Q16" s="18"/>
      <c r="R16" s="18">
        <f>IFERROR(VLOOKUP(I16,[1]Sheet!$I:$R,10,0),0)</f>
        <v>5</v>
      </c>
      <c r="S16" s="18"/>
      <c r="T16" s="7"/>
      <c r="U16" s="7"/>
      <c r="V16" s="7"/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15" t="s">
        <v>53</v>
      </c>
      <c r="AF16" s="7">
        <f t="shared" si="2"/>
        <v>2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5">
      <c r="A17" s="17" t="s">
        <v>49</v>
      </c>
      <c r="B17" s="7" t="s">
        <v>35</v>
      </c>
      <c r="C17" s="7"/>
      <c r="D17" s="7"/>
      <c r="E17" s="7"/>
      <c r="F17" s="7"/>
      <c r="G17" s="8">
        <v>0.4</v>
      </c>
      <c r="H17" s="7">
        <v>60</v>
      </c>
      <c r="I17" s="15">
        <v>1030517871</v>
      </c>
      <c r="J17" s="7"/>
      <c r="K17" s="7"/>
      <c r="L17" s="7"/>
      <c r="M17" s="7"/>
      <c r="N17" s="7"/>
      <c r="O17" s="7"/>
      <c r="P17" s="7">
        <v>0</v>
      </c>
      <c r="Q17" s="18"/>
      <c r="R17" s="18">
        <f>IFERROR(VLOOKUP(I17,[1]Sheet!$I:$R,10,0),0)</f>
        <v>40</v>
      </c>
      <c r="S17" s="18"/>
      <c r="T17" s="7"/>
      <c r="U17" s="7"/>
      <c r="V17" s="7"/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15" t="s">
        <v>53</v>
      </c>
      <c r="AF17" s="7">
        <f t="shared" si="2"/>
        <v>16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5.75" thickBot="1" x14ac:dyDescent="0.3">
      <c r="A18" s="20" t="s">
        <v>50</v>
      </c>
      <c r="B18" s="7" t="s">
        <v>35</v>
      </c>
      <c r="C18" s="7"/>
      <c r="D18" s="7"/>
      <c r="E18" s="7"/>
      <c r="F18" s="7"/>
      <c r="G18" s="8">
        <v>0.22500000000000001</v>
      </c>
      <c r="H18" s="7">
        <v>135</v>
      </c>
      <c r="I18" s="7">
        <v>1030671534</v>
      </c>
      <c r="J18" s="7"/>
      <c r="K18" s="7"/>
      <c r="L18" s="7"/>
      <c r="M18" s="7"/>
      <c r="N18" s="7"/>
      <c r="O18" s="7"/>
      <c r="P18" s="7">
        <v>0</v>
      </c>
      <c r="Q18" s="18"/>
      <c r="R18" s="18">
        <f>IFERROR(VLOOKUP(I18,[1]Sheet!$I:$R,10,0),0)</f>
        <v>120</v>
      </c>
      <c r="S18" s="18"/>
      <c r="T18" s="7"/>
      <c r="U18" s="7"/>
      <c r="V18" s="7"/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 t="s">
        <v>51</v>
      </c>
      <c r="AF18" s="7">
        <f t="shared" si="2"/>
        <v>27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A19" s="7"/>
      <c r="B19" s="7"/>
      <c r="C19" s="7"/>
      <c r="D19" s="7"/>
      <c r="E19" s="7"/>
      <c r="F19" s="7"/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5">
      <c r="A20" s="7"/>
      <c r="B20" s="7"/>
      <c r="C20" s="7"/>
      <c r="D20" s="7"/>
      <c r="E20" s="7"/>
      <c r="F20" s="7"/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5">
      <c r="A21" s="7"/>
      <c r="B21" s="7"/>
      <c r="C21" s="7"/>
      <c r="D21" s="7"/>
      <c r="E21" s="7"/>
      <c r="F21" s="7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5">
      <c r="A22" s="7"/>
      <c r="B22" s="7"/>
      <c r="C22" s="7"/>
      <c r="D22" s="7"/>
      <c r="E22" s="7"/>
      <c r="F22" s="7"/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5">
      <c r="A23" s="7"/>
      <c r="B23" s="7"/>
      <c r="C23" s="7"/>
      <c r="D23" s="7"/>
      <c r="E23" s="7"/>
      <c r="F23" s="7"/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5">
      <c r="A24" s="7"/>
      <c r="B24" s="7"/>
      <c r="C24" s="7"/>
      <c r="D24" s="7"/>
      <c r="E24" s="7"/>
      <c r="F24" s="7"/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5">
      <c r="A25" s="7"/>
      <c r="B25" s="7"/>
      <c r="C25" s="7"/>
      <c r="D25" s="7"/>
      <c r="E25" s="7"/>
      <c r="F25" s="7"/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5">
      <c r="A26" s="7"/>
      <c r="B26" s="7"/>
      <c r="C26" s="7"/>
      <c r="D26" s="7"/>
      <c r="E26" s="7"/>
      <c r="F26" s="7"/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5">
      <c r="A27" s="7"/>
      <c r="B27" s="7"/>
      <c r="C27" s="7"/>
      <c r="D27" s="7"/>
      <c r="E27" s="7"/>
      <c r="F27" s="7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x14ac:dyDescent="0.25">
      <c r="A28" s="7"/>
      <c r="B28" s="7"/>
      <c r="C28" s="7"/>
      <c r="D28" s="7"/>
      <c r="E28" s="7"/>
      <c r="F28" s="7"/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5">
      <c r="A29" s="7"/>
      <c r="B29" s="7"/>
      <c r="C29" s="7"/>
      <c r="D29" s="7"/>
      <c r="E29" s="7"/>
      <c r="F29" s="7"/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5">
      <c r="A30" s="7"/>
      <c r="B30" s="7"/>
      <c r="C30" s="7"/>
      <c r="D30" s="7"/>
      <c r="E30" s="7"/>
      <c r="F30" s="7"/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5">
      <c r="A31" s="7"/>
      <c r="B31" s="7"/>
      <c r="C31" s="7"/>
      <c r="D31" s="7"/>
      <c r="E31" s="7"/>
      <c r="F31" s="7"/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x14ac:dyDescent="0.25">
      <c r="A32" s="7"/>
      <c r="B32" s="7"/>
      <c r="C32" s="7"/>
      <c r="D32" s="7"/>
      <c r="E32" s="7"/>
      <c r="F32" s="7"/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5">
      <c r="A33" s="7"/>
      <c r="B33" s="7"/>
      <c r="C33" s="7"/>
      <c r="D33" s="7"/>
      <c r="E33" s="7"/>
      <c r="F33" s="7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5">
      <c r="A34" s="7"/>
      <c r="B34" s="7"/>
      <c r="C34" s="7"/>
      <c r="D34" s="7"/>
      <c r="E34" s="7"/>
      <c r="F34" s="7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5">
      <c r="A35" s="7"/>
      <c r="B35" s="7"/>
      <c r="C35" s="7"/>
      <c r="D35" s="7"/>
      <c r="E35" s="7"/>
      <c r="F35" s="7"/>
      <c r="G35" s="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5">
      <c r="A36" s="7"/>
      <c r="B36" s="7"/>
      <c r="C36" s="7"/>
      <c r="D36" s="7"/>
      <c r="E36" s="7"/>
      <c r="F36" s="7"/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5">
      <c r="A37" s="7"/>
      <c r="B37" s="7"/>
      <c r="C37" s="7"/>
      <c r="D37" s="7"/>
      <c r="E37" s="7"/>
      <c r="F37" s="7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5">
      <c r="A38" s="7"/>
      <c r="B38" s="7"/>
      <c r="C38" s="7"/>
      <c r="D38" s="7"/>
      <c r="E38" s="7"/>
      <c r="F38" s="7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5">
      <c r="A39" s="7"/>
      <c r="B39" s="7"/>
      <c r="C39" s="7"/>
      <c r="D39" s="7"/>
      <c r="E39" s="7"/>
      <c r="F39" s="7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5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5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x14ac:dyDescent="0.25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x14ac:dyDescent="0.25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x14ac:dyDescent="0.25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x14ac:dyDescent="0.25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x14ac:dyDescent="0.25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x14ac:dyDescent="0.25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5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x14ac:dyDescent="0.25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x14ac:dyDescent="0.25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x14ac:dyDescent="0.25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x14ac:dyDescent="0.25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x14ac:dyDescent="0.25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x14ac:dyDescent="0.25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x14ac:dyDescent="0.25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x14ac:dyDescent="0.25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x14ac:dyDescent="0.25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x14ac:dyDescent="0.25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x14ac:dyDescent="0.25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x14ac:dyDescent="0.25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5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x14ac:dyDescent="0.25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5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x14ac:dyDescent="0.25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x14ac:dyDescent="0.25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x14ac:dyDescent="0.25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x14ac:dyDescent="0.25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x14ac:dyDescent="0.25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x14ac:dyDescent="0.25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5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x14ac:dyDescent="0.25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x14ac:dyDescent="0.25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x14ac:dyDescent="0.25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x14ac:dyDescent="0.25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x14ac:dyDescent="0.25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x14ac:dyDescent="0.25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x14ac:dyDescent="0.25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</sheetData>
  <autoFilter ref="A3:AF1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C86-CB45-410B-9717-8FC3DB8968A1}">
  <dimension ref="A1:B6"/>
  <sheetViews>
    <sheetView workbookViewId="0">
      <selection activeCell="A4" sqref="A4"/>
    </sheetView>
  </sheetViews>
  <sheetFormatPr defaultRowHeight="15" x14ac:dyDescent="0.25"/>
  <cols>
    <col min="1" max="1" width="11" style="11" bestFit="1" customWidth="1"/>
  </cols>
  <sheetData>
    <row r="1" spans="1:2" x14ac:dyDescent="0.25">
      <c r="A1" s="10">
        <v>1030228316</v>
      </c>
      <c r="B1" s="12"/>
    </row>
    <row r="2" spans="1:2" x14ac:dyDescent="0.25">
      <c r="A2" s="10">
        <v>1030419235</v>
      </c>
      <c r="B2" s="12"/>
    </row>
    <row r="3" spans="1:2" x14ac:dyDescent="0.25">
      <c r="A3" s="10">
        <v>1030228620</v>
      </c>
      <c r="B3" s="12"/>
    </row>
    <row r="4" spans="1:2" x14ac:dyDescent="0.25">
      <c r="A4" s="10">
        <v>1030633904</v>
      </c>
    </row>
    <row r="5" spans="1:2" x14ac:dyDescent="0.25">
      <c r="A5" s="10">
        <v>1030657419</v>
      </c>
      <c r="B5" s="12"/>
    </row>
    <row r="6" spans="1:2" x14ac:dyDescent="0.25">
      <c r="A6" s="10">
        <v>1030657628</v>
      </c>
      <c r="B6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2025-12-11T13:25:01Z</dcterms:created>
  <dcterms:modified xsi:type="dcterms:W3CDTF">2026-01-22T12:54:48Z</dcterms:modified>
</cp:coreProperties>
</file>