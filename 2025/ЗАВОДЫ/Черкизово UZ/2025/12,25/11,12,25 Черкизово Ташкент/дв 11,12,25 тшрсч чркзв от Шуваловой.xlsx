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Черкизово UZ\2025\12,25\11,12,25 Черкизово Ташкент\"/>
    </mc:Choice>
  </mc:AlternateContent>
  <xr:revisionPtr revIDLastSave="0" documentId="13_ncr:1_{8317BBF3-FACA-48D8-B8FC-AE08B0A481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</sheets>
  <externalReferences>
    <externalReference r:id="rId3"/>
    <externalReference r:id="rId4"/>
  </externalReferences>
  <definedNames>
    <definedName name="_xlnm._FilterDatabase" localSheetId="0" hidden="1">Sheet!$A$3:$AF$38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4" i="1" l="1"/>
  <c r="AF34" i="1" s="1"/>
  <c r="R14" i="1"/>
  <c r="AF14" i="1" s="1"/>
  <c r="R15" i="1"/>
  <c r="AF15" i="1" s="1"/>
  <c r="R16" i="1"/>
  <c r="AF16" i="1" s="1"/>
  <c r="R17" i="1"/>
  <c r="AF17" i="1" s="1"/>
  <c r="R18" i="1"/>
  <c r="AF18" i="1" s="1"/>
  <c r="R19" i="1"/>
  <c r="AF19" i="1" s="1"/>
  <c r="R20" i="1"/>
  <c r="AF20" i="1" s="1"/>
  <c r="R21" i="1"/>
  <c r="AF21" i="1" s="1"/>
  <c r="R22" i="1"/>
  <c r="AF22" i="1" s="1"/>
  <c r="R23" i="1"/>
  <c r="AF23" i="1" s="1"/>
  <c r="R24" i="1"/>
  <c r="AF24" i="1" s="1"/>
  <c r="R25" i="1"/>
  <c r="AF25" i="1" s="1"/>
  <c r="R26" i="1"/>
  <c r="AF26" i="1" s="1"/>
  <c r="R27" i="1"/>
  <c r="AF27" i="1" s="1"/>
  <c r="R28" i="1"/>
  <c r="AF28" i="1" s="1"/>
  <c r="R29" i="1"/>
  <c r="AF29" i="1" s="1"/>
  <c r="R30" i="1"/>
  <c r="AF30" i="1" s="1"/>
  <c r="R31" i="1"/>
  <c r="AF31" i="1" s="1"/>
  <c r="R32" i="1"/>
  <c r="AF32" i="1" s="1"/>
  <c r="R33" i="1"/>
  <c r="AF33" i="1" s="1"/>
  <c r="R13" i="1"/>
  <c r="AF13" i="1" s="1"/>
  <c r="R5" i="1" l="1"/>
  <c r="W38" i="1" l="1"/>
  <c r="P38" i="1"/>
  <c r="V38" i="1" s="1"/>
  <c r="L38" i="1"/>
  <c r="W37" i="1"/>
  <c r="P37" i="1"/>
  <c r="V37" i="1" s="1"/>
  <c r="L37" i="1"/>
  <c r="W36" i="1"/>
  <c r="P36" i="1"/>
  <c r="V36" i="1" s="1"/>
  <c r="L36" i="1"/>
  <c r="W35" i="1"/>
  <c r="P35" i="1"/>
  <c r="V35" i="1" s="1"/>
  <c r="L35" i="1"/>
  <c r="W34" i="1"/>
  <c r="P34" i="1"/>
  <c r="V34" i="1" s="1"/>
  <c r="L34" i="1"/>
  <c r="W33" i="1"/>
  <c r="P33" i="1"/>
  <c r="V33" i="1" s="1"/>
  <c r="L33" i="1"/>
  <c r="W32" i="1"/>
  <c r="F32" i="1"/>
  <c r="E32" i="1"/>
  <c r="P32" i="1" s="1"/>
  <c r="W31" i="1"/>
  <c r="P31" i="1"/>
  <c r="V31" i="1" s="1"/>
  <c r="L31" i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V27" i="1" s="1"/>
  <c r="L27" i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F23" i="1"/>
  <c r="E23" i="1"/>
  <c r="P23" i="1" s="1"/>
  <c r="W22" i="1"/>
  <c r="P22" i="1"/>
  <c r="V22" i="1" s="1"/>
  <c r="L22" i="1"/>
  <c r="W21" i="1"/>
  <c r="P21" i="1"/>
  <c r="V21" i="1" s="1"/>
  <c r="L21" i="1"/>
  <c r="W20" i="1"/>
  <c r="P20" i="1"/>
  <c r="V20" i="1" s="1"/>
  <c r="L20" i="1"/>
  <c r="W19" i="1"/>
  <c r="P19" i="1"/>
  <c r="V19" i="1" s="1"/>
  <c r="L19" i="1"/>
  <c r="W18" i="1"/>
  <c r="P18" i="1"/>
  <c r="V18" i="1" s="1"/>
  <c r="L18" i="1"/>
  <c r="W17" i="1"/>
  <c r="F17" i="1"/>
  <c r="E17" i="1"/>
  <c r="P17" i="1" s="1"/>
  <c r="W16" i="1"/>
  <c r="P16" i="1"/>
  <c r="V16" i="1" s="1"/>
  <c r="L16" i="1"/>
  <c r="W15" i="1"/>
  <c r="F15" i="1"/>
  <c r="E15" i="1"/>
  <c r="P15" i="1" s="1"/>
  <c r="Q15" i="1" s="1"/>
  <c r="W14" i="1"/>
  <c r="P14" i="1"/>
  <c r="V14" i="1" s="1"/>
  <c r="L14" i="1"/>
  <c r="W13" i="1"/>
  <c r="P13" i="1"/>
  <c r="V13" i="1" s="1"/>
  <c r="L13" i="1"/>
  <c r="W12" i="1"/>
  <c r="P12" i="1"/>
  <c r="U12" i="1" s="1"/>
  <c r="L12" i="1"/>
  <c r="W11" i="1"/>
  <c r="P11" i="1"/>
  <c r="V11" i="1" s="1"/>
  <c r="L11" i="1"/>
  <c r="W10" i="1"/>
  <c r="P10" i="1"/>
  <c r="U10" i="1" s="1"/>
  <c r="L10" i="1"/>
  <c r="W9" i="1"/>
  <c r="P9" i="1"/>
  <c r="V9" i="1" s="1"/>
  <c r="L9" i="1"/>
  <c r="W8" i="1"/>
  <c r="P8" i="1"/>
  <c r="U8" i="1" s="1"/>
  <c r="L8" i="1"/>
  <c r="W7" i="1"/>
  <c r="P7" i="1"/>
  <c r="V7" i="1" s="1"/>
  <c r="L7" i="1"/>
  <c r="W6" i="1"/>
  <c r="P6" i="1"/>
  <c r="U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F5" i="1"/>
  <c r="Q14" i="1" l="1"/>
  <c r="Q17" i="1"/>
  <c r="Q29" i="1"/>
  <c r="Q34" i="1"/>
  <c r="Q32" i="1"/>
  <c r="Q23" i="1"/>
  <c r="Q13" i="1"/>
  <c r="Q22" i="1"/>
  <c r="Q25" i="1"/>
  <c r="Q16" i="1"/>
  <c r="Q19" i="1"/>
  <c r="V15" i="1"/>
  <c r="U11" i="1"/>
  <c r="U20" i="1"/>
  <c r="U18" i="1"/>
  <c r="V23" i="1"/>
  <c r="U27" i="1"/>
  <c r="U31" i="1"/>
  <c r="V32" i="1"/>
  <c r="U7" i="1"/>
  <c r="W5" i="1"/>
  <c r="E5" i="1"/>
  <c r="U9" i="1"/>
  <c r="U15" i="1"/>
  <c r="U21" i="1"/>
  <c r="U24" i="1"/>
  <c r="U26" i="1"/>
  <c r="U28" i="1"/>
  <c r="U30" i="1"/>
  <c r="U33" i="1"/>
  <c r="U35" i="1"/>
  <c r="U36" i="1"/>
  <c r="U37" i="1"/>
  <c r="U38" i="1"/>
  <c r="V17" i="1"/>
  <c r="V6" i="1"/>
  <c r="V8" i="1"/>
  <c r="L23" i="1"/>
  <c r="L32" i="1"/>
  <c r="V10" i="1"/>
  <c r="V12" i="1"/>
  <c r="L15" i="1"/>
  <c r="L17" i="1"/>
  <c r="P5" i="1"/>
  <c r="U34" i="1" l="1"/>
  <c r="U17" i="1"/>
  <c r="U32" i="1"/>
  <c r="U29" i="1"/>
  <c r="U23" i="1"/>
  <c r="U19" i="1"/>
  <c r="U22" i="1"/>
  <c r="U14" i="1"/>
  <c r="AF5" i="1"/>
  <c r="Q5" i="1"/>
  <c r="U16" i="1"/>
  <c r="U13" i="1"/>
  <c r="U25" i="1"/>
  <c r="L5" i="1"/>
</calcChain>
</file>

<file path=xl/sharedStrings.xml><?xml version="1.0" encoding="utf-8"?>
<sst xmlns="http://schemas.openxmlformats.org/spreadsheetml/2006/main" count="138" uniqueCount="82">
  <si>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</si>
  <si>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</si>
  <si>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</si>
  <si>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</si>
  <si>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</si>
  <si>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</si>
  <si>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</si>
  <si>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</si>
  <si>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</si>
  <si>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</si>
  <si>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</si>
  <si>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</si>
  <si>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</si>
  <si>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</si>
  <si>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</si>
  <si>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</si>
  <si>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</si>
  <si>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</si>
  <si>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</si>
  <si>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</si>
  <si>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</si>
  <si>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</si>
  <si>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</si>
  <si>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</si>
  <si>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</si>
  <si>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</si>
  <si>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</si>
  <si>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</si>
  <si>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</si>
  <si>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</si>
  <si>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</si>
  <si>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</si>
  <si>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</si>
  <si>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</si>
  <si>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</si>
  <si>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</si>
  <si>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</si>
  <si>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</si>
  <si>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</si>
  <si>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</si>
  <si>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</si>
  <si>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</si>
  <si>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</si>
  <si>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</si>
  <si>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</si>
  <si>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</si>
  <si>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</si>
  <si>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</si>
  <si>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</si>
  <si>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</si>
  <si>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</si>
  <si>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</si>
  <si>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</si>
  <si>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</si>
  <si>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</si>
  <si>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</si>
  <si>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</si>
  <si>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</si>
  <si>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</si>
  <si>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</si>
  <si>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</si>
  <si>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</si>
  <si>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</si>
  <si>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</si>
  <si>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</si>
  <si>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</si>
  <si>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</si>
  <si>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</si>
  <si>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</si>
  <si>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</si>
  <si>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</si>
  <si>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</si>
  <si>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</si>
  <si>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</si>
  <si>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</si>
  <si>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</si>
  <si>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</si>
  <si>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</si>
  <si>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заблокировано на 2026</t>
  </si>
  <si>
    <t>заказ</t>
  </si>
  <si>
    <t>25,12,</t>
  </si>
  <si>
    <t>вроде изменился артикул (заказываем под новым)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</si>
</sst>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trike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" fontId="5" fillId="8" borderId="3" xfId="0" applyNumberFormat="1" applyFont="1" applyFill="1" applyBorder="1"/>
    <xf numFmtId="1" fontId="0" fillId="0" borderId="0" xfId="0" applyNumberFormat="1" applyBorder="1"/>
    <xf numFmtId="0" fontId="0" fillId="9" borderId="0" xfId="0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10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4" fontId="1" fillId="6" borderId="4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1,12,25%20&#1063;&#1077;&#1088;&#1082;&#1080;&#1079;&#1086;&#1074;&#1086;%20&#1058;&#1072;&#1096;&#1082;&#1077;&#1085;&#1090;/&#1058;&#1072;&#1096;&#1082;&#1077;&#1085;&#1090;/&#1087;&#1088;&#1086;&#1076;&#1072;&#1078;&#1080;%20&#1058;&#1072;&#1096;&#1082;&#1077;&#1085;&#1090;%2028,11,25-04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%20&#1090;&#1096;&#1088;&#1089;&#1095;%20&#1095;&#1088;&#1082;&#1079;&#1074;%20&#1086;&#1090;%20&#1064;&#1091;&#1074;&#1072;&#1083;&#1086;&#1074;&#1086;&#1081;%20(+&#1085;&#1086;&#1074;&#1080;&#1085;&#1082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 refreshError="1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08,12,</v>
          </cell>
          <cell r="P4" t="str">
            <v>11,12,</v>
          </cell>
        </row>
        <row r="5"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544.91780000000006</v>
          </cell>
          <cell r="Q5">
            <v>5808.7104000000008</v>
          </cell>
          <cell r="R5">
            <v>3521</v>
          </cell>
        </row>
        <row r="6"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312.62240000000003</v>
          </cell>
          <cell r="R14">
            <v>3</v>
          </cell>
        </row>
        <row r="15"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400.20079999999996</v>
          </cell>
          <cell r="R15">
            <v>300</v>
          </cell>
        </row>
        <row r="16"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825.60000000000014</v>
          </cell>
          <cell r="R16">
            <v>400</v>
          </cell>
        </row>
        <row r="17"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352.2</v>
          </cell>
          <cell r="R17">
            <v>200</v>
          </cell>
        </row>
        <row r="18"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</row>
        <row r="19"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362</v>
          </cell>
          <cell r="R19">
            <v>150</v>
          </cell>
        </row>
        <row r="20">
          <cell r="I20">
            <v>1030712385</v>
          </cell>
          <cell r="L20">
            <v>88</v>
          </cell>
          <cell r="O20">
            <v>800</v>
          </cell>
          <cell r="P20">
            <v>40</v>
          </cell>
          <cell r="Q20">
            <v>116</v>
          </cell>
          <cell r="R20">
            <v>400</v>
          </cell>
        </row>
        <row r="21">
          <cell r="I21">
            <v>1030709904</v>
          </cell>
          <cell r="L21">
            <v>0</v>
          </cell>
          <cell r="P21">
            <v>0</v>
          </cell>
        </row>
        <row r="22"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692.2</v>
          </cell>
          <cell r="R22">
            <v>500</v>
          </cell>
        </row>
        <row r="23"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859.8</v>
          </cell>
          <cell r="R23">
            <v>400</v>
          </cell>
        </row>
        <row r="24">
          <cell r="I24">
            <v>1030654104</v>
          </cell>
          <cell r="L24">
            <v>38</v>
          </cell>
          <cell r="O24">
            <v>300</v>
          </cell>
          <cell r="P24">
            <v>12</v>
          </cell>
          <cell r="Q24">
            <v>-27</v>
          </cell>
          <cell r="R24">
            <v>120</v>
          </cell>
        </row>
        <row r="25"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112.19999999999999</v>
          </cell>
        </row>
        <row r="26"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</row>
        <row r="27"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</row>
        <row r="28">
          <cell r="I28">
            <v>1030657628</v>
          </cell>
          <cell r="L28">
            <v>0</v>
          </cell>
          <cell r="O28">
            <v>200</v>
          </cell>
          <cell r="P28">
            <v>0</v>
          </cell>
        </row>
        <row r="29"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558.80000000000007</v>
          </cell>
          <cell r="R29">
            <v>250</v>
          </cell>
        </row>
        <row r="30">
          <cell r="I30">
            <v>1030670803</v>
          </cell>
          <cell r="L30">
            <v>98</v>
          </cell>
          <cell r="O30">
            <v>550</v>
          </cell>
          <cell r="P30">
            <v>19.600000000000001</v>
          </cell>
          <cell r="Q30">
            <v>-105.19999999999999</v>
          </cell>
          <cell r="R30">
            <v>200</v>
          </cell>
        </row>
        <row r="31"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</row>
        <row r="32"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503.6</v>
          </cell>
          <cell r="R32">
            <v>80</v>
          </cell>
        </row>
        <row r="33"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</row>
        <row r="34"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687.80000000000007</v>
          </cell>
          <cell r="R34">
            <v>4</v>
          </cell>
        </row>
        <row r="35">
          <cell r="I35" t="str">
            <v>уценка</v>
          </cell>
          <cell r="L35">
            <v>0</v>
          </cell>
          <cell r="P35">
            <v>0</v>
          </cell>
          <cell r="Q35">
            <v>4.8390000000000004</v>
          </cell>
        </row>
        <row r="36">
          <cell r="I36" t="str">
            <v>уценка</v>
          </cell>
          <cell r="L36">
            <v>1.2390000000000001</v>
          </cell>
          <cell r="P36">
            <v>0.24780000000000002</v>
          </cell>
          <cell r="Q36">
            <v>6.9384000000000006</v>
          </cell>
        </row>
        <row r="37">
          <cell r="I37" t="str">
            <v>уценка</v>
          </cell>
          <cell r="L37">
            <v>0</v>
          </cell>
          <cell r="P37">
            <v>0</v>
          </cell>
          <cell r="Q37">
            <v>4</v>
          </cell>
        </row>
        <row r="38">
          <cell r="I38" t="str">
            <v>уценка</v>
          </cell>
          <cell r="L38">
            <v>0</v>
          </cell>
          <cell r="P38">
            <v>0</v>
          </cell>
          <cell r="Q38">
            <v>4</v>
          </cell>
        </row>
        <row r="39">
          <cell r="I39">
            <v>1030228855</v>
          </cell>
          <cell r="Q39">
            <v>0</v>
          </cell>
          <cell r="R39">
            <v>6</v>
          </cell>
        </row>
        <row r="40">
          <cell r="I40">
            <v>1030419435</v>
          </cell>
          <cell r="Q40">
            <v>0</v>
          </cell>
          <cell r="R40">
            <v>60</v>
          </cell>
        </row>
        <row r="41">
          <cell r="I41">
            <v>1030680328</v>
          </cell>
          <cell r="Q41">
            <v>0</v>
          </cell>
          <cell r="R41">
            <v>50</v>
          </cell>
        </row>
        <row r="42">
          <cell r="I42">
            <v>1030683928</v>
          </cell>
          <cell r="Q42">
            <v>0</v>
          </cell>
          <cell r="R42">
            <v>50</v>
          </cell>
        </row>
        <row r="43">
          <cell r="I43">
            <v>1030688634</v>
          </cell>
          <cell r="Q43">
            <v>0</v>
          </cell>
          <cell r="R43">
            <v>80</v>
          </cell>
        </row>
        <row r="44">
          <cell r="I44">
            <v>1030129697</v>
          </cell>
          <cell r="Q44">
            <v>0</v>
          </cell>
          <cell r="R44">
            <v>40</v>
          </cell>
        </row>
        <row r="45">
          <cell r="I45">
            <v>1030236957</v>
          </cell>
          <cell r="Q45">
            <v>0</v>
          </cell>
          <cell r="R45">
            <v>5</v>
          </cell>
        </row>
        <row r="46">
          <cell r="I46">
            <v>1030503997</v>
          </cell>
          <cell r="Q46">
            <v>0</v>
          </cell>
          <cell r="R46">
            <v>10</v>
          </cell>
        </row>
        <row r="47">
          <cell r="I47">
            <v>1030518197</v>
          </cell>
          <cell r="Q47">
            <v>0</v>
          </cell>
          <cell r="R47">
            <v>40</v>
          </cell>
        </row>
        <row r="48">
          <cell r="I48">
            <v>1030707697</v>
          </cell>
          <cell r="Q48">
            <v>0</v>
          </cell>
          <cell r="R48">
            <v>5</v>
          </cell>
        </row>
        <row r="49">
          <cell r="I49">
            <v>1030517871</v>
          </cell>
          <cell r="Q49">
            <v>0</v>
          </cell>
          <cell r="R49">
            <v>40</v>
          </cell>
        </row>
        <row r="50">
          <cell r="I50">
            <v>1030671534</v>
          </cell>
          <cell r="Q50">
            <v>0</v>
          </cell>
          <cell r="R50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5" customWidth="1"/>
    <col min="19" max="19" width="7" customWidth="1"/>
    <col min="20" max="20" width="25.7109375" customWidth="1"/>
    <col min="21" max="22" width="5" customWidth="1"/>
    <col min="23" max="30" width="6" customWidth="1"/>
    <col min="31" max="31" width="55.85546875" customWidth="1"/>
    <col min="32" max="32" width="7" customWidth="1"/>
    <col min="33" max="51" width="3" customWidth="1"/>
  </cols>
  <sheetData>
    <row r="1" spans="1:51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79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/>
      <c r="R4" s="11" t="s">
        <v>80</v>
      </c>
      <c r="S4" s="11"/>
      <c r="T4" s="11"/>
      <c r="U4" s="11"/>
      <c r="V4" s="11"/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SUM(E6:E487)</f>
        <v>2590.5890000000004</v>
      </c>
      <c r="F5" s="3">
        <f>SUM(F6:F487)</f>
        <v>1089.5439999999999</v>
      </c>
      <c r="G5" s="12"/>
      <c r="H5" s="11"/>
      <c r="I5" s="11"/>
      <c r="J5" s="11"/>
      <c r="K5" s="3">
        <f t="shared" ref="K5:S5" si="0">SUM(K6:K487)</f>
        <v>0</v>
      </c>
      <c r="L5" s="3">
        <f t="shared" si="0"/>
        <v>2590.5890000000004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518.1178000000001</v>
      </c>
      <c r="Q5" s="3">
        <f t="shared" si="0"/>
        <v>4653.5762000000004</v>
      </c>
      <c r="R5" s="3">
        <f t="shared" si="0"/>
        <v>2815</v>
      </c>
      <c r="S5" s="3">
        <f t="shared" si="0"/>
        <v>0</v>
      </c>
      <c r="T5" s="11"/>
      <c r="U5" s="11"/>
      <c r="V5" s="11"/>
      <c r="W5" s="3">
        <f t="shared" ref="W5:AD5" si="1">SUM(W6:W487)</f>
        <v>223.84020000000004</v>
      </c>
      <c r="X5" s="3">
        <f t="shared" si="1"/>
        <v>351.73600000000005</v>
      </c>
      <c r="Y5" s="3">
        <f t="shared" si="1"/>
        <v>393.99920000000003</v>
      </c>
      <c r="Z5" s="3">
        <f t="shared" si="1"/>
        <v>452.68280000000004</v>
      </c>
      <c r="AA5" s="3">
        <f t="shared" si="1"/>
        <v>438.06400000000008</v>
      </c>
      <c r="AB5" s="3">
        <f t="shared" si="1"/>
        <v>336.05739999999997</v>
      </c>
      <c r="AC5" s="3">
        <f t="shared" si="1"/>
        <v>460.87760000000003</v>
      </c>
      <c r="AD5" s="3">
        <f t="shared" si="1"/>
        <v>316.1816</v>
      </c>
      <c r="AE5" s="11"/>
      <c r="AF5" s="3">
        <f>SUM(AF6:AF487)</f>
        <v>1100.8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7" t="s">
        <v>34</v>
      </c>
      <c r="B6" s="7" t="s">
        <v>35</v>
      </c>
      <c r="C6" s="7">
        <v>-3.282</v>
      </c>
      <c r="D6" s="7">
        <v>3.282</v>
      </c>
      <c r="E6" s="7"/>
      <c r="F6" s="7"/>
      <c r="G6" s="14">
        <v>0</v>
      </c>
      <c r="H6" s="7"/>
      <c r="I6" s="7" t="s">
        <v>36</v>
      </c>
      <c r="J6" s="7" t="s">
        <v>37</v>
      </c>
      <c r="K6" s="7"/>
      <c r="L6" s="7">
        <f t="shared" ref="L6:L38" si="2">E6-K6</f>
        <v>0</v>
      </c>
      <c r="M6" s="7"/>
      <c r="N6" s="7"/>
      <c r="O6" s="7"/>
      <c r="P6" s="7">
        <f t="shared" ref="P6:P38" si="3">E6/5</f>
        <v>0</v>
      </c>
      <c r="Q6" s="8"/>
      <c r="R6" s="8"/>
      <c r="S6" s="8"/>
      <c r="T6" s="7"/>
      <c r="U6" s="7" t="e">
        <f t="shared" ref="U6:U38" si="4">(F6+O6+Q6)/P6</f>
        <v>#DIV/0!</v>
      </c>
      <c r="V6" s="7" t="e">
        <f t="shared" ref="V6:V38" si="5">(F6+O6)/P6</f>
        <v>#DIV/0!</v>
      </c>
      <c r="W6" s="7">
        <f>IFERROR(VLOOKUP(A6,[1]TDSheet!$A:$G,3,0),0)/5</f>
        <v>0</v>
      </c>
      <c r="X6" s="7">
        <v>0</v>
      </c>
      <c r="Y6" s="7">
        <v>0</v>
      </c>
      <c r="Z6" s="7">
        <v>0.97840000000000005</v>
      </c>
      <c r="AA6" s="7">
        <v>0</v>
      </c>
      <c r="AB6" s="7">
        <v>2.2582</v>
      </c>
      <c r="AC6" s="7">
        <v>0.3246</v>
      </c>
      <c r="AD6" s="7">
        <v>0</v>
      </c>
      <c r="AE6" s="7"/>
      <c r="AF6" s="7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7" t="s">
        <v>38</v>
      </c>
      <c r="B7" s="7" t="s">
        <v>35</v>
      </c>
      <c r="C7" s="7">
        <v>-46.12</v>
      </c>
      <c r="D7" s="7">
        <v>46.12</v>
      </c>
      <c r="E7" s="16">
        <v>25.475999999999999</v>
      </c>
      <c r="F7" s="16">
        <v>-25.475999999999999</v>
      </c>
      <c r="G7" s="14">
        <v>0</v>
      </c>
      <c r="H7" s="7"/>
      <c r="I7" s="7" t="s">
        <v>36</v>
      </c>
      <c r="J7" s="7" t="s">
        <v>39</v>
      </c>
      <c r="K7" s="7"/>
      <c r="L7" s="7">
        <f t="shared" si="2"/>
        <v>25.475999999999999</v>
      </c>
      <c r="M7" s="7"/>
      <c r="N7" s="7"/>
      <c r="O7" s="7"/>
      <c r="P7" s="7">
        <f t="shared" si="3"/>
        <v>5.0952000000000002</v>
      </c>
      <c r="Q7" s="8"/>
      <c r="R7" s="8"/>
      <c r="S7" s="8"/>
      <c r="T7" s="7"/>
      <c r="U7" s="7">
        <f t="shared" si="4"/>
        <v>-5</v>
      </c>
      <c r="V7" s="7">
        <f t="shared" si="5"/>
        <v>-5</v>
      </c>
      <c r="W7" s="7">
        <f>IFERROR(VLOOKUP(A7,[1]TDSheet!$A:$G,3,0),0)/5</f>
        <v>1.0324</v>
      </c>
      <c r="X7" s="7">
        <v>2.3660000000000001</v>
      </c>
      <c r="Y7" s="7">
        <v>2.6892</v>
      </c>
      <c r="Z7" s="7">
        <v>5.2023999999999999</v>
      </c>
      <c r="AA7" s="7">
        <v>0</v>
      </c>
      <c r="AB7" s="7">
        <v>0</v>
      </c>
      <c r="AC7" s="7">
        <v>5.8015999999999996</v>
      </c>
      <c r="AD7" s="7">
        <v>0.82</v>
      </c>
      <c r="AE7" s="7"/>
      <c r="AF7" s="7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7" t="s">
        <v>40</v>
      </c>
      <c r="B8" s="7" t="s">
        <v>41</v>
      </c>
      <c r="C8" s="7">
        <v>-148</v>
      </c>
      <c r="D8" s="7">
        <v>148</v>
      </c>
      <c r="E8" s="16">
        <v>8</v>
      </c>
      <c r="F8" s="16">
        <v>-8</v>
      </c>
      <c r="G8" s="14">
        <v>0</v>
      </c>
      <c r="H8" s="7"/>
      <c r="I8" s="7" t="s">
        <v>36</v>
      </c>
      <c r="J8" s="7" t="s">
        <v>42</v>
      </c>
      <c r="K8" s="7"/>
      <c r="L8" s="7">
        <f t="shared" si="2"/>
        <v>8</v>
      </c>
      <c r="M8" s="7"/>
      <c r="N8" s="7"/>
      <c r="O8" s="7"/>
      <c r="P8" s="7">
        <f t="shared" si="3"/>
        <v>1.6</v>
      </c>
      <c r="Q8" s="8"/>
      <c r="R8" s="8"/>
      <c r="S8" s="8"/>
      <c r="T8" s="7"/>
      <c r="U8" s="7">
        <f t="shared" si="4"/>
        <v>-5</v>
      </c>
      <c r="V8" s="7">
        <f t="shared" si="5"/>
        <v>-5</v>
      </c>
      <c r="W8" s="7">
        <f>IFERROR(VLOOKUP(A8,[1]TDSheet!$A:$G,3,0),0)/5</f>
        <v>3.6</v>
      </c>
      <c r="X8" s="7">
        <v>10.199999999999999</v>
      </c>
      <c r="Y8" s="7">
        <v>14.2</v>
      </c>
      <c r="Z8" s="7">
        <v>5.2</v>
      </c>
      <c r="AA8" s="7">
        <v>0</v>
      </c>
      <c r="AB8" s="7">
        <v>0</v>
      </c>
      <c r="AC8" s="7">
        <v>0</v>
      </c>
      <c r="AD8" s="7">
        <v>0</v>
      </c>
      <c r="AE8" s="7"/>
      <c r="AF8" s="7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7" t="s">
        <v>43</v>
      </c>
      <c r="B9" s="7" t="s">
        <v>41</v>
      </c>
      <c r="C9" s="7">
        <v>-10</v>
      </c>
      <c r="D9" s="7">
        <v>10</v>
      </c>
      <c r="E9" s="7"/>
      <c r="F9" s="7"/>
      <c r="G9" s="14">
        <v>0</v>
      </c>
      <c r="H9" s="7"/>
      <c r="I9" s="7" t="s">
        <v>36</v>
      </c>
      <c r="J9" s="7" t="s">
        <v>44</v>
      </c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8"/>
      <c r="S9" s="8"/>
      <c r="T9" s="7"/>
      <c r="U9" s="7" t="e">
        <f t="shared" si="4"/>
        <v>#DIV/0!</v>
      </c>
      <c r="V9" s="7" t="e">
        <f t="shared" si="5"/>
        <v>#DIV/0!</v>
      </c>
      <c r="W9" s="7">
        <f>IFERROR(VLOOKUP(A9,[1]TDSheet!$A:$G,3,0),0)/5</f>
        <v>0</v>
      </c>
      <c r="X9" s="7">
        <v>1</v>
      </c>
      <c r="Y9" s="7">
        <v>1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/>
      <c r="AF9" s="7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7" t="s">
        <v>45</v>
      </c>
      <c r="B10" s="7" t="s">
        <v>41</v>
      </c>
      <c r="C10" s="7">
        <v>-14</v>
      </c>
      <c r="D10" s="7">
        <v>14</v>
      </c>
      <c r="E10" s="7"/>
      <c r="F10" s="7"/>
      <c r="G10" s="14">
        <v>0</v>
      </c>
      <c r="H10" s="7"/>
      <c r="I10" s="7" t="s">
        <v>36</v>
      </c>
      <c r="J10" s="7" t="s">
        <v>46</v>
      </c>
      <c r="K10" s="7"/>
      <c r="L10" s="7">
        <f t="shared" si="2"/>
        <v>0</v>
      </c>
      <c r="M10" s="7"/>
      <c r="N10" s="7"/>
      <c r="O10" s="7"/>
      <c r="P10" s="7">
        <f t="shared" si="3"/>
        <v>0</v>
      </c>
      <c r="Q10" s="8"/>
      <c r="R10" s="8"/>
      <c r="S10" s="8"/>
      <c r="T10" s="7"/>
      <c r="U10" s="7" t="e">
        <f t="shared" si="4"/>
        <v>#DIV/0!</v>
      </c>
      <c r="V10" s="7" t="e">
        <f t="shared" si="5"/>
        <v>#DIV/0!</v>
      </c>
      <c r="W10" s="7">
        <f>IFERROR(VLOOKUP(A10,[1]TDSheet!$A:$G,3,0),0)/5</f>
        <v>1.4</v>
      </c>
      <c r="X10" s="7">
        <v>0</v>
      </c>
      <c r="Y10" s="7">
        <v>0.8</v>
      </c>
      <c r="Z10" s="7">
        <v>1.6</v>
      </c>
      <c r="AA10" s="7">
        <v>0</v>
      </c>
      <c r="AB10" s="7">
        <v>2.8</v>
      </c>
      <c r="AC10" s="7">
        <v>4.5999999999999996</v>
      </c>
      <c r="AD10" s="7">
        <v>0</v>
      </c>
      <c r="AE10" s="7"/>
      <c r="AF10" s="7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7" t="s">
        <v>47</v>
      </c>
      <c r="B11" s="7"/>
      <c r="C11" s="7">
        <v>-5</v>
      </c>
      <c r="D11" s="7">
        <v>5</v>
      </c>
      <c r="E11" s="16">
        <v>39</v>
      </c>
      <c r="F11" s="16">
        <v>-39</v>
      </c>
      <c r="G11" s="14">
        <v>0</v>
      </c>
      <c r="H11" s="7"/>
      <c r="I11" s="7" t="s">
        <v>36</v>
      </c>
      <c r="J11" s="7" t="s">
        <v>48</v>
      </c>
      <c r="K11" s="7"/>
      <c r="L11" s="7">
        <f t="shared" si="2"/>
        <v>39</v>
      </c>
      <c r="M11" s="7"/>
      <c r="N11" s="7"/>
      <c r="O11" s="7"/>
      <c r="P11" s="7">
        <f t="shared" si="3"/>
        <v>7.8</v>
      </c>
      <c r="Q11" s="8"/>
      <c r="R11" s="8"/>
      <c r="S11" s="8"/>
      <c r="T11" s="7"/>
      <c r="U11" s="7">
        <f t="shared" si="4"/>
        <v>-5</v>
      </c>
      <c r="V11" s="7">
        <f t="shared" si="5"/>
        <v>-5</v>
      </c>
      <c r="W11" s="7">
        <f>IFERROR(VLOOKUP(A11,[1]TDSheet!$A:$G,3,0),0)/5</f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/>
      <c r="AF11" s="7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7" t="s">
        <v>49</v>
      </c>
      <c r="B12" s="7" t="s">
        <v>41</v>
      </c>
      <c r="C12" s="7">
        <v>-128</v>
      </c>
      <c r="D12" s="7">
        <v>128</v>
      </c>
      <c r="E12" s="16">
        <v>29</v>
      </c>
      <c r="F12" s="16">
        <v>-29</v>
      </c>
      <c r="G12" s="14">
        <v>0</v>
      </c>
      <c r="H12" s="7"/>
      <c r="I12" s="7" t="s">
        <v>36</v>
      </c>
      <c r="J12" s="7" t="s">
        <v>50</v>
      </c>
      <c r="K12" s="7"/>
      <c r="L12" s="7">
        <f t="shared" si="2"/>
        <v>29</v>
      </c>
      <c r="M12" s="7"/>
      <c r="N12" s="7"/>
      <c r="O12" s="7"/>
      <c r="P12" s="7">
        <f t="shared" si="3"/>
        <v>5.8</v>
      </c>
      <c r="Q12" s="8"/>
      <c r="R12" s="8"/>
      <c r="S12" s="8"/>
      <c r="T12" s="7"/>
      <c r="U12" s="7">
        <f t="shared" si="4"/>
        <v>-5</v>
      </c>
      <c r="V12" s="7">
        <f t="shared" si="5"/>
        <v>-5</v>
      </c>
      <c r="W12" s="7">
        <f>IFERROR(VLOOKUP(A12,[1]TDSheet!$A:$G,3,0),0)/5</f>
        <v>0</v>
      </c>
      <c r="X12" s="7">
        <v>0</v>
      </c>
      <c r="Y12" s="7">
        <v>16.8</v>
      </c>
      <c r="Z12" s="7">
        <v>14</v>
      </c>
      <c r="AA12" s="7">
        <v>0</v>
      </c>
      <c r="AB12" s="7">
        <v>5.8</v>
      </c>
      <c r="AC12" s="7">
        <v>12</v>
      </c>
      <c r="AD12" s="7">
        <v>0</v>
      </c>
      <c r="AE12" s="7"/>
      <c r="AF12" s="7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1" t="s">
        <v>51</v>
      </c>
      <c r="B13" s="11" t="s">
        <v>35</v>
      </c>
      <c r="C13" s="11">
        <v>-0.155</v>
      </c>
      <c r="D13" s="11">
        <v>51.722000000000001</v>
      </c>
      <c r="E13" s="11">
        <v>51.728000000000002</v>
      </c>
      <c r="F13" s="11">
        <v>-0.161</v>
      </c>
      <c r="G13" s="12">
        <v>1</v>
      </c>
      <c r="H13" s="11">
        <v>30</v>
      </c>
      <c r="I13" s="11">
        <v>1030112235</v>
      </c>
      <c r="J13" s="11"/>
      <c r="K13" s="11"/>
      <c r="L13" s="11">
        <f t="shared" si="2"/>
        <v>51.728000000000002</v>
      </c>
      <c r="M13" s="11"/>
      <c r="N13" s="11"/>
      <c r="O13" s="11">
        <v>100</v>
      </c>
      <c r="P13" s="11">
        <f t="shared" si="3"/>
        <v>10.345600000000001</v>
      </c>
      <c r="Q13" s="4">
        <f>23*P13-O13-F13</f>
        <v>138.10980000000004</v>
      </c>
      <c r="R13" s="4">
        <f>IFERROR(VLOOKUP(I13,[2]Sheet!$I:$R,10,0),0)</f>
        <v>3</v>
      </c>
      <c r="S13" s="4"/>
      <c r="T13" s="11"/>
      <c r="U13" s="11">
        <f t="shared" si="4"/>
        <v>23</v>
      </c>
      <c r="V13" s="11">
        <f t="shared" si="5"/>
        <v>9.6503827714197321</v>
      </c>
      <c r="W13" s="11">
        <f>IFERROR(VLOOKUP(A13,[1]TDSheet!$A:$G,3,0),0)/5</f>
        <v>-0.65199999999999991</v>
      </c>
      <c r="X13" s="11">
        <v>0.17419999999999999</v>
      </c>
      <c r="Y13" s="11">
        <v>3.3445999999999998</v>
      </c>
      <c r="Z13" s="11">
        <v>5.1424000000000003</v>
      </c>
      <c r="AA13" s="11">
        <v>14.7752</v>
      </c>
      <c r="AB13" s="11">
        <v>-5.3000000000000012E-2</v>
      </c>
      <c r="AC13" s="11">
        <v>12.9244</v>
      </c>
      <c r="AD13" s="11">
        <v>5.71</v>
      </c>
      <c r="AE13" s="11" t="s">
        <v>52</v>
      </c>
      <c r="AF13" s="11">
        <f>G13*R13</f>
        <v>3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37</v>
      </c>
      <c r="B14" s="11" t="s">
        <v>35</v>
      </c>
      <c r="C14" s="11">
        <v>7.2549999999999999</v>
      </c>
      <c r="D14" s="11">
        <v>122.98699999999999</v>
      </c>
      <c r="E14" s="11">
        <v>103.619</v>
      </c>
      <c r="F14" s="11">
        <v>23.341000000000001</v>
      </c>
      <c r="G14" s="12">
        <v>1</v>
      </c>
      <c r="H14" s="11">
        <v>30</v>
      </c>
      <c r="I14" s="11">
        <v>1030112635</v>
      </c>
      <c r="J14" s="11"/>
      <c r="K14" s="11"/>
      <c r="L14" s="11">
        <f t="shared" si="2"/>
        <v>103.619</v>
      </c>
      <c r="M14" s="11"/>
      <c r="N14" s="11"/>
      <c r="O14" s="11">
        <v>160</v>
      </c>
      <c r="P14" s="11">
        <f t="shared" si="3"/>
        <v>20.723800000000001</v>
      </c>
      <c r="Q14" s="4">
        <f>22*P14-O14-F14</f>
        <v>272.58260000000001</v>
      </c>
      <c r="R14" s="4">
        <f>IFERROR(VLOOKUP(I14,[2]Sheet!$I:$R,10,0),0)</f>
        <v>3</v>
      </c>
      <c r="S14" s="4"/>
      <c r="T14" s="11"/>
      <c r="U14" s="11">
        <f t="shared" si="4"/>
        <v>22</v>
      </c>
      <c r="V14" s="11">
        <f t="shared" si="5"/>
        <v>8.8468813634565091</v>
      </c>
      <c r="W14" s="11">
        <f>IFERROR(VLOOKUP(A14,[1]TDSheet!$A:$G,3,0),0)/5</f>
        <v>-0.32400000000000001</v>
      </c>
      <c r="X14" s="11">
        <v>7.8170000000000002</v>
      </c>
      <c r="Y14" s="11">
        <v>4.5084</v>
      </c>
      <c r="Z14" s="11">
        <v>17.910599999999999</v>
      </c>
      <c r="AA14" s="11">
        <v>17.3096</v>
      </c>
      <c r="AB14" s="11">
        <v>14.278600000000001</v>
      </c>
      <c r="AC14" s="11">
        <v>20.921199999999999</v>
      </c>
      <c r="AD14" s="11">
        <v>12.272</v>
      </c>
      <c r="AE14" s="11" t="s">
        <v>53</v>
      </c>
      <c r="AF14" s="11">
        <f t="shared" ref="AF14:AF34" si="6">G14*R14</f>
        <v>3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39</v>
      </c>
      <c r="B15" s="11" t="s">
        <v>35</v>
      </c>
      <c r="C15" s="11">
        <v>183.47900000000001</v>
      </c>
      <c r="D15" s="11">
        <v>82.962000000000003</v>
      </c>
      <c r="E15" s="16">
        <f>119.882+E7</f>
        <v>145.358</v>
      </c>
      <c r="F15" s="16">
        <f>100.439+F7</f>
        <v>74.962999999999994</v>
      </c>
      <c r="G15" s="12">
        <v>1</v>
      </c>
      <c r="H15" s="11">
        <v>75</v>
      </c>
      <c r="I15" s="11">
        <v>1030115552</v>
      </c>
      <c r="J15" s="11"/>
      <c r="K15" s="11"/>
      <c r="L15" s="11">
        <f t="shared" si="2"/>
        <v>145.358</v>
      </c>
      <c r="M15" s="11"/>
      <c r="N15" s="11"/>
      <c r="O15" s="11">
        <v>250</v>
      </c>
      <c r="P15" s="11">
        <f t="shared" si="3"/>
        <v>29.0716</v>
      </c>
      <c r="Q15" s="4">
        <f t="shared" ref="Q15:Q16" si="7">23*P15-O15-F15</f>
        <v>343.68380000000002</v>
      </c>
      <c r="R15" s="4">
        <f>IFERROR(VLOOKUP(I15,[2]Sheet!$I:$R,10,0),0)</f>
        <v>300</v>
      </c>
      <c r="S15" s="4"/>
      <c r="T15" s="11"/>
      <c r="U15" s="11">
        <f t="shared" si="4"/>
        <v>23</v>
      </c>
      <c r="V15" s="11">
        <f t="shared" si="5"/>
        <v>11.178022537459237</v>
      </c>
      <c r="W15" s="11">
        <f>IFERROR(VLOOKUP(A15,[1]TDSheet!$A:$G,3,0),0)/5</f>
        <v>8.7837999999999994</v>
      </c>
      <c r="X15" s="11">
        <v>14.3948</v>
      </c>
      <c r="Y15" s="11">
        <v>8.8358000000000008</v>
      </c>
      <c r="Z15" s="11">
        <v>23.141400000000001</v>
      </c>
      <c r="AA15" s="11">
        <v>19.091799999999999</v>
      </c>
      <c r="AB15" s="11">
        <v>6.5153999999999996</v>
      </c>
      <c r="AC15" s="11">
        <v>18.439599999999999</v>
      </c>
      <c r="AD15" s="11">
        <v>10.619199999999999</v>
      </c>
      <c r="AE15" s="11"/>
      <c r="AF15" s="11">
        <f t="shared" si="6"/>
        <v>300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54</v>
      </c>
      <c r="B16" s="11" t="s">
        <v>41</v>
      </c>
      <c r="C16" s="11">
        <v>152</v>
      </c>
      <c r="D16" s="11">
        <v>402</v>
      </c>
      <c r="E16" s="11">
        <v>286</v>
      </c>
      <c r="F16" s="11">
        <v>246</v>
      </c>
      <c r="G16" s="12">
        <v>0.4</v>
      </c>
      <c r="H16" s="11">
        <v>75</v>
      </c>
      <c r="I16" s="11">
        <v>1030115404</v>
      </c>
      <c r="J16" s="11"/>
      <c r="K16" s="11"/>
      <c r="L16" s="11">
        <f t="shared" si="2"/>
        <v>286</v>
      </c>
      <c r="M16" s="11"/>
      <c r="N16" s="11"/>
      <c r="O16" s="11">
        <v>400</v>
      </c>
      <c r="P16" s="11">
        <f t="shared" si="3"/>
        <v>57.2</v>
      </c>
      <c r="Q16" s="4">
        <f t="shared" si="7"/>
        <v>669.60000000000014</v>
      </c>
      <c r="R16" s="4">
        <f>IFERROR(VLOOKUP(I16,[2]Sheet!$I:$R,10,0),0)</f>
        <v>400</v>
      </c>
      <c r="S16" s="4"/>
      <c r="T16" s="11"/>
      <c r="U16" s="11">
        <f t="shared" si="4"/>
        <v>23</v>
      </c>
      <c r="V16" s="11">
        <f t="shared" si="5"/>
        <v>11.293706293706293</v>
      </c>
      <c r="W16" s="11">
        <f>IFERROR(VLOOKUP(A16,[1]TDSheet!$A:$G,3,0),0)/5</f>
        <v>33.6</v>
      </c>
      <c r="X16" s="11">
        <v>31.8</v>
      </c>
      <c r="Y16" s="11">
        <v>53.8</v>
      </c>
      <c r="Z16" s="11">
        <v>48.4</v>
      </c>
      <c r="AA16" s="11">
        <v>49.8</v>
      </c>
      <c r="AB16" s="11">
        <v>40.6</v>
      </c>
      <c r="AC16" s="11">
        <v>42.6</v>
      </c>
      <c r="AD16" s="11">
        <v>30.6</v>
      </c>
      <c r="AE16" s="11"/>
      <c r="AF16" s="11">
        <f t="shared" si="6"/>
        <v>160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42</v>
      </c>
      <c r="B17" s="11" t="s">
        <v>41</v>
      </c>
      <c r="C17" s="11">
        <v>247</v>
      </c>
      <c r="D17" s="11">
        <v>78</v>
      </c>
      <c r="E17" s="16">
        <f>89+E8</f>
        <v>97</v>
      </c>
      <c r="F17" s="16">
        <f>48+F8</f>
        <v>40</v>
      </c>
      <c r="G17" s="12">
        <v>0.4</v>
      </c>
      <c r="H17" s="11">
        <v>75</v>
      </c>
      <c r="I17" s="11">
        <v>1030804004</v>
      </c>
      <c r="J17" s="11"/>
      <c r="K17" s="11"/>
      <c r="L17" s="11">
        <f t="shared" si="2"/>
        <v>97</v>
      </c>
      <c r="M17" s="11"/>
      <c r="N17" s="11"/>
      <c r="O17" s="11">
        <v>100</v>
      </c>
      <c r="P17" s="11">
        <f t="shared" si="3"/>
        <v>19.399999999999999</v>
      </c>
      <c r="Q17" s="4">
        <f>20*P17-O17-F17</f>
        <v>248</v>
      </c>
      <c r="R17" s="4">
        <f>IFERROR(VLOOKUP(I17,[2]Sheet!$I:$R,10,0),0)</f>
        <v>200</v>
      </c>
      <c r="S17" s="4"/>
      <c r="T17" s="11"/>
      <c r="U17" s="11">
        <f t="shared" si="4"/>
        <v>20</v>
      </c>
      <c r="V17" s="11">
        <f t="shared" si="5"/>
        <v>7.2164948453608249</v>
      </c>
      <c r="W17" s="11">
        <f>IFERROR(VLOOKUP(A17,[1]TDSheet!$A:$G,3,0),0)/5</f>
        <v>5.2</v>
      </c>
      <c r="X17" s="11">
        <v>18.2</v>
      </c>
      <c r="Y17" s="11">
        <v>4.2</v>
      </c>
      <c r="Z17" s="11">
        <v>25.6</v>
      </c>
      <c r="AA17" s="11">
        <v>12</v>
      </c>
      <c r="AB17" s="11">
        <v>16.399999999999999</v>
      </c>
      <c r="AC17" s="11">
        <v>12</v>
      </c>
      <c r="AD17" s="11">
        <v>18.8</v>
      </c>
      <c r="AE17" s="11"/>
      <c r="AF17" s="11">
        <f t="shared" si="6"/>
        <v>80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20" t="s">
        <v>44</v>
      </c>
      <c r="B18" s="20" t="s">
        <v>41</v>
      </c>
      <c r="C18" s="20">
        <v>58</v>
      </c>
      <c r="D18" s="20"/>
      <c r="E18" s="20">
        <v>36</v>
      </c>
      <c r="F18" s="20">
        <v>1</v>
      </c>
      <c r="G18" s="21">
        <v>0.3</v>
      </c>
      <c r="H18" s="20">
        <v>45</v>
      </c>
      <c r="I18" s="20">
        <v>1030419235</v>
      </c>
      <c r="J18" s="20"/>
      <c r="K18" s="20"/>
      <c r="L18" s="20">
        <f t="shared" si="2"/>
        <v>36</v>
      </c>
      <c r="M18" s="20"/>
      <c r="N18" s="20"/>
      <c r="O18" s="20">
        <v>120</v>
      </c>
      <c r="P18" s="20">
        <f t="shared" si="3"/>
        <v>7.2</v>
      </c>
      <c r="Q18" s="22"/>
      <c r="R18" s="4">
        <f>IFERROR(VLOOKUP(I18,[2]Sheet!$I:$R,10,0),0)</f>
        <v>0</v>
      </c>
      <c r="S18" s="22"/>
      <c r="T18" s="23" t="s">
        <v>78</v>
      </c>
      <c r="U18" s="20">
        <f t="shared" si="4"/>
        <v>16.805555555555554</v>
      </c>
      <c r="V18" s="20">
        <f t="shared" si="5"/>
        <v>16.805555555555554</v>
      </c>
      <c r="W18" s="20">
        <f>IFERROR(VLOOKUP(A18,[1]TDSheet!$A:$G,3,0),0)/5</f>
        <v>10.4</v>
      </c>
      <c r="X18" s="20">
        <v>21.8</v>
      </c>
      <c r="Y18" s="20">
        <v>9</v>
      </c>
      <c r="Z18" s="20">
        <v>7.4</v>
      </c>
      <c r="AA18" s="20">
        <v>2.2000000000000002</v>
      </c>
      <c r="AB18" s="20">
        <v>8.1999999999999993</v>
      </c>
      <c r="AC18" s="20">
        <v>4.5999999999999996</v>
      </c>
      <c r="AD18" s="20">
        <v>6.2</v>
      </c>
      <c r="AE18" s="20" t="s">
        <v>55</v>
      </c>
      <c r="AF18" s="11">
        <f t="shared" si="6"/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56</v>
      </c>
      <c r="B19" s="11" t="s">
        <v>41</v>
      </c>
      <c r="C19" s="11"/>
      <c r="D19" s="11">
        <v>200</v>
      </c>
      <c r="E19" s="11">
        <v>135</v>
      </c>
      <c r="F19" s="11">
        <v>59</v>
      </c>
      <c r="G19" s="12">
        <v>0.5</v>
      </c>
      <c r="H19" s="11">
        <v>45</v>
      </c>
      <c r="I19" s="11">
        <v>1030412236</v>
      </c>
      <c r="J19" s="11"/>
      <c r="K19" s="11"/>
      <c r="L19" s="11">
        <f t="shared" si="2"/>
        <v>135</v>
      </c>
      <c r="M19" s="11"/>
      <c r="N19" s="11"/>
      <c r="O19" s="11">
        <v>250</v>
      </c>
      <c r="P19" s="11">
        <f t="shared" si="3"/>
        <v>27</v>
      </c>
      <c r="Q19" s="4">
        <f t="shared" ref="Q19:Q25" si="8">23*P19-O19-F19</f>
        <v>312</v>
      </c>
      <c r="R19" s="4">
        <f>IFERROR(VLOOKUP(I19,[2]Sheet!$I:$R,10,0),0)</f>
        <v>150</v>
      </c>
      <c r="S19" s="4"/>
      <c r="T19" s="11"/>
      <c r="U19" s="11">
        <f t="shared" si="4"/>
        <v>23</v>
      </c>
      <c r="V19" s="11">
        <f t="shared" si="5"/>
        <v>11.444444444444445</v>
      </c>
      <c r="W19" s="11">
        <f>IFERROR(VLOOKUP(A19,[1]TDSheet!$A:$G,3,0),0)/5</f>
        <v>6.4</v>
      </c>
      <c r="X19" s="11">
        <v>19.600000000000001</v>
      </c>
      <c r="Y19" s="11">
        <v>16.8</v>
      </c>
      <c r="Z19" s="11">
        <v>17.399999999999999</v>
      </c>
      <c r="AA19" s="11">
        <v>22.8</v>
      </c>
      <c r="AB19" s="11">
        <v>13.2</v>
      </c>
      <c r="AC19" s="11">
        <v>16.8</v>
      </c>
      <c r="AD19" s="11">
        <v>9.4</v>
      </c>
      <c r="AE19" s="11"/>
      <c r="AF19" s="11">
        <f t="shared" si="6"/>
        <v>75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46</v>
      </c>
      <c r="B20" s="11" t="s">
        <v>41</v>
      </c>
      <c r="C20" s="11">
        <v>52</v>
      </c>
      <c r="D20" s="11">
        <v>100</v>
      </c>
      <c r="E20" s="11">
        <v>88</v>
      </c>
      <c r="F20" s="11">
        <v>4</v>
      </c>
      <c r="G20" s="12">
        <v>0.18</v>
      </c>
      <c r="H20" s="11">
        <v>90</v>
      </c>
      <c r="I20" s="11">
        <v>1030712385</v>
      </c>
      <c r="J20" s="11"/>
      <c r="K20" s="11"/>
      <c r="L20" s="11">
        <f t="shared" si="2"/>
        <v>88</v>
      </c>
      <c r="M20" s="11"/>
      <c r="N20" s="11"/>
      <c r="O20" s="11">
        <v>800</v>
      </c>
      <c r="P20" s="11">
        <f t="shared" si="3"/>
        <v>17.600000000000001</v>
      </c>
      <c r="Q20" s="4"/>
      <c r="R20" s="4">
        <f>IFERROR(VLOOKUP(I20,[2]Sheet!$I:$R,10,0),0)</f>
        <v>400</v>
      </c>
      <c r="S20" s="4"/>
      <c r="T20" s="11"/>
      <c r="U20" s="11">
        <f t="shared" si="4"/>
        <v>45.68181818181818</v>
      </c>
      <c r="V20" s="11">
        <f t="shared" si="5"/>
        <v>45.68181818181818</v>
      </c>
      <c r="W20" s="11">
        <f>IFERROR(VLOOKUP(A20,[1]TDSheet!$A:$G,3,0),0)/5</f>
        <v>49.2</v>
      </c>
      <c r="X20" s="11">
        <v>33.799999999999997</v>
      </c>
      <c r="Y20" s="11">
        <v>43.8</v>
      </c>
      <c r="Z20" s="11">
        <v>31</v>
      </c>
      <c r="AA20" s="11">
        <v>42.2</v>
      </c>
      <c r="AB20" s="11">
        <v>39.200000000000003</v>
      </c>
      <c r="AC20" s="11">
        <v>42</v>
      </c>
      <c r="AD20" s="11">
        <v>47.6</v>
      </c>
      <c r="AE20" s="11"/>
      <c r="AF20" s="11">
        <f t="shared" si="6"/>
        <v>72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57</v>
      </c>
      <c r="B21" s="11" t="s">
        <v>41</v>
      </c>
      <c r="C21" s="11"/>
      <c r="D21" s="11"/>
      <c r="E21" s="11"/>
      <c r="F21" s="11"/>
      <c r="G21" s="12">
        <v>0.3</v>
      </c>
      <c r="H21" s="11">
        <v>60</v>
      </c>
      <c r="I21" s="11">
        <v>1030709904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4"/>
      <c r="R21" s="4">
        <f>IFERROR(VLOOKUP(I21,[2]Sheet!$I:$R,10,0),0)</f>
        <v>0</v>
      </c>
      <c r="S21" s="4"/>
      <c r="T21" s="11"/>
      <c r="U21" s="11" t="e">
        <f t="shared" si="4"/>
        <v>#DIV/0!</v>
      </c>
      <c r="V21" s="11" t="e">
        <f t="shared" si="5"/>
        <v>#DIV/0!</v>
      </c>
      <c r="W21" s="11">
        <f>IFERROR(VLOOKUP(A21,[1]TDSheet!$A:$G,3,0),0)/5</f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 t="s">
        <v>58</v>
      </c>
      <c r="AF21" s="11">
        <f t="shared" si="6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59</v>
      </c>
      <c r="B22" s="11" t="s">
        <v>41</v>
      </c>
      <c r="C22" s="11">
        <v>109</v>
      </c>
      <c r="D22" s="11">
        <v>300</v>
      </c>
      <c r="E22" s="11">
        <v>282</v>
      </c>
      <c r="F22" s="11">
        <v>110</v>
      </c>
      <c r="G22" s="12">
        <v>0.3</v>
      </c>
      <c r="H22" s="11">
        <v>150</v>
      </c>
      <c r="I22" s="11">
        <v>1030686740</v>
      </c>
      <c r="J22" s="11"/>
      <c r="K22" s="11"/>
      <c r="L22" s="11">
        <f t="shared" si="2"/>
        <v>282</v>
      </c>
      <c r="M22" s="11"/>
      <c r="N22" s="11"/>
      <c r="O22" s="11">
        <v>600</v>
      </c>
      <c r="P22" s="11">
        <f t="shared" si="3"/>
        <v>56.4</v>
      </c>
      <c r="Q22" s="4">
        <f t="shared" si="8"/>
        <v>587.20000000000005</v>
      </c>
      <c r="R22" s="4">
        <f>IFERROR(VLOOKUP(I22,[2]Sheet!$I:$R,10,0),0)</f>
        <v>500</v>
      </c>
      <c r="S22" s="4"/>
      <c r="T22" s="11"/>
      <c r="U22" s="11">
        <f t="shared" si="4"/>
        <v>23</v>
      </c>
      <c r="V22" s="11">
        <f t="shared" si="5"/>
        <v>12.588652482269504</v>
      </c>
      <c r="W22" s="11">
        <f>IFERROR(VLOOKUP(A22,[1]TDSheet!$A:$G,3,0),0)/5</f>
        <v>32.200000000000003</v>
      </c>
      <c r="X22" s="11">
        <v>32.4</v>
      </c>
      <c r="Y22" s="11">
        <v>39.4</v>
      </c>
      <c r="Z22" s="11">
        <v>46.4</v>
      </c>
      <c r="AA22" s="11">
        <v>45.4</v>
      </c>
      <c r="AB22" s="11">
        <v>32.6</v>
      </c>
      <c r="AC22" s="11">
        <v>21.2</v>
      </c>
      <c r="AD22" s="11">
        <v>32.6</v>
      </c>
      <c r="AE22" s="11"/>
      <c r="AF22" s="11">
        <f t="shared" si="6"/>
        <v>150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48</v>
      </c>
      <c r="B23" s="11" t="s">
        <v>41</v>
      </c>
      <c r="C23" s="11">
        <v>536</v>
      </c>
      <c r="D23" s="11"/>
      <c r="E23" s="16">
        <f>239+E11</f>
        <v>278</v>
      </c>
      <c r="F23" s="16">
        <f>270+F11</f>
        <v>231</v>
      </c>
      <c r="G23" s="12">
        <v>0.3</v>
      </c>
      <c r="H23" s="11">
        <v>135</v>
      </c>
      <c r="I23" s="11">
        <v>1030686857</v>
      </c>
      <c r="J23" s="11"/>
      <c r="K23" s="11"/>
      <c r="L23" s="11">
        <f t="shared" si="2"/>
        <v>278</v>
      </c>
      <c r="M23" s="11"/>
      <c r="N23" s="11"/>
      <c r="O23" s="11">
        <v>400</v>
      </c>
      <c r="P23" s="11">
        <f t="shared" si="3"/>
        <v>55.6</v>
      </c>
      <c r="Q23" s="4">
        <f t="shared" si="8"/>
        <v>647.79999999999995</v>
      </c>
      <c r="R23" s="4">
        <f>IFERROR(VLOOKUP(I23,[2]Sheet!$I:$R,10,0),0)</f>
        <v>400</v>
      </c>
      <c r="S23" s="4"/>
      <c r="T23" s="11"/>
      <c r="U23" s="11">
        <f t="shared" si="4"/>
        <v>23</v>
      </c>
      <c r="V23" s="11">
        <f t="shared" si="5"/>
        <v>11.348920863309353</v>
      </c>
      <c r="W23" s="11">
        <f>IFERROR(VLOOKUP(A23,[1]TDSheet!$A:$G,3,0),0)/5</f>
        <v>14.6</v>
      </c>
      <c r="X23" s="11">
        <v>20.8</v>
      </c>
      <c r="Y23" s="11">
        <v>36.200000000000003</v>
      </c>
      <c r="Z23" s="11">
        <v>26.4</v>
      </c>
      <c r="AA23" s="11">
        <v>21.8</v>
      </c>
      <c r="AB23" s="11">
        <v>28.6</v>
      </c>
      <c r="AC23" s="11">
        <v>18.2</v>
      </c>
      <c r="AD23" s="11">
        <v>24.4</v>
      </c>
      <c r="AE23" s="11"/>
      <c r="AF23" s="11">
        <f t="shared" si="6"/>
        <v>120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61</v>
      </c>
      <c r="B24" s="11" t="s">
        <v>41</v>
      </c>
      <c r="C24" s="11">
        <v>60</v>
      </c>
      <c r="D24" s="11"/>
      <c r="E24" s="11">
        <v>38</v>
      </c>
      <c r="F24" s="11">
        <v>3</v>
      </c>
      <c r="G24" s="12">
        <v>0.2</v>
      </c>
      <c r="H24" s="11">
        <v>90</v>
      </c>
      <c r="I24" s="11">
        <v>1030654104</v>
      </c>
      <c r="J24" s="11"/>
      <c r="K24" s="11"/>
      <c r="L24" s="11">
        <f t="shared" si="2"/>
        <v>38</v>
      </c>
      <c r="M24" s="11"/>
      <c r="N24" s="11"/>
      <c r="O24" s="11">
        <v>300</v>
      </c>
      <c r="P24" s="11">
        <f t="shared" si="3"/>
        <v>7.6</v>
      </c>
      <c r="Q24" s="4"/>
      <c r="R24" s="4">
        <f>IFERROR(VLOOKUP(I24,[2]Sheet!$I:$R,10,0),0)</f>
        <v>120</v>
      </c>
      <c r="S24" s="4"/>
      <c r="T24" s="11"/>
      <c r="U24" s="11">
        <f t="shared" si="4"/>
        <v>39.868421052631582</v>
      </c>
      <c r="V24" s="11">
        <f t="shared" si="5"/>
        <v>39.868421052631582</v>
      </c>
      <c r="W24" s="11">
        <f>IFERROR(VLOOKUP(A24,[1]TDSheet!$A:$G,3,0),0)/5</f>
        <v>14</v>
      </c>
      <c r="X24" s="11">
        <v>17.2</v>
      </c>
      <c r="Y24" s="11">
        <v>9.6</v>
      </c>
      <c r="Z24" s="11">
        <v>11.8</v>
      </c>
      <c r="AA24" s="11">
        <v>1</v>
      </c>
      <c r="AB24" s="11">
        <v>6</v>
      </c>
      <c r="AC24" s="11">
        <v>5.4</v>
      </c>
      <c r="AD24" s="11">
        <v>11.4</v>
      </c>
      <c r="AE24" s="11"/>
      <c r="AF24" s="11">
        <f t="shared" si="6"/>
        <v>24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62</v>
      </c>
      <c r="B25" s="11" t="s">
        <v>41</v>
      </c>
      <c r="C25" s="11">
        <v>186</v>
      </c>
      <c r="D25" s="11"/>
      <c r="E25" s="11">
        <v>62</v>
      </c>
      <c r="F25" s="11">
        <v>105</v>
      </c>
      <c r="G25" s="12">
        <v>0.3</v>
      </c>
      <c r="H25" s="11">
        <v>135</v>
      </c>
      <c r="I25" s="11">
        <v>1030686241</v>
      </c>
      <c r="J25" s="11"/>
      <c r="K25" s="11"/>
      <c r="L25" s="11">
        <f t="shared" si="2"/>
        <v>62</v>
      </c>
      <c r="M25" s="11"/>
      <c r="N25" s="11"/>
      <c r="O25" s="11">
        <v>90</v>
      </c>
      <c r="P25" s="11">
        <f t="shared" si="3"/>
        <v>12.4</v>
      </c>
      <c r="Q25" s="4">
        <f t="shared" si="8"/>
        <v>90.199999999999989</v>
      </c>
      <c r="R25" s="4">
        <f>IFERROR(VLOOKUP(I25,[2]Sheet!$I:$R,10,0),0)</f>
        <v>0</v>
      </c>
      <c r="S25" s="4"/>
      <c r="T25" s="11"/>
      <c r="U25" s="11">
        <f t="shared" si="4"/>
        <v>23</v>
      </c>
      <c r="V25" s="11">
        <f t="shared" si="5"/>
        <v>15.725806451612902</v>
      </c>
      <c r="W25" s="11">
        <f>IFERROR(VLOOKUP(A25,[1]TDSheet!$A:$G,3,0),0)/5</f>
        <v>7.6</v>
      </c>
      <c r="X25" s="11">
        <v>10</v>
      </c>
      <c r="Y25" s="11">
        <v>10</v>
      </c>
      <c r="Z25" s="11">
        <v>8.1999999999999993</v>
      </c>
      <c r="AA25" s="11">
        <v>6.4</v>
      </c>
      <c r="AB25" s="11">
        <v>6.2</v>
      </c>
      <c r="AC25" s="11">
        <v>5.2</v>
      </c>
      <c r="AD25" s="11">
        <v>1.2</v>
      </c>
      <c r="AE25" s="11"/>
      <c r="AF25" s="11">
        <f t="shared" si="6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63</v>
      </c>
      <c r="B26" s="11" t="s">
        <v>41</v>
      </c>
      <c r="C26" s="11">
        <v>-1</v>
      </c>
      <c r="D26" s="11"/>
      <c r="E26" s="11">
        <v>23</v>
      </c>
      <c r="F26" s="11">
        <v>-24</v>
      </c>
      <c r="G26" s="12">
        <v>0.1</v>
      </c>
      <c r="H26" s="11">
        <v>90</v>
      </c>
      <c r="I26" s="11">
        <v>1030650028</v>
      </c>
      <c r="J26" s="11"/>
      <c r="K26" s="11"/>
      <c r="L26" s="11">
        <f t="shared" si="2"/>
        <v>23</v>
      </c>
      <c r="M26" s="11"/>
      <c r="N26" s="11"/>
      <c r="O26" s="11">
        <v>200</v>
      </c>
      <c r="P26" s="11">
        <f t="shared" si="3"/>
        <v>4.5999999999999996</v>
      </c>
      <c r="Q26" s="4"/>
      <c r="R26" s="4">
        <f>IFERROR(VLOOKUP(I26,[2]Sheet!$I:$R,10,0),0)</f>
        <v>0</v>
      </c>
      <c r="S26" s="4"/>
      <c r="T26" s="11"/>
      <c r="U26" s="11">
        <f t="shared" si="4"/>
        <v>38.260869565217398</v>
      </c>
      <c r="V26" s="11">
        <f t="shared" si="5"/>
        <v>38.260869565217398</v>
      </c>
      <c r="W26" s="11">
        <f>IFERROR(VLOOKUP(A26,[1]TDSheet!$A:$G,3,0),0)/5</f>
        <v>9.4</v>
      </c>
      <c r="X26" s="11">
        <v>14.6</v>
      </c>
      <c r="Y26" s="11">
        <v>14.4</v>
      </c>
      <c r="Z26" s="11">
        <v>0</v>
      </c>
      <c r="AA26" s="11">
        <v>12.4</v>
      </c>
      <c r="AB26" s="11">
        <v>6.2</v>
      </c>
      <c r="AC26" s="11">
        <v>17</v>
      </c>
      <c r="AD26" s="11">
        <v>4.5999999999999996</v>
      </c>
      <c r="AE26" s="11" t="s">
        <v>64</v>
      </c>
      <c r="AF26" s="11">
        <f t="shared" si="6"/>
        <v>0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20" t="s">
        <v>65</v>
      </c>
      <c r="B27" s="20" t="s">
        <v>41</v>
      </c>
      <c r="C27" s="20">
        <v>242</v>
      </c>
      <c r="D27" s="20"/>
      <c r="E27" s="20">
        <v>41</v>
      </c>
      <c r="F27" s="20">
        <v>188</v>
      </c>
      <c r="G27" s="21">
        <v>0.3</v>
      </c>
      <c r="H27" s="20">
        <v>135</v>
      </c>
      <c r="I27" s="20">
        <v>1030657419</v>
      </c>
      <c r="J27" s="20"/>
      <c r="K27" s="20"/>
      <c r="L27" s="20">
        <f t="shared" si="2"/>
        <v>41</v>
      </c>
      <c r="M27" s="20"/>
      <c r="N27" s="20"/>
      <c r="O27" s="20">
        <v>50</v>
      </c>
      <c r="P27" s="20">
        <f t="shared" si="3"/>
        <v>8.1999999999999993</v>
      </c>
      <c r="Q27" s="22"/>
      <c r="R27" s="4">
        <f>IFERROR(VLOOKUP(I27,[2]Sheet!$I:$R,10,0),0)</f>
        <v>0</v>
      </c>
      <c r="S27" s="22"/>
      <c r="T27" s="23" t="s">
        <v>78</v>
      </c>
      <c r="U27" s="20">
        <f t="shared" si="4"/>
        <v>29.024390243902442</v>
      </c>
      <c r="V27" s="20">
        <f t="shared" si="5"/>
        <v>29.024390243902442</v>
      </c>
      <c r="W27" s="20">
        <f>IFERROR(VLOOKUP(A27,[1]TDSheet!$A:$G,3,0),0)/5</f>
        <v>6.8</v>
      </c>
      <c r="X27" s="20">
        <v>4.8</v>
      </c>
      <c r="Y27" s="20">
        <v>6.8</v>
      </c>
      <c r="Z27" s="20">
        <v>5.6</v>
      </c>
      <c r="AA27" s="20">
        <v>10</v>
      </c>
      <c r="AB27" s="20">
        <v>8</v>
      </c>
      <c r="AC27" s="20">
        <v>9.1999999999999993</v>
      </c>
      <c r="AD27" s="20">
        <v>7</v>
      </c>
      <c r="AE27" s="24" t="s">
        <v>60</v>
      </c>
      <c r="AF27" s="11">
        <f t="shared" si="6"/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20" t="s">
        <v>66</v>
      </c>
      <c r="B28" s="20" t="s">
        <v>41</v>
      </c>
      <c r="C28" s="20"/>
      <c r="D28" s="20"/>
      <c r="E28" s="20"/>
      <c r="F28" s="20"/>
      <c r="G28" s="21">
        <v>8.5000000000000006E-2</v>
      </c>
      <c r="H28" s="20">
        <v>90</v>
      </c>
      <c r="I28" s="20">
        <v>1030657628</v>
      </c>
      <c r="J28" s="20"/>
      <c r="K28" s="20"/>
      <c r="L28" s="20">
        <f t="shared" si="2"/>
        <v>0</v>
      </c>
      <c r="M28" s="20"/>
      <c r="N28" s="20"/>
      <c r="O28" s="20">
        <v>200</v>
      </c>
      <c r="P28" s="20">
        <f t="shared" si="3"/>
        <v>0</v>
      </c>
      <c r="Q28" s="22"/>
      <c r="R28" s="4">
        <f>IFERROR(VLOOKUP(I28,[2]Sheet!$I:$R,10,0),0)</f>
        <v>0</v>
      </c>
      <c r="S28" s="22"/>
      <c r="T28" s="23" t="s">
        <v>78</v>
      </c>
      <c r="U28" s="20" t="e">
        <f t="shared" si="4"/>
        <v>#DIV/0!</v>
      </c>
      <c r="V28" s="20" t="e">
        <f t="shared" si="5"/>
        <v>#DIV/0!</v>
      </c>
      <c r="W28" s="20">
        <f>IFERROR(VLOOKUP(A28,[1]TDSheet!$A:$G,3,0),0)/5</f>
        <v>0.6</v>
      </c>
      <c r="X28" s="20">
        <v>12.8</v>
      </c>
      <c r="Y28" s="20">
        <v>7.6</v>
      </c>
      <c r="Z28" s="20">
        <v>10.199999999999999</v>
      </c>
      <c r="AA28" s="20">
        <v>-0.4</v>
      </c>
      <c r="AB28" s="20">
        <v>2.2000000000000002</v>
      </c>
      <c r="AC28" s="20">
        <v>15.8</v>
      </c>
      <c r="AD28" s="20">
        <v>6.2</v>
      </c>
      <c r="AE28" s="20" t="s">
        <v>67</v>
      </c>
      <c r="AF28" s="11">
        <f t="shared" si="6"/>
        <v>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68</v>
      </c>
      <c r="B29" s="11" t="s">
        <v>41</v>
      </c>
      <c r="C29" s="11">
        <v>169</v>
      </c>
      <c r="D29" s="11">
        <v>120</v>
      </c>
      <c r="E29" s="11">
        <v>133</v>
      </c>
      <c r="F29" s="11">
        <v>134</v>
      </c>
      <c r="G29" s="12">
        <v>0.3</v>
      </c>
      <c r="H29" s="11">
        <v>135</v>
      </c>
      <c r="I29" s="11">
        <v>1030679319</v>
      </c>
      <c r="J29" s="11"/>
      <c r="K29" s="11"/>
      <c r="L29" s="11">
        <f t="shared" si="2"/>
        <v>133</v>
      </c>
      <c r="M29" s="11"/>
      <c r="N29" s="11"/>
      <c r="O29" s="11">
        <v>50</v>
      </c>
      <c r="P29" s="11">
        <f t="shared" si="3"/>
        <v>26.6</v>
      </c>
      <c r="Q29" s="4">
        <f>20*P29-O29-F29</f>
        <v>348</v>
      </c>
      <c r="R29" s="4">
        <f>IFERROR(VLOOKUP(I29,[2]Sheet!$I:$R,10,0),0)</f>
        <v>250</v>
      </c>
      <c r="S29" s="4"/>
      <c r="T29" s="11"/>
      <c r="U29" s="11">
        <f t="shared" si="4"/>
        <v>20</v>
      </c>
      <c r="V29" s="11">
        <f t="shared" si="5"/>
        <v>6.9172932330827068</v>
      </c>
      <c r="W29" s="11">
        <f>IFERROR(VLOOKUP(A29,[1]TDSheet!$A:$G,3,0),0)/5</f>
        <v>14.8</v>
      </c>
      <c r="X29" s="11">
        <v>9.1999999999999993</v>
      </c>
      <c r="Y29" s="11">
        <v>12.4</v>
      </c>
      <c r="Z29" s="11">
        <v>13.6</v>
      </c>
      <c r="AA29" s="11">
        <v>11.6</v>
      </c>
      <c r="AB29" s="11">
        <v>13.2</v>
      </c>
      <c r="AC29" s="11">
        <v>10.199999999999999</v>
      </c>
      <c r="AD29" s="11">
        <v>8.8000000000000007</v>
      </c>
      <c r="AE29" s="11"/>
      <c r="AF29" s="11">
        <f t="shared" si="6"/>
        <v>75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69</v>
      </c>
      <c r="B30" s="11" t="s">
        <v>41</v>
      </c>
      <c r="C30" s="11">
        <v>83</v>
      </c>
      <c r="D30" s="11">
        <v>24</v>
      </c>
      <c r="E30" s="11">
        <v>98</v>
      </c>
      <c r="F30" s="11">
        <v>6</v>
      </c>
      <c r="G30" s="12">
        <v>0.25</v>
      </c>
      <c r="H30" s="11">
        <v>120</v>
      </c>
      <c r="I30" s="11">
        <v>1030670844</v>
      </c>
      <c r="J30" s="11"/>
      <c r="K30" s="11"/>
      <c r="L30" s="11">
        <f t="shared" si="2"/>
        <v>98</v>
      </c>
      <c r="M30" s="11"/>
      <c r="N30" s="11"/>
      <c r="O30" s="11">
        <v>550</v>
      </c>
      <c r="P30" s="11">
        <f t="shared" si="3"/>
        <v>19.600000000000001</v>
      </c>
      <c r="Q30" s="4"/>
      <c r="R30" s="4">
        <f>IFERROR(VLOOKUP(I30,[2]Sheet!$I:$R,10,0),0)</f>
        <v>0</v>
      </c>
      <c r="S30" s="4"/>
      <c r="T30" s="11"/>
      <c r="U30" s="11">
        <f t="shared" si="4"/>
        <v>28.367346938775508</v>
      </c>
      <c r="V30" s="11">
        <f t="shared" si="5"/>
        <v>28.367346938775508</v>
      </c>
      <c r="W30" s="11">
        <f>IFERROR(VLOOKUP(A30,[1]TDSheet!$A:$G,3,0),0)/5</f>
        <v>13.6</v>
      </c>
      <c r="X30" s="11">
        <v>24</v>
      </c>
      <c r="Y30" s="11">
        <v>23.4</v>
      </c>
      <c r="Z30" s="11">
        <v>19.8</v>
      </c>
      <c r="AA30" s="11">
        <v>24.8</v>
      </c>
      <c r="AB30" s="11">
        <v>18.8</v>
      </c>
      <c r="AC30" s="11">
        <v>19.600000000000001</v>
      </c>
      <c r="AD30" s="11">
        <v>14.2</v>
      </c>
      <c r="AE30" s="11" t="s">
        <v>81</v>
      </c>
      <c r="AF30" s="11">
        <f t="shared" si="6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20" t="s">
        <v>70</v>
      </c>
      <c r="B31" s="20" t="s">
        <v>35</v>
      </c>
      <c r="C31" s="20">
        <v>-1.284</v>
      </c>
      <c r="D31" s="20">
        <v>49.622999999999998</v>
      </c>
      <c r="E31" s="20">
        <v>47.168999999999997</v>
      </c>
      <c r="F31" s="20">
        <v>-4.4999999999999998E-2</v>
      </c>
      <c r="G31" s="21">
        <v>1</v>
      </c>
      <c r="H31" s="20">
        <v>35</v>
      </c>
      <c r="I31" s="20">
        <v>1030228316</v>
      </c>
      <c r="J31" s="20"/>
      <c r="K31" s="20"/>
      <c r="L31" s="20">
        <f t="shared" si="2"/>
        <v>47.168999999999997</v>
      </c>
      <c r="M31" s="20"/>
      <c r="N31" s="20"/>
      <c r="O31" s="20">
        <v>80</v>
      </c>
      <c r="P31" s="20">
        <f t="shared" si="3"/>
        <v>9.4337999999999997</v>
      </c>
      <c r="Q31" s="22"/>
      <c r="R31" s="4">
        <f>IFERROR(VLOOKUP(I31,[2]Sheet!$I:$R,10,0),0)</f>
        <v>5</v>
      </c>
      <c r="S31" s="22"/>
      <c r="T31" s="23" t="s">
        <v>78</v>
      </c>
      <c r="U31" s="20">
        <f t="shared" si="4"/>
        <v>8.4753757764633555</v>
      </c>
      <c r="V31" s="20">
        <f t="shared" si="5"/>
        <v>8.4753757764633555</v>
      </c>
      <c r="W31" s="20">
        <f>IFERROR(VLOOKUP(A31,[1]TDSheet!$A:$G,3,0),0)/5</f>
        <v>0</v>
      </c>
      <c r="X31" s="20">
        <v>9.1840000000000011</v>
      </c>
      <c r="Y31" s="20">
        <v>-0.17879999999999999</v>
      </c>
      <c r="Z31" s="20">
        <v>-5.3287999999999993</v>
      </c>
      <c r="AA31" s="20">
        <v>11.487399999999999</v>
      </c>
      <c r="AB31" s="20">
        <v>18.258199999999999</v>
      </c>
      <c r="AC31" s="20">
        <v>12.2662</v>
      </c>
      <c r="AD31" s="20">
        <v>8.3604000000000003</v>
      </c>
      <c r="AE31" s="20"/>
      <c r="AF31" s="11">
        <f t="shared" si="6"/>
        <v>5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50</v>
      </c>
      <c r="B32" s="11" t="s">
        <v>41</v>
      </c>
      <c r="C32" s="11">
        <v>128</v>
      </c>
      <c r="D32" s="11">
        <v>200</v>
      </c>
      <c r="E32" s="16">
        <f>167+E12</f>
        <v>196</v>
      </c>
      <c r="F32" s="16">
        <f>29+F12</f>
        <v>0</v>
      </c>
      <c r="G32" s="12">
        <v>0.4</v>
      </c>
      <c r="H32" s="11">
        <v>41</v>
      </c>
      <c r="I32" s="11">
        <v>1030234120</v>
      </c>
      <c r="J32" s="11"/>
      <c r="K32" s="11"/>
      <c r="L32" s="11">
        <f t="shared" si="2"/>
        <v>196</v>
      </c>
      <c r="M32" s="11"/>
      <c r="N32" s="11"/>
      <c r="O32" s="11">
        <v>400</v>
      </c>
      <c r="P32" s="11">
        <f t="shared" si="3"/>
        <v>39.200000000000003</v>
      </c>
      <c r="Q32" s="4">
        <f>23*P32-O32-F32</f>
        <v>501.6</v>
      </c>
      <c r="R32" s="4">
        <f>IFERROR(VLOOKUP(I32,[2]Sheet!$I:$R,10,0),0)</f>
        <v>80</v>
      </c>
      <c r="S32" s="4"/>
      <c r="T32" s="11"/>
      <c r="U32" s="11">
        <f t="shared" si="4"/>
        <v>23</v>
      </c>
      <c r="V32" s="11">
        <f t="shared" si="5"/>
        <v>10.204081632653061</v>
      </c>
      <c r="W32" s="11">
        <f>IFERROR(VLOOKUP(A32,[1]TDSheet!$A:$G,3,0),0)/5</f>
        <v>-3.8</v>
      </c>
      <c r="X32" s="11">
        <v>-4.4000000000000004</v>
      </c>
      <c r="Y32" s="11">
        <v>28.6</v>
      </c>
      <c r="Z32" s="11">
        <v>46.8</v>
      </c>
      <c r="AA32" s="11">
        <v>38.799999999999997</v>
      </c>
      <c r="AB32" s="11">
        <v>23.6</v>
      </c>
      <c r="AC32" s="11">
        <v>41</v>
      </c>
      <c r="AD32" s="11">
        <v>41</v>
      </c>
      <c r="AE32" s="11"/>
      <c r="AF32" s="11">
        <f t="shared" si="6"/>
        <v>32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20" t="s">
        <v>71</v>
      </c>
      <c r="B33" s="20" t="s">
        <v>41</v>
      </c>
      <c r="C33" s="20"/>
      <c r="D33" s="20">
        <v>160</v>
      </c>
      <c r="E33" s="20">
        <v>154</v>
      </c>
      <c r="F33" s="20">
        <v>4</v>
      </c>
      <c r="G33" s="21">
        <v>0.45</v>
      </c>
      <c r="H33" s="20">
        <v>31</v>
      </c>
      <c r="I33" s="20">
        <v>1030228620</v>
      </c>
      <c r="J33" s="20"/>
      <c r="K33" s="20"/>
      <c r="L33" s="20">
        <f t="shared" si="2"/>
        <v>154</v>
      </c>
      <c r="M33" s="20"/>
      <c r="N33" s="20"/>
      <c r="O33" s="20">
        <v>200</v>
      </c>
      <c r="P33" s="20">
        <f t="shared" si="3"/>
        <v>30.8</v>
      </c>
      <c r="Q33" s="22"/>
      <c r="R33" s="4">
        <f>IFERROR(VLOOKUP(I33,[2]Sheet!$I:$R,10,0),0)</f>
        <v>0</v>
      </c>
      <c r="S33" s="22"/>
      <c r="T33" s="23" t="s">
        <v>78</v>
      </c>
      <c r="U33" s="20">
        <f t="shared" si="4"/>
        <v>6.6233766233766236</v>
      </c>
      <c r="V33" s="20">
        <f t="shared" si="5"/>
        <v>6.6233766233766236</v>
      </c>
      <c r="W33" s="20">
        <f>IFERROR(VLOOKUP(A33,[1]TDSheet!$A:$G,3,0),0)/5</f>
        <v>-2.6</v>
      </c>
      <c r="X33" s="20">
        <v>14.4</v>
      </c>
      <c r="Y33" s="20">
        <v>11.4</v>
      </c>
      <c r="Z33" s="20">
        <v>25.8</v>
      </c>
      <c r="AA33" s="20">
        <v>26.6</v>
      </c>
      <c r="AB33" s="20">
        <v>10.8</v>
      </c>
      <c r="AC33" s="20">
        <v>41.6</v>
      </c>
      <c r="AD33" s="20">
        <v>13</v>
      </c>
      <c r="AE33" s="20"/>
      <c r="AF33" s="11">
        <f t="shared" si="6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72</v>
      </c>
      <c r="B34" s="11" t="s">
        <v>41</v>
      </c>
      <c r="C34" s="11"/>
      <c r="D34" s="11">
        <v>200</v>
      </c>
      <c r="E34" s="11">
        <v>193</v>
      </c>
      <c r="F34" s="11"/>
      <c r="G34" s="12">
        <v>0.45</v>
      </c>
      <c r="H34" s="11">
        <v>30</v>
      </c>
      <c r="I34" s="11">
        <v>1030212603</v>
      </c>
      <c r="J34" s="11"/>
      <c r="K34" s="11"/>
      <c r="L34" s="11">
        <f t="shared" si="2"/>
        <v>193</v>
      </c>
      <c r="M34" s="11"/>
      <c r="N34" s="11"/>
      <c r="O34" s="11">
        <v>200</v>
      </c>
      <c r="P34" s="11">
        <f t="shared" si="3"/>
        <v>38.6</v>
      </c>
      <c r="Q34" s="4">
        <f>18*P34-O34-F34</f>
        <v>494.80000000000007</v>
      </c>
      <c r="R34" s="4">
        <f>IFERROR(VLOOKUP(I34,[2]Sheet!$I:$R,10,0),0)</f>
        <v>4</v>
      </c>
      <c r="S34" s="4"/>
      <c r="T34" s="11"/>
      <c r="U34" s="11">
        <f t="shared" si="4"/>
        <v>18</v>
      </c>
      <c r="V34" s="11">
        <f t="shared" si="5"/>
        <v>5.1813471502590671</v>
      </c>
      <c r="W34" s="11">
        <f>IFERROR(VLOOKUP(A34,[1]TDSheet!$A:$G,3,0),0)/5</f>
        <v>-3</v>
      </c>
      <c r="X34" s="11">
        <v>25.6</v>
      </c>
      <c r="Y34" s="11">
        <v>14.6</v>
      </c>
      <c r="Z34" s="11">
        <v>36.200000000000003</v>
      </c>
      <c r="AA34" s="11">
        <v>48</v>
      </c>
      <c r="AB34" s="11">
        <v>12.4</v>
      </c>
      <c r="AC34" s="11">
        <v>51.2</v>
      </c>
      <c r="AD34" s="11">
        <v>1.4</v>
      </c>
      <c r="AE34" s="11"/>
      <c r="AF34" s="11">
        <f t="shared" si="6"/>
        <v>1.8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9" t="s">
        <v>73</v>
      </c>
      <c r="B35" s="9" t="s">
        <v>35</v>
      </c>
      <c r="C35" s="9">
        <v>-4.8390000000000004</v>
      </c>
      <c r="D35" s="9"/>
      <c r="E35" s="9"/>
      <c r="F35" s="9">
        <v>-4.8390000000000004</v>
      </c>
      <c r="G35" s="15">
        <v>0</v>
      </c>
      <c r="H35" s="9"/>
      <c r="I35" s="9" t="s">
        <v>74</v>
      </c>
      <c r="J35" s="9"/>
      <c r="K35" s="9"/>
      <c r="L35" s="9">
        <f t="shared" si="2"/>
        <v>0</v>
      </c>
      <c r="M35" s="9"/>
      <c r="N35" s="9"/>
      <c r="O35" s="9"/>
      <c r="P35" s="9">
        <f t="shared" si="3"/>
        <v>0</v>
      </c>
      <c r="Q35" s="10"/>
      <c r="R35" s="10"/>
      <c r="S35" s="10"/>
      <c r="T35" s="9"/>
      <c r="U35" s="9" t="e">
        <f t="shared" si="4"/>
        <v>#DIV/0!</v>
      </c>
      <c r="V35" s="9" t="e">
        <f t="shared" si="5"/>
        <v>#DIV/0!</v>
      </c>
      <c r="W35" s="9">
        <f>IFERROR(VLOOKUP(A35,[1]TDSheet!$A:$G,3,0),0)/5</f>
        <v>0</v>
      </c>
      <c r="X35" s="9">
        <v>0</v>
      </c>
      <c r="Y35" s="9">
        <v>0</v>
      </c>
      <c r="Z35" s="9">
        <v>1.6364000000000001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9" t="s">
        <v>75</v>
      </c>
      <c r="B36" s="9"/>
      <c r="C36" s="9"/>
      <c r="D36" s="9"/>
      <c r="E36" s="9">
        <v>1.2390000000000001</v>
      </c>
      <c r="F36" s="9">
        <v>-1.2390000000000001</v>
      </c>
      <c r="G36" s="15">
        <v>0</v>
      </c>
      <c r="H36" s="9"/>
      <c r="I36" s="9" t="s">
        <v>74</v>
      </c>
      <c r="J36" s="9"/>
      <c r="K36" s="9"/>
      <c r="L36" s="9">
        <f t="shared" si="2"/>
        <v>1.2390000000000001</v>
      </c>
      <c r="M36" s="9"/>
      <c r="N36" s="9"/>
      <c r="O36" s="9"/>
      <c r="P36" s="9">
        <f t="shared" si="3"/>
        <v>0.24780000000000002</v>
      </c>
      <c r="Q36" s="10"/>
      <c r="R36" s="10"/>
      <c r="S36" s="10"/>
      <c r="T36" s="9"/>
      <c r="U36" s="9">
        <f t="shared" si="4"/>
        <v>-5</v>
      </c>
      <c r="V36" s="9">
        <f t="shared" si="5"/>
        <v>-5</v>
      </c>
      <c r="W36" s="9">
        <f>IFERROR(VLOOKUP(A36,[1]TDSheet!$A:$G,3,0),0)/5</f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9" t="s">
        <v>76</v>
      </c>
      <c r="B37" s="9" t="s">
        <v>41</v>
      </c>
      <c r="C37" s="9">
        <v>-4</v>
      </c>
      <c r="D37" s="9"/>
      <c r="E37" s="9"/>
      <c r="F37" s="9">
        <v>-4</v>
      </c>
      <c r="G37" s="15">
        <v>0</v>
      </c>
      <c r="H37" s="9"/>
      <c r="I37" s="9" t="s">
        <v>74</v>
      </c>
      <c r="J37" s="9"/>
      <c r="K37" s="9"/>
      <c r="L37" s="9">
        <f t="shared" si="2"/>
        <v>0</v>
      </c>
      <c r="M37" s="9"/>
      <c r="N37" s="9"/>
      <c r="O37" s="9"/>
      <c r="P37" s="9">
        <f t="shared" si="3"/>
        <v>0</v>
      </c>
      <c r="Q37" s="10"/>
      <c r="R37" s="10"/>
      <c r="S37" s="10"/>
      <c r="T37" s="9"/>
      <c r="U37" s="9" t="e">
        <f t="shared" si="4"/>
        <v>#DIV/0!</v>
      </c>
      <c r="V37" s="9" t="e">
        <f t="shared" si="5"/>
        <v>#DIV/0!</v>
      </c>
      <c r="W37" s="9">
        <f>IFERROR(VLOOKUP(A37,[1]TDSheet!$A:$G,3,0),0)/5</f>
        <v>0</v>
      </c>
      <c r="X37" s="9">
        <v>0</v>
      </c>
      <c r="Y37" s="9">
        <v>0</v>
      </c>
      <c r="Z37" s="9">
        <v>0.8</v>
      </c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9" t="s">
        <v>77</v>
      </c>
      <c r="B38" s="9" t="s">
        <v>41</v>
      </c>
      <c r="C38" s="9">
        <v>-4</v>
      </c>
      <c r="D38" s="9"/>
      <c r="E38" s="9"/>
      <c r="F38" s="9">
        <v>-4</v>
      </c>
      <c r="G38" s="15">
        <v>0</v>
      </c>
      <c r="H38" s="9"/>
      <c r="I38" s="9" t="s">
        <v>74</v>
      </c>
      <c r="J38" s="9"/>
      <c r="K38" s="9"/>
      <c r="L38" s="9">
        <f t="shared" si="2"/>
        <v>0</v>
      </c>
      <c r="M38" s="9"/>
      <c r="N38" s="9"/>
      <c r="O38" s="9"/>
      <c r="P38" s="9">
        <f t="shared" si="3"/>
        <v>0</v>
      </c>
      <c r="Q38" s="26"/>
      <c r="R38" s="26"/>
      <c r="S38" s="26"/>
      <c r="T38" s="9"/>
      <c r="U38" s="9" t="e">
        <f t="shared" si="4"/>
        <v>#DIV/0!</v>
      </c>
      <c r="V38" s="9" t="e">
        <f t="shared" si="5"/>
        <v>#DIV/0!</v>
      </c>
      <c r="W38" s="9">
        <f>IFERROR(VLOOKUP(A38,[1]TDSheet!$A:$G,3,0),0)/5</f>
        <v>0</v>
      </c>
      <c r="X38" s="9">
        <v>0</v>
      </c>
      <c r="Y38" s="9">
        <v>0</v>
      </c>
      <c r="Z38" s="9">
        <v>0.8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</sheetData>
  <autoFilter ref="A3:AF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A4" sqref="A4"/>
    </sheetView>
  </sheetViews>
  <sheetFormatPr defaultRowHeight="15" x14ac:dyDescent="0.25"/>
  <cols>
    <col min="1" max="1" width="11" style="18" bestFit="1" customWidth="1"/>
  </cols>
  <sheetData>
    <row r="1" spans="1:2" x14ac:dyDescent="0.25">
      <c r="A1" s="17">
        <v>1030228316</v>
      </c>
      <c r="B1" s="19"/>
    </row>
    <row r="2" spans="1:2" x14ac:dyDescent="0.25">
      <c r="A2" s="17">
        <v>1030419235</v>
      </c>
      <c r="B2" s="19"/>
    </row>
    <row r="3" spans="1:2" x14ac:dyDescent="0.25">
      <c r="A3" s="17">
        <v>1030228620</v>
      </c>
      <c r="B3" s="19"/>
    </row>
    <row r="4" spans="1:2" x14ac:dyDescent="0.25">
      <c r="A4" s="17">
        <v>1030633904</v>
      </c>
    </row>
    <row r="5" spans="1:2" x14ac:dyDescent="0.25">
      <c r="A5" s="17">
        <v>1030657419</v>
      </c>
      <c r="B5" s="19"/>
    </row>
    <row r="6" spans="1:2" x14ac:dyDescent="0.25">
      <c r="A6" s="17">
        <v>1030657628</v>
      </c>
      <c r="B6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2025-12-25T13:33:00Z</dcterms:modified>
</cp:coreProperties>
</file>