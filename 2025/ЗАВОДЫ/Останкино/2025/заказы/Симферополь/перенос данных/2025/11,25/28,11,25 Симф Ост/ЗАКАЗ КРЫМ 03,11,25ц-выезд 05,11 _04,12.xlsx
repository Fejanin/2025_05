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3" sqref="J193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RIGHT(D11:D184,4)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RIGHT(D12:D185,4)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RIGHT(D13:D186,4)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RIGHT(D14:D185,4)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RIGHT(D15:D186,4)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RIGHT(D16:D187,4)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RIGHT(D17:D187,4)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RIGHT(D18:D187,4)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/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RIGHT(D19:D188,4)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RIGHT(D20:D189,4)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RIGHT(D21:D190,4)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RIGHT(D22:D191,4)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/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RIGHT(D23:D192,4)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600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RIGHT(D24:D193,4)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RIGHT(D25:D194,4)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RIGHT(D26:D198,4)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RIGHT(D27:D198,4)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RIGHT(D28:D199,4)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20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RIGHT(D29:D202,4)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/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RIGHT(D30:D203,4)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/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RIGHT(D31:D204,4)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RIGHT(D32:D205,4)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RIGHT(D33:D206,4)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RIGHT(D34:D207,4)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RIGHT(D35:D208,4)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1400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RIGHT(D36:D205,4)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RIGHT(D37:D206,4)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RIGHT(D38:D206,4)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RIGHT(D39:D208,4)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RIGHT(D40:D206,4)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/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RIGHT(D41:D207,4)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RIGHT(D42:D210,4)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RIGHT(D43:D212,4)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RIGHT(D44:D213,4)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RIGHT(D45:D212,4)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RIGHT(D46:D213,4)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/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RIGHT(D47:D211,4)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RIGHT(D48:D210,4)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RIGHT(D49:D213,4)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RIGHT(D50:D214,4)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RIGHT(D51:D217,4)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RIGHT(D52:D222,4)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RIGHT(D53:D223,4)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RIGHT(D54:D224,4)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RIGHT(D55:D225,4)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RIGHT(D56:D226,4)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RIGHT(D57:D227,4)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RIGHT(D58:D225,4)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RIGHT(D59:D226,4)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RIGHT(D60:D224,4)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RIGHT(D61:D225,4)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RIGHT(D62:D225,4)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RIGHT(D63:D226,4)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RIGHT(D64:D226,4)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RIGHT(D65:D227,4)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RIGHT(D66:D228,4)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RIGHT(D67:D230,4)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RIGHT(D68:D231,4)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RIGHT(D69:D231,4)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RIGHT(D70:D232,4)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RIGHT(D71:D233,4)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RIGHT(D72:D233,4)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RIGHT(D73:D233,4)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RIGHT(D74:D231,4)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/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RIGHT(D75:D232,4)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RIGHT(D76:D233,4)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RIGHT(D77:D233,4)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RIGHT(D78:D234,4)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RIGHT(D79:D235,4)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RIGHT(D80:D231,4)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RIGHT(D81:D232,4)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RIGHT(D82:D235,4)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RIGHT(D83:D236,4)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RIGHT(D84:D236,4)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RIGHT(D85:D237,4)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RIGHT(D86:D237,4)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RIGHT(D87:D238,4)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RIGHT(D88:D239,4)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RIGHT(D89:D240,4)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RIGHT(D90:D240,4)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RIGHT(D91:D241,4)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RIGHT(D92:D241,4)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RIGHT(D93:D242,4)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RIGHT(D94:D242,4)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RIGHT(D95:D240,4)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/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RIGHT(D96:D243,4)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RIGHT(D97:D244,4)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RIGHT(D98:D246,4)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RIGHT(D99:D247,4)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RIGHT(D100:D247,4)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RIGHT(D101:D247,4)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RIGHT(D102:D248,4)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RIGHT(D103:D249,4)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RIGHT(D104:D250,4)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RIGHT(D105:D251,4)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RIGHT(D106:D251,4)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RIGHT(D107:D250,4)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RIGHT(D108:D251,4)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RIGHT(D109:D252,4)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RIGHT(D110:D253,4)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RIGHT(D111:D254,4)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RIGHT(D112:D252,4)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RIGHT(D113:D253,4)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RIGHT(D114:D252,4)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RIGHT(D115:D254,4)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/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RIGHT(D116:D255,4)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RIGHT(D117:D256,4)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RIGHT(D118:D257,4)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/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RIGHT(D119:D258,4)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RIGHT(D120:D259,4)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RIGHT(D121:D261,4)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RIGHT(D122:D262,4)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RIGHT(D123:D263,4)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RIGHT(D124:D264,4)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RIGHT(D125:D265,4)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RIGHT(D127:D263,4)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/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RIGHT(D129:D264,4)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RIGHT(D130:D266,4)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RIGHT(D131:D267,4)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RIGHT(D135:D270,4)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RIGHT(D136:D271,4)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RIGHT(D138:D272,4)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RIGHT(D139:D273,4)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RIGHT(D140:D267,4)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RIGHT(D141:D267,4)</f>
        <v/>
      </c>
      <c r="B141" s="27" t="inlineStr">
        <is>
          <t>САЛЯМИ МЕЛКОЗЕРНЕНАЯ с/к в/у 1/120_60с</t>
        </is>
      </c>
      <c r="C141" s="33" t="inlineStr">
        <is>
          <t>ШТ</t>
        </is>
      </c>
      <c r="D141" s="28" t="n">
        <v>1001193115682</v>
      </c>
      <c r="E141" s="24" t="n">
        <v>800</v>
      </c>
      <c r="F141" s="23" t="n">
        <v>0.12</v>
      </c>
      <c r="G141" s="23">
        <f>E141*0.12</f>
        <v/>
      </c>
      <c r="H141" s="14" t="n">
        <v>0.96</v>
      </c>
      <c r="I141" s="14" t="n">
        <v>60</v>
      </c>
      <c r="J141" s="39" t="n"/>
    </row>
    <row r="142" ht="16.5" customHeight="1">
      <c r="A142" s="93">
        <f>RIGHT(D142:D270,4)</f>
        <v/>
      </c>
      <c r="B142" s="27" t="inlineStr">
        <is>
          <t>ЭКСТРА Папа может с/к в/у_Л</t>
        </is>
      </c>
      <c r="C142" s="30" t="inlineStr">
        <is>
          <t>КГ</t>
        </is>
      </c>
      <c r="D142" s="28" t="n">
        <v>1001062504117</v>
      </c>
      <c r="E142" s="24" t="n"/>
      <c r="F142" s="23" t="n">
        <v>0.4875</v>
      </c>
      <c r="G142" s="23">
        <f>E142*1</f>
        <v/>
      </c>
      <c r="H142" s="14" t="n">
        <v>3.9</v>
      </c>
      <c r="I142" s="14" t="n">
        <v>120</v>
      </c>
      <c r="J142" s="39" t="n"/>
    </row>
    <row r="143" ht="16.5" customHeight="1">
      <c r="A143" s="93">
        <f>RIGHT(D143:D271,4)</f>
        <v/>
      </c>
      <c r="B143" s="27" t="inlineStr">
        <is>
          <t>ПРЕСИЖН с/к дек.спец.мгс</t>
        </is>
      </c>
      <c r="C143" s="30" t="inlineStr">
        <is>
          <t>КГ</t>
        </is>
      </c>
      <c r="D143" s="28" t="n">
        <v>1001062353680</v>
      </c>
      <c r="E143" s="24" t="n"/>
      <c r="F143" s="23" t="n"/>
      <c r="G143" s="23">
        <f>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ЭКСТРА Папа может с/к в/у 1/250 8шт.</t>
        </is>
      </c>
      <c r="C144" s="33" t="inlineStr">
        <is>
          <t>ШТ</t>
        </is>
      </c>
      <c r="D144" s="28" t="n">
        <v>1001062505483</v>
      </c>
      <c r="E144" s="24" t="n"/>
      <c r="F144" s="23" t="n">
        <v>0.25</v>
      </c>
      <c r="G144" s="23">
        <f>E144*0.25</f>
        <v/>
      </c>
      <c r="H144" s="14" t="n">
        <v>2</v>
      </c>
      <c r="I144" s="14" t="n">
        <v>120</v>
      </c>
      <c r="J144" s="39" t="n"/>
    </row>
    <row r="145" ht="16.5" customHeight="1" thickBot="1">
      <c r="A145" s="93">
        <f>RIGHT(D145:D272,4)</f>
        <v/>
      </c>
      <c r="B145" s="27" t="inlineStr">
        <is>
          <t>ЭКСТРА Папа может с/к с/н в/у 1/100_60с</t>
        </is>
      </c>
      <c r="C145" s="33" t="inlineStr">
        <is>
          <t>ШТ</t>
        </is>
      </c>
      <c r="D145" s="28" t="n">
        <v>1001202506453</v>
      </c>
      <c r="E145" s="24" t="n"/>
      <c r="F145" s="23" t="n">
        <v>0.1</v>
      </c>
      <c r="G145" s="23">
        <f>E145*0.1</f>
        <v/>
      </c>
      <c r="H145" s="14" t="n">
        <v>0.8</v>
      </c>
      <c r="I145" s="14" t="n">
        <v>60</v>
      </c>
      <c r="J145" s="39" t="n"/>
    </row>
    <row r="146" ht="16.5" customHeight="1" thickBot="1" thickTop="1">
      <c r="A146" s="93">
        <f>RIGHT(D146:D273,4)</f>
        <v/>
      </c>
      <c r="B146" s="74" t="inlineStr">
        <is>
          <t>Ветчины</t>
        </is>
      </c>
      <c r="C146" s="74" t="n"/>
      <c r="D146" s="74" t="n"/>
      <c r="E146" s="74" t="n"/>
      <c r="F146" s="73" t="n"/>
      <c r="G146" s="74" t="n"/>
      <c r="H146" s="74" t="n"/>
      <c r="I146" s="74" t="n"/>
      <c r="J146" s="75" t="n"/>
    </row>
    <row r="147" ht="16.5" customHeight="1" thickTop="1">
      <c r="A147" s="93">
        <f>RIGHT(D147:D277,4)</f>
        <v/>
      </c>
      <c r="B147" s="29" t="inlineStr">
        <is>
          <t xml:space="preserve">ВЕТЧ.МРАМОРНАЯ в/у_45с </t>
        </is>
      </c>
      <c r="C147" s="32" t="inlineStr">
        <is>
          <t>КГ</t>
        </is>
      </c>
      <c r="D147" s="80" t="n">
        <v>1001092436470</v>
      </c>
      <c r="E147" s="24" t="n"/>
      <c r="F147" s="23" t="n"/>
      <c r="G147" s="23">
        <f>E147*1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ВЕТЧ.МРАМОРНАЯ в/у срез 0.3кг 6шт_45с</t>
        </is>
      </c>
      <c r="C148" s="32" t="inlineStr">
        <is>
          <t>ШТ</t>
        </is>
      </c>
      <c r="D148" s="80" t="n">
        <v>1001092436495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ВЕТЧ.КЛАССИЧЕСКАЯ ПМ п/о 0.35кг 8шт_209к</t>
        </is>
      </c>
      <c r="C149" s="32" t="inlineStr">
        <is>
          <t>ШТ</t>
        </is>
      </c>
      <c r="D149" s="80" t="n">
        <v>1001095227235</v>
      </c>
      <c r="E149" s="24" t="n"/>
      <c r="F149" s="23" t="n">
        <v>0.35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ВЕТЧ.РУБЛЕНАЯ ПМ в/у срез 0.3кг 6шт.</t>
        </is>
      </c>
      <c r="C150" s="32" t="inlineStr">
        <is>
          <t>ШТ</t>
        </is>
      </c>
      <c r="D150" s="80" t="n">
        <v>1001093316411</v>
      </c>
      <c r="E150" s="24" t="n"/>
      <c r="F150" s="23" t="n">
        <v>0.3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RIGHT(D151:D278,4)</f>
        <v/>
      </c>
      <c r="B151" s="29" t="inlineStr">
        <is>
          <t>ВЕТЧ.НЕЖНАЯ Коровино п/о_Маяк</t>
        </is>
      </c>
      <c r="C151" s="32" t="inlineStr">
        <is>
          <t>КГ</t>
        </is>
      </c>
      <c r="D151" s="80" t="n">
        <v>1001095716866</v>
      </c>
      <c r="E151" s="24" t="n">
        <v>250</v>
      </c>
      <c r="F151" s="23" t="n"/>
      <c r="G151" s="23">
        <f>E151*1</f>
        <v/>
      </c>
      <c r="H151" s="14" t="n"/>
      <c r="I151" s="14" t="n"/>
      <c r="J151" s="39" t="n"/>
    </row>
    <row r="152" ht="16.5" customHeight="1">
      <c r="A152" s="93">
        <f>RIGHT(D152:D275,4)</f>
        <v/>
      </c>
      <c r="B152" s="27" t="inlineStr">
        <is>
          <t>ВЕТЧ.МЯСНАЯ Папа может п/о 0.4кг 8шт.</t>
        </is>
      </c>
      <c r="C152" s="37" t="inlineStr">
        <is>
          <t>ШТ</t>
        </is>
      </c>
      <c r="D152" s="51" t="n">
        <v>1001094053215</v>
      </c>
      <c r="E152" s="24" t="n"/>
      <c r="F152" s="23" t="n">
        <v>0.4</v>
      </c>
      <c r="G152" s="23">
        <f>E152*0.4</f>
        <v/>
      </c>
      <c r="H152" s="14" t="n">
        <v>3.2</v>
      </c>
      <c r="I152" s="14" t="n">
        <v>60</v>
      </c>
      <c r="J152" s="39" t="n"/>
    </row>
    <row r="153" ht="16.5" customHeight="1" thickBot="1">
      <c r="A153" s="93">
        <f>RIGHT(D153:D276,4)</f>
        <v/>
      </c>
      <c r="B153" s="27" t="inlineStr">
        <is>
          <t>ВЕТЧ.ФИЛЕЙНАЯ ПМ п/о 0,4кг 8шт.</t>
        </is>
      </c>
      <c r="C153" s="37" t="inlineStr">
        <is>
          <t>ШТ</t>
        </is>
      </c>
      <c r="D153" s="51" t="n">
        <v>1001092687245</v>
      </c>
      <c r="E153" s="24" t="n"/>
      <c r="F153" s="23" t="n">
        <v>0.4</v>
      </c>
      <c r="G153" s="23">
        <f>E153*0.4</f>
        <v/>
      </c>
      <c r="H153" s="14" t="n"/>
      <c r="I153" s="14" t="n"/>
      <c r="J153" s="39" t="n"/>
    </row>
    <row r="154" ht="16.5" customHeight="1" thickBot="1" thickTop="1">
      <c r="A154" s="93">
        <f>RIGHT(D154:D278,4)</f>
        <v/>
      </c>
      <c r="B154" s="74" t="inlineStr">
        <is>
          <t>Копчености варенокопченые</t>
        </is>
      </c>
      <c r="C154" s="74" t="n"/>
      <c r="D154" s="74" t="n"/>
      <c r="E154" s="74" t="n"/>
      <c r="F154" s="73" t="n"/>
      <c r="G154" s="74" t="n"/>
      <c r="H154" s="74" t="n"/>
      <c r="I154" s="74" t="n"/>
      <c r="J154" s="75" t="n"/>
    </row>
    <row r="155" ht="16.5" customHeight="1" thickTop="1">
      <c r="A155" s="93">
        <f>RIGHT(D155:D281,4)</f>
        <v/>
      </c>
      <c r="B155" s="47" t="inlineStr">
        <is>
          <t>СВИНИНА ПО-ДОМ. к/в мл/к в/у 0.3кг_50с</t>
        </is>
      </c>
      <c r="C155" s="35" t="inlineStr">
        <is>
          <t>ШТ</t>
        </is>
      </c>
      <c r="D155" s="28" t="n">
        <v>1001084217090</v>
      </c>
      <c r="E155" s="24" t="n"/>
      <c r="F155" s="23" t="n">
        <v>0.3</v>
      </c>
      <c r="G155" s="23">
        <f>E155*F155</f>
        <v/>
      </c>
      <c r="H155" s="14" t="n"/>
      <c r="I155" s="14" t="n">
        <v>50</v>
      </c>
      <c r="J155" s="39" t="n"/>
    </row>
    <row r="156" ht="16.5" customHeight="1">
      <c r="A156" s="93">
        <f>RIGHT(D156:D282,4)</f>
        <v/>
      </c>
      <c r="B156" s="47" t="inlineStr">
        <is>
          <t>ШЕЙКА КОПЧЕНАЯ к/в мл/к в/у 300*6</t>
        </is>
      </c>
      <c r="C156" s="35" t="inlineStr">
        <is>
          <t>ШТ</t>
        </is>
      </c>
      <c r="D156" s="28" t="n">
        <v>1001083424691</v>
      </c>
      <c r="E156" s="24" t="n"/>
      <c r="F156" s="23" t="n">
        <v>0.3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RIGHT(D157:D283,4)</f>
        <v/>
      </c>
      <c r="B157" s="47" t="inlineStr">
        <is>
          <t>ГРУДИНКА ПРЕМИУМ к/в мл/к в/у 0,3кг_50с</t>
        </is>
      </c>
      <c r="C157" s="35" t="inlineStr">
        <is>
          <t>ШТ</t>
        </is>
      </c>
      <c r="D157" s="28" t="n">
        <v>1001085637187</v>
      </c>
      <c r="E157" s="24" t="n"/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с/н в/у 1/150 8шт.</t>
        </is>
      </c>
      <c r="C158" s="35" t="inlineStr">
        <is>
          <t>ШТ</t>
        </is>
      </c>
      <c r="D158" s="28" t="n">
        <v>1001225636201</v>
      </c>
      <c r="E158" s="24" t="n"/>
      <c r="F158" s="23" t="n">
        <v>0.15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RIGHT(D159:D284,4)</f>
        <v/>
      </c>
      <c r="B159" s="47" t="inlineStr">
        <is>
          <t>ДЫМОВИЦА ИЗ ОКОРОКА к/в мл/к в/у 0.3кг</t>
        </is>
      </c>
      <c r="C159" s="35" t="inlineStr">
        <is>
          <t>ШТ</t>
        </is>
      </c>
      <c r="D159" s="28" t="n">
        <v>1001080216842</v>
      </c>
      <c r="E159" s="24" t="n"/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RIGHT(D160:D284,4)</f>
        <v/>
      </c>
      <c r="B160" s="47" t="inlineStr">
        <is>
          <t>ШПИК С ЧЕСНОК.И ПЕРЦЕМ к/в в/у 0.3кг_45c</t>
        </is>
      </c>
      <c r="C160" s="35" t="inlineStr">
        <is>
          <t>ШТ</t>
        </is>
      </c>
      <c r="D160" s="28" t="n">
        <v>1001084226492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КОРЕЙКА ПО-ОСТ.к/в в/с с/н в/у 1/150_45с</t>
        </is>
      </c>
      <c r="C161" s="35" t="inlineStr">
        <is>
          <t>ШТ</t>
        </is>
      </c>
      <c r="D161" s="28" t="n">
        <v>1001220286279</v>
      </c>
      <c r="E161" s="24" t="n"/>
      <c r="F161" s="23" t="n">
        <v>0.15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КОЛБ.СНЭКИ Папа может в/к мгс 1/70_5</t>
        </is>
      </c>
      <c r="C162" s="35" t="inlineStr">
        <is>
          <t>ШТ</t>
        </is>
      </c>
      <c r="D162" s="28" t="n">
        <v>1001053944786</v>
      </c>
      <c r="E162" s="24" t="n"/>
      <c r="F162" s="23" t="n">
        <v>0.07000000000000001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ПЕППЕРОНИ с/к с/н мгс 1*2_HRC</t>
        </is>
      </c>
      <c r="C163" s="35" t="inlineStr">
        <is>
          <t>КГ</t>
        </is>
      </c>
      <c r="D163" s="28" t="n">
        <v>1001204447052</v>
      </c>
      <c r="E163" s="24" t="n"/>
      <c r="F163" s="23" t="n">
        <v>1</v>
      </c>
      <c r="G163" s="23">
        <f>E163</f>
        <v/>
      </c>
      <c r="H163" s="14" t="n"/>
      <c r="I163" s="14" t="n"/>
      <c r="J163" s="92" t="n"/>
    </row>
    <row r="164" ht="16.5" customHeight="1">
      <c r="A164" s="93">
        <f>RIGHT(D164:D284,4)</f>
        <v/>
      </c>
      <c r="B164" s="47" t="inlineStr">
        <is>
          <t>БЕКОН ДЛЯ КУЛИНАРИИ с/к с/н мгс 1*2_HRC</t>
        </is>
      </c>
      <c r="C164" s="35" t="inlineStr">
        <is>
          <t>КГ</t>
        </is>
      </c>
      <c r="D164" s="28" t="n">
        <v>1001223297053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RIGHT(D165:D284,4)</f>
        <v/>
      </c>
      <c r="B165" s="27" t="inlineStr">
        <is>
          <t>БЕКОН Папа может с/к с/н в/у 1/140_50с</t>
        </is>
      </c>
      <c r="C165" s="33" t="inlineStr">
        <is>
          <t>ШТ</t>
        </is>
      </c>
      <c r="D165" s="28" t="n">
        <v>1001223297092</v>
      </c>
      <c r="E165" s="24" t="n"/>
      <c r="F165" s="23" t="n">
        <v>0.14</v>
      </c>
      <c r="G165" s="23">
        <f>F165*E165</f>
        <v/>
      </c>
      <c r="H165" s="14" t="n"/>
      <c r="I165" s="14" t="n"/>
      <c r="J165" s="39" t="n"/>
    </row>
    <row r="166" ht="16.5" customHeight="1">
      <c r="A166" s="93">
        <f>RIGHT(D166:D285,4)</f>
        <v/>
      </c>
      <c r="B166" s="27" t="inlineStr">
        <is>
          <t>БЕКОН Останкино с/к с/н в/у 1/180_50с</t>
        </is>
      </c>
      <c r="C166" s="33" t="inlineStr">
        <is>
          <t>ШТ</t>
        </is>
      </c>
      <c r="D166" s="28" t="n">
        <v>1001223297103</v>
      </c>
      <c r="E166" s="24" t="n"/>
      <c r="F166" s="23" t="n">
        <v>0.18</v>
      </c>
      <c r="G166" s="23">
        <f>F166*E166</f>
        <v/>
      </c>
      <c r="H166" s="14" t="n"/>
      <c r="I166" s="14" t="n"/>
      <c r="J166" s="92" t="n"/>
    </row>
    <row r="167" ht="16.5" customHeight="1" thickBot="1">
      <c r="A167" s="93">
        <f>RIGHT(D167:D282,4)</f>
        <v/>
      </c>
      <c r="B167" s="47" t="inlineStr">
        <is>
          <t>БЕКОН с/к с/н в/у 1/180 10шт.</t>
        </is>
      </c>
      <c r="C167" s="35" t="inlineStr">
        <is>
          <t>ШТ</t>
        </is>
      </c>
      <c r="D167" s="28" t="n">
        <v>1001223296919</v>
      </c>
      <c r="E167" s="24" t="n"/>
      <c r="F167" s="23" t="n"/>
      <c r="G167" s="23">
        <f>E167*0.18</f>
        <v/>
      </c>
      <c r="H167" s="14" t="n"/>
      <c r="I167" s="14" t="n"/>
      <c r="J167" s="92" t="n"/>
    </row>
    <row r="168" ht="16.5" customHeight="1" thickBot="1" thickTop="1">
      <c r="A168" s="93">
        <f>RIGHT(D168:D283,4)</f>
        <v/>
      </c>
      <c r="B168" s="74" t="inlineStr">
        <is>
          <t>Паштеты</t>
        </is>
      </c>
      <c r="C168" s="74" t="n"/>
      <c r="D168" s="74" t="n"/>
      <c r="E168" s="74" t="n"/>
      <c r="F168" s="73" t="n"/>
      <c r="G168" s="74" t="n"/>
      <c r="H168" s="74" t="n"/>
      <c r="I168" s="74" t="n"/>
      <c r="J168" s="75" t="n"/>
    </row>
    <row r="169" ht="16.5" customHeight="1" thickBot="1" thickTop="1">
      <c r="A169" s="93">
        <f>RIGHT(D169:D286,4)</f>
        <v/>
      </c>
      <c r="B169" s="74" t="inlineStr">
        <is>
          <t>Пельмени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Top="1">
      <c r="A170" s="93">
        <f>RIGHT(D170:D287,4)</f>
        <v/>
      </c>
      <c r="B170" s="47" t="inlineStr">
        <is>
          <t>ОСТАН.ТРАДИЦ. пельм кор.0.5кг зам._120с</t>
        </is>
      </c>
      <c r="C170" s="33" t="inlineStr">
        <is>
          <t>ШТ</t>
        </is>
      </c>
      <c r="D170" s="28" t="n">
        <v>1002112606314</v>
      </c>
      <c r="E170" s="24" t="n"/>
      <c r="F170" s="23" t="n">
        <v>0.5</v>
      </c>
      <c r="G170" s="23">
        <f>E170*0.5</f>
        <v/>
      </c>
      <c r="H170" s="14" t="n">
        <v>8</v>
      </c>
      <c r="I170" s="72" t="n">
        <v>120</v>
      </c>
      <c r="J170" s="39" t="n"/>
    </row>
    <row r="171" ht="16.5" customHeight="1">
      <c r="A171" s="93">
        <f>RIGHT(D171:D288,4)</f>
        <v/>
      </c>
      <c r="B171" s="47" t="inlineStr">
        <is>
          <t xml:space="preserve">ПЕЛЬМ.С АДЖИКОЙ пл.0.45кг зам. </t>
        </is>
      </c>
      <c r="C171" s="33" t="inlineStr">
        <is>
          <t>ШТ</t>
        </is>
      </c>
      <c r="D171" s="28" t="n">
        <v>1002115036155</v>
      </c>
      <c r="E171" s="24" t="n"/>
      <c r="F171" s="23" t="n"/>
      <c r="G171" s="23">
        <f>E171*0.45</f>
        <v/>
      </c>
      <c r="H171" s="14" t="n"/>
      <c r="I171" s="72" t="n"/>
      <c r="J171" s="39" t="n"/>
    </row>
    <row r="172" ht="16.5" customHeight="1">
      <c r="A172" s="93">
        <f>RIGHT(D172:D289,4)</f>
        <v/>
      </c>
      <c r="B172" s="47" t="inlineStr">
        <is>
          <t xml:space="preserve">ПЕЛЬМ.С БЕЛ.ГРИБАМИ пл.0.45кг зам. </t>
        </is>
      </c>
      <c r="C172" s="33" t="inlineStr">
        <is>
          <t>ШТ</t>
        </is>
      </c>
      <c r="D172" s="28" t="n">
        <v>1002115056157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 thickBot="1">
      <c r="A173" s="93">
        <f>RIGHT(D173:D288,4)</f>
        <v/>
      </c>
      <c r="B173" s="47" t="inlineStr">
        <is>
          <t>ОСТАН.ТРАДИЦ.пельм пл.0.9кг зам._120с</t>
        </is>
      </c>
      <c r="C173" s="36" t="inlineStr">
        <is>
          <t>ШТ</t>
        </is>
      </c>
      <c r="D173" s="28" t="n">
        <v>1002112606313</v>
      </c>
      <c r="E173" s="24" t="n"/>
      <c r="F173" s="23" t="n">
        <v>0.9</v>
      </c>
      <c r="G173" s="23">
        <f>E173*0.9</f>
        <v/>
      </c>
      <c r="H173" s="14" t="n">
        <v>9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Полуфабрикаты с картофелем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Height="1" thickBot="1" thickTop="1">
      <c r="A175" s="93">
        <f>RIGHT(D175:D290,4)</f>
        <v/>
      </c>
      <c r="B175" s="47" t="inlineStr">
        <is>
          <t>С КАРТОФЕЛЕМ вареники кор.0.5кг зам_120</t>
        </is>
      </c>
      <c r="C175" s="36" t="inlineStr">
        <is>
          <t>ШТ</t>
        </is>
      </c>
      <c r="D175" s="28" t="n">
        <v>1002151784945</v>
      </c>
      <c r="E175" s="24" t="n"/>
      <c r="F175" s="23" t="n">
        <v>0.5</v>
      </c>
      <c r="G175" s="23">
        <f>E175*0.5</f>
        <v/>
      </c>
      <c r="H175" s="14" t="n">
        <v>8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Блины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Format="1" customHeight="1" s="88" thickBot="1" thickTop="1">
      <c r="A177" s="93">
        <f>RIGHT(D177:D292,4)</f>
        <v/>
      </c>
      <c r="B177" s="89" t="inlineStr">
        <is>
          <t>С КУРИЦЕЙ И ГРИБАМИ 1/420 10шт.зам.</t>
        </is>
      </c>
      <c r="C177" s="90" t="inlineStr">
        <is>
          <t>ШТ</t>
        </is>
      </c>
      <c r="D177" s="83" t="n">
        <v>1002133974956</v>
      </c>
      <c r="E177" s="84" t="n"/>
      <c r="F177" s="85" t="n">
        <v>0.42</v>
      </c>
      <c r="G177" s="85">
        <f>E177*0.42</f>
        <v/>
      </c>
      <c r="H177" s="86" t="n">
        <v>4.2</v>
      </c>
      <c r="I177" s="91" t="n">
        <v>120</v>
      </c>
      <c r="J177" s="86" t="n"/>
      <c r="K177" s="87" t="n"/>
    </row>
    <row r="178" ht="16.5" customHeight="1" thickTop="1">
      <c r="A178" s="93">
        <f>RIGHT(D178:D293,4)</f>
        <v/>
      </c>
      <c r="B178" s="47" t="inlineStr">
        <is>
          <t>БЛИНЧ.С МЯСОМ пл.1/420 10шт.зам.</t>
        </is>
      </c>
      <c r="C178" s="33" t="inlineStr">
        <is>
          <t>ШТ</t>
        </is>
      </c>
      <c r="D178" s="28" t="n">
        <v>1002131151762</v>
      </c>
      <c r="E178" s="24" t="n"/>
      <c r="F178" s="23" t="n">
        <v>0.42</v>
      </c>
      <c r="G178" s="23">
        <f>E178*0.42</f>
        <v/>
      </c>
      <c r="H178" s="14" t="n">
        <v>4.2</v>
      </c>
      <c r="I178" s="72" t="n">
        <v>120</v>
      </c>
      <c r="J178" s="39" t="n"/>
    </row>
    <row r="179" ht="16.5" customHeight="1" thickBot="1">
      <c r="A179" s="93">
        <f>RIGHT(D179:D294,4)</f>
        <v/>
      </c>
      <c r="B179" s="47" t="inlineStr">
        <is>
          <t>БЛИНЧ. С ТВОРОГОМ 1/420 12шт.зам.</t>
        </is>
      </c>
      <c r="C179" s="36" t="inlineStr">
        <is>
          <t>ШТ</t>
        </is>
      </c>
      <c r="D179" s="28" t="n">
        <v>1002131181764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Консервы мясные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Height="1" thickBot="1" thickTop="1">
      <c r="A181" s="93">
        <f>RIGHT(D181:D296,4)</f>
        <v/>
      </c>
      <c r="B181" s="74" t="inlineStr">
        <is>
          <t>Мясокостные замороженные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47" t="inlineStr">
        <is>
          <t xml:space="preserve"> РАГУ СВИНОЕ 1кг 8шт.зам_120с </t>
        </is>
      </c>
      <c r="C182" s="36" t="inlineStr">
        <is>
          <t>ШТ</t>
        </is>
      </c>
      <c r="D182" s="68" t="inlineStr">
        <is>
          <t>1002162156004</t>
        </is>
      </c>
      <c r="E182" s="24" t="n"/>
      <c r="F182" s="23" t="n">
        <v>1</v>
      </c>
      <c r="G182" s="23">
        <f>E182*1</f>
        <v/>
      </c>
      <c r="H182" s="14" t="n">
        <v>8</v>
      </c>
      <c r="I182" s="72" t="n">
        <v>120</v>
      </c>
      <c r="J182" s="39" t="n"/>
    </row>
    <row r="183" ht="15.75" customHeight="1" thickTop="1">
      <c r="A183" s="93">
        <f>RIGHT(D183:D298,4)</f>
        <v/>
      </c>
      <c r="B183" s="47" t="inlineStr">
        <is>
          <t>ШАШЛЫК ИЗ СВИНИНЫ зам.</t>
        </is>
      </c>
      <c r="C183" s="30" t="inlineStr">
        <is>
          <t>КГ</t>
        </is>
      </c>
      <c r="D183" s="68" t="inlineStr">
        <is>
          <t>1002162215417</t>
        </is>
      </c>
      <c r="E183" s="24" t="n"/>
      <c r="F183" s="23" t="n">
        <v>2</v>
      </c>
      <c r="G183" s="23">
        <f>E183*1</f>
        <v/>
      </c>
      <c r="H183" s="14" t="n">
        <v>6</v>
      </c>
      <c r="I183" s="72" t="n">
        <v>90</v>
      </c>
      <c r="J183" s="39" t="n"/>
    </row>
    <row r="184" ht="15.75" customHeight="1" thickBot="1">
      <c r="A184" s="93">
        <f>RIGHT(D184:D299,4)</f>
        <v/>
      </c>
      <c r="B184" s="47" t="inlineStr">
        <is>
          <t>РЕБРЫШКИ ОБЫКНОВЕННЫЕ 1кг 12шт.зам.</t>
        </is>
      </c>
      <c r="C184" s="36" t="inlineStr">
        <is>
          <t>ШТ</t>
        </is>
      </c>
      <c r="D184" s="69" t="inlineStr">
        <is>
          <t>1002162166019</t>
        </is>
      </c>
      <c r="E184" s="24" t="n"/>
      <c r="F184" s="23" t="n">
        <v>1</v>
      </c>
      <c r="G184" s="23">
        <f>E184*1</f>
        <v/>
      </c>
      <c r="H184" s="14" t="n">
        <v>12</v>
      </c>
      <c r="I184" s="72" t="n">
        <v>120</v>
      </c>
      <c r="J184" s="39" t="n"/>
    </row>
    <row r="185" ht="16.5" customHeight="1" thickBot="1" thickTop="1">
      <c r="A185" s="77" t="n"/>
      <c r="B185" s="77" t="inlineStr">
        <is>
          <t>ВСЕГО:</t>
        </is>
      </c>
      <c r="C185" s="16" t="n"/>
      <c r="D185" s="48" t="n"/>
      <c r="E185" s="17">
        <f>SUM(E5:E184)</f>
        <v/>
      </c>
      <c r="F185" s="17">
        <f>SUM(F10:F184)</f>
        <v/>
      </c>
      <c r="G185" s="17">
        <f>SUM(G11:G184)</f>
        <v/>
      </c>
      <c r="H185" s="17">
        <f>SUM(H10:H181)</f>
        <v/>
      </c>
      <c r="I185" s="17" t="n"/>
      <c r="J185" s="17" t="n"/>
    </row>
    <row r="186" ht="15.75" customHeight="1" thickTop="1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</sheetData>
  <autoFilter ref="A9:J185"/>
  <mergeCells count="2">
    <mergeCell ref="E1:J1"/>
    <mergeCell ref="G3:J3"/>
  </mergeCells>
  <dataValidations disablePrompts="1" count="2">
    <dataValidation sqref="B178" showDropDown="0" showInputMessage="1" showErrorMessage="1" allowBlank="0" type="textLength" operator="lessThanOrEqual">
      <formula1>40</formula1>
    </dataValidation>
    <dataValidation sqref="D182:D184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2025-11-28T11:21:04Z</dcterms:modified>
  <cp:lastModifiedBy>Uaer4</cp:lastModifiedBy>
  <cp:lastPrinted>2023-11-08T08:22:20Z</cp:lastPrinted>
</cp:coreProperties>
</file>