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12,25 Симф Ост\"/>
    </mc:Choice>
  </mc:AlternateContent>
  <xr:revisionPtr revIDLastSave="0" documentId="13_ncr:1_{A132A8B5-389A-4420-87D3-0F07564AE6D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</externalReferences>
  <definedNames>
    <definedName name="_xlnm._FilterDatabase" localSheetId="0" hidden="1">TDSheet!$A$4:$AG$101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8" i="1" l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U41" i="1" s="1"/>
  <c r="K42" i="1"/>
  <c r="K43" i="1"/>
  <c r="K44" i="1"/>
  <c r="K45" i="1"/>
  <c r="U45" i="1" s="1"/>
  <c r="K46" i="1"/>
  <c r="K47" i="1"/>
  <c r="K48" i="1"/>
  <c r="K49" i="1"/>
  <c r="U49" i="1" s="1"/>
  <c r="K50" i="1"/>
  <c r="K51" i="1"/>
  <c r="K52" i="1"/>
  <c r="K53" i="1"/>
  <c r="U53" i="1" s="1"/>
  <c r="K54" i="1"/>
  <c r="K55" i="1"/>
  <c r="K56" i="1"/>
  <c r="K57" i="1"/>
  <c r="U57" i="1" s="1"/>
  <c r="K58" i="1"/>
  <c r="K59" i="1"/>
  <c r="K60" i="1"/>
  <c r="K61" i="1"/>
  <c r="U61" i="1" s="1"/>
  <c r="K62" i="1"/>
  <c r="K63" i="1"/>
  <c r="K64" i="1"/>
  <c r="K65" i="1"/>
  <c r="U65" i="1" s="1"/>
  <c r="K66" i="1"/>
  <c r="K67" i="1"/>
  <c r="K68" i="1"/>
  <c r="K69" i="1"/>
  <c r="U69" i="1" s="1"/>
  <c r="K70" i="1"/>
  <c r="K71" i="1"/>
  <c r="K72" i="1"/>
  <c r="K73" i="1"/>
  <c r="U73" i="1" s="1"/>
  <c r="K74" i="1"/>
  <c r="K75" i="1"/>
  <c r="K76" i="1"/>
  <c r="K77" i="1"/>
  <c r="U77" i="1" s="1"/>
  <c r="K78" i="1"/>
  <c r="K79" i="1"/>
  <c r="K80" i="1"/>
  <c r="K81" i="1"/>
  <c r="U81" i="1" s="1"/>
  <c r="K82" i="1"/>
  <c r="K83" i="1"/>
  <c r="K84" i="1"/>
  <c r="K85" i="1"/>
  <c r="U85" i="1" s="1"/>
  <c r="K86" i="1"/>
  <c r="K87" i="1"/>
  <c r="K88" i="1"/>
  <c r="K89" i="1"/>
  <c r="U89" i="1" s="1"/>
  <c r="K90" i="1"/>
  <c r="K91" i="1"/>
  <c r="K92" i="1"/>
  <c r="K93" i="1"/>
  <c r="K94" i="1"/>
  <c r="K95" i="1"/>
  <c r="K96" i="1"/>
  <c r="K97" i="1"/>
  <c r="K98" i="1"/>
  <c r="K99" i="1"/>
  <c r="K100" i="1"/>
  <c r="K101" i="1"/>
  <c r="K7" i="1"/>
  <c r="S8" i="1"/>
  <c r="S9" i="1"/>
  <c r="V9" i="1" s="1"/>
  <c r="S10" i="1"/>
  <c r="V10" i="1" s="1"/>
  <c r="S11" i="1"/>
  <c r="V11" i="1" s="1"/>
  <c r="S12" i="1"/>
  <c r="V12" i="1" s="1"/>
  <c r="S13" i="1"/>
  <c r="V13" i="1" s="1"/>
  <c r="S14" i="1"/>
  <c r="V14" i="1" s="1"/>
  <c r="S15" i="1"/>
  <c r="V15" i="1" s="1"/>
  <c r="S16" i="1"/>
  <c r="V16" i="1" s="1"/>
  <c r="S17" i="1"/>
  <c r="V17" i="1" s="1"/>
  <c r="S18" i="1"/>
  <c r="V18" i="1" s="1"/>
  <c r="S19" i="1"/>
  <c r="V19" i="1" s="1"/>
  <c r="S20" i="1"/>
  <c r="V20" i="1" s="1"/>
  <c r="S21" i="1"/>
  <c r="V21" i="1" s="1"/>
  <c r="S22" i="1"/>
  <c r="V22" i="1" s="1"/>
  <c r="S23" i="1"/>
  <c r="V23" i="1" s="1"/>
  <c r="S24" i="1"/>
  <c r="V24" i="1" s="1"/>
  <c r="S25" i="1"/>
  <c r="V25" i="1" s="1"/>
  <c r="S26" i="1"/>
  <c r="V26" i="1" s="1"/>
  <c r="S27" i="1"/>
  <c r="V27" i="1" s="1"/>
  <c r="S28" i="1"/>
  <c r="V28" i="1" s="1"/>
  <c r="S29" i="1"/>
  <c r="V29" i="1" s="1"/>
  <c r="S30" i="1"/>
  <c r="V30" i="1" s="1"/>
  <c r="S31" i="1"/>
  <c r="V31" i="1" s="1"/>
  <c r="S32" i="1"/>
  <c r="V32" i="1" s="1"/>
  <c r="S33" i="1"/>
  <c r="V33" i="1" s="1"/>
  <c r="S34" i="1"/>
  <c r="V34" i="1" s="1"/>
  <c r="S35" i="1"/>
  <c r="V35" i="1" s="1"/>
  <c r="S36" i="1"/>
  <c r="V36" i="1" s="1"/>
  <c r="S37" i="1"/>
  <c r="V37" i="1" s="1"/>
  <c r="S38" i="1"/>
  <c r="V38" i="1" s="1"/>
  <c r="S39" i="1"/>
  <c r="V39" i="1" s="1"/>
  <c r="S40" i="1"/>
  <c r="V40" i="1" s="1"/>
  <c r="S41" i="1"/>
  <c r="V41" i="1" s="1"/>
  <c r="S42" i="1"/>
  <c r="V42" i="1" s="1"/>
  <c r="S43" i="1"/>
  <c r="V43" i="1" s="1"/>
  <c r="S44" i="1"/>
  <c r="V44" i="1" s="1"/>
  <c r="S45" i="1"/>
  <c r="V45" i="1" s="1"/>
  <c r="S46" i="1"/>
  <c r="V46" i="1" s="1"/>
  <c r="S47" i="1"/>
  <c r="V47" i="1" s="1"/>
  <c r="S48" i="1"/>
  <c r="V48" i="1" s="1"/>
  <c r="S49" i="1"/>
  <c r="V49" i="1" s="1"/>
  <c r="S50" i="1"/>
  <c r="V50" i="1" s="1"/>
  <c r="S51" i="1"/>
  <c r="V51" i="1" s="1"/>
  <c r="S52" i="1"/>
  <c r="V52" i="1" s="1"/>
  <c r="S53" i="1"/>
  <c r="V53" i="1" s="1"/>
  <c r="S54" i="1"/>
  <c r="V54" i="1" s="1"/>
  <c r="S55" i="1"/>
  <c r="V55" i="1" s="1"/>
  <c r="S56" i="1"/>
  <c r="V56" i="1" s="1"/>
  <c r="S57" i="1"/>
  <c r="V57" i="1" s="1"/>
  <c r="S58" i="1"/>
  <c r="V58" i="1" s="1"/>
  <c r="S59" i="1"/>
  <c r="V59" i="1" s="1"/>
  <c r="S60" i="1"/>
  <c r="V60" i="1" s="1"/>
  <c r="S61" i="1"/>
  <c r="V61" i="1" s="1"/>
  <c r="S62" i="1"/>
  <c r="V62" i="1" s="1"/>
  <c r="S63" i="1"/>
  <c r="V63" i="1" s="1"/>
  <c r="S64" i="1"/>
  <c r="V64" i="1" s="1"/>
  <c r="S65" i="1"/>
  <c r="V65" i="1" s="1"/>
  <c r="S66" i="1"/>
  <c r="V66" i="1" s="1"/>
  <c r="S67" i="1"/>
  <c r="V67" i="1" s="1"/>
  <c r="S68" i="1"/>
  <c r="V68" i="1" s="1"/>
  <c r="S69" i="1"/>
  <c r="V69" i="1" s="1"/>
  <c r="S70" i="1"/>
  <c r="V70" i="1" s="1"/>
  <c r="S71" i="1"/>
  <c r="V71" i="1" s="1"/>
  <c r="S72" i="1"/>
  <c r="V72" i="1" s="1"/>
  <c r="S73" i="1"/>
  <c r="V73" i="1" s="1"/>
  <c r="S74" i="1"/>
  <c r="V74" i="1" s="1"/>
  <c r="S75" i="1"/>
  <c r="V75" i="1" s="1"/>
  <c r="S76" i="1"/>
  <c r="V76" i="1" s="1"/>
  <c r="S77" i="1"/>
  <c r="V77" i="1" s="1"/>
  <c r="S78" i="1"/>
  <c r="V78" i="1" s="1"/>
  <c r="S79" i="1"/>
  <c r="V79" i="1" s="1"/>
  <c r="S80" i="1"/>
  <c r="V80" i="1" s="1"/>
  <c r="S81" i="1"/>
  <c r="V81" i="1" s="1"/>
  <c r="S82" i="1"/>
  <c r="V82" i="1" s="1"/>
  <c r="S83" i="1"/>
  <c r="V83" i="1" s="1"/>
  <c r="S84" i="1"/>
  <c r="V84" i="1" s="1"/>
  <c r="S85" i="1"/>
  <c r="V85" i="1" s="1"/>
  <c r="S86" i="1"/>
  <c r="V86" i="1" s="1"/>
  <c r="S87" i="1"/>
  <c r="V87" i="1" s="1"/>
  <c r="S88" i="1"/>
  <c r="V88" i="1" s="1"/>
  <c r="S89" i="1"/>
  <c r="V89" i="1" s="1"/>
  <c r="S90" i="1"/>
  <c r="V90" i="1" s="1"/>
  <c r="S91" i="1"/>
  <c r="V91" i="1" s="1"/>
  <c r="S92" i="1"/>
  <c r="V92" i="1" s="1"/>
  <c r="S93" i="1"/>
  <c r="V93" i="1" s="1"/>
  <c r="S94" i="1"/>
  <c r="V94" i="1" s="1"/>
  <c r="S95" i="1"/>
  <c r="V95" i="1" s="1"/>
  <c r="S96" i="1"/>
  <c r="V96" i="1" s="1"/>
  <c r="S97" i="1"/>
  <c r="V97" i="1" s="1"/>
  <c r="S98" i="1"/>
  <c r="V98" i="1" s="1"/>
  <c r="S99" i="1"/>
  <c r="V99" i="1" s="1"/>
  <c r="S100" i="1"/>
  <c r="V100" i="1" s="1"/>
  <c r="S101" i="1"/>
  <c r="V101" i="1" s="1"/>
  <c r="S7" i="1"/>
  <c r="V7" i="1" s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3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7" i="1"/>
  <c r="X6" i="1"/>
  <c r="Y6" i="1"/>
  <c r="W6" i="1"/>
  <c r="N6" i="1"/>
  <c r="O6" i="1"/>
  <c r="P6" i="1"/>
  <c r="Q6" i="1"/>
  <c r="R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7" i="1"/>
  <c r="E6" i="1"/>
  <c r="F6" i="1"/>
  <c r="G8" i="1"/>
  <c r="AG8" i="1" s="1"/>
  <c r="G9" i="1"/>
  <c r="AG9" i="1" s="1"/>
  <c r="G10" i="1"/>
  <c r="AG10" i="1" s="1"/>
  <c r="G11" i="1"/>
  <c r="G12" i="1"/>
  <c r="AG12" i="1" s="1"/>
  <c r="G13" i="1"/>
  <c r="AG13" i="1" s="1"/>
  <c r="G14" i="1"/>
  <c r="AG14" i="1" s="1"/>
  <c r="G15" i="1"/>
  <c r="G16" i="1"/>
  <c r="AG16" i="1" s="1"/>
  <c r="G17" i="1"/>
  <c r="AG17" i="1" s="1"/>
  <c r="G18" i="1"/>
  <c r="AG18" i="1" s="1"/>
  <c r="G19" i="1"/>
  <c r="G20" i="1"/>
  <c r="AG20" i="1" s="1"/>
  <c r="G21" i="1"/>
  <c r="AG21" i="1" s="1"/>
  <c r="G22" i="1"/>
  <c r="AG22" i="1" s="1"/>
  <c r="G23" i="1"/>
  <c r="G24" i="1"/>
  <c r="AG24" i="1" s="1"/>
  <c r="G25" i="1"/>
  <c r="AG25" i="1" s="1"/>
  <c r="G26" i="1"/>
  <c r="AG26" i="1" s="1"/>
  <c r="G27" i="1"/>
  <c r="G28" i="1"/>
  <c r="AG28" i="1" s="1"/>
  <c r="G29" i="1"/>
  <c r="AG29" i="1" s="1"/>
  <c r="G30" i="1"/>
  <c r="AG30" i="1" s="1"/>
  <c r="G31" i="1"/>
  <c r="G32" i="1"/>
  <c r="AG32" i="1" s="1"/>
  <c r="G33" i="1"/>
  <c r="AG33" i="1" s="1"/>
  <c r="G34" i="1"/>
  <c r="AG34" i="1" s="1"/>
  <c r="G35" i="1"/>
  <c r="G36" i="1"/>
  <c r="AG36" i="1" s="1"/>
  <c r="G37" i="1"/>
  <c r="AG37" i="1" s="1"/>
  <c r="G38" i="1"/>
  <c r="AG38" i="1" s="1"/>
  <c r="G39" i="1"/>
  <c r="G40" i="1"/>
  <c r="AG40" i="1" s="1"/>
  <c r="G41" i="1"/>
  <c r="AG41" i="1" s="1"/>
  <c r="G42" i="1"/>
  <c r="AG42" i="1" s="1"/>
  <c r="G43" i="1"/>
  <c r="G44" i="1"/>
  <c r="AG44" i="1" s="1"/>
  <c r="G45" i="1"/>
  <c r="AG45" i="1" s="1"/>
  <c r="G46" i="1"/>
  <c r="AG46" i="1" s="1"/>
  <c r="G47" i="1"/>
  <c r="G48" i="1"/>
  <c r="AG48" i="1" s="1"/>
  <c r="G49" i="1"/>
  <c r="AG49" i="1" s="1"/>
  <c r="G50" i="1"/>
  <c r="AG50" i="1" s="1"/>
  <c r="G51" i="1"/>
  <c r="G52" i="1"/>
  <c r="AG52" i="1" s="1"/>
  <c r="G53" i="1"/>
  <c r="AG53" i="1" s="1"/>
  <c r="G54" i="1"/>
  <c r="AG54" i="1" s="1"/>
  <c r="G55" i="1"/>
  <c r="G56" i="1"/>
  <c r="AG56" i="1" s="1"/>
  <c r="G57" i="1"/>
  <c r="AG57" i="1" s="1"/>
  <c r="G58" i="1"/>
  <c r="AG58" i="1" s="1"/>
  <c r="G59" i="1"/>
  <c r="G60" i="1"/>
  <c r="AG60" i="1" s="1"/>
  <c r="G61" i="1"/>
  <c r="AG61" i="1" s="1"/>
  <c r="G62" i="1"/>
  <c r="AG62" i="1" s="1"/>
  <c r="G63" i="1"/>
  <c r="G64" i="1"/>
  <c r="AG64" i="1" s="1"/>
  <c r="G65" i="1"/>
  <c r="AG65" i="1" s="1"/>
  <c r="G66" i="1"/>
  <c r="AG66" i="1" s="1"/>
  <c r="G67" i="1"/>
  <c r="G68" i="1"/>
  <c r="AG68" i="1" s="1"/>
  <c r="G69" i="1"/>
  <c r="AG69" i="1" s="1"/>
  <c r="G70" i="1"/>
  <c r="AG70" i="1" s="1"/>
  <c r="G71" i="1"/>
  <c r="G72" i="1"/>
  <c r="AG72" i="1" s="1"/>
  <c r="G73" i="1"/>
  <c r="AG73" i="1" s="1"/>
  <c r="G74" i="1"/>
  <c r="AG74" i="1" s="1"/>
  <c r="G75" i="1"/>
  <c r="G76" i="1"/>
  <c r="AG76" i="1" s="1"/>
  <c r="G77" i="1"/>
  <c r="AG77" i="1" s="1"/>
  <c r="G78" i="1"/>
  <c r="AG78" i="1" s="1"/>
  <c r="G79" i="1"/>
  <c r="G80" i="1"/>
  <c r="AG80" i="1" s="1"/>
  <c r="G81" i="1"/>
  <c r="AG81" i="1" s="1"/>
  <c r="G82" i="1"/>
  <c r="AG82" i="1" s="1"/>
  <c r="G83" i="1"/>
  <c r="G84" i="1"/>
  <c r="AG84" i="1" s="1"/>
  <c r="G85" i="1"/>
  <c r="AG85" i="1" s="1"/>
  <c r="G86" i="1"/>
  <c r="AG86" i="1" s="1"/>
  <c r="G87" i="1"/>
  <c r="G88" i="1"/>
  <c r="AG88" i="1" s="1"/>
  <c r="G89" i="1"/>
  <c r="AG89" i="1" s="1"/>
  <c r="G90" i="1"/>
  <c r="AG90" i="1" s="1"/>
  <c r="G91" i="1"/>
  <c r="G92" i="1"/>
  <c r="AG92" i="1" s="1"/>
  <c r="G93" i="1"/>
  <c r="AG93" i="1" s="1"/>
  <c r="G94" i="1"/>
  <c r="AG94" i="1" s="1"/>
  <c r="G95" i="1"/>
  <c r="G96" i="1"/>
  <c r="AG96" i="1" s="1"/>
  <c r="G97" i="1"/>
  <c r="AG97" i="1" s="1"/>
  <c r="G98" i="1"/>
  <c r="AG98" i="1" s="1"/>
  <c r="G99" i="1"/>
  <c r="G100" i="1"/>
  <c r="AG100" i="1" s="1"/>
  <c r="G101" i="1"/>
  <c r="AG101" i="1" s="1"/>
  <c r="G7" i="1"/>
  <c r="AG7" i="1" s="1"/>
  <c r="I6" i="1" l="1"/>
  <c r="U101" i="1"/>
  <c r="U99" i="1"/>
  <c r="U97" i="1"/>
  <c r="U93" i="1"/>
  <c r="U37" i="1"/>
  <c r="U33" i="1"/>
  <c r="U29" i="1"/>
  <c r="U25" i="1"/>
  <c r="U21" i="1"/>
  <c r="U17" i="1"/>
  <c r="U13" i="1"/>
  <c r="U9" i="1"/>
  <c r="U98" i="1"/>
  <c r="U94" i="1"/>
  <c r="U90" i="1"/>
  <c r="U86" i="1"/>
  <c r="U82" i="1"/>
  <c r="U78" i="1"/>
  <c r="U74" i="1"/>
  <c r="U70" i="1"/>
  <c r="U66" i="1"/>
  <c r="U62" i="1"/>
  <c r="U58" i="1"/>
  <c r="U54" i="1"/>
  <c r="U50" i="1"/>
  <c r="U46" i="1"/>
  <c r="U42" i="1"/>
  <c r="U38" i="1"/>
  <c r="U34" i="1"/>
  <c r="U30" i="1"/>
  <c r="U26" i="1"/>
  <c r="U22" i="1"/>
  <c r="U18" i="1"/>
  <c r="U14" i="1"/>
  <c r="U10" i="1"/>
  <c r="U100" i="1"/>
  <c r="U96" i="1"/>
  <c r="U92" i="1"/>
  <c r="U88" i="1"/>
  <c r="U84" i="1"/>
  <c r="U80" i="1"/>
  <c r="U76" i="1"/>
  <c r="U72" i="1"/>
  <c r="U68" i="1"/>
  <c r="U64" i="1"/>
  <c r="U60" i="1"/>
  <c r="U56" i="1"/>
  <c r="U52" i="1"/>
  <c r="U48" i="1"/>
  <c r="U44" i="1"/>
  <c r="U40" i="1"/>
  <c r="U36" i="1"/>
  <c r="U32" i="1"/>
  <c r="U28" i="1"/>
  <c r="U24" i="1"/>
  <c r="U20" i="1"/>
  <c r="U16" i="1"/>
  <c r="U12" i="1"/>
  <c r="U8" i="1"/>
  <c r="S6" i="1"/>
  <c r="V8" i="1"/>
  <c r="U95" i="1"/>
  <c r="U91" i="1"/>
  <c r="U87" i="1"/>
  <c r="U83" i="1"/>
  <c r="U79" i="1"/>
  <c r="U75" i="1"/>
  <c r="U71" i="1"/>
  <c r="U67" i="1"/>
  <c r="U63" i="1"/>
  <c r="U59" i="1"/>
  <c r="U55" i="1"/>
  <c r="U51" i="1"/>
  <c r="U47" i="1"/>
  <c r="U43" i="1"/>
  <c r="U39" i="1"/>
  <c r="U35" i="1"/>
  <c r="U31" i="1"/>
  <c r="U27" i="1"/>
  <c r="U23" i="1"/>
  <c r="U19" i="1"/>
  <c r="U15" i="1"/>
  <c r="K6" i="1"/>
  <c r="U11" i="1"/>
  <c r="M6" i="1"/>
  <c r="Z6" i="1"/>
  <c r="AG99" i="1"/>
  <c r="AG95" i="1"/>
  <c r="AG91" i="1"/>
  <c r="AG87" i="1"/>
  <c r="AG83" i="1"/>
  <c r="AG79" i="1"/>
  <c r="AG75" i="1"/>
  <c r="AG71" i="1"/>
  <c r="AG67" i="1"/>
  <c r="AG63" i="1"/>
  <c r="AG59" i="1"/>
  <c r="AG55" i="1"/>
  <c r="AG51" i="1"/>
  <c r="AG47" i="1"/>
  <c r="AG43" i="1"/>
  <c r="AG39" i="1"/>
  <c r="AG35" i="1"/>
  <c r="AG31" i="1"/>
  <c r="AG27" i="1"/>
  <c r="AG23" i="1"/>
  <c r="AG19" i="1"/>
  <c r="AG15" i="1"/>
  <c r="AG11" i="1"/>
  <c r="T6" i="1"/>
  <c r="U7" i="1"/>
  <c r="AC6" i="1"/>
  <c r="AB6" i="1"/>
  <c r="AA6" i="1"/>
  <c r="L6" i="1"/>
  <c r="AD6" i="1"/>
  <c r="J6" i="1"/>
  <c r="AG6" i="1" l="1"/>
</calcChain>
</file>

<file path=xl/sharedStrings.xml><?xml version="1.0" encoding="utf-8"?>
<sst xmlns="http://schemas.openxmlformats.org/spreadsheetml/2006/main" count="237" uniqueCount="127">
  <si>
    <t>Период: 15.12.2025 - 22.12.2025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</si>
  <si>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</si>
  <si>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</si>
  <si>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</si>
  <si>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</si>
  <si>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</si>
  <si>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</si>
  <si>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</si>
  <si>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</si>
  <si>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>шт</t>
  </si>
  <si>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</si>
  <si>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</si>
  <si>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</si>
  <si>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</si>
  <si>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</si>
  <si>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</si>
  <si>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</si>
  <si>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</si>
  <si>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</si>
  <si>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</si>
  <si>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</si>
  <si>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</si>
  <si>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</si>
  <si>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</si>
  <si>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</si>
  <si>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</si>
  <si>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</si>
  <si>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</si>
  <si>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</si>
  <si>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</si>
  <si>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</si>
  <si>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</si>
  <si>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</si>
  <si>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</si>
  <si>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</si>
  <si>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</si>
  <si>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</si>
  <si>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</si>
  <si>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</si>
  <si>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</si>
  <si>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</si>
  <si>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</si>
  <si>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</si>
  <si>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</si>
  <si>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</si>
  <si>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</si>
  <si>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</si>
  <si>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</si>
  <si>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</si>
  <si>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</si>
  <si>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</si>
  <si>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</si>
  <si>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</si>
  <si>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</si>
  <si>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</si>
  <si>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6797 С ИНДЕЙКОЙ Папа может вар п/о 0,4кг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</si>
  <si>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</si>
  <si>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</si>
  <si>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</si>
  <si>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</si>
  <si>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</si>
  <si>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</si>
  <si>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</si>
  <si>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</si>
  <si>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</si>
  <si>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</si>
  <si>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</si>
  <si>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</si>
  <si>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</si>
  <si>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</si>
  <si>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</si>
  <si>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</si>
  <si>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</si>
  <si>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</si>
  <si>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</si>
  <si>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</si>
  <si>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</si>
  <si>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</si>
  <si>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</si>
  <si>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</si>
  <si>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</si>
  <si>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</si>
  <si>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</si>
  <si>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</si>
  <si>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</si>
  <si>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</si>
  <si>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</si>
  <si>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</si>
  <si>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</si>
  <si>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</si>
  <si>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</si>
  <si>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</si>
  <si>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</si>
  <si>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</si>
  <si>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</si>
  <si>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</si>
  <si>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</si>
  <si>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7382 САЛЯМИ МЕЛКОЗЕРНЕНАЯ с/к в/у 1/120 8шт.  ОСТАНКИНО</t>
  </si>
  <si>
    <t>БОНУС СОЧНЫЕ Папа может сос п/о мгс 1.5*4 (6954)  ОСТАНКИНО</t>
  </si>
  <si>
    <t>БОНУС СОЧНЫЕ сос п/о мгс 0.41кг_UZ (6087)  ОСТАНКИНО</t>
  </si>
  <si>
    <t>7317 ПРЕСИЖН с/к дек.спец. мгс 0,54кг  ОСТАНКИНО</t>
  </si>
  <si>
    <t>7377 ВЕТЧ.С ИНДЕЙКОЙ ПМ в/у срез 0,3кг 6шт.  ОСТАНКИНО</t>
  </si>
  <si>
    <t>7383 САН-РЕМО Останкино с/в в/у 1/220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</si>
  <si>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</si>
  <si>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</si>
  <si>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крат</t>
  </si>
  <si>
    <t>ср</t>
  </si>
  <si>
    <t>заяв</t>
  </si>
  <si>
    <t>разн</t>
  </si>
  <si>
    <t>заказ</t>
  </si>
  <si>
    <t>кон ост</t>
  </si>
  <si>
    <t>факт</t>
  </si>
  <si>
    <t>тк Вит</t>
  </si>
  <si>
    <t>пр</t>
  </si>
  <si>
    <t>комен</t>
  </si>
  <si>
    <t>скид</t>
  </si>
  <si>
    <t>вес</t>
  </si>
  <si>
    <t>20,12,</t>
  </si>
  <si>
    <t>23,12,</t>
  </si>
  <si>
    <t>25,12,</t>
  </si>
  <si>
    <t>26,12,</t>
  </si>
  <si>
    <t>27,12,</t>
  </si>
  <si>
    <t>28,11,</t>
  </si>
  <si>
    <t>05,12,</t>
  </si>
  <si>
    <t>12,12,</t>
  </si>
  <si>
    <t>19,12,</t>
  </si>
  <si>
    <t>12,2т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</si>
</sst>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9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Trebuchet MS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5" fillId="4" borderId="0" xfId="0" applyFont="1" applyFill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7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0" fontId="7" fillId="0" borderId="0" xfId="0" applyFont="1" applyAlignment="1">
      <alignment horizontal="left"/>
    </xf>
    <xf numFmtId="164" fontId="0" fillId="4" borderId="0" xfId="0" applyNumberFormat="1" applyFill="1" applyAlignment="1">
      <alignment horizontal="left"/>
    </xf>
    <xf numFmtId="164" fontId="8" fillId="4" borderId="0" xfId="0" applyNumberFormat="1" applyFont="1" applyFill="1" applyAlignment="1">
      <alignment horizontal="left"/>
    </xf>
    <xf numFmtId="0" fontId="8" fillId="4" borderId="1" xfId="0" applyFont="1" applyFill="1" applyBorder="1" applyAlignment="1">
      <alignment horizontal="left" vertical="top"/>
    </xf>
    <xf numFmtId="164" fontId="0" fillId="4" borderId="3" xfId="0" applyNumberForma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9,12,25&#1086;&#1089;&#109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20,12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12.12.2025 - 19.12.2025</v>
          </cell>
        </row>
        <row r="4">
          <cell r="C4" t="str">
            <v>Количество</v>
          </cell>
          <cell r="G4" t="str">
            <v>крат</v>
          </cell>
          <cell r="H4" t="str">
            <v>ср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ср</v>
          </cell>
          <cell r="T4" t="str">
            <v>заказ</v>
          </cell>
          <cell r="U4" t="str">
            <v>кон ост</v>
          </cell>
          <cell r="V4" t="str">
            <v>факт</v>
          </cell>
          <cell r="W4" t="str">
            <v>тк Вит</v>
          </cell>
          <cell r="X4" t="str">
            <v>тк Вит</v>
          </cell>
          <cell r="Y4" t="str">
            <v>тк Вит</v>
          </cell>
          <cell r="Z4" t="str">
            <v>ср</v>
          </cell>
          <cell r="AA4" t="str">
            <v>ср</v>
          </cell>
          <cell r="AB4" t="str">
            <v>ср</v>
          </cell>
          <cell r="AC4" t="str">
            <v>ср</v>
          </cell>
          <cell r="AD4" t="str">
            <v>пр</v>
          </cell>
          <cell r="AE4" t="str">
            <v>комен</v>
          </cell>
          <cell r="AF4" t="str">
            <v>скид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19,12,</v>
          </cell>
          <cell r="L5" t="str">
            <v>22,12г</v>
          </cell>
          <cell r="M5" t="str">
            <v>23,12,</v>
          </cell>
          <cell r="R5" t="str">
            <v>25,12,</v>
          </cell>
          <cell r="T5" t="str">
            <v>26,12,</v>
          </cell>
          <cell r="W5" t="str">
            <v>25,12,</v>
          </cell>
          <cell r="X5" t="str">
            <v>26,12,</v>
          </cell>
          <cell r="Z5" t="str">
            <v>21,11,</v>
          </cell>
          <cell r="AA5" t="str">
            <v>28,11,</v>
          </cell>
          <cell r="AB5" t="str">
            <v>05,12,</v>
          </cell>
          <cell r="AC5" t="str">
            <v>12,12,</v>
          </cell>
          <cell r="AD5" t="str">
            <v>19,12,</v>
          </cell>
        </row>
        <row r="6">
          <cell r="E6">
            <v>79634.635999999999</v>
          </cell>
          <cell r="F6">
            <v>69796.583999999988</v>
          </cell>
          <cell r="I6">
            <v>78531.907000000021</v>
          </cell>
          <cell r="J6">
            <v>1102.7289999999996</v>
          </cell>
          <cell r="K6">
            <v>7490</v>
          </cell>
          <cell r="L6">
            <v>32190</v>
          </cell>
          <cell r="M6">
            <v>32080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20140</v>
          </cell>
          <cell r="S6">
            <v>15926.927199999998</v>
          </cell>
          <cell r="T6">
            <v>21190</v>
          </cell>
          <cell r="W6">
            <v>20140</v>
          </cell>
          <cell r="X6">
            <v>21190</v>
          </cell>
          <cell r="Y6">
            <v>0</v>
          </cell>
          <cell r="Z6">
            <v>15016.4246</v>
          </cell>
          <cell r="AA6">
            <v>14714.165800000002</v>
          </cell>
          <cell r="AB6">
            <v>14730.603400000004</v>
          </cell>
          <cell r="AC6">
            <v>15149.697000000002</v>
          </cell>
          <cell r="AD6">
            <v>16338.263999999999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712</v>
          </cell>
          <cell r="D7">
            <v>693</v>
          </cell>
          <cell r="E7">
            <v>727</v>
          </cell>
          <cell r="F7">
            <v>667</v>
          </cell>
          <cell r="G7">
            <v>0.4</v>
          </cell>
          <cell r="H7">
            <v>60</v>
          </cell>
          <cell r="I7">
            <v>742</v>
          </cell>
          <cell r="J7">
            <v>-15</v>
          </cell>
          <cell r="K7">
            <v>40</v>
          </cell>
          <cell r="L7">
            <v>160</v>
          </cell>
          <cell r="M7">
            <v>360</v>
          </cell>
          <cell r="R7">
            <v>280</v>
          </cell>
          <cell r="S7">
            <v>145.4</v>
          </cell>
          <cell r="T7">
            <v>240</v>
          </cell>
          <cell r="U7">
            <v>12.01513067400275</v>
          </cell>
          <cell r="V7">
            <v>4.5873452544704261</v>
          </cell>
          <cell r="W7">
            <v>280</v>
          </cell>
          <cell r="X7">
            <v>240</v>
          </cell>
          <cell r="Z7">
            <v>141.4</v>
          </cell>
          <cell r="AA7">
            <v>118.6</v>
          </cell>
          <cell r="AB7">
            <v>143.6</v>
          </cell>
          <cell r="AC7">
            <v>142</v>
          </cell>
          <cell r="AD7">
            <v>141</v>
          </cell>
          <cell r="AE7">
            <v>0</v>
          </cell>
          <cell r="AF7">
            <v>0</v>
          </cell>
        </row>
        <row r="8">
          <cell r="A8" t="str">
            <v>3684 ПРЕСИЖН с/к в/у 1/250 8шт.   ОСТАНКИНО</v>
          </cell>
          <cell r="B8" t="str">
            <v>шт</v>
          </cell>
          <cell r="C8">
            <v>166</v>
          </cell>
          <cell r="D8">
            <v>80</v>
          </cell>
          <cell r="E8">
            <v>65</v>
          </cell>
          <cell r="F8">
            <v>181</v>
          </cell>
          <cell r="G8">
            <v>0.25</v>
          </cell>
          <cell r="H8">
            <v>120</v>
          </cell>
          <cell r="I8">
            <v>61</v>
          </cell>
          <cell r="J8">
            <v>4</v>
          </cell>
          <cell r="K8">
            <v>0</v>
          </cell>
          <cell r="L8">
            <v>0</v>
          </cell>
          <cell r="M8">
            <v>0</v>
          </cell>
          <cell r="R8">
            <v>80</v>
          </cell>
          <cell r="S8">
            <v>13</v>
          </cell>
          <cell r="U8">
            <v>20.076923076923077</v>
          </cell>
          <cell r="V8">
            <v>13.923076923076923</v>
          </cell>
          <cell r="W8">
            <v>80</v>
          </cell>
          <cell r="Z8">
            <v>11.2</v>
          </cell>
          <cell r="AA8">
            <v>10.6</v>
          </cell>
          <cell r="AB8">
            <v>13.6</v>
          </cell>
          <cell r="AC8">
            <v>13.2</v>
          </cell>
          <cell r="AD8">
            <v>17</v>
          </cell>
          <cell r="AE8">
            <v>0</v>
          </cell>
          <cell r="AF8">
            <v>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1734</v>
          </cell>
          <cell r="D9">
            <v>421</v>
          </cell>
          <cell r="E9">
            <v>675</v>
          </cell>
          <cell r="F9">
            <v>1461</v>
          </cell>
          <cell r="G9">
            <v>0.25</v>
          </cell>
          <cell r="H9" t="e">
            <v>#N/A</v>
          </cell>
          <cell r="I9">
            <v>693</v>
          </cell>
          <cell r="J9">
            <v>-18</v>
          </cell>
          <cell r="K9">
            <v>0</v>
          </cell>
          <cell r="L9">
            <v>0</v>
          </cell>
          <cell r="M9">
            <v>0</v>
          </cell>
          <cell r="R9">
            <v>600</v>
          </cell>
          <cell r="S9">
            <v>135</v>
          </cell>
          <cell r="T9">
            <v>600</v>
          </cell>
          <cell r="U9">
            <v>19.711111111111112</v>
          </cell>
          <cell r="V9">
            <v>10.822222222222223</v>
          </cell>
          <cell r="W9">
            <v>600</v>
          </cell>
          <cell r="X9">
            <v>600</v>
          </cell>
          <cell r="Z9">
            <v>120.8</v>
          </cell>
          <cell r="AA9">
            <v>100.6</v>
          </cell>
          <cell r="AB9">
            <v>128.80000000000001</v>
          </cell>
          <cell r="AC9">
            <v>126.2</v>
          </cell>
          <cell r="AD9">
            <v>174</v>
          </cell>
          <cell r="AE9">
            <v>0</v>
          </cell>
          <cell r="AF9" t="e">
            <v>#N/A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375.40499999999997</v>
          </cell>
          <cell r="D10">
            <v>2426.0610000000001</v>
          </cell>
          <cell r="E10">
            <v>1546.7629999999999</v>
          </cell>
          <cell r="F10">
            <v>1204.672</v>
          </cell>
          <cell r="G10">
            <v>1</v>
          </cell>
          <cell r="H10">
            <v>60</v>
          </cell>
          <cell r="I10">
            <v>1537.1</v>
          </cell>
          <cell r="J10">
            <v>9.6630000000000109</v>
          </cell>
          <cell r="K10">
            <v>200</v>
          </cell>
          <cell r="L10">
            <v>500</v>
          </cell>
          <cell r="M10">
            <v>800</v>
          </cell>
          <cell r="R10">
            <v>1000</v>
          </cell>
          <cell r="S10">
            <v>309.3526</v>
          </cell>
          <cell r="T10">
            <v>500</v>
          </cell>
          <cell r="U10">
            <v>13.591843094255553</v>
          </cell>
          <cell r="V10">
            <v>3.8941712466615765</v>
          </cell>
          <cell r="W10">
            <v>1000</v>
          </cell>
          <cell r="X10">
            <v>500</v>
          </cell>
          <cell r="Z10">
            <v>276.58000000000004</v>
          </cell>
          <cell r="AA10">
            <v>228.49740000000003</v>
          </cell>
          <cell r="AB10">
            <v>259.20859999999999</v>
          </cell>
          <cell r="AC10">
            <v>251.53539999999998</v>
          </cell>
          <cell r="AD10">
            <v>442.887</v>
          </cell>
          <cell r="AE10">
            <v>0</v>
          </cell>
          <cell r="AF10">
            <v>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295.03300000000002</v>
          </cell>
          <cell r="E11">
            <v>53.161999999999999</v>
          </cell>
          <cell r="F11">
            <v>240.88300000000001</v>
          </cell>
          <cell r="G11">
            <v>1</v>
          </cell>
          <cell r="H11">
            <v>120</v>
          </cell>
          <cell r="I11">
            <v>54.6</v>
          </cell>
          <cell r="J11">
            <v>-1.4380000000000024</v>
          </cell>
          <cell r="K11">
            <v>0</v>
          </cell>
          <cell r="L11">
            <v>0</v>
          </cell>
          <cell r="M11">
            <v>0</v>
          </cell>
          <cell r="S11">
            <v>10.632400000000001</v>
          </cell>
          <cell r="T11">
            <v>50</v>
          </cell>
          <cell r="U11">
            <v>27.358169369098231</v>
          </cell>
          <cell r="V11">
            <v>22.655562243707912</v>
          </cell>
          <cell r="X11">
            <v>50</v>
          </cell>
          <cell r="Z11">
            <v>7.5663999999999998</v>
          </cell>
          <cell r="AA11">
            <v>6.6395999999999997</v>
          </cell>
          <cell r="AB11">
            <v>19.476800000000001</v>
          </cell>
          <cell r="AC11">
            <v>8.8384</v>
          </cell>
          <cell r="AD11">
            <v>3.8959999999999999</v>
          </cell>
          <cell r="AE11">
            <v>0</v>
          </cell>
          <cell r="AF11">
            <v>0</v>
          </cell>
        </row>
        <row r="12">
          <cell r="A12" t="str">
            <v>4574 Колбаса вар Мясная со шпиком 1кг Папа может п/о (код покуп. 24784) Останкино</v>
          </cell>
          <cell r="B12" t="str">
            <v>кг</v>
          </cell>
          <cell r="C12">
            <v>131.386</v>
          </cell>
          <cell r="D12">
            <v>49.655999999999999</v>
          </cell>
          <cell r="E12">
            <v>114.352</v>
          </cell>
          <cell r="F12">
            <v>66.69</v>
          </cell>
          <cell r="G12">
            <v>1</v>
          </cell>
          <cell r="H12">
            <v>60</v>
          </cell>
          <cell r="I12">
            <v>112.2</v>
          </cell>
          <cell r="J12">
            <v>2.152000000000001</v>
          </cell>
          <cell r="K12">
            <v>30</v>
          </cell>
          <cell r="L12">
            <v>30</v>
          </cell>
          <cell r="M12">
            <v>70</v>
          </cell>
          <cell r="R12">
            <v>50</v>
          </cell>
          <cell r="S12">
            <v>22.8704</v>
          </cell>
          <cell r="T12">
            <v>30</v>
          </cell>
          <cell r="U12">
            <v>12.098170561074577</v>
          </cell>
          <cell r="V12">
            <v>2.9159962221911289</v>
          </cell>
          <cell r="W12">
            <v>50</v>
          </cell>
          <cell r="X12">
            <v>30</v>
          </cell>
          <cell r="Z12">
            <v>21.383000000000003</v>
          </cell>
          <cell r="AA12">
            <v>11.5944</v>
          </cell>
          <cell r="AB12">
            <v>22.005800000000001</v>
          </cell>
          <cell r="AC12">
            <v>19.003399999999999</v>
          </cell>
          <cell r="AD12">
            <v>25.065000000000001</v>
          </cell>
          <cell r="AE12">
            <v>0</v>
          </cell>
          <cell r="AF12" t="str">
            <v>увел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528.28499999999997</v>
          </cell>
          <cell r="D13">
            <v>400.97</v>
          </cell>
          <cell r="E13">
            <v>545.35299999999995</v>
          </cell>
          <cell r="F13">
            <v>378.44099999999997</v>
          </cell>
          <cell r="G13">
            <v>1</v>
          </cell>
          <cell r="H13">
            <v>60</v>
          </cell>
          <cell r="I13">
            <v>523.35</v>
          </cell>
          <cell r="J13">
            <v>22.002999999999929</v>
          </cell>
          <cell r="K13">
            <v>100</v>
          </cell>
          <cell r="L13">
            <v>250</v>
          </cell>
          <cell r="M13">
            <v>300</v>
          </cell>
          <cell r="R13">
            <v>200</v>
          </cell>
          <cell r="S13">
            <v>109.07059999999998</v>
          </cell>
          <cell r="T13">
            <v>250</v>
          </cell>
          <cell r="U13">
            <v>13.554899303753718</v>
          </cell>
          <cell r="V13">
            <v>3.4696884403313084</v>
          </cell>
          <cell r="W13">
            <v>200</v>
          </cell>
          <cell r="X13">
            <v>250</v>
          </cell>
          <cell r="Z13">
            <v>96.108800000000002</v>
          </cell>
          <cell r="AA13">
            <v>90.655600000000007</v>
          </cell>
          <cell r="AB13">
            <v>97.675399999999996</v>
          </cell>
          <cell r="AC13">
            <v>91.653800000000004</v>
          </cell>
          <cell r="AD13">
            <v>151.77699999999999</v>
          </cell>
          <cell r="AE13">
            <v>0</v>
          </cell>
          <cell r="AF13">
            <v>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837</v>
          </cell>
          <cell r="D14">
            <v>285</v>
          </cell>
          <cell r="E14">
            <v>324</v>
          </cell>
          <cell r="F14">
            <v>791</v>
          </cell>
          <cell r="G14">
            <v>0.25</v>
          </cell>
          <cell r="H14">
            <v>120</v>
          </cell>
          <cell r="I14">
            <v>329</v>
          </cell>
          <cell r="J14">
            <v>-5</v>
          </cell>
          <cell r="K14">
            <v>0</v>
          </cell>
          <cell r="L14">
            <v>0</v>
          </cell>
          <cell r="M14">
            <v>0</v>
          </cell>
          <cell r="R14">
            <v>200</v>
          </cell>
          <cell r="S14">
            <v>64.8</v>
          </cell>
          <cell r="T14">
            <v>400</v>
          </cell>
          <cell r="U14">
            <v>21.466049382716051</v>
          </cell>
          <cell r="V14">
            <v>12.206790123456791</v>
          </cell>
          <cell r="W14">
            <v>200</v>
          </cell>
          <cell r="X14">
            <v>400</v>
          </cell>
          <cell r="Z14">
            <v>69.2</v>
          </cell>
          <cell r="AA14">
            <v>58</v>
          </cell>
          <cell r="AB14">
            <v>61.4</v>
          </cell>
          <cell r="AC14">
            <v>68.8</v>
          </cell>
          <cell r="AD14">
            <v>83</v>
          </cell>
          <cell r="AE14">
            <v>0</v>
          </cell>
          <cell r="AF14">
            <v>0</v>
          </cell>
        </row>
        <row r="15">
          <cell r="A15" t="str">
            <v>5246 ДОКТОРСКАЯ ПРЕМИУМ вар б/о мгс_30с ОСТАНКИНО</v>
          </cell>
          <cell r="B15" t="str">
            <v>кг</v>
          </cell>
          <cell r="C15">
            <v>30.114999999999998</v>
          </cell>
          <cell r="D15">
            <v>74.89</v>
          </cell>
          <cell r="E15">
            <v>70.063999999999993</v>
          </cell>
          <cell r="F15">
            <v>34.941000000000003</v>
          </cell>
          <cell r="G15">
            <v>1</v>
          </cell>
          <cell r="H15">
            <v>30</v>
          </cell>
          <cell r="I15">
            <v>69.5</v>
          </cell>
          <cell r="J15">
            <v>0.56399999999999295</v>
          </cell>
          <cell r="K15">
            <v>10</v>
          </cell>
          <cell r="L15">
            <v>40</v>
          </cell>
          <cell r="M15">
            <v>10</v>
          </cell>
          <cell r="R15">
            <v>30</v>
          </cell>
          <cell r="S15">
            <v>14.012799999999999</v>
          </cell>
          <cell r="U15">
            <v>8.9162051838319254</v>
          </cell>
          <cell r="V15">
            <v>2.4935059374286372</v>
          </cell>
          <cell r="W15">
            <v>30</v>
          </cell>
          <cell r="Z15">
            <v>14.623799999999999</v>
          </cell>
          <cell r="AA15">
            <v>9.9092000000000002</v>
          </cell>
          <cell r="AB15">
            <v>12.2674</v>
          </cell>
          <cell r="AC15">
            <v>13.6838</v>
          </cell>
          <cell r="AD15">
            <v>14.31</v>
          </cell>
          <cell r="AE15">
            <v>0</v>
          </cell>
          <cell r="AF15">
            <v>0</v>
          </cell>
        </row>
        <row r="16">
          <cell r="A16" t="str">
            <v>5247 РУССКАЯ ПРЕМИУМ вар б/о мгс_30с ОСТАНКИНО</v>
          </cell>
          <cell r="B16" t="str">
            <v>кг</v>
          </cell>
          <cell r="C16">
            <v>10.436999999999999</v>
          </cell>
          <cell r="D16">
            <v>38.904000000000003</v>
          </cell>
          <cell r="E16">
            <v>17.942</v>
          </cell>
          <cell r="F16">
            <v>31.399000000000001</v>
          </cell>
          <cell r="G16">
            <v>1</v>
          </cell>
          <cell r="H16">
            <v>30</v>
          </cell>
          <cell r="I16">
            <v>44.9</v>
          </cell>
          <cell r="J16">
            <v>-26.957999999999998</v>
          </cell>
          <cell r="K16">
            <v>10</v>
          </cell>
          <cell r="L16">
            <v>0</v>
          </cell>
          <cell r="M16">
            <v>0</v>
          </cell>
          <cell r="R16">
            <v>10</v>
          </cell>
          <cell r="S16">
            <v>3.5884</v>
          </cell>
          <cell r="U16">
            <v>14.323653996210011</v>
          </cell>
          <cell r="V16">
            <v>8.7501393378664591</v>
          </cell>
          <cell r="W16">
            <v>10</v>
          </cell>
          <cell r="Z16">
            <v>7.1806000000000001</v>
          </cell>
          <cell r="AA16">
            <v>9.5931999999999995</v>
          </cell>
          <cell r="AB16">
            <v>4.8136000000000001</v>
          </cell>
          <cell r="AC16">
            <v>7.4483999999999995</v>
          </cell>
          <cell r="AD16">
            <v>3.0249999999999999</v>
          </cell>
          <cell r="AE16">
            <v>0</v>
          </cell>
          <cell r="AF16" t="str">
            <v>Вит</v>
          </cell>
        </row>
        <row r="17">
          <cell r="A17" t="str">
            <v>5483 ЭКСТРА Папа может с/к в/у 1/250 8шт.   ОСТАНКИНО</v>
          </cell>
          <cell r="B17" t="str">
            <v>шт</v>
          </cell>
          <cell r="C17">
            <v>2183</v>
          </cell>
          <cell r="D17">
            <v>20</v>
          </cell>
          <cell r="E17">
            <v>875</v>
          </cell>
          <cell r="F17">
            <v>1311</v>
          </cell>
          <cell r="G17">
            <v>0.25</v>
          </cell>
          <cell r="H17">
            <v>120</v>
          </cell>
          <cell r="I17">
            <v>894</v>
          </cell>
          <cell r="J17">
            <v>-19</v>
          </cell>
          <cell r="K17">
            <v>400</v>
          </cell>
          <cell r="L17">
            <v>400</v>
          </cell>
          <cell r="M17">
            <v>200</v>
          </cell>
          <cell r="R17">
            <v>400</v>
          </cell>
          <cell r="S17">
            <v>175</v>
          </cell>
          <cell r="T17">
            <v>800</v>
          </cell>
          <cell r="U17">
            <v>20.062857142857144</v>
          </cell>
          <cell r="V17">
            <v>7.4914285714285711</v>
          </cell>
          <cell r="W17">
            <v>400</v>
          </cell>
          <cell r="X17">
            <v>800</v>
          </cell>
          <cell r="Z17">
            <v>143</v>
          </cell>
          <cell r="AA17">
            <v>131</v>
          </cell>
          <cell r="AB17">
            <v>159</v>
          </cell>
          <cell r="AC17">
            <v>153.80000000000001</v>
          </cell>
          <cell r="AD17">
            <v>163</v>
          </cell>
          <cell r="AE17">
            <v>0</v>
          </cell>
          <cell r="AF17">
            <v>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817.01099999999997</v>
          </cell>
          <cell r="D18">
            <v>888.34699999999998</v>
          </cell>
          <cell r="E18">
            <v>893.21699999999998</v>
          </cell>
          <cell r="F18">
            <v>797.76599999999996</v>
          </cell>
          <cell r="G18">
            <v>1</v>
          </cell>
          <cell r="H18">
            <v>45</v>
          </cell>
          <cell r="I18">
            <v>853.92200000000003</v>
          </cell>
          <cell r="J18">
            <v>39.294999999999959</v>
          </cell>
          <cell r="K18">
            <v>100</v>
          </cell>
          <cell r="L18">
            <v>600</v>
          </cell>
          <cell r="M18">
            <v>500</v>
          </cell>
          <cell r="R18">
            <v>100</v>
          </cell>
          <cell r="S18">
            <v>178.64339999999999</v>
          </cell>
          <cell r="T18">
            <v>150</v>
          </cell>
          <cell r="U18">
            <v>12.582418382095282</v>
          </cell>
          <cell r="V18">
            <v>4.4656897484038032</v>
          </cell>
          <cell r="W18">
            <v>100</v>
          </cell>
          <cell r="X18">
            <v>150</v>
          </cell>
          <cell r="Z18">
            <v>200.0522</v>
          </cell>
          <cell r="AA18">
            <v>165.24960000000002</v>
          </cell>
          <cell r="AB18">
            <v>164.256</v>
          </cell>
          <cell r="AC18">
            <v>174.84719999999999</v>
          </cell>
          <cell r="AD18">
            <v>160.78200000000001</v>
          </cell>
          <cell r="AE18">
            <v>0</v>
          </cell>
          <cell r="AF18">
            <v>0</v>
          </cell>
        </row>
        <row r="19">
          <cell r="A19" t="str">
            <v>5679 САЛЯМИ ИТАЛЬЯНСКАЯ с/к в/у 1/150_60с ОСТАНКИНО</v>
          </cell>
          <cell r="B19" t="str">
            <v>шт</v>
          </cell>
          <cell r="C19">
            <v>283</v>
          </cell>
          <cell r="D19">
            <v>378</v>
          </cell>
          <cell r="E19">
            <v>321</v>
          </cell>
          <cell r="F19">
            <v>326</v>
          </cell>
          <cell r="G19">
            <v>0.15</v>
          </cell>
          <cell r="H19">
            <v>60</v>
          </cell>
          <cell r="I19">
            <v>335</v>
          </cell>
          <cell r="J19">
            <v>-14</v>
          </cell>
          <cell r="K19">
            <v>0</v>
          </cell>
          <cell r="L19">
            <v>160</v>
          </cell>
          <cell r="M19">
            <v>40</v>
          </cell>
          <cell r="R19">
            <v>120</v>
          </cell>
          <cell r="S19">
            <v>64.2</v>
          </cell>
          <cell r="T19">
            <v>80</v>
          </cell>
          <cell r="U19">
            <v>11.308411214953271</v>
          </cell>
          <cell r="V19">
            <v>5.0778816199376946</v>
          </cell>
          <cell r="W19">
            <v>120</v>
          </cell>
          <cell r="X19">
            <v>80</v>
          </cell>
          <cell r="Z19">
            <v>63.6</v>
          </cell>
          <cell r="AA19">
            <v>50.8</v>
          </cell>
          <cell r="AB19">
            <v>59.4</v>
          </cell>
          <cell r="AC19">
            <v>65.8</v>
          </cell>
          <cell r="AD19">
            <v>71</v>
          </cell>
          <cell r="AE19">
            <v>0</v>
          </cell>
          <cell r="AF19">
            <v>0</v>
          </cell>
        </row>
        <row r="20">
          <cell r="A20" t="str">
            <v>5708 ПОСОЛЬСКАЯ Папа может с/к в/у ОСТАНКИНО</v>
          </cell>
          <cell r="B20" t="str">
            <v>кг</v>
          </cell>
          <cell r="C20">
            <v>50.656999999999996</v>
          </cell>
          <cell r="D20">
            <v>149.92099999999999</v>
          </cell>
          <cell r="E20">
            <v>71.195999999999998</v>
          </cell>
          <cell r="F20">
            <v>123.857</v>
          </cell>
          <cell r="G20">
            <v>1</v>
          </cell>
          <cell r="H20">
            <v>120</v>
          </cell>
          <cell r="I20">
            <v>66.5</v>
          </cell>
          <cell r="J20">
            <v>4.695999999999998</v>
          </cell>
          <cell r="K20">
            <v>0</v>
          </cell>
          <cell r="L20">
            <v>50</v>
          </cell>
          <cell r="M20">
            <v>100</v>
          </cell>
          <cell r="S20">
            <v>14.2392</v>
          </cell>
          <cell r="T20">
            <v>80</v>
          </cell>
          <cell r="U20">
            <v>24.850904545199167</v>
          </cell>
          <cell r="V20">
            <v>8.6983117029046575</v>
          </cell>
          <cell r="X20">
            <v>80</v>
          </cell>
          <cell r="Z20">
            <v>6.9284000000000008</v>
          </cell>
          <cell r="AA20">
            <v>7.1361999999999997</v>
          </cell>
          <cell r="AB20">
            <v>4.2545999999999999</v>
          </cell>
          <cell r="AC20">
            <v>10.028600000000001</v>
          </cell>
          <cell r="AD20">
            <v>6.4729999999999999</v>
          </cell>
          <cell r="AE20">
            <v>0</v>
          </cell>
          <cell r="AF20">
            <v>0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285.48200000000003</v>
          </cell>
          <cell r="D21">
            <v>97.921000000000006</v>
          </cell>
          <cell r="E21">
            <v>272.82900000000001</v>
          </cell>
          <cell r="F21">
            <v>109.218</v>
          </cell>
          <cell r="G21">
            <v>1</v>
          </cell>
          <cell r="H21">
            <v>60</v>
          </cell>
          <cell r="I21">
            <v>264.7</v>
          </cell>
          <cell r="J21">
            <v>8.1290000000000191</v>
          </cell>
          <cell r="K21">
            <v>50</v>
          </cell>
          <cell r="L21">
            <v>100</v>
          </cell>
          <cell r="M21">
            <v>150</v>
          </cell>
          <cell r="R21">
            <v>150</v>
          </cell>
          <cell r="S21">
            <v>54.565800000000003</v>
          </cell>
          <cell r="T21">
            <v>200</v>
          </cell>
          <cell r="U21">
            <v>13.91380681672403</v>
          </cell>
          <cell r="V21">
            <v>2.001583409388298</v>
          </cell>
          <cell r="W21">
            <v>150</v>
          </cell>
          <cell r="X21">
            <v>200</v>
          </cell>
          <cell r="Z21">
            <v>46.590199999999996</v>
          </cell>
          <cell r="AA21">
            <v>42.1066</v>
          </cell>
          <cell r="AB21">
            <v>48.205799999999996</v>
          </cell>
          <cell r="AC21">
            <v>40.230000000000004</v>
          </cell>
          <cell r="AD21">
            <v>65.616</v>
          </cell>
          <cell r="AE21">
            <v>0</v>
          </cell>
          <cell r="AF21">
            <v>0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4271</v>
          </cell>
          <cell r="D22">
            <v>35</v>
          </cell>
          <cell r="E22">
            <v>1461</v>
          </cell>
          <cell r="F22">
            <v>2816</v>
          </cell>
          <cell r="G22">
            <v>0.22</v>
          </cell>
          <cell r="H22">
            <v>120</v>
          </cell>
          <cell r="I22">
            <v>1489</v>
          </cell>
          <cell r="J22">
            <v>-28</v>
          </cell>
          <cell r="K22">
            <v>600</v>
          </cell>
          <cell r="L22">
            <v>600</v>
          </cell>
          <cell r="M22">
            <v>0</v>
          </cell>
          <cell r="R22">
            <v>600</v>
          </cell>
          <cell r="S22">
            <v>292.2</v>
          </cell>
          <cell r="T22">
            <v>1400</v>
          </cell>
          <cell r="U22">
            <v>20.588637919233403</v>
          </cell>
          <cell r="V22">
            <v>9.6372347707049961</v>
          </cell>
          <cell r="W22">
            <v>600</v>
          </cell>
          <cell r="X22">
            <v>1400</v>
          </cell>
          <cell r="Z22">
            <v>233</v>
          </cell>
          <cell r="AA22">
            <v>206.8</v>
          </cell>
          <cell r="AB22">
            <v>303.39999999999998</v>
          </cell>
          <cell r="AC22">
            <v>296.60000000000002</v>
          </cell>
          <cell r="AD22">
            <v>299</v>
          </cell>
          <cell r="AE22">
            <v>0</v>
          </cell>
          <cell r="AF22">
            <v>0</v>
          </cell>
        </row>
        <row r="23">
          <cell r="A23" t="str">
            <v>6220 ГОВЯЖЬЯ Папа может вар п/о  ОСТАНКИНО</v>
          </cell>
          <cell r="B23" t="str">
            <v>кг</v>
          </cell>
          <cell r="C23">
            <v>10.843999999999999</v>
          </cell>
          <cell r="D23">
            <v>40.743000000000002</v>
          </cell>
          <cell r="E23">
            <v>13.521000000000001</v>
          </cell>
          <cell r="F23">
            <v>38.066000000000003</v>
          </cell>
          <cell r="G23">
            <v>1</v>
          </cell>
          <cell r="H23" t="e">
            <v>#N/A</v>
          </cell>
          <cell r="I23">
            <v>10.3</v>
          </cell>
          <cell r="J23">
            <v>3.2210000000000001</v>
          </cell>
          <cell r="K23">
            <v>10</v>
          </cell>
          <cell r="L23">
            <v>0</v>
          </cell>
          <cell r="M23">
            <v>0</v>
          </cell>
          <cell r="S23">
            <v>2.7042000000000002</v>
          </cell>
          <cell r="U23">
            <v>17.774572886620813</v>
          </cell>
          <cell r="V23">
            <v>14.076621551660381</v>
          </cell>
          <cell r="Z23">
            <v>2.7077999999999998</v>
          </cell>
          <cell r="AA23">
            <v>4.0636000000000001</v>
          </cell>
          <cell r="AB23">
            <v>1.6042000000000001</v>
          </cell>
          <cell r="AC23">
            <v>5.9401999999999999</v>
          </cell>
          <cell r="AD23">
            <v>1.361</v>
          </cell>
          <cell r="AE23">
            <v>0</v>
          </cell>
          <cell r="AF23" t="str">
            <v>увел</v>
          </cell>
        </row>
        <row r="24">
          <cell r="A24" t="str">
            <v>6221 НЕАПОЛИТАНСКИЙ ДУЭТ с/к с/н мгс 1/90  ОСТАНКИНО</v>
          </cell>
          <cell r="B24" t="str">
            <v>шт</v>
          </cell>
          <cell r="C24">
            <v>398</v>
          </cell>
          <cell r="D24">
            <v>822</v>
          </cell>
          <cell r="E24">
            <v>612</v>
          </cell>
          <cell r="F24">
            <v>597</v>
          </cell>
          <cell r="G24">
            <v>0.09</v>
          </cell>
          <cell r="H24" t="e">
            <v>#N/A</v>
          </cell>
          <cell r="I24">
            <v>599</v>
          </cell>
          <cell r="J24">
            <v>13</v>
          </cell>
          <cell r="K24">
            <v>120</v>
          </cell>
          <cell r="L24">
            <v>80</v>
          </cell>
          <cell r="M24">
            <v>240</v>
          </cell>
          <cell r="R24">
            <v>160</v>
          </cell>
          <cell r="S24">
            <v>122.4</v>
          </cell>
          <cell r="T24">
            <v>120</v>
          </cell>
          <cell r="U24">
            <v>10.759803921568627</v>
          </cell>
          <cell r="V24">
            <v>4.8774509803921564</v>
          </cell>
          <cell r="W24">
            <v>160</v>
          </cell>
          <cell r="X24">
            <v>120</v>
          </cell>
          <cell r="Z24">
            <v>119.4</v>
          </cell>
          <cell r="AA24">
            <v>106.2</v>
          </cell>
          <cell r="AB24">
            <v>104.6</v>
          </cell>
          <cell r="AC24">
            <v>131.4</v>
          </cell>
          <cell r="AD24">
            <v>103</v>
          </cell>
          <cell r="AE24">
            <v>0</v>
          </cell>
          <cell r="AF24">
            <v>0</v>
          </cell>
        </row>
        <row r="25">
          <cell r="A25" t="str">
            <v>6228 МЯСНОЕ АССОРТИ к/з с/н мгс 1/90 10шт.  ОСТАНКИНО</v>
          </cell>
          <cell r="B25" t="str">
            <v>шт</v>
          </cell>
          <cell r="C25">
            <v>362</v>
          </cell>
          <cell r="D25">
            <v>477</v>
          </cell>
          <cell r="E25">
            <v>422</v>
          </cell>
          <cell r="F25">
            <v>401</v>
          </cell>
          <cell r="G25">
            <v>0.09</v>
          </cell>
          <cell r="H25">
            <v>45</v>
          </cell>
          <cell r="I25">
            <v>434</v>
          </cell>
          <cell r="J25">
            <v>-12</v>
          </cell>
          <cell r="K25">
            <v>60</v>
          </cell>
          <cell r="L25">
            <v>120</v>
          </cell>
          <cell r="M25">
            <v>240</v>
          </cell>
          <cell r="R25">
            <v>40</v>
          </cell>
          <cell r="S25">
            <v>84.4</v>
          </cell>
          <cell r="T25">
            <v>80</v>
          </cell>
          <cell r="U25">
            <v>11.149289099526065</v>
          </cell>
          <cell r="V25">
            <v>4.7511848341232223</v>
          </cell>
          <cell r="W25">
            <v>40</v>
          </cell>
          <cell r="X25">
            <v>80</v>
          </cell>
          <cell r="Z25">
            <v>66</v>
          </cell>
          <cell r="AA25">
            <v>81</v>
          </cell>
          <cell r="AB25">
            <v>77.599999999999994</v>
          </cell>
          <cell r="AC25">
            <v>88.6</v>
          </cell>
          <cell r="AD25">
            <v>35</v>
          </cell>
          <cell r="AE25">
            <v>0</v>
          </cell>
          <cell r="AF25">
            <v>0</v>
          </cell>
        </row>
        <row r="26">
          <cell r="A26" t="str">
            <v>6247 ДОМАШНЯЯ Папа может вар п/о 0,4кг 8шт.  ОСТАНКИНО</v>
          </cell>
          <cell r="B26" t="str">
            <v>шт</v>
          </cell>
          <cell r="C26">
            <v>95</v>
          </cell>
          <cell r="D26">
            <v>125</v>
          </cell>
          <cell r="E26">
            <v>105</v>
          </cell>
          <cell r="F26">
            <v>112</v>
          </cell>
          <cell r="G26">
            <v>0.4</v>
          </cell>
          <cell r="H26">
            <v>60</v>
          </cell>
          <cell r="I26">
            <v>109</v>
          </cell>
          <cell r="J26">
            <v>-4</v>
          </cell>
          <cell r="K26">
            <v>40</v>
          </cell>
          <cell r="L26">
            <v>80</v>
          </cell>
          <cell r="M26">
            <v>0</v>
          </cell>
          <cell r="S26">
            <v>21</v>
          </cell>
          <cell r="U26">
            <v>11.047619047619047</v>
          </cell>
          <cell r="V26">
            <v>5.333333333333333</v>
          </cell>
          <cell r="Z26">
            <v>21.8</v>
          </cell>
          <cell r="AA26">
            <v>27.6</v>
          </cell>
          <cell r="AB26">
            <v>20.399999999999999</v>
          </cell>
          <cell r="AC26">
            <v>23.4</v>
          </cell>
          <cell r="AD26">
            <v>21</v>
          </cell>
          <cell r="AE26">
            <v>0</v>
          </cell>
          <cell r="AF26">
            <v>0</v>
          </cell>
        </row>
        <row r="27">
          <cell r="A27" t="str">
            <v>6268 ГОВЯЖЬЯ Папа может вар п/о 0,4кг 8 шт.  ОСТАНКИНО</v>
          </cell>
          <cell r="B27" t="str">
            <v>шт</v>
          </cell>
          <cell r="C27">
            <v>836</v>
          </cell>
          <cell r="D27">
            <v>415</v>
          </cell>
          <cell r="E27">
            <v>773</v>
          </cell>
          <cell r="F27">
            <v>463</v>
          </cell>
          <cell r="G27">
            <v>0.4</v>
          </cell>
          <cell r="H27">
            <v>60</v>
          </cell>
          <cell r="I27">
            <v>782</v>
          </cell>
          <cell r="J27">
            <v>-9</v>
          </cell>
          <cell r="K27">
            <v>120</v>
          </cell>
          <cell r="L27">
            <v>600</v>
          </cell>
          <cell r="M27">
            <v>200</v>
          </cell>
          <cell r="R27">
            <v>160</v>
          </cell>
          <cell r="S27">
            <v>154.6</v>
          </cell>
          <cell r="T27">
            <v>280</v>
          </cell>
          <cell r="U27">
            <v>11.791720569210867</v>
          </cell>
          <cell r="V27">
            <v>2.9948253557567917</v>
          </cell>
          <cell r="W27">
            <v>160</v>
          </cell>
          <cell r="X27">
            <v>280</v>
          </cell>
          <cell r="Z27">
            <v>140.19999999999999</v>
          </cell>
          <cell r="AA27">
            <v>125.6</v>
          </cell>
          <cell r="AB27">
            <v>148</v>
          </cell>
          <cell r="AC27">
            <v>131.4</v>
          </cell>
          <cell r="AD27">
            <v>136</v>
          </cell>
          <cell r="AE27">
            <v>0</v>
          </cell>
          <cell r="AF27">
            <v>0</v>
          </cell>
        </row>
        <row r="28">
          <cell r="A28" t="str">
            <v>6279 КОРЕЙКА ПО-ОСТ.к/в в/с с/н в/у 1/150_45с  ОСТАНКИНО</v>
          </cell>
          <cell r="B28" t="str">
            <v>шт</v>
          </cell>
          <cell r="C28">
            <v>445</v>
          </cell>
          <cell r="D28">
            <v>674</v>
          </cell>
          <cell r="E28">
            <v>528</v>
          </cell>
          <cell r="F28">
            <v>587</v>
          </cell>
          <cell r="G28">
            <v>0.15</v>
          </cell>
          <cell r="H28" t="e">
            <v>#N/A</v>
          </cell>
          <cell r="I28">
            <v>513</v>
          </cell>
          <cell r="J28">
            <v>15</v>
          </cell>
          <cell r="K28">
            <v>80</v>
          </cell>
          <cell r="L28">
            <v>0</v>
          </cell>
          <cell r="M28">
            <v>120</v>
          </cell>
          <cell r="R28">
            <v>240</v>
          </cell>
          <cell r="S28">
            <v>105.6</v>
          </cell>
          <cell r="T28">
            <v>120</v>
          </cell>
          <cell r="U28">
            <v>10.861742424242426</v>
          </cell>
          <cell r="V28">
            <v>5.5587121212121211</v>
          </cell>
          <cell r="W28">
            <v>240</v>
          </cell>
          <cell r="X28">
            <v>120</v>
          </cell>
          <cell r="Z28">
            <v>110</v>
          </cell>
          <cell r="AA28">
            <v>90</v>
          </cell>
          <cell r="AB28">
            <v>105.4</v>
          </cell>
          <cell r="AC28">
            <v>120.2</v>
          </cell>
          <cell r="AD28">
            <v>151</v>
          </cell>
          <cell r="AE28">
            <v>0</v>
          </cell>
          <cell r="AF28">
            <v>0</v>
          </cell>
        </row>
        <row r="29">
          <cell r="A29" t="str">
            <v>6303 МЯСНЫЕ Папа может сос п/о мгс 1.5*3  ОСТАНКИНО</v>
          </cell>
          <cell r="B29" t="str">
            <v>кг</v>
          </cell>
          <cell r="C29">
            <v>384.93299999999999</v>
          </cell>
          <cell r="D29">
            <v>522.71799999999996</v>
          </cell>
          <cell r="E29">
            <v>423.95600000000002</v>
          </cell>
          <cell r="F29">
            <v>477.471</v>
          </cell>
          <cell r="G29">
            <v>1</v>
          </cell>
          <cell r="H29">
            <v>45</v>
          </cell>
          <cell r="I29">
            <v>409.9</v>
          </cell>
          <cell r="J29">
            <v>14.05600000000004</v>
          </cell>
          <cell r="K29">
            <v>100</v>
          </cell>
          <cell r="L29">
            <v>0</v>
          </cell>
          <cell r="M29">
            <v>110</v>
          </cell>
          <cell r="R29">
            <v>80</v>
          </cell>
          <cell r="S29">
            <v>84.791200000000003</v>
          </cell>
          <cell r="T29">
            <v>50</v>
          </cell>
          <cell r="U29">
            <v>9.6409886875053061</v>
          </cell>
          <cell r="V29">
            <v>5.6311386087235462</v>
          </cell>
          <cell r="W29">
            <v>80</v>
          </cell>
          <cell r="X29">
            <v>50</v>
          </cell>
          <cell r="Z29">
            <v>101.5184</v>
          </cell>
          <cell r="AA29">
            <v>88.261200000000002</v>
          </cell>
          <cell r="AB29">
            <v>83.2316</v>
          </cell>
          <cell r="AC29">
            <v>96.935400000000001</v>
          </cell>
          <cell r="AD29">
            <v>68.534999999999997</v>
          </cell>
          <cell r="AE29">
            <v>0</v>
          </cell>
          <cell r="AF29">
            <v>0</v>
          </cell>
        </row>
        <row r="30">
          <cell r="A30" t="str">
            <v>6324 ДОКТОРСКАЯ ГОСТ вар п/о 0.4кг 8шт.  ОСТАНКИНО</v>
          </cell>
          <cell r="B30" t="str">
            <v>шт</v>
          </cell>
          <cell r="C30">
            <v>144</v>
          </cell>
          <cell r="D30">
            <v>41</v>
          </cell>
          <cell r="E30">
            <v>77</v>
          </cell>
          <cell r="F30">
            <v>108</v>
          </cell>
          <cell r="G30">
            <v>0.4</v>
          </cell>
          <cell r="H30">
            <v>60</v>
          </cell>
          <cell r="I30">
            <v>78</v>
          </cell>
          <cell r="J30">
            <v>-1</v>
          </cell>
          <cell r="K30">
            <v>0</v>
          </cell>
          <cell r="L30">
            <v>0</v>
          </cell>
          <cell r="M30">
            <v>80</v>
          </cell>
          <cell r="S30">
            <v>15.4</v>
          </cell>
          <cell r="U30">
            <v>12.207792207792208</v>
          </cell>
          <cell r="V30">
            <v>7.0129870129870131</v>
          </cell>
          <cell r="Z30">
            <v>8.8000000000000007</v>
          </cell>
          <cell r="AA30">
            <v>11.4</v>
          </cell>
          <cell r="AB30">
            <v>20.6</v>
          </cell>
          <cell r="AC30">
            <v>16</v>
          </cell>
          <cell r="AD30">
            <v>9</v>
          </cell>
          <cell r="AE30">
            <v>0</v>
          </cell>
          <cell r="AF30">
            <v>0</v>
          </cell>
        </row>
        <row r="31">
          <cell r="A31" t="str">
            <v>6325 ДОКТОРСКАЯ ПРЕМИУМ вар п/о 0.4кг 8шт.  ОСТАНКИНО</v>
          </cell>
          <cell r="B31" t="str">
            <v>шт</v>
          </cell>
          <cell r="C31">
            <v>1114</v>
          </cell>
          <cell r="D31">
            <v>1816</v>
          </cell>
          <cell r="E31">
            <v>1556</v>
          </cell>
          <cell r="F31">
            <v>1311</v>
          </cell>
          <cell r="G31">
            <v>0.4</v>
          </cell>
          <cell r="H31">
            <v>60</v>
          </cell>
          <cell r="I31">
            <v>1561</v>
          </cell>
          <cell r="J31">
            <v>-5</v>
          </cell>
          <cell r="K31">
            <v>200</v>
          </cell>
          <cell r="L31">
            <v>600</v>
          </cell>
          <cell r="M31">
            <v>600</v>
          </cell>
          <cell r="R31">
            <v>400</v>
          </cell>
          <cell r="S31">
            <v>311.2</v>
          </cell>
          <cell r="T31">
            <v>600</v>
          </cell>
          <cell r="U31">
            <v>11.924807197943446</v>
          </cell>
          <cell r="V31">
            <v>4.2127249357326484</v>
          </cell>
          <cell r="W31">
            <v>400</v>
          </cell>
          <cell r="X31">
            <v>600</v>
          </cell>
          <cell r="Z31">
            <v>267.60000000000002</v>
          </cell>
          <cell r="AA31">
            <v>292.2</v>
          </cell>
          <cell r="AB31">
            <v>255.2</v>
          </cell>
          <cell r="AC31">
            <v>300.8</v>
          </cell>
          <cell r="AD31">
            <v>363</v>
          </cell>
          <cell r="AE31">
            <v>0</v>
          </cell>
          <cell r="AF31">
            <v>0</v>
          </cell>
        </row>
        <row r="32">
          <cell r="A32" t="str">
            <v>6333 МЯСНАЯ Папа может вар п/о 0.4кг 8шт.  ОСТАНКИНО</v>
          </cell>
          <cell r="B32" t="str">
            <v>шт</v>
          </cell>
          <cell r="C32">
            <v>4411</v>
          </cell>
          <cell r="D32">
            <v>3632</v>
          </cell>
          <cell r="E32">
            <v>4455</v>
          </cell>
          <cell r="F32">
            <v>3502</v>
          </cell>
          <cell r="G32">
            <v>0.4</v>
          </cell>
          <cell r="H32">
            <v>60</v>
          </cell>
          <cell r="I32">
            <v>4471</v>
          </cell>
          <cell r="J32">
            <v>-16</v>
          </cell>
          <cell r="K32">
            <v>400</v>
          </cell>
          <cell r="L32">
            <v>2200</v>
          </cell>
          <cell r="M32">
            <v>2800</v>
          </cell>
          <cell r="R32">
            <v>600</v>
          </cell>
          <cell r="S32">
            <v>891</v>
          </cell>
          <cell r="T32">
            <v>1200</v>
          </cell>
          <cell r="U32">
            <v>12.011223344556678</v>
          </cell>
          <cell r="V32">
            <v>3.9304152637485972</v>
          </cell>
          <cell r="W32">
            <v>600</v>
          </cell>
          <cell r="X32">
            <v>1200</v>
          </cell>
          <cell r="Z32">
            <v>727</v>
          </cell>
          <cell r="AA32">
            <v>708.6</v>
          </cell>
          <cell r="AB32">
            <v>827.2</v>
          </cell>
          <cell r="AC32">
            <v>801.8</v>
          </cell>
          <cell r="AD32">
            <v>852</v>
          </cell>
          <cell r="AE32">
            <v>0</v>
          </cell>
          <cell r="AF32">
            <v>0</v>
          </cell>
        </row>
        <row r="33">
          <cell r="A33" t="str">
            <v>6340 ДОМАШНИЙ РЕЦЕПТ Коровино 0.5кг 8шт.  ОСТАНКИНО</v>
          </cell>
          <cell r="B33" t="str">
            <v>шт</v>
          </cell>
          <cell r="C33">
            <v>187</v>
          </cell>
          <cell r="D33">
            <v>285</v>
          </cell>
          <cell r="E33">
            <v>300</v>
          </cell>
          <cell r="F33">
            <v>172</v>
          </cell>
          <cell r="G33">
            <v>0.5</v>
          </cell>
          <cell r="H33" t="e">
            <v>#N/A</v>
          </cell>
          <cell r="I33">
            <v>308</v>
          </cell>
          <cell r="J33">
            <v>-8</v>
          </cell>
          <cell r="K33">
            <v>40</v>
          </cell>
          <cell r="L33">
            <v>120</v>
          </cell>
          <cell r="M33">
            <v>80</v>
          </cell>
          <cell r="R33">
            <v>200</v>
          </cell>
          <cell r="S33">
            <v>60</v>
          </cell>
          <cell r="T33">
            <v>120</v>
          </cell>
          <cell r="U33">
            <v>12.2</v>
          </cell>
          <cell r="V33">
            <v>2.8666666666666667</v>
          </cell>
          <cell r="W33">
            <v>200</v>
          </cell>
          <cell r="X33">
            <v>120</v>
          </cell>
          <cell r="Z33">
            <v>56.4</v>
          </cell>
          <cell r="AA33">
            <v>57.2</v>
          </cell>
          <cell r="AB33">
            <v>37.4</v>
          </cell>
          <cell r="AC33">
            <v>47.8</v>
          </cell>
          <cell r="AD33">
            <v>93</v>
          </cell>
          <cell r="AE33">
            <v>0</v>
          </cell>
          <cell r="AF33">
            <v>0</v>
          </cell>
        </row>
        <row r="34">
          <cell r="A34" t="str">
            <v>6353 ЭКСТРА Папа может вар п/о 0.4кг 8шт.  ОСТАНКИНО</v>
          </cell>
          <cell r="B34" t="str">
            <v>шт</v>
          </cell>
          <cell r="C34">
            <v>1323</v>
          </cell>
          <cell r="D34">
            <v>1060</v>
          </cell>
          <cell r="E34">
            <v>1500</v>
          </cell>
          <cell r="F34">
            <v>864</v>
          </cell>
          <cell r="G34">
            <v>0.4</v>
          </cell>
          <cell r="H34">
            <v>60</v>
          </cell>
          <cell r="I34">
            <v>1523</v>
          </cell>
          <cell r="J34">
            <v>-23</v>
          </cell>
          <cell r="K34">
            <v>120</v>
          </cell>
          <cell r="L34">
            <v>600</v>
          </cell>
          <cell r="M34">
            <v>1000</v>
          </cell>
          <cell r="R34">
            <v>480</v>
          </cell>
          <cell r="S34">
            <v>300</v>
          </cell>
          <cell r="T34">
            <v>480</v>
          </cell>
          <cell r="U34">
            <v>11.813333333333333</v>
          </cell>
          <cell r="V34">
            <v>2.88</v>
          </cell>
          <cell r="W34">
            <v>480</v>
          </cell>
          <cell r="X34">
            <v>480</v>
          </cell>
          <cell r="Z34">
            <v>235.2</v>
          </cell>
          <cell r="AA34">
            <v>253.8</v>
          </cell>
          <cell r="AB34">
            <v>253.6</v>
          </cell>
          <cell r="AC34">
            <v>248</v>
          </cell>
          <cell r="AD34">
            <v>328</v>
          </cell>
          <cell r="AE34">
            <v>0</v>
          </cell>
          <cell r="AF34">
            <v>0</v>
          </cell>
        </row>
        <row r="35">
          <cell r="A35" t="str">
            <v>6392 ФИЛЕЙНАЯ Папа может вар п/о 0.4кг. ОСТАНКИНО</v>
          </cell>
          <cell r="B35" t="str">
            <v>шт</v>
          </cell>
          <cell r="C35">
            <v>3033</v>
          </cell>
          <cell r="D35">
            <v>3228</v>
          </cell>
          <cell r="E35">
            <v>3111</v>
          </cell>
          <cell r="F35">
            <v>3124</v>
          </cell>
          <cell r="G35">
            <v>0.4</v>
          </cell>
          <cell r="H35">
            <v>60</v>
          </cell>
          <cell r="I35">
            <v>3127</v>
          </cell>
          <cell r="J35">
            <v>-16</v>
          </cell>
          <cell r="K35">
            <v>400</v>
          </cell>
          <cell r="L35">
            <v>800</v>
          </cell>
          <cell r="M35">
            <v>1800</v>
          </cell>
          <cell r="R35">
            <v>600</v>
          </cell>
          <cell r="S35">
            <v>622.20000000000005</v>
          </cell>
          <cell r="T35">
            <v>800</v>
          </cell>
          <cell r="U35">
            <v>12.092574734811956</v>
          </cell>
          <cell r="V35">
            <v>5.0208936033429765</v>
          </cell>
          <cell r="W35">
            <v>600</v>
          </cell>
          <cell r="X35">
            <v>800</v>
          </cell>
          <cell r="Z35">
            <v>652.6</v>
          </cell>
          <cell r="AA35">
            <v>618</v>
          </cell>
          <cell r="AB35">
            <v>604.6</v>
          </cell>
          <cell r="AC35">
            <v>617.79999999999995</v>
          </cell>
          <cell r="AD35">
            <v>636</v>
          </cell>
          <cell r="AE35">
            <v>0</v>
          </cell>
          <cell r="AF35">
            <v>0</v>
          </cell>
        </row>
        <row r="36">
          <cell r="A36" t="str">
            <v>6448 СВИНИНА МАДЕРА с/к с/н в/у 1/100 10шт.   ОСТАНКИНО</v>
          </cell>
          <cell r="B36" t="str">
            <v>шт</v>
          </cell>
          <cell r="C36">
            <v>152</v>
          </cell>
          <cell r="D36">
            <v>122</v>
          </cell>
          <cell r="E36">
            <v>119</v>
          </cell>
          <cell r="F36">
            <v>153</v>
          </cell>
          <cell r="G36">
            <v>0</v>
          </cell>
          <cell r="H36" t="e">
            <v>#N/A</v>
          </cell>
          <cell r="I36">
            <v>122</v>
          </cell>
          <cell r="J36">
            <v>-3</v>
          </cell>
          <cell r="K36">
            <v>0</v>
          </cell>
          <cell r="L36">
            <v>0</v>
          </cell>
          <cell r="M36">
            <v>40</v>
          </cell>
          <cell r="S36">
            <v>23.8</v>
          </cell>
          <cell r="U36">
            <v>8.1092436974789912</v>
          </cell>
          <cell r="V36">
            <v>6.4285714285714279</v>
          </cell>
          <cell r="Z36">
            <v>30.8</v>
          </cell>
          <cell r="AA36">
            <v>16.8</v>
          </cell>
          <cell r="AB36">
            <v>26.6</v>
          </cell>
          <cell r="AC36">
            <v>27.2</v>
          </cell>
          <cell r="AD36">
            <v>16</v>
          </cell>
          <cell r="AE36" t="str">
            <v>увел</v>
          </cell>
          <cell r="AF36">
            <v>0</v>
          </cell>
        </row>
        <row r="37">
          <cell r="A37" t="str">
            <v>6453 ЭКСТРА Папа может с/к с/н в/у 1/100 14шт.   ОСТАНКИНО</v>
          </cell>
          <cell r="B37" t="str">
            <v>шт</v>
          </cell>
          <cell r="C37">
            <v>2120</v>
          </cell>
          <cell r="D37">
            <v>1175</v>
          </cell>
          <cell r="E37">
            <v>1839</v>
          </cell>
          <cell r="F37">
            <v>1411</v>
          </cell>
          <cell r="G37">
            <v>0.1</v>
          </cell>
          <cell r="H37">
            <v>60</v>
          </cell>
          <cell r="I37">
            <v>1832</v>
          </cell>
          <cell r="J37">
            <v>7</v>
          </cell>
          <cell r="K37">
            <v>140</v>
          </cell>
          <cell r="L37">
            <v>700</v>
          </cell>
          <cell r="M37">
            <v>980</v>
          </cell>
          <cell r="R37">
            <v>420</v>
          </cell>
          <cell r="S37">
            <v>367.8</v>
          </cell>
          <cell r="T37">
            <v>420</v>
          </cell>
          <cell r="U37">
            <v>11.068515497553017</v>
          </cell>
          <cell r="V37">
            <v>3.8363240891789014</v>
          </cell>
          <cell r="W37">
            <v>420</v>
          </cell>
          <cell r="X37">
            <v>420</v>
          </cell>
          <cell r="Z37">
            <v>399.6</v>
          </cell>
          <cell r="AA37">
            <v>318</v>
          </cell>
          <cell r="AB37">
            <v>393.6</v>
          </cell>
          <cell r="AC37">
            <v>336.2</v>
          </cell>
          <cell r="AD37">
            <v>347</v>
          </cell>
          <cell r="AE37">
            <v>0</v>
          </cell>
          <cell r="AF37">
            <v>0</v>
          </cell>
        </row>
        <row r="38">
          <cell r="A38" t="str">
            <v>6454 АРОМАТНАЯ с/к с/н в/у 1/100 10шт.  ОСТАНКИНО</v>
          </cell>
          <cell r="B38" t="str">
            <v>шт</v>
          </cell>
          <cell r="C38">
            <v>1612</v>
          </cell>
          <cell r="D38">
            <v>1480</v>
          </cell>
          <cell r="E38">
            <v>1678</v>
          </cell>
          <cell r="F38">
            <v>1390</v>
          </cell>
          <cell r="G38">
            <v>0.1</v>
          </cell>
          <cell r="H38" t="e">
            <v>#N/A</v>
          </cell>
          <cell r="I38">
            <v>1698</v>
          </cell>
          <cell r="J38">
            <v>-20</v>
          </cell>
          <cell r="K38">
            <v>150</v>
          </cell>
          <cell r="L38">
            <v>700</v>
          </cell>
          <cell r="M38">
            <v>650</v>
          </cell>
          <cell r="R38">
            <v>400</v>
          </cell>
          <cell r="S38">
            <v>335.6</v>
          </cell>
          <cell r="T38">
            <v>400</v>
          </cell>
          <cell r="U38">
            <v>10.995232419547079</v>
          </cell>
          <cell r="V38">
            <v>4.141835518474374</v>
          </cell>
          <cell r="W38">
            <v>400</v>
          </cell>
          <cell r="X38">
            <v>400</v>
          </cell>
          <cell r="Z38">
            <v>287.60000000000002</v>
          </cell>
          <cell r="AA38">
            <v>288.39999999999998</v>
          </cell>
          <cell r="AB38">
            <v>328.6</v>
          </cell>
          <cell r="AC38">
            <v>320.8</v>
          </cell>
          <cell r="AD38">
            <v>341</v>
          </cell>
          <cell r="AE38">
            <v>0</v>
          </cell>
          <cell r="AF38">
            <v>0</v>
          </cell>
        </row>
        <row r="39">
          <cell r="A39" t="str">
            <v>6459 СЕРВЕЛАТ ШВЕЙЦАРСК. в/к с/н в/у 1/100*10  ОСТАНКИНО</v>
          </cell>
          <cell r="B39" t="str">
            <v>шт</v>
          </cell>
          <cell r="C39">
            <v>793</v>
          </cell>
          <cell r="D39">
            <v>1139</v>
          </cell>
          <cell r="E39">
            <v>1274</v>
          </cell>
          <cell r="F39">
            <v>640</v>
          </cell>
          <cell r="G39">
            <v>0.1</v>
          </cell>
          <cell r="H39" t="e">
            <v>#N/A</v>
          </cell>
          <cell r="I39">
            <v>1268</v>
          </cell>
          <cell r="J39">
            <v>6</v>
          </cell>
          <cell r="K39">
            <v>100</v>
          </cell>
          <cell r="L39">
            <v>600</v>
          </cell>
          <cell r="M39">
            <v>500</v>
          </cell>
          <cell r="R39">
            <v>600</v>
          </cell>
          <cell r="S39">
            <v>254.8</v>
          </cell>
          <cell r="T39">
            <v>500</v>
          </cell>
          <cell r="U39">
            <v>11.538461538461538</v>
          </cell>
          <cell r="V39">
            <v>2.5117739403453689</v>
          </cell>
          <cell r="W39">
            <v>600</v>
          </cell>
          <cell r="X39">
            <v>500</v>
          </cell>
          <cell r="Z39">
            <v>202.8</v>
          </cell>
          <cell r="AA39">
            <v>199.6</v>
          </cell>
          <cell r="AB39">
            <v>179.2</v>
          </cell>
          <cell r="AC39">
            <v>201.4</v>
          </cell>
          <cell r="AD39">
            <v>337</v>
          </cell>
          <cell r="AE39">
            <v>0</v>
          </cell>
          <cell r="AF39">
            <v>0</v>
          </cell>
        </row>
        <row r="40">
          <cell r="A40" t="str">
            <v>6470 ВЕТЧ.МРАМОРНАЯ в/у_45с  ОСТАНКИНО</v>
          </cell>
          <cell r="B40" t="str">
            <v>кг</v>
          </cell>
          <cell r="C40">
            <v>27.103000000000002</v>
          </cell>
          <cell r="D40">
            <v>60.06</v>
          </cell>
          <cell r="E40">
            <v>25.37</v>
          </cell>
          <cell r="F40">
            <v>59.328000000000003</v>
          </cell>
          <cell r="G40">
            <v>1</v>
          </cell>
          <cell r="H40">
            <v>45</v>
          </cell>
          <cell r="I40">
            <v>26.4</v>
          </cell>
          <cell r="J40">
            <v>-1.0299999999999976</v>
          </cell>
          <cell r="K40">
            <v>10</v>
          </cell>
          <cell r="L40">
            <v>0</v>
          </cell>
          <cell r="M40">
            <v>0</v>
          </cell>
          <cell r="S40">
            <v>5.0739999999999998</v>
          </cell>
          <cell r="U40">
            <v>13.663381947181712</v>
          </cell>
          <cell r="V40">
            <v>11.69255025620812</v>
          </cell>
          <cell r="Z40">
            <v>7.0280000000000005</v>
          </cell>
          <cell r="AA40">
            <v>4.3570000000000002</v>
          </cell>
          <cell r="AB40">
            <v>7.7239999999999993</v>
          </cell>
          <cell r="AC40">
            <v>9.6290000000000013</v>
          </cell>
          <cell r="AD40">
            <v>8.35</v>
          </cell>
          <cell r="AE40" t="str">
            <v>увел</v>
          </cell>
          <cell r="AF40">
            <v>0</v>
          </cell>
        </row>
        <row r="41">
          <cell r="A41" t="str">
            <v>6495 ВЕТЧ.МРАМОРНАЯ в/у срез 0.3кг 6шт_45с  ОСТАНКИНО</v>
          </cell>
          <cell r="B41" t="str">
            <v>шт</v>
          </cell>
          <cell r="C41">
            <v>305</v>
          </cell>
          <cell r="D41">
            <v>430</v>
          </cell>
          <cell r="E41">
            <v>324</v>
          </cell>
          <cell r="F41">
            <v>401</v>
          </cell>
          <cell r="G41">
            <v>0.3</v>
          </cell>
          <cell r="H41">
            <v>45</v>
          </cell>
          <cell r="I41">
            <v>333</v>
          </cell>
          <cell r="J41">
            <v>-9</v>
          </cell>
          <cell r="K41">
            <v>30</v>
          </cell>
          <cell r="L41">
            <v>0</v>
          </cell>
          <cell r="M41">
            <v>120</v>
          </cell>
          <cell r="R41">
            <v>90</v>
          </cell>
          <cell r="S41">
            <v>64.8</v>
          </cell>
          <cell r="T41">
            <v>60</v>
          </cell>
          <cell r="U41">
            <v>10.817901234567902</v>
          </cell>
          <cell r="V41">
            <v>6.1882716049382722</v>
          </cell>
          <cell r="W41">
            <v>90</v>
          </cell>
          <cell r="X41">
            <v>60</v>
          </cell>
          <cell r="Z41">
            <v>57.4</v>
          </cell>
          <cell r="AA41">
            <v>50.2</v>
          </cell>
          <cell r="AB41">
            <v>68.2</v>
          </cell>
          <cell r="AC41">
            <v>76.400000000000006</v>
          </cell>
          <cell r="AD41">
            <v>63</v>
          </cell>
          <cell r="AE41">
            <v>0</v>
          </cell>
          <cell r="AF41">
            <v>0</v>
          </cell>
        </row>
        <row r="42">
          <cell r="A42" t="str">
            <v>6527 ШПИКАЧКИ СОЧНЫЕ ПМ сар б/о мгс 1*3 45с ОСТАНКИНО</v>
          </cell>
          <cell r="B42" t="str">
            <v>кг</v>
          </cell>
          <cell r="C42">
            <v>303.16899999999998</v>
          </cell>
          <cell r="D42">
            <v>287.83</v>
          </cell>
          <cell r="E42">
            <v>318.19299999999998</v>
          </cell>
          <cell r="F42">
            <v>264.46100000000001</v>
          </cell>
          <cell r="G42">
            <v>1</v>
          </cell>
          <cell r="H42">
            <v>45</v>
          </cell>
          <cell r="I42">
            <v>321.43</v>
          </cell>
          <cell r="J42">
            <v>-3.2370000000000232</v>
          </cell>
          <cell r="K42">
            <v>30</v>
          </cell>
          <cell r="L42">
            <v>120</v>
          </cell>
          <cell r="M42">
            <v>100</v>
          </cell>
          <cell r="S42">
            <v>63.638599999999997</v>
          </cell>
          <cell r="T42">
            <v>50</v>
          </cell>
          <cell r="U42">
            <v>8.8697897188184545</v>
          </cell>
          <cell r="V42">
            <v>4.1556696721800925</v>
          </cell>
          <cell r="X42">
            <v>50</v>
          </cell>
          <cell r="Z42">
            <v>71.677800000000005</v>
          </cell>
          <cell r="AA42">
            <v>61.416800000000002</v>
          </cell>
          <cell r="AB42">
            <v>59.294000000000004</v>
          </cell>
          <cell r="AC42">
            <v>60.391800000000003</v>
          </cell>
          <cell r="AD42">
            <v>64.197999999999993</v>
          </cell>
          <cell r="AE42">
            <v>0</v>
          </cell>
          <cell r="AF42">
            <v>0</v>
          </cell>
        </row>
        <row r="43">
          <cell r="A43" t="str">
            <v>6609 С ГОВЯДИНОЙ ПМ сар б/о мгс 0.4кг_45с ОСТАНКИНО</v>
          </cell>
          <cell r="B43" t="str">
            <v>шт</v>
          </cell>
          <cell r="C43">
            <v>53</v>
          </cell>
          <cell r="E43">
            <v>30</v>
          </cell>
          <cell r="F43">
            <v>23</v>
          </cell>
          <cell r="G43">
            <v>0.4</v>
          </cell>
          <cell r="H43" t="e">
            <v>#N/A</v>
          </cell>
          <cell r="I43">
            <v>34</v>
          </cell>
          <cell r="J43">
            <v>-4</v>
          </cell>
          <cell r="K43">
            <v>0</v>
          </cell>
          <cell r="L43">
            <v>40</v>
          </cell>
          <cell r="M43">
            <v>0</v>
          </cell>
          <cell r="S43">
            <v>6</v>
          </cell>
          <cell r="U43">
            <v>10.5</v>
          </cell>
          <cell r="V43">
            <v>3.8333333333333335</v>
          </cell>
          <cell r="Z43">
            <v>5.6</v>
          </cell>
          <cell r="AA43">
            <v>7</v>
          </cell>
          <cell r="AB43">
            <v>11</v>
          </cell>
          <cell r="AC43">
            <v>7.6</v>
          </cell>
          <cell r="AD43">
            <v>-1</v>
          </cell>
          <cell r="AE43">
            <v>0</v>
          </cell>
          <cell r="AF43">
            <v>0</v>
          </cell>
        </row>
        <row r="44">
          <cell r="A44" t="str">
            <v>6616 МОЛОЧНЫЕ КЛАССИЧЕСКИЕ сос п/о в/у 0.3кг  ОСТАНКИНО</v>
          </cell>
          <cell r="B44" t="str">
            <v>шт</v>
          </cell>
          <cell r="C44">
            <v>1954</v>
          </cell>
          <cell r="D44">
            <v>2306</v>
          </cell>
          <cell r="E44">
            <v>2091</v>
          </cell>
          <cell r="F44">
            <v>2310</v>
          </cell>
          <cell r="G44">
            <v>0.3</v>
          </cell>
          <cell r="H44">
            <v>45</v>
          </cell>
          <cell r="I44">
            <v>2030</v>
          </cell>
          <cell r="J44">
            <v>61</v>
          </cell>
          <cell r="K44">
            <v>240</v>
          </cell>
          <cell r="L44">
            <v>720</v>
          </cell>
          <cell r="M44">
            <v>480</v>
          </cell>
          <cell r="S44">
            <v>418.2</v>
          </cell>
          <cell r="T44">
            <v>240</v>
          </cell>
          <cell r="U44">
            <v>9.5408895265423244</v>
          </cell>
          <cell r="V44">
            <v>5.5236728837876612</v>
          </cell>
          <cell r="X44">
            <v>240</v>
          </cell>
          <cell r="Z44">
            <v>425.2</v>
          </cell>
          <cell r="AA44">
            <v>472.4</v>
          </cell>
          <cell r="AB44">
            <v>442.2</v>
          </cell>
          <cell r="AC44">
            <v>466.8</v>
          </cell>
          <cell r="AD44">
            <v>453</v>
          </cell>
          <cell r="AE44" t="str">
            <v>бон</v>
          </cell>
          <cell r="AF44">
            <v>0</v>
          </cell>
        </row>
        <row r="45">
          <cell r="A45" t="str">
            <v>6697 СЕРВЕЛАТ ФИНСКИЙ ПМ в/к в/у 0,35кг 8шт.  ОСТАНКИНО</v>
          </cell>
          <cell r="B45" t="str">
            <v>шт</v>
          </cell>
          <cell r="C45">
            <v>3906</v>
          </cell>
          <cell r="D45">
            <v>3669</v>
          </cell>
          <cell r="E45">
            <v>4152</v>
          </cell>
          <cell r="F45">
            <v>3361</v>
          </cell>
          <cell r="G45">
            <v>0.35</v>
          </cell>
          <cell r="H45">
            <v>45</v>
          </cell>
          <cell r="I45">
            <v>4190</v>
          </cell>
          <cell r="J45">
            <v>-38</v>
          </cell>
          <cell r="K45">
            <v>600</v>
          </cell>
          <cell r="L45">
            <v>1600</v>
          </cell>
          <cell r="M45">
            <v>2400</v>
          </cell>
          <cell r="R45">
            <v>800</v>
          </cell>
          <cell r="S45">
            <v>830.4</v>
          </cell>
          <cell r="T45">
            <v>1400</v>
          </cell>
          <cell r="U45">
            <v>12.236271676300579</v>
          </cell>
          <cell r="V45">
            <v>4.047447013487476</v>
          </cell>
          <cell r="W45">
            <v>800</v>
          </cell>
          <cell r="X45">
            <v>1400</v>
          </cell>
          <cell r="Z45">
            <v>819.8</v>
          </cell>
          <cell r="AA45">
            <v>833.4</v>
          </cell>
          <cell r="AB45">
            <v>775</v>
          </cell>
          <cell r="AC45">
            <v>787.6</v>
          </cell>
          <cell r="AD45">
            <v>900</v>
          </cell>
          <cell r="AE45">
            <v>0</v>
          </cell>
          <cell r="AF45">
            <v>0</v>
          </cell>
        </row>
        <row r="46">
          <cell r="A46" t="str">
            <v>6713 СОЧНЫЙ ГРИЛЬ ПМ сос п/о мгс 0.41кг 8шт.  ОСТАНКИНО</v>
          </cell>
          <cell r="B46" t="str">
            <v>шт</v>
          </cell>
          <cell r="C46">
            <v>1414</v>
          </cell>
          <cell r="D46">
            <v>1409</v>
          </cell>
          <cell r="E46">
            <v>1678</v>
          </cell>
          <cell r="F46">
            <v>1104</v>
          </cell>
          <cell r="G46">
            <v>0.41</v>
          </cell>
          <cell r="H46">
            <v>45</v>
          </cell>
          <cell r="I46">
            <v>1699</v>
          </cell>
          <cell r="J46">
            <v>-21</v>
          </cell>
          <cell r="K46">
            <v>120</v>
          </cell>
          <cell r="L46">
            <v>720</v>
          </cell>
          <cell r="M46">
            <v>480</v>
          </cell>
          <cell r="R46">
            <v>240</v>
          </cell>
          <cell r="S46">
            <v>335.6</v>
          </cell>
          <cell r="T46">
            <v>240</v>
          </cell>
          <cell r="U46">
            <v>8.6531585220500595</v>
          </cell>
          <cell r="V46">
            <v>3.2896305125148984</v>
          </cell>
          <cell r="W46">
            <v>240</v>
          </cell>
          <cell r="X46">
            <v>240</v>
          </cell>
          <cell r="Z46">
            <v>275.39999999999998</v>
          </cell>
          <cell r="AA46">
            <v>217</v>
          </cell>
          <cell r="AB46">
            <v>290</v>
          </cell>
          <cell r="AC46">
            <v>293.39999999999998</v>
          </cell>
          <cell r="AD46">
            <v>332</v>
          </cell>
          <cell r="AE46" t="str">
            <v>увел</v>
          </cell>
          <cell r="AF46">
            <v>0</v>
          </cell>
        </row>
        <row r="47">
          <cell r="A47" t="str">
            <v>6724 МОЛОЧНЫЕ ПМ сос п/о мгс 0.41кг 10шт.  ОСТАНКИНО</v>
          </cell>
          <cell r="B47" t="str">
            <v>шт</v>
          </cell>
          <cell r="C47">
            <v>746</v>
          </cell>
          <cell r="D47">
            <v>264</v>
          </cell>
          <cell r="E47">
            <v>579</v>
          </cell>
          <cell r="F47">
            <v>418</v>
          </cell>
          <cell r="G47">
            <v>0.41</v>
          </cell>
          <cell r="H47" t="e">
            <v>#N/A</v>
          </cell>
          <cell r="I47">
            <v>594</v>
          </cell>
          <cell r="J47">
            <v>-15</v>
          </cell>
          <cell r="K47">
            <v>50</v>
          </cell>
          <cell r="L47">
            <v>280</v>
          </cell>
          <cell r="M47">
            <v>240</v>
          </cell>
          <cell r="S47">
            <v>115.8</v>
          </cell>
          <cell r="T47">
            <v>80</v>
          </cell>
          <cell r="U47">
            <v>9.2227979274611407</v>
          </cell>
          <cell r="V47">
            <v>3.609671848013817</v>
          </cell>
          <cell r="X47">
            <v>80</v>
          </cell>
          <cell r="Z47">
            <v>138</v>
          </cell>
          <cell r="AA47">
            <v>112.8</v>
          </cell>
          <cell r="AB47">
            <v>127.8</v>
          </cell>
          <cell r="AC47">
            <v>105.2</v>
          </cell>
          <cell r="AD47">
            <v>90</v>
          </cell>
          <cell r="AE47">
            <v>0</v>
          </cell>
          <cell r="AF47">
            <v>0</v>
          </cell>
        </row>
        <row r="48">
          <cell r="A48" t="str">
            <v>6765 РУБЛЕНЫЕ сос ц/о мгс 0.36кг 6шт.  ОСТАНКИНО</v>
          </cell>
          <cell r="B48" t="str">
            <v>шт</v>
          </cell>
          <cell r="C48">
            <v>423</v>
          </cell>
          <cell r="D48">
            <v>280</v>
          </cell>
          <cell r="E48">
            <v>466</v>
          </cell>
          <cell r="F48">
            <v>221</v>
          </cell>
          <cell r="G48">
            <v>0.36</v>
          </cell>
          <cell r="H48" t="e">
            <v>#N/A</v>
          </cell>
          <cell r="I48">
            <v>493</v>
          </cell>
          <cell r="J48">
            <v>-27</v>
          </cell>
          <cell r="K48">
            <v>30</v>
          </cell>
          <cell r="L48">
            <v>300</v>
          </cell>
          <cell r="M48">
            <v>240</v>
          </cell>
          <cell r="S48">
            <v>93.2</v>
          </cell>
          <cell r="T48">
            <v>60</v>
          </cell>
          <cell r="U48">
            <v>9.1309012875536482</v>
          </cell>
          <cell r="V48">
            <v>2.3712446351931331</v>
          </cell>
          <cell r="X48">
            <v>60</v>
          </cell>
          <cell r="Z48">
            <v>78.400000000000006</v>
          </cell>
          <cell r="AA48">
            <v>79.599999999999994</v>
          </cell>
          <cell r="AB48">
            <v>82.4</v>
          </cell>
          <cell r="AC48">
            <v>71.8</v>
          </cell>
          <cell r="AD48">
            <v>70</v>
          </cell>
          <cell r="AE48">
            <v>0</v>
          </cell>
          <cell r="AF48">
            <v>0</v>
          </cell>
        </row>
        <row r="49">
          <cell r="A49" t="str">
            <v>6785 ВЕНСКАЯ САЛЯМИ п/к в/у 0.33кг 8шт.  ОСТАНКИНО</v>
          </cell>
          <cell r="B49" t="str">
            <v>шт</v>
          </cell>
          <cell r="C49">
            <v>118</v>
          </cell>
          <cell r="D49">
            <v>82</v>
          </cell>
          <cell r="E49">
            <v>163</v>
          </cell>
          <cell r="F49">
            <v>35</v>
          </cell>
          <cell r="G49">
            <v>0.33</v>
          </cell>
          <cell r="H49" t="e">
            <v>#N/A</v>
          </cell>
          <cell r="I49">
            <v>162</v>
          </cell>
          <cell r="J49">
            <v>1</v>
          </cell>
          <cell r="K49">
            <v>40</v>
          </cell>
          <cell r="L49">
            <v>40</v>
          </cell>
          <cell r="M49">
            <v>40</v>
          </cell>
          <cell r="R49">
            <v>160</v>
          </cell>
          <cell r="S49">
            <v>32.6</v>
          </cell>
          <cell r="T49">
            <v>120</v>
          </cell>
          <cell r="U49">
            <v>13.343558282208589</v>
          </cell>
          <cell r="V49">
            <v>1.0736196319018405</v>
          </cell>
          <cell r="W49">
            <v>160</v>
          </cell>
          <cell r="X49">
            <v>120</v>
          </cell>
          <cell r="Z49">
            <v>23</v>
          </cell>
          <cell r="AA49">
            <v>18.8</v>
          </cell>
          <cell r="AB49">
            <v>23</v>
          </cell>
          <cell r="AC49">
            <v>21.4</v>
          </cell>
          <cell r="AD49">
            <v>65</v>
          </cell>
          <cell r="AE49" t="str">
            <v>увел</v>
          </cell>
          <cell r="AF49">
            <v>0</v>
          </cell>
        </row>
        <row r="50">
          <cell r="A50" t="str">
            <v>6787 СЕРВЕЛАТ КРЕМЛЕВСКИЙ в/к в/у 0,33кг 8шт.  ОСТАНКИНО</v>
          </cell>
          <cell r="B50" t="str">
            <v>шт</v>
          </cell>
          <cell r="C50">
            <v>50</v>
          </cell>
          <cell r="D50">
            <v>322</v>
          </cell>
          <cell r="E50">
            <v>154</v>
          </cell>
          <cell r="F50">
            <v>216</v>
          </cell>
          <cell r="G50">
            <v>0.33</v>
          </cell>
          <cell r="H50" t="e">
            <v>#N/A</v>
          </cell>
          <cell r="I50">
            <v>172</v>
          </cell>
          <cell r="J50">
            <v>-18</v>
          </cell>
          <cell r="K50">
            <v>40</v>
          </cell>
          <cell r="L50">
            <v>80</v>
          </cell>
          <cell r="M50">
            <v>0</v>
          </cell>
          <cell r="S50">
            <v>30.8</v>
          </cell>
          <cell r="T50">
            <v>40</v>
          </cell>
          <cell r="U50">
            <v>12.207792207792208</v>
          </cell>
          <cell r="V50">
            <v>7.0129870129870131</v>
          </cell>
          <cell r="X50">
            <v>40</v>
          </cell>
          <cell r="Z50">
            <v>27</v>
          </cell>
          <cell r="AA50">
            <v>31.4</v>
          </cell>
          <cell r="AB50">
            <v>25.6</v>
          </cell>
          <cell r="AC50">
            <v>38.799999999999997</v>
          </cell>
          <cell r="AD50">
            <v>28</v>
          </cell>
          <cell r="AE50">
            <v>0</v>
          </cell>
          <cell r="AF50">
            <v>0</v>
          </cell>
        </row>
        <row r="51">
          <cell r="A51" t="str">
            <v>6793 БАЛЫКОВАЯ в/к в/у 0,33кг 8шт.  ОСТАНКИНО</v>
          </cell>
          <cell r="B51" t="str">
            <v>шт</v>
          </cell>
          <cell r="C51">
            <v>199</v>
          </cell>
          <cell r="D51">
            <v>363</v>
          </cell>
          <cell r="E51">
            <v>301</v>
          </cell>
          <cell r="F51">
            <v>258</v>
          </cell>
          <cell r="G51">
            <v>0.33</v>
          </cell>
          <cell r="H51" t="e">
            <v>#N/A</v>
          </cell>
          <cell r="I51">
            <v>300</v>
          </cell>
          <cell r="J51">
            <v>1</v>
          </cell>
          <cell r="K51">
            <v>40</v>
          </cell>
          <cell r="L51">
            <v>120</v>
          </cell>
          <cell r="M51">
            <v>120</v>
          </cell>
          <cell r="R51">
            <v>80</v>
          </cell>
          <cell r="S51">
            <v>60.2</v>
          </cell>
          <cell r="T51">
            <v>80</v>
          </cell>
          <cell r="U51">
            <v>11.59468438538206</v>
          </cell>
          <cell r="V51">
            <v>4.2857142857142856</v>
          </cell>
          <cell r="W51">
            <v>80</v>
          </cell>
          <cell r="X51">
            <v>80</v>
          </cell>
          <cell r="Z51">
            <v>51.2</v>
          </cell>
          <cell r="AA51">
            <v>51.2</v>
          </cell>
          <cell r="AB51">
            <v>49.8</v>
          </cell>
          <cell r="AC51">
            <v>60.2</v>
          </cell>
          <cell r="AD51">
            <v>66</v>
          </cell>
          <cell r="AE51">
            <v>0</v>
          </cell>
          <cell r="AF51">
            <v>0</v>
          </cell>
        </row>
        <row r="52">
          <cell r="A52" t="str">
            <v>6797 С ИНДЕЙКОЙ Папа может вар п/о 0,4кг 8шт.  ОСТАНКИНО</v>
          </cell>
          <cell r="B52" t="str">
            <v>шт</v>
          </cell>
          <cell r="D52">
            <v>496</v>
          </cell>
          <cell r="E52">
            <v>0</v>
          </cell>
          <cell r="F52">
            <v>496</v>
          </cell>
          <cell r="G52">
            <v>0</v>
          </cell>
          <cell r="H52" t="e">
            <v>#N/A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S52">
            <v>0</v>
          </cell>
          <cell r="U52" t="e">
            <v>#DIV/0!</v>
          </cell>
          <cell r="V52" t="e">
            <v>#DIV/0!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 t="str">
            <v>увел</v>
          </cell>
          <cell r="AF52" t="e">
            <v>#N/A</v>
          </cell>
        </row>
        <row r="53">
          <cell r="A53" t="str">
            <v>6829 МОЛОЧНЫЕ КЛАССИЧЕСКИЕ сос п/о мгс 2*4_С  ОСТАНКИНО</v>
          </cell>
          <cell r="B53" t="str">
            <v>кг</v>
          </cell>
          <cell r="C53">
            <v>1000.931</v>
          </cell>
          <cell r="D53">
            <v>125.98</v>
          </cell>
          <cell r="E53">
            <v>577</v>
          </cell>
          <cell r="F53">
            <v>581</v>
          </cell>
          <cell r="G53">
            <v>1</v>
          </cell>
          <cell r="H53">
            <v>45</v>
          </cell>
          <cell r="I53">
            <v>579.29999999999995</v>
          </cell>
          <cell r="J53">
            <v>-2.2999999999999545</v>
          </cell>
          <cell r="K53">
            <v>0</v>
          </cell>
          <cell r="L53">
            <v>50</v>
          </cell>
          <cell r="M53">
            <v>250</v>
          </cell>
          <cell r="R53">
            <v>100</v>
          </cell>
          <cell r="S53">
            <v>115.4</v>
          </cell>
          <cell r="T53">
            <v>100</v>
          </cell>
          <cell r="U53">
            <v>9.3674176776429796</v>
          </cell>
          <cell r="V53">
            <v>5.0346620450606583</v>
          </cell>
          <cell r="W53">
            <v>100</v>
          </cell>
          <cell r="X53">
            <v>100</v>
          </cell>
          <cell r="Z53">
            <v>174.4</v>
          </cell>
          <cell r="AA53">
            <v>150</v>
          </cell>
          <cell r="AB53">
            <v>164.2</v>
          </cell>
          <cell r="AC53">
            <v>109</v>
          </cell>
          <cell r="AD53">
            <v>154.90299999999999</v>
          </cell>
          <cell r="AE53" t="str">
            <v>бон</v>
          </cell>
          <cell r="AF53">
            <v>0</v>
          </cell>
        </row>
        <row r="54">
          <cell r="A54" t="str">
            <v>6832 АССОРТИ СЫРОКОПЧЕНЫХ КОЛБАС Коровино в/у  ОСТАНКИНО</v>
          </cell>
          <cell r="B54" t="str">
            <v>кг</v>
          </cell>
          <cell r="C54">
            <v>2.008</v>
          </cell>
          <cell r="D54">
            <v>17.456</v>
          </cell>
          <cell r="E54">
            <v>9.2360000000000007</v>
          </cell>
          <cell r="F54">
            <v>9.2279999999999998</v>
          </cell>
          <cell r="G54">
            <v>1</v>
          </cell>
          <cell r="H54" t="e">
            <v>#N/A</v>
          </cell>
          <cell r="I54">
            <v>10.6</v>
          </cell>
          <cell r="J54">
            <v>-1.363999999999999</v>
          </cell>
          <cell r="K54">
            <v>10</v>
          </cell>
          <cell r="L54">
            <v>0</v>
          </cell>
          <cell r="M54">
            <v>0</v>
          </cell>
          <cell r="R54">
            <v>10</v>
          </cell>
          <cell r="S54">
            <v>1.8472000000000002</v>
          </cell>
          <cell r="U54">
            <v>15.822867042009527</v>
          </cell>
          <cell r="V54">
            <v>4.9956691208315283</v>
          </cell>
          <cell r="W54">
            <v>10</v>
          </cell>
          <cell r="Z54">
            <v>2.8207999999999998</v>
          </cell>
          <cell r="AA54">
            <v>1.4616</v>
          </cell>
          <cell r="AB54">
            <v>0.8972</v>
          </cell>
          <cell r="AC54">
            <v>2.6408</v>
          </cell>
          <cell r="AD54">
            <v>8.6240000000000006</v>
          </cell>
          <cell r="AE54" t="str">
            <v>Вит</v>
          </cell>
          <cell r="AF54" t="e">
            <v>#N/A</v>
          </cell>
        </row>
        <row r="55">
          <cell r="A55" t="str">
            <v>6837 ФИЛЕЙНЫЕ Папа Может сос ц/о мгс 0.4кг  ОСТАНКИНО</v>
          </cell>
          <cell r="B55" t="str">
            <v>шт</v>
          </cell>
          <cell r="C55">
            <v>987</v>
          </cell>
          <cell r="D55">
            <v>1110</v>
          </cell>
          <cell r="E55">
            <v>1040</v>
          </cell>
          <cell r="F55">
            <v>1028</v>
          </cell>
          <cell r="G55">
            <v>0.4</v>
          </cell>
          <cell r="H55" t="e">
            <v>#N/A</v>
          </cell>
          <cell r="I55">
            <v>1037</v>
          </cell>
          <cell r="J55">
            <v>3</v>
          </cell>
          <cell r="K55">
            <v>120</v>
          </cell>
          <cell r="L55">
            <v>200</v>
          </cell>
          <cell r="M55">
            <v>360</v>
          </cell>
          <cell r="S55">
            <v>208</v>
          </cell>
          <cell r="T55">
            <v>120</v>
          </cell>
          <cell r="U55">
            <v>8.7884615384615383</v>
          </cell>
          <cell r="V55">
            <v>4.9423076923076925</v>
          </cell>
          <cell r="X55">
            <v>120</v>
          </cell>
          <cell r="Z55">
            <v>224.6</v>
          </cell>
          <cell r="AA55">
            <v>187.2</v>
          </cell>
          <cell r="AB55">
            <v>204.6</v>
          </cell>
          <cell r="AC55">
            <v>220.6</v>
          </cell>
          <cell r="AD55">
            <v>208</v>
          </cell>
          <cell r="AE55">
            <v>0</v>
          </cell>
          <cell r="AF55">
            <v>0</v>
          </cell>
        </row>
        <row r="56">
          <cell r="A56" t="str">
            <v>6842 ДЫМОВИЦА ИЗ ОКОРОКА к/в мл/к в/у 0,3кг  ОСТАНКИНО</v>
          </cell>
          <cell r="B56" t="str">
            <v>шт</v>
          </cell>
          <cell r="C56">
            <v>142</v>
          </cell>
          <cell r="D56">
            <v>314</v>
          </cell>
          <cell r="E56">
            <v>193</v>
          </cell>
          <cell r="F56">
            <v>261</v>
          </cell>
          <cell r="G56">
            <v>0</v>
          </cell>
          <cell r="H56" t="e">
            <v>#N/A</v>
          </cell>
          <cell r="I56">
            <v>182</v>
          </cell>
          <cell r="J56">
            <v>11</v>
          </cell>
          <cell r="K56">
            <v>40</v>
          </cell>
          <cell r="L56">
            <v>0</v>
          </cell>
          <cell r="M56">
            <v>40</v>
          </cell>
          <cell r="S56">
            <v>38.6</v>
          </cell>
          <cell r="U56">
            <v>8.8341968911917093</v>
          </cell>
          <cell r="V56">
            <v>6.7616580310880829</v>
          </cell>
          <cell r="Z56">
            <v>35.6</v>
          </cell>
          <cell r="AA56">
            <v>37.4</v>
          </cell>
          <cell r="AB56">
            <v>38.799999999999997</v>
          </cell>
          <cell r="AC56">
            <v>48.4</v>
          </cell>
          <cell r="AD56">
            <v>27</v>
          </cell>
          <cell r="AE56">
            <v>0</v>
          </cell>
          <cell r="AF56">
            <v>0</v>
          </cell>
        </row>
        <row r="57">
          <cell r="A57" t="str">
            <v>6861 ДОМАШНИЙ РЕЦЕПТ Коровино вар п/о  ОСТАНКИНО</v>
          </cell>
          <cell r="B57" t="str">
            <v>кг</v>
          </cell>
          <cell r="C57">
            <v>1031.607</v>
          </cell>
          <cell r="D57">
            <v>753.077</v>
          </cell>
          <cell r="E57">
            <v>1078.6010000000001</v>
          </cell>
          <cell r="F57">
            <v>700.149</v>
          </cell>
          <cell r="G57">
            <v>1</v>
          </cell>
          <cell r="H57">
            <v>60</v>
          </cell>
          <cell r="I57">
            <v>1029.2550000000001</v>
          </cell>
          <cell r="J57">
            <v>49.346000000000004</v>
          </cell>
          <cell r="K57">
            <v>100</v>
          </cell>
          <cell r="L57">
            <v>800</v>
          </cell>
          <cell r="M57">
            <v>600</v>
          </cell>
          <cell r="R57">
            <v>200</v>
          </cell>
          <cell r="S57">
            <v>215.72020000000003</v>
          </cell>
          <cell r="T57">
            <v>500</v>
          </cell>
          <cell r="U57">
            <v>13.444030739819448</v>
          </cell>
          <cell r="V57">
            <v>3.2456348547794778</v>
          </cell>
          <cell r="W57">
            <v>200</v>
          </cell>
          <cell r="X57">
            <v>500</v>
          </cell>
          <cell r="Z57">
            <v>181.8006</v>
          </cell>
          <cell r="AA57">
            <v>169.2912</v>
          </cell>
          <cell r="AB57">
            <v>185.39420000000001</v>
          </cell>
          <cell r="AC57">
            <v>174.7928</v>
          </cell>
          <cell r="AD57">
            <v>258.471</v>
          </cell>
          <cell r="AE57">
            <v>0</v>
          </cell>
          <cell r="AF57">
            <v>0</v>
          </cell>
        </row>
        <row r="58">
          <cell r="A58" t="str">
            <v>6866 ВЕТЧ.НЕЖНАЯ Коровино п/о_Маяк  ОСТАНКИНО</v>
          </cell>
          <cell r="B58" t="str">
            <v>кг</v>
          </cell>
          <cell r="C58">
            <v>300.84500000000003</v>
          </cell>
          <cell r="D58">
            <v>174.89</v>
          </cell>
          <cell r="E58">
            <v>152.345</v>
          </cell>
          <cell r="F58">
            <v>321.935</v>
          </cell>
          <cell r="G58">
            <v>1</v>
          </cell>
          <cell r="H58">
            <v>60</v>
          </cell>
          <cell r="I58">
            <v>152.30000000000001</v>
          </cell>
          <cell r="J58">
            <v>4.4999999999987494E-2</v>
          </cell>
          <cell r="K58">
            <v>50</v>
          </cell>
          <cell r="L58">
            <v>50</v>
          </cell>
          <cell r="M58">
            <v>0</v>
          </cell>
          <cell r="R58">
            <v>30</v>
          </cell>
          <cell r="S58">
            <v>30.469000000000001</v>
          </cell>
          <cell r="T58">
            <v>30</v>
          </cell>
          <cell r="U58">
            <v>15.817224063802552</v>
          </cell>
          <cell r="V58">
            <v>10.565985099609438</v>
          </cell>
          <cell r="W58">
            <v>30</v>
          </cell>
          <cell r="X58">
            <v>30</v>
          </cell>
          <cell r="Z58">
            <v>26.526</v>
          </cell>
          <cell r="AA58">
            <v>54.171000000000006</v>
          </cell>
          <cell r="AB58">
            <v>42.087400000000002</v>
          </cell>
          <cell r="AC58">
            <v>40.530999999999999</v>
          </cell>
          <cell r="AD58">
            <v>31.138999999999999</v>
          </cell>
          <cell r="AE58" t="str">
            <v>Вит</v>
          </cell>
          <cell r="AF58">
            <v>0</v>
          </cell>
        </row>
        <row r="59">
          <cell r="A59" t="str">
            <v>7001 КЛАССИЧЕСКИЕ Папа может сар б/о мгс 1*3  ОСТАНКИНО</v>
          </cell>
          <cell r="B59" t="str">
            <v>кг</v>
          </cell>
          <cell r="C59">
            <v>183.07</v>
          </cell>
          <cell r="D59">
            <v>113.699</v>
          </cell>
          <cell r="E59">
            <v>174.06299999999999</v>
          </cell>
          <cell r="F59">
            <v>118.501</v>
          </cell>
          <cell r="G59">
            <v>1</v>
          </cell>
          <cell r="H59" t="e">
            <v>#N/A</v>
          </cell>
          <cell r="I59">
            <v>175.3</v>
          </cell>
          <cell r="J59">
            <v>-1.2370000000000232</v>
          </cell>
          <cell r="K59">
            <v>20</v>
          </cell>
          <cell r="L59">
            <v>90</v>
          </cell>
          <cell r="M59">
            <v>40</v>
          </cell>
          <cell r="R59">
            <v>20</v>
          </cell>
          <cell r="S59">
            <v>34.812599999999996</v>
          </cell>
          <cell r="T59">
            <v>20</v>
          </cell>
          <cell r="U59">
            <v>8.8617626951161359</v>
          </cell>
          <cell r="V59">
            <v>3.4039686780073888</v>
          </cell>
          <cell r="W59">
            <v>20</v>
          </cell>
          <cell r="X59">
            <v>20</v>
          </cell>
          <cell r="Z59">
            <v>36.617599999999996</v>
          </cell>
          <cell r="AA59">
            <v>33.552</v>
          </cell>
          <cell r="AB59">
            <v>33.7622</v>
          </cell>
          <cell r="AC59">
            <v>31.068999999999999</v>
          </cell>
          <cell r="AD59">
            <v>30.67</v>
          </cell>
          <cell r="AE59">
            <v>0</v>
          </cell>
          <cell r="AF59">
            <v>0</v>
          </cell>
        </row>
        <row r="60">
          <cell r="A60" t="str">
            <v>7040 С ИНДЕЙКОЙ ПМ сос ц/о в/у 1/270 8шт.  ОСТАНКИНО</v>
          </cell>
          <cell r="B60" t="str">
            <v>шт</v>
          </cell>
          <cell r="C60">
            <v>78</v>
          </cell>
          <cell r="D60">
            <v>321</v>
          </cell>
          <cell r="E60">
            <v>218</v>
          </cell>
          <cell r="F60">
            <v>179</v>
          </cell>
          <cell r="G60">
            <v>0.27</v>
          </cell>
          <cell r="H60" t="e">
            <v>#N/A</v>
          </cell>
          <cell r="I60">
            <v>226</v>
          </cell>
          <cell r="J60">
            <v>-8</v>
          </cell>
          <cell r="K60">
            <v>40</v>
          </cell>
          <cell r="L60">
            <v>40</v>
          </cell>
          <cell r="M60">
            <v>0</v>
          </cell>
          <cell r="R60">
            <v>80</v>
          </cell>
          <cell r="S60">
            <v>43.6</v>
          </cell>
          <cell r="T60">
            <v>40</v>
          </cell>
          <cell r="U60">
            <v>8.6926605504587151</v>
          </cell>
          <cell r="V60">
            <v>4.1055045871559628</v>
          </cell>
          <cell r="W60">
            <v>80</v>
          </cell>
          <cell r="X60">
            <v>40</v>
          </cell>
          <cell r="Z60">
            <v>27.8</v>
          </cell>
          <cell r="AA60">
            <v>35.799999999999997</v>
          </cell>
          <cell r="AB60">
            <v>26.8</v>
          </cell>
          <cell r="AC60">
            <v>42</v>
          </cell>
          <cell r="AD60">
            <v>57</v>
          </cell>
          <cell r="AE60">
            <v>0</v>
          </cell>
          <cell r="AF60" t="str">
            <v>увел</v>
          </cell>
        </row>
        <row r="61">
          <cell r="A61" t="str">
            <v>7059 ШПИКАЧКИ СОЧНЫЕ С БЕК. п/о мгс 0.3кг_60с  ОСТАНКИНО</v>
          </cell>
          <cell r="B61" t="str">
            <v>шт</v>
          </cell>
          <cell r="C61">
            <v>220</v>
          </cell>
          <cell r="D61">
            <v>370</v>
          </cell>
          <cell r="E61">
            <v>338</v>
          </cell>
          <cell r="F61">
            <v>244</v>
          </cell>
          <cell r="G61">
            <v>0.3</v>
          </cell>
          <cell r="H61" t="e">
            <v>#N/A</v>
          </cell>
          <cell r="I61">
            <v>332</v>
          </cell>
          <cell r="J61">
            <v>6</v>
          </cell>
          <cell r="K61">
            <v>40</v>
          </cell>
          <cell r="L61">
            <v>40</v>
          </cell>
          <cell r="M61">
            <v>240</v>
          </cell>
          <cell r="S61">
            <v>67.599999999999994</v>
          </cell>
          <cell r="T61">
            <v>40</v>
          </cell>
          <cell r="U61">
            <v>8.9349112426035511</v>
          </cell>
          <cell r="V61">
            <v>3.609467455621302</v>
          </cell>
          <cell r="X61">
            <v>40</v>
          </cell>
          <cell r="Z61">
            <v>52</v>
          </cell>
          <cell r="AA61">
            <v>65.2</v>
          </cell>
          <cell r="AB61">
            <v>53.2</v>
          </cell>
          <cell r="AC61">
            <v>62</v>
          </cell>
          <cell r="AD61">
            <v>64</v>
          </cell>
          <cell r="AE61">
            <v>0</v>
          </cell>
          <cell r="AF61">
            <v>0</v>
          </cell>
        </row>
        <row r="62">
          <cell r="A62" t="str">
            <v>7066 СОЧНЫЕ ПМ сос п/о мгс 0.41кг 10шт_50с  ОСТАНКИНО</v>
          </cell>
          <cell r="B62" t="str">
            <v>шт</v>
          </cell>
          <cell r="C62">
            <v>4344</v>
          </cell>
          <cell r="D62">
            <v>5833</v>
          </cell>
          <cell r="E62">
            <v>5644</v>
          </cell>
          <cell r="F62">
            <v>4886</v>
          </cell>
          <cell r="G62">
            <v>0.41</v>
          </cell>
          <cell r="H62" t="e">
            <v>#N/A</v>
          </cell>
          <cell r="I62">
            <v>5551</v>
          </cell>
          <cell r="J62">
            <v>93</v>
          </cell>
          <cell r="K62">
            <v>300</v>
          </cell>
          <cell r="L62">
            <v>2100</v>
          </cell>
          <cell r="M62">
            <v>2000</v>
          </cell>
          <cell r="R62">
            <v>1200</v>
          </cell>
          <cell r="S62">
            <v>1128.8</v>
          </cell>
          <cell r="T62">
            <v>500</v>
          </cell>
          <cell r="U62">
            <v>9.7324592487597457</v>
          </cell>
          <cell r="V62">
            <v>4.3284904323175057</v>
          </cell>
          <cell r="W62">
            <v>1200</v>
          </cell>
          <cell r="X62">
            <v>500</v>
          </cell>
          <cell r="Z62">
            <v>1102</v>
          </cell>
          <cell r="AA62">
            <v>1120.4000000000001</v>
          </cell>
          <cell r="AB62">
            <v>1091.4000000000001</v>
          </cell>
          <cell r="AC62">
            <v>1086</v>
          </cell>
          <cell r="AD62">
            <v>1270</v>
          </cell>
          <cell r="AE62">
            <v>0</v>
          </cell>
          <cell r="AF62">
            <v>0</v>
          </cell>
        </row>
        <row r="63">
          <cell r="A63" t="str">
            <v>7070 СОЧНЫЕ ПМ сос п/о мгс 1.5*4_А_50с  ОСТАНКИНО</v>
          </cell>
          <cell r="B63" t="str">
            <v>кг</v>
          </cell>
          <cell r="C63">
            <v>1996.2329999999999</v>
          </cell>
          <cell r="D63">
            <v>3138.77</v>
          </cell>
          <cell r="E63">
            <v>3001</v>
          </cell>
          <cell r="F63">
            <v>2392</v>
          </cell>
          <cell r="G63">
            <v>1</v>
          </cell>
          <cell r="H63" t="e">
            <v>#N/A</v>
          </cell>
          <cell r="I63">
            <v>2686.8</v>
          </cell>
          <cell r="J63">
            <v>314.19999999999982</v>
          </cell>
          <cell r="K63">
            <v>100</v>
          </cell>
          <cell r="L63">
            <v>1500</v>
          </cell>
          <cell r="M63">
            <v>1150</v>
          </cell>
          <cell r="R63">
            <v>500</v>
          </cell>
          <cell r="S63">
            <v>600.20000000000005</v>
          </cell>
          <cell r="T63">
            <v>200</v>
          </cell>
          <cell r="U63">
            <v>9.7334221926024647</v>
          </cell>
          <cell r="V63">
            <v>3.9853382205931354</v>
          </cell>
          <cell r="W63">
            <v>500</v>
          </cell>
          <cell r="X63">
            <v>200</v>
          </cell>
          <cell r="Z63">
            <v>626.20000000000005</v>
          </cell>
          <cell r="AA63">
            <v>645.20000000000005</v>
          </cell>
          <cell r="AB63">
            <v>621.6</v>
          </cell>
          <cell r="AC63">
            <v>550.4</v>
          </cell>
          <cell r="AD63">
            <v>435.95699999999999</v>
          </cell>
          <cell r="AE63">
            <v>0</v>
          </cell>
          <cell r="AF63">
            <v>0</v>
          </cell>
        </row>
        <row r="64">
          <cell r="A64" t="str">
            <v>7073 МОЛОЧ.ПРЕМИУМ ПМ сос п/о в/у 1/350_50с  ОСТАНКИНО</v>
          </cell>
          <cell r="B64" t="str">
            <v>шт</v>
          </cell>
          <cell r="C64">
            <v>1765</v>
          </cell>
          <cell r="D64">
            <v>617</v>
          </cell>
          <cell r="E64">
            <v>1496</v>
          </cell>
          <cell r="F64">
            <v>852</v>
          </cell>
          <cell r="G64">
            <v>0.35</v>
          </cell>
          <cell r="H64" t="e">
            <v>#N/A</v>
          </cell>
          <cell r="I64">
            <v>1509</v>
          </cell>
          <cell r="J64">
            <v>-13</v>
          </cell>
          <cell r="K64">
            <v>120</v>
          </cell>
          <cell r="L64">
            <v>840</v>
          </cell>
          <cell r="M64">
            <v>480</v>
          </cell>
          <cell r="R64">
            <v>240</v>
          </cell>
          <cell r="S64">
            <v>299.2</v>
          </cell>
          <cell r="T64">
            <v>240</v>
          </cell>
          <cell r="U64">
            <v>9.264705882352942</v>
          </cell>
          <cell r="V64">
            <v>2.8475935828877006</v>
          </cell>
          <cell r="W64">
            <v>240</v>
          </cell>
          <cell r="X64">
            <v>240</v>
          </cell>
          <cell r="Z64">
            <v>301.60000000000002</v>
          </cell>
          <cell r="AA64">
            <v>278</v>
          </cell>
          <cell r="AB64">
            <v>293.39999999999998</v>
          </cell>
          <cell r="AC64">
            <v>250.2</v>
          </cell>
          <cell r="AD64">
            <v>281</v>
          </cell>
          <cell r="AE64">
            <v>0</v>
          </cell>
          <cell r="AF64">
            <v>0</v>
          </cell>
        </row>
        <row r="65">
          <cell r="A65" t="str">
            <v>7075 МОЛОЧ.ПРЕМИУМ ПМ сос п/о мгс 1.5*4_О_50с  ОСТАНКИНО</v>
          </cell>
          <cell r="B65" t="str">
            <v>кг</v>
          </cell>
          <cell r="C65">
            <v>58.292000000000002</v>
          </cell>
          <cell r="D65">
            <v>82.012</v>
          </cell>
          <cell r="E65">
            <v>71.143000000000001</v>
          </cell>
          <cell r="F65">
            <v>67.617999999999995</v>
          </cell>
          <cell r="G65">
            <v>1</v>
          </cell>
          <cell r="H65" t="e">
            <v>#N/A</v>
          </cell>
          <cell r="I65">
            <v>69.900000000000006</v>
          </cell>
          <cell r="J65">
            <v>1.242999999999995</v>
          </cell>
          <cell r="K65">
            <v>0</v>
          </cell>
          <cell r="L65">
            <v>0</v>
          </cell>
          <cell r="M65">
            <v>20</v>
          </cell>
          <cell r="R65">
            <v>30</v>
          </cell>
          <cell r="S65">
            <v>14.2286</v>
          </cell>
          <cell r="U65">
            <v>8.2663087021913615</v>
          </cell>
          <cell r="V65">
            <v>4.7522595336153941</v>
          </cell>
          <cell r="W65">
            <v>30</v>
          </cell>
          <cell r="Z65">
            <v>13.4072</v>
          </cell>
          <cell r="AA65">
            <v>15.341999999999999</v>
          </cell>
          <cell r="AB65">
            <v>13.494800000000001</v>
          </cell>
          <cell r="AC65">
            <v>14.571000000000002</v>
          </cell>
          <cell r="AD65">
            <v>27.658000000000001</v>
          </cell>
          <cell r="AE65">
            <v>0</v>
          </cell>
          <cell r="AF65">
            <v>0</v>
          </cell>
        </row>
        <row r="66">
          <cell r="A66" t="str">
            <v>7077 МЯСНЫЕ С ГОВЯД.ПМ сос п/о мгс 0.4кг_50с  ОСТАНКИНО</v>
          </cell>
          <cell r="B66" t="str">
            <v>шт</v>
          </cell>
          <cell r="C66">
            <v>1039</v>
          </cell>
          <cell r="D66">
            <v>34</v>
          </cell>
          <cell r="E66">
            <v>1254</v>
          </cell>
          <cell r="F66">
            <v>-211</v>
          </cell>
          <cell r="G66">
            <v>0</v>
          </cell>
          <cell r="H66" t="e">
            <v>#N/A</v>
          </cell>
          <cell r="I66">
            <v>1271</v>
          </cell>
          <cell r="J66">
            <v>-17</v>
          </cell>
          <cell r="K66">
            <v>0</v>
          </cell>
          <cell r="L66">
            <v>0</v>
          </cell>
          <cell r="M66">
            <v>0</v>
          </cell>
          <cell r="S66">
            <v>250.8</v>
          </cell>
          <cell r="U66">
            <v>-0.84130781499202545</v>
          </cell>
          <cell r="V66">
            <v>-0.84130781499202545</v>
          </cell>
          <cell r="Z66">
            <v>342</v>
          </cell>
          <cell r="AA66">
            <v>330</v>
          </cell>
          <cell r="AB66">
            <v>347.4</v>
          </cell>
          <cell r="AC66">
            <v>361.2</v>
          </cell>
          <cell r="AD66">
            <v>98</v>
          </cell>
          <cell r="AE66">
            <v>0</v>
          </cell>
          <cell r="AF66">
            <v>0</v>
          </cell>
        </row>
        <row r="67">
          <cell r="A67" t="str">
            <v>7080 СЛИВОЧНЫЕ ПМ сос п/о мгс 0.41кг 10шт. 50с  ОСТАНКИНО</v>
          </cell>
          <cell r="B67" t="str">
            <v>шт</v>
          </cell>
          <cell r="C67">
            <v>2919</v>
          </cell>
          <cell r="D67">
            <v>2535</v>
          </cell>
          <cell r="E67">
            <v>2909</v>
          </cell>
          <cell r="F67">
            <v>2499</v>
          </cell>
          <cell r="G67">
            <v>0.41</v>
          </cell>
          <cell r="H67" t="e">
            <v>#N/A</v>
          </cell>
          <cell r="I67">
            <v>2955</v>
          </cell>
          <cell r="J67">
            <v>-46</v>
          </cell>
          <cell r="K67">
            <v>150</v>
          </cell>
          <cell r="L67">
            <v>1200</v>
          </cell>
          <cell r="M67">
            <v>800</v>
          </cell>
          <cell r="R67">
            <v>500</v>
          </cell>
          <cell r="S67">
            <v>581.79999999999995</v>
          </cell>
          <cell r="T67">
            <v>400</v>
          </cell>
          <cell r="U67">
            <v>9.5376418013062914</v>
          </cell>
          <cell r="V67">
            <v>4.2952904778274323</v>
          </cell>
          <cell r="W67">
            <v>500</v>
          </cell>
          <cell r="X67">
            <v>400</v>
          </cell>
          <cell r="Z67">
            <v>660.2</v>
          </cell>
          <cell r="AA67">
            <v>659.8</v>
          </cell>
          <cell r="AB67">
            <v>565.6</v>
          </cell>
          <cell r="AC67">
            <v>559.20000000000005</v>
          </cell>
          <cell r="AD67">
            <v>601</v>
          </cell>
          <cell r="AE67">
            <v>0</v>
          </cell>
          <cell r="AF67">
            <v>0</v>
          </cell>
        </row>
        <row r="68">
          <cell r="A68" t="str">
            <v>7082 СЛИВОЧНЫЕ ПМ сос п/о мгс 1.5*4_50с  ОСТАНКИНО</v>
          </cell>
          <cell r="B68" t="str">
            <v>кг</v>
          </cell>
          <cell r="C68">
            <v>157.149</v>
          </cell>
          <cell r="D68">
            <v>129.137</v>
          </cell>
          <cell r="E68">
            <v>127.324</v>
          </cell>
          <cell r="F68">
            <v>155.876</v>
          </cell>
          <cell r="G68">
            <v>1</v>
          </cell>
          <cell r="H68" t="e">
            <v>#N/A</v>
          </cell>
          <cell r="I68">
            <v>122.8</v>
          </cell>
          <cell r="J68">
            <v>4.5240000000000009</v>
          </cell>
          <cell r="K68">
            <v>0</v>
          </cell>
          <cell r="L68">
            <v>30</v>
          </cell>
          <cell r="M68">
            <v>0</v>
          </cell>
          <cell r="R68">
            <v>30</v>
          </cell>
          <cell r="S68">
            <v>25.4648</v>
          </cell>
          <cell r="T68">
            <v>20</v>
          </cell>
          <cell r="U68">
            <v>9.2628255474223238</v>
          </cell>
          <cell r="V68">
            <v>6.1212340171530899</v>
          </cell>
          <cell r="W68">
            <v>30</v>
          </cell>
          <cell r="X68">
            <v>20</v>
          </cell>
          <cell r="Z68">
            <v>28.320399999999999</v>
          </cell>
          <cell r="AA68">
            <v>25.4374</v>
          </cell>
          <cell r="AB68">
            <v>29.430599999999998</v>
          </cell>
          <cell r="AC68">
            <v>29.844799999999999</v>
          </cell>
          <cell r="AD68">
            <v>32.524999999999999</v>
          </cell>
          <cell r="AE68">
            <v>0</v>
          </cell>
          <cell r="AF68">
            <v>0</v>
          </cell>
        </row>
        <row r="69">
          <cell r="A69" t="str">
            <v>7087 ШПИК С ЧЕСНОК.И ПЕРЦЕМ к/в в/у 0.3кг_50с  ОСТАНКИНО</v>
          </cell>
          <cell r="B69" t="str">
            <v>шт</v>
          </cell>
          <cell r="C69">
            <v>88</v>
          </cell>
          <cell r="D69">
            <v>558</v>
          </cell>
          <cell r="E69">
            <v>239</v>
          </cell>
          <cell r="F69">
            <v>401</v>
          </cell>
          <cell r="G69">
            <v>0.3</v>
          </cell>
          <cell r="H69">
            <v>50</v>
          </cell>
          <cell r="I69">
            <v>231</v>
          </cell>
          <cell r="J69">
            <v>8</v>
          </cell>
          <cell r="K69">
            <v>40</v>
          </cell>
          <cell r="L69">
            <v>40</v>
          </cell>
          <cell r="M69">
            <v>40</v>
          </cell>
          <cell r="S69">
            <v>47.8</v>
          </cell>
          <cell r="T69">
            <v>40</v>
          </cell>
          <cell r="U69">
            <v>11.736401673640168</v>
          </cell>
          <cell r="V69">
            <v>8.3891213389121351</v>
          </cell>
          <cell r="X69">
            <v>40</v>
          </cell>
          <cell r="Z69">
            <v>59.2</v>
          </cell>
          <cell r="AA69">
            <v>49</v>
          </cell>
          <cell r="AB69">
            <v>43.4</v>
          </cell>
          <cell r="AC69">
            <v>67.8</v>
          </cell>
          <cell r="AD69">
            <v>36</v>
          </cell>
          <cell r="AE69">
            <v>0</v>
          </cell>
          <cell r="AF69">
            <v>0</v>
          </cell>
        </row>
        <row r="70">
          <cell r="A70" t="str">
            <v>7090 СВИНИНА ПО-ДОМ. к/в мл/к в/у 0.3кг_50с  ОСТАНКИНО</v>
          </cell>
          <cell r="B70" t="str">
            <v>шт</v>
          </cell>
          <cell r="C70">
            <v>367</v>
          </cell>
          <cell r="D70">
            <v>747</v>
          </cell>
          <cell r="E70">
            <v>660</v>
          </cell>
          <cell r="F70">
            <v>425</v>
          </cell>
          <cell r="G70">
            <v>0.3</v>
          </cell>
          <cell r="H70" t="e">
            <v>#N/A</v>
          </cell>
          <cell r="I70">
            <v>668</v>
          </cell>
          <cell r="J70">
            <v>-8</v>
          </cell>
          <cell r="K70">
            <v>0</v>
          </cell>
          <cell r="L70">
            <v>360</v>
          </cell>
          <cell r="M70">
            <v>240</v>
          </cell>
          <cell r="R70">
            <v>360</v>
          </cell>
          <cell r="S70">
            <v>132</v>
          </cell>
          <cell r="T70">
            <v>240</v>
          </cell>
          <cell r="U70">
            <v>12.310606060606061</v>
          </cell>
          <cell r="V70">
            <v>3.2196969696969697</v>
          </cell>
          <cell r="W70">
            <v>360</v>
          </cell>
          <cell r="X70">
            <v>240</v>
          </cell>
          <cell r="Z70">
            <v>99.2</v>
          </cell>
          <cell r="AA70">
            <v>98.2</v>
          </cell>
          <cell r="AB70">
            <v>92.6</v>
          </cell>
          <cell r="AC70">
            <v>111.6</v>
          </cell>
          <cell r="AD70">
            <v>163</v>
          </cell>
          <cell r="AE70">
            <v>0</v>
          </cell>
          <cell r="AF70">
            <v>0</v>
          </cell>
        </row>
        <row r="71">
          <cell r="A71" t="str">
            <v>7092 БЕКОН Папа может с/к с/н в/у 1/140_50с  ОСТАНКИНО</v>
          </cell>
          <cell r="B71" t="str">
            <v>шт</v>
          </cell>
          <cell r="C71">
            <v>968</v>
          </cell>
          <cell r="D71">
            <v>875</v>
          </cell>
          <cell r="E71">
            <v>852</v>
          </cell>
          <cell r="F71">
            <v>964</v>
          </cell>
          <cell r="G71">
            <v>0.14000000000000001</v>
          </cell>
          <cell r="H71" t="e">
            <v>#N/A</v>
          </cell>
          <cell r="I71">
            <v>880</v>
          </cell>
          <cell r="J71">
            <v>-28</v>
          </cell>
          <cell r="K71">
            <v>0</v>
          </cell>
          <cell r="L71">
            <v>120</v>
          </cell>
          <cell r="M71">
            <v>240</v>
          </cell>
          <cell r="R71">
            <v>480</v>
          </cell>
          <cell r="S71">
            <v>170.4</v>
          </cell>
          <cell r="T71">
            <v>360</v>
          </cell>
          <cell r="U71">
            <v>12.699530516431924</v>
          </cell>
          <cell r="V71">
            <v>5.657276995305164</v>
          </cell>
          <cell r="W71">
            <v>480</v>
          </cell>
          <cell r="X71">
            <v>360</v>
          </cell>
          <cell r="Z71">
            <v>177.8</v>
          </cell>
          <cell r="AA71">
            <v>149.6</v>
          </cell>
          <cell r="AB71">
            <v>184</v>
          </cell>
          <cell r="AC71">
            <v>181.4</v>
          </cell>
          <cell r="AD71">
            <v>177</v>
          </cell>
          <cell r="AE71">
            <v>0</v>
          </cell>
          <cell r="AF71">
            <v>0</v>
          </cell>
        </row>
        <row r="72">
          <cell r="A72" t="str">
            <v>7147 САЛЬЧИЧОН Останкино с/к в/у 1/220 8шт.  ОСТАНКИНО</v>
          </cell>
          <cell r="B72" t="str">
            <v>шт</v>
          </cell>
          <cell r="C72">
            <v>112</v>
          </cell>
          <cell r="E72">
            <v>101</v>
          </cell>
          <cell r="F72">
            <v>11</v>
          </cell>
          <cell r="G72">
            <v>0.22</v>
          </cell>
          <cell r="H72">
            <v>60</v>
          </cell>
          <cell r="I72">
            <v>95</v>
          </cell>
          <cell r="J72">
            <v>6</v>
          </cell>
          <cell r="K72">
            <v>0</v>
          </cell>
          <cell r="L72">
            <v>200</v>
          </cell>
          <cell r="M72">
            <v>40</v>
          </cell>
          <cell r="R72">
            <v>120</v>
          </cell>
          <cell r="S72">
            <v>20.2</v>
          </cell>
          <cell r="U72">
            <v>18.366336633663366</v>
          </cell>
          <cell r="V72">
            <v>0.54455445544554459</v>
          </cell>
          <cell r="W72">
            <v>120</v>
          </cell>
          <cell r="Z72">
            <v>0</v>
          </cell>
          <cell r="AA72">
            <v>3.4</v>
          </cell>
          <cell r="AB72">
            <v>10</v>
          </cell>
          <cell r="AC72">
            <v>9</v>
          </cell>
          <cell r="AD72">
            <v>12</v>
          </cell>
          <cell r="AE72" t="e">
            <v>#N/A</v>
          </cell>
          <cell r="AF72" t="str">
            <v>увел</v>
          </cell>
        </row>
        <row r="73">
          <cell r="A73" t="str">
            <v>7149 БАЛЫКОВАЯ Коровино п/к в/у 0.84кг_50с  ОСТАНКИНО</v>
          </cell>
          <cell r="B73" t="str">
            <v>шт</v>
          </cell>
          <cell r="C73">
            <v>34</v>
          </cell>
          <cell r="D73">
            <v>65</v>
          </cell>
          <cell r="E73">
            <v>34</v>
          </cell>
          <cell r="F73">
            <v>62</v>
          </cell>
          <cell r="G73">
            <v>0.84</v>
          </cell>
          <cell r="H73">
            <v>50</v>
          </cell>
          <cell r="I73">
            <v>37</v>
          </cell>
          <cell r="J73">
            <v>-3</v>
          </cell>
          <cell r="K73">
            <v>30</v>
          </cell>
          <cell r="L73">
            <v>0</v>
          </cell>
          <cell r="M73">
            <v>0</v>
          </cell>
          <cell r="S73">
            <v>6.8</v>
          </cell>
          <cell r="U73">
            <v>13.529411764705882</v>
          </cell>
          <cell r="V73">
            <v>9.117647058823529</v>
          </cell>
          <cell r="Z73">
            <v>11.6</v>
          </cell>
          <cell r="AA73">
            <v>2</v>
          </cell>
          <cell r="AB73">
            <v>9</v>
          </cell>
          <cell r="AC73">
            <v>12</v>
          </cell>
          <cell r="AD73">
            <v>7</v>
          </cell>
          <cell r="AE73" t="str">
            <v>увел</v>
          </cell>
          <cell r="AF73">
            <v>0</v>
          </cell>
        </row>
        <row r="74">
          <cell r="A74" t="str">
            <v>7154 СЕРВЕЛАТ ЗЕРНИСТЫЙ ПМ в/к в/у 0.35кг_50с  ОСТАНКИНО</v>
          </cell>
          <cell r="B74" t="str">
            <v>шт</v>
          </cell>
          <cell r="C74">
            <v>2085</v>
          </cell>
          <cell r="D74">
            <v>3040</v>
          </cell>
          <cell r="E74">
            <v>2640</v>
          </cell>
          <cell r="F74">
            <v>2416</v>
          </cell>
          <cell r="G74">
            <v>0.35</v>
          </cell>
          <cell r="H74" t="e">
            <v>#N/A</v>
          </cell>
          <cell r="I74">
            <v>2671</v>
          </cell>
          <cell r="J74">
            <v>-31</v>
          </cell>
          <cell r="K74">
            <v>0</v>
          </cell>
          <cell r="L74">
            <v>1000</v>
          </cell>
          <cell r="M74">
            <v>1200</v>
          </cell>
          <cell r="R74">
            <v>1200</v>
          </cell>
          <cell r="S74">
            <v>528</v>
          </cell>
          <cell r="T74">
            <v>1000</v>
          </cell>
          <cell r="U74">
            <v>12.909090909090908</v>
          </cell>
          <cell r="V74">
            <v>4.5757575757575761</v>
          </cell>
          <cell r="W74">
            <v>1200</v>
          </cell>
          <cell r="X74">
            <v>1000</v>
          </cell>
          <cell r="Z74">
            <v>510.4</v>
          </cell>
          <cell r="AA74">
            <v>477.4</v>
          </cell>
          <cell r="AB74">
            <v>455.6</v>
          </cell>
          <cell r="AC74">
            <v>496.6</v>
          </cell>
          <cell r="AD74">
            <v>592</v>
          </cell>
          <cell r="AE74">
            <v>0</v>
          </cell>
          <cell r="AF74">
            <v>0</v>
          </cell>
        </row>
        <row r="75">
          <cell r="A75" t="str">
            <v>7157 СЕРВЕЛАТ ЗЕРНИСНЫЙ ПМ в/к в/у_50с  ОСТАНКИНО</v>
          </cell>
          <cell r="B75" t="str">
            <v>кг</v>
          </cell>
          <cell r="C75">
            <v>287.36500000000001</v>
          </cell>
          <cell r="D75">
            <v>57.65</v>
          </cell>
          <cell r="E75">
            <v>237.81</v>
          </cell>
          <cell r="F75">
            <v>105.21</v>
          </cell>
          <cell r="G75">
            <v>1</v>
          </cell>
          <cell r="H75" t="e">
            <v>#N/A</v>
          </cell>
          <cell r="I75">
            <v>232</v>
          </cell>
          <cell r="J75">
            <v>5.8100000000000023</v>
          </cell>
          <cell r="K75">
            <v>0</v>
          </cell>
          <cell r="L75">
            <v>200</v>
          </cell>
          <cell r="M75">
            <v>160</v>
          </cell>
          <cell r="R75">
            <v>100</v>
          </cell>
          <cell r="S75">
            <v>47.561999999999998</v>
          </cell>
          <cell r="T75">
            <v>100</v>
          </cell>
          <cell r="U75">
            <v>13.986165426180566</v>
          </cell>
          <cell r="V75">
            <v>2.2120600479374288</v>
          </cell>
          <cell r="W75">
            <v>100</v>
          </cell>
          <cell r="X75">
            <v>100</v>
          </cell>
          <cell r="Z75">
            <v>30.748200000000004</v>
          </cell>
          <cell r="AA75">
            <v>28.291599999999999</v>
          </cell>
          <cell r="AB75">
            <v>38.348200000000006</v>
          </cell>
          <cell r="AC75">
            <v>26.951999999999998</v>
          </cell>
          <cell r="AD75">
            <v>18.957000000000001</v>
          </cell>
          <cell r="AE75" t="str">
            <v>Вит</v>
          </cell>
          <cell r="AF75" t="str">
            <v>увел</v>
          </cell>
        </row>
        <row r="76">
          <cell r="A76" t="str">
            <v>7166 СЕРВЕЛТ ОХОТНИЧИЙ ПМ в/к в/у_50с  ОСТАНКИНО</v>
          </cell>
          <cell r="B76" t="str">
            <v>кг</v>
          </cell>
          <cell r="C76">
            <v>407.15699999999998</v>
          </cell>
          <cell r="D76">
            <v>453.09</v>
          </cell>
          <cell r="E76">
            <v>473.50599999999997</v>
          </cell>
          <cell r="F76">
            <v>382.57100000000003</v>
          </cell>
          <cell r="G76">
            <v>1</v>
          </cell>
          <cell r="H76" t="e">
            <v>#N/A</v>
          </cell>
          <cell r="I76">
            <v>512.45000000000005</v>
          </cell>
          <cell r="J76">
            <v>-38.944000000000074</v>
          </cell>
          <cell r="K76">
            <v>0</v>
          </cell>
          <cell r="L76">
            <v>150</v>
          </cell>
          <cell r="M76">
            <v>450</v>
          </cell>
          <cell r="R76">
            <v>100</v>
          </cell>
          <cell r="S76">
            <v>94.7012</v>
          </cell>
          <cell r="T76">
            <v>150</v>
          </cell>
          <cell r="U76">
            <v>13.015368337465627</v>
          </cell>
          <cell r="V76">
            <v>4.0397692954260354</v>
          </cell>
          <cell r="W76">
            <v>100</v>
          </cell>
          <cell r="X76">
            <v>150</v>
          </cell>
          <cell r="Z76">
            <v>88.608000000000004</v>
          </cell>
          <cell r="AA76">
            <v>76.738599999999991</v>
          </cell>
          <cell r="AB76">
            <v>82.1768</v>
          </cell>
          <cell r="AC76">
            <v>84.122</v>
          </cell>
          <cell r="AD76">
            <v>71.206999999999994</v>
          </cell>
          <cell r="AE76">
            <v>0</v>
          </cell>
          <cell r="AF76">
            <v>0</v>
          </cell>
        </row>
        <row r="77">
          <cell r="A77" t="str">
            <v>7169 СЕРВЕЛАТ ОХОТНИЧИЙ ПМ в/к в/у 0.35кг_50с  ОСТАНКИНО</v>
          </cell>
          <cell r="B77" t="str">
            <v>шт</v>
          </cell>
          <cell r="C77">
            <v>3212</v>
          </cell>
          <cell r="D77">
            <v>2825</v>
          </cell>
          <cell r="E77">
            <v>3810</v>
          </cell>
          <cell r="F77">
            <v>2164</v>
          </cell>
          <cell r="G77">
            <v>0.35</v>
          </cell>
          <cell r="H77" t="e">
            <v>#N/A</v>
          </cell>
          <cell r="I77">
            <v>3864</v>
          </cell>
          <cell r="J77">
            <v>-54</v>
          </cell>
          <cell r="K77">
            <v>200</v>
          </cell>
          <cell r="L77">
            <v>2400</v>
          </cell>
          <cell r="M77">
            <v>2000</v>
          </cell>
          <cell r="R77">
            <v>1200</v>
          </cell>
          <cell r="S77">
            <v>762</v>
          </cell>
          <cell r="T77">
            <v>1200</v>
          </cell>
          <cell r="U77">
            <v>12.026246719160104</v>
          </cell>
          <cell r="V77">
            <v>2.8398950131233596</v>
          </cell>
          <cell r="W77">
            <v>1200</v>
          </cell>
          <cell r="X77">
            <v>1200</v>
          </cell>
          <cell r="Z77">
            <v>640.4</v>
          </cell>
          <cell r="AA77">
            <v>647.79999999999995</v>
          </cell>
          <cell r="AB77">
            <v>633.20000000000005</v>
          </cell>
          <cell r="AC77">
            <v>618.6</v>
          </cell>
          <cell r="AD77">
            <v>775</v>
          </cell>
          <cell r="AE77">
            <v>0</v>
          </cell>
          <cell r="AF77">
            <v>0</v>
          </cell>
        </row>
        <row r="78">
          <cell r="A78" t="str">
            <v>7187 ГРУДИНКА ПРЕМИУМ к/в мл/к в/у 0,3кг_50с ОСТАНКИНО</v>
          </cell>
          <cell r="B78" t="str">
            <v>шт</v>
          </cell>
          <cell r="C78">
            <v>713</v>
          </cell>
          <cell r="D78">
            <v>1106</v>
          </cell>
          <cell r="E78">
            <v>911</v>
          </cell>
          <cell r="F78">
            <v>880</v>
          </cell>
          <cell r="G78">
            <v>0.3</v>
          </cell>
          <cell r="H78" t="e">
            <v>#N/A</v>
          </cell>
          <cell r="I78">
            <v>918</v>
          </cell>
          <cell r="J78">
            <v>-7</v>
          </cell>
          <cell r="K78">
            <v>0</v>
          </cell>
          <cell r="L78">
            <v>360</v>
          </cell>
          <cell r="M78">
            <v>240</v>
          </cell>
          <cell r="R78">
            <v>480</v>
          </cell>
          <cell r="S78">
            <v>182.2</v>
          </cell>
          <cell r="T78">
            <v>240</v>
          </cell>
          <cell r="U78">
            <v>12.074643249176729</v>
          </cell>
          <cell r="V78">
            <v>4.8298572996706914</v>
          </cell>
          <cell r="W78">
            <v>480</v>
          </cell>
          <cell r="X78">
            <v>240</v>
          </cell>
          <cell r="Z78">
            <v>166</v>
          </cell>
          <cell r="AA78">
            <v>173.4</v>
          </cell>
          <cell r="AB78">
            <v>158.6</v>
          </cell>
          <cell r="AC78">
            <v>181.4</v>
          </cell>
          <cell r="AD78">
            <v>235</v>
          </cell>
          <cell r="AE78">
            <v>0</v>
          </cell>
          <cell r="AF78">
            <v>0</v>
          </cell>
        </row>
        <row r="79">
          <cell r="A79" t="str">
            <v>7227 САЛЯМИ ФИНСКАЯ Папа может с/к в/у 1/180  ОСТАНКИНО</v>
          </cell>
          <cell r="B79" t="str">
            <v>шт</v>
          </cell>
          <cell r="C79">
            <v>403</v>
          </cell>
          <cell r="E79">
            <v>97</v>
          </cell>
          <cell r="F79">
            <v>306</v>
          </cell>
          <cell r="G79">
            <v>0.18</v>
          </cell>
          <cell r="H79" t="e">
            <v>#N/A</v>
          </cell>
          <cell r="I79">
            <v>97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S79">
            <v>19.399999999999999</v>
          </cell>
          <cell r="U79">
            <v>15.773195876288661</v>
          </cell>
          <cell r="V79">
            <v>15.773195876288661</v>
          </cell>
          <cell r="Z79">
            <v>1.8</v>
          </cell>
          <cell r="AA79">
            <v>5</v>
          </cell>
          <cell r="AB79">
            <v>15.6</v>
          </cell>
          <cell r="AC79">
            <v>15.2</v>
          </cell>
          <cell r="AD79">
            <v>17</v>
          </cell>
          <cell r="AE79" t="str">
            <v>Вит</v>
          </cell>
          <cell r="AF79" t="str">
            <v>увел</v>
          </cell>
        </row>
        <row r="80">
          <cell r="A80" t="str">
            <v>7231 КЛАССИЧЕСКАЯ ПМ вар п/о 0,3кг 8шт_209к ОСТАНКИНО</v>
          </cell>
          <cell r="B80" t="str">
            <v>шт</v>
          </cell>
          <cell r="C80">
            <v>1020</v>
          </cell>
          <cell r="D80">
            <v>1165</v>
          </cell>
          <cell r="E80">
            <v>1418</v>
          </cell>
          <cell r="F80">
            <v>757</v>
          </cell>
          <cell r="G80">
            <v>0.3</v>
          </cell>
          <cell r="H80" t="e">
            <v>#N/A</v>
          </cell>
          <cell r="I80">
            <v>1456</v>
          </cell>
          <cell r="J80">
            <v>-38</v>
          </cell>
          <cell r="K80">
            <v>120</v>
          </cell>
          <cell r="L80">
            <v>600</v>
          </cell>
          <cell r="M80">
            <v>1000</v>
          </cell>
          <cell r="R80">
            <v>600</v>
          </cell>
          <cell r="S80">
            <v>283.60000000000002</v>
          </cell>
          <cell r="T80">
            <v>400</v>
          </cell>
          <cell r="U80">
            <v>12.260225669957686</v>
          </cell>
          <cell r="V80">
            <v>2.6692524682651619</v>
          </cell>
          <cell r="W80">
            <v>600</v>
          </cell>
          <cell r="X80">
            <v>400</v>
          </cell>
          <cell r="Z80">
            <v>207</v>
          </cell>
          <cell r="AA80">
            <v>224.6</v>
          </cell>
          <cell r="AB80">
            <v>217.2</v>
          </cell>
          <cell r="AC80">
            <v>228.2</v>
          </cell>
          <cell r="AD80">
            <v>278</v>
          </cell>
          <cell r="AE80">
            <v>0</v>
          </cell>
          <cell r="AF80">
            <v>0</v>
          </cell>
        </row>
        <row r="81">
          <cell r="A81" t="str">
            <v>7232 БОЯNСКАЯ ПМ п/к в/у 0,28кг 8шт_209к ОСТАНКИНО</v>
          </cell>
          <cell r="B81" t="str">
            <v>шт</v>
          </cell>
          <cell r="C81">
            <v>1197</v>
          </cell>
          <cell r="D81">
            <v>1634</v>
          </cell>
          <cell r="E81">
            <v>1457</v>
          </cell>
          <cell r="F81">
            <v>1342</v>
          </cell>
          <cell r="G81">
            <v>0.28000000000000003</v>
          </cell>
          <cell r="H81" t="e">
            <v>#N/A</v>
          </cell>
          <cell r="I81">
            <v>1482</v>
          </cell>
          <cell r="J81">
            <v>-25</v>
          </cell>
          <cell r="K81">
            <v>0</v>
          </cell>
          <cell r="L81">
            <v>600</v>
          </cell>
          <cell r="M81">
            <v>800</v>
          </cell>
          <cell r="R81">
            <v>400</v>
          </cell>
          <cell r="S81">
            <v>291.39999999999998</v>
          </cell>
          <cell r="T81">
            <v>400</v>
          </cell>
          <cell r="U81">
            <v>12.155113246396706</v>
          </cell>
          <cell r="V81">
            <v>4.6053534660260818</v>
          </cell>
          <cell r="W81">
            <v>400</v>
          </cell>
          <cell r="X81">
            <v>400</v>
          </cell>
          <cell r="Z81">
            <v>280.60000000000002</v>
          </cell>
          <cell r="AA81">
            <v>290.2</v>
          </cell>
          <cell r="AB81">
            <v>260.2</v>
          </cell>
          <cell r="AC81">
            <v>268.60000000000002</v>
          </cell>
          <cell r="AD81">
            <v>287</v>
          </cell>
          <cell r="AE81">
            <v>0</v>
          </cell>
          <cell r="AF81">
            <v>0</v>
          </cell>
        </row>
        <row r="82">
          <cell r="A82" t="str">
            <v>7235 ВЕТЧ.КЛАССИЧЕСКАЯ ПМ п/о 0,35кг 8шт_209к ОСТАНКИНО</v>
          </cell>
          <cell r="B82" t="str">
            <v>шт</v>
          </cell>
          <cell r="C82">
            <v>20</v>
          </cell>
          <cell r="E82">
            <v>1</v>
          </cell>
          <cell r="F82">
            <v>19</v>
          </cell>
          <cell r="G82">
            <v>0</v>
          </cell>
          <cell r="H82" t="e">
            <v>#N/A</v>
          </cell>
          <cell r="I82">
            <v>16</v>
          </cell>
          <cell r="J82">
            <v>-15</v>
          </cell>
          <cell r="K82">
            <v>0</v>
          </cell>
          <cell r="L82">
            <v>0</v>
          </cell>
          <cell r="M82">
            <v>0</v>
          </cell>
          <cell r="S82">
            <v>0.2</v>
          </cell>
          <cell r="U82">
            <v>95</v>
          </cell>
          <cell r="V82">
            <v>95</v>
          </cell>
          <cell r="Z82">
            <v>11.8</v>
          </cell>
          <cell r="AA82">
            <v>20.6</v>
          </cell>
          <cell r="AB82">
            <v>30.4</v>
          </cell>
          <cell r="AC82">
            <v>3.6</v>
          </cell>
          <cell r="AD82">
            <v>-1</v>
          </cell>
          <cell r="AE82" t="str">
            <v>вывод</v>
          </cell>
          <cell r="AF82">
            <v>0</v>
          </cell>
        </row>
        <row r="83">
          <cell r="A83" t="str">
            <v>7236 СЕРВЕЛАТ КАРЕЛЬСКИЙ в/к в/у 0,28кг_209к ОСТАНКИНО</v>
          </cell>
          <cell r="B83" t="str">
            <v>шт</v>
          </cell>
          <cell r="C83">
            <v>3052</v>
          </cell>
          <cell r="D83">
            <v>3513</v>
          </cell>
          <cell r="E83">
            <v>3557</v>
          </cell>
          <cell r="F83">
            <v>2896</v>
          </cell>
          <cell r="G83">
            <v>0.28000000000000003</v>
          </cell>
          <cell r="H83">
            <v>45</v>
          </cell>
          <cell r="I83">
            <v>3639</v>
          </cell>
          <cell r="J83">
            <v>-82</v>
          </cell>
          <cell r="K83">
            <v>400</v>
          </cell>
          <cell r="L83">
            <v>2200</v>
          </cell>
          <cell r="M83">
            <v>1200</v>
          </cell>
          <cell r="R83">
            <v>800</v>
          </cell>
          <cell r="S83">
            <v>711.4</v>
          </cell>
          <cell r="T83">
            <v>1200</v>
          </cell>
          <cell r="U83">
            <v>12.223784087714366</v>
          </cell>
          <cell r="V83">
            <v>4.070846218723644</v>
          </cell>
          <cell r="W83">
            <v>800</v>
          </cell>
          <cell r="X83">
            <v>1200</v>
          </cell>
          <cell r="Z83">
            <v>740.2</v>
          </cell>
          <cell r="AA83">
            <v>712</v>
          </cell>
          <cell r="AB83">
            <v>644.4</v>
          </cell>
          <cell r="AC83">
            <v>677.8</v>
          </cell>
          <cell r="AD83">
            <v>795</v>
          </cell>
          <cell r="AE83">
            <v>0</v>
          </cell>
          <cell r="AF83">
            <v>0</v>
          </cell>
        </row>
        <row r="84">
          <cell r="A84" t="str">
            <v>7241 САЛЯМИ Папа может п/к в/у 0,28кг_209к ОСТАНКИНО</v>
          </cell>
          <cell r="B84" t="str">
            <v>шт</v>
          </cell>
          <cell r="C84">
            <v>958</v>
          </cell>
          <cell r="D84">
            <v>822</v>
          </cell>
          <cell r="E84">
            <v>1114</v>
          </cell>
          <cell r="F84">
            <v>650</v>
          </cell>
          <cell r="G84">
            <v>0.28000000000000003</v>
          </cell>
          <cell r="H84" t="e">
            <v>#N/A</v>
          </cell>
          <cell r="I84">
            <v>1132</v>
          </cell>
          <cell r="J84">
            <v>-18</v>
          </cell>
          <cell r="K84">
            <v>80</v>
          </cell>
          <cell r="L84">
            <v>480</v>
          </cell>
          <cell r="M84">
            <v>600</v>
          </cell>
          <cell r="R84">
            <v>480</v>
          </cell>
          <cell r="S84">
            <v>222.8</v>
          </cell>
          <cell r="T84">
            <v>240</v>
          </cell>
          <cell r="U84">
            <v>11.355475763016157</v>
          </cell>
          <cell r="V84">
            <v>2.9174147217235187</v>
          </cell>
          <cell r="W84">
            <v>480</v>
          </cell>
          <cell r="X84">
            <v>240</v>
          </cell>
          <cell r="Z84">
            <v>201.8</v>
          </cell>
          <cell r="AA84">
            <v>181.6</v>
          </cell>
          <cell r="AB84">
            <v>191.8</v>
          </cell>
          <cell r="AC84">
            <v>187.8</v>
          </cell>
          <cell r="AD84">
            <v>244</v>
          </cell>
          <cell r="AE84">
            <v>0</v>
          </cell>
          <cell r="AF84">
            <v>0</v>
          </cell>
        </row>
        <row r="85">
          <cell r="A85" t="str">
            <v>7245 ВЕТЧ.ФИЛЕЙНАЯ ПМ п/о 0,4кг 8шт ОСТАНКИНО</v>
          </cell>
          <cell r="B85" t="str">
            <v>шт</v>
          </cell>
          <cell r="C85">
            <v>129</v>
          </cell>
          <cell r="D85">
            <v>43</v>
          </cell>
          <cell r="E85">
            <v>54</v>
          </cell>
          <cell r="F85">
            <v>115</v>
          </cell>
          <cell r="G85">
            <v>0.4</v>
          </cell>
          <cell r="H85" t="e">
            <v>#N/A</v>
          </cell>
          <cell r="I85">
            <v>57</v>
          </cell>
          <cell r="J85">
            <v>-3</v>
          </cell>
          <cell r="K85">
            <v>0</v>
          </cell>
          <cell r="L85">
            <v>0</v>
          </cell>
          <cell r="M85">
            <v>0</v>
          </cell>
          <cell r="S85">
            <v>10.8</v>
          </cell>
          <cell r="U85">
            <v>10.648148148148147</v>
          </cell>
          <cell r="V85">
            <v>10.648148148148147</v>
          </cell>
          <cell r="Z85">
            <v>14</v>
          </cell>
          <cell r="AA85">
            <v>6.2</v>
          </cell>
          <cell r="AB85">
            <v>17.399999999999999</v>
          </cell>
          <cell r="AC85">
            <v>7.4</v>
          </cell>
          <cell r="AD85">
            <v>4</v>
          </cell>
          <cell r="AE85" t="str">
            <v>увел</v>
          </cell>
          <cell r="AF85">
            <v>0</v>
          </cell>
        </row>
        <row r="86">
          <cell r="A86" t="str">
            <v>7255 МЯСНЫЕ С ГОВЯД. ПМ сос п/о мгс 0,4кг 6шт.  ОСТАНКИНО</v>
          </cell>
          <cell r="B86" t="str">
            <v>шт</v>
          </cell>
          <cell r="C86">
            <v>793</v>
          </cell>
          <cell r="D86">
            <v>1449</v>
          </cell>
          <cell r="E86">
            <v>1785</v>
          </cell>
          <cell r="F86">
            <v>1491</v>
          </cell>
          <cell r="G86">
            <v>0.4</v>
          </cell>
          <cell r="H86" t="e">
            <v>#N/A</v>
          </cell>
          <cell r="I86">
            <v>532</v>
          </cell>
          <cell r="J86">
            <v>1253</v>
          </cell>
          <cell r="K86">
            <v>160</v>
          </cell>
          <cell r="L86">
            <v>480</v>
          </cell>
          <cell r="M86">
            <v>720</v>
          </cell>
          <cell r="R86">
            <v>240</v>
          </cell>
          <cell r="S86">
            <v>357</v>
          </cell>
          <cell r="T86">
            <v>240</v>
          </cell>
          <cell r="U86">
            <v>9.3305322128851547</v>
          </cell>
          <cell r="V86">
            <v>4.1764705882352944</v>
          </cell>
          <cell r="W86">
            <v>240</v>
          </cell>
          <cell r="X86">
            <v>240</v>
          </cell>
          <cell r="Z86">
            <v>342</v>
          </cell>
          <cell r="AA86">
            <v>330</v>
          </cell>
          <cell r="AB86">
            <v>347.4</v>
          </cell>
          <cell r="AC86">
            <v>361.2</v>
          </cell>
          <cell r="AD86">
            <v>229</v>
          </cell>
          <cell r="AE86" t="str">
            <v>увел</v>
          </cell>
          <cell r="AF86" t="str">
            <v>дубльз</v>
          </cell>
        </row>
        <row r="87">
          <cell r="A87" t="str">
            <v>7271 МЯСНЫЕ С ГОВЯДИНОЙ ПМ сос п/о мгс 1.5*4 ВЕС  ОСТАНКИНО</v>
          </cell>
          <cell r="B87" t="str">
            <v>кг</v>
          </cell>
          <cell r="C87">
            <v>186.63900000000001</v>
          </cell>
          <cell r="D87">
            <v>7.5750000000000002</v>
          </cell>
          <cell r="E87">
            <v>112.64100000000001</v>
          </cell>
          <cell r="F87">
            <v>80.072999999999993</v>
          </cell>
          <cell r="G87">
            <v>1</v>
          </cell>
          <cell r="H87" t="e">
            <v>#N/A</v>
          </cell>
          <cell r="I87">
            <v>110.8</v>
          </cell>
          <cell r="J87">
            <v>1.8410000000000082</v>
          </cell>
          <cell r="K87">
            <v>0</v>
          </cell>
          <cell r="L87">
            <v>100</v>
          </cell>
          <cell r="M87">
            <v>0</v>
          </cell>
          <cell r="S87">
            <v>22.528200000000002</v>
          </cell>
          <cell r="T87">
            <v>20</v>
          </cell>
          <cell r="U87">
            <v>8.8810024768956222</v>
          </cell>
          <cell r="V87">
            <v>3.554345220656776</v>
          </cell>
          <cell r="X87">
            <v>20</v>
          </cell>
          <cell r="Z87">
            <v>21.25</v>
          </cell>
          <cell r="AA87">
            <v>21.2136</v>
          </cell>
          <cell r="AB87">
            <v>26.317599999999999</v>
          </cell>
          <cell r="AC87">
            <v>15.996600000000001</v>
          </cell>
          <cell r="AD87">
            <v>10.788</v>
          </cell>
          <cell r="AE87" t="str">
            <v>увел</v>
          </cell>
          <cell r="AF87">
            <v>0</v>
          </cell>
        </row>
        <row r="88">
          <cell r="A88" t="str">
            <v>7284 ДЛЯ ДЕТЕЙ сос п/о мгс 0,33кг 6шт  ОСТАНКИНО</v>
          </cell>
          <cell r="B88" t="str">
            <v>шт</v>
          </cell>
          <cell r="C88">
            <v>132</v>
          </cell>
          <cell r="D88">
            <v>38</v>
          </cell>
          <cell r="E88">
            <v>107</v>
          </cell>
          <cell r="F88">
            <v>45</v>
          </cell>
          <cell r="G88">
            <v>0.33</v>
          </cell>
          <cell r="H88">
            <v>30</v>
          </cell>
          <cell r="I88">
            <v>170</v>
          </cell>
          <cell r="J88">
            <v>-63</v>
          </cell>
          <cell r="K88">
            <v>0</v>
          </cell>
          <cell r="L88">
            <v>30</v>
          </cell>
          <cell r="M88">
            <v>60</v>
          </cell>
          <cell r="R88">
            <v>30</v>
          </cell>
          <cell r="S88">
            <v>21.4</v>
          </cell>
          <cell r="T88">
            <v>30</v>
          </cell>
          <cell r="U88">
            <v>9.1121495327102817</v>
          </cell>
          <cell r="V88">
            <v>2.1028037383177574</v>
          </cell>
          <cell r="W88">
            <v>30</v>
          </cell>
          <cell r="X88">
            <v>30</v>
          </cell>
          <cell r="Z88">
            <v>30.8</v>
          </cell>
          <cell r="AA88">
            <v>30</v>
          </cell>
          <cell r="AB88">
            <v>22.8</v>
          </cell>
          <cell r="AC88">
            <v>18.600000000000001</v>
          </cell>
          <cell r="AD88">
            <v>17</v>
          </cell>
          <cell r="AE88">
            <v>0</v>
          </cell>
          <cell r="AF88">
            <v>0</v>
          </cell>
        </row>
        <row r="89">
          <cell r="A89" t="str">
            <v>7299 НАБОР ДЛЯ ПИЦЦЫ Папа может с/к в/у  ОСТАНКИНО</v>
          </cell>
          <cell r="B89" t="str">
            <v>кг</v>
          </cell>
          <cell r="C89">
            <v>2.1419999999999999</v>
          </cell>
          <cell r="D89">
            <v>15.279</v>
          </cell>
          <cell r="E89">
            <v>2.9209999999999998</v>
          </cell>
          <cell r="F89">
            <v>14.5</v>
          </cell>
          <cell r="G89">
            <v>1</v>
          </cell>
          <cell r="H89" t="e">
            <v>#N/A</v>
          </cell>
          <cell r="I89">
            <v>5.6</v>
          </cell>
          <cell r="J89">
            <v>-2.6789999999999998</v>
          </cell>
          <cell r="K89">
            <v>0</v>
          </cell>
          <cell r="L89">
            <v>0</v>
          </cell>
          <cell r="M89">
            <v>0</v>
          </cell>
          <cell r="S89">
            <v>0.58419999999999994</v>
          </cell>
          <cell r="U89">
            <v>24.820267031838416</v>
          </cell>
          <cell r="V89">
            <v>24.820267031838416</v>
          </cell>
          <cell r="Z89">
            <v>1.1408</v>
          </cell>
          <cell r="AA89">
            <v>0.68059999999999998</v>
          </cell>
          <cell r="AB89">
            <v>0.85160000000000002</v>
          </cell>
          <cell r="AC89">
            <v>2.1903999999999999</v>
          </cell>
          <cell r="AD89">
            <v>2.2749999999999999</v>
          </cell>
          <cell r="AE89" t="str">
            <v>новинка</v>
          </cell>
          <cell r="AF89" t="e">
            <v>#N/A</v>
          </cell>
        </row>
        <row r="90">
          <cell r="A90" t="str">
            <v>7317 ПРЕСИЖН с/к дек.спец. мгс 0,54кг  ОСТАНКИНО</v>
          </cell>
          <cell r="B90" t="str">
            <v>шт</v>
          </cell>
          <cell r="C90">
            <v>34</v>
          </cell>
          <cell r="D90">
            <v>16</v>
          </cell>
          <cell r="E90">
            <v>15</v>
          </cell>
          <cell r="F90">
            <v>33</v>
          </cell>
          <cell r="G90">
            <v>0.54</v>
          </cell>
          <cell r="H90" t="e">
            <v>#N/A</v>
          </cell>
          <cell r="I90">
            <v>17</v>
          </cell>
          <cell r="J90">
            <v>-2</v>
          </cell>
          <cell r="K90">
            <v>0</v>
          </cell>
          <cell r="L90">
            <v>40</v>
          </cell>
          <cell r="M90">
            <v>0</v>
          </cell>
          <cell r="S90">
            <v>3</v>
          </cell>
          <cell r="U90">
            <v>24.333333333333332</v>
          </cell>
          <cell r="V90">
            <v>11</v>
          </cell>
          <cell r="Z90">
            <v>0</v>
          </cell>
          <cell r="AA90">
            <v>0</v>
          </cell>
          <cell r="AB90">
            <v>0</v>
          </cell>
          <cell r="AC90">
            <v>3</v>
          </cell>
          <cell r="AD90">
            <v>3</v>
          </cell>
          <cell r="AE90" t="str">
            <v>увел</v>
          </cell>
          <cell r="AF90" t="e">
            <v>#N/A</v>
          </cell>
        </row>
        <row r="91">
          <cell r="A91" t="str">
            <v>7332 БОЯРСКАЯ ПМ п/к в/у 0.28кг_СНГ  ОСТАНКИНО</v>
          </cell>
          <cell r="B91" t="str">
            <v>шт</v>
          </cell>
          <cell r="C91">
            <v>47</v>
          </cell>
          <cell r="D91">
            <v>81</v>
          </cell>
          <cell r="E91">
            <v>59</v>
          </cell>
          <cell r="F91">
            <v>69</v>
          </cell>
          <cell r="G91">
            <v>0.28000000000000003</v>
          </cell>
          <cell r="H91" t="e">
            <v>#N/A</v>
          </cell>
          <cell r="I91">
            <v>60</v>
          </cell>
          <cell r="J91">
            <v>-1</v>
          </cell>
          <cell r="K91">
            <v>0</v>
          </cell>
          <cell r="L91">
            <v>0</v>
          </cell>
          <cell r="M91">
            <v>40</v>
          </cell>
          <cell r="S91">
            <v>11.8</v>
          </cell>
          <cell r="U91">
            <v>9.2372881355932197</v>
          </cell>
          <cell r="V91">
            <v>5.8474576271186436</v>
          </cell>
          <cell r="Z91">
            <v>10.8</v>
          </cell>
          <cell r="AA91">
            <v>11.4</v>
          </cell>
          <cell r="AB91">
            <v>11.6</v>
          </cell>
          <cell r="AC91">
            <v>12.8</v>
          </cell>
          <cell r="AD91">
            <v>8</v>
          </cell>
          <cell r="AE91">
            <v>0</v>
          </cell>
          <cell r="AF91" t="e">
            <v>#N/A</v>
          </cell>
        </row>
        <row r="92">
          <cell r="A92" t="str">
            <v>7333 СЕРВЕЛАТ ОХОТНИЧИЙ ПМ в/к в/у 0.28кг_СНГ  ОСТАНКИНО</v>
          </cell>
          <cell r="B92" t="str">
            <v>шт</v>
          </cell>
          <cell r="C92">
            <v>93</v>
          </cell>
          <cell r="D92">
            <v>80</v>
          </cell>
          <cell r="E92">
            <v>75</v>
          </cell>
          <cell r="F92">
            <v>97</v>
          </cell>
          <cell r="G92">
            <v>0.28000000000000003</v>
          </cell>
          <cell r="H92" t="e">
            <v>#N/A</v>
          </cell>
          <cell r="I92">
            <v>76</v>
          </cell>
          <cell r="J92">
            <v>-1</v>
          </cell>
          <cell r="K92">
            <v>0</v>
          </cell>
          <cell r="L92">
            <v>0</v>
          </cell>
          <cell r="M92">
            <v>40</v>
          </cell>
          <cell r="R92">
            <v>40</v>
          </cell>
          <cell r="S92">
            <v>15</v>
          </cell>
          <cell r="U92">
            <v>11.8</v>
          </cell>
          <cell r="V92">
            <v>6.4666666666666668</v>
          </cell>
          <cell r="W92">
            <v>40</v>
          </cell>
          <cell r="Z92">
            <v>8.1999999999999993</v>
          </cell>
          <cell r="AA92">
            <v>10.6</v>
          </cell>
          <cell r="AB92">
            <v>16.399999999999999</v>
          </cell>
          <cell r="AC92">
            <v>17</v>
          </cell>
          <cell r="AD92">
            <v>7</v>
          </cell>
          <cell r="AE92">
            <v>0</v>
          </cell>
          <cell r="AF92" t="e">
            <v>#N/A</v>
          </cell>
        </row>
        <row r="93">
          <cell r="A93" t="str">
            <v>7343 СЕЙЧАС СЕЗОН ПМ вар п/о 0,4кг  ОСТАНКИНО</v>
          </cell>
          <cell r="B93" t="str">
            <v>шт</v>
          </cell>
          <cell r="C93">
            <v>1879</v>
          </cell>
          <cell r="D93">
            <v>2356</v>
          </cell>
          <cell r="E93">
            <v>1654</v>
          </cell>
          <cell r="F93">
            <v>2514</v>
          </cell>
          <cell r="G93">
            <v>0.4</v>
          </cell>
          <cell r="H93" t="e">
            <v>#N/A</v>
          </cell>
          <cell r="I93">
            <v>1645</v>
          </cell>
          <cell r="J93">
            <v>9</v>
          </cell>
          <cell r="K93">
            <v>320</v>
          </cell>
          <cell r="L93">
            <v>400</v>
          </cell>
          <cell r="M93">
            <v>0</v>
          </cell>
          <cell r="R93">
            <v>400</v>
          </cell>
          <cell r="S93">
            <v>330.8</v>
          </cell>
          <cell r="T93">
            <v>400</v>
          </cell>
          <cell r="U93">
            <v>12.194679564691656</v>
          </cell>
          <cell r="V93">
            <v>7.5997581620314385</v>
          </cell>
          <cell r="W93">
            <v>400</v>
          </cell>
          <cell r="X93">
            <v>400</v>
          </cell>
          <cell r="Z93">
            <v>206.4</v>
          </cell>
          <cell r="AA93">
            <v>421.2</v>
          </cell>
          <cell r="AB93">
            <v>306.2</v>
          </cell>
          <cell r="AC93">
            <v>451.6</v>
          </cell>
          <cell r="AD93">
            <v>422</v>
          </cell>
          <cell r="AE93" t="str">
            <v>пл0112,</v>
          </cell>
          <cell r="AF93" t="str">
            <v>м-900</v>
          </cell>
        </row>
        <row r="94">
          <cell r="A94" t="str">
            <v>7364 ЧОРИЗО Останкино с/к в/у 1/220 8шт.  ОСТАНКИНО</v>
          </cell>
          <cell r="B94" t="str">
            <v>шт</v>
          </cell>
          <cell r="C94">
            <v>163</v>
          </cell>
          <cell r="E94">
            <v>46</v>
          </cell>
          <cell r="F94">
            <v>117</v>
          </cell>
          <cell r="G94">
            <v>0.22</v>
          </cell>
          <cell r="H94" t="e">
            <v>#N/A</v>
          </cell>
          <cell r="I94">
            <v>46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S94">
            <v>9.1999999999999993</v>
          </cell>
          <cell r="U94">
            <v>12.717391304347828</v>
          </cell>
          <cell r="V94">
            <v>12.717391304347828</v>
          </cell>
          <cell r="Z94">
            <v>0</v>
          </cell>
          <cell r="AA94">
            <v>0</v>
          </cell>
          <cell r="AB94">
            <v>0</v>
          </cell>
          <cell r="AC94">
            <v>7.4</v>
          </cell>
          <cell r="AD94">
            <v>7</v>
          </cell>
          <cell r="AE94" t="e">
            <v>#N/A</v>
          </cell>
          <cell r="AF94" t="e">
            <v>#N/A</v>
          </cell>
        </row>
        <row r="95">
          <cell r="A95" t="str">
            <v>7377 ВЕТЧ.С ИНДЕЙКОЙ ПМ в/у срез 0,3кг 6шт.  ОСТАНКИНО</v>
          </cell>
          <cell r="B95" t="str">
            <v>шт</v>
          </cell>
          <cell r="C95">
            <v>176</v>
          </cell>
          <cell r="D95">
            <v>41</v>
          </cell>
          <cell r="E95">
            <v>154</v>
          </cell>
          <cell r="F95">
            <v>58</v>
          </cell>
          <cell r="G95">
            <v>0.3</v>
          </cell>
          <cell r="H95" t="e">
            <v>#N/A</v>
          </cell>
          <cell r="I95">
            <v>158</v>
          </cell>
          <cell r="J95">
            <v>-4</v>
          </cell>
          <cell r="K95">
            <v>40</v>
          </cell>
          <cell r="L95">
            <v>180</v>
          </cell>
          <cell r="M95">
            <v>40</v>
          </cell>
          <cell r="S95">
            <v>30.8</v>
          </cell>
          <cell r="U95">
            <v>10.324675324675324</v>
          </cell>
          <cell r="V95">
            <v>1.883116883116883</v>
          </cell>
          <cell r="Z95">
            <v>0</v>
          </cell>
          <cell r="AA95">
            <v>0</v>
          </cell>
          <cell r="AB95">
            <v>0</v>
          </cell>
          <cell r="AC95">
            <v>24.8</v>
          </cell>
          <cell r="AD95">
            <v>22</v>
          </cell>
          <cell r="AE95" t="e">
            <v>#N/A</v>
          </cell>
          <cell r="AF95" t="e">
            <v>#N/A</v>
          </cell>
        </row>
        <row r="96">
          <cell r="A96" t="str">
            <v>7382 САЛЯМИ МЕЛКОЗЕРНЕНАЯ с/к в/у 1/120 8шт.  ОСТАНКИНО</v>
          </cell>
          <cell r="B96" t="str">
            <v>шт</v>
          </cell>
          <cell r="C96">
            <v>2115</v>
          </cell>
          <cell r="D96">
            <v>1638</v>
          </cell>
          <cell r="E96">
            <v>2123</v>
          </cell>
          <cell r="F96">
            <v>1600</v>
          </cell>
          <cell r="G96">
            <v>0.12</v>
          </cell>
          <cell r="H96" t="e">
            <v>#N/A</v>
          </cell>
          <cell r="I96">
            <v>2097</v>
          </cell>
          <cell r="J96">
            <v>26</v>
          </cell>
          <cell r="K96">
            <v>160</v>
          </cell>
          <cell r="L96">
            <v>1200</v>
          </cell>
          <cell r="M96">
            <v>800</v>
          </cell>
          <cell r="R96">
            <v>600</v>
          </cell>
          <cell r="S96">
            <v>424.6</v>
          </cell>
          <cell r="T96">
            <v>400</v>
          </cell>
          <cell r="U96">
            <v>11.210551106924163</v>
          </cell>
          <cell r="V96">
            <v>3.7682524729156852</v>
          </cell>
          <cell r="W96">
            <v>600</v>
          </cell>
          <cell r="X96">
            <v>400</v>
          </cell>
          <cell r="Z96">
            <v>357.2</v>
          </cell>
          <cell r="AA96">
            <v>353</v>
          </cell>
          <cell r="AB96">
            <v>173</v>
          </cell>
          <cell r="AC96">
            <v>379.8</v>
          </cell>
          <cell r="AD96">
            <v>435</v>
          </cell>
          <cell r="AE96" t="e">
            <v>#N/A</v>
          </cell>
          <cell r="AF96" t="e">
            <v>#N/A</v>
          </cell>
        </row>
        <row r="97">
          <cell r="A97" t="str">
            <v>7383 САН-РЕМО Останкино с/в в/у 1/220 8шт.  ОСТАНКИНО</v>
          </cell>
          <cell r="B97" t="str">
            <v>шт</v>
          </cell>
          <cell r="C97">
            <v>166</v>
          </cell>
          <cell r="E97">
            <v>38</v>
          </cell>
          <cell r="F97">
            <v>128</v>
          </cell>
          <cell r="G97">
            <v>0.22</v>
          </cell>
          <cell r="H97" t="e">
            <v>#N/A</v>
          </cell>
          <cell r="I97">
            <v>38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S97">
            <v>7.6</v>
          </cell>
          <cell r="U97">
            <v>16.842105263157894</v>
          </cell>
          <cell r="V97">
            <v>16.842105263157894</v>
          </cell>
          <cell r="Z97">
            <v>0</v>
          </cell>
          <cell r="AA97">
            <v>0</v>
          </cell>
          <cell r="AB97">
            <v>0</v>
          </cell>
          <cell r="AC97">
            <v>6.8</v>
          </cell>
          <cell r="AD97">
            <v>7</v>
          </cell>
          <cell r="AE97" t="e">
            <v>#N/A</v>
          </cell>
          <cell r="AF97" t="e">
            <v>#N/A</v>
          </cell>
        </row>
        <row r="98">
          <cell r="A98" t="str">
            <v>БОНУС МОЛОЧНЫЕ КЛАССИЧЕСКИЕ сос п/о в/у 0.3кг (6084)  ОСТАНКИНО</v>
          </cell>
          <cell r="B98" t="str">
            <v>шт</v>
          </cell>
          <cell r="C98">
            <v>161</v>
          </cell>
          <cell r="D98">
            <v>6</v>
          </cell>
          <cell r="E98">
            <v>37</v>
          </cell>
          <cell r="F98">
            <v>125</v>
          </cell>
          <cell r="G98">
            <v>0</v>
          </cell>
          <cell r="H98" t="e">
            <v>#N/A</v>
          </cell>
          <cell r="I98">
            <v>42</v>
          </cell>
          <cell r="J98">
            <v>-5</v>
          </cell>
          <cell r="K98">
            <v>0</v>
          </cell>
          <cell r="L98">
            <v>0</v>
          </cell>
          <cell r="M98">
            <v>0</v>
          </cell>
          <cell r="S98">
            <v>7.4</v>
          </cell>
          <cell r="U98">
            <v>16.891891891891891</v>
          </cell>
          <cell r="V98">
            <v>16.891891891891891</v>
          </cell>
          <cell r="Z98">
            <v>12</v>
          </cell>
          <cell r="AA98">
            <v>12.2</v>
          </cell>
          <cell r="AB98">
            <v>8</v>
          </cell>
          <cell r="AC98">
            <v>10.199999999999999</v>
          </cell>
          <cell r="AD98">
            <v>7</v>
          </cell>
          <cell r="AE98">
            <v>0</v>
          </cell>
          <cell r="AF98">
            <v>0</v>
          </cell>
        </row>
        <row r="99">
          <cell r="A99" t="str">
            <v>БОНУС МОЛОЧНЫЕ КЛАССИЧЕСКИЕ сос п/о мгс 2*4_С (4980)  ОСТАНКИНО</v>
          </cell>
          <cell r="B99" t="str">
            <v>кг</v>
          </cell>
          <cell r="C99">
            <v>59.62</v>
          </cell>
          <cell r="E99">
            <v>10.272</v>
          </cell>
          <cell r="F99">
            <v>49.347999999999999</v>
          </cell>
          <cell r="G99">
            <v>0</v>
          </cell>
          <cell r="H99" t="e">
            <v>#N/A</v>
          </cell>
          <cell r="I99">
            <v>10</v>
          </cell>
          <cell r="J99">
            <v>0.27200000000000024</v>
          </cell>
          <cell r="K99">
            <v>0</v>
          </cell>
          <cell r="L99">
            <v>0</v>
          </cell>
          <cell r="M99">
            <v>0</v>
          </cell>
          <cell r="S99">
            <v>2.0544000000000002</v>
          </cell>
          <cell r="U99">
            <v>24.020638629283486</v>
          </cell>
          <cell r="V99">
            <v>24.020638629283486</v>
          </cell>
          <cell r="Z99">
            <v>2.8864000000000001</v>
          </cell>
          <cell r="AA99">
            <v>5.4424000000000001</v>
          </cell>
          <cell r="AB99">
            <v>6.1943999999999999</v>
          </cell>
          <cell r="AC99">
            <v>2.4882</v>
          </cell>
          <cell r="AD99">
            <v>4.1440000000000001</v>
          </cell>
          <cell r="AE99">
            <v>0</v>
          </cell>
          <cell r="AF99">
            <v>0</v>
          </cell>
        </row>
        <row r="100">
          <cell r="A100" t="str">
            <v>БОНУС СОЧНЫЕ Папа может сос п/о мгс 1.5*4 (6954)  ОСТАНКИНО</v>
          </cell>
          <cell r="B100" t="str">
            <v>кг</v>
          </cell>
          <cell r="C100">
            <v>272.238</v>
          </cell>
          <cell r="D100">
            <v>1.526</v>
          </cell>
          <cell r="E100">
            <v>226.85599999999999</v>
          </cell>
          <cell r="F100">
            <v>45.381999999999998</v>
          </cell>
          <cell r="G100">
            <v>0</v>
          </cell>
          <cell r="H100" t="e">
            <v>#N/A</v>
          </cell>
          <cell r="I100">
            <v>220</v>
          </cell>
          <cell r="J100">
            <v>6.8559999999999945</v>
          </cell>
          <cell r="K100">
            <v>0</v>
          </cell>
          <cell r="L100">
            <v>0</v>
          </cell>
          <cell r="M100">
            <v>0</v>
          </cell>
          <cell r="S100">
            <v>45.371200000000002</v>
          </cell>
          <cell r="U100">
            <v>1.0002380364636596</v>
          </cell>
          <cell r="V100">
            <v>1.0002380364636596</v>
          </cell>
          <cell r="Z100">
            <v>44.353200000000001</v>
          </cell>
          <cell r="AA100">
            <v>54.863399999999999</v>
          </cell>
          <cell r="AB100">
            <v>43.230599999999995</v>
          </cell>
          <cell r="AC100">
            <v>38.132999999999996</v>
          </cell>
          <cell r="AD100">
            <v>40.670999999999999</v>
          </cell>
          <cell r="AE100">
            <v>0</v>
          </cell>
          <cell r="AF100">
            <v>0</v>
          </cell>
        </row>
        <row r="101">
          <cell r="A101" t="str">
            <v>БОНУС СОЧНЫЕ сос п/о мгс 0.41кг_UZ (6087)  ОСТАНКИНО</v>
          </cell>
          <cell r="B101" t="str">
            <v>шт</v>
          </cell>
          <cell r="C101">
            <v>438</v>
          </cell>
          <cell r="D101">
            <v>12</v>
          </cell>
          <cell r="E101">
            <v>149</v>
          </cell>
          <cell r="F101">
            <v>292</v>
          </cell>
          <cell r="G101">
            <v>0</v>
          </cell>
          <cell r="H101">
            <v>0</v>
          </cell>
          <cell r="I101">
            <v>158</v>
          </cell>
          <cell r="J101">
            <v>-9</v>
          </cell>
          <cell r="K101">
            <v>0</v>
          </cell>
          <cell r="L101">
            <v>0</v>
          </cell>
          <cell r="M101">
            <v>0</v>
          </cell>
          <cell r="S101">
            <v>29.8</v>
          </cell>
          <cell r="U101">
            <v>9.7986577181208059</v>
          </cell>
          <cell r="V101">
            <v>9.7986577181208059</v>
          </cell>
          <cell r="Z101">
            <v>33.4</v>
          </cell>
          <cell r="AA101">
            <v>35.200000000000003</v>
          </cell>
          <cell r="AB101">
            <v>41.8</v>
          </cell>
          <cell r="AC101">
            <v>38.6</v>
          </cell>
          <cell r="AD101">
            <v>21</v>
          </cell>
          <cell r="AE101">
            <v>0</v>
          </cell>
          <cell r="AF101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20.12.2025 - 20.12.2025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117.404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235.71600000000001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369.77499999999998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449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776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610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16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65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153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354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73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14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21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75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102.322</v>
          </cell>
        </row>
        <row r="22">
          <cell r="A22" t="str">
            <v xml:space="preserve"> 201  Ветчина Нежная ТМ Особый рецепт, (2,5кг), ПОКОМ</v>
          </cell>
          <cell r="D22">
            <v>864.64099999999996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59.033000000000001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-1.2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124.005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37.902000000000001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45.57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96.477000000000004</v>
          </cell>
        </row>
        <row r="29">
          <cell r="A29" t="str">
            <v xml:space="preserve"> 247  Сардельки Нежные, ВЕС.  ПОКОМ</v>
          </cell>
          <cell r="D29">
            <v>17.478000000000002</v>
          </cell>
        </row>
        <row r="30">
          <cell r="A30" t="str">
            <v xml:space="preserve"> 248  Сардельки Сочные ТМ Особый рецепт,   ПОКОМ</v>
          </cell>
          <cell r="D30">
            <v>38.280999999999999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304.44600000000003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21.221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8.9920000000000009</v>
          </cell>
        </row>
        <row r="34">
          <cell r="A34" t="str">
            <v xml:space="preserve"> 263  Шпикачки Стародворские, ВЕС.  ПОКОМ</v>
          </cell>
          <cell r="D34">
            <v>159.483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10.73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D36">
            <v>10.773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266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383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408</v>
          </cell>
        </row>
        <row r="40">
          <cell r="A40" t="str">
            <v xml:space="preserve"> 278  Сосиски Сочинки с сочным окороком, МГС 0.4кг,   ПОКОМ</v>
          </cell>
          <cell r="D40">
            <v>9</v>
          </cell>
        </row>
        <row r="41">
          <cell r="A41" t="str">
            <v xml:space="preserve"> 283  Сосиски Сочинки, ВЕС, ТМ Стародворье ПОКОМ</v>
          </cell>
          <cell r="D41">
            <v>90.031000000000006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187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D43">
            <v>139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D44">
            <v>45.238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D45">
            <v>67</v>
          </cell>
        </row>
        <row r="46">
          <cell r="A46" t="str">
            <v xml:space="preserve"> 302  Сосиски Сочинки по-баварски,  0.4кг, ТМ Стародворье  ПОКОМ</v>
          </cell>
          <cell r="D46">
            <v>204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D47">
            <v>26.725000000000001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84.709000000000003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176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339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117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174.01599999999999</v>
          </cell>
        </row>
        <row r="53">
          <cell r="A53" t="str">
            <v xml:space="preserve"> 315  Колбаса вареная Молокуша ТМ Вязанка ВЕС, ПОКОМ</v>
          </cell>
          <cell r="D53">
            <v>113.072</v>
          </cell>
        </row>
        <row r="54">
          <cell r="A54" t="str">
            <v xml:space="preserve"> 316  Колбаса Нежная ТМ Зареченские ВЕС  ПОКОМ</v>
          </cell>
          <cell r="D54">
            <v>85.524000000000001</v>
          </cell>
        </row>
        <row r="55">
          <cell r="A55" t="str">
            <v xml:space="preserve"> 318  Сосиски Датские ТМ Зареченские, ВЕС  ПОКОМ</v>
          </cell>
          <cell r="D55">
            <v>557.58299999999997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D56">
            <v>594</v>
          </cell>
        </row>
        <row r="57">
          <cell r="A57" t="str">
            <v xml:space="preserve"> 322  Колбаса вареная Молокуша 0,45кг ТМ Вязанка  ПОКОМ</v>
          </cell>
          <cell r="D57">
            <v>686</v>
          </cell>
        </row>
        <row r="58">
          <cell r="A58" t="str">
            <v xml:space="preserve"> 324  Ветчина Филейская ТМ Вязанка Столичная 0,45 кг ПОКОМ</v>
          </cell>
          <cell r="D58">
            <v>279</v>
          </cell>
        </row>
        <row r="59">
          <cell r="A59" t="str">
            <v xml:space="preserve"> 328  Сардельки Сочинки Стародворье ТМ  0,4 кг ПОКОМ</v>
          </cell>
          <cell r="D59">
            <v>106</v>
          </cell>
        </row>
        <row r="60">
          <cell r="A60" t="str">
            <v xml:space="preserve"> 329  Сардельки Сочинки с сыром Стародворье ТМ, 0,4 кг. ПОКОМ</v>
          </cell>
          <cell r="D60">
            <v>41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D61">
            <v>171.20400000000001</v>
          </cell>
        </row>
        <row r="62">
          <cell r="A62" t="str">
            <v xml:space="preserve"> 334  Паштет Любительский ТМ Стародворье ламистер 0,1 кг  ПОКОМ</v>
          </cell>
          <cell r="D62">
            <v>96</v>
          </cell>
        </row>
        <row r="63">
          <cell r="A63" t="str">
            <v xml:space="preserve"> 335  Колбаса Сливушка ТМ Вязанка. ВЕС.  ПОКОМ </v>
          </cell>
          <cell r="D63">
            <v>24.093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497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389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89.921000000000006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33.399000000000001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344.43599999999998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38.090000000000003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16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49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96</v>
          </cell>
        </row>
        <row r="73">
          <cell r="A73" t="str">
            <v xml:space="preserve"> 364  Сардельки Филейские Вязанка ВЕС NDX ТМ Вязанка  ПОКОМ</v>
          </cell>
          <cell r="D73">
            <v>117.488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191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175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108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108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85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45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1008</v>
          </cell>
        </row>
        <row r="81">
          <cell r="A81" t="str">
            <v xml:space="preserve"> 412  Сосиски Баварские ТМ Стародворье 0,35 кг ПОКОМ</v>
          </cell>
          <cell r="D81">
            <v>1156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108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D83">
            <v>125.575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D84">
            <v>55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D85">
            <v>18.706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D86">
            <v>106</v>
          </cell>
        </row>
        <row r="87">
          <cell r="A87" t="str">
            <v xml:space="preserve"> 448  Сосиски Сливушки по-венски ТМ Вязанка. 0,3 кг ПОКОМ</v>
          </cell>
          <cell r="D87">
            <v>40</v>
          </cell>
        </row>
        <row r="88">
          <cell r="A88" t="str">
            <v xml:space="preserve"> 449  Колбаса Дугушка Стародворская ВЕС ТС Дугушка ПОКОМ</v>
          </cell>
          <cell r="D88">
            <v>74.043000000000006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D89">
            <v>649.89599999999996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D90">
            <v>1029.3789999999999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D91">
            <v>1164.415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D92">
            <v>36.921999999999997</v>
          </cell>
        </row>
        <row r="93">
          <cell r="A93" t="str">
            <v xml:space="preserve"> 467  Колбаса Филейная 0,5кг ТМ Особый рецепт  ПОКОМ</v>
          </cell>
          <cell r="D93">
            <v>17</v>
          </cell>
        </row>
        <row r="94">
          <cell r="A94" t="str">
            <v xml:space="preserve"> 495  Колбаса Сочинка по-европейски с сочной грудинкой 0,3кг ТМ Стародворье  ПОКОМ</v>
          </cell>
          <cell r="D94">
            <v>234</v>
          </cell>
        </row>
        <row r="95">
          <cell r="A95" t="str">
            <v xml:space="preserve"> 496  Колбаса Сочинка по-фински с сочным окроком 0,3кг ТМ Стародворье  ПОКОМ</v>
          </cell>
          <cell r="D95">
            <v>99</v>
          </cell>
        </row>
        <row r="96">
          <cell r="A96" t="str">
            <v xml:space="preserve"> 497  Колбаса Сочинка зернистая с сочной грудинкой 0,3кг ТМ Стародворье  ПОКОМ</v>
          </cell>
          <cell r="D96">
            <v>197</v>
          </cell>
        </row>
        <row r="97">
          <cell r="A97" t="str">
            <v xml:space="preserve"> 498  Колбаса Сочинка рубленая с сочным окороком 0,3кг ТМ Стародворье  ПОКОМ</v>
          </cell>
          <cell r="D97">
            <v>121</v>
          </cell>
        </row>
        <row r="98">
          <cell r="A98" t="str">
            <v xml:space="preserve"> 519  Грудинка 0,12 кг нарезка ТМ Стародворье  ПОКОМ</v>
          </cell>
          <cell r="D98">
            <v>21</v>
          </cell>
        </row>
        <row r="99">
          <cell r="A99" t="str">
            <v xml:space="preserve"> 520  Колбаса Мраморная ТМ Стародворье в вакуумной упаковке 0,07 кг нарезка  ПОКОМ</v>
          </cell>
          <cell r="D99">
            <v>132</v>
          </cell>
        </row>
        <row r="100">
          <cell r="A100" t="str">
            <v xml:space="preserve"> 521  Бекон ТМ Стародворье в вакуумной упаковке 0,12кг нарезка  ПОКОМ</v>
          </cell>
          <cell r="D100">
            <v>45</v>
          </cell>
        </row>
        <row r="101">
          <cell r="A101" t="str">
            <v xml:space="preserve"> 523  Колбаса Сальчичон нарезка 0,07кг ТМ Стародворье  ПОКОМ </v>
          </cell>
          <cell r="D101">
            <v>118</v>
          </cell>
        </row>
        <row r="102">
          <cell r="A102" t="str">
            <v xml:space="preserve"> 524  Колбаса Сервелат Ореховый нарезка 0,07кг ТМ Стародворье  ПОКОМ</v>
          </cell>
          <cell r="D102">
            <v>133</v>
          </cell>
        </row>
        <row r="103">
          <cell r="A103" t="str">
            <v xml:space="preserve"> 525  Колбаса Фуэт нарезка 0,07кг ТМ Стародворье  ПОКОМ</v>
          </cell>
          <cell r="D103">
            <v>51</v>
          </cell>
        </row>
        <row r="104">
          <cell r="A104" t="str">
            <v xml:space="preserve"> 526  Корейка вяленая выдержанная нарезка 0,05кг ТМ Стародворье  ПОКОМ</v>
          </cell>
          <cell r="D104">
            <v>31</v>
          </cell>
        </row>
        <row r="105">
          <cell r="A105" t="str">
            <v xml:space="preserve"> 546  Колбаса Чесночная 0,4 кг срез ТМ Стародворье  ПОКОМ</v>
          </cell>
          <cell r="D105">
            <v>6</v>
          </cell>
        </row>
        <row r="106">
          <cell r="A106" t="str">
            <v xml:space="preserve"> 549  Колбаса Докторская ТМ Особый рецепт в оболочке полиамид.ВЕС  ПОКОМ</v>
          </cell>
          <cell r="D106">
            <v>353.07299999999998</v>
          </cell>
        </row>
        <row r="107">
          <cell r="A107" t="str">
            <v>1577 Спред растительно-сливочный "Сливочный вкус" 82,5% 180гр  ОСТАНКИНО</v>
          </cell>
          <cell r="D107">
            <v>9</v>
          </cell>
        </row>
        <row r="108">
          <cell r="A108" t="str">
            <v>1584 Спред растительно-сливочный "Сливочный вкус" 72,5% 180гр  ОСТАНКИНО</v>
          </cell>
          <cell r="D108">
            <v>9</v>
          </cell>
        </row>
        <row r="109">
          <cell r="A109" t="str">
            <v>3215 ВЕТЧ.МЯСНАЯ Папа может п/о 0.4кг 8шт.    ОСТАНКИНО</v>
          </cell>
          <cell r="D109">
            <v>96</v>
          </cell>
        </row>
        <row r="110">
          <cell r="A110" t="str">
            <v>3684 ПРЕСИЖН с/к в/у 1/250 8шт.   ОСТАНКИНО</v>
          </cell>
          <cell r="D110">
            <v>-2</v>
          </cell>
        </row>
        <row r="111">
          <cell r="A111" t="str">
            <v>3986 Ароматная с/к в/у 1/250 ОСТАНКИНО</v>
          </cell>
          <cell r="D111">
            <v>80</v>
          </cell>
        </row>
        <row r="112">
          <cell r="A112" t="str">
            <v>4063 МЯСНАЯ Папа может вар п/о_Л   ОСТАНКИНО</v>
          </cell>
          <cell r="D112">
            <v>320.08199999999999</v>
          </cell>
        </row>
        <row r="113">
          <cell r="A113" t="str">
            <v>4117 ЭКСТРА Папа может с/к в/у_Л   ОСТАНКИНО</v>
          </cell>
          <cell r="D113">
            <v>23.896000000000001</v>
          </cell>
        </row>
        <row r="114">
          <cell r="A114" t="str">
            <v>4574 Колбаса вар Мясная со шпиком 1кг Папа может п/о (код покуп. 24784) Останкино</v>
          </cell>
          <cell r="D114">
            <v>13.015000000000001</v>
          </cell>
        </row>
        <row r="115">
          <cell r="A115" t="str">
            <v>4813 ФИЛЕЙНАЯ Папа может вар п/о_Л   ОСТАНКИНО</v>
          </cell>
          <cell r="D115">
            <v>78.37</v>
          </cell>
        </row>
        <row r="116">
          <cell r="A116" t="str">
            <v>4993 САЛЯМИ ИТАЛЬЯНСКАЯ с/к в/у 1/250*8_120c ОСТАНКИНО</v>
          </cell>
          <cell r="D116">
            <v>43</v>
          </cell>
        </row>
        <row r="117">
          <cell r="A117" t="str">
            <v>5246 ДОКТОРСКАЯ ПРЕМИУМ вар б/о мгс_30с ОСТАНКИНО</v>
          </cell>
          <cell r="D117">
            <v>4.5380000000000003</v>
          </cell>
        </row>
        <row r="118">
          <cell r="A118" t="str">
            <v>5247 РУССКАЯ ПРЕМИУМ вар б/о мгс_30с ОСТАНКИНО</v>
          </cell>
          <cell r="D118">
            <v>3.02</v>
          </cell>
        </row>
        <row r="119">
          <cell r="A119" t="str">
            <v>5483 ЭКСТРА Папа может с/к в/у 1/250 8шт.   ОСТАНКИНО</v>
          </cell>
          <cell r="D119">
            <v>178</v>
          </cell>
        </row>
        <row r="120">
          <cell r="A120" t="str">
            <v>5544 Сервелат Финский в/к в/у_45с НОВАЯ ОСТАНКИНО</v>
          </cell>
          <cell r="D120">
            <v>184.56</v>
          </cell>
        </row>
        <row r="121">
          <cell r="A121" t="str">
            <v>5579 БЛИНЧ.КРУГЛЫЕ С САД.ЯБЛОК.1/420 зам_ПОСТ  ОСТАНКИНО</v>
          </cell>
          <cell r="D121">
            <v>5</v>
          </cell>
        </row>
        <row r="122">
          <cell r="A122" t="str">
            <v>5679 САЛЯМИ ИТАЛЬЯНСКАЯ с/к в/у 1/150_60с ОСТАНКИНО</v>
          </cell>
          <cell r="D122">
            <v>35</v>
          </cell>
        </row>
        <row r="123">
          <cell r="A123" t="str">
            <v>5682 САЛЯМИ МЕЛКОЗЕРНЕНАЯ с/к в/у 1/120_60с   ОСТАНКИНО</v>
          </cell>
          <cell r="D123">
            <v>5</v>
          </cell>
        </row>
        <row r="124">
          <cell r="A124" t="str">
            <v>5708 ПОСОЛЬСКАЯ Папа может с/к в/у ОСТАНКИНО</v>
          </cell>
          <cell r="D124">
            <v>9.4359999999999999</v>
          </cell>
        </row>
        <row r="125">
          <cell r="A125" t="str">
            <v>5851 ЭКСТРА Папа может вар п/о   ОСТАНКИНО</v>
          </cell>
          <cell r="D125">
            <v>30.701000000000001</v>
          </cell>
        </row>
        <row r="126">
          <cell r="A126" t="str">
            <v>5931 ОХОТНИЧЬЯ Папа может с/к в/у 1/220 8шт.   ОСТАНКИНО</v>
          </cell>
          <cell r="D126">
            <v>218</v>
          </cell>
        </row>
        <row r="127">
          <cell r="A127" t="str">
            <v>6004 РАГУ СВИНОЕ 1кг 8шт.зам_120с ОСТАНКИНО</v>
          </cell>
          <cell r="D127">
            <v>32</v>
          </cell>
        </row>
        <row r="128">
          <cell r="A128" t="str">
            <v>6148 БЛИНЧ.КРУГЛЫЕ С ВЕТЧ.И СЫР.ПМ 1/300 зам.  ОСТАНКИНО</v>
          </cell>
          <cell r="D128">
            <v>1</v>
          </cell>
        </row>
        <row r="129">
          <cell r="A129" t="str">
            <v>6168 БЛИНЧ.С МЯСОМ пл.1/350 зам  ОСТАНКИНО</v>
          </cell>
          <cell r="D129">
            <v>13</v>
          </cell>
        </row>
        <row r="130">
          <cell r="A130" t="str">
            <v>6202 БЛИНЧ.КРУГЛЫЕ С ТВОРОГОМ ПМ 1/300 зам.  ОСТАНКИНО</v>
          </cell>
          <cell r="D130">
            <v>23</v>
          </cell>
        </row>
        <row r="131">
          <cell r="A131" t="str">
            <v>6209 БЛИНЧ.С КУРИНЫМ МЯСОМ пл.1/350 зам.  ОСТАНКИНО</v>
          </cell>
          <cell r="D131">
            <v>13</v>
          </cell>
        </row>
        <row r="132">
          <cell r="A132" t="str">
            <v>6220 ГОВЯЖЬЯ Папа может вар п/о  ОСТАНКИНО</v>
          </cell>
          <cell r="D132">
            <v>2.278</v>
          </cell>
        </row>
        <row r="133">
          <cell r="A133" t="str">
            <v>6221 НЕАПОЛИТАНСКИЙ ДУЭТ с/к с/н мгс 1/90  ОСТАНКИНО</v>
          </cell>
          <cell r="D133">
            <v>35</v>
          </cell>
        </row>
        <row r="134">
          <cell r="A134" t="str">
            <v>6228 МЯСНОЕ АССОРТИ к/з с/н мгс 1/90 10шт.  ОСТАНКИНО</v>
          </cell>
          <cell r="D134">
            <v>84</v>
          </cell>
        </row>
        <row r="135">
          <cell r="A135" t="str">
            <v>6247 ДОМАШНЯЯ Папа может вар п/о 0,4кг 8шт.  ОСТАНКИНО</v>
          </cell>
          <cell r="D135">
            <v>30</v>
          </cell>
        </row>
        <row r="136">
          <cell r="A136" t="str">
            <v>6268 ГОВЯЖЬЯ Папа может вар п/о 0,4кг 8 шт.  ОСТАНКИНО</v>
          </cell>
          <cell r="D136">
            <v>79</v>
          </cell>
        </row>
        <row r="137">
          <cell r="A137" t="str">
            <v>6279 КОРЕЙКА ПО-ОСТ.к/в в/с с/н в/у 1/150_45с  ОСТАНКИНО</v>
          </cell>
          <cell r="D137">
            <v>50</v>
          </cell>
        </row>
        <row r="138">
          <cell r="A138" t="str">
            <v>6303 МЯСНЫЕ Папа может сос п/о мгс 1.5*3  ОСТАНКИНО</v>
          </cell>
          <cell r="D138">
            <v>55.484999999999999</v>
          </cell>
        </row>
        <row r="139">
          <cell r="A139" t="str">
            <v>6324 ДОКТОРСКАЯ ГОСТ вар п/о 0.4кг 8шт.  ОСТАНКИНО</v>
          </cell>
          <cell r="D139">
            <v>20</v>
          </cell>
        </row>
        <row r="140">
          <cell r="A140" t="str">
            <v>6325 ДОКТОРСКАЯ ПРЕМИУМ вар п/о 0.4кг 8шт.  ОСТАНКИНО</v>
          </cell>
          <cell r="D140">
            <v>237</v>
          </cell>
        </row>
        <row r="141">
          <cell r="A141" t="str">
            <v>6333 МЯСНАЯ Папа может вар п/о 0.4кг 8шт.  ОСТАНКИНО</v>
          </cell>
          <cell r="D141">
            <v>724</v>
          </cell>
        </row>
        <row r="142">
          <cell r="A142" t="str">
            <v>6340 ДОМАШНИЙ РЕЦЕПТ Коровино 0.5кг 8шт.  ОСТАНКИНО</v>
          </cell>
          <cell r="D142">
            <v>75</v>
          </cell>
        </row>
        <row r="143">
          <cell r="A143" t="str">
            <v>6353 ЭКСТРА Папа может вар п/о 0.4кг 8шт.  ОСТАНКИНО</v>
          </cell>
          <cell r="D143">
            <v>225</v>
          </cell>
        </row>
        <row r="144">
          <cell r="A144" t="str">
            <v>6392 ФИЛЕЙНАЯ Папа может вар п/о 0.4кг. ОСТАНКИНО</v>
          </cell>
          <cell r="D144">
            <v>409</v>
          </cell>
        </row>
        <row r="145">
          <cell r="A145" t="str">
            <v>6448 СВИНИНА МАДЕРА с/к с/н в/у 1/100 10шт.   ОСТАНКИНО</v>
          </cell>
          <cell r="D145">
            <v>18</v>
          </cell>
        </row>
        <row r="146">
          <cell r="A146" t="str">
            <v>6453 ЭКСТРА Папа может с/к с/н в/у 1/100 14шт.   ОСТАНКИНО</v>
          </cell>
          <cell r="D146">
            <v>241</v>
          </cell>
        </row>
        <row r="147">
          <cell r="A147" t="str">
            <v>6454 АРОМАТНАЯ с/к с/н в/у 1/100 10шт.  ОСТАНКИНО</v>
          </cell>
          <cell r="D147">
            <v>206</v>
          </cell>
        </row>
        <row r="148">
          <cell r="A148" t="str">
            <v>6459 СЕРВЕЛАТ ШВЕЙЦАРСК. в/к с/н в/у 1/100*10  ОСТАНКИНО</v>
          </cell>
          <cell r="D148">
            <v>147</v>
          </cell>
        </row>
        <row r="149">
          <cell r="A149" t="str">
            <v>6470 ВЕТЧ.МРАМОРНАЯ в/у_45с  ОСТАНКИНО</v>
          </cell>
          <cell r="D149">
            <v>9.2170000000000005</v>
          </cell>
        </row>
        <row r="150">
          <cell r="A150" t="str">
            <v>6495 ВЕТЧ.МРАМОРНАЯ в/у срез 0.3кг 6шт_45с  ОСТАНКИНО</v>
          </cell>
          <cell r="D150">
            <v>42</v>
          </cell>
        </row>
        <row r="151">
          <cell r="A151" t="str">
            <v>6527 ШПИКАЧКИ СОЧНЫЕ ПМ сар б/о мгс 1*3 45с ОСТАНКИНО</v>
          </cell>
          <cell r="D151">
            <v>47.311999999999998</v>
          </cell>
        </row>
        <row r="152">
          <cell r="A152" t="str">
            <v>6609 С ГОВЯДИНОЙ ПМ сар б/о мгс 0.4кг_45с ОСТАНКИНО</v>
          </cell>
          <cell r="D152">
            <v>7</v>
          </cell>
        </row>
        <row r="153">
          <cell r="A153" t="str">
            <v>6616 МОЛОЧНЫЕ КЛАССИЧЕСКИЕ сос п/о в/у 0.3кг  ОСТАНКИНО</v>
          </cell>
          <cell r="D153">
            <v>343</v>
          </cell>
        </row>
        <row r="154">
          <cell r="A154" t="str">
            <v>6697 СЕРВЕЛАТ ФИНСКИЙ ПМ в/к в/у 0,35кг 8шт.  ОСТАНКИНО</v>
          </cell>
          <cell r="D154">
            <v>651</v>
          </cell>
        </row>
        <row r="155">
          <cell r="A155" t="str">
            <v>6713 СОЧНЫЙ ГРИЛЬ ПМ сос п/о мгс 0.41кг 8шт.  ОСТАНКИНО</v>
          </cell>
          <cell r="D155">
            <v>327</v>
          </cell>
        </row>
        <row r="156">
          <cell r="A156" t="str">
            <v>6724 МОЛОЧНЫЕ ПМ сос п/о мгс 0.41кг 10шт.  ОСТАНКИНО</v>
          </cell>
          <cell r="D156">
            <v>91</v>
          </cell>
        </row>
        <row r="157">
          <cell r="A157" t="str">
            <v>6765 РУБЛЕНЫЕ сос ц/о мгс 0.36кг 6шт.  ОСТАНКИНО</v>
          </cell>
          <cell r="D157">
            <v>68</v>
          </cell>
        </row>
        <row r="158">
          <cell r="A158" t="str">
            <v>6785 ВЕНСКАЯ САЛЯМИ п/к в/у 0.33кг 8шт.  ОСТАНКИНО</v>
          </cell>
          <cell r="D158">
            <v>8</v>
          </cell>
        </row>
        <row r="159">
          <cell r="A159" t="str">
            <v>6787 СЕРВЕЛАТ КРЕМЛЕВСКИЙ в/к в/у 0,33кг 8шт.  ОСТАНКИНО</v>
          </cell>
          <cell r="D159">
            <v>27</v>
          </cell>
        </row>
        <row r="160">
          <cell r="A160" t="str">
            <v>6793 БАЛЫКОВАЯ в/к в/у 0,33кг 8шт.  ОСТАНКИНО</v>
          </cell>
          <cell r="D160">
            <v>51</v>
          </cell>
        </row>
        <row r="161">
          <cell r="A161" t="str">
            <v>6819 БЛИНЧ.КРУГЛЫЕ С САД.ЯБЛОК. пл.1/300 зам.  ОСТАНКИНО</v>
          </cell>
          <cell r="D161">
            <v>5</v>
          </cell>
        </row>
        <row r="162">
          <cell r="A162" t="str">
            <v>6829 МОЛОЧНЫЕ КЛАССИЧЕСКИЕ сос п/о мгс 2*4_С  ОСТАНКИНО</v>
          </cell>
          <cell r="D162">
            <v>148.46799999999999</v>
          </cell>
        </row>
        <row r="163">
          <cell r="A163" t="str">
            <v>6837 ФИЛЕЙНЫЕ Папа Может сос ц/о мгс 0.4кг  ОСТАНКИНО</v>
          </cell>
          <cell r="D163">
            <v>160</v>
          </cell>
        </row>
        <row r="164">
          <cell r="A164" t="str">
            <v>6842 ДЫМОВИЦА ИЗ ОКОРОКА к/в мл/к в/у 0,3кг  ОСТАНКИНО</v>
          </cell>
          <cell r="D164">
            <v>16</v>
          </cell>
        </row>
        <row r="165">
          <cell r="A165" t="str">
            <v>6861 ДОМАШНИЙ РЕЦЕПТ Коровино вар п/о  ОСТАНКИНО</v>
          </cell>
          <cell r="D165">
            <v>140.84899999999999</v>
          </cell>
        </row>
        <row r="166">
          <cell r="A166" t="str">
            <v>6866 ВЕТЧ.НЕЖНАЯ Коровино п/о_Маяк  ОСТАНКИНО</v>
          </cell>
          <cell r="D166">
            <v>16.006</v>
          </cell>
        </row>
        <row r="167">
          <cell r="A167" t="str">
            <v>7001 КЛАССИЧЕСКИЕ Папа может сар б/о мгс 1*3  ОСТАНКИНО</v>
          </cell>
          <cell r="D167">
            <v>28.215</v>
          </cell>
        </row>
        <row r="168">
          <cell r="A168" t="str">
            <v>7040 С ИНДЕЙКОЙ ПМ сос ц/о в/у 1/270 8шт.  ОСТАНКИНО</v>
          </cell>
          <cell r="D168">
            <v>55</v>
          </cell>
        </row>
        <row r="169">
          <cell r="A169" t="str">
            <v>7059 ШПИКАЧКИ СОЧНЫЕ С БЕК. п/о мгс 0.3кг_60с  ОСТАНКИНО</v>
          </cell>
          <cell r="D169">
            <v>50</v>
          </cell>
        </row>
        <row r="170">
          <cell r="A170" t="str">
            <v>7066 СОЧНЫЕ ПМ сос п/о мгс 0.41кг 10шт_50с  ОСТАНКИНО</v>
          </cell>
          <cell r="D170">
            <v>914</v>
          </cell>
        </row>
        <row r="171">
          <cell r="A171" t="str">
            <v>7070 СОЧНЫЕ ПМ сос п/о мгс 1.5*4_А_50с  ОСТАНКИНО</v>
          </cell>
          <cell r="D171">
            <v>510.76900000000001</v>
          </cell>
        </row>
        <row r="172">
          <cell r="A172" t="str">
            <v>7073 МОЛОЧ.ПРЕМИУМ ПМ сос п/о в/у 1/350_50с  ОСТАНКИНО</v>
          </cell>
          <cell r="D172">
            <v>251</v>
          </cell>
        </row>
        <row r="173">
          <cell r="A173" t="str">
            <v>7075 МОЛОЧ.ПРЕМИУМ ПМ сос п/о мгс 1.5*4_О_50с  ОСТАНКИНО</v>
          </cell>
          <cell r="D173">
            <v>10.304</v>
          </cell>
        </row>
        <row r="174">
          <cell r="A174" t="str">
            <v>7077 МЯСНЫЕ С ГОВЯД.ПМ сос п/о мгс 0.4кг_50с  ОСТАНКИНО</v>
          </cell>
          <cell r="D174">
            <v>56</v>
          </cell>
        </row>
        <row r="175">
          <cell r="A175" t="str">
            <v>7080 СЛИВОЧНЫЕ ПМ сос п/о мгс 0.41кг 10шт. 50с  ОСТАНКИНО</v>
          </cell>
          <cell r="D175">
            <v>477</v>
          </cell>
        </row>
        <row r="176">
          <cell r="A176" t="str">
            <v>7082 СЛИВОЧНЫЕ ПМ сос п/о мгс 1.5*4_50с  ОСТАНКИНО</v>
          </cell>
          <cell r="D176">
            <v>22.962</v>
          </cell>
        </row>
        <row r="177">
          <cell r="A177" t="str">
            <v>7087 ШПИК С ЧЕСНОК.И ПЕРЦЕМ к/в в/у 0.3кг_50с  ОСТАНКИНО</v>
          </cell>
          <cell r="D177">
            <v>43</v>
          </cell>
        </row>
        <row r="178">
          <cell r="A178" t="str">
            <v>7090 СВИНИНА ПО-ДОМ. к/в мл/к в/у 0.3кг_50с  ОСТАНКИНО</v>
          </cell>
          <cell r="D178">
            <v>91</v>
          </cell>
        </row>
        <row r="179">
          <cell r="A179" t="str">
            <v>7092 БЕКОН Папа может с/к с/н в/у 1/140_50с  ОСТАНКИНО</v>
          </cell>
          <cell r="D179">
            <v>199</v>
          </cell>
        </row>
        <row r="180">
          <cell r="A180" t="str">
            <v>7147 САЛЬЧИЧОН Останкино с/к в/у 1/220 8шт.  ОСТАНКИНО</v>
          </cell>
          <cell r="D180">
            <v>5</v>
          </cell>
        </row>
        <row r="181">
          <cell r="A181" t="str">
            <v>7149 БАЛЫКОВАЯ Коровино п/к в/у 0.84кг_50с  ОСТАНКИНО</v>
          </cell>
          <cell r="D181">
            <v>1</v>
          </cell>
        </row>
        <row r="182">
          <cell r="A182" t="str">
            <v>7154 СЕРВЕЛАТ ЗЕРНИСТЫЙ ПМ в/к в/у 0.35кг_50с  ОСТАНКИНО</v>
          </cell>
          <cell r="D182">
            <v>438</v>
          </cell>
        </row>
        <row r="183">
          <cell r="A183" t="str">
            <v>7157 СЕРВЕЛАТ ЗЕРНИСНЫЙ ПМ в/к в/у_50с  ОСТАНКИНО</v>
          </cell>
          <cell r="D183">
            <v>31.611999999999998</v>
          </cell>
        </row>
        <row r="184">
          <cell r="A184" t="str">
            <v>7166 СЕРВЕЛТ ОХОТНИЧИЙ ПМ в/к в/у_50с  ОСТАНКИНО</v>
          </cell>
          <cell r="D184">
            <v>77.617999999999995</v>
          </cell>
        </row>
        <row r="185">
          <cell r="A185" t="str">
            <v>7169 СЕРВЕЛАТ ОХОТНИЧИЙ ПМ в/к в/у 0.35кг_50с  ОСТАНКИНО</v>
          </cell>
          <cell r="D185">
            <v>513</v>
          </cell>
        </row>
        <row r="186">
          <cell r="A186" t="str">
            <v>7187 ГРУДИНКА ПРЕМИУМ к/в мл/к в/у 0,3кг_50с ОСТАНКИНО</v>
          </cell>
          <cell r="D186">
            <v>157</v>
          </cell>
        </row>
        <row r="187">
          <cell r="A187" t="str">
            <v>7227 САЛЯМИ ФИНСКАЯ Папа может с/к в/у 1/180  ОСТАНКИНО</v>
          </cell>
          <cell r="D187">
            <v>32</v>
          </cell>
        </row>
        <row r="188">
          <cell r="A188" t="str">
            <v>7231 КЛАССИЧЕСКАЯ ПМ вар п/о 0,3кг 8шт_209к ОСТАНКИНО</v>
          </cell>
          <cell r="D188">
            <v>202</v>
          </cell>
        </row>
        <row r="189">
          <cell r="A189" t="str">
            <v>7232 БОЯNСКАЯ ПМ п/к в/у 0,28кг 8шт_209к ОСТАНКИНО</v>
          </cell>
          <cell r="D189">
            <v>224</v>
          </cell>
        </row>
        <row r="190">
          <cell r="A190" t="str">
            <v>7235 ВЕТЧ.КЛАССИЧЕСКАЯ ПМ п/о 0,35кг 8шт_209к ОСТАНКИНО</v>
          </cell>
          <cell r="D190">
            <v>-2</v>
          </cell>
        </row>
        <row r="191">
          <cell r="A191" t="str">
            <v>7236 СЕРВЕЛАТ КАРЕЛЬСКИЙ в/к в/у 0,28кг_209к ОСТАНКИНО</v>
          </cell>
          <cell r="D191">
            <v>505</v>
          </cell>
        </row>
        <row r="192">
          <cell r="A192" t="str">
            <v>7241 САЛЯМИ Папа может п/к в/у 0,28кг_209к ОСТАНКИНО</v>
          </cell>
          <cell r="D192">
            <v>185</v>
          </cell>
        </row>
        <row r="193">
          <cell r="A193" t="str">
            <v>7245 ВЕТЧ.ФИЛЕЙНАЯ ПМ п/о 0,4кг 8шт ОСТАНКИНО</v>
          </cell>
          <cell r="D193">
            <v>14</v>
          </cell>
        </row>
        <row r="194">
          <cell r="A194" t="str">
            <v>7255 МЯСНЫЕ С ГОВЯД. ПМ сос п/о мгс 0,4кг 6шт.  ОСТАНКИНО</v>
          </cell>
          <cell r="D194">
            <v>233</v>
          </cell>
        </row>
        <row r="195">
          <cell r="A195" t="str">
            <v>7271 МЯСНЫЕ С ГОВЯДИНОЙ ПМ сос п/о мгс 1.5*4 ВЕС  ОСТАНКИНО</v>
          </cell>
          <cell r="D195">
            <v>42.271000000000001</v>
          </cell>
        </row>
        <row r="196">
          <cell r="A196" t="str">
            <v>7284 ДЛЯ ДЕТЕЙ сос п/о мгс 0,33кг 6шт  ОСТАНКИНО</v>
          </cell>
          <cell r="D196">
            <v>12</v>
          </cell>
        </row>
        <row r="197">
          <cell r="A197" t="str">
            <v>7317 ПРЕСИЖН с/к дек.спец. мгс 0,54кг  ОСТАНКИНО</v>
          </cell>
          <cell r="D197">
            <v>14</v>
          </cell>
        </row>
        <row r="198">
          <cell r="A198" t="str">
            <v>7332 БОЯРСКАЯ ПМ п/к в/у 0.28кг_СНГ  ОСТАНКИНО</v>
          </cell>
          <cell r="D198">
            <v>11</v>
          </cell>
        </row>
        <row r="199">
          <cell r="A199" t="str">
            <v>7333 СЕРВЕЛАТ ОХОТНИЧИЙ ПМ в/к в/у 0.28кг_СНГ  ОСТАНКИНО</v>
          </cell>
          <cell r="D199">
            <v>22</v>
          </cell>
        </row>
        <row r="200">
          <cell r="A200" t="str">
            <v>7343 СЕЙЧАС СЕЗОН ПМ вар п/о 0,4кг  ОСТАНКИНО</v>
          </cell>
          <cell r="D200">
            <v>389</v>
          </cell>
        </row>
        <row r="201">
          <cell r="A201" t="str">
            <v>7364 ЧОРИЗО Останкино с/к в/у 1/220 8шт.  ОСТАНКИНО</v>
          </cell>
          <cell r="D201">
            <v>3</v>
          </cell>
        </row>
        <row r="202">
          <cell r="A202" t="str">
            <v>7377 ВЕТЧ.С ИНДЕЙКОЙ ПМ в/у срез 0,3кг 6шт.  ОСТАНКИНО</v>
          </cell>
          <cell r="D202">
            <v>23</v>
          </cell>
        </row>
        <row r="203">
          <cell r="A203" t="str">
            <v>7382 САЛЯМИ МЕЛКОЗЕРНЕНАЯ с/к в/у 1/120 8шт.  ОСТАНКИНО</v>
          </cell>
          <cell r="D203">
            <v>222</v>
          </cell>
        </row>
        <row r="204">
          <cell r="A204" t="str">
            <v>7383 САН-РЕМО Останкино с/в в/у 1/220 8шт.  ОСТАНКИНО</v>
          </cell>
          <cell r="D204">
            <v>3</v>
          </cell>
        </row>
        <row r="205">
          <cell r="A205" t="str">
            <v>8950 Масло сливочное ПАПА МОЖЕТ 72,5%, фас. в фольгу, 180гр  ОСТАНКИНО</v>
          </cell>
          <cell r="D205">
            <v>23</v>
          </cell>
        </row>
        <row r="206">
          <cell r="A206" t="str">
            <v>8967 Масло "Папа может" 82,5% 180гр  ОСТАНКИНО</v>
          </cell>
          <cell r="D206">
            <v>14</v>
          </cell>
        </row>
        <row r="207">
          <cell r="A207" t="str">
            <v>Балыковая с/к 200 гр. срез "Эликатессе" термоформ.пак.  СПК</v>
          </cell>
          <cell r="D207">
            <v>11</v>
          </cell>
        </row>
        <row r="208">
          <cell r="A208" t="str">
            <v>БЛИНЧ.КРУГЛЫЕ С ГРУШЕЙ пл.1/420 зам.   ОСТАНКИНО</v>
          </cell>
          <cell r="D208">
            <v>8</v>
          </cell>
        </row>
        <row r="209">
          <cell r="A209" t="str">
            <v>БОНУС МОЛОЧНЫЕ КЛАССИЧЕСКИЕ сос п/о в/у 0.3кг (6084)  ОСТАНКИНО</v>
          </cell>
          <cell r="D209">
            <v>9</v>
          </cell>
        </row>
        <row r="210">
          <cell r="A210" t="str">
            <v>БОНУС МОЛОЧНЫЕ КЛАССИЧЕСКИЕ сос п/о мгс 2*4_С (4980)  ОСТАНКИНО</v>
          </cell>
          <cell r="D210">
            <v>4.2149999999999999</v>
          </cell>
        </row>
        <row r="211">
          <cell r="A211" t="str">
            <v>БОНУС СОЧНЫЕ Папа может сос п/о мгс 1.5*4 (6954)  ОСТАНКИНО</v>
          </cell>
          <cell r="D211">
            <v>32.628999999999998</v>
          </cell>
        </row>
        <row r="212">
          <cell r="A212" t="str">
            <v>БОНУС СОЧНЫЕ сос п/о мгс 0.41кг_UZ (6087)  ОСТАНКИНО</v>
          </cell>
          <cell r="D212">
            <v>57</v>
          </cell>
        </row>
        <row r="213">
          <cell r="A213" t="str">
            <v>Готовые бельмеши сочные с мясом ТМ Горячая штучка 0,3кг зам  ПОКОМ</v>
          </cell>
          <cell r="D213">
            <v>50</v>
          </cell>
        </row>
        <row r="214">
          <cell r="A214" t="str">
            <v>Готовые чебупели острые с мясом 0,24кг ТМ Горячая штучка  ПОКОМ</v>
          </cell>
          <cell r="D214">
            <v>73</v>
          </cell>
        </row>
        <row r="215">
          <cell r="A215" t="str">
            <v>Готовые чебупели с ветчиной и сыром ТМ Горячая штучка флоу-пак 0,24 кг.  ПОКОМ</v>
          </cell>
          <cell r="D215">
            <v>255</v>
          </cell>
        </row>
        <row r="216">
          <cell r="A216" t="str">
            <v>Готовые чебупели сочные с мясом ТМ Горячая штучка флоу-пак 0,24 кг  ПОКОМ</v>
          </cell>
          <cell r="D216">
            <v>219</v>
          </cell>
        </row>
        <row r="217">
          <cell r="A217" t="str">
            <v>Готовые чебуреки с мясом ТМ Горячая штучка 0,09 кг флоу-пак ПОКОМ</v>
          </cell>
          <cell r="D217">
            <v>67</v>
          </cell>
        </row>
        <row r="218">
          <cell r="A218" t="str">
            <v>Гуцульская с/к "КолбасГрад" 160 гр.шт. термоус. пак  СПК</v>
          </cell>
          <cell r="D218">
            <v>7</v>
          </cell>
        </row>
        <row r="219">
          <cell r="A219" t="str">
            <v>Деревенская с чесночком и сальцем п/к (черева) 390 гр.шт. термоус. пак.  СПК</v>
          </cell>
          <cell r="D219">
            <v>3</v>
          </cell>
        </row>
        <row r="220">
          <cell r="A220" t="str">
            <v>ЖАР-ладушки с мясом 0,2кг ТМ Стародворье  ПОКОМ</v>
          </cell>
          <cell r="D220">
            <v>52</v>
          </cell>
        </row>
        <row r="221">
          <cell r="A221" t="str">
            <v>Жареные вареники с картофелем и беконом Добросельские 0,2 кг. ТМ Стародворье  ПОКОМ</v>
          </cell>
          <cell r="D221">
            <v>3</v>
          </cell>
        </row>
        <row r="222">
          <cell r="A222" t="str">
            <v>Жареные вареники с картофелем и беконом ТМ Стародворье 0,2 кг  ПОКОМ</v>
          </cell>
          <cell r="D222">
            <v>10</v>
          </cell>
        </row>
        <row r="223">
          <cell r="A223" t="str">
            <v>Классическая с/к 80 гр.шт.нар. (лоток с ср.защ.атм.)  СПК</v>
          </cell>
          <cell r="D223">
            <v>6</v>
          </cell>
        </row>
        <row r="224">
          <cell r="A224" t="str">
            <v>Колбаски ПодПивасики оригинальные с/к 0,10 кг.шт. термофор.пак.  СПК</v>
          </cell>
          <cell r="D224">
            <v>85</v>
          </cell>
        </row>
        <row r="225">
          <cell r="A225" t="str">
            <v>Колбаски ПодПивасики острые с/к 0,10 кг.шт. термофор.пак.  СПК</v>
          </cell>
          <cell r="D225">
            <v>67</v>
          </cell>
        </row>
        <row r="226">
          <cell r="A226" t="str">
            <v>Колбаски ПодПивасики с сыром с/к 100 гр.шт. (в ср.защ.атм.)  СПК</v>
          </cell>
          <cell r="D226">
            <v>10</v>
          </cell>
        </row>
        <row r="227">
          <cell r="A227" t="str">
            <v>Круггетсы с сырным соусом ТМ Горячая штучка ТС Круггетсы флоу-пак 0,2 кг  ПОКОМ</v>
          </cell>
          <cell r="D227">
            <v>100</v>
          </cell>
        </row>
        <row r="228">
          <cell r="A228" t="str">
            <v>Круггетсы сочные ТМ Горячая штучка ТС Круггетсы флоу-пак 0,2 кг.  ПОКОМ</v>
          </cell>
          <cell r="D228">
            <v>85</v>
          </cell>
        </row>
        <row r="229">
          <cell r="A229" t="str">
            <v>Мини-пицца с ветчиной и сыром ТМ Зареченские ВЕС,  ПОКОМ</v>
          </cell>
          <cell r="D229">
            <v>3</v>
          </cell>
        </row>
        <row r="230">
          <cell r="A230" t="str">
            <v>Мини-сосиски в тесте 3,7кг ВЕС заморож. ТМ Зареченские  ПОКОМ</v>
          </cell>
          <cell r="D230">
            <v>11.1</v>
          </cell>
        </row>
        <row r="231">
          <cell r="A231" t="str">
            <v>Наггетсы из печи 0,25кг ТМ Вязанка ТС Няняггетсы Сливушки замор.  ПОКОМ</v>
          </cell>
          <cell r="D231">
            <v>325</v>
          </cell>
        </row>
        <row r="232">
          <cell r="A232" t="str">
            <v>Наггетсы Нагетосы Сочная курочка ТМ Горячая штучка 0,25 кг зам  ПОКОМ</v>
          </cell>
          <cell r="D232">
            <v>204</v>
          </cell>
        </row>
        <row r="233">
          <cell r="A233" t="str">
            <v>Наггетсы с индейкой 0,25кг ТМ Вязанка ТС Няняггетсы Сливушки НД2 замор.  ПОКОМ</v>
          </cell>
          <cell r="D233">
            <v>207</v>
          </cell>
        </row>
        <row r="234">
          <cell r="A234" t="str">
            <v>Наггетсы с куриным филе и сыром ТМ Вязанка 0,25 кг ПОКОМ</v>
          </cell>
          <cell r="D234">
            <v>237</v>
          </cell>
        </row>
        <row r="235">
          <cell r="A235" t="str">
            <v>Наггетсы Хрустящие ТМ Зареченские. ВЕС ПОКОМ</v>
          </cell>
          <cell r="D235">
            <v>192</v>
          </cell>
        </row>
        <row r="236">
          <cell r="A236" t="str">
            <v>Наггетсы Хрустящие ТМ Стародворье с сочной курочкой 0,23 кг  ПОКОМ</v>
          </cell>
          <cell r="D236">
            <v>33</v>
          </cell>
        </row>
        <row r="237">
          <cell r="A237" t="str">
            <v>Оригинальная с перцем с/к  СПК</v>
          </cell>
          <cell r="D237">
            <v>19.109000000000002</v>
          </cell>
        </row>
        <row r="238">
          <cell r="A238" t="str">
            <v>Паштет печеночный 140 гр.шт.  СПК</v>
          </cell>
          <cell r="D238">
            <v>4</v>
          </cell>
        </row>
        <row r="239">
          <cell r="A239" t="str">
            <v>Пекерсы с индейкой в сливочном соусе ТМ Горячая штучка 0,25 кг зам  ПОКОМ</v>
          </cell>
          <cell r="D239">
            <v>67</v>
          </cell>
        </row>
        <row r="240">
          <cell r="A240" t="str">
            <v>Пельмени Grandmeni с говядиной и свининой 0,7кг ТМ Горячая штучка  ПОКОМ</v>
          </cell>
          <cell r="D240">
            <v>48</v>
          </cell>
        </row>
        <row r="241">
          <cell r="A241" t="str">
            <v>Пельмени Бигбули #МЕГАВКУСИЩЕ с сочной грудинкой ТМ Горячая штучка 0,7 кг. ПОКОМ</v>
          </cell>
          <cell r="D241">
            <v>129</v>
          </cell>
        </row>
        <row r="242">
          <cell r="A242" t="str">
            <v>Пельмени Бигбули с мясом ТМ Горячая штучка. флоу-пак сфера 0,4 кг. ПОКОМ</v>
          </cell>
          <cell r="D242">
            <v>24</v>
          </cell>
        </row>
        <row r="243">
          <cell r="A243" t="str">
            <v>Пельмени Бигбули с мясом ТМ Горячая штучка. флоу-пак сфера 0,7 кг ПОКОМ</v>
          </cell>
          <cell r="D243">
            <v>158</v>
          </cell>
        </row>
        <row r="244">
          <cell r="A244" t="str">
            <v>Пельмени Бигбули со сливочным маслом ТМ Горячая штучка, флоу-пак сфера 0,7. ПОКОМ</v>
          </cell>
          <cell r="D244">
            <v>194</v>
          </cell>
        </row>
        <row r="245">
          <cell r="A245" t="str">
            <v>Пельмени Бульмени мини с мясом и cыром ТМ Горячая штучка ТС Бульмени ГШ флоу-пак сфера 0,4 кг  ПОКОМ</v>
          </cell>
          <cell r="D245">
            <v>29</v>
          </cell>
        </row>
        <row r="246">
          <cell r="A246" t="str">
            <v>Пельмени Бульмени мини с мясом и оливковым маслом 0,7 кг ТМ Горячая штучка  ПОКОМ</v>
          </cell>
          <cell r="D246">
            <v>64</v>
          </cell>
        </row>
        <row r="247">
          <cell r="A247" t="str">
            <v>Пельмени Бульмени Нейробуст с мясом ТМ Горячая штучка ТС Бульмени ГШ сфера флоу-пак 0,6 кг.  ПОКОМ</v>
          </cell>
          <cell r="D247">
            <v>16</v>
          </cell>
        </row>
        <row r="248">
          <cell r="A248" t="str">
            <v>Пельмени Бульмени с говядиной и свининой Наваристые 5кг Горячая штучка ВЕС  ПОКОМ</v>
          </cell>
          <cell r="D248">
            <v>395</v>
          </cell>
        </row>
        <row r="249">
          <cell r="A249" t="str">
            <v>Пельмени Бульмени с говядиной и свининой СЕВЕРНАЯ КОЛЛЕКЦИЯ 0,7кг ТМ Горячая штучка сфера  ПОКОМ</v>
          </cell>
          <cell r="D249">
            <v>83</v>
          </cell>
        </row>
        <row r="250">
          <cell r="A250" t="str">
            <v>Пельмени Бульмени с говядиной и свининой ТМ Горячая штучка. флоу-пак сфера 0,4 кг ПОКОМ</v>
          </cell>
          <cell r="D250">
            <v>147</v>
          </cell>
        </row>
        <row r="251">
          <cell r="A251" t="str">
            <v>Пельмени Бульмени с говядиной и свининой ТМ Горячая штучка. флоу-пак сфера 0,7 кг ПОКОМ</v>
          </cell>
          <cell r="D251">
            <v>370</v>
          </cell>
        </row>
        <row r="252">
          <cell r="A252" t="str">
            <v>Пельмени Бульмени со сливочным маслом ТМ Горячая штучка. флоу-пак сфера 0,4 кг. ПОКОМ</v>
          </cell>
          <cell r="D252">
            <v>211</v>
          </cell>
        </row>
        <row r="253">
          <cell r="A253" t="str">
            <v>Пельмени Бульмени со сливочным маслом ТМ Горячая штучка.флоу-пак сфера 0,7 кг. ПОКОМ</v>
          </cell>
          <cell r="D253">
            <v>579</v>
          </cell>
        </row>
        <row r="254">
          <cell r="A254" t="str">
            <v>Пельмени Бульмени хрустящие с мясом 0,22 кг ТМ Горячая штучка  ПОКОМ</v>
          </cell>
          <cell r="D254">
            <v>24</v>
          </cell>
        </row>
        <row r="255">
          <cell r="A255" t="str">
            <v>Пельмени Добросельские со свининой и говядиной ТМ Стародворье флоу-пак клас. форма 0,65 кг.  ПОКОМ</v>
          </cell>
          <cell r="D255">
            <v>15</v>
          </cell>
        </row>
        <row r="256">
          <cell r="A256" t="str">
            <v>Пельмени Мясные с говядиной ТМ Стародворье сфера флоу-пак 1 кг  ПОКОМ</v>
          </cell>
          <cell r="D256">
            <v>73</v>
          </cell>
        </row>
        <row r="257">
          <cell r="A257" t="str">
            <v>Пельмени Отборные из свинины и говядины 0,9 кг ТМ Стародворье ТС Медвежье ушко  ПОКОМ</v>
          </cell>
          <cell r="D257">
            <v>98</v>
          </cell>
        </row>
        <row r="258">
          <cell r="A258" t="str">
            <v>Пельмени С говядиной и свининой, ВЕС, сфера пуговки Мясная Галерея  ПОКОМ</v>
          </cell>
          <cell r="D258">
            <v>75</v>
          </cell>
        </row>
        <row r="259">
          <cell r="A259" t="str">
            <v>Пельмени Со свининой и говядиной ТМ Особый рецепт Любимая ложка 1,0 кг  ПОКОМ</v>
          </cell>
          <cell r="D259">
            <v>126</v>
          </cell>
        </row>
        <row r="260">
          <cell r="A260" t="str">
            <v>Пельмени Сочные сфера 0,8 кг ТМ Стародворье  ПОКОМ</v>
          </cell>
          <cell r="D260">
            <v>3</v>
          </cell>
        </row>
        <row r="261">
          <cell r="A261" t="str">
            <v>Пирожки с мясом 3,7кг ВЕС ТМ Зареченские  ПОКОМ</v>
          </cell>
          <cell r="D261">
            <v>7.4</v>
          </cell>
        </row>
        <row r="262">
          <cell r="A262" t="str">
            <v>Ричеза с/к 230 гр.шт.  СПК</v>
          </cell>
          <cell r="D262">
            <v>2</v>
          </cell>
        </row>
        <row r="263">
          <cell r="A263" t="str">
            <v>Сальчетти с/к 230 гр.шт.  СПК</v>
          </cell>
          <cell r="D263">
            <v>4</v>
          </cell>
        </row>
        <row r="264">
          <cell r="A264" t="str">
            <v>Салями с перчиком с/к "КолбасГрад" 160 гр.шт. термоус. пак.  СПК</v>
          </cell>
          <cell r="D264">
            <v>7</v>
          </cell>
        </row>
        <row r="265">
          <cell r="A265" t="str">
            <v>Салями с/к 100 гр.шт.нар. (лоток с ср.защ.атм.)  СПК</v>
          </cell>
          <cell r="D265">
            <v>21</v>
          </cell>
        </row>
        <row r="266">
          <cell r="A266" t="str">
            <v>Салями Трюфель с/в "Эликатессе" 0,16 кг.шт.  СПК</v>
          </cell>
          <cell r="D266">
            <v>15</v>
          </cell>
        </row>
        <row r="267">
          <cell r="A267" t="str">
            <v>Сардельки "Докторские" (черева) ( в ср.защ.атм.) 1.0 кг. "Высокий вкус"  СПК</v>
          </cell>
          <cell r="D267">
            <v>3.74</v>
          </cell>
        </row>
        <row r="268">
          <cell r="A268" t="str">
            <v>Сервелат Фирменный в/к 0,10 кг.шт. нарезка (лоток с ср.защ.атм.)  СПК</v>
          </cell>
          <cell r="D268">
            <v>16</v>
          </cell>
        </row>
        <row r="269">
          <cell r="A269" t="str">
            <v>Сибирская особая с/к 0,10 кг.шт. нарезка (лоток с ср.защ.атм.)  СПК</v>
          </cell>
          <cell r="D269">
            <v>16</v>
          </cell>
        </row>
        <row r="270">
          <cell r="A270" t="str">
            <v>Сибирская особая с/к 0,235 кг шт.  СПК</v>
          </cell>
          <cell r="D270">
            <v>3</v>
          </cell>
        </row>
        <row r="271">
          <cell r="A271" t="str">
            <v>Сочный мегачебурек ТМ Зареченские ВЕС ПОКОМ</v>
          </cell>
          <cell r="D271">
            <v>31.36</v>
          </cell>
        </row>
        <row r="272">
          <cell r="A272" t="str">
            <v>Торо Неро с/в "Эликатессе" 140 гр.шт.  СПК</v>
          </cell>
          <cell r="D272">
            <v>9</v>
          </cell>
        </row>
        <row r="273">
          <cell r="A273" t="str">
            <v>Фестивальная пора с/к 100 гр.шт.нар. (лоток с ср.защ.атм.)  СПК</v>
          </cell>
          <cell r="D273">
            <v>6</v>
          </cell>
        </row>
        <row r="274">
          <cell r="A274" t="str">
            <v>Фестивальная пора с/к 235 гр.шт.  СПК</v>
          </cell>
          <cell r="D274">
            <v>-1</v>
          </cell>
        </row>
        <row r="275">
          <cell r="A275" t="str">
            <v>Фуэт с/в "Эликатессе" 160 гр.шт.  СПК</v>
          </cell>
          <cell r="D275">
            <v>12</v>
          </cell>
        </row>
        <row r="276">
          <cell r="A276" t="str">
            <v>Хот-догстер ТМ Горячая штучка ТС Хот-Догстер флоу-пак 0,09 кг. ПОКОМ</v>
          </cell>
          <cell r="D276">
            <v>48</v>
          </cell>
        </row>
        <row r="277">
          <cell r="A277" t="str">
            <v>Хотстеры с сыром 0,25кг ТМ Горячая штучка  ПОКОМ</v>
          </cell>
          <cell r="D277">
            <v>91</v>
          </cell>
        </row>
        <row r="278">
          <cell r="A278" t="str">
            <v>Хотстеры ТМ Горячая штучка ТС Хотстеры 0,25 кг зам  ПОКОМ</v>
          </cell>
          <cell r="D278">
            <v>297</v>
          </cell>
        </row>
        <row r="279">
          <cell r="A279" t="str">
            <v>Хрустящие крылышки острые к пиву ТМ Горячая штучка 0,3кг зам  ПОКОМ</v>
          </cell>
          <cell r="D279">
            <v>92</v>
          </cell>
        </row>
        <row r="280">
          <cell r="A280" t="str">
            <v>Хрустящие крылышки ТМ Горячая штучка 0,3 кг зам  ПОКОМ</v>
          </cell>
          <cell r="D280">
            <v>87</v>
          </cell>
        </row>
        <row r="281">
          <cell r="A281" t="str">
            <v>Чебупели Курочка гриль ТМ Горячая штучка, 0,3 кг зам  ПОКОМ</v>
          </cell>
          <cell r="D281">
            <v>18</v>
          </cell>
        </row>
        <row r="282">
          <cell r="A282" t="str">
            <v>Чебупицца курочка по-итальянски Горячая штучка 0,25 кг зам  ПОКОМ</v>
          </cell>
          <cell r="D282">
            <v>325</v>
          </cell>
        </row>
        <row r="283">
          <cell r="A283" t="str">
            <v>Чебупицца Маргарита 0,2кг ТМ Горячая штучка ТС Foodgital  ПОКОМ</v>
          </cell>
          <cell r="D283">
            <v>30</v>
          </cell>
        </row>
        <row r="284">
          <cell r="A284" t="str">
            <v>Чебупицца Пепперони ТМ Горячая штучка ТС Чебупицца 0.25кг зам  ПОКОМ</v>
          </cell>
          <cell r="D284">
            <v>515</v>
          </cell>
        </row>
        <row r="285">
          <cell r="A285" t="str">
            <v>Чебупицца со вкусом 4 сыра 0,2кг ТМ Горячая штучка ТС Foodgital  ПОКОМ</v>
          </cell>
          <cell r="D285">
            <v>42</v>
          </cell>
        </row>
        <row r="286">
          <cell r="A286" t="str">
            <v>Чебуреки сочные ВЕС ТМ Зареченские  ПОКОМ</v>
          </cell>
          <cell r="D286">
            <v>165</v>
          </cell>
        </row>
        <row r="287">
          <cell r="A287" t="str">
            <v>Шпикачки Русские (черева) (в ср.защ.атм.) "Высокий вкус"  СПК</v>
          </cell>
          <cell r="D287">
            <v>1.73</v>
          </cell>
        </row>
        <row r="288">
          <cell r="A288" t="str">
            <v>Эликапреза с/в "Эликатессе" 85 гр.шт. нарезка (лоток с ср.защ.атм.)  СПК</v>
          </cell>
          <cell r="D288">
            <v>3</v>
          </cell>
        </row>
        <row r="289">
          <cell r="A289" t="str">
            <v>Юбилейная с/к 0,235 кг.шт.  СПК</v>
          </cell>
          <cell r="D289">
            <v>86</v>
          </cell>
        </row>
        <row r="290">
          <cell r="A290" t="str">
            <v>Итого</v>
          </cell>
          <cell r="D290">
            <v>39864.853999999999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J101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L12" sqref="AL12"/>
    </sheetView>
  </sheetViews>
  <sheetFormatPr defaultColWidth="10.5" defaultRowHeight="11.45" customHeight="1" outlineLevelRow="1" x14ac:dyDescent="0.2"/>
  <cols>
    <col min="1" max="1" width="50.1640625" style="1" customWidth="1"/>
    <col min="2" max="2" width="4.33203125" style="1" customWidth="1"/>
    <col min="3" max="6" width="7.83203125" style="1" customWidth="1"/>
    <col min="7" max="7" width="5.33203125" style="5" bestFit="1" customWidth="1"/>
    <col min="8" max="8" width="5.1640625" style="5" bestFit="1" customWidth="1"/>
    <col min="9" max="9" width="6.6640625" style="5" bestFit="1" customWidth="1"/>
    <col min="10" max="10" width="5.6640625" style="5" bestFit="1" customWidth="1"/>
    <col min="11" max="13" width="6.5" style="5" bestFit="1" customWidth="1"/>
    <col min="14" max="18" width="1.1640625" style="5" customWidth="1"/>
    <col min="19" max="20" width="6.6640625" style="5" bestFit="1" customWidth="1"/>
    <col min="21" max="21" width="7" style="5" customWidth="1"/>
    <col min="22" max="22" width="5.6640625" style="5" bestFit="1" customWidth="1"/>
    <col min="23" max="23" width="7.1640625" style="5" bestFit="1" customWidth="1"/>
    <col min="24" max="25" width="1.33203125" style="5" customWidth="1"/>
    <col min="26" max="30" width="6.6640625" style="5" bestFit="1" customWidth="1"/>
    <col min="31" max="31" width="7.1640625" style="5" bestFit="1" customWidth="1"/>
    <col min="32" max="32" width="5.83203125" style="5" bestFit="1" customWidth="1"/>
    <col min="33" max="33" width="6.6640625" style="5" bestFit="1" customWidth="1"/>
    <col min="34" max="35" width="2" style="5" customWidth="1"/>
    <col min="36" max="16384" width="10.5" style="5"/>
  </cols>
  <sheetData>
    <row r="1" spans="1:36" s="1" customFormat="1" ht="9.9499999999999993" customHeight="1" x14ac:dyDescent="0.2"/>
    <row r="2" spans="1:36" s="1" customFormat="1" ht="12.95" customHeight="1" outlineLevel="1" x14ac:dyDescent="0.2">
      <c r="A2" s="2" t="s">
        <v>0</v>
      </c>
    </row>
    <row r="3" spans="1:36" s="1" customFormat="1" ht="9.9499999999999993" customHeight="1" x14ac:dyDescent="0.2">
      <c r="AG3" s="20" t="s">
        <v>126</v>
      </c>
    </row>
    <row r="4" spans="1:36" ht="12.95" customHeight="1" x14ac:dyDescent="0.2">
      <c r="A4" s="4"/>
      <c r="B4" s="4"/>
      <c r="C4" s="4" t="s">
        <v>1</v>
      </c>
      <c r="D4" s="4"/>
      <c r="E4" s="4"/>
      <c r="F4" s="4"/>
      <c r="G4" s="9" t="s">
        <v>105</v>
      </c>
      <c r="H4" s="9" t="s">
        <v>106</v>
      </c>
      <c r="I4" s="9" t="s">
        <v>107</v>
      </c>
      <c r="J4" s="9" t="s">
        <v>108</v>
      </c>
      <c r="K4" s="9" t="s">
        <v>109</v>
      </c>
      <c r="L4" s="9" t="s">
        <v>109</v>
      </c>
      <c r="M4" s="9" t="s">
        <v>109</v>
      </c>
      <c r="N4" s="9" t="s">
        <v>109</v>
      </c>
      <c r="O4" s="10" t="s">
        <v>109</v>
      </c>
      <c r="P4" s="11" t="s">
        <v>109</v>
      </c>
      <c r="Q4" s="11" t="s">
        <v>109</v>
      </c>
      <c r="R4" s="11" t="s">
        <v>109</v>
      </c>
      <c r="S4" s="9" t="s">
        <v>106</v>
      </c>
      <c r="T4" s="12" t="s">
        <v>109</v>
      </c>
      <c r="U4" s="9" t="s">
        <v>110</v>
      </c>
      <c r="V4" s="13" t="s">
        <v>111</v>
      </c>
      <c r="W4" s="9" t="s">
        <v>112</v>
      </c>
      <c r="X4" s="9" t="s">
        <v>112</v>
      </c>
      <c r="Y4" s="9" t="s">
        <v>112</v>
      </c>
      <c r="Z4" s="9" t="s">
        <v>106</v>
      </c>
      <c r="AA4" s="9" t="s">
        <v>106</v>
      </c>
      <c r="AB4" s="9" t="s">
        <v>106</v>
      </c>
      <c r="AC4" s="9" t="s">
        <v>106</v>
      </c>
      <c r="AD4" s="9" t="s">
        <v>113</v>
      </c>
      <c r="AE4" s="9" t="s">
        <v>114</v>
      </c>
      <c r="AF4" s="9" t="s">
        <v>115</v>
      </c>
      <c r="AG4" s="13" t="s">
        <v>116</v>
      </c>
    </row>
    <row r="5" spans="1:36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6" t="s">
        <v>118</v>
      </c>
      <c r="L5" s="16" t="s">
        <v>119</v>
      </c>
      <c r="M5" s="16" t="s">
        <v>120</v>
      </c>
      <c r="T5" s="16" t="s">
        <v>121</v>
      </c>
      <c r="W5" s="16" t="s">
        <v>121</v>
      </c>
      <c r="Z5" s="5" t="s">
        <v>122</v>
      </c>
      <c r="AA5" s="5" t="s">
        <v>123</v>
      </c>
      <c r="AB5" s="5" t="s">
        <v>124</v>
      </c>
      <c r="AC5" s="5" t="s">
        <v>125</v>
      </c>
      <c r="AD5" s="16" t="s">
        <v>117</v>
      </c>
      <c r="AG5" s="16" t="s">
        <v>121</v>
      </c>
    </row>
    <row r="6" spans="1:36" ht="11.1" customHeight="1" x14ac:dyDescent="0.2">
      <c r="A6" s="6"/>
      <c r="B6" s="6"/>
      <c r="C6" s="3"/>
      <c r="D6" s="3"/>
      <c r="E6" s="14">
        <f>SUM(E7:E126)</f>
        <v>91909.463999999993</v>
      </c>
      <c r="F6" s="14">
        <f>SUM(F7:F126)</f>
        <v>97531.167999999991</v>
      </c>
      <c r="I6" s="14">
        <f>SUM(I7:I126)</f>
        <v>78531.907000000021</v>
      </c>
      <c r="J6" s="14">
        <f t="shared" ref="J6:T6" si="0">SUM(J7:J126)</f>
        <v>1102.7289999999996</v>
      </c>
      <c r="K6" s="14">
        <f t="shared" si="0"/>
        <v>32080</v>
      </c>
      <c r="L6" s="14">
        <f t="shared" si="0"/>
        <v>20140</v>
      </c>
      <c r="M6" s="14">
        <f t="shared" si="0"/>
        <v>21190</v>
      </c>
      <c r="N6" s="14">
        <f t="shared" si="0"/>
        <v>0</v>
      </c>
      <c r="O6" s="14">
        <f t="shared" si="0"/>
        <v>0</v>
      </c>
      <c r="P6" s="14">
        <f t="shared" si="0"/>
        <v>0</v>
      </c>
      <c r="Q6" s="14">
        <f t="shared" si="0"/>
        <v>0</v>
      </c>
      <c r="R6" s="14">
        <f t="shared" si="0"/>
        <v>0</v>
      </c>
      <c r="S6" s="14">
        <f t="shared" si="0"/>
        <v>15318.244000000002</v>
      </c>
      <c r="T6" s="14">
        <f t="shared" si="0"/>
        <v>27740</v>
      </c>
      <c r="W6" s="14">
        <f t="shared" ref="W6" si="1">SUM(W7:W126)</f>
        <v>27860</v>
      </c>
      <c r="X6" s="14">
        <f t="shared" ref="X6" si="2">SUM(X7:X126)</f>
        <v>0</v>
      </c>
      <c r="Y6" s="14">
        <f t="shared" ref="Y6" si="3">SUM(Y7:Y126)</f>
        <v>0</v>
      </c>
      <c r="Z6" s="14">
        <f t="shared" ref="Z6" si="4">SUM(Z7:Z126)</f>
        <v>14714.165800000002</v>
      </c>
      <c r="AA6" s="14">
        <f t="shared" ref="AA6" si="5">SUM(AA7:AA126)</f>
        <v>14730.603400000004</v>
      </c>
      <c r="AB6" s="14">
        <f t="shared" ref="AB6" si="6">SUM(AB7:AB126)</f>
        <v>15149.697000000002</v>
      </c>
      <c r="AC6" s="14">
        <f t="shared" ref="AC6" si="7">SUM(AC7:AC126)</f>
        <v>15926.927199999998</v>
      </c>
      <c r="AD6" s="14">
        <f t="shared" ref="AD6" si="8">SUM(AD7:AD126)</f>
        <v>12274.828000000001</v>
      </c>
      <c r="AE6" s="14"/>
      <c r="AF6" s="14"/>
      <c r="AG6" s="14">
        <f t="shared" ref="AG6" si="9">SUM(AG7:AG126)</f>
        <v>12211.8</v>
      </c>
    </row>
    <row r="7" spans="1:36" s="1" customFormat="1" ht="11.1" customHeight="1" outlineLevel="1" x14ac:dyDescent="0.2">
      <c r="A7" s="7" t="s">
        <v>10</v>
      </c>
      <c r="B7" s="7" t="s">
        <v>9</v>
      </c>
      <c r="C7" s="8">
        <v>610</v>
      </c>
      <c r="D7" s="8">
        <v>902</v>
      </c>
      <c r="E7" s="8">
        <v>823</v>
      </c>
      <c r="F7" s="8">
        <v>771</v>
      </c>
      <c r="G7" s="1">
        <f>VLOOKUP(A:A,[1]TDSheet!$A:$G,7,0)</f>
        <v>0.4</v>
      </c>
      <c r="H7" s="1">
        <f>VLOOKUP(A:A,[1]TDSheet!$A:$H,8,0)</f>
        <v>60</v>
      </c>
      <c r="I7" s="15">
        <f>VLOOKUP(A:A,[1]TDSheet!$A:$I,9,0)</f>
        <v>742</v>
      </c>
      <c r="J7" s="15">
        <f>VLOOKUP(A:A,[1]TDSheet!$A:$J,10,0)</f>
        <v>-15</v>
      </c>
      <c r="K7" s="15">
        <f>VLOOKUP(A:A,[1]TDSheet!$A:$M,13,0)</f>
        <v>360</v>
      </c>
      <c r="L7" s="15">
        <f>VLOOKUP(A:A,[1]TDSheet!$A:$R,18,0)</f>
        <v>280</v>
      </c>
      <c r="M7" s="15">
        <f>VLOOKUP(A:A,[1]TDSheet!$A:$T,20,0)</f>
        <v>240</v>
      </c>
      <c r="N7" s="15"/>
      <c r="O7" s="15"/>
      <c r="P7" s="15"/>
      <c r="Q7" s="15"/>
      <c r="R7" s="15"/>
      <c r="S7" s="15">
        <f>E7/6</f>
        <v>137.16666666666666</v>
      </c>
      <c r="T7" s="17"/>
      <c r="U7" s="18">
        <f>(F7+K7+L7+M7+T7)/S7</f>
        <v>12.036452004860267</v>
      </c>
      <c r="V7" s="15">
        <f>F7/S7</f>
        <v>5.6208991494532201</v>
      </c>
      <c r="W7" s="15"/>
      <c r="X7" s="15"/>
      <c r="Y7" s="15"/>
      <c r="Z7" s="15">
        <f>VLOOKUP(A:A,[1]TDSheet!$A:$AA,27,0)</f>
        <v>118.6</v>
      </c>
      <c r="AA7" s="15">
        <f>VLOOKUP(A:A,[1]TDSheet!$A:$AB,28,0)</f>
        <v>143.6</v>
      </c>
      <c r="AB7" s="15">
        <f>VLOOKUP(A:A,[1]TDSheet!$A:$AC,29,0)</f>
        <v>142</v>
      </c>
      <c r="AC7" s="15">
        <f>VLOOKUP(A:A,[1]TDSheet!$A:$S,19,0)</f>
        <v>145.4</v>
      </c>
      <c r="AD7" s="15">
        <f>VLOOKUP(A:A,[2]TDSheet!$A:$D,4,0)</f>
        <v>96</v>
      </c>
      <c r="AE7" s="15">
        <f>VLOOKUP(A:A,[1]TDSheet!$A:$AE,31,0)</f>
        <v>0</v>
      </c>
      <c r="AF7" s="15">
        <f>VLOOKUP(A:A,[1]TDSheet!$A:$AF,32,0)</f>
        <v>0</v>
      </c>
      <c r="AG7" s="15">
        <f>T7*G7</f>
        <v>0</v>
      </c>
      <c r="AH7" s="15"/>
      <c r="AI7" s="15"/>
      <c r="AJ7" s="15"/>
    </row>
    <row r="8" spans="1:36" s="1" customFormat="1" ht="11.1" customHeight="1" outlineLevel="1" x14ac:dyDescent="0.2">
      <c r="A8" s="7" t="s">
        <v>11</v>
      </c>
      <c r="B8" s="7" t="s">
        <v>9</v>
      </c>
      <c r="C8" s="8">
        <v>163</v>
      </c>
      <c r="D8" s="8">
        <v>82</v>
      </c>
      <c r="E8" s="8">
        <v>63</v>
      </c>
      <c r="F8" s="8">
        <v>180</v>
      </c>
      <c r="G8" s="1">
        <f>VLOOKUP(A:A,[1]TDSheet!$A:$G,7,0)</f>
        <v>0.25</v>
      </c>
      <c r="H8" s="1">
        <f>VLOOKUP(A:A,[1]TDSheet!$A:$H,8,0)</f>
        <v>120</v>
      </c>
      <c r="I8" s="15">
        <f>VLOOKUP(A:A,[1]TDSheet!$A:$I,9,0)</f>
        <v>61</v>
      </c>
      <c r="J8" s="15">
        <f>VLOOKUP(A:A,[1]TDSheet!$A:$J,10,0)</f>
        <v>4</v>
      </c>
      <c r="K8" s="15">
        <f>VLOOKUP(A:A,[1]TDSheet!$A:$M,13,0)</f>
        <v>0</v>
      </c>
      <c r="L8" s="15">
        <f>VLOOKUP(A:A,[1]TDSheet!$A:$R,18,0)</f>
        <v>80</v>
      </c>
      <c r="M8" s="15">
        <f>VLOOKUP(A:A,[1]TDSheet!$A:$T,20,0)</f>
        <v>0</v>
      </c>
      <c r="N8" s="15"/>
      <c r="O8" s="15"/>
      <c r="P8" s="15"/>
      <c r="Q8" s="15"/>
      <c r="R8" s="15"/>
      <c r="S8" s="15">
        <f t="shared" ref="S8:S71" si="10">E8/6</f>
        <v>10.5</v>
      </c>
      <c r="T8" s="17"/>
      <c r="U8" s="18">
        <f t="shared" ref="U8:U71" si="11">(F8+K8+L8+M8+T8)/S8</f>
        <v>24.761904761904763</v>
      </c>
      <c r="V8" s="15">
        <f t="shared" ref="V8:V71" si="12">F8/S8</f>
        <v>17.142857142857142</v>
      </c>
      <c r="W8" s="15"/>
      <c r="X8" s="15"/>
      <c r="Y8" s="15"/>
      <c r="Z8" s="15">
        <f>VLOOKUP(A:A,[1]TDSheet!$A:$AA,27,0)</f>
        <v>10.6</v>
      </c>
      <c r="AA8" s="15">
        <f>VLOOKUP(A:A,[1]TDSheet!$A:$AB,28,0)</f>
        <v>13.6</v>
      </c>
      <c r="AB8" s="15">
        <f>VLOOKUP(A:A,[1]TDSheet!$A:$AC,29,0)</f>
        <v>13.2</v>
      </c>
      <c r="AC8" s="15">
        <f>VLOOKUP(A:A,[1]TDSheet!$A:$S,19,0)</f>
        <v>13</v>
      </c>
      <c r="AD8" s="15">
        <f>VLOOKUP(A:A,[2]TDSheet!$A:$D,4,0)</f>
        <v>-2</v>
      </c>
      <c r="AE8" s="15">
        <f>VLOOKUP(A:A,[1]TDSheet!$A:$AE,31,0)</f>
        <v>0</v>
      </c>
      <c r="AF8" s="15">
        <f>VLOOKUP(A:A,[1]TDSheet!$A:$AF,32,0)</f>
        <v>0</v>
      </c>
      <c r="AG8" s="15">
        <f t="shared" ref="AG8:AG71" si="13">T8*G8</f>
        <v>0</v>
      </c>
      <c r="AH8" s="15"/>
      <c r="AI8" s="15"/>
      <c r="AJ8" s="15"/>
    </row>
    <row r="9" spans="1:36" s="1" customFormat="1" ht="11.1" customHeight="1" outlineLevel="1" x14ac:dyDescent="0.2">
      <c r="A9" s="7" t="s">
        <v>12</v>
      </c>
      <c r="B9" s="7" t="s">
        <v>9</v>
      </c>
      <c r="C9" s="8">
        <v>1654</v>
      </c>
      <c r="D9" s="8">
        <v>475</v>
      </c>
      <c r="E9" s="8">
        <v>755</v>
      </c>
      <c r="F9" s="8">
        <v>1375</v>
      </c>
      <c r="G9" s="1">
        <f>VLOOKUP(A:A,[1]TDSheet!$A:$G,7,0)</f>
        <v>0.25</v>
      </c>
      <c r="H9" s="1" t="e">
        <f>VLOOKUP(A:A,[1]TDSheet!$A:$H,8,0)</f>
        <v>#N/A</v>
      </c>
      <c r="I9" s="15">
        <f>VLOOKUP(A:A,[1]TDSheet!$A:$I,9,0)</f>
        <v>693</v>
      </c>
      <c r="J9" s="15">
        <f>VLOOKUP(A:A,[1]TDSheet!$A:$J,10,0)</f>
        <v>-18</v>
      </c>
      <c r="K9" s="15">
        <f>VLOOKUP(A:A,[1]TDSheet!$A:$M,13,0)</f>
        <v>0</v>
      </c>
      <c r="L9" s="15">
        <f>VLOOKUP(A:A,[1]TDSheet!$A:$R,18,0)</f>
        <v>600</v>
      </c>
      <c r="M9" s="15">
        <f>VLOOKUP(A:A,[1]TDSheet!$A:$T,20,0)</f>
        <v>600</v>
      </c>
      <c r="N9" s="15"/>
      <c r="O9" s="15"/>
      <c r="P9" s="15"/>
      <c r="Q9" s="15"/>
      <c r="R9" s="15"/>
      <c r="S9" s="15">
        <f t="shared" si="10"/>
        <v>125.83333333333333</v>
      </c>
      <c r="T9" s="17"/>
      <c r="U9" s="18">
        <f t="shared" si="11"/>
        <v>20.463576158940398</v>
      </c>
      <c r="V9" s="15">
        <f t="shared" si="12"/>
        <v>10.927152317880795</v>
      </c>
      <c r="W9" s="15"/>
      <c r="X9" s="15"/>
      <c r="Y9" s="15"/>
      <c r="Z9" s="15">
        <f>VLOOKUP(A:A,[1]TDSheet!$A:$AA,27,0)</f>
        <v>100.6</v>
      </c>
      <c r="AA9" s="15">
        <f>VLOOKUP(A:A,[1]TDSheet!$A:$AB,28,0)</f>
        <v>128.80000000000001</v>
      </c>
      <c r="AB9" s="15">
        <f>VLOOKUP(A:A,[1]TDSheet!$A:$AC,29,0)</f>
        <v>126.2</v>
      </c>
      <c r="AC9" s="15">
        <f>VLOOKUP(A:A,[1]TDSheet!$A:$S,19,0)</f>
        <v>135</v>
      </c>
      <c r="AD9" s="15">
        <f>VLOOKUP(A:A,[2]TDSheet!$A:$D,4,0)</f>
        <v>80</v>
      </c>
      <c r="AE9" s="15">
        <f>VLOOKUP(A:A,[1]TDSheet!$A:$AE,31,0)</f>
        <v>0</v>
      </c>
      <c r="AF9" s="15" t="e">
        <f>VLOOKUP(A:A,[1]TDSheet!$A:$AF,32,0)</f>
        <v>#N/A</v>
      </c>
      <c r="AG9" s="15">
        <f t="shared" si="13"/>
        <v>0</v>
      </c>
      <c r="AH9" s="15"/>
      <c r="AI9" s="15"/>
      <c r="AJ9" s="15"/>
    </row>
    <row r="10" spans="1:36" s="1" customFormat="1" ht="11.1" customHeight="1" outlineLevel="1" x14ac:dyDescent="0.2">
      <c r="A10" s="7" t="s">
        <v>13</v>
      </c>
      <c r="B10" s="7" t="s">
        <v>8</v>
      </c>
      <c r="C10" s="8">
        <v>452.10300000000001</v>
      </c>
      <c r="D10" s="8">
        <v>2834.8780000000002</v>
      </c>
      <c r="E10" s="8">
        <v>1866.8449999999998</v>
      </c>
      <c r="F10" s="8">
        <v>1588.03</v>
      </c>
      <c r="G10" s="1">
        <f>VLOOKUP(A:A,[1]TDSheet!$A:$G,7,0)</f>
        <v>1</v>
      </c>
      <c r="H10" s="1">
        <f>VLOOKUP(A:A,[1]TDSheet!$A:$H,8,0)</f>
        <v>60</v>
      </c>
      <c r="I10" s="15">
        <f>VLOOKUP(A:A,[1]TDSheet!$A:$I,9,0)</f>
        <v>1537.1</v>
      </c>
      <c r="J10" s="15">
        <f>VLOOKUP(A:A,[1]TDSheet!$A:$J,10,0)</f>
        <v>9.6630000000000109</v>
      </c>
      <c r="K10" s="15">
        <f>VLOOKUP(A:A,[1]TDSheet!$A:$M,13,0)</f>
        <v>800</v>
      </c>
      <c r="L10" s="15">
        <f>VLOOKUP(A:A,[1]TDSheet!$A:$R,18,0)</f>
        <v>1000</v>
      </c>
      <c r="M10" s="15">
        <f>VLOOKUP(A:A,[1]TDSheet!$A:$T,20,0)</f>
        <v>500</v>
      </c>
      <c r="N10" s="15"/>
      <c r="O10" s="15"/>
      <c r="P10" s="15"/>
      <c r="Q10" s="15"/>
      <c r="R10" s="15"/>
      <c r="S10" s="15">
        <f t="shared" si="10"/>
        <v>311.14083333333332</v>
      </c>
      <c r="T10" s="17">
        <v>900</v>
      </c>
      <c r="U10" s="18">
        <f t="shared" si="11"/>
        <v>15.388626265169309</v>
      </c>
      <c r="V10" s="15">
        <f t="shared" si="12"/>
        <v>5.1038945386467542</v>
      </c>
      <c r="W10" s="15">
        <v>900</v>
      </c>
      <c r="X10" s="15"/>
      <c r="Y10" s="15"/>
      <c r="Z10" s="15">
        <f>VLOOKUP(A:A,[1]TDSheet!$A:$AA,27,0)</f>
        <v>228.49740000000003</v>
      </c>
      <c r="AA10" s="15">
        <f>VLOOKUP(A:A,[1]TDSheet!$A:$AB,28,0)</f>
        <v>259.20859999999999</v>
      </c>
      <c r="AB10" s="15">
        <f>VLOOKUP(A:A,[1]TDSheet!$A:$AC,29,0)</f>
        <v>251.53539999999998</v>
      </c>
      <c r="AC10" s="15">
        <f>VLOOKUP(A:A,[1]TDSheet!$A:$S,19,0)</f>
        <v>309.3526</v>
      </c>
      <c r="AD10" s="15">
        <f>VLOOKUP(A:A,[2]TDSheet!$A:$D,4,0)</f>
        <v>320.08199999999999</v>
      </c>
      <c r="AE10" s="15">
        <f>VLOOKUP(A:A,[1]TDSheet!$A:$AE,31,0)</f>
        <v>0</v>
      </c>
      <c r="AF10" s="15">
        <f>VLOOKUP(A:A,[1]TDSheet!$A:$AF,32,0)</f>
        <v>0</v>
      </c>
      <c r="AG10" s="15">
        <f t="shared" si="13"/>
        <v>900</v>
      </c>
      <c r="AH10" s="15"/>
      <c r="AI10" s="15"/>
      <c r="AJ10" s="15"/>
    </row>
    <row r="11" spans="1:36" s="1" customFormat="1" ht="11.1" customHeight="1" outlineLevel="1" x14ac:dyDescent="0.2">
      <c r="A11" s="7" t="s">
        <v>14</v>
      </c>
      <c r="B11" s="7" t="s">
        <v>8</v>
      </c>
      <c r="C11" s="8">
        <v>287.74099999999999</v>
      </c>
      <c r="D11" s="8"/>
      <c r="E11" s="8">
        <v>77.057999999999993</v>
      </c>
      <c r="F11" s="8">
        <v>216.98699999999999</v>
      </c>
      <c r="G11" s="1">
        <f>VLOOKUP(A:A,[1]TDSheet!$A:$G,7,0)</f>
        <v>1</v>
      </c>
      <c r="H11" s="1">
        <f>VLOOKUP(A:A,[1]TDSheet!$A:$H,8,0)</f>
        <v>120</v>
      </c>
      <c r="I11" s="15">
        <f>VLOOKUP(A:A,[1]TDSheet!$A:$I,9,0)</f>
        <v>54.6</v>
      </c>
      <c r="J11" s="15">
        <f>VLOOKUP(A:A,[1]TDSheet!$A:$J,10,0)</f>
        <v>-1.4380000000000024</v>
      </c>
      <c r="K11" s="15">
        <f>VLOOKUP(A:A,[1]TDSheet!$A:$M,13,0)</f>
        <v>0</v>
      </c>
      <c r="L11" s="15">
        <f>VLOOKUP(A:A,[1]TDSheet!$A:$R,18,0)</f>
        <v>0</v>
      </c>
      <c r="M11" s="15">
        <f>VLOOKUP(A:A,[1]TDSheet!$A:$T,20,0)</f>
        <v>50</v>
      </c>
      <c r="N11" s="15"/>
      <c r="O11" s="15"/>
      <c r="P11" s="15"/>
      <c r="Q11" s="15"/>
      <c r="R11" s="15"/>
      <c r="S11" s="15">
        <f t="shared" si="10"/>
        <v>12.842999999999998</v>
      </c>
      <c r="T11" s="17">
        <v>50</v>
      </c>
      <c r="U11" s="18">
        <f t="shared" si="11"/>
        <v>24.681694308183449</v>
      </c>
      <c r="V11" s="15">
        <f t="shared" si="12"/>
        <v>16.895351553375381</v>
      </c>
      <c r="W11" s="15">
        <v>50</v>
      </c>
      <c r="X11" s="15"/>
      <c r="Y11" s="15"/>
      <c r="Z11" s="15">
        <f>VLOOKUP(A:A,[1]TDSheet!$A:$AA,27,0)</f>
        <v>6.6395999999999997</v>
      </c>
      <c r="AA11" s="15">
        <f>VLOOKUP(A:A,[1]TDSheet!$A:$AB,28,0)</f>
        <v>19.476800000000001</v>
      </c>
      <c r="AB11" s="15">
        <f>VLOOKUP(A:A,[1]TDSheet!$A:$AC,29,0)</f>
        <v>8.8384</v>
      </c>
      <c r="AC11" s="15">
        <f>VLOOKUP(A:A,[1]TDSheet!$A:$S,19,0)</f>
        <v>10.632400000000001</v>
      </c>
      <c r="AD11" s="15">
        <f>VLOOKUP(A:A,[2]TDSheet!$A:$D,4,0)</f>
        <v>23.896000000000001</v>
      </c>
      <c r="AE11" s="15">
        <f>VLOOKUP(A:A,[1]TDSheet!$A:$AE,31,0)</f>
        <v>0</v>
      </c>
      <c r="AF11" s="15">
        <f>VLOOKUP(A:A,[1]TDSheet!$A:$AF,32,0)</f>
        <v>0</v>
      </c>
      <c r="AG11" s="15">
        <f t="shared" si="13"/>
        <v>50</v>
      </c>
      <c r="AH11" s="15"/>
      <c r="AI11" s="15"/>
      <c r="AJ11" s="15"/>
    </row>
    <row r="12" spans="1:36" s="1" customFormat="1" ht="21.95" customHeight="1" outlineLevel="1" x14ac:dyDescent="0.2">
      <c r="A12" s="7" t="s">
        <v>15</v>
      </c>
      <c r="B12" s="7" t="s">
        <v>8</v>
      </c>
      <c r="C12" s="8">
        <v>123.312</v>
      </c>
      <c r="D12" s="8">
        <v>130.703</v>
      </c>
      <c r="E12" s="8">
        <v>127.367</v>
      </c>
      <c r="F12" s="8">
        <v>106.842</v>
      </c>
      <c r="G12" s="1">
        <f>VLOOKUP(A:A,[1]TDSheet!$A:$G,7,0)</f>
        <v>1</v>
      </c>
      <c r="H12" s="1">
        <f>VLOOKUP(A:A,[1]TDSheet!$A:$H,8,0)</f>
        <v>60</v>
      </c>
      <c r="I12" s="15">
        <f>VLOOKUP(A:A,[1]TDSheet!$A:$I,9,0)</f>
        <v>112.2</v>
      </c>
      <c r="J12" s="15">
        <f>VLOOKUP(A:A,[1]TDSheet!$A:$J,10,0)</f>
        <v>2.152000000000001</v>
      </c>
      <c r="K12" s="15">
        <f>VLOOKUP(A:A,[1]TDSheet!$A:$M,13,0)</f>
        <v>70</v>
      </c>
      <c r="L12" s="15">
        <f>VLOOKUP(A:A,[1]TDSheet!$A:$R,18,0)</f>
        <v>50</v>
      </c>
      <c r="M12" s="15">
        <f>VLOOKUP(A:A,[1]TDSheet!$A:$T,20,0)</f>
        <v>30</v>
      </c>
      <c r="N12" s="15"/>
      <c r="O12" s="15"/>
      <c r="P12" s="15"/>
      <c r="Q12" s="15"/>
      <c r="R12" s="15"/>
      <c r="S12" s="15">
        <f t="shared" si="10"/>
        <v>21.227833333333333</v>
      </c>
      <c r="T12" s="17">
        <v>30</v>
      </c>
      <c r="U12" s="18">
        <f t="shared" si="11"/>
        <v>13.512542495308832</v>
      </c>
      <c r="V12" s="15">
        <f t="shared" si="12"/>
        <v>5.0331090470844098</v>
      </c>
      <c r="W12" s="15">
        <v>30</v>
      </c>
      <c r="X12" s="15"/>
      <c r="Y12" s="15"/>
      <c r="Z12" s="15">
        <f>VLOOKUP(A:A,[1]TDSheet!$A:$AA,27,0)</f>
        <v>11.5944</v>
      </c>
      <c r="AA12" s="15">
        <f>VLOOKUP(A:A,[1]TDSheet!$A:$AB,28,0)</f>
        <v>22.005800000000001</v>
      </c>
      <c r="AB12" s="15">
        <f>VLOOKUP(A:A,[1]TDSheet!$A:$AC,29,0)</f>
        <v>19.003399999999999</v>
      </c>
      <c r="AC12" s="15">
        <f>VLOOKUP(A:A,[1]TDSheet!$A:$S,19,0)</f>
        <v>22.8704</v>
      </c>
      <c r="AD12" s="15">
        <f>VLOOKUP(A:A,[2]TDSheet!$A:$D,4,0)</f>
        <v>13.015000000000001</v>
      </c>
      <c r="AE12" s="15">
        <f>VLOOKUP(A:A,[1]TDSheet!$A:$AE,31,0)</f>
        <v>0</v>
      </c>
      <c r="AF12" s="15" t="str">
        <f>VLOOKUP(A:A,[1]TDSheet!$A:$AF,32,0)</f>
        <v>увел</v>
      </c>
      <c r="AG12" s="15">
        <f t="shared" si="13"/>
        <v>30</v>
      </c>
      <c r="AH12" s="15"/>
      <c r="AI12" s="15"/>
      <c r="AJ12" s="15"/>
    </row>
    <row r="13" spans="1:36" s="1" customFormat="1" ht="11.1" customHeight="1" outlineLevel="1" x14ac:dyDescent="0.2">
      <c r="A13" s="7" t="s">
        <v>16</v>
      </c>
      <c r="B13" s="7" t="s">
        <v>8</v>
      </c>
      <c r="C13" s="8">
        <v>552.87900000000002</v>
      </c>
      <c r="D13" s="8">
        <v>652.23199999999997</v>
      </c>
      <c r="E13" s="8">
        <v>623.72299999999996</v>
      </c>
      <c r="F13" s="8">
        <v>646.69899999999996</v>
      </c>
      <c r="G13" s="1">
        <f>VLOOKUP(A:A,[1]TDSheet!$A:$G,7,0)</f>
        <v>1</v>
      </c>
      <c r="H13" s="1">
        <f>VLOOKUP(A:A,[1]TDSheet!$A:$H,8,0)</f>
        <v>60</v>
      </c>
      <c r="I13" s="15">
        <f>VLOOKUP(A:A,[1]TDSheet!$A:$I,9,0)</f>
        <v>523.35</v>
      </c>
      <c r="J13" s="15">
        <f>VLOOKUP(A:A,[1]TDSheet!$A:$J,10,0)</f>
        <v>22.002999999999929</v>
      </c>
      <c r="K13" s="15">
        <f>VLOOKUP(A:A,[1]TDSheet!$A:$M,13,0)</f>
        <v>300</v>
      </c>
      <c r="L13" s="15">
        <f>VLOOKUP(A:A,[1]TDSheet!$A:$R,18,0)</f>
        <v>200</v>
      </c>
      <c r="M13" s="15">
        <f>VLOOKUP(A:A,[1]TDSheet!$A:$T,20,0)</f>
        <v>250</v>
      </c>
      <c r="N13" s="15"/>
      <c r="O13" s="15"/>
      <c r="P13" s="15"/>
      <c r="Q13" s="15"/>
      <c r="R13" s="15"/>
      <c r="S13" s="15">
        <f t="shared" si="10"/>
        <v>103.95383333333332</v>
      </c>
      <c r="T13" s="17">
        <v>200</v>
      </c>
      <c r="U13" s="18">
        <f t="shared" si="11"/>
        <v>15.359693325402464</v>
      </c>
      <c r="V13" s="15">
        <f t="shared" si="12"/>
        <v>6.2210211904964225</v>
      </c>
      <c r="W13" s="15">
        <v>200</v>
      </c>
      <c r="X13" s="15"/>
      <c r="Y13" s="15"/>
      <c r="Z13" s="15">
        <f>VLOOKUP(A:A,[1]TDSheet!$A:$AA,27,0)</f>
        <v>90.655600000000007</v>
      </c>
      <c r="AA13" s="15">
        <f>VLOOKUP(A:A,[1]TDSheet!$A:$AB,28,0)</f>
        <v>97.675399999999996</v>
      </c>
      <c r="AB13" s="15">
        <f>VLOOKUP(A:A,[1]TDSheet!$A:$AC,29,0)</f>
        <v>91.653800000000004</v>
      </c>
      <c r="AC13" s="15">
        <f>VLOOKUP(A:A,[1]TDSheet!$A:$S,19,0)</f>
        <v>109.07059999999998</v>
      </c>
      <c r="AD13" s="15">
        <f>VLOOKUP(A:A,[2]TDSheet!$A:$D,4,0)</f>
        <v>78.37</v>
      </c>
      <c r="AE13" s="15">
        <f>VLOOKUP(A:A,[1]TDSheet!$A:$AE,31,0)</f>
        <v>0</v>
      </c>
      <c r="AF13" s="15">
        <f>VLOOKUP(A:A,[1]TDSheet!$A:$AF,32,0)</f>
        <v>0</v>
      </c>
      <c r="AG13" s="15">
        <f t="shared" si="13"/>
        <v>200</v>
      </c>
      <c r="AH13" s="15"/>
      <c r="AI13" s="15"/>
      <c r="AJ13" s="15"/>
    </row>
    <row r="14" spans="1:36" s="1" customFormat="1" ht="11.1" customHeight="1" outlineLevel="1" x14ac:dyDescent="0.2">
      <c r="A14" s="7" t="s">
        <v>17</v>
      </c>
      <c r="B14" s="7" t="s">
        <v>9</v>
      </c>
      <c r="C14" s="8">
        <v>791</v>
      </c>
      <c r="D14" s="8">
        <v>289</v>
      </c>
      <c r="E14" s="8">
        <v>367</v>
      </c>
      <c r="F14" s="8">
        <v>744</v>
      </c>
      <c r="G14" s="1">
        <f>VLOOKUP(A:A,[1]TDSheet!$A:$G,7,0)</f>
        <v>0.25</v>
      </c>
      <c r="H14" s="1">
        <f>VLOOKUP(A:A,[1]TDSheet!$A:$H,8,0)</f>
        <v>120</v>
      </c>
      <c r="I14" s="15">
        <f>VLOOKUP(A:A,[1]TDSheet!$A:$I,9,0)</f>
        <v>329</v>
      </c>
      <c r="J14" s="15">
        <f>VLOOKUP(A:A,[1]TDSheet!$A:$J,10,0)</f>
        <v>-5</v>
      </c>
      <c r="K14" s="15">
        <f>VLOOKUP(A:A,[1]TDSheet!$A:$M,13,0)</f>
        <v>0</v>
      </c>
      <c r="L14" s="15">
        <f>VLOOKUP(A:A,[1]TDSheet!$A:$R,18,0)</f>
        <v>200</v>
      </c>
      <c r="M14" s="15">
        <f>VLOOKUP(A:A,[1]TDSheet!$A:$T,20,0)</f>
        <v>400</v>
      </c>
      <c r="N14" s="15"/>
      <c r="O14" s="15"/>
      <c r="P14" s="15"/>
      <c r="Q14" s="15"/>
      <c r="R14" s="15"/>
      <c r="S14" s="15">
        <f t="shared" si="10"/>
        <v>61.166666666666664</v>
      </c>
      <c r="T14" s="17"/>
      <c r="U14" s="18">
        <f t="shared" si="11"/>
        <v>21.972752043596731</v>
      </c>
      <c r="V14" s="15">
        <f t="shared" si="12"/>
        <v>12.163487738419619</v>
      </c>
      <c r="W14" s="15"/>
      <c r="X14" s="15"/>
      <c r="Y14" s="15"/>
      <c r="Z14" s="15">
        <f>VLOOKUP(A:A,[1]TDSheet!$A:$AA,27,0)</f>
        <v>58</v>
      </c>
      <c r="AA14" s="15">
        <f>VLOOKUP(A:A,[1]TDSheet!$A:$AB,28,0)</f>
        <v>61.4</v>
      </c>
      <c r="AB14" s="15">
        <f>VLOOKUP(A:A,[1]TDSheet!$A:$AC,29,0)</f>
        <v>68.8</v>
      </c>
      <c r="AC14" s="15">
        <f>VLOOKUP(A:A,[1]TDSheet!$A:$S,19,0)</f>
        <v>64.8</v>
      </c>
      <c r="AD14" s="15">
        <f>VLOOKUP(A:A,[2]TDSheet!$A:$D,4,0)</f>
        <v>43</v>
      </c>
      <c r="AE14" s="15">
        <f>VLOOKUP(A:A,[1]TDSheet!$A:$AE,31,0)</f>
        <v>0</v>
      </c>
      <c r="AF14" s="15">
        <f>VLOOKUP(A:A,[1]TDSheet!$A:$AF,32,0)</f>
        <v>0</v>
      </c>
      <c r="AG14" s="15">
        <f t="shared" si="13"/>
        <v>0</v>
      </c>
      <c r="AH14" s="15"/>
      <c r="AI14" s="15"/>
      <c r="AJ14" s="15"/>
    </row>
    <row r="15" spans="1:36" s="1" customFormat="1" ht="11.1" customHeight="1" outlineLevel="1" x14ac:dyDescent="0.2">
      <c r="A15" s="7" t="s">
        <v>18</v>
      </c>
      <c r="B15" s="7" t="s">
        <v>8</v>
      </c>
      <c r="C15" s="8">
        <v>28.637</v>
      </c>
      <c r="D15" s="8">
        <v>122.56100000000001</v>
      </c>
      <c r="E15" s="8">
        <v>74.60199999999999</v>
      </c>
      <c r="F15" s="8">
        <v>78.073999999999998</v>
      </c>
      <c r="G15" s="1">
        <f>VLOOKUP(A:A,[1]TDSheet!$A:$G,7,0)</f>
        <v>1</v>
      </c>
      <c r="H15" s="1">
        <f>VLOOKUP(A:A,[1]TDSheet!$A:$H,8,0)</f>
        <v>30</v>
      </c>
      <c r="I15" s="15">
        <f>VLOOKUP(A:A,[1]TDSheet!$A:$I,9,0)</f>
        <v>69.5</v>
      </c>
      <c r="J15" s="15">
        <f>VLOOKUP(A:A,[1]TDSheet!$A:$J,10,0)</f>
        <v>0.56399999999999295</v>
      </c>
      <c r="K15" s="15">
        <f>VLOOKUP(A:A,[1]TDSheet!$A:$M,13,0)</f>
        <v>10</v>
      </c>
      <c r="L15" s="15">
        <f>VLOOKUP(A:A,[1]TDSheet!$A:$R,18,0)</f>
        <v>30</v>
      </c>
      <c r="M15" s="15">
        <f>VLOOKUP(A:A,[1]TDSheet!$A:$T,20,0)</f>
        <v>0</v>
      </c>
      <c r="N15" s="15"/>
      <c r="O15" s="15"/>
      <c r="P15" s="15"/>
      <c r="Q15" s="15"/>
      <c r="R15" s="15"/>
      <c r="S15" s="15">
        <f t="shared" si="10"/>
        <v>12.433666666666666</v>
      </c>
      <c r="T15" s="17">
        <v>10</v>
      </c>
      <c r="U15" s="18">
        <f t="shared" si="11"/>
        <v>10.300581753840381</v>
      </c>
      <c r="V15" s="15">
        <f t="shared" si="12"/>
        <v>6.2792418433822155</v>
      </c>
      <c r="W15" s="15">
        <v>10</v>
      </c>
      <c r="X15" s="15"/>
      <c r="Y15" s="15"/>
      <c r="Z15" s="15">
        <f>VLOOKUP(A:A,[1]TDSheet!$A:$AA,27,0)</f>
        <v>9.9092000000000002</v>
      </c>
      <c r="AA15" s="15">
        <f>VLOOKUP(A:A,[1]TDSheet!$A:$AB,28,0)</f>
        <v>12.2674</v>
      </c>
      <c r="AB15" s="15">
        <f>VLOOKUP(A:A,[1]TDSheet!$A:$AC,29,0)</f>
        <v>13.6838</v>
      </c>
      <c r="AC15" s="15">
        <f>VLOOKUP(A:A,[1]TDSheet!$A:$S,19,0)</f>
        <v>14.012799999999999</v>
      </c>
      <c r="AD15" s="15">
        <f>VLOOKUP(A:A,[2]TDSheet!$A:$D,4,0)</f>
        <v>4.5380000000000003</v>
      </c>
      <c r="AE15" s="15">
        <f>VLOOKUP(A:A,[1]TDSheet!$A:$AE,31,0)</f>
        <v>0</v>
      </c>
      <c r="AF15" s="15">
        <f>VLOOKUP(A:A,[1]TDSheet!$A:$AF,32,0)</f>
        <v>0</v>
      </c>
      <c r="AG15" s="15">
        <f t="shared" si="13"/>
        <v>10</v>
      </c>
      <c r="AH15" s="15"/>
      <c r="AI15" s="15"/>
      <c r="AJ15" s="15"/>
    </row>
    <row r="16" spans="1:36" s="1" customFormat="1" ht="11.1" customHeight="1" outlineLevel="1" x14ac:dyDescent="0.2">
      <c r="A16" s="7" t="s">
        <v>19</v>
      </c>
      <c r="B16" s="7" t="s">
        <v>8</v>
      </c>
      <c r="C16" s="8">
        <v>10.436999999999999</v>
      </c>
      <c r="D16" s="8">
        <v>47.988999999999997</v>
      </c>
      <c r="E16" s="8">
        <v>20.962</v>
      </c>
      <c r="F16" s="8">
        <v>37.463999999999999</v>
      </c>
      <c r="G16" s="1">
        <f>VLOOKUP(A:A,[1]TDSheet!$A:$G,7,0)</f>
        <v>1</v>
      </c>
      <c r="H16" s="1">
        <f>VLOOKUP(A:A,[1]TDSheet!$A:$H,8,0)</f>
        <v>30</v>
      </c>
      <c r="I16" s="15">
        <f>VLOOKUP(A:A,[1]TDSheet!$A:$I,9,0)</f>
        <v>44.9</v>
      </c>
      <c r="J16" s="15">
        <f>VLOOKUP(A:A,[1]TDSheet!$A:$J,10,0)</f>
        <v>-26.957999999999998</v>
      </c>
      <c r="K16" s="15">
        <f>VLOOKUP(A:A,[1]TDSheet!$A:$M,13,0)</f>
        <v>0</v>
      </c>
      <c r="L16" s="15">
        <f>VLOOKUP(A:A,[1]TDSheet!$A:$R,18,0)</f>
        <v>10</v>
      </c>
      <c r="M16" s="15">
        <f>VLOOKUP(A:A,[1]TDSheet!$A:$T,20,0)</f>
        <v>0</v>
      </c>
      <c r="N16" s="15"/>
      <c r="O16" s="15"/>
      <c r="P16" s="15"/>
      <c r="Q16" s="15"/>
      <c r="R16" s="15"/>
      <c r="S16" s="15">
        <f t="shared" si="10"/>
        <v>3.4936666666666665</v>
      </c>
      <c r="T16" s="17"/>
      <c r="U16" s="18">
        <f t="shared" si="11"/>
        <v>13.585726552809847</v>
      </c>
      <c r="V16" s="15">
        <f t="shared" si="12"/>
        <v>10.723404255319149</v>
      </c>
      <c r="W16" s="15"/>
      <c r="X16" s="15"/>
      <c r="Y16" s="15"/>
      <c r="Z16" s="15">
        <f>VLOOKUP(A:A,[1]TDSheet!$A:$AA,27,0)</f>
        <v>9.5931999999999995</v>
      </c>
      <c r="AA16" s="15">
        <f>VLOOKUP(A:A,[1]TDSheet!$A:$AB,28,0)</f>
        <v>4.8136000000000001</v>
      </c>
      <c r="AB16" s="15">
        <f>VLOOKUP(A:A,[1]TDSheet!$A:$AC,29,0)</f>
        <v>7.4483999999999995</v>
      </c>
      <c r="AC16" s="15">
        <f>VLOOKUP(A:A,[1]TDSheet!$A:$S,19,0)</f>
        <v>3.5884</v>
      </c>
      <c r="AD16" s="15">
        <f>VLOOKUP(A:A,[2]TDSheet!$A:$D,4,0)</f>
        <v>3.02</v>
      </c>
      <c r="AE16" s="15">
        <f>VLOOKUP(A:A,[1]TDSheet!$A:$AE,31,0)</f>
        <v>0</v>
      </c>
      <c r="AF16" s="21" t="str">
        <f>VLOOKUP(A:A,[1]TDSheet!$A:$AF,32,0)</f>
        <v>Вит</v>
      </c>
      <c r="AG16" s="15">
        <f t="shared" si="13"/>
        <v>0</v>
      </c>
      <c r="AH16" s="15"/>
      <c r="AI16" s="15"/>
      <c r="AJ16" s="15"/>
    </row>
    <row r="17" spans="1:36" s="1" customFormat="1" ht="11.1" customHeight="1" outlineLevel="1" x14ac:dyDescent="0.2">
      <c r="A17" s="7" t="s">
        <v>20</v>
      </c>
      <c r="B17" s="7" t="s">
        <v>9</v>
      </c>
      <c r="C17" s="8">
        <v>2086</v>
      </c>
      <c r="D17" s="8">
        <v>827</v>
      </c>
      <c r="E17" s="8">
        <v>1053</v>
      </c>
      <c r="F17" s="8">
        <v>1924</v>
      </c>
      <c r="G17" s="1">
        <f>VLOOKUP(A:A,[1]TDSheet!$A:$G,7,0)</f>
        <v>0.25</v>
      </c>
      <c r="H17" s="1">
        <f>VLOOKUP(A:A,[1]TDSheet!$A:$H,8,0)</f>
        <v>120</v>
      </c>
      <c r="I17" s="15">
        <f>VLOOKUP(A:A,[1]TDSheet!$A:$I,9,0)</f>
        <v>894</v>
      </c>
      <c r="J17" s="15">
        <f>VLOOKUP(A:A,[1]TDSheet!$A:$J,10,0)</f>
        <v>-19</v>
      </c>
      <c r="K17" s="15">
        <f>VLOOKUP(A:A,[1]TDSheet!$A:$M,13,0)</f>
        <v>200</v>
      </c>
      <c r="L17" s="15">
        <f>VLOOKUP(A:A,[1]TDSheet!$A:$R,18,0)</f>
        <v>400</v>
      </c>
      <c r="M17" s="15">
        <f>VLOOKUP(A:A,[1]TDSheet!$A:$T,20,0)</f>
        <v>800</v>
      </c>
      <c r="N17" s="15"/>
      <c r="O17" s="15"/>
      <c r="P17" s="15"/>
      <c r="Q17" s="15"/>
      <c r="R17" s="15"/>
      <c r="S17" s="15">
        <f t="shared" si="10"/>
        <v>175.5</v>
      </c>
      <c r="T17" s="17">
        <v>200</v>
      </c>
      <c r="U17" s="18">
        <f t="shared" si="11"/>
        <v>20.079772079772081</v>
      </c>
      <c r="V17" s="15">
        <f t="shared" si="12"/>
        <v>10.962962962962964</v>
      </c>
      <c r="W17" s="15">
        <v>200</v>
      </c>
      <c r="X17" s="15"/>
      <c r="Y17" s="15"/>
      <c r="Z17" s="15">
        <f>VLOOKUP(A:A,[1]TDSheet!$A:$AA,27,0)</f>
        <v>131</v>
      </c>
      <c r="AA17" s="15">
        <f>VLOOKUP(A:A,[1]TDSheet!$A:$AB,28,0)</f>
        <v>159</v>
      </c>
      <c r="AB17" s="15">
        <f>VLOOKUP(A:A,[1]TDSheet!$A:$AC,29,0)</f>
        <v>153.80000000000001</v>
      </c>
      <c r="AC17" s="15">
        <f>VLOOKUP(A:A,[1]TDSheet!$A:$S,19,0)</f>
        <v>175</v>
      </c>
      <c r="AD17" s="15">
        <f>VLOOKUP(A:A,[2]TDSheet!$A:$D,4,0)</f>
        <v>178</v>
      </c>
      <c r="AE17" s="15">
        <f>VLOOKUP(A:A,[1]TDSheet!$A:$AE,31,0)</f>
        <v>0</v>
      </c>
      <c r="AF17" s="15">
        <f>VLOOKUP(A:A,[1]TDSheet!$A:$AF,32,0)</f>
        <v>0</v>
      </c>
      <c r="AG17" s="15">
        <f t="shared" si="13"/>
        <v>50</v>
      </c>
      <c r="AH17" s="15"/>
      <c r="AI17" s="15"/>
      <c r="AJ17" s="15"/>
    </row>
    <row r="18" spans="1:36" s="1" customFormat="1" ht="11.1" customHeight="1" outlineLevel="1" x14ac:dyDescent="0.2">
      <c r="A18" s="7" t="s">
        <v>21</v>
      </c>
      <c r="B18" s="7" t="s">
        <v>8</v>
      </c>
      <c r="C18" s="8">
        <v>674.89099999999996</v>
      </c>
      <c r="D18" s="8">
        <v>1608.877</v>
      </c>
      <c r="E18" s="8">
        <v>1077.777</v>
      </c>
      <c r="F18" s="8">
        <v>1330.376</v>
      </c>
      <c r="G18" s="1">
        <f>VLOOKUP(A:A,[1]TDSheet!$A:$G,7,0)</f>
        <v>1</v>
      </c>
      <c r="H18" s="1">
        <f>VLOOKUP(A:A,[1]TDSheet!$A:$H,8,0)</f>
        <v>45</v>
      </c>
      <c r="I18" s="15">
        <f>VLOOKUP(A:A,[1]TDSheet!$A:$I,9,0)</f>
        <v>853.92200000000003</v>
      </c>
      <c r="J18" s="15">
        <f>VLOOKUP(A:A,[1]TDSheet!$A:$J,10,0)</f>
        <v>39.294999999999959</v>
      </c>
      <c r="K18" s="15">
        <f>VLOOKUP(A:A,[1]TDSheet!$A:$M,13,0)</f>
        <v>500</v>
      </c>
      <c r="L18" s="15">
        <f>VLOOKUP(A:A,[1]TDSheet!$A:$R,18,0)</f>
        <v>100</v>
      </c>
      <c r="M18" s="15">
        <f>VLOOKUP(A:A,[1]TDSheet!$A:$T,20,0)</f>
        <v>150</v>
      </c>
      <c r="N18" s="15"/>
      <c r="O18" s="15"/>
      <c r="P18" s="15"/>
      <c r="Q18" s="15"/>
      <c r="R18" s="15"/>
      <c r="S18" s="15">
        <f t="shared" si="10"/>
        <v>179.62950000000001</v>
      </c>
      <c r="T18" s="17">
        <v>250</v>
      </c>
      <c r="U18" s="18">
        <f t="shared" si="11"/>
        <v>12.973236578624336</v>
      </c>
      <c r="V18" s="15">
        <f t="shared" si="12"/>
        <v>7.4062222519129648</v>
      </c>
      <c r="W18" s="15">
        <v>250</v>
      </c>
      <c r="X18" s="15"/>
      <c r="Y18" s="15"/>
      <c r="Z18" s="15">
        <f>VLOOKUP(A:A,[1]TDSheet!$A:$AA,27,0)</f>
        <v>165.24960000000002</v>
      </c>
      <c r="AA18" s="15">
        <f>VLOOKUP(A:A,[1]TDSheet!$A:$AB,28,0)</f>
        <v>164.256</v>
      </c>
      <c r="AB18" s="15">
        <f>VLOOKUP(A:A,[1]TDSheet!$A:$AC,29,0)</f>
        <v>174.84719999999999</v>
      </c>
      <c r="AC18" s="15">
        <f>VLOOKUP(A:A,[1]TDSheet!$A:$S,19,0)</f>
        <v>178.64339999999999</v>
      </c>
      <c r="AD18" s="15">
        <f>VLOOKUP(A:A,[2]TDSheet!$A:$D,4,0)</f>
        <v>184.56</v>
      </c>
      <c r="AE18" s="15">
        <f>VLOOKUP(A:A,[1]TDSheet!$A:$AE,31,0)</f>
        <v>0</v>
      </c>
      <c r="AF18" s="15">
        <f>VLOOKUP(A:A,[1]TDSheet!$A:$AF,32,0)</f>
        <v>0</v>
      </c>
      <c r="AG18" s="15">
        <f t="shared" si="13"/>
        <v>250</v>
      </c>
      <c r="AH18" s="15"/>
      <c r="AI18" s="15"/>
      <c r="AJ18" s="15"/>
    </row>
    <row r="19" spans="1:36" s="1" customFormat="1" ht="11.1" customHeight="1" outlineLevel="1" x14ac:dyDescent="0.2">
      <c r="A19" s="7" t="s">
        <v>22</v>
      </c>
      <c r="B19" s="7" t="s">
        <v>9</v>
      </c>
      <c r="C19" s="8">
        <v>235</v>
      </c>
      <c r="D19" s="8">
        <v>541</v>
      </c>
      <c r="E19" s="8">
        <v>356</v>
      </c>
      <c r="F19" s="8">
        <v>449</v>
      </c>
      <c r="G19" s="1">
        <f>VLOOKUP(A:A,[1]TDSheet!$A:$G,7,0)</f>
        <v>0.15</v>
      </c>
      <c r="H19" s="1">
        <f>VLOOKUP(A:A,[1]TDSheet!$A:$H,8,0)</f>
        <v>60</v>
      </c>
      <c r="I19" s="15">
        <f>VLOOKUP(A:A,[1]TDSheet!$A:$I,9,0)</f>
        <v>335</v>
      </c>
      <c r="J19" s="15">
        <f>VLOOKUP(A:A,[1]TDSheet!$A:$J,10,0)</f>
        <v>-14</v>
      </c>
      <c r="K19" s="15">
        <f>VLOOKUP(A:A,[1]TDSheet!$A:$M,13,0)</f>
        <v>40</v>
      </c>
      <c r="L19" s="15">
        <f>VLOOKUP(A:A,[1]TDSheet!$A:$R,18,0)</f>
        <v>120</v>
      </c>
      <c r="M19" s="15">
        <f>VLOOKUP(A:A,[1]TDSheet!$A:$T,20,0)</f>
        <v>80</v>
      </c>
      <c r="N19" s="15"/>
      <c r="O19" s="15"/>
      <c r="P19" s="15"/>
      <c r="Q19" s="15"/>
      <c r="R19" s="15"/>
      <c r="S19" s="15">
        <f t="shared" si="10"/>
        <v>59.333333333333336</v>
      </c>
      <c r="T19" s="17">
        <v>40</v>
      </c>
      <c r="U19" s="18">
        <f t="shared" si="11"/>
        <v>12.286516853932584</v>
      </c>
      <c r="V19" s="15">
        <f t="shared" si="12"/>
        <v>7.5674157303370784</v>
      </c>
      <c r="W19" s="15">
        <v>40</v>
      </c>
      <c r="X19" s="15"/>
      <c r="Y19" s="15"/>
      <c r="Z19" s="15">
        <f>VLOOKUP(A:A,[1]TDSheet!$A:$AA,27,0)</f>
        <v>50.8</v>
      </c>
      <c r="AA19" s="15">
        <f>VLOOKUP(A:A,[1]TDSheet!$A:$AB,28,0)</f>
        <v>59.4</v>
      </c>
      <c r="AB19" s="15">
        <f>VLOOKUP(A:A,[1]TDSheet!$A:$AC,29,0)</f>
        <v>65.8</v>
      </c>
      <c r="AC19" s="15">
        <f>VLOOKUP(A:A,[1]TDSheet!$A:$S,19,0)</f>
        <v>64.2</v>
      </c>
      <c r="AD19" s="15">
        <f>VLOOKUP(A:A,[2]TDSheet!$A:$D,4,0)</f>
        <v>35</v>
      </c>
      <c r="AE19" s="15">
        <f>VLOOKUP(A:A,[1]TDSheet!$A:$AE,31,0)</f>
        <v>0</v>
      </c>
      <c r="AF19" s="15">
        <f>VLOOKUP(A:A,[1]TDSheet!$A:$AF,32,0)</f>
        <v>0</v>
      </c>
      <c r="AG19" s="15">
        <f t="shared" si="13"/>
        <v>6</v>
      </c>
      <c r="AH19" s="15"/>
      <c r="AI19" s="15"/>
      <c r="AJ19" s="15"/>
    </row>
    <row r="20" spans="1:36" s="1" customFormat="1" ht="11.1" customHeight="1" outlineLevel="1" x14ac:dyDescent="0.2">
      <c r="A20" s="7" t="s">
        <v>23</v>
      </c>
      <c r="B20" s="7" t="s">
        <v>8</v>
      </c>
      <c r="C20" s="8">
        <v>43.167999999999999</v>
      </c>
      <c r="D20" s="8">
        <v>197.88499999999999</v>
      </c>
      <c r="E20" s="8">
        <v>80.632000000000005</v>
      </c>
      <c r="F20" s="8">
        <v>161.36199999999999</v>
      </c>
      <c r="G20" s="1">
        <f>VLOOKUP(A:A,[1]TDSheet!$A:$G,7,0)</f>
        <v>1</v>
      </c>
      <c r="H20" s="1">
        <f>VLOOKUP(A:A,[1]TDSheet!$A:$H,8,0)</f>
        <v>120</v>
      </c>
      <c r="I20" s="15">
        <f>VLOOKUP(A:A,[1]TDSheet!$A:$I,9,0)</f>
        <v>66.5</v>
      </c>
      <c r="J20" s="15">
        <f>VLOOKUP(A:A,[1]TDSheet!$A:$J,10,0)</f>
        <v>4.695999999999998</v>
      </c>
      <c r="K20" s="15">
        <f>VLOOKUP(A:A,[1]TDSheet!$A:$M,13,0)</f>
        <v>100</v>
      </c>
      <c r="L20" s="15">
        <f>VLOOKUP(A:A,[1]TDSheet!$A:$R,18,0)</f>
        <v>0</v>
      </c>
      <c r="M20" s="15">
        <f>VLOOKUP(A:A,[1]TDSheet!$A:$T,20,0)</f>
        <v>80</v>
      </c>
      <c r="N20" s="15"/>
      <c r="O20" s="15"/>
      <c r="P20" s="15"/>
      <c r="Q20" s="15"/>
      <c r="R20" s="15"/>
      <c r="S20" s="15">
        <f t="shared" si="10"/>
        <v>13.438666666666668</v>
      </c>
      <c r="T20" s="17"/>
      <c r="U20" s="18">
        <f t="shared" si="11"/>
        <v>25.401478321262026</v>
      </c>
      <c r="V20" s="15">
        <f t="shared" si="12"/>
        <v>12.007292390118065</v>
      </c>
      <c r="W20" s="15"/>
      <c r="X20" s="15"/>
      <c r="Y20" s="15"/>
      <c r="Z20" s="15">
        <f>VLOOKUP(A:A,[1]TDSheet!$A:$AA,27,0)</f>
        <v>7.1361999999999997</v>
      </c>
      <c r="AA20" s="15">
        <f>VLOOKUP(A:A,[1]TDSheet!$A:$AB,28,0)</f>
        <v>4.2545999999999999</v>
      </c>
      <c r="AB20" s="15">
        <f>VLOOKUP(A:A,[1]TDSheet!$A:$AC,29,0)</f>
        <v>10.028600000000001</v>
      </c>
      <c r="AC20" s="15">
        <f>VLOOKUP(A:A,[1]TDSheet!$A:$S,19,0)</f>
        <v>14.2392</v>
      </c>
      <c r="AD20" s="15">
        <f>VLOOKUP(A:A,[2]TDSheet!$A:$D,4,0)</f>
        <v>9.4359999999999999</v>
      </c>
      <c r="AE20" s="15">
        <f>VLOOKUP(A:A,[1]TDSheet!$A:$AE,31,0)</f>
        <v>0</v>
      </c>
      <c r="AF20" s="15">
        <f>VLOOKUP(A:A,[1]TDSheet!$A:$AF,32,0)</f>
        <v>0</v>
      </c>
      <c r="AG20" s="15">
        <f t="shared" si="13"/>
        <v>0</v>
      </c>
      <c r="AH20" s="15"/>
      <c r="AI20" s="15"/>
      <c r="AJ20" s="15"/>
    </row>
    <row r="21" spans="1:36" s="1" customFormat="1" ht="11.1" customHeight="1" outlineLevel="1" x14ac:dyDescent="0.2">
      <c r="A21" s="7" t="s">
        <v>24</v>
      </c>
      <c r="B21" s="7" t="s">
        <v>8</v>
      </c>
      <c r="C21" s="8">
        <v>263.66399999999999</v>
      </c>
      <c r="D21" s="8">
        <v>244.767</v>
      </c>
      <c r="E21" s="8">
        <v>303.53000000000003</v>
      </c>
      <c r="F21" s="8">
        <v>224.97300000000001</v>
      </c>
      <c r="G21" s="1">
        <f>VLOOKUP(A:A,[1]TDSheet!$A:$G,7,0)</f>
        <v>1</v>
      </c>
      <c r="H21" s="1">
        <f>VLOOKUP(A:A,[1]TDSheet!$A:$H,8,0)</f>
        <v>60</v>
      </c>
      <c r="I21" s="15">
        <f>VLOOKUP(A:A,[1]TDSheet!$A:$I,9,0)</f>
        <v>264.7</v>
      </c>
      <c r="J21" s="15">
        <f>VLOOKUP(A:A,[1]TDSheet!$A:$J,10,0)</f>
        <v>8.1290000000000191</v>
      </c>
      <c r="K21" s="15">
        <f>VLOOKUP(A:A,[1]TDSheet!$A:$M,13,0)</f>
        <v>150</v>
      </c>
      <c r="L21" s="15">
        <f>VLOOKUP(A:A,[1]TDSheet!$A:$R,18,0)</f>
        <v>150</v>
      </c>
      <c r="M21" s="15">
        <f>VLOOKUP(A:A,[1]TDSheet!$A:$T,20,0)</f>
        <v>200</v>
      </c>
      <c r="N21" s="15"/>
      <c r="O21" s="15"/>
      <c r="P21" s="15"/>
      <c r="Q21" s="15"/>
      <c r="R21" s="15"/>
      <c r="S21" s="15">
        <f t="shared" si="10"/>
        <v>50.588333333333338</v>
      </c>
      <c r="T21" s="17">
        <v>50</v>
      </c>
      <c r="U21" s="18">
        <f t="shared" si="11"/>
        <v>15.319204032550322</v>
      </c>
      <c r="V21" s="15">
        <f t="shared" si="12"/>
        <v>4.4471320792013964</v>
      </c>
      <c r="W21" s="15">
        <v>50</v>
      </c>
      <c r="X21" s="15"/>
      <c r="Y21" s="15"/>
      <c r="Z21" s="15">
        <f>VLOOKUP(A:A,[1]TDSheet!$A:$AA,27,0)</f>
        <v>42.1066</v>
      </c>
      <c r="AA21" s="15">
        <f>VLOOKUP(A:A,[1]TDSheet!$A:$AB,28,0)</f>
        <v>48.205799999999996</v>
      </c>
      <c r="AB21" s="15">
        <f>VLOOKUP(A:A,[1]TDSheet!$A:$AC,29,0)</f>
        <v>40.230000000000004</v>
      </c>
      <c r="AC21" s="15">
        <f>VLOOKUP(A:A,[1]TDSheet!$A:$S,19,0)</f>
        <v>54.565800000000003</v>
      </c>
      <c r="AD21" s="15">
        <f>VLOOKUP(A:A,[2]TDSheet!$A:$D,4,0)</f>
        <v>30.701000000000001</v>
      </c>
      <c r="AE21" s="15">
        <f>VLOOKUP(A:A,[1]TDSheet!$A:$AE,31,0)</f>
        <v>0</v>
      </c>
      <c r="AF21" s="15">
        <f>VLOOKUP(A:A,[1]TDSheet!$A:$AF,32,0)</f>
        <v>0</v>
      </c>
      <c r="AG21" s="15">
        <f t="shared" si="13"/>
        <v>50</v>
      </c>
      <c r="AH21" s="15"/>
      <c r="AI21" s="15"/>
      <c r="AJ21" s="15"/>
    </row>
    <row r="22" spans="1:36" s="1" customFormat="1" ht="11.1" customHeight="1" outlineLevel="1" x14ac:dyDescent="0.2">
      <c r="A22" s="7" t="s">
        <v>25</v>
      </c>
      <c r="B22" s="7" t="s">
        <v>9</v>
      </c>
      <c r="C22" s="8">
        <v>4085</v>
      </c>
      <c r="D22" s="8">
        <v>1243</v>
      </c>
      <c r="E22" s="8">
        <v>1679</v>
      </c>
      <c r="F22" s="8">
        <v>3799</v>
      </c>
      <c r="G22" s="1">
        <f>VLOOKUP(A:A,[1]TDSheet!$A:$G,7,0)</f>
        <v>0.22</v>
      </c>
      <c r="H22" s="1">
        <f>VLOOKUP(A:A,[1]TDSheet!$A:$H,8,0)</f>
        <v>120</v>
      </c>
      <c r="I22" s="15">
        <f>VLOOKUP(A:A,[1]TDSheet!$A:$I,9,0)</f>
        <v>1489</v>
      </c>
      <c r="J22" s="15">
        <f>VLOOKUP(A:A,[1]TDSheet!$A:$J,10,0)</f>
        <v>-28</v>
      </c>
      <c r="K22" s="15">
        <f>VLOOKUP(A:A,[1]TDSheet!$A:$M,13,0)</f>
        <v>0</v>
      </c>
      <c r="L22" s="15">
        <f>VLOOKUP(A:A,[1]TDSheet!$A:$R,18,0)</f>
        <v>600</v>
      </c>
      <c r="M22" s="15">
        <f>VLOOKUP(A:A,[1]TDSheet!$A:$T,20,0)</f>
        <v>1400</v>
      </c>
      <c r="N22" s="15"/>
      <c r="O22" s="15"/>
      <c r="P22" s="15"/>
      <c r="Q22" s="15"/>
      <c r="R22" s="15"/>
      <c r="S22" s="15">
        <f t="shared" si="10"/>
        <v>279.83333333333331</v>
      </c>
      <c r="T22" s="17">
        <v>400</v>
      </c>
      <c r="U22" s="18">
        <f t="shared" si="11"/>
        <v>22.152471709350806</v>
      </c>
      <c r="V22" s="15">
        <f t="shared" si="12"/>
        <v>13.575938058368077</v>
      </c>
      <c r="W22" s="15">
        <v>400</v>
      </c>
      <c r="X22" s="15"/>
      <c r="Y22" s="15"/>
      <c r="Z22" s="15">
        <f>VLOOKUP(A:A,[1]TDSheet!$A:$AA,27,0)</f>
        <v>206.8</v>
      </c>
      <c r="AA22" s="15">
        <f>VLOOKUP(A:A,[1]TDSheet!$A:$AB,28,0)</f>
        <v>303.39999999999998</v>
      </c>
      <c r="AB22" s="15">
        <f>VLOOKUP(A:A,[1]TDSheet!$A:$AC,29,0)</f>
        <v>296.60000000000002</v>
      </c>
      <c r="AC22" s="15">
        <f>VLOOKUP(A:A,[1]TDSheet!$A:$S,19,0)</f>
        <v>292.2</v>
      </c>
      <c r="AD22" s="15">
        <f>VLOOKUP(A:A,[2]TDSheet!$A:$D,4,0)</f>
        <v>218</v>
      </c>
      <c r="AE22" s="15">
        <f>VLOOKUP(A:A,[1]TDSheet!$A:$AE,31,0)</f>
        <v>0</v>
      </c>
      <c r="AF22" s="15">
        <f>VLOOKUP(A:A,[1]TDSheet!$A:$AF,32,0)</f>
        <v>0</v>
      </c>
      <c r="AG22" s="15">
        <f t="shared" si="13"/>
        <v>88</v>
      </c>
      <c r="AH22" s="15"/>
      <c r="AI22" s="15"/>
      <c r="AJ22" s="15"/>
    </row>
    <row r="23" spans="1:36" s="1" customFormat="1" ht="11.1" customHeight="1" outlineLevel="1" x14ac:dyDescent="0.2">
      <c r="A23" s="7" t="s">
        <v>26</v>
      </c>
      <c r="B23" s="7" t="s">
        <v>8</v>
      </c>
      <c r="C23" s="8">
        <v>10.843999999999999</v>
      </c>
      <c r="D23" s="8">
        <v>48.87</v>
      </c>
      <c r="E23" s="8">
        <v>15.799000000000001</v>
      </c>
      <c r="F23" s="8">
        <v>43.506999999999998</v>
      </c>
      <c r="G23" s="1">
        <f>VLOOKUP(A:A,[1]TDSheet!$A:$G,7,0)</f>
        <v>1</v>
      </c>
      <c r="H23" s="1" t="e">
        <f>VLOOKUP(A:A,[1]TDSheet!$A:$H,8,0)</f>
        <v>#N/A</v>
      </c>
      <c r="I23" s="15">
        <f>VLOOKUP(A:A,[1]TDSheet!$A:$I,9,0)</f>
        <v>10.3</v>
      </c>
      <c r="J23" s="15">
        <f>VLOOKUP(A:A,[1]TDSheet!$A:$J,10,0)</f>
        <v>3.2210000000000001</v>
      </c>
      <c r="K23" s="15">
        <f>VLOOKUP(A:A,[1]TDSheet!$A:$M,13,0)</f>
        <v>0</v>
      </c>
      <c r="L23" s="15">
        <f>VLOOKUP(A:A,[1]TDSheet!$A:$R,18,0)</f>
        <v>0</v>
      </c>
      <c r="M23" s="15">
        <f>VLOOKUP(A:A,[1]TDSheet!$A:$T,20,0)</f>
        <v>0</v>
      </c>
      <c r="N23" s="15"/>
      <c r="O23" s="15"/>
      <c r="P23" s="15"/>
      <c r="Q23" s="15"/>
      <c r="R23" s="15"/>
      <c r="S23" s="15">
        <f t="shared" si="10"/>
        <v>2.6331666666666669</v>
      </c>
      <c r="T23" s="17"/>
      <c r="U23" s="18">
        <f t="shared" si="11"/>
        <v>16.522691309576555</v>
      </c>
      <c r="V23" s="15">
        <f t="shared" si="12"/>
        <v>16.522691309576555</v>
      </c>
      <c r="W23" s="15"/>
      <c r="X23" s="15"/>
      <c r="Y23" s="15"/>
      <c r="Z23" s="15">
        <f>VLOOKUP(A:A,[1]TDSheet!$A:$AA,27,0)</f>
        <v>4.0636000000000001</v>
      </c>
      <c r="AA23" s="15">
        <f>VLOOKUP(A:A,[1]TDSheet!$A:$AB,28,0)</f>
        <v>1.6042000000000001</v>
      </c>
      <c r="AB23" s="15">
        <f>VLOOKUP(A:A,[1]TDSheet!$A:$AC,29,0)</f>
        <v>5.9401999999999999</v>
      </c>
      <c r="AC23" s="15">
        <f>VLOOKUP(A:A,[1]TDSheet!$A:$S,19,0)</f>
        <v>2.7042000000000002</v>
      </c>
      <c r="AD23" s="15">
        <f>VLOOKUP(A:A,[2]TDSheet!$A:$D,4,0)</f>
        <v>2.278</v>
      </c>
      <c r="AE23" s="15">
        <f>VLOOKUP(A:A,[1]TDSheet!$A:$AE,31,0)</f>
        <v>0</v>
      </c>
      <c r="AF23" s="15" t="str">
        <f>VLOOKUP(A:A,[1]TDSheet!$A:$AF,32,0)</f>
        <v>увел</v>
      </c>
      <c r="AG23" s="15">
        <f t="shared" si="13"/>
        <v>0</v>
      </c>
      <c r="AH23" s="15"/>
      <c r="AI23" s="15"/>
      <c r="AJ23" s="15"/>
    </row>
    <row r="24" spans="1:36" s="1" customFormat="1" ht="11.1" customHeight="1" outlineLevel="1" x14ac:dyDescent="0.2">
      <c r="A24" s="7" t="s">
        <v>27</v>
      </c>
      <c r="B24" s="7" t="s">
        <v>9</v>
      </c>
      <c r="C24" s="8">
        <v>324</v>
      </c>
      <c r="D24" s="8">
        <v>1059</v>
      </c>
      <c r="E24" s="8">
        <v>647</v>
      </c>
      <c r="F24" s="8">
        <v>756</v>
      </c>
      <c r="G24" s="1">
        <f>VLOOKUP(A:A,[1]TDSheet!$A:$G,7,0)</f>
        <v>0.09</v>
      </c>
      <c r="H24" s="1" t="e">
        <f>VLOOKUP(A:A,[1]TDSheet!$A:$H,8,0)</f>
        <v>#N/A</v>
      </c>
      <c r="I24" s="15">
        <f>VLOOKUP(A:A,[1]TDSheet!$A:$I,9,0)</f>
        <v>599</v>
      </c>
      <c r="J24" s="15">
        <f>VLOOKUP(A:A,[1]TDSheet!$A:$J,10,0)</f>
        <v>13</v>
      </c>
      <c r="K24" s="15">
        <f>VLOOKUP(A:A,[1]TDSheet!$A:$M,13,0)</f>
        <v>240</v>
      </c>
      <c r="L24" s="15">
        <f>VLOOKUP(A:A,[1]TDSheet!$A:$R,18,0)</f>
        <v>160</v>
      </c>
      <c r="M24" s="15">
        <f>VLOOKUP(A:A,[1]TDSheet!$A:$T,20,0)</f>
        <v>120</v>
      </c>
      <c r="N24" s="15"/>
      <c r="O24" s="15"/>
      <c r="P24" s="15"/>
      <c r="Q24" s="15"/>
      <c r="R24" s="15"/>
      <c r="S24" s="15">
        <f t="shared" si="10"/>
        <v>107.83333333333333</v>
      </c>
      <c r="T24" s="17"/>
      <c r="U24" s="18">
        <f t="shared" si="11"/>
        <v>11.833075734157651</v>
      </c>
      <c r="V24" s="15">
        <f t="shared" si="12"/>
        <v>7.0108191653786713</v>
      </c>
      <c r="W24" s="15"/>
      <c r="X24" s="15"/>
      <c r="Y24" s="15"/>
      <c r="Z24" s="15">
        <f>VLOOKUP(A:A,[1]TDSheet!$A:$AA,27,0)</f>
        <v>106.2</v>
      </c>
      <c r="AA24" s="15">
        <f>VLOOKUP(A:A,[1]TDSheet!$A:$AB,28,0)</f>
        <v>104.6</v>
      </c>
      <c r="AB24" s="15">
        <f>VLOOKUP(A:A,[1]TDSheet!$A:$AC,29,0)</f>
        <v>131.4</v>
      </c>
      <c r="AC24" s="15">
        <f>VLOOKUP(A:A,[1]TDSheet!$A:$S,19,0)</f>
        <v>122.4</v>
      </c>
      <c r="AD24" s="15">
        <f>VLOOKUP(A:A,[2]TDSheet!$A:$D,4,0)</f>
        <v>35</v>
      </c>
      <c r="AE24" s="15">
        <f>VLOOKUP(A:A,[1]TDSheet!$A:$AE,31,0)</f>
        <v>0</v>
      </c>
      <c r="AF24" s="15">
        <f>VLOOKUP(A:A,[1]TDSheet!$A:$AF,32,0)</f>
        <v>0</v>
      </c>
      <c r="AG24" s="15">
        <f t="shared" si="13"/>
        <v>0</v>
      </c>
      <c r="AH24" s="15"/>
      <c r="AI24" s="15"/>
      <c r="AJ24" s="15"/>
    </row>
    <row r="25" spans="1:36" s="1" customFormat="1" ht="11.1" customHeight="1" outlineLevel="1" x14ac:dyDescent="0.2">
      <c r="A25" s="7" t="s">
        <v>28</v>
      </c>
      <c r="B25" s="7" t="s">
        <v>9</v>
      </c>
      <c r="C25" s="8">
        <v>293</v>
      </c>
      <c r="D25" s="8">
        <v>662</v>
      </c>
      <c r="E25" s="8">
        <v>506</v>
      </c>
      <c r="F25" s="8">
        <v>495</v>
      </c>
      <c r="G25" s="1">
        <f>VLOOKUP(A:A,[1]TDSheet!$A:$G,7,0)</f>
        <v>0.09</v>
      </c>
      <c r="H25" s="1">
        <f>VLOOKUP(A:A,[1]TDSheet!$A:$H,8,0)</f>
        <v>45</v>
      </c>
      <c r="I25" s="15">
        <f>VLOOKUP(A:A,[1]TDSheet!$A:$I,9,0)</f>
        <v>434</v>
      </c>
      <c r="J25" s="15">
        <f>VLOOKUP(A:A,[1]TDSheet!$A:$J,10,0)</f>
        <v>-12</v>
      </c>
      <c r="K25" s="15">
        <f>VLOOKUP(A:A,[1]TDSheet!$A:$M,13,0)</f>
        <v>240</v>
      </c>
      <c r="L25" s="15">
        <f>VLOOKUP(A:A,[1]TDSheet!$A:$R,18,0)</f>
        <v>40</v>
      </c>
      <c r="M25" s="15">
        <f>VLOOKUP(A:A,[1]TDSheet!$A:$T,20,0)</f>
        <v>80</v>
      </c>
      <c r="N25" s="15"/>
      <c r="O25" s="15"/>
      <c r="P25" s="15"/>
      <c r="Q25" s="15"/>
      <c r="R25" s="15"/>
      <c r="S25" s="15">
        <f t="shared" si="10"/>
        <v>84.333333333333329</v>
      </c>
      <c r="T25" s="17">
        <v>120</v>
      </c>
      <c r="U25" s="18">
        <f t="shared" si="11"/>
        <v>11.561264822134389</v>
      </c>
      <c r="V25" s="15">
        <f t="shared" si="12"/>
        <v>5.8695652173913047</v>
      </c>
      <c r="W25" s="15">
        <v>120</v>
      </c>
      <c r="X25" s="15"/>
      <c r="Y25" s="15"/>
      <c r="Z25" s="15">
        <f>VLOOKUP(A:A,[1]TDSheet!$A:$AA,27,0)</f>
        <v>81</v>
      </c>
      <c r="AA25" s="15">
        <f>VLOOKUP(A:A,[1]TDSheet!$A:$AB,28,0)</f>
        <v>77.599999999999994</v>
      </c>
      <c r="AB25" s="15">
        <f>VLOOKUP(A:A,[1]TDSheet!$A:$AC,29,0)</f>
        <v>88.6</v>
      </c>
      <c r="AC25" s="15">
        <f>VLOOKUP(A:A,[1]TDSheet!$A:$S,19,0)</f>
        <v>84.4</v>
      </c>
      <c r="AD25" s="15">
        <f>VLOOKUP(A:A,[2]TDSheet!$A:$D,4,0)</f>
        <v>84</v>
      </c>
      <c r="AE25" s="15">
        <f>VLOOKUP(A:A,[1]TDSheet!$A:$AE,31,0)</f>
        <v>0</v>
      </c>
      <c r="AF25" s="15">
        <f>VLOOKUP(A:A,[1]TDSheet!$A:$AF,32,0)</f>
        <v>0</v>
      </c>
      <c r="AG25" s="15">
        <f t="shared" si="13"/>
        <v>10.799999999999999</v>
      </c>
      <c r="AH25" s="15"/>
      <c r="AI25" s="15"/>
      <c r="AJ25" s="15"/>
    </row>
    <row r="26" spans="1:36" s="1" customFormat="1" ht="11.1" customHeight="1" outlineLevel="1" x14ac:dyDescent="0.2">
      <c r="A26" s="7" t="s">
        <v>29</v>
      </c>
      <c r="B26" s="7" t="s">
        <v>9</v>
      </c>
      <c r="C26" s="8">
        <v>78</v>
      </c>
      <c r="D26" s="8">
        <v>246</v>
      </c>
      <c r="E26" s="8">
        <v>135</v>
      </c>
      <c r="F26" s="8">
        <v>202</v>
      </c>
      <c r="G26" s="1">
        <f>VLOOKUP(A:A,[1]TDSheet!$A:$G,7,0)</f>
        <v>0.4</v>
      </c>
      <c r="H26" s="1">
        <f>VLOOKUP(A:A,[1]TDSheet!$A:$H,8,0)</f>
        <v>60</v>
      </c>
      <c r="I26" s="15">
        <f>VLOOKUP(A:A,[1]TDSheet!$A:$I,9,0)</f>
        <v>109</v>
      </c>
      <c r="J26" s="15">
        <f>VLOOKUP(A:A,[1]TDSheet!$A:$J,10,0)</f>
        <v>-4</v>
      </c>
      <c r="K26" s="15">
        <f>VLOOKUP(A:A,[1]TDSheet!$A:$M,13,0)</f>
        <v>0</v>
      </c>
      <c r="L26" s="15">
        <f>VLOOKUP(A:A,[1]TDSheet!$A:$R,18,0)</f>
        <v>0</v>
      </c>
      <c r="M26" s="15">
        <f>VLOOKUP(A:A,[1]TDSheet!$A:$T,20,0)</f>
        <v>0</v>
      </c>
      <c r="N26" s="15"/>
      <c r="O26" s="15"/>
      <c r="P26" s="15"/>
      <c r="Q26" s="15"/>
      <c r="R26" s="15"/>
      <c r="S26" s="15">
        <f t="shared" si="10"/>
        <v>22.5</v>
      </c>
      <c r="T26" s="17">
        <v>80</v>
      </c>
      <c r="U26" s="18">
        <f t="shared" si="11"/>
        <v>12.533333333333333</v>
      </c>
      <c r="V26" s="15">
        <f t="shared" si="12"/>
        <v>8.9777777777777779</v>
      </c>
      <c r="W26" s="15">
        <v>80</v>
      </c>
      <c r="X26" s="15"/>
      <c r="Y26" s="15"/>
      <c r="Z26" s="15">
        <f>VLOOKUP(A:A,[1]TDSheet!$A:$AA,27,0)</f>
        <v>27.6</v>
      </c>
      <c r="AA26" s="15">
        <f>VLOOKUP(A:A,[1]TDSheet!$A:$AB,28,0)</f>
        <v>20.399999999999999</v>
      </c>
      <c r="AB26" s="15">
        <f>VLOOKUP(A:A,[1]TDSheet!$A:$AC,29,0)</f>
        <v>23.4</v>
      </c>
      <c r="AC26" s="15">
        <f>VLOOKUP(A:A,[1]TDSheet!$A:$S,19,0)</f>
        <v>21</v>
      </c>
      <c r="AD26" s="15">
        <f>VLOOKUP(A:A,[2]TDSheet!$A:$D,4,0)</f>
        <v>30</v>
      </c>
      <c r="AE26" s="15">
        <f>VLOOKUP(A:A,[1]TDSheet!$A:$AE,31,0)</f>
        <v>0</v>
      </c>
      <c r="AF26" s="15">
        <f>VLOOKUP(A:A,[1]TDSheet!$A:$AF,32,0)</f>
        <v>0</v>
      </c>
      <c r="AG26" s="15">
        <f t="shared" si="13"/>
        <v>32</v>
      </c>
      <c r="AH26" s="15"/>
      <c r="AI26" s="15"/>
      <c r="AJ26" s="15"/>
    </row>
    <row r="27" spans="1:36" s="1" customFormat="1" ht="11.1" customHeight="1" outlineLevel="1" x14ac:dyDescent="0.2">
      <c r="A27" s="7" t="s">
        <v>30</v>
      </c>
      <c r="B27" s="7" t="s">
        <v>9</v>
      </c>
      <c r="C27" s="8">
        <v>701</v>
      </c>
      <c r="D27" s="8">
        <v>1140</v>
      </c>
      <c r="E27" s="8">
        <v>852</v>
      </c>
      <c r="F27" s="8">
        <v>1098</v>
      </c>
      <c r="G27" s="1">
        <f>VLOOKUP(A:A,[1]TDSheet!$A:$G,7,0)</f>
        <v>0.4</v>
      </c>
      <c r="H27" s="1">
        <f>VLOOKUP(A:A,[1]TDSheet!$A:$H,8,0)</f>
        <v>60</v>
      </c>
      <c r="I27" s="15">
        <f>VLOOKUP(A:A,[1]TDSheet!$A:$I,9,0)</f>
        <v>782</v>
      </c>
      <c r="J27" s="15">
        <f>VLOOKUP(A:A,[1]TDSheet!$A:$J,10,0)</f>
        <v>-9</v>
      </c>
      <c r="K27" s="15">
        <f>VLOOKUP(A:A,[1]TDSheet!$A:$M,13,0)</f>
        <v>200</v>
      </c>
      <c r="L27" s="15">
        <f>VLOOKUP(A:A,[1]TDSheet!$A:$R,18,0)</f>
        <v>160</v>
      </c>
      <c r="M27" s="15">
        <f>VLOOKUP(A:A,[1]TDSheet!$A:$T,20,0)</f>
        <v>280</v>
      </c>
      <c r="N27" s="15"/>
      <c r="O27" s="15"/>
      <c r="P27" s="15"/>
      <c r="Q27" s="15"/>
      <c r="R27" s="15"/>
      <c r="S27" s="15">
        <f t="shared" si="10"/>
        <v>142</v>
      </c>
      <c r="T27" s="17">
        <v>120</v>
      </c>
      <c r="U27" s="18">
        <f t="shared" si="11"/>
        <v>13.084507042253522</v>
      </c>
      <c r="V27" s="15">
        <f t="shared" si="12"/>
        <v>7.732394366197183</v>
      </c>
      <c r="W27" s="15">
        <v>120</v>
      </c>
      <c r="X27" s="15"/>
      <c r="Y27" s="15"/>
      <c r="Z27" s="15">
        <f>VLOOKUP(A:A,[1]TDSheet!$A:$AA,27,0)</f>
        <v>125.6</v>
      </c>
      <c r="AA27" s="15">
        <f>VLOOKUP(A:A,[1]TDSheet!$A:$AB,28,0)</f>
        <v>148</v>
      </c>
      <c r="AB27" s="15">
        <f>VLOOKUP(A:A,[1]TDSheet!$A:$AC,29,0)</f>
        <v>131.4</v>
      </c>
      <c r="AC27" s="15">
        <f>VLOOKUP(A:A,[1]TDSheet!$A:$S,19,0)</f>
        <v>154.6</v>
      </c>
      <c r="AD27" s="15">
        <f>VLOOKUP(A:A,[2]TDSheet!$A:$D,4,0)</f>
        <v>79</v>
      </c>
      <c r="AE27" s="15">
        <f>VLOOKUP(A:A,[1]TDSheet!$A:$AE,31,0)</f>
        <v>0</v>
      </c>
      <c r="AF27" s="15">
        <f>VLOOKUP(A:A,[1]TDSheet!$A:$AF,32,0)</f>
        <v>0</v>
      </c>
      <c r="AG27" s="15">
        <f t="shared" si="13"/>
        <v>48</v>
      </c>
      <c r="AH27" s="15"/>
      <c r="AI27" s="15"/>
      <c r="AJ27" s="15"/>
    </row>
    <row r="28" spans="1:36" s="1" customFormat="1" ht="11.1" customHeight="1" outlineLevel="1" x14ac:dyDescent="0.2">
      <c r="A28" s="7" t="s">
        <v>31</v>
      </c>
      <c r="B28" s="7" t="s">
        <v>9</v>
      </c>
      <c r="C28" s="8">
        <v>370</v>
      </c>
      <c r="D28" s="8">
        <v>760</v>
      </c>
      <c r="E28" s="8">
        <v>578</v>
      </c>
      <c r="F28" s="8">
        <v>613</v>
      </c>
      <c r="G28" s="1">
        <f>VLOOKUP(A:A,[1]TDSheet!$A:$G,7,0)</f>
        <v>0.15</v>
      </c>
      <c r="H28" s="1" t="e">
        <f>VLOOKUP(A:A,[1]TDSheet!$A:$H,8,0)</f>
        <v>#N/A</v>
      </c>
      <c r="I28" s="15">
        <f>VLOOKUP(A:A,[1]TDSheet!$A:$I,9,0)</f>
        <v>513</v>
      </c>
      <c r="J28" s="15">
        <f>VLOOKUP(A:A,[1]TDSheet!$A:$J,10,0)</f>
        <v>15</v>
      </c>
      <c r="K28" s="15">
        <f>VLOOKUP(A:A,[1]TDSheet!$A:$M,13,0)</f>
        <v>120</v>
      </c>
      <c r="L28" s="15">
        <f>VLOOKUP(A:A,[1]TDSheet!$A:$R,18,0)</f>
        <v>240</v>
      </c>
      <c r="M28" s="15">
        <f>VLOOKUP(A:A,[1]TDSheet!$A:$T,20,0)</f>
        <v>120</v>
      </c>
      <c r="N28" s="15"/>
      <c r="O28" s="15"/>
      <c r="P28" s="15"/>
      <c r="Q28" s="15"/>
      <c r="R28" s="15"/>
      <c r="S28" s="15">
        <f t="shared" si="10"/>
        <v>96.333333333333329</v>
      </c>
      <c r="T28" s="17">
        <v>40</v>
      </c>
      <c r="U28" s="18">
        <f t="shared" si="11"/>
        <v>11.761245674740485</v>
      </c>
      <c r="V28" s="15">
        <f t="shared" si="12"/>
        <v>6.3633217993079585</v>
      </c>
      <c r="W28" s="15">
        <v>40</v>
      </c>
      <c r="X28" s="15"/>
      <c r="Y28" s="15"/>
      <c r="Z28" s="15">
        <f>VLOOKUP(A:A,[1]TDSheet!$A:$AA,27,0)</f>
        <v>90</v>
      </c>
      <c r="AA28" s="15">
        <f>VLOOKUP(A:A,[1]TDSheet!$A:$AB,28,0)</f>
        <v>105.4</v>
      </c>
      <c r="AB28" s="15">
        <f>VLOOKUP(A:A,[1]TDSheet!$A:$AC,29,0)</f>
        <v>120.2</v>
      </c>
      <c r="AC28" s="15">
        <f>VLOOKUP(A:A,[1]TDSheet!$A:$S,19,0)</f>
        <v>105.6</v>
      </c>
      <c r="AD28" s="15">
        <f>VLOOKUP(A:A,[2]TDSheet!$A:$D,4,0)</f>
        <v>50</v>
      </c>
      <c r="AE28" s="15">
        <f>VLOOKUP(A:A,[1]TDSheet!$A:$AE,31,0)</f>
        <v>0</v>
      </c>
      <c r="AF28" s="15">
        <f>VLOOKUP(A:A,[1]TDSheet!$A:$AF,32,0)</f>
        <v>0</v>
      </c>
      <c r="AG28" s="15">
        <f t="shared" si="13"/>
        <v>6</v>
      </c>
      <c r="AH28" s="15"/>
      <c r="AI28" s="15"/>
      <c r="AJ28" s="15"/>
    </row>
    <row r="29" spans="1:36" s="1" customFormat="1" ht="11.1" customHeight="1" outlineLevel="1" x14ac:dyDescent="0.2">
      <c r="A29" s="7" t="s">
        <v>32</v>
      </c>
      <c r="B29" s="7" t="s">
        <v>8</v>
      </c>
      <c r="C29" s="8">
        <v>342.03199999999998</v>
      </c>
      <c r="D29" s="8">
        <v>631.65700000000004</v>
      </c>
      <c r="E29" s="8">
        <v>479.44100000000003</v>
      </c>
      <c r="F29" s="8">
        <v>530.11500000000001</v>
      </c>
      <c r="G29" s="1">
        <f>VLOOKUP(A:A,[1]TDSheet!$A:$G,7,0)</f>
        <v>1</v>
      </c>
      <c r="H29" s="1">
        <f>VLOOKUP(A:A,[1]TDSheet!$A:$H,8,0)</f>
        <v>45</v>
      </c>
      <c r="I29" s="15">
        <f>VLOOKUP(A:A,[1]TDSheet!$A:$I,9,0)</f>
        <v>409.9</v>
      </c>
      <c r="J29" s="15">
        <f>VLOOKUP(A:A,[1]TDSheet!$A:$J,10,0)</f>
        <v>14.05600000000004</v>
      </c>
      <c r="K29" s="15">
        <f>VLOOKUP(A:A,[1]TDSheet!$A:$M,13,0)</f>
        <v>110</v>
      </c>
      <c r="L29" s="15">
        <f>VLOOKUP(A:A,[1]TDSheet!$A:$R,18,0)</f>
        <v>80</v>
      </c>
      <c r="M29" s="15">
        <f>VLOOKUP(A:A,[1]TDSheet!$A:$T,20,0)</f>
        <v>50</v>
      </c>
      <c r="N29" s="15"/>
      <c r="O29" s="15"/>
      <c r="P29" s="15"/>
      <c r="Q29" s="15"/>
      <c r="R29" s="15"/>
      <c r="S29" s="15">
        <f t="shared" si="10"/>
        <v>79.906833333333338</v>
      </c>
      <c r="T29" s="17">
        <v>100</v>
      </c>
      <c r="U29" s="18">
        <f t="shared" si="11"/>
        <v>10.889118786253157</v>
      </c>
      <c r="V29" s="15">
        <f t="shared" si="12"/>
        <v>6.6341635362849649</v>
      </c>
      <c r="W29" s="15">
        <v>100</v>
      </c>
      <c r="X29" s="15"/>
      <c r="Y29" s="15"/>
      <c r="Z29" s="15">
        <f>VLOOKUP(A:A,[1]TDSheet!$A:$AA,27,0)</f>
        <v>88.261200000000002</v>
      </c>
      <c r="AA29" s="15">
        <f>VLOOKUP(A:A,[1]TDSheet!$A:$AB,28,0)</f>
        <v>83.2316</v>
      </c>
      <c r="AB29" s="15">
        <f>VLOOKUP(A:A,[1]TDSheet!$A:$AC,29,0)</f>
        <v>96.935400000000001</v>
      </c>
      <c r="AC29" s="15">
        <f>VLOOKUP(A:A,[1]TDSheet!$A:$S,19,0)</f>
        <v>84.791200000000003</v>
      </c>
      <c r="AD29" s="15">
        <f>VLOOKUP(A:A,[2]TDSheet!$A:$D,4,0)</f>
        <v>55.484999999999999</v>
      </c>
      <c r="AE29" s="15">
        <f>VLOOKUP(A:A,[1]TDSheet!$A:$AE,31,0)</f>
        <v>0</v>
      </c>
      <c r="AF29" s="15">
        <f>VLOOKUP(A:A,[1]TDSheet!$A:$AF,32,0)</f>
        <v>0</v>
      </c>
      <c r="AG29" s="15">
        <f t="shared" si="13"/>
        <v>100</v>
      </c>
      <c r="AH29" s="15"/>
      <c r="AI29" s="15"/>
      <c r="AJ29" s="15"/>
    </row>
    <row r="30" spans="1:36" s="1" customFormat="1" ht="11.1" customHeight="1" outlineLevel="1" x14ac:dyDescent="0.2">
      <c r="A30" s="7" t="s">
        <v>33</v>
      </c>
      <c r="B30" s="7" t="s">
        <v>9</v>
      </c>
      <c r="C30" s="8">
        <v>140</v>
      </c>
      <c r="D30" s="8">
        <v>46</v>
      </c>
      <c r="E30" s="8">
        <v>97</v>
      </c>
      <c r="F30" s="8">
        <v>87</v>
      </c>
      <c r="G30" s="1">
        <f>VLOOKUP(A:A,[1]TDSheet!$A:$G,7,0)</f>
        <v>0.4</v>
      </c>
      <c r="H30" s="1">
        <f>VLOOKUP(A:A,[1]TDSheet!$A:$H,8,0)</f>
        <v>60</v>
      </c>
      <c r="I30" s="15">
        <f>VLOOKUP(A:A,[1]TDSheet!$A:$I,9,0)</f>
        <v>78</v>
      </c>
      <c r="J30" s="15">
        <f>VLOOKUP(A:A,[1]TDSheet!$A:$J,10,0)</f>
        <v>-1</v>
      </c>
      <c r="K30" s="15">
        <f>VLOOKUP(A:A,[1]TDSheet!$A:$M,13,0)</f>
        <v>80</v>
      </c>
      <c r="L30" s="15">
        <f>VLOOKUP(A:A,[1]TDSheet!$A:$R,18,0)</f>
        <v>0</v>
      </c>
      <c r="M30" s="15">
        <f>VLOOKUP(A:A,[1]TDSheet!$A:$T,20,0)</f>
        <v>0</v>
      </c>
      <c r="N30" s="15"/>
      <c r="O30" s="15"/>
      <c r="P30" s="15"/>
      <c r="Q30" s="15"/>
      <c r="R30" s="15"/>
      <c r="S30" s="15">
        <f t="shared" si="10"/>
        <v>16.166666666666668</v>
      </c>
      <c r="T30" s="17">
        <v>40</v>
      </c>
      <c r="U30" s="18">
        <f t="shared" si="11"/>
        <v>12.804123711340205</v>
      </c>
      <c r="V30" s="15">
        <f t="shared" si="12"/>
        <v>5.3814432989690717</v>
      </c>
      <c r="W30" s="15">
        <v>40</v>
      </c>
      <c r="X30" s="15"/>
      <c r="Y30" s="15"/>
      <c r="Z30" s="15">
        <f>VLOOKUP(A:A,[1]TDSheet!$A:$AA,27,0)</f>
        <v>11.4</v>
      </c>
      <c r="AA30" s="15">
        <f>VLOOKUP(A:A,[1]TDSheet!$A:$AB,28,0)</f>
        <v>20.6</v>
      </c>
      <c r="AB30" s="15">
        <f>VLOOKUP(A:A,[1]TDSheet!$A:$AC,29,0)</f>
        <v>16</v>
      </c>
      <c r="AC30" s="15">
        <f>VLOOKUP(A:A,[1]TDSheet!$A:$S,19,0)</f>
        <v>15.4</v>
      </c>
      <c r="AD30" s="15">
        <f>VLOOKUP(A:A,[2]TDSheet!$A:$D,4,0)</f>
        <v>20</v>
      </c>
      <c r="AE30" s="15">
        <f>VLOOKUP(A:A,[1]TDSheet!$A:$AE,31,0)</f>
        <v>0</v>
      </c>
      <c r="AF30" s="15">
        <f>VLOOKUP(A:A,[1]TDSheet!$A:$AF,32,0)</f>
        <v>0</v>
      </c>
      <c r="AG30" s="15">
        <f t="shared" si="13"/>
        <v>16</v>
      </c>
      <c r="AH30" s="15"/>
      <c r="AI30" s="15"/>
      <c r="AJ30" s="15"/>
    </row>
    <row r="31" spans="1:36" s="1" customFormat="1" ht="11.1" customHeight="1" outlineLevel="1" x14ac:dyDescent="0.2">
      <c r="A31" s="7" t="s">
        <v>34</v>
      </c>
      <c r="B31" s="7" t="s">
        <v>9</v>
      </c>
      <c r="C31" s="8">
        <v>849</v>
      </c>
      <c r="D31" s="8">
        <v>2625</v>
      </c>
      <c r="E31" s="8">
        <v>1793</v>
      </c>
      <c r="F31" s="8">
        <v>1875</v>
      </c>
      <c r="G31" s="1">
        <f>VLOOKUP(A:A,[1]TDSheet!$A:$G,7,0)</f>
        <v>0.4</v>
      </c>
      <c r="H31" s="1">
        <f>VLOOKUP(A:A,[1]TDSheet!$A:$H,8,0)</f>
        <v>60</v>
      </c>
      <c r="I31" s="15">
        <f>VLOOKUP(A:A,[1]TDSheet!$A:$I,9,0)</f>
        <v>1561</v>
      </c>
      <c r="J31" s="15">
        <f>VLOOKUP(A:A,[1]TDSheet!$A:$J,10,0)</f>
        <v>-5</v>
      </c>
      <c r="K31" s="15">
        <f>VLOOKUP(A:A,[1]TDSheet!$A:$M,13,0)</f>
        <v>600</v>
      </c>
      <c r="L31" s="15">
        <f>VLOOKUP(A:A,[1]TDSheet!$A:$R,18,0)</f>
        <v>400</v>
      </c>
      <c r="M31" s="15">
        <f>VLOOKUP(A:A,[1]TDSheet!$A:$T,20,0)</f>
        <v>600</v>
      </c>
      <c r="N31" s="15"/>
      <c r="O31" s="15"/>
      <c r="P31" s="15"/>
      <c r="Q31" s="15"/>
      <c r="R31" s="15"/>
      <c r="S31" s="15">
        <f t="shared" si="10"/>
        <v>298.83333333333331</v>
      </c>
      <c r="T31" s="17">
        <v>400</v>
      </c>
      <c r="U31" s="18">
        <f t="shared" si="11"/>
        <v>12.967094255437814</v>
      </c>
      <c r="V31" s="15">
        <f t="shared" si="12"/>
        <v>6.2744004461795875</v>
      </c>
      <c r="W31" s="15">
        <v>400</v>
      </c>
      <c r="X31" s="15"/>
      <c r="Y31" s="15"/>
      <c r="Z31" s="15">
        <f>VLOOKUP(A:A,[1]TDSheet!$A:$AA,27,0)</f>
        <v>292.2</v>
      </c>
      <c r="AA31" s="15">
        <f>VLOOKUP(A:A,[1]TDSheet!$A:$AB,28,0)</f>
        <v>255.2</v>
      </c>
      <c r="AB31" s="15">
        <f>VLOOKUP(A:A,[1]TDSheet!$A:$AC,29,0)</f>
        <v>300.8</v>
      </c>
      <c r="AC31" s="15">
        <f>VLOOKUP(A:A,[1]TDSheet!$A:$S,19,0)</f>
        <v>311.2</v>
      </c>
      <c r="AD31" s="15">
        <f>VLOOKUP(A:A,[2]TDSheet!$A:$D,4,0)</f>
        <v>237</v>
      </c>
      <c r="AE31" s="15">
        <f>VLOOKUP(A:A,[1]TDSheet!$A:$AE,31,0)</f>
        <v>0</v>
      </c>
      <c r="AF31" s="15">
        <f>VLOOKUP(A:A,[1]TDSheet!$A:$AF,32,0)</f>
        <v>0</v>
      </c>
      <c r="AG31" s="15">
        <f t="shared" si="13"/>
        <v>160</v>
      </c>
      <c r="AH31" s="15"/>
      <c r="AI31" s="15"/>
      <c r="AJ31" s="15"/>
    </row>
    <row r="32" spans="1:36" s="1" customFormat="1" ht="11.1" customHeight="1" outlineLevel="1" x14ac:dyDescent="0.2">
      <c r="A32" s="7" t="s">
        <v>35</v>
      </c>
      <c r="B32" s="7" t="s">
        <v>9</v>
      </c>
      <c r="C32" s="8">
        <v>4537</v>
      </c>
      <c r="D32" s="8">
        <v>5486</v>
      </c>
      <c r="E32" s="8">
        <v>5179</v>
      </c>
      <c r="F32" s="8">
        <v>5379</v>
      </c>
      <c r="G32" s="1">
        <f>VLOOKUP(A:A,[1]TDSheet!$A:$G,7,0)</f>
        <v>0.4</v>
      </c>
      <c r="H32" s="1">
        <f>VLOOKUP(A:A,[1]TDSheet!$A:$H,8,0)</f>
        <v>60</v>
      </c>
      <c r="I32" s="15">
        <f>VLOOKUP(A:A,[1]TDSheet!$A:$I,9,0)</f>
        <v>4471</v>
      </c>
      <c r="J32" s="15">
        <f>VLOOKUP(A:A,[1]TDSheet!$A:$J,10,0)</f>
        <v>-16</v>
      </c>
      <c r="K32" s="15">
        <f>VLOOKUP(A:A,[1]TDSheet!$A:$M,13,0)</f>
        <v>2800</v>
      </c>
      <c r="L32" s="15">
        <f>VLOOKUP(A:A,[1]TDSheet!$A:$R,18,0)</f>
        <v>600</v>
      </c>
      <c r="M32" s="15">
        <f>VLOOKUP(A:A,[1]TDSheet!$A:$T,20,0)</f>
        <v>1200</v>
      </c>
      <c r="N32" s="15"/>
      <c r="O32" s="15"/>
      <c r="P32" s="15"/>
      <c r="Q32" s="15"/>
      <c r="R32" s="15"/>
      <c r="S32" s="15">
        <f t="shared" si="10"/>
        <v>863.16666666666663</v>
      </c>
      <c r="T32" s="17">
        <v>2200</v>
      </c>
      <c r="U32" s="18">
        <f t="shared" si="11"/>
        <v>14.109673682178027</v>
      </c>
      <c r="V32" s="15">
        <f t="shared" si="12"/>
        <v>6.2317049623479441</v>
      </c>
      <c r="W32" s="15">
        <v>2200</v>
      </c>
      <c r="X32" s="15"/>
      <c r="Y32" s="15"/>
      <c r="Z32" s="15">
        <f>VLOOKUP(A:A,[1]TDSheet!$A:$AA,27,0)</f>
        <v>708.6</v>
      </c>
      <c r="AA32" s="15">
        <f>VLOOKUP(A:A,[1]TDSheet!$A:$AB,28,0)</f>
        <v>827.2</v>
      </c>
      <c r="AB32" s="15">
        <f>VLOOKUP(A:A,[1]TDSheet!$A:$AC,29,0)</f>
        <v>801.8</v>
      </c>
      <c r="AC32" s="15">
        <f>VLOOKUP(A:A,[1]TDSheet!$A:$S,19,0)</f>
        <v>891</v>
      </c>
      <c r="AD32" s="15">
        <f>VLOOKUP(A:A,[2]TDSheet!$A:$D,4,0)</f>
        <v>724</v>
      </c>
      <c r="AE32" s="15">
        <f>VLOOKUP(A:A,[1]TDSheet!$A:$AE,31,0)</f>
        <v>0</v>
      </c>
      <c r="AF32" s="15">
        <f>VLOOKUP(A:A,[1]TDSheet!$A:$AF,32,0)</f>
        <v>0</v>
      </c>
      <c r="AG32" s="15">
        <f t="shared" si="13"/>
        <v>880</v>
      </c>
      <c r="AH32" s="15"/>
      <c r="AI32" s="15"/>
      <c r="AJ32" s="15"/>
    </row>
    <row r="33" spans="1:36" s="1" customFormat="1" ht="11.1" customHeight="1" outlineLevel="1" x14ac:dyDescent="0.2">
      <c r="A33" s="7" t="s">
        <v>36</v>
      </c>
      <c r="B33" s="7" t="s">
        <v>9</v>
      </c>
      <c r="C33" s="8">
        <v>147</v>
      </c>
      <c r="D33" s="8">
        <v>448</v>
      </c>
      <c r="E33" s="8">
        <v>375</v>
      </c>
      <c r="F33" s="8">
        <v>257</v>
      </c>
      <c r="G33" s="1">
        <f>VLOOKUP(A:A,[1]TDSheet!$A:$G,7,0)</f>
        <v>0.5</v>
      </c>
      <c r="H33" s="1" t="e">
        <f>VLOOKUP(A:A,[1]TDSheet!$A:$H,8,0)</f>
        <v>#N/A</v>
      </c>
      <c r="I33" s="15">
        <f>VLOOKUP(A:A,[1]TDSheet!$A:$I,9,0)</f>
        <v>308</v>
      </c>
      <c r="J33" s="15">
        <f>VLOOKUP(A:A,[1]TDSheet!$A:$J,10,0)</f>
        <v>-8</v>
      </c>
      <c r="K33" s="15">
        <f>VLOOKUP(A:A,[1]TDSheet!$A:$M,13,0)</f>
        <v>80</v>
      </c>
      <c r="L33" s="15">
        <f>VLOOKUP(A:A,[1]TDSheet!$A:$R,18,0)</f>
        <v>200</v>
      </c>
      <c r="M33" s="15">
        <f>VLOOKUP(A:A,[1]TDSheet!$A:$T,20,0)</f>
        <v>120</v>
      </c>
      <c r="N33" s="15"/>
      <c r="O33" s="15"/>
      <c r="P33" s="15"/>
      <c r="Q33" s="15"/>
      <c r="R33" s="15"/>
      <c r="S33" s="15">
        <f t="shared" si="10"/>
        <v>62.5</v>
      </c>
      <c r="T33" s="17">
        <v>200</v>
      </c>
      <c r="U33" s="18">
        <f t="shared" si="11"/>
        <v>13.712</v>
      </c>
      <c r="V33" s="15">
        <f t="shared" si="12"/>
        <v>4.1120000000000001</v>
      </c>
      <c r="W33" s="15">
        <v>200</v>
      </c>
      <c r="X33" s="15"/>
      <c r="Y33" s="15"/>
      <c r="Z33" s="15">
        <f>VLOOKUP(A:A,[1]TDSheet!$A:$AA,27,0)</f>
        <v>57.2</v>
      </c>
      <c r="AA33" s="15">
        <f>VLOOKUP(A:A,[1]TDSheet!$A:$AB,28,0)</f>
        <v>37.4</v>
      </c>
      <c r="AB33" s="15">
        <f>VLOOKUP(A:A,[1]TDSheet!$A:$AC,29,0)</f>
        <v>47.8</v>
      </c>
      <c r="AC33" s="15">
        <f>VLOOKUP(A:A,[1]TDSheet!$A:$S,19,0)</f>
        <v>60</v>
      </c>
      <c r="AD33" s="15">
        <f>VLOOKUP(A:A,[2]TDSheet!$A:$D,4,0)</f>
        <v>75</v>
      </c>
      <c r="AE33" s="15">
        <f>VLOOKUP(A:A,[1]TDSheet!$A:$AE,31,0)</f>
        <v>0</v>
      </c>
      <c r="AF33" s="15">
        <f>VLOOKUP(A:A,[1]TDSheet!$A:$AF,32,0)</f>
        <v>0</v>
      </c>
      <c r="AG33" s="15">
        <f t="shared" si="13"/>
        <v>100</v>
      </c>
      <c r="AH33" s="15"/>
      <c r="AI33" s="15"/>
      <c r="AJ33" s="15"/>
    </row>
    <row r="34" spans="1:36" s="1" customFormat="1" ht="11.1" customHeight="1" outlineLevel="1" x14ac:dyDescent="0.2">
      <c r="A34" s="7" t="s">
        <v>37</v>
      </c>
      <c r="B34" s="7" t="s">
        <v>9</v>
      </c>
      <c r="C34" s="8">
        <v>1329</v>
      </c>
      <c r="D34" s="8">
        <v>1599</v>
      </c>
      <c r="E34" s="8">
        <v>1725</v>
      </c>
      <c r="F34" s="8">
        <v>1341</v>
      </c>
      <c r="G34" s="1">
        <f>VLOOKUP(A:A,[1]TDSheet!$A:$G,7,0)</f>
        <v>0.4</v>
      </c>
      <c r="H34" s="1">
        <f>VLOOKUP(A:A,[1]TDSheet!$A:$H,8,0)</f>
        <v>60</v>
      </c>
      <c r="I34" s="15">
        <f>VLOOKUP(A:A,[1]TDSheet!$A:$I,9,0)</f>
        <v>1523</v>
      </c>
      <c r="J34" s="15">
        <f>VLOOKUP(A:A,[1]TDSheet!$A:$J,10,0)</f>
        <v>-23</v>
      </c>
      <c r="K34" s="15">
        <f>VLOOKUP(A:A,[1]TDSheet!$A:$M,13,0)</f>
        <v>1000</v>
      </c>
      <c r="L34" s="15">
        <f>VLOOKUP(A:A,[1]TDSheet!$A:$R,18,0)</f>
        <v>480</v>
      </c>
      <c r="M34" s="15">
        <f>VLOOKUP(A:A,[1]TDSheet!$A:$T,20,0)</f>
        <v>480</v>
      </c>
      <c r="N34" s="15"/>
      <c r="O34" s="15"/>
      <c r="P34" s="15"/>
      <c r="Q34" s="15"/>
      <c r="R34" s="15"/>
      <c r="S34" s="15">
        <f t="shared" si="10"/>
        <v>287.5</v>
      </c>
      <c r="T34" s="17">
        <v>720</v>
      </c>
      <c r="U34" s="18">
        <f t="shared" si="11"/>
        <v>13.986086956521739</v>
      </c>
      <c r="V34" s="15">
        <f t="shared" si="12"/>
        <v>4.6643478260869564</v>
      </c>
      <c r="W34" s="15">
        <v>720</v>
      </c>
      <c r="X34" s="15"/>
      <c r="Y34" s="15"/>
      <c r="Z34" s="15">
        <f>VLOOKUP(A:A,[1]TDSheet!$A:$AA,27,0)</f>
        <v>253.8</v>
      </c>
      <c r="AA34" s="15">
        <f>VLOOKUP(A:A,[1]TDSheet!$A:$AB,28,0)</f>
        <v>253.6</v>
      </c>
      <c r="AB34" s="15">
        <f>VLOOKUP(A:A,[1]TDSheet!$A:$AC,29,0)</f>
        <v>248</v>
      </c>
      <c r="AC34" s="15">
        <f>VLOOKUP(A:A,[1]TDSheet!$A:$S,19,0)</f>
        <v>300</v>
      </c>
      <c r="AD34" s="15">
        <f>VLOOKUP(A:A,[2]TDSheet!$A:$D,4,0)</f>
        <v>225</v>
      </c>
      <c r="AE34" s="15">
        <f>VLOOKUP(A:A,[1]TDSheet!$A:$AE,31,0)</f>
        <v>0</v>
      </c>
      <c r="AF34" s="15">
        <f>VLOOKUP(A:A,[1]TDSheet!$A:$AF,32,0)</f>
        <v>0</v>
      </c>
      <c r="AG34" s="15">
        <f t="shared" si="13"/>
        <v>288</v>
      </c>
      <c r="AH34" s="15"/>
      <c r="AI34" s="15"/>
      <c r="AJ34" s="15"/>
    </row>
    <row r="35" spans="1:36" s="1" customFormat="1" ht="11.1" customHeight="1" outlineLevel="1" x14ac:dyDescent="0.2">
      <c r="A35" s="7" t="s">
        <v>38</v>
      </c>
      <c r="B35" s="7" t="s">
        <v>9</v>
      </c>
      <c r="C35" s="8">
        <v>3132</v>
      </c>
      <c r="D35" s="8">
        <v>3858</v>
      </c>
      <c r="E35" s="8">
        <v>3520</v>
      </c>
      <c r="F35" s="8">
        <v>3915</v>
      </c>
      <c r="G35" s="1">
        <f>VLOOKUP(A:A,[1]TDSheet!$A:$G,7,0)</f>
        <v>0.4</v>
      </c>
      <c r="H35" s="1">
        <f>VLOOKUP(A:A,[1]TDSheet!$A:$H,8,0)</f>
        <v>60</v>
      </c>
      <c r="I35" s="15">
        <f>VLOOKUP(A:A,[1]TDSheet!$A:$I,9,0)</f>
        <v>3127</v>
      </c>
      <c r="J35" s="15">
        <f>VLOOKUP(A:A,[1]TDSheet!$A:$J,10,0)</f>
        <v>-16</v>
      </c>
      <c r="K35" s="15">
        <f>VLOOKUP(A:A,[1]TDSheet!$A:$M,13,0)</f>
        <v>1800</v>
      </c>
      <c r="L35" s="15">
        <f>VLOOKUP(A:A,[1]TDSheet!$A:$R,18,0)</f>
        <v>600</v>
      </c>
      <c r="M35" s="15">
        <f>VLOOKUP(A:A,[1]TDSheet!$A:$T,20,0)</f>
        <v>800</v>
      </c>
      <c r="N35" s="15"/>
      <c r="O35" s="15"/>
      <c r="P35" s="15"/>
      <c r="Q35" s="15"/>
      <c r="R35" s="15"/>
      <c r="S35" s="15">
        <f t="shared" si="10"/>
        <v>586.66666666666663</v>
      </c>
      <c r="T35" s="17">
        <v>1200</v>
      </c>
      <c r="U35" s="18">
        <f t="shared" si="11"/>
        <v>14.173295454545455</v>
      </c>
      <c r="V35" s="15">
        <f t="shared" si="12"/>
        <v>6.673295454545455</v>
      </c>
      <c r="W35" s="15">
        <v>1200</v>
      </c>
      <c r="X35" s="15"/>
      <c r="Y35" s="15"/>
      <c r="Z35" s="15">
        <f>VLOOKUP(A:A,[1]TDSheet!$A:$AA,27,0)</f>
        <v>618</v>
      </c>
      <c r="AA35" s="15">
        <f>VLOOKUP(A:A,[1]TDSheet!$A:$AB,28,0)</f>
        <v>604.6</v>
      </c>
      <c r="AB35" s="15">
        <f>VLOOKUP(A:A,[1]TDSheet!$A:$AC,29,0)</f>
        <v>617.79999999999995</v>
      </c>
      <c r="AC35" s="15">
        <f>VLOOKUP(A:A,[1]TDSheet!$A:$S,19,0)</f>
        <v>622.20000000000005</v>
      </c>
      <c r="AD35" s="15">
        <f>VLOOKUP(A:A,[2]TDSheet!$A:$D,4,0)</f>
        <v>409</v>
      </c>
      <c r="AE35" s="15">
        <f>VLOOKUP(A:A,[1]TDSheet!$A:$AE,31,0)</f>
        <v>0</v>
      </c>
      <c r="AF35" s="15">
        <f>VLOOKUP(A:A,[1]TDSheet!$A:$AF,32,0)</f>
        <v>0</v>
      </c>
      <c r="AG35" s="15">
        <f t="shared" si="13"/>
        <v>480</v>
      </c>
      <c r="AH35" s="15"/>
      <c r="AI35" s="15"/>
      <c r="AJ35" s="15"/>
    </row>
    <row r="36" spans="1:36" s="1" customFormat="1" ht="11.1" customHeight="1" outlineLevel="1" x14ac:dyDescent="0.2">
      <c r="A36" s="7" t="s">
        <v>39</v>
      </c>
      <c r="B36" s="7" t="s">
        <v>9</v>
      </c>
      <c r="C36" s="8">
        <v>139</v>
      </c>
      <c r="D36" s="8">
        <v>125</v>
      </c>
      <c r="E36" s="8">
        <v>137</v>
      </c>
      <c r="F36" s="8">
        <v>137</v>
      </c>
      <c r="G36" s="1">
        <f>VLOOKUP(A:A,[1]TDSheet!$A:$G,7,0)</f>
        <v>0</v>
      </c>
      <c r="H36" s="1" t="e">
        <f>VLOOKUP(A:A,[1]TDSheet!$A:$H,8,0)</f>
        <v>#N/A</v>
      </c>
      <c r="I36" s="15">
        <f>VLOOKUP(A:A,[1]TDSheet!$A:$I,9,0)</f>
        <v>122</v>
      </c>
      <c r="J36" s="15">
        <f>VLOOKUP(A:A,[1]TDSheet!$A:$J,10,0)</f>
        <v>-3</v>
      </c>
      <c r="K36" s="15">
        <f>VLOOKUP(A:A,[1]TDSheet!$A:$M,13,0)</f>
        <v>40</v>
      </c>
      <c r="L36" s="15">
        <f>VLOOKUP(A:A,[1]TDSheet!$A:$R,18,0)</f>
        <v>0</v>
      </c>
      <c r="M36" s="15">
        <f>VLOOKUP(A:A,[1]TDSheet!$A:$T,20,0)</f>
        <v>0</v>
      </c>
      <c r="N36" s="15"/>
      <c r="O36" s="15"/>
      <c r="P36" s="15"/>
      <c r="Q36" s="15"/>
      <c r="R36" s="15"/>
      <c r="S36" s="15">
        <f t="shared" si="10"/>
        <v>22.833333333333332</v>
      </c>
      <c r="T36" s="24">
        <v>0</v>
      </c>
      <c r="U36" s="18">
        <f t="shared" si="11"/>
        <v>7.7518248175182487</v>
      </c>
      <c r="V36" s="15">
        <f t="shared" si="12"/>
        <v>6</v>
      </c>
      <c r="W36" s="15">
        <v>120</v>
      </c>
      <c r="X36" s="15"/>
      <c r="Y36" s="15"/>
      <c r="Z36" s="15">
        <f>VLOOKUP(A:A,[1]TDSheet!$A:$AA,27,0)</f>
        <v>16.8</v>
      </c>
      <c r="AA36" s="15">
        <f>VLOOKUP(A:A,[1]TDSheet!$A:$AB,28,0)</f>
        <v>26.6</v>
      </c>
      <c r="AB36" s="15">
        <f>VLOOKUP(A:A,[1]TDSheet!$A:$AC,29,0)</f>
        <v>27.2</v>
      </c>
      <c r="AC36" s="15">
        <f>VLOOKUP(A:A,[1]TDSheet!$A:$S,19,0)</f>
        <v>23.8</v>
      </c>
      <c r="AD36" s="15">
        <f>VLOOKUP(A:A,[2]TDSheet!$A:$D,4,0)</f>
        <v>18</v>
      </c>
      <c r="AE36" s="15" t="str">
        <f>VLOOKUP(A:A,[1]TDSheet!$A:$AE,31,0)</f>
        <v>увел</v>
      </c>
      <c r="AF36" s="15">
        <f>VLOOKUP(A:A,[1]TDSheet!$A:$AF,32,0)</f>
        <v>0</v>
      </c>
      <c r="AG36" s="15">
        <f t="shared" si="13"/>
        <v>0</v>
      </c>
      <c r="AH36" s="15"/>
      <c r="AI36" s="15"/>
      <c r="AJ36" s="15"/>
    </row>
    <row r="37" spans="1:36" s="1" customFormat="1" ht="11.1" customHeight="1" outlineLevel="1" x14ac:dyDescent="0.2">
      <c r="A37" s="7" t="s">
        <v>40</v>
      </c>
      <c r="B37" s="7" t="s">
        <v>9</v>
      </c>
      <c r="C37" s="8">
        <v>1882</v>
      </c>
      <c r="D37" s="8">
        <v>2037</v>
      </c>
      <c r="E37" s="8">
        <v>2080</v>
      </c>
      <c r="F37" s="8">
        <v>2008</v>
      </c>
      <c r="G37" s="1">
        <f>VLOOKUP(A:A,[1]TDSheet!$A:$G,7,0)</f>
        <v>0.1</v>
      </c>
      <c r="H37" s="1">
        <f>VLOOKUP(A:A,[1]TDSheet!$A:$H,8,0)</f>
        <v>60</v>
      </c>
      <c r="I37" s="15">
        <f>VLOOKUP(A:A,[1]TDSheet!$A:$I,9,0)</f>
        <v>1832</v>
      </c>
      <c r="J37" s="15">
        <f>VLOOKUP(A:A,[1]TDSheet!$A:$J,10,0)</f>
        <v>7</v>
      </c>
      <c r="K37" s="15">
        <f>VLOOKUP(A:A,[1]TDSheet!$A:$M,13,0)</f>
        <v>980</v>
      </c>
      <c r="L37" s="15">
        <f>VLOOKUP(A:A,[1]TDSheet!$A:$R,18,0)</f>
        <v>420</v>
      </c>
      <c r="M37" s="15">
        <f>VLOOKUP(A:A,[1]TDSheet!$A:$T,20,0)</f>
        <v>420</v>
      </c>
      <c r="N37" s="15"/>
      <c r="O37" s="15"/>
      <c r="P37" s="15"/>
      <c r="Q37" s="15"/>
      <c r="R37" s="15"/>
      <c r="S37" s="15">
        <f t="shared" si="10"/>
        <v>346.66666666666669</v>
      </c>
      <c r="T37" s="17">
        <v>420</v>
      </c>
      <c r="U37" s="18">
        <f t="shared" si="11"/>
        <v>12.253846153846153</v>
      </c>
      <c r="V37" s="15">
        <f t="shared" si="12"/>
        <v>5.7923076923076922</v>
      </c>
      <c r="W37" s="15">
        <v>420</v>
      </c>
      <c r="X37" s="15"/>
      <c r="Y37" s="15"/>
      <c r="Z37" s="15">
        <f>VLOOKUP(A:A,[1]TDSheet!$A:$AA,27,0)</f>
        <v>318</v>
      </c>
      <c r="AA37" s="15">
        <f>VLOOKUP(A:A,[1]TDSheet!$A:$AB,28,0)</f>
        <v>393.6</v>
      </c>
      <c r="AB37" s="15">
        <f>VLOOKUP(A:A,[1]TDSheet!$A:$AC,29,0)</f>
        <v>336.2</v>
      </c>
      <c r="AC37" s="15">
        <f>VLOOKUP(A:A,[1]TDSheet!$A:$S,19,0)</f>
        <v>367.8</v>
      </c>
      <c r="AD37" s="15">
        <f>VLOOKUP(A:A,[2]TDSheet!$A:$D,4,0)</f>
        <v>241</v>
      </c>
      <c r="AE37" s="15">
        <f>VLOOKUP(A:A,[1]TDSheet!$A:$AE,31,0)</f>
        <v>0</v>
      </c>
      <c r="AF37" s="15">
        <f>VLOOKUP(A:A,[1]TDSheet!$A:$AF,32,0)</f>
        <v>0</v>
      </c>
      <c r="AG37" s="15">
        <f t="shared" si="13"/>
        <v>42</v>
      </c>
      <c r="AH37" s="15"/>
      <c r="AI37" s="15"/>
      <c r="AJ37" s="15"/>
    </row>
    <row r="38" spans="1:36" s="1" customFormat="1" ht="11.1" customHeight="1" outlineLevel="1" x14ac:dyDescent="0.2">
      <c r="A38" s="7" t="s">
        <v>41</v>
      </c>
      <c r="B38" s="7" t="s">
        <v>9</v>
      </c>
      <c r="C38" s="8">
        <v>1374</v>
      </c>
      <c r="D38" s="8">
        <v>2346</v>
      </c>
      <c r="E38" s="8">
        <v>1884</v>
      </c>
      <c r="F38" s="8">
        <v>2034</v>
      </c>
      <c r="G38" s="1">
        <f>VLOOKUP(A:A,[1]TDSheet!$A:$G,7,0)</f>
        <v>0.1</v>
      </c>
      <c r="H38" s="1" t="e">
        <f>VLOOKUP(A:A,[1]TDSheet!$A:$H,8,0)</f>
        <v>#N/A</v>
      </c>
      <c r="I38" s="15">
        <f>VLOOKUP(A:A,[1]TDSheet!$A:$I,9,0)</f>
        <v>1698</v>
      </c>
      <c r="J38" s="15">
        <f>VLOOKUP(A:A,[1]TDSheet!$A:$J,10,0)</f>
        <v>-20</v>
      </c>
      <c r="K38" s="15">
        <f>VLOOKUP(A:A,[1]TDSheet!$A:$M,13,0)</f>
        <v>650</v>
      </c>
      <c r="L38" s="15">
        <f>VLOOKUP(A:A,[1]TDSheet!$A:$R,18,0)</f>
        <v>400</v>
      </c>
      <c r="M38" s="15">
        <f>VLOOKUP(A:A,[1]TDSheet!$A:$T,20,0)</f>
        <v>400</v>
      </c>
      <c r="N38" s="15"/>
      <c r="O38" s="15"/>
      <c r="P38" s="15"/>
      <c r="Q38" s="15"/>
      <c r="R38" s="15"/>
      <c r="S38" s="15">
        <f t="shared" si="10"/>
        <v>314</v>
      </c>
      <c r="T38" s="17">
        <v>300</v>
      </c>
      <c r="U38" s="18">
        <f t="shared" si="11"/>
        <v>12.050955414012739</v>
      </c>
      <c r="V38" s="15">
        <f t="shared" si="12"/>
        <v>6.4777070063694264</v>
      </c>
      <c r="W38" s="15">
        <v>300</v>
      </c>
      <c r="X38" s="15"/>
      <c r="Y38" s="15"/>
      <c r="Z38" s="15">
        <f>VLOOKUP(A:A,[1]TDSheet!$A:$AA,27,0)</f>
        <v>288.39999999999998</v>
      </c>
      <c r="AA38" s="15">
        <f>VLOOKUP(A:A,[1]TDSheet!$A:$AB,28,0)</f>
        <v>328.6</v>
      </c>
      <c r="AB38" s="15">
        <f>VLOOKUP(A:A,[1]TDSheet!$A:$AC,29,0)</f>
        <v>320.8</v>
      </c>
      <c r="AC38" s="15">
        <f>VLOOKUP(A:A,[1]TDSheet!$A:$S,19,0)</f>
        <v>335.6</v>
      </c>
      <c r="AD38" s="15">
        <f>VLOOKUP(A:A,[2]TDSheet!$A:$D,4,0)</f>
        <v>206</v>
      </c>
      <c r="AE38" s="15">
        <f>VLOOKUP(A:A,[1]TDSheet!$A:$AE,31,0)</f>
        <v>0</v>
      </c>
      <c r="AF38" s="15">
        <f>VLOOKUP(A:A,[1]TDSheet!$A:$AF,32,0)</f>
        <v>0</v>
      </c>
      <c r="AG38" s="15">
        <f t="shared" si="13"/>
        <v>30</v>
      </c>
      <c r="AH38" s="15"/>
      <c r="AI38" s="15"/>
      <c r="AJ38" s="15"/>
    </row>
    <row r="39" spans="1:36" s="1" customFormat="1" ht="11.1" customHeight="1" outlineLevel="1" x14ac:dyDescent="0.2">
      <c r="A39" s="7" t="s">
        <v>42</v>
      </c>
      <c r="B39" s="7" t="s">
        <v>9</v>
      </c>
      <c r="C39" s="8">
        <v>612</v>
      </c>
      <c r="D39" s="8">
        <v>1852</v>
      </c>
      <c r="E39" s="8">
        <v>1421</v>
      </c>
      <c r="F39" s="8">
        <v>1191</v>
      </c>
      <c r="G39" s="1">
        <f>VLOOKUP(A:A,[1]TDSheet!$A:$G,7,0)</f>
        <v>0.1</v>
      </c>
      <c r="H39" s="1" t="e">
        <f>VLOOKUP(A:A,[1]TDSheet!$A:$H,8,0)</f>
        <v>#N/A</v>
      </c>
      <c r="I39" s="15">
        <f>VLOOKUP(A:A,[1]TDSheet!$A:$I,9,0)</f>
        <v>1268</v>
      </c>
      <c r="J39" s="15">
        <f>VLOOKUP(A:A,[1]TDSheet!$A:$J,10,0)</f>
        <v>6</v>
      </c>
      <c r="K39" s="15">
        <f>VLOOKUP(A:A,[1]TDSheet!$A:$M,13,0)</f>
        <v>500</v>
      </c>
      <c r="L39" s="15">
        <f>VLOOKUP(A:A,[1]TDSheet!$A:$R,18,0)</f>
        <v>600</v>
      </c>
      <c r="M39" s="15">
        <f>VLOOKUP(A:A,[1]TDSheet!$A:$T,20,0)</f>
        <v>500</v>
      </c>
      <c r="N39" s="15"/>
      <c r="O39" s="15"/>
      <c r="P39" s="15"/>
      <c r="Q39" s="15"/>
      <c r="R39" s="15"/>
      <c r="S39" s="15">
        <f t="shared" si="10"/>
        <v>236.83333333333334</v>
      </c>
      <c r="T39" s="17">
        <v>150</v>
      </c>
      <c r="U39" s="18">
        <f t="shared" si="11"/>
        <v>12.418015482054891</v>
      </c>
      <c r="V39" s="15">
        <f t="shared" si="12"/>
        <v>5.0288529204785357</v>
      </c>
      <c r="W39" s="15">
        <v>150</v>
      </c>
      <c r="X39" s="15"/>
      <c r="Y39" s="15"/>
      <c r="Z39" s="15">
        <f>VLOOKUP(A:A,[1]TDSheet!$A:$AA,27,0)</f>
        <v>199.6</v>
      </c>
      <c r="AA39" s="15">
        <f>VLOOKUP(A:A,[1]TDSheet!$A:$AB,28,0)</f>
        <v>179.2</v>
      </c>
      <c r="AB39" s="15">
        <f>VLOOKUP(A:A,[1]TDSheet!$A:$AC,29,0)</f>
        <v>201.4</v>
      </c>
      <c r="AC39" s="15">
        <f>VLOOKUP(A:A,[1]TDSheet!$A:$S,19,0)</f>
        <v>254.8</v>
      </c>
      <c r="AD39" s="15">
        <f>VLOOKUP(A:A,[2]TDSheet!$A:$D,4,0)</f>
        <v>147</v>
      </c>
      <c r="AE39" s="15">
        <f>VLOOKUP(A:A,[1]TDSheet!$A:$AE,31,0)</f>
        <v>0</v>
      </c>
      <c r="AF39" s="15">
        <f>VLOOKUP(A:A,[1]TDSheet!$A:$AF,32,0)</f>
        <v>0</v>
      </c>
      <c r="AG39" s="15">
        <f t="shared" si="13"/>
        <v>15</v>
      </c>
      <c r="AH39" s="15"/>
      <c r="AI39" s="15"/>
      <c r="AJ39" s="15"/>
    </row>
    <row r="40" spans="1:36" s="1" customFormat="1" ht="11.1" customHeight="1" outlineLevel="1" x14ac:dyDescent="0.2">
      <c r="A40" s="7" t="s">
        <v>43</v>
      </c>
      <c r="B40" s="7" t="s">
        <v>8</v>
      </c>
      <c r="C40" s="8">
        <v>18.773</v>
      </c>
      <c r="D40" s="8">
        <v>69.856999999999999</v>
      </c>
      <c r="E40" s="8">
        <v>34.587000000000003</v>
      </c>
      <c r="F40" s="8">
        <v>59.249000000000002</v>
      </c>
      <c r="G40" s="1">
        <f>VLOOKUP(A:A,[1]TDSheet!$A:$G,7,0)</f>
        <v>1</v>
      </c>
      <c r="H40" s="1">
        <f>VLOOKUP(A:A,[1]TDSheet!$A:$H,8,0)</f>
        <v>45</v>
      </c>
      <c r="I40" s="15">
        <f>VLOOKUP(A:A,[1]TDSheet!$A:$I,9,0)</f>
        <v>26.4</v>
      </c>
      <c r="J40" s="15">
        <f>VLOOKUP(A:A,[1]TDSheet!$A:$J,10,0)</f>
        <v>-1.0299999999999976</v>
      </c>
      <c r="K40" s="15">
        <f>VLOOKUP(A:A,[1]TDSheet!$A:$M,13,0)</f>
        <v>0</v>
      </c>
      <c r="L40" s="15">
        <f>VLOOKUP(A:A,[1]TDSheet!$A:$R,18,0)</f>
        <v>0</v>
      </c>
      <c r="M40" s="15">
        <f>VLOOKUP(A:A,[1]TDSheet!$A:$T,20,0)</f>
        <v>0</v>
      </c>
      <c r="N40" s="15"/>
      <c r="O40" s="15"/>
      <c r="P40" s="15"/>
      <c r="Q40" s="15"/>
      <c r="R40" s="15"/>
      <c r="S40" s="15">
        <f t="shared" si="10"/>
        <v>5.7645000000000008</v>
      </c>
      <c r="T40" s="17">
        <v>10</v>
      </c>
      <c r="U40" s="18">
        <f t="shared" si="11"/>
        <v>12.013010668748372</v>
      </c>
      <c r="V40" s="15">
        <f t="shared" si="12"/>
        <v>10.278254835631884</v>
      </c>
      <c r="W40" s="15">
        <v>10</v>
      </c>
      <c r="X40" s="15"/>
      <c r="Y40" s="15"/>
      <c r="Z40" s="15">
        <f>VLOOKUP(A:A,[1]TDSheet!$A:$AA,27,0)</f>
        <v>4.3570000000000002</v>
      </c>
      <c r="AA40" s="15">
        <f>VLOOKUP(A:A,[1]TDSheet!$A:$AB,28,0)</f>
        <v>7.7239999999999993</v>
      </c>
      <c r="AB40" s="15">
        <f>VLOOKUP(A:A,[1]TDSheet!$A:$AC,29,0)</f>
        <v>9.6290000000000013</v>
      </c>
      <c r="AC40" s="15">
        <f>VLOOKUP(A:A,[1]TDSheet!$A:$S,19,0)</f>
        <v>5.0739999999999998</v>
      </c>
      <c r="AD40" s="15">
        <f>VLOOKUP(A:A,[2]TDSheet!$A:$D,4,0)</f>
        <v>9.2170000000000005</v>
      </c>
      <c r="AE40" s="15" t="str">
        <f>VLOOKUP(A:A,[1]TDSheet!$A:$AE,31,0)</f>
        <v>увел</v>
      </c>
      <c r="AF40" s="15">
        <f>VLOOKUP(A:A,[1]TDSheet!$A:$AF,32,0)</f>
        <v>0</v>
      </c>
      <c r="AG40" s="15">
        <f t="shared" si="13"/>
        <v>10</v>
      </c>
      <c r="AH40" s="15"/>
      <c r="AI40" s="15"/>
      <c r="AJ40" s="15"/>
    </row>
    <row r="41" spans="1:36" s="1" customFormat="1" ht="11.1" customHeight="1" outlineLevel="1" x14ac:dyDescent="0.2">
      <c r="A41" s="7" t="s">
        <v>44</v>
      </c>
      <c r="B41" s="7" t="s">
        <v>9</v>
      </c>
      <c r="C41" s="8">
        <v>261</v>
      </c>
      <c r="D41" s="8">
        <v>460</v>
      </c>
      <c r="E41" s="8">
        <v>366</v>
      </c>
      <c r="F41" s="8">
        <v>387</v>
      </c>
      <c r="G41" s="1">
        <f>VLOOKUP(A:A,[1]TDSheet!$A:$G,7,0)</f>
        <v>0.3</v>
      </c>
      <c r="H41" s="1">
        <f>VLOOKUP(A:A,[1]TDSheet!$A:$H,8,0)</f>
        <v>45</v>
      </c>
      <c r="I41" s="15">
        <f>VLOOKUP(A:A,[1]TDSheet!$A:$I,9,0)</f>
        <v>333</v>
      </c>
      <c r="J41" s="15">
        <f>VLOOKUP(A:A,[1]TDSheet!$A:$J,10,0)</f>
        <v>-9</v>
      </c>
      <c r="K41" s="15">
        <f>VLOOKUP(A:A,[1]TDSheet!$A:$M,13,0)</f>
        <v>120</v>
      </c>
      <c r="L41" s="15">
        <f>VLOOKUP(A:A,[1]TDSheet!$A:$R,18,0)</f>
        <v>90</v>
      </c>
      <c r="M41" s="15">
        <f>VLOOKUP(A:A,[1]TDSheet!$A:$T,20,0)</f>
        <v>60</v>
      </c>
      <c r="N41" s="15"/>
      <c r="O41" s="15"/>
      <c r="P41" s="15"/>
      <c r="Q41" s="15"/>
      <c r="R41" s="15"/>
      <c r="S41" s="15">
        <f t="shared" si="10"/>
        <v>61</v>
      </c>
      <c r="T41" s="17">
        <v>60</v>
      </c>
      <c r="U41" s="18">
        <f t="shared" si="11"/>
        <v>11.754098360655737</v>
      </c>
      <c r="V41" s="15">
        <f t="shared" si="12"/>
        <v>6.3442622950819674</v>
      </c>
      <c r="W41" s="15">
        <v>60</v>
      </c>
      <c r="X41" s="15"/>
      <c r="Y41" s="15"/>
      <c r="Z41" s="15">
        <f>VLOOKUP(A:A,[1]TDSheet!$A:$AA,27,0)</f>
        <v>50.2</v>
      </c>
      <c r="AA41" s="15">
        <f>VLOOKUP(A:A,[1]TDSheet!$A:$AB,28,0)</f>
        <v>68.2</v>
      </c>
      <c r="AB41" s="15">
        <f>VLOOKUP(A:A,[1]TDSheet!$A:$AC,29,0)</f>
        <v>76.400000000000006</v>
      </c>
      <c r="AC41" s="15">
        <f>VLOOKUP(A:A,[1]TDSheet!$A:$S,19,0)</f>
        <v>64.8</v>
      </c>
      <c r="AD41" s="15">
        <f>VLOOKUP(A:A,[2]TDSheet!$A:$D,4,0)</f>
        <v>42</v>
      </c>
      <c r="AE41" s="15">
        <f>VLOOKUP(A:A,[1]TDSheet!$A:$AE,31,0)</f>
        <v>0</v>
      </c>
      <c r="AF41" s="15">
        <f>VLOOKUP(A:A,[1]TDSheet!$A:$AF,32,0)</f>
        <v>0</v>
      </c>
      <c r="AG41" s="15">
        <f t="shared" si="13"/>
        <v>18</v>
      </c>
      <c r="AH41" s="15"/>
      <c r="AI41" s="15"/>
      <c r="AJ41" s="15"/>
    </row>
    <row r="42" spans="1:36" s="1" customFormat="1" ht="11.1" customHeight="1" outlineLevel="1" x14ac:dyDescent="0.2">
      <c r="A42" s="7" t="s">
        <v>45</v>
      </c>
      <c r="B42" s="7" t="s">
        <v>8</v>
      </c>
      <c r="C42" s="8">
        <v>252.73599999999999</v>
      </c>
      <c r="D42" s="8">
        <v>442.45299999999997</v>
      </c>
      <c r="E42" s="8">
        <v>365.505</v>
      </c>
      <c r="F42" s="8">
        <v>367.42700000000002</v>
      </c>
      <c r="G42" s="1">
        <f>VLOOKUP(A:A,[1]TDSheet!$A:$G,7,0)</f>
        <v>1</v>
      </c>
      <c r="H42" s="1">
        <f>VLOOKUP(A:A,[1]TDSheet!$A:$H,8,0)</f>
        <v>45</v>
      </c>
      <c r="I42" s="15">
        <f>VLOOKUP(A:A,[1]TDSheet!$A:$I,9,0)</f>
        <v>321.43</v>
      </c>
      <c r="J42" s="15">
        <f>VLOOKUP(A:A,[1]TDSheet!$A:$J,10,0)</f>
        <v>-3.2370000000000232</v>
      </c>
      <c r="K42" s="15">
        <f>VLOOKUP(A:A,[1]TDSheet!$A:$M,13,0)</f>
        <v>100</v>
      </c>
      <c r="L42" s="15">
        <f>VLOOKUP(A:A,[1]TDSheet!$A:$R,18,0)</f>
        <v>0</v>
      </c>
      <c r="M42" s="15">
        <f>VLOOKUP(A:A,[1]TDSheet!$A:$T,20,0)</f>
        <v>50</v>
      </c>
      <c r="N42" s="15"/>
      <c r="O42" s="15"/>
      <c r="P42" s="15"/>
      <c r="Q42" s="15"/>
      <c r="R42" s="15"/>
      <c r="S42" s="15">
        <f t="shared" si="10"/>
        <v>60.917499999999997</v>
      </c>
      <c r="T42" s="17">
        <v>100</v>
      </c>
      <c r="U42" s="18">
        <f t="shared" si="11"/>
        <v>10.135461895186113</v>
      </c>
      <c r="V42" s="15">
        <f t="shared" si="12"/>
        <v>6.0315508679771828</v>
      </c>
      <c r="W42" s="15">
        <v>100</v>
      </c>
      <c r="X42" s="15"/>
      <c r="Y42" s="15"/>
      <c r="Z42" s="15">
        <f>VLOOKUP(A:A,[1]TDSheet!$A:$AA,27,0)</f>
        <v>61.416800000000002</v>
      </c>
      <c r="AA42" s="15">
        <f>VLOOKUP(A:A,[1]TDSheet!$A:$AB,28,0)</f>
        <v>59.294000000000004</v>
      </c>
      <c r="AB42" s="15">
        <f>VLOOKUP(A:A,[1]TDSheet!$A:$AC,29,0)</f>
        <v>60.391800000000003</v>
      </c>
      <c r="AC42" s="15">
        <f>VLOOKUP(A:A,[1]TDSheet!$A:$S,19,0)</f>
        <v>63.638599999999997</v>
      </c>
      <c r="AD42" s="15">
        <f>VLOOKUP(A:A,[2]TDSheet!$A:$D,4,0)</f>
        <v>47.311999999999998</v>
      </c>
      <c r="AE42" s="15">
        <f>VLOOKUP(A:A,[1]TDSheet!$A:$AE,31,0)</f>
        <v>0</v>
      </c>
      <c r="AF42" s="15">
        <f>VLOOKUP(A:A,[1]TDSheet!$A:$AF,32,0)</f>
        <v>0</v>
      </c>
      <c r="AG42" s="15">
        <f t="shared" si="13"/>
        <v>100</v>
      </c>
      <c r="AH42" s="15"/>
      <c r="AI42" s="15"/>
      <c r="AJ42" s="15"/>
    </row>
    <row r="43" spans="1:36" s="1" customFormat="1" ht="11.1" customHeight="1" outlineLevel="1" x14ac:dyDescent="0.2">
      <c r="A43" s="7" t="s">
        <v>46</v>
      </c>
      <c r="B43" s="7" t="s">
        <v>9</v>
      </c>
      <c r="C43" s="8">
        <v>47</v>
      </c>
      <c r="D43" s="8">
        <v>36</v>
      </c>
      <c r="E43" s="8">
        <v>37</v>
      </c>
      <c r="F43" s="8">
        <v>52</v>
      </c>
      <c r="G43" s="1">
        <f>VLOOKUP(A:A,[1]TDSheet!$A:$G,7,0)</f>
        <v>0.4</v>
      </c>
      <c r="H43" s="1" t="e">
        <f>VLOOKUP(A:A,[1]TDSheet!$A:$H,8,0)</f>
        <v>#N/A</v>
      </c>
      <c r="I43" s="15">
        <f>VLOOKUP(A:A,[1]TDSheet!$A:$I,9,0)</f>
        <v>34</v>
      </c>
      <c r="J43" s="15">
        <f>VLOOKUP(A:A,[1]TDSheet!$A:$J,10,0)</f>
        <v>-4</v>
      </c>
      <c r="K43" s="15">
        <f>VLOOKUP(A:A,[1]TDSheet!$A:$M,13,0)</f>
        <v>0</v>
      </c>
      <c r="L43" s="15">
        <f>VLOOKUP(A:A,[1]TDSheet!$A:$R,18,0)</f>
        <v>0</v>
      </c>
      <c r="M43" s="15">
        <f>VLOOKUP(A:A,[1]TDSheet!$A:$T,20,0)</f>
        <v>0</v>
      </c>
      <c r="N43" s="15"/>
      <c r="O43" s="15"/>
      <c r="P43" s="15"/>
      <c r="Q43" s="15"/>
      <c r="R43" s="15"/>
      <c r="S43" s="15">
        <f t="shared" si="10"/>
        <v>6.166666666666667</v>
      </c>
      <c r="T43" s="17"/>
      <c r="U43" s="18">
        <f t="shared" si="11"/>
        <v>8.4324324324324316</v>
      </c>
      <c r="V43" s="15">
        <f t="shared" si="12"/>
        <v>8.4324324324324316</v>
      </c>
      <c r="W43" s="15"/>
      <c r="X43" s="15"/>
      <c r="Y43" s="15"/>
      <c r="Z43" s="15">
        <f>VLOOKUP(A:A,[1]TDSheet!$A:$AA,27,0)</f>
        <v>7</v>
      </c>
      <c r="AA43" s="15">
        <f>VLOOKUP(A:A,[1]TDSheet!$A:$AB,28,0)</f>
        <v>11</v>
      </c>
      <c r="AB43" s="15">
        <f>VLOOKUP(A:A,[1]TDSheet!$A:$AC,29,0)</f>
        <v>7.6</v>
      </c>
      <c r="AC43" s="15">
        <f>VLOOKUP(A:A,[1]TDSheet!$A:$S,19,0)</f>
        <v>6</v>
      </c>
      <c r="AD43" s="15">
        <f>VLOOKUP(A:A,[2]TDSheet!$A:$D,4,0)</f>
        <v>7</v>
      </c>
      <c r="AE43" s="15">
        <f>VLOOKUP(A:A,[1]TDSheet!$A:$AE,31,0)</f>
        <v>0</v>
      </c>
      <c r="AF43" s="15">
        <f>VLOOKUP(A:A,[1]TDSheet!$A:$AF,32,0)</f>
        <v>0</v>
      </c>
      <c r="AG43" s="15">
        <f t="shared" si="13"/>
        <v>0</v>
      </c>
      <c r="AH43" s="15"/>
      <c r="AI43" s="15"/>
      <c r="AJ43" s="15"/>
    </row>
    <row r="44" spans="1:36" s="1" customFormat="1" ht="11.1" customHeight="1" outlineLevel="1" x14ac:dyDescent="0.2">
      <c r="A44" s="7" t="s">
        <v>47</v>
      </c>
      <c r="B44" s="7" t="s">
        <v>9</v>
      </c>
      <c r="C44" s="8">
        <v>1623</v>
      </c>
      <c r="D44" s="8">
        <v>3272</v>
      </c>
      <c r="E44" s="8">
        <v>2434</v>
      </c>
      <c r="F44" s="19">
        <v>2910</v>
      </c>
      <c r="G44" s="1">
        <f>VLOOKUP(A:A,[1]TDSheet!$A:$G,7,0)</f>
        <v>0.3</v>
      </c>
      <c r="H44" s="1">
        <f>VLOOKUP(A:A,[1]TDSheet!$A:$H,8,0)</f>
        <v>45</v>
      </c>
      <c r="I44" s="15">
        <f>VLOOKUP(A:A,[1]TDSheet!$A:$I,9,0)</f>
        <v>2030</v>
      </c>
      <c r="J44" s="15">
        <f>VLOOKUP(A:A,[1]TDSheet!$A:$J,10,0)</f>
        <v>61</v>
      </c>
      <c r="K44" s="15">
        <f>VLOOKUP(A:A,[1]TDSheet!$A:$M,13,0)</f>
        <v>480</v>
      </c>
      <c r="L44" s="15">
        <f>VLOOKUP(A:A,[1]TDSheet!$A:$R,18,0)</f>
        <v>0</v>
      </c>
      <c r="M44" s="15">
        <f>VLOOKUP(A:A,[1]TDSheet!$A:$T,20,0)</f>
        <v>240</v>
      </c>
      <c r="N44" s="15"/>
      <c r="O44" s="15"/>
      <c r="P44" s="15"/>
      <c r="Q44" s="15"/>
      <c r="R44" s="15"/>
      <c r="S44" s="15">
        <f t="shared" si="10"/>
        <v>405.66666666666669</v>
      </c>
      <c r="T44" s="17">
        <v>720</v>
      </c>
      <c r="U44" s="18">
        <f t="shared" si="11"/>
        <v>10.723089564502875</v>
      </c>
      <c r="V44" s="15">
        <f t="shared" si="12"/>
        <v>7.1733771569433031</v>
      </c>
      <c r="W44" s="15">
        <v>720</v>
      </c>
      <c r="X44" s="15"/>
      <c r="Y44" s="15"/>
      <c r="Z44" s="15">
        <f>VLOOKUP(A:A,[1]TDSheet!$A:$AA,27,0)</f>
        <v>472.4</v>
      </c>
      <c r="AA44" s="15">
        <f>VLOOKUP(A:A,[1]TDSheet!$A:$AB,28,0)</f>
        <v>442.2</v>
      </c>
      <c r="AB44" s="15">
        <f>VLOOKUP(A:A,[1]TDSheet!$A:$AC,29,0)</f>
        <v>466.8</v>
      </c>
      <c r="AC44" s="15">
        <f>VLOOKUP(A:A,[1]TDSheet!$A:$S,19,0)</f>
        <v>418.2</v>
      </c>
      <c r="AD44" s="15">
        <f>VLOOKUP(A:A,[2]TDSheet!$A:$D,4,0)</f>
        <v>343</v>
      </c>
      <c r="AE44" s="15" t="str">
        <f>VLOOKUP(A:A,[1]TDSheet!$A:$AE,31,0)</f>
        <v>бон</v>
      </c>
      <c r="AF44" s="15">
        <f>VLOOKUP(A:A,[1]TDSheet!$A:$AF,32,0)</f>
        <v>0</v>
      </c>
      <c r="AG44" s="15">
        <f t="shared" si="13"/>
        <v>216</v>
      </c>
      <c r="AH44" s="15"/>
      <c r="AI44" s="15"/>
      <c r="AJ44" s="15"/>
    </row>
    <row r="45" spans="1:36" s="1" customFormat="1" ht="11.1" customHeight="1" outlineLevel="1" x14ac:dyDescent="0.2">
      <c r="A45" s="7" t="s">
        <v>48</v>
      </c>
      <c r="B45" s="7" t="s">
        <v>9</v>
      </c>
      <c r="C45" s="8">
        <v>3303</v>
      </c>
      <c r="D45" s="8">
        <v>5897</v>
      </c>
      <c r="E45" s="8">
        <v>4803</v>
      </c>
      <c r="F45" s="8">
        <v>4901</v>
      </c>
      <c r="G45" s="1">
        <f>VLOOKUP(A:A,[1]TDSheet!$A:$G,7,0)</f>
        <v>0.35</v>
      </c>
      <c r="H45" s="1">
        <f>VLOOKUP(A:A,[1]TDSheet!$A:$H,8,0)</f>
        <v>45</v>
      </c>
      <c r="I45" s="15">
        <f>VLOOKUP(A:A,[1]TDSheet!$A:$I,9,0)</f>
        <v>4190</v>
      </c>
      <c r="J45" s="15">
        <f>VLOOKUP(A:A,[1]TDSheet!$A:$J,10,0)</f>
        <v>-38</v>
      </c>
      <c r="K45" s="15">
        <f>VLOOKUP(A:A,[1]TDSheet!$A:$M,13,0)</f>
        <v>2400</v>
      </c>
      <c r="L45" s="15">
        <f>VLOOKUP(A:A,[1]TDSheet!$A:$R,18,0)</f>
        <v>800</v>
      </c>
      <c r="M45" s="15">
        <f>VLOOKUP(A:A,[1]TDSheet!$A:$T,20,0)</f>
        <v>1400</v>
      </c>
      <c r="N45" s="15"/>
      <c r="O45" s="15"/>
      <c r="P45" s="15"/>
      <c r="Q45" s="15"/>
      <c r="R45" s="15"/>
      <c r="S45" s="15">
        <f t="shared" si="10"/>
        <v>800.5</v>
      </c>
      <c r="T45" s="17">
        <v>1200</v>
      </c>
      <c r="U45" s="18">
        <f t="shared" si="11"/>
        <v>13.36789506558401</v>
      </c>
      <c r="V45" s="15">
        <f t="shared" si="12"/>
        <v>6.1224234853216739</v>
      </c>
      <c r="W45" s="15">
        <v>1200</v>
      </c>
      <c r="X45" s="15"/>
      <c r="Y45" s="15"/>
      <c r="Z45" s="15">
        <f>VLOOKUP(A:A,[1]TDSheet!$A:$AA,27,0)</f>
        <v>833.4</v>
      </c>
      <c r="AA45" s="15">
        <f>VLOOKUP(A:A,[1]TDSheet!$A:$AB,28,0)</f>
        <v>775</v>
      </c>
      <c r="AB45" s="15">
        <f>VLOOKUP(A:A,[1]TDSheet!$A:$AC,29,0)</f>
        <v>787.6</v>
      </c>
      <c r="AC45" s="15">
        <f>VLOOKUP(A:A,[1]TDSheet!$A:$S,19,0)</f>
        <v>830.4</v>
      </c>
      <c r="AD45" s="15">
        <f>VLOOKUP(A:A,[2]TDSheet!$A:$D,4,0)</f>
        <v>651</v>
      </c>
      <c r="AE45" s="15">
        <f>VLOOKUP(A:A,[1]TDSheet!$A:$AE,31,0)</f>
        <v>0</v>
      </c>
      <c r="AF45" s="15">
        <f>VLOOKUP(A:A,[1]TDSheet!$A:$AF,32,0)</f>
        <v>0</v>
      </c>
      <c r="AG45" s="15">
        <f t="shared" si="13"/>
        <v>420</v>
      </c>
      <c r="AH45" s="15"/>
      <c r="AI45" s="15"/>
      <c r="AJ45" s="15"/>
    </row>
    <row r="46" spans="1:36" s="1" customFormat="1" ht="11.1" customHeight="1" outlineLevel="1" x14ac:dyDescent="0.2">
      <c r="A46" s="7" t="s">
        <v>49</v>
      </c>
      <c r="B46" s="7" t="s">
        <v>9</v>
      </c>
      <c r="C46" s="8">
        <v>1156</v>
      </c>
      <c r="D46" s="8">
        <v>2259</v>
      </c>
      <c r="E46" s="8">
        <v>2005</v>
      </c>
      <c r="F46" s="8">
        <v>1589</v>
      </c>
      <c r="G46" s="1">
        <f>VLOOKUP(A:A,[1]TDSheet!$A:$G,7,0)</f>
        <v>0.41</v>
      </c>
      <c r="H46" s="1">
        <f>VLOOKUP(A:A,[1]TDSheet!$A:$H,8,0)</f>
        <v>45</v>
      </c>
      <c r="I46" s="15">
        <f>VLOOKUP(A:A,[1]TDSheet!$A:$I,9,0)</f>
        <v>1699</v>
      </c>
      <c r="J46" s="15">
        <f>VLOOKUP(A:A,[1]TDSheet!$A:$J,10,0)</f>
        <v>-21</v>
      </c>
      <c r="K46" s="15">
        <f>VLOOKUP(A:A,[1]TDSheet!$A:$M,13,0)</f>
        <v>480</v>
      </c>
      <c r="L46" s="15">
        <f>VLOOKUP(A:A,[1]TDSheet!$A:$R,18,0)</f>
        <v>240</v>
      </c>
      <c r="M46" s="15">
        <f>VLOOKUP(A:A,[1]TDSheet!$A:$T,20,0)</f>
        <v>240</v>
      </c>
      <c r="N46" s="15"/>
      <c r="O46" s="15"/>
      <c r="P46" s="15"/>
      <c r="Q46" s="15"/>
      <c r="R46" s="15"/>
      <c r="S46" s="15">
        <f t="shared" si="10"/>
        <v>334.16666666666669</v>
      </c>
      <c r="T46" s="17">
        <v>840</v>
      </c>
      <c r="U46" s="18">
        <f t="shared" si="11"/>
        <v>10.141645885286783</v>
      </c>
      <c r="V46" s="15">
        <f t="shared" si="12"/>
        <v>4.7551122194513713</v>
      </c>
      <c r="W46" s="15">
        <v>840</v>
      </c>
      <c r="X46" s="15"/>
      <c r="Y46" s="15"/>
      <c r="Z46" s="15">
        <f>VLOOKUP(A:A,[1]TDSheet!$A:$AA,27,0)</f>
        <v>217</v>
      </c>
      <c r="AA46" s="15">
        <f>VLOOKUP(A:A,[1]TDSheet!$A:$AB,28,0)</f>
        <v>290</v>
      </c>
      <c r="AB46" s="15">
        <f>VLOOKUP(A:A,[1]TDSheet!$A:$AC,29,0)</f>
        <v>293.39999999999998</v>
      </c>
      <c r="AC46" s="15">
        <f>VLOOKUP(A:A,[1]TDSheet!$A:$S,19,0)</f>
        <v>335.6</v>
      </c>
      <c r="AD46" s="15">
        <f>VLOOKUP(A:A,[2]TDSheet!$A:$D,4,0)</f>
        <v>327</v>
      </c>
      <c r="AE46" s="15" t="str">
        <f>VLOOKUP(A:A,[1]TDSheet!$A:$AE,31,0)</f>
        <v>увел</v>
      </c>
      <c r="AF46" s="15">
        <f>VLOOKUP(A:A,[1]TDSheet!$A:$AF,32,0)</f>
        <v>0</v>
      </c>
      <c r="AG46" s="15">
        <f t="shared" si="13"/>
        <v>344.4</v>
      </c>
      <c r="AH46" s="15"/>
      <c r="AI46" s="15"/>
      <c r="AJ46" s="15"/>
    </row>
    <row r="47" spans="1:36" s="1" customFormat="1" ht="11.1" customHeight="1" outlineLevel="1" x14ac:dyDescent="0.2">
      <c r="A47" s="7" t="s">
        <v>50</v>
      </c>
      <c r="B47" s="7" t="s">
        <v>9</v>
      </c>
      <c r="C47" s="8">
        <v>649</v>
      </c>
      <c r="D47" s="8">
        <v>598</v>
      </c>
      <c r="E47" s="8">
        <v>670</v>
      </c>
      <c r="F47" s="8">
        <v>656</v>
      </c>
      <c r="G47" s="1">
        <f>VLOOKUP(A:A,[1]TDSheet!$A:$G,7,0)</f>
        <v>0.41</v>
      </c>
      <c r="H47" s="1" t="e">
        <f>VLOOKUP(A:A,[1]TDSheet!$A:$H,8,0)</f>
        <v>#N/A</v>
      </c>
      <c r="I47" s="15">
        <f>VLOOKUP(A:A,[1]TDSheet!$A:$I,9,0)</f>
        <v>594</v>
      </c>
      <c r="J47" s="15">
        <f>VLOOKUP(A:A,[1]TDSheet!$A:$J,10,0)</f>
        <v>-15</v>
      </c>
      <c r="K47" s="15">
        <f>VLOOKUP(A:A,[1]TDSheet!$A:$M,13,0)</f>
        <v>240</v>
      </c>
      <c r="L47" s="15">
        <f>VLOOKUP(A:A,[1]TDSheet!$A:$R,18,0)</f>
        <v>0</v>
      </c>
      <c r="M47" s="15">
        <f>VLOOKUP(A:A,[1]TDSheet!$A:$T,20,0)</f>
        <v>80</v>
      </c>
      <c r="N47" s="15"/>
      <c r="O47" s="15"/>
      <c r="P47" s="15"/>
      <c r="Q47" s="15"/>
      <c r="R47" s="15"/>
      <c r="S47" s="15">
        <f t="shared" si="10"/>
        <v>111.66666666666667</v>
      </c>
      <c r="T47" s="17">
        <v>150</v>
      </c>
      <c r="U47" s="18">
        <f t="shared" si="11"/>
        <v>10.083582089552239</v>
      </c>
      <c r="V47" s="15">
        <f t="shared" si="12"/>
        <v>5.8746268656716412</v>
      </c>
      <c r="W47" s="15">
        <v>150</v>
      </c>
      <c r="X47" s="15"/>
      <c r="Y47" s="15"/>
      <c r="Z47" s="15">
        <f>VLOOKUP(A:A,[1]TDSheet!$A:$AA,27,0)</f>
        <v>112.8</v>
      </c>
      <c r="AA47" s="15">
        <f>VLOOKUP(A:A,[1]TDSheet!$A:$AB,28,0)</f>
        <v>127.8</v>
      </c>
      <c r="AB47" s="15">
        <f>VLOOKUP(A:A,[1]TDSheet!$A:$AC,29,0)</f>
        <v>105.2</v>
      </c>
      <c r="AC47" s="15">
        <f>VLOOKUP(A:A,[1]TDSheet!$A:$S,19,0)</f>
        <v>115.8</v>
      </c>
      <c r="AD47" s="15">
        <f>VLOOKUP(A:A,[2]TDSheet!$A:$D,4,0)</f>
        <v>91</v>
      </c>
      <c r="AE47" s="15">
        <f>VLOOKUP(A:A,[1]TDSheet!$A:$AE,31,0)</f>
        <v>0</v>
      </c>
      <c r="AF47" s="15">
        <f>VLOOKUP(A:A,[1]TDSheet!$A:$AF,32,0)</f>
        <v>0</v>
      </c>
      <c r="AG47" s="15">
        <f t="shared" si="13"/>
        <v>61.499999999999993</v>
      </c>
      <c r="AH47" s="15"/>
      <c r="AI47" s="15"/>
      <c r="AJ47" s="15"/>
    </row>
    <row r="48" spans="1:36" s="1" customFormat="1" ht="11.1" customHeight="1" outlineLevel="1" x14ac:dyDescent="0.2">
      <c r="A48" s="7" t="s">
        <v>51</v>
      </c>
      <c r="B48" s="7" t="s">
        <v>9</v>
      </c>
      <c r="C48" s="8">
        <v>337</v>
      </c>
      <c r="D48" s="8">
        <v>611</v>
      </c>
      <c r="E48" s="8">
        <v>534</v>
      </c>
      <c r="F48" s="8">
        <v>472</v>
      </c>
      <c r="G48" s="1">
        <f>VLOOKUP(A:A,[1]TDSheet!$A:$G,7,0)</f>
        <v>0.36</v>
      </c>
      <c r="H48" s="1" t="e">
        <f>VLOOKUP(A:A,[1]TDSheet!$A:$H,8,0)</f>
        <v>#N/A</v>
      </c>
      <c r="I48" s="15">
        <f>VLOOKUP(A:A,[1]TDSheet!$A:$I,9,0)</f>
        <v>493</v>
      </c>
      <c r="J48" s="15">
        <f>VLOOKUP(A:A,[1]TDSheet!$A:$J,10,0)</f>
        <v>-27</v>
      </c>
      <c r="K48" s="15">
        <f>VLOOKUP(A:A,[1]TDSheet!$A:$M,13,0)</f>
        <v>240</v>
      </c>
      <c r="L48" s="15">
        <f>VLOOKUP(A:A,[1]TDSheet!$A:$R,18,0)</f>
        <v>0</v>
      </c>
      <c r="M48" s="15">
        <f>VLOOKUP(A:A,[1]TDSheet!$A:$T,20,0)</f>
        <v>60</v>
      </c>
      <c r="N48" s="15"/>
      <c r="O48" s="15"/>
      <c r="P48" s="15"/>
      <c r="Q48" s="15"/>
      <c r="R48" s="15"/>
      <c r="S48" s="15">
        <f t="shared" si="10"/>
        <v>89</v>
      </c>
      <c r="T48" s="17">
        <v>120</v>
      </c>
      <c r="U48" s="18">
        <f t="shared" si="11"/>
        <v>10.02247191011236</v>
      </c>
      <c r="V48" s="15">
        <f t="shared" si="12"/>
        <v>5.3033707865168536</v>
      </c>
      <c r="W48" s="15">
        <v>120</v>
      </c>
      <c r="X48" s="15"/>
      <c r="Y48" s="15"/>
      <c r="Z48" s="15">
        <f>VLOOKUP(A:A,[1]TDSheet!$A:$AA,27,0)</f>
        <v>79.599999999999994</v>
      </c>
      <c r="AA48" s="15">
        <f>VLOOKUP(A:A,[1]TDSheet!$A:$AB,28,0)</f>
        <v>82.4</v>
      </c>
      <c r="AB48" s="15">
        <f>VLOOKUP(A:A,[1]TDSheet!$A:$AC,29,0)</f>
        <v>71.8</v>
      </c>
      <c r="AC48" s="15">
        <f>VLOOKUP(A:A,[1]TDSheet!$A:$S,19,0)</f>
        <v>93.2</v>
      </c>
      <c r="AD48" s="15">
        <f>VLOOKUP(A:A,[2]TDSheet!$A:$D,4,0)</f>
        <v>68</v>
      </c>
      <c r="AE48" s="15">
        <f>VLOOKUP(A:A,[1]TDSheet!$A:$AE,31,0)</f>
        <v>0</v>
      </c>
      <c r="AF48" s="15">
        <f>VLOOKUP(A:A,[1]TDSheet!$A:$AF,32,0)</f>
        <v>0</v>
      </c>
      <c r="AG48" s="15">
        <f t="shared" si="13"/>
        <v>43.199999999999996</v>
      </c>
      <c r="AH48" s="15"/>
      <c r="AI48" s="15"/>
      <c r="AJ48" s="15"/>
    </row>
    <row r="49" spans="1:36" s="1" customFormat="1" ht="11.1" customHeight="1" outlineLevel="1" x14ac:dyDescent="0.2">
      <c r="A49" s="7" t="s">
        <v>52</v>
      </c>
      <c r="B49" s="7" t="s">
        <v>9</v>
      </c>
      <c r="C49" s="8">
        <v>106</v>
      </c>
      <c r="D49" s="8">
        <v>163</v>
      </c>
      <c r="E49" s="8">
        <v>171</v>
      </c>
      <c r="F49" s="8">
        <v>107</v>
      </c>
      <c r="G49" s="1">
        <f>VLOOKUP(A:A,[1]TDSheet!$A:$G,7,0)</f>
        <v>0.33</v>
      </c>
      <c r="H49" s="1" t="e">
        <f>VLOOKUP(A:A,[1]TDSheet!$A:$H,8,0)</f>
        <v>#N/A</v>
      </c>
      <c r="I49" s="15">
        <f>VLOOKUP(A:A,[1]TDSheet!$A:$I,9,0)</f>
        <v>162</v>
      </c>
      <c r="J49" s="15">
        <f>VLOOKUP(A:A,[1]TDSheet!$A:$J,10,0)</f>
        <v>1</v>
      </c>
      <c r="K49" s="15">
        <f>VLOOKUP(A:A,[1]TDSheet!$A:$M,13,0)</f>
        <v>40</v>
      </c>
      <c r="L49" s="15">
        <f>VLOOKUP(A:A,[1]TDSheet!$A:$R,18,0)</f>
        <v>160</v>
      </c>
      <c r="M49" s="15">
        <f>VLOOKUP(A:A,[1]TDSheet!$A:$T,20,0)</f>
        <v>120</v>
      </c>
      <c r="N49" s="15"/>
      <c r="O49" s="15"/>
      <c r="P49" s="15"/>
      <c r="Q49" s="15"/>
      <c r="R49" s="15"/>
      <c r="S49" s="15">
        <f t="shared" si="10"/>
        <v>28.5</v>
      </c>
      <c r="T49" s="17"/>
      <c r="U49" s="18">
        <f t="shared" si="11"/>
        <v>14.982456140350877</v>
      </c>
      <c r="V49" s="15">
        <f t="shared" si="12"/>
        <v>3.7543859649122808</v>
      </c>
      <c r="W49" s="15"/>
      <c r="X49" s="15"/>
      <c r="Y49" s="15"/>
      <c r="Z49" s="15">
        <f>VLOOKUP(A:A,[1]TDSheet!$A:$AA,27,0)</f>
        <v>18.8</v>
      </c>
      <c r="AA49" s="15">
        <f>VLOOKUP(A:A,[1]TDSheet!$A:$AB,28,0)</f>
        <v>23</v>
      </c>
      <c r="AB49" s="15">
        <f>VLOOKUP(A:A,[1]TDSheet!$A:$AC,29,0)</f>
        <v>21.4</v>
      </c>
      <c r="AC49" s="15">
        <f>VLOOKUP(A:A,[1]TDSheet!$A:$S,19,0)</f>
        <v>32.6</v>
      </c>
      <c r="AD49" s="15">
        <f>VLOOKUP(A:A,[2]TDSheet!$A:$D,4,0)</f>
        <v>8</v>
      </c>
      <c r="AE49" s="15" t="str">
        <f>VLOOKUP(A:A,[1]TDSheet!$A:$AE,31,0)</f>
        <v>увел</v>
      </c>
      <c r="AF49" s="15">
        <f>VLOOKUP(A:A,[1]TDSheet!$A:$AF,32,0)</f>
        <v>0</v>
      </c>
      <c r="AG49" s="15">
        <f t="shared" si="13"/>
        <v>0</v>
      </c>
      <c r="AH49" s="15"/>
      <c r="AI49" s="15"/>
      <c r="AJ49" s="15"/>
    </row>
    <row r="50" spans="1:36" s="1" customFormat="1" ht="11.1" customHeight="1" outlineLevel="1" x14ac:dyDescent="0.2">
      <c r="A50" s="7" t="s">
        <v>53</v>
      </c>
      <c r="B50" s="7" t="s">
        <v>9</v>
      </c>
      <c r="C50" s="8">
        <v>30</v>
      </c>
      <c r="D50" s="8">
        <v>442</v>
      </c>
      <c r="E50" s="8">
        <v>181</v>
      </c>
      <c r="F50" s="8">
        <v>306</v>
      </c>
      <c r="G50" s="1">
        <f>VLOOKUP(A:A,[1]TDSheet!$A:$G,7,0)</f>
        <v>0.33</v>
      </c>
      <c r="H50" s="1" t="e">
        <f>VLOOKUP(A:A,[1]TDSheet!$A:$H,8,0)</f>
        <v>#N/A</v>
      </c>
      <c r="I50" s="15">
        <f>VLOOKUP(A:A,[1]TDSheet!$A:$I,9,0)</f>
        <v>172</v>
      </c>
      <c r="J50" s="15">
        <f>VLOOKUP(A:A,[1]TDSheet!$A:$J,10,0)</f>
        <v>-18</v>
      </c>
      <c r="K50" s="15">
        <f>VLOOKUP(A:A,[1]TDSheet!$A:$M,13,0)</f>
        <v>0</v>
      </c>
      <c r="L50" s="15">
        <f>VLOOKUP(A:A,[1]TDSheet!$A:$R,18,0)</f>
        <v>0</v>
      </c>
      <c r="M50" s="15">
        <f>VLOOKUP(A:A,[1]TDSheet!$A:$T,20,0)</f>
        <v>40</v>
      </c>
      <c r="N50" s="15"/>
      <c r="O50" s="15"/>
      <c r="P50" s="15"/>
      <c r="Q50" s="15"/>
      <c r="R50" s="15"/>
      <c r="S50" s="15">
        <f t="shared" si="10"/>
        <v>30.166666666666668</v>
      </c>
      <c r="T50" s="17">
        <v>40</v>
      </c>
      <c r="U50" s="18">
        <f t="shared" si="11"/>
        <v>12.795580110497237</v>
      </c>
      <c r="V50" s="15">
        <f t="shared" si="12"/>
        <v>10.143646408839778</v>
      </c>
      <c r="W50" s="15">
        <v>40</v>
      </c>
      <c r="X50" s="15"/>
      <c r="Y50" s="15"/>
      <c r="Z50" s="15">
        <f>VLOOKUP(A:A,[1]TDSheet!$A:$AA,27,0)</f>
        <v>31.4</v>
      </c>
      <c r="AA50" s="15">
        <f>VLOOKUP(A:A,[1]TDSheet!$A:$AB,28,0)</f>
        <v>25.6</v>
      </c>
      <c r="AB50" s="15">
        <f>VLOOKUP(A:A,[1]TDSheet!$A:$AC,29,0)</f>
        <v>38.799999999999997</v>
      </c>
      <c r="AC50" s="15">
        <f>VLOOKUP(A:A,[1]TDSheet!$A:$S,19,0)</f>
        <v>30.8</v>
      </c>
      <c r="AD50" s="15">
        <f>VLOOKUP(A:A,[2]TDSheet!$A:$D,4,0)</f>
        <v>27</v>
      </c>
      <c r="AE50" s="15">
        <f>VLOOKUP(A:A,[1]TDSheet!$A:$AE,31,0)</f>
        <v>0</v>
      </c>
      <c r="AF50" s="15">
        <f>VLOOKUP(A:A,[1]TDSheet!$A:$AF,32,0)</f>
        <v>0</v>
      </c>
      <c r="AG50" s="15">
        <f t="shared" si="13"/>
        <v>13.200000000000001</v>
      </c>
      <c r="AH50" s="15"/>
      <c r="AI50" s="15"/>
      <c r="AJ50" s="15"/>
    </row>
    <row r="51" spans="1:36" s="1" customFormat="1" ht="11.1" customHeight="1" outlineLevel="1" x14ac:dyDescent="0.2">
      <c r="A51" s="7" t="s">
        <v>54</v>
      </c>
      <c r="B51" s="7" t="s">
        <v>9</v>
      </c>
      <c r="C51" s="8">
        <v>180</v>
      </c>
      <c r="D51" s="8">
        <v>525</v>
      </c>
      <c r="E51" s="8">
        <v>352</v>
      </c>
      <c r="F51" s="8">
        <v>369</v>
      </c>
      <c r="G51" s="1">
        <f>VLOOKUP(A:A,[1]TDSheet!$A:$G,7,0)</f>
        <v>0.33</v>
      </c>
      <c r="H51" s="1" t="e">
        <f>VLOOKUP(A:A,[1]TDSheet!$A:$H,8,0)</f>
        <v>#N/A</v>
      </c>
      <c r="I51" s="15">
        <f>VLOOKUP(A:A,[1]TDSheet!$A:$I,9,0)</f>
        <v>300</v>
      </c>
      <c r="J51" s="15">
        <f>VLOOKUP(A:A,[1]TDSheet!$A:$J,10,0)</f>
        <v>1</v>
      </c>
      <c r="K51" s="15">
        <f>VLOOKUP(A:A,[1]TDSheet!$A:$M,13,0)</f>
        <v>120</v>
      </c>
      <c r="L51" s="15">
        <f>VLOOKUP(A:A,[1]TDSheet!$A:$R,18,0)</f>
        <v>80</v>
      </c>
      <c r="M51" s="15">
        <f>VLOOKUP(A:A,[1]TDSheet!$A:$T,20,0)</f>
        <v>80</v>
      </c>
      <c r="N51" s="15"/>
      <c r="O51" s="15"/>
      <c r="P51" s="15"/>
      <c r="Q51" s="15"/>
      <c r="R51" s="15"/>
      <c r="S51" s="15">
        <f t="shared" si="10"/>
        <v>58.666666666666664</v>
      </c>
      <c r="T51" s="17">
        <v>80</v>
      </c>
      <c r="U51" s="18">
        <f t="shared" si="11"/>
        <v>12.426136363636363</v>
      </c>
      <c r="V51" s="15">
        <f t="shared" si="12"/>
        <v>6.2897727272727275</v>
      </c>
      <c r="W51" s="15">
        <v>80</v>
      </c>
      <c r="X51" s="15"/>
      <c r="Y51" s="15"/>
      <c r="Z51" s="15">
        <f>VLOOKUP(A:A,[1]TDSheet!$A:$AA,27,0)</f>
        <v>51.2</v>
      </c>
      <c r="AA51" s="15">
        <f>VLOOKUP(A:A,[1]TDSheet!$A:$AB,28,0)</f>
        <v>49.8</v>
      </c>
      <c r="AB51" s="15">
        <f>VLOOKUP(A:A,[1]TDSheet!$A:$AC,29,0)</f>
        <v>60.2</v>
      </c>
      <c r="AC51" s="15">
        <f>VLOOKUP(A:A,[1]TDSheet!$A:$S,19,0)</f>
        <v>60.2</v>
      </c>
      <c r="AD51" s="15">
        <f>VLOOKUP(A:A,[2]TDSheet!$A:$D,4,0)</f>
        <v>51</v>
      </c>
      <c r="AE51" s="15">
        <f>VLOOKUP(A:A,[1]TDSheet!$A:$AE,31,0)</f>
        <v>0</v>
      </c>
      <c r="AF51" s="15">
        <f>VLOOKUP(A:A,[1]TDSheet!$A:$AF,32,0)</f>
        <v>0</v>
      </c>
      <c r="AG51" s="15">
        <f t="shared" si="13"/>
        <v>26.400000000000002</v>
      </c>
      <c r="AH51" s="15"/>
      <c r="AI51" s="15"/>
      <c r="AJ51" s="15"/>
    </row>
    <row r="52" spans="1:36" s="1" customFormat="1" ht="11.1" customHeight="1" outlineLevel="1" x14ac:dyDescent="0.2">
      <c r="A52" s="23" t="s">
        <v>55</v>
      </c>
      <c r="B52" s="7" t="s">
        <v>9</v>
      </c>
      <c r="C52" s="8"/>
      <c r="D52" s="8">
        <v>496</v>
      </c>
      <c r="E52" s="8">
        <v>0</v>
      </c>
      <c r="F52" s="8">
        <v>496</v>
      </c>
      <c r="G52" s="1">
        <f>VLOOKUP(A:A,[1]TDSheet!$A:$G,7,0)</f>
        <v>0</v>
      </c>
      <c r="H52" s="1" t="e">
        <f>VLOOKUP(A:A,[1]TDSheet!$A:$H,8,0)</f>
        <v>#N/A</v>
      </c>
      <c r="I52" s="15">
        <f>VLOOKUP(A:A,[1]TDSheet!$A:$I,9,0)</f>
        <v>0</v>
      </c>
      <c r="J52" s="15">
        <f>VLOOKUP(A:A,[1]TDSheet!$A:$J,10,0)</f>
        <v>0</v>
      </c>
      <c r="K52" s="15">
        <f>VLOOKUP(A:A,[1]TDSheet!$A:$M,13,0)</f>
        <v>0</v>
      </c>
      <c r="L52" s="15">
        <f>VLOOKUP(A:A,[1]TDSheet!$A:$R,18,0)</f>
        <v>0</v>
      </c>
      <c r="M52" s="15">
        <f>VLOOKUP(A:A,[1]TDSheet!$A:$T,20,0)</f>
        <v>0</v>
      </c>
      <c r="N52" s="15"/>
      <c r="O52" s="15"/>
      <c r="P52" s="15"/>
      <c r="Q52" s="15"/>
      <c r="R52" s="15"/>
      <c r="S52" s="15">
        <f t="shared" si="10"/>
        <v>0</v>
      </c>
      <c r="T52" s="17"/>
      <c r="U52" s="18" t="e">
        <f t="shared" si="11"/>
        <v>#DIV/0!</v>
      </c>
      <c r="V52" s="15" t="e">
        <f t="shared" si="12"/>
        <v>#DIV/0!</v>
      </c>
      <c r="W52" s="15"/>
      <c r="X52" s="15"/>
      <c r="Y52" s="15"/>
      <c r="Z52" s="15">
        <f>VLOOKUP(A:A,[1]TDSheet!$A:$AA,27,0)</f>
        <v>0</v>
      </c>
      <c r="AA52" s="15">
        <f>VLOOKUP(A:A,[1]TDSheet!$A:$AB,28,0)</f>
        <v>0</v>
      </c>
      <c r="AB52" s="15">
        <f>VLOOKUP(A:A,[1]TDSheet!$A:$AC,29,0)</f>
        <v>0</v>
      </c>
      <c r="AC52" s="15">
        <f>VLOOKUP(A:A,[1]TDSheet!$A:$S,19,0)</f>
        <v>0</v>
      </c>
      <c r="AD52" s="15">
        <v>0</v>
      </c>
      <c r="AE52" s="22" t="str">
        <f>VLOOKUP(A:A,[1]TDSheet!$A:$AE,31,0)</f>
        <v>увел</v>
      </c>
      <c r="AF52" s="15" t="e">
        <f>VLOOKUP(A:A,[1]TDSheet!$A:$AF,32,0)</f>
        <v>#N/A</v>
      </c>
      <c r="AG52" s="15">
        <f t="shared" si="13"/>
        <v>0</v>
      </c>
      <c r="AH52" s="15"/>
      <c r="AI52" s="15"/>
      <c r="AJ52" s="15"/>
    </row>
    <row r="53" spans="1:36" s="1" customFormat="1" ht="11.1" customHeight="1" outlineLevel="1" x14ac:dyDescent="0.2">
      <c r="A53" s="7" t="s">
        <v>56</v>
      </c>
      <c r="B53" s="7" t="s">
        <v>8</v>
      </c>
      <c r="C53" s="8">
        <v>928.98400000000004</v>
      </c>
      <c r="D53" s="8">
        <v>186.63</v>
      </c>
      <c r="E53" s="8">
        <v>725.46799999999996</v>
      </c>
      <c r="F53" s="19">
        <v>476</v>
      </c>
      <c r="G53" s="1">
        <f>VLOOKUP(A:A,[1]TDSheet!$A:$G,7,0)</f>
        <v>1</v>
      </c>
      <c r="H53" s="1">
        <f>VLOOKUP(A:A,[1]TDSheet!$A:$H,8,0)</f>
        <v>45</v>
      </c>
      <c r="I53" s="15">
        <f>VLOOKUP(A:A,[1]TDSheet!$A:$I,9,0)</f>
        <v>579.29999999999995</v>
      </c>
      <c r="J53" s="15">
        <f>VLOOKUP(A:A,[1]TDSheet!$A:$J,10,0)</f>
        <v>-2.2999999999999545</v>
      </c>
      <c r="K53" s="15">
        <f>VLOOKUP(A:A,[1]TDSheet!$A:$M,13,0)</f>
        <v>250</v>
      </c>
      <c r="L53" s="15">
        <f>VLOOKUP(A:A,[1]TDSheet!$A:$R,18,0)</f>
        <v>100</v>
      </c>
      <c r="M53" s="15">
        <f>VLOOKUP(A:A,[1]TDSheet!$A:$T,20,0)</f>
        <v>100</v>
      </c>
      <c r="N53" s="15"/>
      <c r="O53" s="15"/>
      <c r="P53" s="15"/>
      <c r="Q53" s="15"/>
      <c r="R53" s="15"/>
      <c r="S53" s="15">
        <f t="shared" si="10"/>
        <v>120.91133333333333</v>
      </c>
      <c r="T53" s="17">
        <v>350</v>
      </c>
      <c r="U53" s="18">
        <f t="shared" si="11"/>
        <v>10.553187735365309</v>
      </c>
      <c r="V53" s="15">
        <f t="shared" si="12"/>
        <v>3.9367690925030465</v>
      </c>
      <c r="W53" s="15">
        <v>350</v>
      </c>
      <c r="X53" s="15"/>
      <c r="Y53" s="15"/>
      <c r="Z53" s="15">
        <f>VLOOKUP(A:A,[1]TDSheet!$A:$AA,27,0)</f>
        <v>150</v>
      </c>
      <c r="AA53" s="15">
        <f>VLOOKUP(A:A,[1]TDSheet!$A:$AB,28,0)</f>
        <v>164.2</v>
      </c>
      <c r="AB53" s="15">
        <f>VLOOKUP(A:A,[1]TDSheet!$A:$AC,29,0)</f>
        <v>109</v>
      </c>
      <c r="AC53" s="15">
        <f>VLOOKUP(A:A,[1]TDSheet!$A:$S,19,0)</f>
        <v>115.4</v>
      </c>
      <c r="AD53" s="15">
        <f>VLOOKUP(A:A,[2]TDSheet!$A:$D,4,0)</f>
        <v>148.46799999999999</v>
      </c>
      <c r="AE53" s="15" t="str">
        <f>VLOOKUP(A:A,[1]TDSheet!$A:$AE,31,0)</f>
        <v>бон</v>
      </c>
      <c r="AF53" s="15">
        <f>VLOOKUP(A:A,[1]TDSheet!$A:$AF,32,0)</f>
        <v>0</v>
      </c>
      <c r="AG53" s="15">
        <f t="shared" si="13"/>
        <v>350</v>
      </c>
      <c r="AH53" s="15"/>
      <c r="AI53" s="15"/>
      <c r="AJ53" s="15"/>
    </row>
    <row r="54" spans="1:36" s="1" customFormat="1" ht="11.1" customHeight="1" outlineLevel="1" x14ac:dyDescent="0.2">
      <c r="A54" s="7" t="s">
        <v>57</v>
      </c>
      <c r="B54" s="7" t="s">
        <v>8</v>
      </c>
      <c r="C54" s="8">
        <v>2.008</v>
      </c>
      <c r="D54" s="8">
        <v>25.738</v>
      </c>
      <c r="E54" s="8">
        <v>9.2360000000000007</v>
      </c>
      <c r="F54" s="8">
        <v>17.510000000000002</v>
      </c>
      <c r="G54" s="1">
        <f>VLOOKUP(A:A,[1]TDSheet!$A:$G,7,0)</f>
        <v>1</v>
      </c>
      <c r="H54" s="1" t="e">
        <f>VLOOKUP(A:A,[1]TDSheet!$A:$H,8,0)</f>
        <v>#N/A</v>
      </c>
      <c r="I54" s="15">
        <f>VLOOKUP(A:A,[1]TDSheet!$A:$I,9,0)</f>
        <v>10.6</v>
      </c>
      <c r="J54" s="15">
        <f>VLOOKUP(A:A,[1]TDSheet!$A:$J,10,0)</f>
        <v>-1.363999999999999</v>
      </c>
      <c r="K54" s="15">
        <f>VLOOKUP(A:A,[1]TDSheet!$A:$M,13,0)</f>
        <v>0</v>
      </c>
      <c r="L54" s="15">
        <f>VLOOKUP(A:A,[1]TDSheet!$A:$R,18,0)</f>
        <v>10</v>
      </c>
      <c r="M54" s="15">
        <f>VLOOKUP(A:A,[1]TDSheet!$A:$T,20,0)</f>
        <v>0</v>
      </c>
      <c r="N54" s="15"/>
      <c r="O54" s="15"/>
      <c r="P54" s="15"/>
      <c r="Q54" s="15"/>
      <c r="R54" s="15"/>
      <c r="S54" s="15">
        <f t="shared" si="10"/>
        <v>1.5393333333333334</v>
      </c>
      <c r="T54" s="17"/>
      <c r="U54" s="18">
        <f t="shared" si="11"/>
        <v>17.871372888696406</v>
      </c>
      <c r="V54" s="15">
        <f t="shared" si="12"/>
        <v>11.375054135989606</v>
      </c>
      <c r="W54" s="15"/>
      <c r="X54" s="15"/>
      <c r="Y54" s="15"/>
      <c r="Z54" s="15">
        <f>VLOOKUP(A:A,[1]TDSheet!$A:$AA,27,0)</f>
        <v>1.4616</v>
      </c>
      <c r="AA54" s="15">
        <f>VLOOKUP(A:A,[1]TDSheet!$A:$AB,28,0)</f>
        <v>0.8972</v>
      </c>
      <c r="AB54" s="15">
        <f>VLOOKUP(A:A,[1]TDSheet!$A:$AC,29,0)</f>
        <v>2.6408</v>
      </c>
      <c r="AC54" s="15">
        <f>VLOOKUP(A:A,[1]TDSheet!$A:$S,19,0)</f>
        <v>1.8472000000000002</v>
      </c>
      <c r="AD54" s="15">
        <v>0</v>
      </c>
      <c r="AE54" s="15" t="str">
        <f>VLOOKUP(A:A,[1]TDSheet!$A:$AE,31,0)</f>
        <v>Вит</v>
      </c>
      <c r="AF54" s="15" t="e">
        <f>VLOOKUP(A:A,[1]TDSheet!$A:$AF,32,0)</f>
        <v>#N/A</v>
      </c>
      <c r="AG54" s="15">
        <f t="shared" si="13"/>
        <v>0</v>
      </c>
      <c r="AH54" s="15"/>
      <c r="AI54" s="15"/>
      <c r="AJ54" s="15"/>
    </row>
    <row r="55" spans="1:36" s="1" customFormat="1" ht="11.1" customHeight="1" outlineLevel="1" x14ac:dyDescent="0.2">
      <c r="A55" s="7" t="s">
        <v>58</v>
      </c>
      <c r="B55" s="7" t="s">
        <v>9</v>
      </c>
      <c r="C55" s="8">
        <v>869</v>
      </c>
      <c r="D55" s="8">
        <v>1441</v>
      </c>
      <c r="E55" s="8">
        <v>1200</v>
      </c>
      <c r="F55" s="8">
        <v>1176</v>
      </c>
      <c r="G55" s="1">
        <f>VLOOKUP(A:A,[1]TDSheet!$A:$G,7,0)</f>
        <v>0.4</v>
      </c>
      <c r="H55" s="1" t="e">
        <f>VLOOKUP(A:A,[1]TDSheet!$A:$H,8,0)</f>
        <v>#N/A</v>
      </c>
      <c r="I55" s="15">
        <f>VLOOKUP(A:A,[1]TDSheet!$A:$I,9,0)</f>
        <v>1037</v>
      </c>
      <c r="J55" s="15">
        <f>VLOOKUP(A:A,[1]TDSheet!$A:$J,10,0)</f>
        <v>3</v>
      </c>
      <c r="K55" s="15">
        <f>VLOOKUP(A:A,[1]TDSheet!$A:$M,13,0)</f>
        <v>360</v>
      </c>
      <c r="L55" s="15">
        <f>VLOOKUP(A:A,[1]TDSheet!$A:$R,18,0)</f>
        <v>0</v>
      </c>
      <c r="M55" s="15">
        <f>VLOOKUP(A:A,[1]TDSheet!$A:$T,20,0)</f>
        <v>120</v>
      </c>
      <c r="N55" s="15"/>
      <c r="O55" s="15"/>
      <c r="P55" s="15"/>
      <c r="Q55" s="15"/>
      <c r="R55" s="15"/>
      <c r="S55" s="15">
        <f t="shared" si="10"/>
        <v>200</v>
      </c>
      <c r="T55" s="17">
        <v>360</v>
      </c>
      <c r="U55" s="18">
        <f t="shared" si="11"/>
        <v>10.08</v>
      </c>
      <c r="V55" s="15">
        <f t="shared" si="12"/>
        <v>5.88</v>
      </c>
      <c r="W55" s="15">
        <v>360</v>
      </c>
      <c r="X55" s="15"/>
      <c r="Y55" s="15"/>
      <c r="Z55" s="15">
        <f>VLOOKUP(A:A,[1]TDSheet!$A:$AA,27,0)</f>
        <v>187.2</v>
      </c>
      <c r="AA55" s="15">
        <f>VLOOKUP(A:A,[1]TDSheet!$A:$AB,28,0)</f>
        <v>204.6</v>
      </c>
      <c r="AB55" s="15">
        <f>VLOOKUP(A:A,[1]TDSheet!$A:$AC,29,0)</f>
        <v>220.6</v>
      </c>
      <c r="AC55" s="15">
        <f>VLOOKUP(A:A,[1]TDSheet!$A:$S,19,0)</f>
        <v>208</v>
      </c>
      <c r="AD55" s="15">
        <f>VLOOKUP(A:A,[2]TDSheet!$A:$D,4,0)</f>
        <v>160</v>
      </c>
      <c r="AE55" s="15">
        <f>VLOOKUP(A:A,[1]TDSheet!$A:$AE,31,0)</f>
        <v>0</v>
      </c>
      <c r="AF55" s="15">
        <f>VLOOKUP(A:A,[1]TDSheet!$A:$AF,32,0)</f>
        <v>0</v>
      </c>
      <c r="AG55" s="15">
        <f t="shared" si="13"/>
        <v>144</v>
      </c>
      <c r="AH55" s="15"/>
      <c r="AI55" s="15"/>
      <c r="AJ55" s="15"/>
    </row>
    <row r="56" spans="1:36" s="1" customFormat="1" ht="11.1" customHeight="1" outlineLevel="1" x14ac:dyDescent="0.2">
      <c r="A56" s="7" t="s">
        <v>59</v>
      </c>
      <c r="B56" s="7" t="s">
        <v>9</v>
      </c>
      <c r="C56" s="8">
        <v>122</v>
      </c>
      <c r="D56" s="8">
        <v>356</v>
      </c>
      <c r="E56" s="8">
        <v>209</v>
      </c>
      <c r="F56" s="8">
        <v>272</v>
      </c>
      <c r="G56" s="1">
        <f>VLOOKUP(A:A,[1]TDSheet!$A:$G,7,0)</f>
        <v>0</v>
      </c>
      <c r="H56" s="1" t="e">
        <f>VLOOKUP(A:A,[1]TDSheet!$A:$H,8,0)</f>
        <v>#N/A</v>
      </c>
      <c r="I56" s="15">
        <f>VLOOKUP(A:A,[1]TDSheet!$A:$I,9,0)</f>
        <v>182</v>
      </c>
      <c r="J56" s="15">
        <f>VLOOKUP(A:A,[1]TDSheet!$A:$J,10,0)</f>
        <v>11</v>
      </c>
      <c r="K56" s="15">
        <f>VLOOKUP(A:A,[1]TDSheet!$A:$M,13,0)</f>
        <v>40</v>
      </c>
      <c r="L56" s="15">
        <f>VLOOKUP(A:A,[1]TDSheet!$A:$R,18,0)</f>
        <v>0</v>
      </c>
      <c r="M56" s="15">
        <f>VLOOKUP(A:A,[1]TDSheet!$A:$T,20,0)</f>
        <v>0</v>
      </c>
      <c r="N56" s="15"/>
      <c r="O56" s="15"/>
      <c r="P56" s="15"/>
      <c r="Q56" s="15"/>
      <c r="R56" s="15"/>
      <c r="S56" s="15">
        <f t="shared" si="10"/>
        <v>34.833333333333336</v>
      </c>
      <c r="T56" s="17"/>
      <c r="U56" s="18">
        <f t="shared" si="11"/>
        <v>8.956937799043061</v>
      </c>
      <c r="V56" s="15">
        <f t="shared" si="12"/>
        <v>7.8086124401913874</v>
      </c>
      <c r="W56" s="15"/>
      <c r="X56" s="15"/>
      <c r="Y56" s="15"/>
      <c r="Z56" s="15">
        <f>VLOOKUP(A:A,[1]TDSheet!$A:$AA,27,0)</f>
        <v>37.4</v>
      </c>
      <c r="AA56" s="15">
        <f>VLOOKUP(A:A,[1]TDSheet!$A:$AB,28,0)</f>
        <v>38.799999999999997</v>
      </c>
      <c r="AB56" s="15">
        <f>VLOOKUP(A:A,[1]TDSheet!$A:$AC,29,0)</f>
        <v>48.4</v>
      </c>
      <c r="AC56" s="15">
        <f>VLOOKUP(A:A,[1]TDSheet!$A:$S,19,0)</f>
        <v>38.6</v>
      </c>
      <c r="AD56" s="15">
        <f>VLOOKUP(A:A,[2]TDSheet!$A:$D,4,0)</f>
        <v>16</v>
      </c>
      <c r="AE56" s="15">
        <f>VLOOKUP(A:A,[1]TDSheet!$A:$AE,31,0)</f>
        <v>0</v>
      </c>
      <c r="AF56" s="15">
        <f>VLOOKUP(A:A,[1]TDSheet!$A:$AF,32,0)</f>
        <v>0</v>
      </c>
      <c r="AG56" s="15">
        <f t="shared" si="13"/>
        <v>0</v>
      </c>
      <c r="AH56" s="15"/>
      <c r="AI56" s="15"/>
      <c r="AJ56" s="15"/>
    </row>
    <row r="57" spans="1:36" s="1" customFormat="1" ht="11.1" customHeight="1" outlineLevel="1" x14ac:dyDescent="0.2">
      <c r="A57" s="7" t="s">
        <v>60</v>
      </c>
      <c r="B57" s="7" t="s">
        <v>8</v>
      </c>
      <c r="C57" s="8">
        <v>796.11699999999996</v>
      </c>
      <c r="D57" s="8">
        <v>1678.5429999999999</v>
      </c>
      <c r="E57" s="8">
        <v>1219.45</v>
      </c>
      <c r="F57" s="8">
        <v>1472.7149999999999</v>
      </c>
      <c r="G57" s="1">
        <f>VLOOKUP(A:A,[1]TDSheet!$A:$G,7,0)</f>
        <v>1</v>
      </c>
      <c r="H57" s="1">
        <f>VLOOKUP(A:A,[1]TDSheet!$A:$H,8,0)</f>
        <v>60</v>
      </c>
      <c r="I57" s="15">
        <f>VLOOKUP(A:A,[1]TDSheet!$A:$I,9,0)</f>
        <v>1029.2550000000001</v>
      </c>
      <c r="J57" s="15">
        <f>VLOOKUP(A:A,[1]TDSheet!$A:$J,10,0)</f>
        <v>49.346000000000004</v>
      </c>
      <c r="K57" s="15">
        <f>VLOOKUP(A:A,[1]TDSheet!$A:$M,13,0)</f>
        <v>600</v>
      </c>
      <c r="L57" s="15">
        <f>VLOOKUP(A:A,[1]TDSheet!$A:$R,18,0)</f>
        <v>200</v>
      </c>
      <c r="M57" s="15">
        <f>VLOOKUP(A:A,[1]TDSheet!$A:$T,20,0)</f>
        <v>500</v>
      </c>
      <c r="N57" s="15"/>
      <c r="O57" s="15"/>
      <c r="P57" s="15"/>
      <c r="Q57" s="15"/>
      <c r="R57" s="15"/>
      <c r="S57" s="15">
        <f t="shared" si="10"/>
        <v>203.24166666666667</v>
      </c>
      <c r="T57" s="17">
        <v>300</v>
      </c>
      <c r="U57" s="18">
        <f t="shared" si="11"/>
        <v>15.118528844971094</v>
      </c>
      <c r="V57" s="15">
        <f t="shared" si="12"/>
        <v>7.2461273524949767</v>
      </c>
      <c r="W57" s="15">
        <v>300</v>
      </c>
      <c r="X57" s="15"/>
      <c r="Y57" s="15"/>
      <c r="Z57" s="15">
        <f>VLOOKUP(A:A,[1]TDSheet!$A:$AA,27,0)</f>
        <v>169.2912</v>
      </c>
      <c r="AA57" s="15">
        <f>VLOOKUP(A:A,[1]TDSheet!$A:$AB,28,0)</f>
        <v>185.39420000000001</v>
      </c>
      <c r="AB57" s="15">
        <f>VLOOKUP(A:A,[1]TDSheet!$A:$AC,29,0)</f>
        <v>174.7928</v>
      </c>
      <c r="AC57" s="15">
        <f>VLOOKUP(A:A,[1]TDSheet!$A:$S,19,0)</f>
        <v>215.72020000000003</v>
      </c>
      <c r="AD57" s="15">
        <f>VLOOKUP(A:A,[2]TDSheet!$A:$D,4,0)</f>
        <v>140.84899999999999</v>
      </c>
      <c r="AE57" s="15">
        <f>VLOOKUP(A:A,[1]TDSheet!$A:$AE,31,0)</f>
        <v>0</v>
      </c>
      <c r="AF57" s="15">
        <f>VLOOKUP(A:A,[1]TDSheet!$A:$AF,32,0)</f>
        <v>0</v>
      </c>
      <c r="AG57" s="15">
        <f t="shared" si="13"/>
        <v>300</v>
      </c>
      <c r="AH57" s="15"/>
      <c r="AI57" s="15"/>
      <c r="AJ57" s="15"/>
    </row>
    <row r="58" spans="1:36" s="1" customFormat="1" ht="11.1" customHeight="1" outlineLevel="1" x14ac:dyDescent="0.2">
      <c r="A58" s="7" t="s">
        <v>61</v>
      </c>
      <c r="B58" s="7" t="s">
        <v>8</v>
      </c>
      <c r="C58" s="8">
        <v>254.86500000000001</v>
      </c>
      <c r="D58" s="8">
        <v>274.27499999999998</v>
      </c>
      <c r="E58" s="8">
        <v>168.351</v>
      </c>
      <c r="F58" s="8">
        <v>401.82499999999999</v>
      </c>
      <c r="G58" s="1">
        <f>VLOOKUP(A:A,[1]TDSheet!$A:$G,7,0)</f>
        <v>1</v>
      </c>
      <c r="H58" s="1">
        <f>VLOOKUP(A:A,[1]TDSheet!$A:$H,8,0)</f>
        <v>60</v>
      </c>
      <c r="I58" s="15">
        <f>VLOOKUP(A:A,[1]TDSheet!$A:$I,9,0)</f>
        <v>152.30000000000001</v>
      </c>
      <c r="J58" s="15">
        <f>VLOOKUP(A:A,[1]TDSheet!$A:$J,10,0)</f>
        <v>4.4999999999987494E-2</v>
      </c>
      <c r="K58" s="15">
        <f>VLOOKUP(A:A,[1]TDSheet!$A:$M,13,0)</f>
        <v>0</v>
      </c>
      <c r="L58" s="15">
        <f>VLOOKUP(A:A,[1]TDSheet!$A:$R,18,0)</f>
        <v>30</v>
      </c>
      <c r="M58" s="15">
        <f>VLOOKUP(A:A,[1]TDSheet!$A:$T,20,0)</f>
        <v>30</v>
      </c>
      <c r="N58" s="15"/>
      <c r="O58" s="15"/>
      <c r="P58" s="15"/>
      <c r="Q58" s="15"/>
      <c r="R58" s="15"/>
      <c r="S58" s="15">
        <f t="shared" si="10"/>
        <v>28.058499999999999</v>
      </c>
      <c r="T58" s="17"/>
      <c r="U58" s="18">
        <f t="shared" si="11"/>
        <v>16.459361690753248</v>
      </c>
      <c r="V58" s="15">
        <f t="shared" si="12"/>
        <v>14.320972254397063</v>
      </c>
      <c r="W58" s="15"/>
      <c r="X58" s="15"/>
      <c r="Y58" s="15"/>
      <c r="Z58" s="15">
        <f>VLOOKUP(A:A,[1]TDSheet!$A:$AA,27,0)</f>
        <v>54.171000000000006</v>
      </c>
      <c r="AA58" s="15">
        <f>VLOOKUP(A:A,[1]TDSheet!$A:$AB,28,0)</f>
        <v>42.087400000000002</v>
      </c>
      <c r="AB58" s="15">
        <f>VLOOKUP(A:A,[1]TDSheet!$A:$AC,29,0)</f>
        <v>40.530999999999999</v>
      </c>
      <c r="AC58" s="15">
        <f>VLOOKUP(A:A,[1]TDSheet!$A:$S,19,0)</f>
        <v>30.469000000000001</v>
      </c>
      <c r="AD58" s="15">
        <f>VLOOKUP(A:A,[2]TDSheet!$A:$D,4,0)</f>
        <v>16.006</v>
      </c>
      <c r="AE58" s="15" t="str">
        <f>VLOOKUP(A:A,[1]TDSheet!$A:$AE,31,0)</f>
        <v>Вит</v>
      </c>
      <c r="AF58" s="15">
        <f>VLOOKUP(A:A,[1]TDSheet!$A:$AF,32,0)</f>
        <v>0</v>
      </c>
      <c r="AG58" s="15">
        <f t="shared" si="13"/>
        <v>0</v>
      </c>
      <c r="AH58" s="15"/>
      <c r="AI58" s="15"/>
      <c r="AJ58" s="15"/>
    </row>
    <row r="59" spans="1:36" s="1" customFormat="1" ht="11.1" customHeight="1" outlineLevel="1" x14ac:dyDescent="0.2">
      <c r="A59" s="7" t="s">
        <v>62</v>
      </c>
      <c r="B59" s="7" t="s">
        <v>8</v>
      </c>
      <c r="C59" s="8">
        <v>157.04</v>
      </c>
      <c r="D59" s="8">
        <v>226.983</v>
      </c>
      <c r="E59" s="8">
        <v>202.27799999999999</v>
      </c>
      <c r="F59" s="8">
        <v>201.49100000000001</v>
      </c>
      <c r="G59" s="1">
        <f>VLOOKUP(A:A,[1]TDSheet!$A:$G,7,0)</f>
        <v>1</v>
      </c>
      <c r="H59" s="1" t="e">
        <f>VLOOKUP(A:A,[1]TDSheet!$A:$H,8,0)</f>
        <v>#N/A</v>
      </c>
      <c r="I59" s="15">
        <f>VLOOKUP(A:A,[1]TDSheet!$A:$I,9,0)</f>
        <v>175.3</v>
      </c>
      <c r="J59" s="15">
        <f>VLOOKUP(A:A,[1]TDSheet!$A:$J,10,0)</f>
        <v>-1.2370000000000232</v>
      </c>
      <c r="K59" s="15">
        <f>VLOOKUP(A:A,[1]TDSheet!$A:$M,13,0)</f>
        <v>40</v>
      </c>
      <c r="L59" s="15">
        <f>VLOOKUP(A:A,[1]TDSheet!$A:$R,18,0)</f>
        <v>20</v>
      </c>
      <c r="M59" s="15">
        <f>VLOOKUP(A:A,[1]TDSheet!$A:$T,20,0)</f>
        <v>20</v>
      </c>
      <c r="N59" s="15"/>
      <c r="O59" s="15"/>
      <c r="P59" s="15"/>
      <c r="Q59" s="15"/>
      <c r="R59" s="15"/>
      <c r="S59" s="15">
        <f t="shared" si="10"/>
        <v>33.713000000000001</v>
      </c>
      <c r="T59" s="17">
        <v>60</v>
      </c>
      <c r="U59" s="18">
        <f t="shared" si="11"/>
        <v>10.129356628006999</v>
      </c>
      <c r="V59" s="15">
        <f t="shared" si="12"/>
        <v>5.9766558894195123</v>
      </c>
      <c r="W59" s="15">
        <v>60</v>
      </c>
      <c r="X59" s="15"/>
      <c r="Y59" s="15"/>
      <c r="Z59" s="15">
        <f>VLOOKUP(A:A,[1]TDSheet!$A:$AA,27,0)</f>
        <v>33.552</v>
      </c>
      <c r="AA59" s="15">
        <f>VLOOKUP(A:A,[1]TDSheet!$A:$AB,28,0)</f>
        <v>33.7622</v>
      </c>
      <c r="AB59" s="15">
        <f>VLOOKUP(A:A,[1]TDSheet!$A:$AC,29,0)</f>
        <v>31.068999999999999</v>
      </c>
      <c r="AC59" s="15">
        <f>VLOOKUP(A:A,[1]TDSheet!$A:$S,19,0)</f>
        <v>34.812599999999996</v>
      </c>
      <c r="AD59" s="15">
        <f>VLOOKUP(A:A,[2]TDSheet!$A:$D,4,0)</f>
        <v>28.215</v>
      </c>
      <c r="AE59" s="15">
        <f>VLOOKUP(A:A,[1]TDSheet!$A:$AE,31,0)</f>
        <v>0</v>
      </c>
      <c r="AF59" s="15">
        <f>VLOOKUP(A:A,[1]TDSheet!$A:$AF,32,0)</f>
        <v>0</v>
      </c>
      <c r="AG59" s="15">
        <f t="shared" si="13"/>
        <v>60</v>
      </c>
      <c r="AH59" s="15"/>
      <c r="AI59" s="15"/>
      <c r="AJ59" s="15"/>
    </row>
    <row r="60" spans="1:36" s="1" customFormat="1" ht="11.1" customHeight="1" outlineLevel="1" x14ac:dyDescent="0.2">
      <c r="A60" s="7" t="s">
        <v>63</v>
      </c>
      <c r="B60" s="7" t="s">
        <v>9</v>
      </c>
      <c r="C60" s="8">
        <v>53</v>
      </c>
      <c r="D60" s="8">
        <v>405</v>
      </c>
      <c r="E60" s="8">
        <v>273</v>
      </c>
      <c r="F60" s="8">
        <v>205</v>
      </c>
      <c r="G60" s="1">
        <f>VLOOKUP(A:A,[1]TDSheet!$A:$G,7,0)</f>
        <v>0.27</v>
      </c>
      <c r="H60" s="1" t="e">
        <f>VLOOKUP(A:A,[1]TDSheet!$A:$H,8,0)</f>
        <v>#N/A</v>
      </c>
      <c r="I60" s="15">
        <f>VLOOKUP(A:A,[1]TDSheet!$A:$I,9,0)</f>
        <v>226</v>
      </c>
      <c r="J60" s="15">
        <f>VLOOKUP(A:A,[1]TDSheet!$A:$J,10,0)</f>
        <v>-8</v>
      </c>
      <c r="K60" s="15">
        <f>VLOOKUP(A:A,[1]TDSheet!$A:$M,13,0)</f>
        <v>0</v>
      </c>
      <c r="L60" s="15">
        <f>VLOOKUP(A:A,[1]TDSheet!$A:$R,18,0)</f>
        <v>80</v>
      </c>
      <c r="M60" s="15">
        <f>VLOOKUP(A:A,[1]TDSheet!$A:$T,20,0)</f>
        <v>40</v>
      </c>
      <c r="N60" s="15"/>
      <c r="O60" s="15"/>
      <c r="P60" s="15"/>
      <c r="Q60" s="15"/>
      <c r="R60" s="15"/>
      <c r="S60" s="15">
        <f t="shared" si="10"/>
        <v>45.5</v>
      </c>
      <c r="T60" s="17">
        <v>120</v>
      </c>
      <c r="U60" s="18">
        <f t="shared" si="11"/>
        <v>9.780219780219781</v>
      </c>
      <c r="V60" s="15">
        <f t="shared" si="12"/>
        <v>4.5054945054945055</v>
      </c>
      <c r="W60" s="15">
        <v>120</v>
      </c>
      <c r="X60" s="15"/>
      <c r="Y60" s="15"/>
      <c r="Z60" s="15">
        <f>VLOOKUP(A:A,[1]TDSheet!$A:$AA,27,0)</f>
        <v>35.799999999999997</v>
      </c>
      <c r="AA60" s="15">
        <f>VLOOKUP(A:A,[1]TDSheet!$A:$AB,28,0)</f>
        <v>26.8</v>
      </c>
      <c r="AB60" s="15">
        <f>VLOOKUP(A:A,[1]TDSheet!$A:$AC,29,0)</f>
        <v>42</v>
      </c>
      <c r="AC60" s="15">
        <f>VLOOKUP(A:A,[1]TDSheet!$A:$S,19,0)</f>
        <v>43.6</v>
      </c>
      <c r="AD60" s="15">
        <f>VLOOKUP(A:A,[2]TDSheet!$A:$D,4,0)</f>
        <v>55</v>
      </c>
      <c r="AE60" s="15">
        <f>VLOOKUP(A:A,[1]TDSheet!$A:$AE,31,0)</f>
        <v>0</v>
      </c>
      <c r="AF60" s="15" t="str">
        <f>VLOOKUP(A:A,[1]TDSheet!$A:$AF,32,0)</f>
        <v>увел</v>
      </c>
      <c r="AG60" s="15">
        <f t="shared" si="13"/>
        <v>32.400000000000006</v>
      </c>
      <c r="AH60" s="15"/>
      <c r="AI60" s="15"/>
      <c r="AJ60" s="15"/>
    </row>
    <row r="61" spans="1:36" s="1" customFormat="1" ht="11.1" customHeight="1" outlineLevel="1" x14ac:dyDescent="0.2">
      <c r="A61" s="7" t="s">
        <v>64</v>
      </c>
      <c r="B61" s="7" t="s">
        <v>9</v>
      </c>
      <c r="C61" s="8">
        <v>196</v>
      </c>
      <c r="D61" s="8">
        <v>450</v>
      </c>
      <c r="E61" s="8">
        <v>388</v>
      </c>
      <c r="F61" s="8">
        <v>272</v>
      </c>
      <c r="G61" s="1">
        <f>VLOOKUP(A:A,[1]TDSheet!$A:$G,7,0)</f>
        <v>0.3</v>
      </c>
      <c r="H61" s="1" t="e">
        <f>VLOOKUP(A:A,[1]TDSheet!$A:$H,8,0)</f>
        <v>#N/A</v>
      </c>
      <c r="I61" s="15">
        <f>VLOOKUP(A:A,[1]TDSheet!$A:$I,9,0)</f>
        <v>332</v>
      </c>
      <c r="J61" s="15">
        <f>VLOOKUP(A:A,[1]TDSheet!$A:$J,10,0)</f>
        <v>6</v>
      </c>
      <c r="K61" s="15">
        <f>VLOOKUP(A:A,[1]TDSheet!$A:$M,13,0)</f>
        <v>240</v>
      </c>
      <c r="L61" s="15">
        <f>VLOOKUP(A:A,[1]TDSheet!$A:$R,18,0)</f>
        <v>0</v>
      </c>
      <c r="M61" s="15">
        <f>VLOOKUP(A:A,[1]TDSheet!$A:$T,20,0)</f>
        <v>40</v>
      </c>
      <c r="N61" s="15"/>
      <c r="O61" s="15"/>
      <c r="P61" s="15"/>
      <c r="Q61" s="15"/>
      <c r="R61" s="15"/>
      <c r="S61" s="15">
        <f t="shared" si="10"/>
        <v>64.666666666666671</v>
      </c>
      <c r="T61" s="17">
        <v>120</v>
      </c>
      <c r="U61" s="18">
        <f t="shared" si="11"/>
        <v>10.391752577319586</v>
      </c>
      <c r="V61" s="15">
        <f t="shared" si="12"/>
        <v>4.2061855670103085</v>
      </c>
      <c r="W61" s="15">
        <v>120</v>
      </c>
      <c r="X61" s="15"/>
      <c r="Y61" s="15"/>
      <c r="Z61" s="15">
        <f>VLOOKUP(A:A,[1]TDSheet!$A:$AA,27,0)</f>
        <v>65.2</v>
      </c>
      <c r="AA61" s="15">
        <f>VLOOKUP(A:A,[1]TDSheet!$A:$AB,28,0)</f>
        <v>53.2</v>
      </c>
      <c r="AB61" s="15">
        <f>VLOOKUP(A:A,[1]TDSheet!$A:$AC,29,0)</f>
        <v>62</v>
      </c>
      <c r="AC61" s="15">
        <f>VLOOKUP(A:A,[1]TDSheet!$A:$S,19,0)</f>
        <v>67.599999999999994</v>
      </c>
      <c r="AD61" s="15">
        <f>VLOOKUP(A:A,[2]TDSheet!$A:$D,4,0)</f>
        <v>50</v>
      </c>
      <c r="AE61" s="15">
        <f>VLOOKUP(A:A,[1]TDSheet!$A:$AE,31,0)</f>
        <v>0</v>
      </c>
      <c r="AF61" s="15">
        <f>VLOOKUP(A:A,[1]TDSheet!$A:$AF,32,0)</f>
        <v>0</v>
      </c>
      <c r="AG61" s="15">
        <f t="shared" si="13"/>
        <v>36</v>
      </c>
      <c r="AH61" s="15"/>
      <c r="AI61" s="15"/>
      <c r="AJ61" s="15"/>
    </row>
    <row r="62" spans="1:36" s="1" customFormat="1" ht="11.1" customHeight="1" outlineLevel="1" x14ac:dyDescent="0.2">
      <c r="A62" s="7" t="s">
        <v>65</v>
      </c>
      <c r="B62" s="7" t="s">
        <v>9</v>
      </c>
      <c r="C62" s="8">
        <v>4415</v>
      </c>
      <c r="D62" s="8">
        <v>7295</v>
      </c>
      <c r="E62" s="8">
        <v>6558</v>
      </c>
      <c r="F62" s="19">
        <v>6314</v>
      </c>
      <c r="G62" s="1">
        <f>VLOOKUP(A:A,[1]TDSheet!$A:$G,7,0)</f>
        <v>0.41</v>
      </c>
      <c r="H62" s="1" t="e">
        <f>VLOOKUP(A:A,[1]TDSheet!$A:$H,8,0)</f>
        <v>#N/A</v>
      </c>
      <c r="I62" s="15">
        <f>VLOOKUP(A:A,[1]TDSheet!$A:$I,9,0)</f>
        <v>5551</v>
      </c>
      <c r="J62" s="15">
        <f>VLOOKUP(A:A,[1]TDSheet!$A:$J,10,0)</f>
        <v>93</v>
      </c>
      <c r="K62" s="15">
        <f>VLOOKUP(A:A,[1]TDSheet!$A:$M,13,0)</f>
        <v>2000</v>
      </c>
      <c r="L62" s="15">
        <f>VLOOKUP(A:A,[1]TDSheet!$A:$R,18,0)</f>
        <v>1200</v>
      </c>
      <c r="M62" s="15">
        <f>VLOOKUP(A:A,[1]TDSheet!$A:$T,20,0)</f>
        <v>500</v>
      </c>
      <c r="N62" s="15"/>
      <c r="O62" s="15"/>
      <c r="P62" s="15"/>
      <c r="Q62" s="15"/>
      <c r="R62" s="15"/>
      <c r="S62" s="15">
        <f t="shared" si="10"/>
        <v>1093</v>
      </c>
      <c r="T62" s="17">
        <v>2600</v>
      </c>
      <c r="U62" s="18">
        <f t="shared" si="11"/>
        <v>11.540713632204941</v>
      </c>
      <c r="V62" s="15">
        <f t="shared" si="12"/>
        <v>5.7767612076852695</v>
      </c>
      <c r="W62" s="15">
        <v>2600</v>
      </c>
      <c r="X62" s="15"/>
      <c r="Y62" s="15"/>
      <c r="Z62" s="15">
        <f>VLOOKUP(A:A,[1]TDSheet!$A:$AA,27,0)</f>
        <v>1120.4000000000001</v>
      </c>
      <c r="AA62" s="15">
        <f>VLOOKUP(A:A,[1]TDSheet!$A:$AB,28,0)</f>
        <v>1091.4000000000001</v>
      </c>
      <c r="AB62" s="15">
        <f>VLOOKUP(A:A,[1]TDSheet!$A:$AC,29,0)</f>
        <v>1086</v>
      </c>
      <c r="AC62" s="15">
        <f>VLOOKUP(A:A,[1]TDSheet!$A:$S,19,0)</f>
        <v>1128.8</v>
      </c>
      <c r="AD62" s="15">
        <f>VLOOKUP(A:A,[2]TDSheet!$A:$D,4,0)</f>
        <v>914</v>
      </c>
      <c r="AE62" s="15">
        <f>VLOOKUP(A:A,[1]TDSheet!$A:$AE,31,0)</f>
        <v>0</v>
      </c>
      <c r="AF62" s="15">
        <f>VLOOKUP(A:A,[1]TDSheet!$A:$AF,32,0)</f>
        <v>0</v>
      </c>
      <c r="AG62" s="15">
        <f t="shared" si="13"/>
        <v>1066</v>
      </c>
      <c r="AH62" s="15"/>
      <c r="AI62" s="15"/>
      <c r="AJ62" s="15"/>
    </row>
    <row r="63" spans="1:36" s="1" customFormat="1" ht="11.1" customHeight="1" outlineLevel="1" x14ac:dyDescent="0.2">
      <c r="A63" s="7" t="s">
        <v>66</v>
      </c>
      <c r="B63" s="7" t="s">
        <v>8</v>
      </c>
      <c r="C63" s="8">
        <v>1820.7850000000001</v>
      </c>
      <c r="D63" s="8">
        <v>4641.0370000000003</v>
      </c>
      <c r="E63" s="8">
        <v>3511.7690000000002</v>
      </c>
      <c r="F63" s="19">
        <v>3484</v>
      </c>
      <c r="G63" s="1">
        <f>VLOOKUP(A:A,[1]TDSheet!$A:$G,7,0)</f>
        <v>1</v>
      </c>
      <c r="H63" s="1" t="e">
        <f>VLOOKUP(A:A,[1]TDSheet!$A:$H,8,0)</f>
        <v>#N/A</v>
      </c>
      <c r="I63" s="15">
        <f>VLOOKUP(A:A,[1]TDSheet!$A:$I,9,0)</f>
        <v>2686.8</v>
      </c>
      <c r="J63" s="15">
        <f>VLOOKUP(A:A,[1]TDSheet!$A:$J,10,0)</f>
        <v>314.19999999999982</v>
      </c>
      <c r="K63" s="15">
        <f>VLOOKUP(A:A,[1]TDSheet!$A:$M,13,0)</f>
        <v>1150</v>
      </c>
      <c r="L63" s="15">
        <f>VLOOKUP(A:A,[1]TDSheet!$A:$R,18,0)</f>
        <v>500</v>
      </c>
      <c r="M63" s="15">
        <f>VLOOKUP(A:A,[1]TDSheet!$A:$T,20,0)</f>
        <v>200</v>
      </c>
      <c r="N63" s="15"/>
      <c r="O63" s="15"/>
      <c r="P63" s="15"/>
      <c r="Q63" s="15"/>
      <c r="R63" s="15"/>
      <c r="S63" s="15">
        <f t="shared" si="10"/>
        <v>585.29483333333337</v>
      </c>
      <c r="T63" s="17">
        <v>1400</v>
      </c>
      <c r="U63" s="18">
        <f t="shared" si="11"/>
        <v>11.505312564693178</v>
      </c>
      <c r="V63" s="15">
        <f t="shared" si="12"/>
        <v>5.9525555354011042</v>
      </c>
      <c r="W63" s="15">
        <v>1400</v>
      </c>
      <c r="X63" s="15"/>
      <c r="Y63" s="15"/>
      <c r="Z63" s="15">
        <f>VLOOKUP(A:A,[1]TDSheet!$A:$AA,27,0)</f>
        <v>645.20000000000005</v>
      </c>
      <c r="AA63" s="15">
        <f>VLOOKUP(A:A,[1]TDSheet!$A:$AB,28,0)</f>
        <v>621.6</v>
      </c>
      <c r="AB63" s="15">
        <f>VLOOKUP(A:A,[1]TDSheet!$A:$AC,29,0)</f>
        <v>550.4</v>
      </c>
      <c r="AC63" s="15">
        <f>VLOOKUP(A:A,[1]TDSheet!$A:$S,19,0)</f>
        <v>600.20000000000005</v>
      </c>
      <c r="AD63" s="15">
        <f>VLOOKUP(A:A,[2]TDSheet!$A:$D,4,0)</f>
        <v>510.76900000000001</v>
      </c>
      <c r="AE63" s="15">
        <f>VLOOKUP(A:A,[1]TDSheet!$A:$AE,31,0)</f>
        <v>0</v>
      </c>
      <c r="AF63" s="15">
        <f>VLOOKUP(A:A,[1]TDSheet!$A:$AF,32,0)</f>
        <v>0</v>
      </c>
      <c r="AG63" s="15">
        <f t="shared" si="13"/>
        <v>1400</v>
      </c>
      <c r="AH63" s="15"/>
      <c r="AI63" s="15"/>
      <c r="AJ63" s="15"/>
    </row>
    <row r="64" spans="1:36" s="1" customFormat="1" ht="11.1" customHeight="1" outlineLevel="1" x14ac:dyDescent="0.2">
      <c r="A64" s="7" t="s">
        <v>67</v>
      </c>
      <c r="B64" s="7" t="s">
        <v>9</v>
      </c>
      <c r="C64" s="8">
        <v>1517</v>
      </c>
      <c r="D64" s="8">
        <v>1604</v>
      </c>
      <c r="E64" s="8">
        <v>1747</v>
      </c>
      <c r="F64" s="8">
        <v>1568</v>
      </c>
      <c r="G64" s="1">
        <f>VLOOKUP(A:A,[1]TDSheet!$A:$G,7,0)</f>
        <v>0.35</v>
      </c>
      <c r="H64" s="1" t="e">
        <f>VLOOKUP(A:A,[1]TDSheet!$A:$H,8,0)</f>
        <v>#N/A</v>
      </c>
      <c r="I64" s="15">
        <f>VLOOKUP(A:A,[1]TDSheet!$A:$I,9,0)</f>
        <v>1509</v>
      </c>
      <c r="J64" s="15">
        <f>VLOOKUP(A:A,[1]TDSheet!$A:$J,10,0)</f>
        <v>-13</v>
      </c>
      <c r="K64" s="15">
        <f>VLOOKUP(A:A,[1]TDSheet!$A:$M,13,0)</f>
        <v>480</v>
      </c>
      <c r="L64" s="15">
        <f>VLOOKUP(A:A,[1]TDSheet!$A:$R,18,0)</f>
        <v>240</v>
      </c>
      <c r="M64" s="15">
        <f>VLOOKUP(A:A,[1]TDSheet!$A:$T,20,0)</f>
        <v>240</v>
      </c>
      <c r="N64" s="15"/>
      <c r="O64" s="15"/>
      <c r="P64" s="15"/>
      <c r="Q64" s="15"/>
      <c r="R64" s="15"/>
      <c r="S64" s="15">
        <f t="shared" si="10"/>
        <v>291.16666666666669</v>
      </c>
      <c r="T64" s="17">
        <v>480</v>
      </c>
      <c r="U64" s="18">
        <f t="shared" si="11"/>
        <v>10.330852890669719</v>
      </c>
      <c r="V64" s="15">
        <f t="shared" si="12"/>
        <v>5.3852318259874066</v>
      </c>
      <c r="W64" s="15">
        <v>480</v>
      </c>
      <c r="X64" s="15"/>
      <c r="Y64" s="15"/>
      <c r="Z64" s="15">
        <f>VLOOKUP(A:A,[1]TDSheet!$A:$AA,27,0)</f>
        <v>278</v>
      </c>
      <c r="AA64" s="15">
        <f>VLOOKUP(A:A,[1]TDSheet!$A:$AB,28,0)</f>
        <v>293.39999999999998</v>
      </c>
      <c r="AB64" s="15">
        <f>VLOOKUP(A:A,[1]TDSheet!$A:$AC,29,0)</f>
        <v>250.2</v>
      </c>
      <c r="AC64" s="15">
        <f>VLOOKUP(A:A,[1]TDSheet!$A:$S,19,0)</f>
        <v>299.2</v>
      </c>
      <c r="AD64" s="15">
        <f>VLOOKUP(A:A,[2]TDSheet!$A:$D,4,0)</f>
        <v>251</v>
      </c>
      <c r="AE64" s="15">
        <f>VLOOKUP(A:A,[1]TDSheet!$A:$AE,31,0)</f>
        <v>0</v>
      </c>
      <c r="AF64" s="15">
        <f>VLOOKUP(A:A,[1]TDSheet!$A:$AF,32,0)</f>
        <v>0</v>
      </c>
      <c r="AG64" s="15">
        <f t="shared" si="13"/>
        <v>168</v>
      </c>
      <c r="AH64" s="15"/>
      <c r="AI64" s="15"/>
      <c r="AJ64" s="15"/>
    </row>
    <row r="65" spans="1:36" s="1" customFormat="1" ht="11.1" customHeight="1" outlineLevel="1" x14ac:dyDescent="0.2">
      <c r="A65" s="7" t="s">
        <v>68</v>
      </c>
      <c r="B65" s="7" t="s">
        <v>8</v>
      </c>
      <c r="C65" s="8">
        <v>50.552</v>
      </c>
      <c r="D65" s="8">
        <v>83.56</v>
      </c>
      <c r="E65" s="8">
        <v>81.447000000000003</v>
      </c>
      <c r="F65" s="8">
        <v>58.384</v>
      </c>
      <c r="G65" s="1">
        <f>VLOOKUP(A:A,[1]TDSheet!$A:$G,7,0)</f>
        <v>1</v>
      </c>
      <c r="H65" s="1" t="e">
        <f>VLOOKUP(A:A,[1]TDSheet!$A:$H,8,0)</f>
        <v>#N/A</v>
      </c>
      <c r="I65" s="15">
        <f>VLOOKUP(A:A,[1]TDSheet!$A:$I,9,0)</f>
        <v>69.900000000000006</v>
      </c>
      <c r="J65" s="15">
        <f>VLOOKUP(A:A,[1]TDSheet!$A:$J,10,0)</f>
        <v>1.242999999999995</v>
      </c>
      <c r="K65" s="15">
        <f>VLOOKUP(A:A,[1]TDSheet!$A:$M,13,0)</f>
        <v>20</v>
      </c>
      <c r="L65" s="15">
        <f>VLOOKUP(A:A,[1]TDSheet!$A:$R,18,0)</f>
        <v>30</v>
      </c>
      <c r="M65" s="15">
        <f>VLOOKUP(A:A,[1]TDSheet!$A:$T,20,0)</f>
        <v>0</v>
      </c>
      <c r="N65" s="15"/>
      <c r="O65" s="15"/>
      <c r="P65" s="15"/>
      <c r="Q65" s="15"/>
      <c r="R65" s="15"/>
      <c r="S65" s="15">
        <f t="shared" si="10"/>
        <v>13.5745</v>
      </c>
      <c r="T65" s="17">
        <v>30</v>
      </c>
      <c r="U65" s="18">
        <f t="shared" si="11"/>
        <v>10.194408633835501</v>
      </c>
      <c r="V65" s="15">
        <f t="shared" si="12"/>
        <v>4.3010055618991494</v>
      </c>
      <c r="W65" s="15">
        <v>30</v>
      </c>
      <c r="X65" s="15"/>
      <c r="Y65" s="15"/>
      <c r="Z65" s="15">
        <f>VLOOKUP(A:A,[1]TDSheet!$A:$AA,27,0)</f>
        <v>15.341999999999999</v>
      </c>
      <c r="AA65" s="15">
        <f>VLOOKUP(A:A,[1]TDSheet!$A:$AB,28,0)</f>
        <v>13.494800000000001</v>
      </c>
      <c r="AB65" s="15">
        <f>VLOOKUP(A:A,[1]TDSheet!$A:$AC,29,0)</f>
        <v>14.571000000000002</v>
      </c>
      <c r="AC65" s="15">
        <f>VLOOKUP(A:A,[1]TDSheet!$A:$S,19,0)</f>
        <v>14.2286</v>
      </c>
      <c r="AD65" s="15">
        <f>VLOOKUP(A:A,[2]TDSheet!$A:$D,4,0)</f>
        <v>10.304</v>
      </c>
      <c r="AE65" s="15">
        <f>VLOOKUP(A:A,[1]TDSheet!$A:$AE,31,0)</f>
        <v>0</v>
      </c>
      <c r="AF65" s="15">
        <f>VLOOKUP(A:A,[1]TDSheet!$A:$AF,32,0)</f>
        <v>0</v>
      </c>
      <c r="AG65" s="15">
        <f t="shared" si="13"/>
        <v>30</v>
      </c>
      <c r="AH65" s="15"/>
      <c r="AI65" s="15"/>
      <c r="AJ65" s="15"/>
    </row>
    <row r="66" spans="1:36" s="1" customFormat="1" ht="11.1" customHeight="1" outlineLevel="1" x14ac:dyDescent="0.2">
      <c r="A66" s="7" t="s">
        <v>69</v>
      </c>
      <c r="B66" s="7" t="s">
        <v>9</v>
      </c>
      <c r="C66" s="8">
        <v>804</v>
      </c>
      <c r="D66" s="8">
        <v>398</v>
      </c>
      <c r="E66" s="8">
        <v>1310</v>
      </c>
      <c r="F66" s="19"/>
      <c r="G66" s="1">
        <f>VLOOKUP(A:A,[1]TDSheet!$A:$G,7,0)</f>
        <v>0</v>
      </c>
      <c r="H66" s="1" t="e">
        <f>VLOOKUP(A:A,[1]TDSheet!$A:$H,8,0)</f>
        <v>#N/A</v>
      </c>
      <c r="I66" s="15">
        <f>VLOOKUP(A:A,[1]TDSheet!$A:$I,9,0)</f>
        <v>1271</v>
      </c>
      <c r="J66" s="15">
        <f>VLOOKUP(A:A,[1]TDSheet!$A:$J,10,0)</f>
        <v>-17</v>
      </c>
      <c r="K66" s="15">
        <f>VLOOKUP(A:A,[1]TDSheet!$A:$M,13,0)</f>
        <v>0</v>
      </c>
      <c r="L66" s="15">
        <f>VLOOKUP(A:A,[1]TDSheet!$A:$R,18,0)</f>
        <v>0</v>
      </c>
      <c r="M66" s="15">
        <f>VLOOKUP(A:A,[1]TDSheet!$A:$T,20,0)</f>
        <v>0</v>
      </c>
      <c r="N66" s="15"/>
      <c r="O66" s="15"/>
      <c r="P66" s="15"/>
      <c r="Q66" s="15"/>
      <c r="R66" s="15"/>
      <c r="S66" s="15">
        <f t="shared" si="10"/>
        <v>218.33333333333334</v>
      </c>
      <c r="T66" s="17"/>
      <c r="U66" s="18">
        <f t="shared" si="11"/>
        <v>0</v>
      </c>
      <c r="V66" s="15">
        <f t="shared" si="12"/>
        <v>0</v>
      </c>
      <c r="W66" s="15"/>
      <c r="X66" s="15"/>
      <c r="Y66" s="15"/>
      <c r="Z66" s="15">
        <f>VLOOKUP(A:A,[1]TDSheet!$A:$AA,27,0)</f>
        <v>330</v>
      </c>
      <c r="AA66" s="15">
        <f>VLOOKUP(A:A,[1]TDSheet!$A:$AB,28,0)</f>
        <v>347.4</v>
      </c>
      <c r="AB66" s="15">
        <f>VLOOKUP(A:A,[1]TDSheet!$A:$AC,29,0)</f>
        <v>361.2</v>
      </c>
      <c r="AC66" s="15">
        <f>VLOOKUP(A:A,[1]TDSheet!$A:$S,19,0)</f>
        <v>250.8</v>
      </c>
      <c r="AD66" s="15">
        <f>VLOOKUP(A:A,[2]TDSheet!$A:$D,4,0)</f>
        <v>56</v>
      </c>
      <c r="AE66" s="15">
        <f>VLOOKUP(A:A,[1]TDSheet!$A:$AE,31,0)</f>
        <v>0</v>
      </c>
      <c r="AF66" s="15">
        <f>VLOOKUP(A:A,[1]TDSheet!$A:$AF,32,0)</f>
        <v>0</v>
      </c>
      <c r="AG66" s="15">
        <f t="shared" si="13"/>
        <v>0</v>
      </c>
      <c r="AH66" s="15"/>
      <c r="AI66" s="15"/>
      <c r="AJ66" s="15"/>
    </row>
    <row r="67" spans="1:36" s="1" customFormat="1" ht="11.1" customHeight="1" outlineLevel="1" x14ac:dyDescent="0.2">
      <c r="A67" s="7" t="s">
        <v>70</v>
      </c>
      <c r="B67" s="7" t="s">
        <v>9</v>
      </c>
      <c r="C67" s="8">
        <v>2448</v>
      </c>
      <c r="D67" s="8">
        <v>3913</v>
      </c>
      <c r="E67" s="8">
        <v>3386</v>
      </c>
      <c r="F67" s="8">
        <v>3358</v>
      </c>
      <c r="G67" s="1">
        <f>VLOOKUP(A:A,[1]TDSheet!$A:$G,7,0)</f>
        <v>0.41</v>
      </c>
      <c r="H67" s="1" t="e">
        <f>VLOOKUP(A:A,[1]TDSheet!$A:$H,8,0)</f>
        <v>#N/A</v>
      </c>
      <c r="I67" s="15">
        <f>VLOOKUP(A:A,[1]TDSheet!$A:$I,9,0)</f>
        <v>2955</v>
      </c>
      <c r="J67" s="15">
        <f>VLOOKUP(A:A,[1]TDSheet!$A:$J,10,0)</f>
        <v>-46</v>
      </c>
      <c r="K67" s="15">
        <f>VLOOKUP(A:A,[1]TDSheet!$A:$M,13,0)</f>
        <v>800</v>
      </c>
      <c r="L67" s="15">
        <f>VLOOKUP(A:A,[1]TDSheet!$A:$R,18,0)</f>
        <v>500</v>
      </c>
      <c r="M67" s="15">
        <f>VLOOKUP(A:A,[1]TDSheet!$A:$T,20,0)</f>
        <v>400</v>
      </c>
      <c r="N67" s="15"/>
      <c r="O67" s="15"/>
      <c r="P67" s="15"/>
      <c r="Q67" s="15"/>
      <c r="R67" s="15"/>
      <c r="S67" s="15">
        <f t="shared" si="10"/>
        <v>564.33333333333337</v>
      </c>
      <c r="T67" s="17">
        <v>1400</v>
      </c>
      <c r="U67" s="18">
        <f t="shared" si="11"/>
        <v>11.443591258121677</v>
      </c>
      <c r="V67" s="15">
        <f t="shared" si="12"/>
        <v>5.9503839338452451</v>
      </c>
      <c r="W67" s="15">
        <v>1400</v>
      </c>
      <c r="X67" s="15"/>
      <c r="Y67" s="15"/>
      <c r="Z67" s="15">
        <f>VLOOKUP(A:A,[1]TDSheet!$A:$AA,27,0)</f>
        <v>659.8</v>
      </c>
      <c r="AA67" s="15">
        <f>VLOOKUP(A:A,[1]TDSheet!$A:$AB,28,0)</f>
        <v>565.6</v>
      </c>
      <c r="AB67" s="15">
        <f>VLOOKUP(A:A,[1]TDSheet!$A:$AC,29,0)</f>
        <v>559.20000000000005</v>
      </c>
      <c r="AC67" s="15">
        <f>VLOOKUP(A:A,[1]TDSheet!$A:$S,19,0)</f>
        <v>581.79999999999995</v>
      </c>
      <c r="AD67" s="15">
        <f>VLOOKUP(A:A,[2]TDSheet!$A:$D,4,0)</f>
        <v>477</v>
      </c>
      <c r="AE67" s="15">
        <f>VLOOKUP(A:A,[1]TDSheet!$A:$AE,31,0)</f>
        <v>0</v>
      </c>
      <c r="AF67" s="15">
        <f>VLOOKUP(A:A,[1]TDSheet!$A:$AF,32,0)</f>
        <v>0</v>
      </c>
      <c r="AG67" s="15">
        <f t="shared" si="13"/>
        <v>574</v>
      </c>
      <c r="AH67" s="15"/>
      <c r="AI67" s="15"/>
      <c r="AJ67" s="15"/>
    </row>
    <row r="68" spans="1:36" s="1" customFormat="1" ht="11.1" customHeight="1" outlineLevel="1" x14ac:dyDescent="0.2">
      <c r="A68" s="7" t="s">
        <v>71</v>
      </c>
      <c r="B68" s="7" t="s">
        <v>8</v>
      </c>
      <c r="C68" s="8">
        <v>135.32599999999999</v>
      </c>
      <c r="D68" s="8">
        <v>161.66300000000001</v>
      </c>
      <c r="E68" s="8">
        <v>150.286</v>
      </c>
      <c r="F68" s="8">
        <v>163.92400000000001</v>
      </c>
      <c r="G68" s="1">
        <f>VLOOKUP(A:A,[1]TDSheet!$A:$G,7,0)</f>
        <v>1</v>
      </c>
      <c r="H68" s="1" t="e">
        <f>VLOOKUP(A:A,[1]TDSheet!$A:$H,8,0)</f>
        <v>#N/A</v>
      </c>
      <c r="I68" s="15">
        <f>VLOOKUP(A:A,[1]TDSheet!$A:$I,9,0)</f>
        <v>122.8</v>
      </c>
      <c r="J68" s="15">
        <f>VLOOKUP(A:A,[1]TDSheet!$A:$J,10,0)</f>
        <v>4.5240000000000009</v>
      </c>
      <c r="K68" s="15">
        <f>VLOOKUP(A:A,[1]TDSheet!$A:$M,13,0)</f>
        <v>0</v>
      </c>
      <c r="L68" s="15">
        <f>VLOOKUP(A:A,[1]TDSheet!$A:$R,18,0)</f>
        <v>30</v>
      </c>
      <c r="M68" s="15">
        <f>VLOOKUP(A:A,[1]TDSheet!$A:$T,20,0)</f>
        <v>20</v>
      </c>
      <c r="N68" s="15"/>
      <c r="O68" s="15"/>
      <c r="P68" s="15"/>
      <c r="Q68" s="15"/>
      <c r="R68" s="15"/>
      <c r="S68" s="15">
        <f t="shared" si="10"/>
        <v>25.047666666666668</v>
      </c>
      <c r="T68" s="17">
        <v>40</v>
      </c>
      <c r="U68" s="18">
        <f t="shared" si="11"/>
        <v>10.137630917051489</v>
      </c>
      <c r="V68" s="15">
        <f t="shared" si="12"/>
        <v>6.5444818545972341</v>
      </c>
      <c r="W68" s="15">
        <v>40</v>
      </c>
      <c r="X68" s="15"/>
      <c r="Y68" s="15"/>
      <c r="Z68" s="15">
        <f>VLOOKUP(A:A,[1]TDSheet!$A:$AA,27,0)</f>
        <v>25.4374</v>
      </c>
      <c r="AA68" s="15">
        <f>VLOOKUP(A:A,[1]TDSheet!$A:$AB,28,0)</f>
        <v>29.430599999999998</v>
      </c>
      <c r="AB68" s="15">
        <f>VLOOKUP(A:A,[1]TDSheet!$A:$AC,29,0)</f>
        <v>29.844799999999999</v>
      </c>
      <c r="AC68" s="15">
        <f>VLOOKUP(A:A,[1]TDSheet!$A:$S,19,0)</f>
        <v>25.4648</v>
      </c>
      <c r="AD68" s="15">
        <f>VLOOKUP(A:A,[2]TDSheet!$A:$D,4,0)</f>
        <v>22.962</v>
      </c>
      <c r="AE68" s="15">
        <f>VLOOKUP(A:A,[1]TDSheet!$A:$AE,31,0)</f>
        <v>0</v>
      </c>
      <c r="AF68" s="15">
        <f>VLOOKUP(A:A,[1]TDSheet!$A:$AF,32,0)</f>
        <v>0</v>
      </c>
      <c r="AG68" s="15">
        <f t="shared" si="13"/>
        <v>40</v>
      </c>
      <c r="AH68" s="15"/>
      <c r="AI68" s="15"/>
      <c r="AJ68" s="15"/>
    </row>
    <row r="69" spans="1:36" s="1" customFormat="1" ht="11.1" customHeight="1" outlineLevel="1" x14ac:dyDescent="0.2">
      <c r="A69" s="7" t="s">
        <v>72</v>
      </c>
      <c r="B69" s="7" t="s">
        <v>9</v>
      </c>
      <c r="C69" s="8">
        <v>66</v>
      </c>
      <c r="D69" s="8">
        <v>636</v>
      </c>
      <c r="E69" s="8">
        <v>282</v>
      </c>
      <c r="F69" s="8">
        <v>421</v>
      </c>
      <c r="G69" s="1">
        <f>VLOOKUP(A:A,[1]TDSheet!$A:$G,7,0)</f>
        <v>0.3</v>
      </c>
      <c r="H69" s="1">
        <f>VLOOKUP(A:A,[1]TDSheet!$A:$H,8,0)</f>
        <v>50</v>
      </c>
      <c r="I69" s="15">
        <f>VLOOKUP(A:A,[1]TDSheet!$A:$I,9,0)</f>
        <v>231</v>
      </c>
      <c r="J69" s="15">
        <f>VLOOKUP(A:A,[1]TDSheet!$A:$J,10,0)</f>
        <v>8</v>
      </c>
      <c r="K69" s="15">
        <f>VLOOKUP(A:A,[1]TDSheet!$A:$M,13,0)</f>
        <v>40</v>
      </c>
      <c r="L69" s="15">
        <f>VLOOKUP(A:A,[1]TDSheet!$A:$R,18,0)</f>
        <v>0</v>
      </c>
      <c r="M69" s="15">
        <f>VLOOKUP(A:A,[1]TDSheet!$A:$T,20,0)</f>
        <v>40</v>
      </c>
      <c r="N69" s="15"/>
      <c r="O69" s="15"/>
      <c r="P69" s="15"/>
      <c r="Q69" s="15"/>
      <c r="R69" s="15"/>
      <c r="S69" s="15">
        <f t="shared" si="10"/>
        <v>47</v>
      </c>
      <c r="T69" s="17">
        <v>80</v>
      </c>
      <c r="U69" s="18">
        <f t="shared" si="11"/>
        <v>12.361702127659575</v>
      </c>
      <c r="V69" s="15">
        <f t="shared" si="12"/>
        <v>8.9574468085106389</v>
      </c>
      <c r="W69" s="15">
        <v>80</v>
      </c>
      <c r="X69" s="15"/>
      <c r="Y69" s="15"/>
      <c r="Z69" s="15">
        <f>VLOOKUP(A:A,[1]TDSheet!$A:$AA,27,0)</f>
        <v>49</v>
      </c>
      <c r="AA69" s="15">
        <f>VLOOKUP(A:A,[1]TDSheet!$A:$AB,28,0)</f>
        <v>43.4</v>
      </c>
      <c r="AB69" s="15">
        <f>VLOOKUP(A:A,[1]TDSheet!$A:$AC,29,0)</f>
        <v>67.8</v>
      </c>
      <c r="AC69" s="15">
        <f>VLOOKUP(A:A,[1]TDSheet!$A:$S,19,0)</f>
        <v>47.8</v>
      </c>
      <c r="AD69" s="15">
        <f>VLOOKUP(A:A,[2]TDSheet!$A:$D,4,0)</f>
        <v>43</v>
      </c>
      <c r="AE69" s="15">
        <f>VLOOKUP(A:A,[1]TDSheet!$A:$AE,31,0)</f>
        <v>0</v>
      </c>
      <c r="AF69" s="15">
        <f>VLOOKUP(A:A,[1]TDSheet!$A:$AF,32,0)</f>
        <v>0</v>
      </c>
      <c r="AG69" s="15">
        <f t="shared" si="13"/>
        <v>24</v>
      </c>
      <c r="AH69" s="15"/>
      <c r="AI69" s="15"/>
      <c r="AJ69" s="15"/>
    </row>
    <row r="70" spans="1:36" s="1" customFormat="1" ht="11.1" customHeight="1" outlineLevel="1" x14ac:dyDescent="0.2">
      <c r="A70" s="7" t="s">
        <v>73</v>
      </c>
      <c r="B70" s="7" t="s">
        <v>9</v>
      </c>
      <c r="C70" s="8">
        <v>269</v>
      </c>
      <c r="D70" s="8">
        <v>1126</v>
      </c>
      <c r="E70" s="8">
        <v>751</v>
      </c>
      <c r="F70" s="8">
        <v>700</v>
      </c>
      <c r="G70" s="1">
        <f>VLOOKUP(A:A,[1]TDSheet!$A:$G,7,0)</f>
        <v>0.3</v>
      </c>
      <c r="H70" s="1" t="e">
        <f>VLOOKUP(A:A,[1]TDSheet!$A:$H,8,0)</f>
        <v>#N/A</v>
      </c>
      <c r="I70" s="15">
        <f>VLOOKUP(A:A,[1]TDSheet!$A:$I,9,0)</f>
        <v>668</v>
      </c>
      <c r="J70" s="15">
        <f>VLOOKUP(A:A,[1]TDSheet!$A:$J,10,0)</f>
        <v>-8</v>
      </c>
      <c r="K70" s="15">
        <f>VLOOKUP(A:A,[1]TDSheet!$A:$M,13,0)</f>
        <v>240</v>
      </c>
      <c r="L70" s="15">
        <f>VLOOKUP(A:A,[1]TDSheet!$A:$R,18,0)</f>
        <v>360</v>
      </c>
      <c r="M70" s="15">
        <f>VLOOKUP(A:A,[1]TDSheet!$A:$T,20,0)</f>
        <v>240</v>
      </c>
      <c r="N70" s="15"/>
      <c r="O70" s="15"/>
      <c r="P70" s="15"/>
      <c r="Q70" s="15"/>
      <c r="R70" s="15"/>
      <c r="S70" s="15">
        <f t="shared" si="10"/>
        <v>125.16666666666667</v>
      </c>
      <c r="T70" s="17">
        <v>120</v>
      </c>
      <c r="U70" s="18">
        <f t="shared" si="11"/>
        <v>13.262316910785618</v>
      </c>
      <c r="V70" s="15">
        <f t="shared" si="12"/>
        <v>5.5925432756324902</v>
      </c>
      <c r="W70" s="15">
        <v>120</v>
      </c>
      <c r="X70" s="15"/>
      <c r="Y70" s="15"/>
      <c r="Z70" s="15">
        <f>VLOOKUP(A:A,[1]TDSheet!$A:$AA,27,0)</f>
        <v>98.2</v>
      </c>
      <c r="AA70" s="15">
        <f>VLOOKUP(A:A,[1]TDSheet!$A:$AB,28,0)</f>
        <v>92.6</v>
      </c>
      <c r="AB70" s="15">
        <f>VLOOKUP(A:A,[1]TDSheet!$A:$AC,29,0)</f>
        <v>111.6</v>
      </c>
      <c r="AC70" s="15">
        <f>VLOOKUP(A:A,[1]TDSheet!$A:$S,19,0)</f>
        <v>132</v>
      </c>
      <c r="AD70" s="15">
        <f>VLOOKUP(A:A,[2]TDSheet!$A:$D,4,0)</f>
        <v>91</v>
      </c>
      <c r="AE70" s="15">
        <f>VLOOKUP(A:A,[1]TDSheet!$A:$AE,31,0)</f>
        <v>0</v>
      </c>
      <c r="AF70" s="15">
        <f>VLOOKUP(A:A,[1]TDSheet!$A:$AF,32,0)</f>
        <v>0</v>
      </c>
      <c r="AG70" s="15">
        <f t="shared" si="13"/>
        <v>36</v>
      </c>
      <c r="AH70" s="15"/>
      <c r="AI70" s="15"/>
      <c r="AJ70" s="15"/>
    </row>
    <row r="71" spans="1:36" s="1" customFormat="1" ht="11.1" customHeight="1" outlineLevel="1" x14ac:dyDescent="0.2">
      <c r="A71" s="7" t="s">
        <v>74</v>
      </c>
      <c r="B71" s="7" t="s">
        <v>9</v>
      </c>
      <c r="C71" s="8">
        <v>863</v>
      </c>
      <c r="D71" s="8">
        <v>1002</v>
      </c>
      <c r="E71" s="8">
        <v>1051</v>
      </c>
      <c r="F71" s="8">
        <v>870</v>
      </c>
      <c r="G71" s="1">
        <f>VLOOKUP(A:A,[1]TDSheet!$A:$G,7,0)</f>
        <v>0.14000000000000001</v>
      </c>
      <c r="H71" s="1" t="e">
        <f>VLOOKUP(A:A,[1]TDSheet!$A:$H,8,0)</f>
        <v>#N/A</v>
      </c>
      <c r="I71" s="15">
        <f>VLOOKUP(A:A,[1]TDSheet!$A:$I,9,0)</f>
        <v>880</v>
      </c>
      <c r="J71" s="15">
        <f>VLOOKUP(A:A,[1]TDSheet!$A:$J,10,0)</f>
        <v>-28</v>
      </c>
      <c r="K71" s="15">
        <f>VLOOKUP(A:A,[1]TDSheet!$A:$M,13,0)</f>
        <v>240</v>
      </c>
      <c r="L71" s="15">
        <f>VLOOKUP(A:A,[1]TDSheet!$A:$R,18,0)</f>
        <v>480</v>
      </c>
      <c r="M71" s="15">
        <f>VLOOKUP(A:A,[1]TDSheet!$A:$T,20,0)</f>
        <v>360</v>
      </c>
      <c r="N71" s="15"/>
      <c r="O71" s="15"/>
      <c r="P71" s="15"/>
      <c r="Q71" s="15"/>
      <c r="R71" s="15"/>
      <c r="S71" s="15">
        <f t="shared" si="10"/>
        <v>175.16666666666666</v>
      </c>
      <c r="T71" s="17">
        <v>360</v>
      </c>
      <c r="U71" s="18">
        <f t="shared" si="11"/>
        <v>13.187440532825882</v>
      </c>
      <c r="V71" s="15">
        <f t="shared" si="12"/>
        <v>4.9666983824928641</v>
      </c>
      <c r="W71" s="15">
        <v>360</v>
      </c>
      <c r="X71" s="15"/>
      <c r="Y71" s="15"/>
      <c r="Z71" s="15">
        <f>VLOOKUP(A:A,[1]TDSheet!$A:$AA,27,0)</f>
        <v>149.6</v>
      </c>
      <c r="AA71" s="15">
        <f>VLOOKUP(A:A,[1]TDSheet!$A:$AB,28,0)</f>
        <v>184</v>
      </c>
      <c r="AB71" s="15">
        <f>VLOOKUP(A:A,[1]TDSheet!$A:$AC,29,0)</f>
        <v>181.4</v>
      </c>
      <c r="AC71" s="15">
        <f>VLOOKUP(A:A,[1]TDSheet!$A:$S,19,0)</f>
        <v>170.4</v>
      </c>
      <c r="AD71" s="15">
        <f>VLOOKUP(A:A,[2]TDSheet!$A:$D,4,0)</f>
        <v>199</v>
      </c>
      <c r="AE71" s="15">
        <f>VLOOKUP(A:A,[1]TDSheet!$A:$AE,31,0)</f>
        <v>0</v>
      </c>
      <c r="AF71" s="15">
        <f>VLOOKUP(A:A,[1]TDSheet!$A:$AF,32,0)</f>
        <v>0</v>
      </c>
      <c r="AG71" s="15">
        <f t="shared" si="13"/>
        <v>50.400000000000006</v>
      </c>
      <c r="AH71" s="15"/>
      <c r="AI71" s="15"/>
      <c r="AJ71" s="15"/>
    </row>
    <row r="72" spans="1:36" s="1" customFormat="1" ht="11.1" customHeight="1" outlineLevel="1" x14ac:dyDescent="0.2">
      <c r="A72" s="7" t="s">
        <v>75</v>
      </c>
      <c r="B72" s="7" t="s">
        <v>9</v>
      </c>
      <c r="C72" s="8">
        <v>107</v>
      </c>
      <c r="D72" s="8">
        <v>201</v>
      </c>
      <c r="E72" s="8">
        <v>106</v>
      </c>
      <c r="F72" s="8">
        <v>206</v>
      </c>
      <c r="G72" s="1">
        <f>VLOOKUP(A:A,[1]TDSheet!$A:$G,7,0)</f>
        <v>0.22</v>
      </c>
      <c r="H72" s="1">
        <f>VLOOKUP(A:A,[1]TDSheet!$A:$H,8,0)</f>
        <v>60</v>
      </c>
      <c r="I72" s="15">
        <f>VLOOKUP(A:A,[1]TDSheet!$A:$I,9,0)</f>
        <v>95</v>
      </c>
      <c r="J72" s="15">
        <f>VLOOKUP(A:A,[1]TDSheet!$A:$J,10,0)</f>
        <v>6</v>
      </c>
      <c r="K72" s="15">
        <f>VLOOKUP(A:A,[1]TDSheet!$A:$M,13,0)</f>
        <v>40</v>
      </c>
      <c r="L72" s="15">
        <f>VLOOKUP(A:A,[1]TDSheet!$A:$R,18,0)</f>
        <v>120</v>
      </c>
      <c r="M72" s="15">
        <f>VLOOKUP(A:A,[1]TDSheet!$A:$T,20,0)</f>
        <v>0</v>
      </c>
      <c r="N72" s="15"/>
      <c r="O72" s="15"/>
      <c r="P72" s="15"/>
      <c r="Q72" s="15"/>
      <c r="R72" s="15"/>
      <c r="S72" s="15">
        <f t="shared" ref="S72:S101" si="14">E72/6</f>
        <v>17.666666666666668</v>
      </c>
      <c r="T72" s="17"/>
      <c r="U72" s="18">
        <f t="shared" ref="U72:U101" si="15">(F72+K72+L72+M72+T72)/S72</f>
        <v>20.716981132075471</v>
      </c>
      <c r="V72" s="15">
        <f t="shared" ref="V72:V101" si="16">F72/S72</f>
        <v>11.660377358490566</v>
      </c>
      <c r="W72" s="15"/>
      <c r="X72" s="15"/>
      <c r="Y72" s="15"/>
      <c r="Z72" s="15">
        <f>VLOOKUP(A:A,[1]TDSheet!$A:$AA,27,0)</f>
        <v>3.4</v>
      </c>
      <c r="AA72" s="15">
        <f>VLOOKUP(A:A,[1]TDSheet!$A:$AB,28,0)</f>
        <v>10</v>
      </c>
      <c r="AB72" s="15">
        <f>VLOOKUP(A:A,[1]TDSheet!$A:$AC,29,0)</f>
        <v>9</v>
      </c>
      <c r="AC72" s="15">
        <f>VLOOKUP(A:A,[1]TDSheet!$A:$S,19,0)</f>
        <v>20.2</v>
      </c>
      <c r="AD72" s="15">
        <f>VLOOKUP(A:A,[2]TDSheet!$A:$D,4,0)</f>
        <v>5</v>
      </c>
      <c r="AE72" s="15" t="e">
        <f>VLOOKUP(A:A,[1]TDSheet!$A:$AE,31,0)</f>
        <v>#N/A</v>
      </c>
      <c r="AF72" s="15" t="str">
        <f>VLOOKUP(A:A,[1]TDSheet!$A:$AF,32,0)</f>
        <v>увел</v>
      </c>
      <c r="AG72" s="15">
        <f t="shared" ref="AG72:AG101" si="17">T72*G72</f>
        <v>0</v>
      </c>
      <c r="AH72" s="15"/>
      <c r="AI72" s="15"/>
      <c r="AJ72" s="15"/>
    </row>
    <row r="73" spans="1:36" s="1" customFormat="1" ht="11.1" customHeight="1" outlineLevel="1" x14ac:dyDescent="0.2">
      <c r="A73" s="7" t="s">
        <v>76</v>
      </c>
      <c r="B73" s="7" t="s">
        <v>9</v>
      </c>
      <c r="C73" s="8">
        <v>32</v>
      </c>
      <c r="D73" s="8">
        <v>96</v>
      </c>
      <c r="E73" s="8">
        <v>35</v>
      </c>
      <c r="F73" s="8">
        <v>92</v>
      </c>
      <c r="G73" s="1">
        <f>VLOOKUP(A:A,[1]TDSheet!$A:$G,7,0)</f>
        <v>0.84</v>
      </c>
      <c r="H73" s="1">
        <f>VLOOKUP(A:A,[1]TDSheet!$A:$H,8,0)</f>
        <v>50</v>
      </c>
      <c r="I73" s="15">
        <f>VLOOKUP(A:A,[1]TDSheet!$A:$I,9,0)</f>
        <v>37</v>
      </c>
      <c r="J73" s="15">
        <f>VLOOKUP(A:A,[1]TDSheet!$A:$J,10,0)</f>
        <v>-3</v>
      </c>
      <c r="K73" s="15">
        <f>VLOOKUP(A:A,[1]TDSheet!$A:$M,13,0)</f>
        <v>0</v>
      </c>
      <c r="L73" s="15">
        <f>VLOOKUP(A:A,[1]TDSheet!$A:$R,18,0)</f>
        <v>0</v>
      </c>
      <c r="M73" s="15">
        <f>VLOOKUP(A:A,[1]TDSheet!$A:$T,20,0)</f>
        <v>0</v>
      </c>
      <c r="N73" s="15"/>
      <c r="O73" s="15"/>
      <c r="P73" s="15"/>
      <c r="Q73" s="15"/>
      <c r="R73" s="15"/>
      <c r="S73" s="15">
        <f t="shared" si="14"/>
        <v>5.833333333333333</v>
      </c>
      <c r="T73" s="17"/>
      <c r="U73" s="18">
        <f t="shared" si="15"/>
        <v>15.771428571428572</v>
      </c>
      <c r="V73" s="15">
        <f t="shared" si="16"/>
        <v>15.771428571428572</v>
      </c>
      <c r="W73" s="15"/>
      <c r="X73" s="15"/>
      <c r="Y73" s="15"/>
      <c r="Z73" s="15">
        <f>VLOOKUP(A:A,[1]TDSheet!$A:$AA,27,0)</f>
        <v>2</v>
      </c>
      <c r="AA73" s="15">
        <f>VLOOKUP(A:A,[1]TDSheet!$A:$AB,28,0)</f>
        <v>9</v>
      </c>
      <c r="AB73" s="15">
        <f>VLOOKUP(A:A,[1]TDSheet!$A:$AC,29,0)</f>
        <v>12</v>
      </c>
      <c r="AC73" s="15">
        <f>VLOOKUP(A:A,[1]TDSheet!$A:$S,19,0)</f>
        <v>6.8</v>
      </c>
      <c r="AD73" s="15">
        <f>VLOOKUP(A:A,[2]TDSheet!$A:$D,4,0)</f>
        <v>1</v>
      </c>
      <c r="AE73" s="21" t="str">
        <f>VLOOKUP(A:A,[1]TDSheet!$A:$AE,31,0)</f>
        <v>увел</v>
      </c>
      <c r="AF73" s="15">
        <f>VLOOKUP(A:A,[1]TDSheet!$A:$AF,32,0)</f>
        <v>0</v>
      </c>
      <c r="AG73" s="15">
        <f t="shared" si="17"/>
        <v>0</v>
      </c>
      <c r="AH73" s="15"/>
      <c r="AI73" s="15"/>
      <c r="AJ73" s="15"/>
    </row>
    <row r="74" spans="1:36" s="1" customFormat="1" ht="11.1" customHeight="1" outlineLevel="1" x14ac:dyDescent="0.2">
      <c r="A74" s="7" t="s">
        <v>77</v>
      </c>
      <c r="B74" s="7" t="s">
        <v>9</v>
      </c>
      <c r="C74" s="8">
        <v>1708</v>
      </c>
      <c r="D74" s="8">
        <v>4071</v>
      </c>
      <c r="E74" s="8">
        <v>3078</v>
      </c>
      <c r="F74" s="8">
        <v>2980</v>
      </c>
      <c r="G74" s="1">
        <f>VLOOKUP(A:A,[1]TDSheet!$A:$G,7,0)</f>
        <v>0.35</v>
      </c>
      <c r="H74" s="1" t="e">
        <f>VLOOKUP(A:A,[1]TDSheet!$A:$H,8,0)</f>
        <v>#N/A</v>
      </c>
      <c r="I74" s="15">
        <f>VLOOKUP(A:A,[1]TDSheet!$A:$I,9,0)</f>
        <v>2671</v>
      </c>
      <c r="J74" s="15">
        <f>VLOOKUP(A:A,[1]TDSheet!$A:$J,10,0)</f>
        <v>-31</v>
      </c>
      <c r="K74" s="15">
        <f>VLOOKUP(A:A,[1]TDSheet!$A:$M,13,0)</f>
        <v>1200</v>
      </c>
      <c r="L74" s="15">
        <f>VLOOKUP(A:A,[1]TDSheet!$A:$R,18,0)</f>
        <v>1200</v>
      </c>
      <c r="M74" s="15">
        <f>VLOOKUP(A:A,[1]TDSheet!$A:$T,20,0)</f>
        <v>1000</v>
      </c>
      <c r="N74" s="15"/>
      <c r="O74" s="15"/>
      <c r="P74" s="15"/>
      <c r="Q74" s="15"/>
      <c r="R74" s="15"/>
      <c r="S74" s="15">
        <f t="shared" si="14"/>
        <v>513</v>
      </c>
      <c r="T74" s="17">
        <v>1000</v>
      </c>
      <c r="U74" s="18">
        <f t="shared" si="15"/>
        <v>14.385964912280702</v>
      </c>
      <c r="V74" s="15">
        <f t="shared" si="16"/>
        <v>5.8089668615984404</v>
      </c>
      <c r="W74" s="15">
        <v>1000</v>
      </c>
      <c r="X74" s="15"/>
      <c r="Y74" s="15"/>
      <c r="Z74" s="15">
        <f>VLOOKUP(A:A,[1]TDSheet!$A:$AA,27,0)</f>
        <v>477.4</v>
      </c>
      <c r="AA74" s="15">
        <f>VLOOKUP(A:A,[1]TDSheet!$A:$AB,28,0)</f>
        <v>455.6</v>
      </c>
      <c r="AB74" s="15">
        <f>VLOOKUP(A:A,[1]TDSheet!$A:$AC,29,0)</f>
        <v>496.6</v>
      </c>
      <c r="AC74" s="15">
        <f>VLOOKUP(A:A,[1]TDSheet!$A:$S,19,0)</f>
        <v>528</v>
      </c>
      <c r="AD74" s="15">
        <f>VLOOKUP(A:A,[2]TDSheet!$A:$D,4,0)</f>
        <v>438</v>
      </c>
      <c r="AE74" s="15">
        <f>VLOOKUP(A:A,[1]TDSheet!$A:$AE,31,0)</f>
        <v>0</v>
      </c>
      <c r="AF74" s="15">
        <f>VLOOKUP(A:A,[1]TDSheet!$A:$AF,32,0)</f>
        <v>0</v>
      </c>
      <c r="AG74" s="15">
        <f t="shared" si="17"/>
        <v>350</v>
      </c>
      <c r="AH74" s="15"/>
      <c r="AI74" s="15"/>
      <c r="AJ74" s="15"/>
    </row>
    <row r="75" spans="1:36" s="1" customFormat="1" ht="11.1" customHeight="1" outlineLevel="1" x14ac:dyDescent="0.2">
      <c r="A75" s="7" t="s">
        <v>78</v>
      </c>
      <c r="B75" s="7" t="s">
        <v>8</v>
      </c>
      <c r="C75" s="8">
        <v>256.899</v>
      </c>
      <c r="D75" s="8">
        <v>269.089</v>
      </c>
      <c r="E75" s="8">
        <v>269.42200000000003</v>
      </c>
      <c r="F75" s="8">
        <v>285.03699999999998</v>
      </c>
      <c r="G75" s="1">
        <f>VLOOKUP(A:A,[1]TDSheet!$A:$G,7,0)</f>
        <v>1</v>
      </c>
      <c r="H75" s="1" t="e">
        <f>VLOOKUP(A:A,[1]TDSheet!$A:$H,8,0)</f>
        <v>#N/A</v>
      </c>
      <c r="I75" s="15">
        <f>VLOOKUP(A:A,[1]TDSheet!$A:$I,9,0)</f>
        <v>232</v>
      </c>
      <c r="J75" s="15">
        <f>VLOOKUP(A:A,[1]TDSheet!$A:$J,10,0)</f>
        <v>5.8100000000000023</v>
      </c>
      <c r="K75" s="15">
        <f>VLOOKUP(A:A,[1]TDSheet!$A:$M,13,0)</f>
        <v>160</v>
      </c>
      <c r="L75" s="15">
        <f>VLOOKUP(A:A,[1]TDSheet!$A:$R,18,0)</f>
        <v>100</v>
      </c>
      <c r="M75" s="15">
        <f>VLOOKUP(A:A,[1]TDSheet!$A:$T,20,0)</f>
        <v>100</v>
      </c>
      <c r="N75" s="15"/>
      <c r="O75" s="15"/>
      <c r="P75" s="15"/>
      <c r="Q75" s="15"/>
      <c r="R75" s="15"/>
      <c r="S75" s="15">
        <f t="shared" si="14"/>
        <v>44.903666666666673</v>
      </c>
      <c r="T75" s="17"/>
      <c r="U75" s="18">
        <f t="shared" si="15"/>
        <v>14.364907097415948</v>
      </c>
      <c r="V75" s="15">
        <f t="shared" si="16"/>
        <v>6.3477444306701001</v>
      </c>
      <c r="W75" s="15"/>
      <c r="X75" s="15"/>
      <c r="Y75" s="15"/>
      <c r="Z75" s="15">
        <f>VLOOKUP(A:A,[1]TDSheet!$A:$AA,27,0)</f>
        <v>28.291599999999999</v>
      </c>
      <c r="AA75" s="15">
        <f>VLOOKUP(A:A,[1]TDSheet!$A:$AB,28,0)</f>
        <v>38.348200000000006</v>
      </c>
      <c r="AB75" s="15">
        <f>VLOOKUP(A:A,[1]TDSheet!$A:$AC,29,0)</f>
        <v>26.951999999999998</v>
      </c>
      <c r="AC75" s="15">
        <f>VLOOKUP(A:A,[1]TDSheet!$A:$S,19,0)</f>
        <v>47.561999999999998</v>
      </c>
      <c r="AD75" s="15">
        <f>VLOOKUP(A:A,[2]TDSheet!$A:$D,4,0)</f>
        <v>31.611999999999998</v>
      </c>
      <c r="AE75" s="15" t="str">
        <f>VLOOKUP(A:A,[1]TDSheet!$A:$AE,31,0)</f>
        <v>Вит</v>
      </c>
      <c r="AF75" s="15" t="str">
        <f>VLOOKUP(A:A,[1]TDSheet!$A:$AF,32,0)</f>
        <v>увел</v>
      </c>
      <c r="AG75" s="15">
        <f t="shared" si="17"/>
        <v>0</v>
      </c>
      <c r="AH75" s="15"/>
      <c r="AI75" s="15"/>
      <c r="AJ75" s="15"/>
    </row>
    <row r="76" spans="1:36" s="1" customFormat="1" ht="11.1" customHeight="1" outlineLevel="1" x14ac:dyDescent="0.2">
      <c r="A76" s="7" t="s">
        <v>79</v>
      </c>
      <c r="B76" s="7" t="s">
        <v>8</v>
      </c>
      <c r="C76" s="8">
        <v>354.07</v>
      </c>
      <c r="D76" s="8">
        <v>603.30999999999995</v>
      </c>
      <c r="E76" s="8">
        <v>551.12400000000002</v>
      </c>
      <c r="F76" s="8">
        <v>450.255</v>
      </c>
      <c r="G76" s="1">
        <f>VLOOKUP(A:A,[1]TDSheet!$A:$G,7,0)</f>
        <v>1</v>
      </c>
      <c r="H76" s="1" t="e">
        <f>VLOOKUP(A:A,[1]TDSheet!$A:$H,8,0)</f>
        <v>#N/A</v>
      </c>
      <c r="I76" s="15">
        <f>VLOOKUP(A:A,[1]TDSheet!$A:$I,9,0)</f>
        <v>512.45000000000005</v>
      </c>
      <c r="J76" s="15">
        <f>VLOOKUP(A:A,[1]TDSheet!$A:$J,10,0)</f>
        <v>-38.944000000000074</v>
      </c>
      <c r="K76" s="15">
        <f>VLOOKUP(A:A,[1]TDSheet!$A:$M,13,0)</f>
        <v>450</v>
      </c>
      <c r="L76" s="15">
        <f>VLOOKUP(A:A,[1]TDSheet!$A:$R,18,0)</f>
        <v>100</v>
      </c>
      <c r="M76" s="15">
        <f>VLOOKUP(A:A,[1]TDSheet!$A:$T,20,0)</f>
        <v>150</v>
      </c>
      <c r="N76" s="15"/>
      <c r="O76" s="15"/>
      <c r="P76" s="15"/>
      <c r="Q76" s="15"/>
      <c r="R76" s="15"/>
      <c r="S76" s="15">
        <f t="shared" si="14"/>
        <v>91.853999999999999</v>
      </c>
      <c r="T76" s="17">
        <v>150</v>
      </c>
      <c r="U76" s="18">
        <f t="shared" si="15"/>
        <v>14.15567095608248</v>
      </c>
      <c r="V76" s="15">
        <f t="shared" si="16"/>
        <v>4.9018551179045007</v>
      </c>
      <c r="W76" s="15">
        <v>150</v>
      </c>
      <c r="X76" s="15"/>
      <c r="Y76" s="15"/>
      <c r="Z76" s="15">
        <f>VLOOKUP(A:A,[1]TDSheet!$A:$AA,27,0)</f>
        <v>76.738599999999991</v>
      </c>
      <c r="AA76" s="15">
        <f>VLOOKUP(A:A,[1]TDSheet!$A:$AB,28,0)</f>
        <v>82.1768</v>
      </c>
      <c r="AB76" s="15">
        <f>VLOOKUP(A:A,[1]TDSheet!$A:$AC,29,0)</f>
        <v>84.122</v>
      </c>
      <c r="AC76" s="15">
        <f>VLOOKUP(A:A,[1]TDSheet!$A:$S,19,0)</f>
        <v>94.7012</v>
      </c>
      <c r="AD76" s="15">
        <f>VLOOKUP(A:A,[2]TDSheet!$A:$D,4,0)</f>
        <v>77.617999999999995</v>
      </c>
      <c r="AE76" s="15">
        <f>VLOOKUP(A:A,[1]TDSheet!$A:$AE,31,0)</f>
        <v>0</v>
      </c>
      <c r="AF76" s="15">
        <f>VLOOKUP(A:A,[1]TDSheet!$A:$AF,32,0)</f>
        <v>0</v>
      </c>
      <c r="AG76" s="15">
        <f t="shared" si="17"/>
        <v>150</v>
      </c>
      <c r="AH76" s="15"/>
      <c r="AI76" s="15"/>
      <c r="AJ76" s="15"/>
    </row>
    <row r="77" spans="1:36" s="1" customFormat="1" ht="11.1" customHeight="1" outlineLevel="1" x14ac:dyDescent="0.2">
      <c r="A77" s="7" t="s">
        <v>80</v>
      </c>
      <c r="B77" s="7" t="s">
        <v>9</v>
      </c>
      <c r="C77" s="8">
        <v>2802</v>
      </c>
      <c r="D77" s="8">
        <v>5465</v>
      </c>
      <c r="E77" s="8">
        <v>4323</v>
      </c>
      <c r="F77" s="8">
        <v>4244</v>
      </c>
      <c r="G77" s="1">
        <f>VLOOKUP(A:A,[1]TDSheet!$A:$G,7,0)</f>
        <v>0.35</v>
      </c>
      <c r="H77" s="1" t="e">
        <f>VLOOKUP(A:A,[1]TDSheet!$A:$H,8,0)</f>
        <v>#N/A</v>
      </c>
      <c r="I77" s="15">
        <f>VLOOKUP(A:A,[1]TDSheet!$A:$I,9,0)</f>
        <v>3864</v>
      </c>
      <c r="J77" s="15">
        <f>VLOOKUP(A:A,[1]TDSheet!$A:$J,10,0)</f>
        <v>-54</v>
      </c>
      <c r="K77" s="15">
        <f>VLOOKUP(A:A,[1]TDSheet!$A:$M,13,0)</f>
        <v>2000</v>
      </c>
      <c r="L77" s="15">
        <f>VLOOKUP(A:A,[1]TDSheet!$A:$R,18,0)</f>
        <v>1200</v>
      </c>
      <c r="M77" s="15">
        <f>VLOOKUP(A:A,[1]TDSheet!$A:$T,20,0)</f>
        <v>1200</v>
      </c>
      <c r="N77" s="15"/>
      <c r="O77" s="15"/>
      <c r="P77" s="15"/>
      <c r="Q77" s="15"/>
      <c r="R77" s="15"/>
      <c r="S77" s="15">
        <f t="shared" si="14"/>
        <v>720.5</v>
      </c>
      <c r="T77" s="17">
        <v>1600</v>
      </c>
      <c r="U77" s="18">
        <f t="shared" si="15"/>
        <v>14.217904233171408</v>
      </c>
      <c r="V77" s="15">
        <f t="shared" si="16"/>
        <v>5.8903539208882725</v>
      </c>
      <c r="W77" s="15">
        <v>1600</v>
      </c>
      <c r="X77" s="15"/>
      <c r="Y77" s="15"/>
      <c r="Z77" s="15">
        <f>VLOOKUP(A:A,[1]TDSheet!$A:$AA,27,0)</f>
        <v>647.79999999999995</v>
      </c>
      <c r="AA77" s="15">
        <f>VLOOKUP(A:A,[1]TDSheet!$A:$AB,28,0)</f>
        <v>633.20000000000005</v>
      </c>
      <c r="AB77" s="15">
        <f>VLOOKUP(A:A,[1]TDSheet!$A:$AC,29,0)</f>
        <v>618.6</v>
      </c>
      <c r="AC77" s="15">
        <f>VLOOKUP(A:A,[1]TDSheet!$A:$S,19,0)</f>
        <v>762</v>
      </c>
      <c r="AD77" s="15">
        <f>VLOOKUP(A:A,[2]TDSheet!$A:$D,4,0)</f>
        <v>513</v>
      </c>
      <c r="AE77" s="15">
        <f>VLOOKUP(A:A,[1]TDSheet!$A:$AE,31,0)</f>
        <v>0</v>
      </c>
      <c r="AF77" s="15">
        <f>VLOOKUP(A:A,[1]TDSheet!$A:$AF,32,0)</f>
        <v>0</v>
      </c>
      <c r="AG77" s="15">
        <f t="shared" si="17"/>
        <v>560</v>
      </c>
      <c r="AH77" s="15"/>
      <c r="AI77" s="15"/>
      <c r="AJ77" s="15"/>
    </row>
    <row r="78" spans="1:36" s="1" customFormat="1" ht="11.1" customHeight="1" outlineLevel="1" x14ac:dyDescent="0.2">
      <c r="A78" s="7" t="s">
        <v>81</v>
      </c>
      <c r="B78" s="7" t="s">
        <v>9</v>
      </c>
      <c r="C78" s="8">
        <v>550</v>
      </c>
      <c r="D78" s="8">
        <v>1475</v>
      </c>
      <c r="E78" s="8">
        <v>1068</v>
      </c>
      <c r="F78" s="8">
        <v>1083</v>
      </c>
      <c r="G78" s="1">
        <f>VLOOKUP(A:A,[1]TDSheet!$A:$G,7,0)</f>
        <v>0.3</v>
      </c>
      <c r="H78" s="1" t="e">
        <f>VLOOKUP(A:A,[1]TDSheet!$A:$H,8,0)</f>
        <v>#N/A</v>
      </c>
      <c r="I78" s="15">
        <f>VLOOKUP(A:A,[1]TDSheet!$A:$I,9,0)</f>
        <v>918</v>
      </c>
      <c r="J78" s="15">
        <f>VLOOKUP(A:A,[1]TDSheet!$A:$J,10,0)</f>
        <v>-7</v>
      </c>
      <c r="K78" s="15">
        <f>VLOOKUP(A:A,[1]TDSheet!$A:$M,13,0)</f>
        <v>240</v>
      </c>
      <c r="L78" s="15">
        <f>VLOOKUP(A:A,[1]TDSheet!$A:$R,18,0)</f>
        <v>480</v>
      </c>
      <c r="M78" s="15">
        <f>VLOOKUP(A:A,[1]TDSheet!$A:$T,20,0)</f>
        <v>240</v>
      </c>
      <c r="N78" s="15"/>
      <c r="O78" s="15"/>
      <c r="P78" s="15"/>
      <c r="Q78" s="15"/>
      <c r="R78" s="15"/>
      <c r="S78" s="15">
        <f t="shared" si="14"/>
        <v>178</v>
      </c>
      <c r="T78" s="17">
        <v>240</v>
      </c>
      <c r="U78" s="18">
        <f t="shared" si="15"/>
        <v>12.825842696629213</v>
      </c>
      <c r="V78" s="15">
        <f t="shared" si="16"/>
        <v>6.084269662921348</v>
      </c>
      <c r="W78" s="15">
        <v>240</v>
      </c>
      <c r="X78" s="15"/>
      <c r="Y78" s="15"/>
      <c r="Z78" s="15">
        <f>VLOOKUP(A:A,[1]TDSheet!$A:$AA,27,0)</f>
        <v>173.4</v>
      </c>
      <c r="AA78" s="15">
        <f>VLOOKUP(A:A,[1]TDSheet!$A:$AB,28,0)</f>
        <v>158.6</v>
      </c>
      <c r="AB78" s="15">
        <f>VLOOKUP(A:A,[1]TDSheet!$A:$AC,29,0)</f>
        <v>181.4</v>
      </c>
      <c r="AC78" s="15">
        <f>VLOOKUP(A:A,[1]TDSheet!$A:$S,19,0)</f>
        <v>182.2</v>
      </c>
      <c r="AD78" s="15">
        <f>VLOOKUP(A:A,[2]TDSheet!$A:$D,4,0)</f>
        <v>157</v>
      </c>
      <c r="AE78" s="15">
        <f>VLOOKUP(A:A,[1]TDSheet!$A:$AE,31,0)</f>
        <v>0</v>
      </c>
      <c r="AF78" s="15">
        <f>VLOOKUP(A:A,[1]TDSheet!$A:$AF,32,0)</f>
        <v>0</v>
      </c>
      <c r="AG78" s="15">
        <f t="shared" si="17"/>
        <v>72</v>
      </c>
      <c r="AH78" s="15"/>
      <c r="AI78" s="15"/>
      <c r="AJ78" s="15"/>
    </row>
    <row r="79" spans="1:36" s="1" customFormat="1" ht="11.1" customHeight="1" outlineLevel="1" x14ac:dyDescent="0.2">
      <c r="A79" s="23" t="s">
        <v>82</v>
      </c>
      <c r="B79" s="7" t="s">
        <v>9</v>
      </c>
      <c r="C79" s="8">
        <v>391</v>
      </c>
      <c r="D79" s="8"/>
      <c r="E79" s="8">
        <v>129</v>
      </c>
      <c r="F79" s="8">
        <v>274</v>
      </c>
      <c r="G79" s="1">
        <f>VLOOKUP(A:A,[1]TDSheet!$A:$G,7,0)</f>
        <v>0.18</v>
      </c>
      <c r="H79" s="1" t="e">
        <f>VLOOKUP(A:A,[1]TDSheet!$A:$H,8,0)</f>
        <v>#N/A</v>
      </c>
      <c r="I79" s="15">
        <f>VLOOKUP(A:A,[1]TDSheet!$A:$I,9,0)</f>
        <v>97</v>
      </c>
      <c r="J79" s="15">
        <f>VLOOKUP(A:A,[1]TDSheet!$A:$J,10,0)</f>
        <v>0</v>
      </c>
      <c r="K79" s="15">
        <f>VLOOKUP(A:A,[1]TDSheet!$A:$M,13,0)</f>
        <v>0</v>
      </c>
      <c r="L79" s="15">
        <f>VLOOKUP(A:A,[1]TDSheet!$A:$R,18,0)</f>
        <v>0</v>
      </c>
      <c r="M79" s="15">
        <f>VLOOKUP(A:A,[1]TDSheet!$A:$T,20,0)</f>
        <v>0</v>
      </c>
      <c r="N79" s="15"/>
      <c r="O79" s="15"/>
      <c r="P79" s="15"/>
      <c r="Q79" s="15"/>
      <c r="R79" s="15"/>
      <c r="S79" s="15">
        <f t="shared" si="14"/>
        <v>21.5</v>
      </c>
      <c r="T79" s="17"/>
      <c r="U79" s="18">
        <f t="shared" si="15"/>
        <v>12.744186046511627</v>
      </c>
      <c r="V79" s="15">
        <f t="shared" si="16"/>
        <v>12.744186046511627</v>
      </c>
      <c r="W79" s="15"/>
      <c r="X79" s="15"/>
      <c r="Y79" s="15"/>
      <c r="Z79" s="15">
        <f>VLOOKUP(A:A,[1]TDSheet!$A:$AA,27,0)</f>
        <v>5</v>
      </c>
      <c r="AA79" s="15">
        <f>VLOOKUP(A:A,[1]TDSheet!$A:$AB,28,0)</f>
        <v>15.6</v>
      </c>
      <c r="AB79" s="15">
        <f>VLOOKUP(A:A,[1]TDSheet!$A:$AC,29,0)</f>
        <v>15.2</v>
      </c>
      <c r="AC79" s="15">
        <f>VLOOKUP(A:A,[1]TDSheet!$A:$S,19,0)</f>
        <v>19.399999999999999</v>
      </c>
      <c r="AD79" s="15">
        <f>VLOOKUP(A:A,[2]TDSheet!$A:$D,4,0)</f>
        <v>32</v>
      </c>
      <c r="AE79" s="22" t="str">
        <f>VLOOKUP(A:A,[1]TDSheet!$A:$AE,31,0)</f>
        <v>Вит</v>
      </c>
      <c r="AF79" s="15" t="str">
        <f>VLOOKUP(A:A,[1]TDSheet!$A:$AF,32,0)</f>
        <v>увел</v>
      </c>
      <c r="AG79" s="15">
        <f t="shared" si="17"/>
        <v>0</v>
      </c>
      <c r="AH79" s="15"/>
      <c r="AI79" s="15"/>
      <c r="AJ79" s="15"/>
    </row>
    <row r="80" spans="1:36" s="1" customFormat="1" ht="11.1" customHeight="1" outlineLevel="1" x14ac:dyDescent="0.2">
      <c r="A80" s="7" t="s">
        <v>83</v>
      </c>
      <c r="B80" s="7" t="s">
        <v>9</v>
      </c>
      <c r="C80" s="8">
        <v>786</v>
      </c>
      <c r="D80" s="8">
        <v>1862</v>
      </c>
      <c r="E80" s="8">
        <v>1620</v>
      </c>
      <c r="F80" s="8">
        <v>1248</v>
      </c>
      <c r="G80" s="1">
        <f>VLOOKUP(A:A,[1]TDSheet!$A:$G,7,0)</f>
        <v>0.3</v>
      </c>
      <c r="H80" s="1" t="e">
        <f>VLOOKUP(A:A,[1]TDSheet!$A:$H,8,0)</f>
        <v>#N/A</v>
      </c>
      <c r="I80" s="15">
        <f>VLOOKUP(A:A,[1]TDSheet!$A:$I,9,0)</f>
        <v>1456</v>
      </c>
      <c r="J80" s="15">
        <f>VLOOKUP(A:A,[1]TDSheet!$A:$J,10,0)</f>
        <v>-38</v>
      </c>
      <c r="K80" s="15">
        <f>VLOOKUP(A:A,[1]TDSheet!$A:$M,13,0)</f>
        <v>1000</v>
      </c>
      <c r="L80" s="15">
        <f>VLOOKUP(A:A,[1]TDSheet!$A:$R,18,0)</f>
        <v>600</v>
      </c>
      <c r="M80" s="15">
        <f>VLOOKUP(A:A,[1]TDSheet!$A:$T,20,0)</f>
        <v>400</v>
      </c>
      <c r="N80" s="15"/>
      <c r="O80" s="15"/>
      <c r="P80" s="15"/>
      <c r="Q80" s="15"/>
      <c r="R80" s="15"/>
      <c r="S80" s="15">
        <f t="shared" si="14"/>
        <v>270</v>
      </c>
      <c r="T80" s="17">
        <v>400</v>
      </c>
      <c r="U80" s="18">
        <f t="shared" si="15"/>
        <v>13.511111111111111</v>
      </c>
      <c r="V80" s="15">
        <f t="shared" si="16"/>
        <v>4.6222222222222218</v>
      </c>
      <c r="W80" s="15">
        <v>400</v>
      </c>
      <c r="X80" s="15"/>
      <c r="Y80" s="15"/>
      <c r="Z80" s="15">
        <f>VLOOKUP(A:A,[1]TDSheet!$A:$AA,27,0)</f>
        <v>224.6</v>
      </c>
      <c r="AA80" s="15">
        <f>VLOOKUP(A:A,[1]TDSheet!$A:$AB,28,0)</f>
        <v>217.2</v>
      </c>
      <c r="AB80" s="15">
        <f>VLOOKUP(A:A,[1]TDSheet!$A:$AC,29,0)</f>
        <v>228.2</v>
      </c>
      <c r="AC80" s="15">
        <f>VLOOKUP(A:A,[1]TDSheet!$A:$S,19,0)</f>
        <v>283.60000000000002</v>
      </c>
      <c r="AD80" s="15">
        <f>VLOOKUP(A:A,[2]TDSheet!$A:$D,4,0)</f>
        <v>202</v>
      </c>
      <c r="AE80" s="15">
        <f>VLOOKUP(A:A,[1]TDSheet!$A:$AE,31,0)</f>
        <v>0</v>
      </c>
      <c r="AF80" s="15">
        <f>VLOOKUP(A:A,[1]TDSheet!$A:$AF,32,0)</f>
        <v>0</v>
      </c>
      <c r="AG80" s="15">
        <f t="shared" si="17"/>
        <v>120</v>
      </c>
      <c r="AH80" s="15"/>
      <c r="AI80" s="15"/>
      <c r="AJ80" s="15"/>
    </row>
    <row r="81" spans="1:36" s="1" customFormat="1" ht="11.1" customHeight="1" outlineLevel="1" x14ac:dyDescent="0.2">
      <c r="A81" s="7" t="s">
        <v>84</v>
      </c>
      <c r="B81" s="7" t="s">
        <v>9</v>
      </c>
      <c r="C81" s="8">
        <v>998</v>
      </c>
      <c r="D81" s="8">
        <v>2250</v>
      </c>
      <c r="E81" s="8">
        <v>1681</v>
      </c>
      <c r="F81" s="8">
        <v>1714</v>
      </c>
      <c r="G81" s="1">
        <f>VLOOKUP(A:A,[1]TDSheet!$A:$G,7,0)</f>
        <v>0.28000000000000003</v>
      </c>
      <c r="H81" s="1" t="e">
        <f>VLOOKUP(A:A,[1]TDSheet!$A:$H,8,0)</f>
        <v>#N/A</v>
      </c>
      <c r="I81" s="15">
        <f>VLOOKUP(A:A,[1]TDSheet!$A:$I,9,0)</f>
        <v>1482</v>
      </c>
      <c r="J81" s="15">
        <f>VLOOKUP(A:A,[1]TDSheet!$A:$J,10,0)</f>
        <v>-25</v>
      </c>
      <c r="K81" s="15">
        <f>VLOOKUP(A:A,[1]TDSheet!$A:$M,13,0)</f>
        <v>800</v>
      </c>
      <c r="L81" s="15">
        <f>VLOOKUP(A:A,[1]TDSheet!$A:$R,18,0)</f>
        <v>400</v>
      </c>
      <c r="M81" s="15">
        <f>VLOOKUP(A:A,[1]TDSheet!$A:$T,20,0)</f>
        <v>400</v>
      </c>
      <c r="N81" s="15"/>
      <c r="O81" s="15"/>
      <c r="P81" s="15"/>
      <c r="Q81" s="15"/>
      <c r="R81" s="15"/>
      <c r="S81" s="15">
        <f t="shared" si="14"/>
        <v>280.16666666666669</v>
      </c>
      <c r="T81" s="17">
        <v>800</v>
      </c>
      <c r="U81" s="18">
        <f t="shared" si="15"/>
        <v>14.684116597263532</v>
      </c>
      <c r="V81" s="15">
        <f t="shared" si="16"/>
        <v>6.1177870315288514</v>
      </c>
      <c r="W81" s="15">
        <v>800</v>
      </c>
      <c r="X81" s="15"/>
      <c r="Y81" s="15"/>
      <c r="Z81" s="15">
        <f>VLOOKUP(A:A,[1]TDSheet!$A:$AA,27,0)</f>
        <v>290.2</v>
      </c>
      <c r="AA81" s="15">
        <f>VLOOKUP(A:A,[1]TDSheet!$A:$AB,28,0)</f>
        <v>260.2</v>
      </c>
      <c r="AB81" s="15">
        <f>VLOOKUP(A:A,[1]TDSheet!$A:$AC,29,0)</f>
        <v>268.60000000000002</v>
      </c>
      <c r="AC81" s="15">
        <f>VLOOKUP(A:A,[1]TDSheet!$A:$S,19,0)</f>
        <v>291.39999999999998</v>
      </c>
      <c r="AD81" s="15">
        <f>VLOOKUP(A:A,[2]TDSheet!$A:$D,4,0)</f>
        <v>224</v>
      </c>
      <c r="AE81" s="15">
        <f>VLOOKUP(A:A,[1]TDSheet!$A:$AE,31,0)</f>
        <v>0</v>
      </c>
      <c r="AF81" s="15">
        <f>VLOOKUP(A:A,[1]TDSheet!$A:$AF,32,0)</f>
        <v>0</v>
      </c>
      <c r="AG81" s="15">
        <f t="shared" si="17"/>
        <v>224.00000000000003</v>
      </c>
      <c r="AH81" s="15"/>
      <c r="AI81" s="15"/>
      <c r="AJ81" s="15"/>
    </row>
    <row r="82" spans="1:36" s="1" customFormat="1" ht="11.1" customHeight="1" outlineLevel="1" x14ac:dyDescent="0.2">
      <c r="A82" s="7" t="s">
        <v>85</v>
      </c>
      <c r="B82" s="7" t="s">
        <v>9</v>
      </c>
      <c r="C82" s="8">
        <v>20</v>
      </c>
      <c r="D82" s="8">
        <v>6</v>
      </c>
      <c r="E82" s="8">
        <v>-1</v>
      </c>
      <c r="F82" s="8">
        <v>19</v>
      </c>
      <c r="G82" s="1">
        <f>VLOOKUP(A:A,[1]TDSheet!$A:$G,7,0)</f>
        <v>0</v>
      </c>
      <c r="H82" s="1" t="e">
        <f>VLOOKUP(A:A,[1]TDSheet!$A:$H,8,0)</f>
        <v>#N/A</v>
      </c>
      <c r="I82" s="15">
        <f>VLOOKUP(A:A,[1]TDSheet!$A:$I,9,0)</f>
        <v>16</v>
      </c>
      <c r="J82" s="15">
        <f>VLOOKUP(A:A,[1]TDSheet!$A:$J,10,0)</f>
        <v>-15</v>
      </c>
      <c r="K82" s="15">
        <f>VLOOKUP(A:A,[1]TDSheet!$A:$M,13,0)</f>
        <v>0</v>
      </c>
      <c r="L82" s="15">
        <f>VLOOKUP(A:A,[1]TDSheet!$A:$R,18,0)</f>
        <v>0</v>
      </c>
      <c r="M82" s="15">
        <f>VLOOKUP(A:A,[1]TDSheet!$A:$T,20,0)</f>
        <v>0</v>
      </c>
      <c r="N82" s="15"/>
      <c r="O82" s="15"/>
      <c r="P82" s="15"/>
      <c r="Q82" s="15"/>
      <c r="R82" s="15"/>
      <c r="S82" s="15">
        <f t="shared" si="14"/>
        <v>-0.16666666666666666</v>
      </c>
      <c r="T82" s="17"/>
      <c r="U82" s="18">
        <f t="shared" si="15"/>
        <v>-114</v>
      </c>
      <c r="V82" s="15">
        <f t="shared" si="16"/>
        <v>-114</v>
      </c>
      <c r="W82" s="15"/>
      <c r="X82" s="15"/>
      <c r="Y82" s="15"/>
      <c r="Z82" s="15">
        <f>VLOOKUP(A:A,[1]TDSheet!$A:$AA,27,0)</f>
        <v>20.6</v>
      </c>
      <c r="AA82" s="15">
        <f>VLOOKUP(A:A,[1]TDSheet!$A:$AB,28,0)</f>
        <v>30.4</v>
      </c>
      <c r="AB82" s="15">
        <f>VLOOKUP(A:A,[1]TDSheet!$A:$AC,29,0)</f>
        <v>3.6</v>
      </c>
      <c r="AC82" s="15">
        <f>VLOOKUP(A:A,[1]TDSheet!$A:$S,19,0)</f>
        <v>0.2</v>
      </c>
      <c r="AD82" s="15">
        <f>VLOOKUP(A:A,[2]TDSheet!$A:$D,4,0)</f>
        <v>-2</v>
      </c>
      <c r="AE82" s="15" t="str">
        <f>VLOOKUP(A:A,[1]TDSheet!$A:$AE,31,0)</f>
        <v>вывод</v>
      </c>
      <c r="AF82" s="15">
        <f>VLOOKUP(A:A,[1]TDSheet!$A:$AF,32,0)</f>
        <v>0</v>
      </c>
      <c r="AG82" s="15">
        <f t="shared" si="17"/>
        <v>0</v>
      </c>
      <c r="AH82" s="15"/>
      <c r="AI82" s="15"/>
      <c r="AJ82" s="15"/>
    </row>
    <row r="83" spans="1:36" s="1" customFormat="1" ht="11.1" customHeight="1" outlineLevel="1" x14ac:dyDescent="0.2">
      <c r="A83" s="7" t="s">
        <v>86</v>
      </c>
      <c r="B83" s="7" t="s">
        <v>9</v>
      </c>
      <c r="C83" s="8">
        <v>2574</v>
      </c>
      <c r="D83" s="8">
        <v>6159</v>
      </c>
      <c r="E83" s="8">
        <v>4062</v>
      </c>
      <c r="F83" s="8">
        <v>4976</v>
      </c>
      <c r="G83" s="1">
        <f>VLOOKUP(A:A,[1]TDSheet!$A:$G,7,0)</f>
        <v>0.28000000000000003</v>
      </c>
      <c r="H83" s="1">
        <f>VLOOKUP(A:A,[1]TDSheet!$A:$H,8,0)</f>
        <v>45</v>
      </c>
      <c r="I83" s="15">
        <f>VLOOKUP(A:A,[1]TDSheet!$A:$I,9,0)</f>
        <v>3639</v>
      </c>
      <c r="J83" s="15">
        <f>VLOOKUP(A:A,[1]TDSheet!$A:$J,10,0)</f>
        <v>-82</v>
      </c>
      <c r="K83" s="15">
        <f>VLOOKUP(A:A,[1]TDSheet!$A:$M,13,0)</f>
        <v>1200</v>
      </c>
      <c r="L83" s="15">
        <f>VLOOKUP(A:A,[1]TDSheet!$A:$R,18,0)</f>
        <v>800</v>
      </c>
      <c r="M83" s="15">
        <f>VLOOKUP(A:A,[1]TDSheet!$A:$T,20,0)</f>
        <v>1200</v>
      </c>
      <c r="N83" s="15"/>
      <c r="O83" s="15"/>
      <c r="P83" s="15"/>
      <c r="Q83" s="15"/>
      <c r="R83" s="15"/>
      <c r="S83" s="15">
        <f t="shared" si="14"/>
        <v>677</v>
      </c>
      <c r="T83" s="17">
        <v>1400</v>
      </c>
      <c r="U83" s="18">
        <f t="shared" si="15"/>
        <v>14.144756277695716</v>
      </c>
      <c r="V83" s="15">
        <f t="shared" si="16"/>
        <v>7.3500738552437221</v>
      </c>
      <c r="W83" s="15">
        <v>1400</v>
      </c>
      <c r="X83" s="15"/>
      <c r="Y83" s="15"/>
      <c r="Z83" s="15">
        <f>VLOOKUP(A:A,[1]TDSheet!$A:$AA,27,0)</f>
        <v>712</v>
      </c>
      <c r="AA83" s="15">
        <f>VLOOKUP(A:A,[1]TDSheet!$A:$AB,28,0)</f>
        <v>644.4</v>
      </c>
      <c r="AB83" s="15">
        <f>VLOOKUP(A:A,[1]TDSheet!$A:$AC,29,0)</f>
        <v>677.8</v>
      </c>
      <c r="AC83" s="15">
        <f>VLOOKUP(A:A,[1]TDSheet!$A:$S,19,0)</f>
        <v>711.4</v>
      </c>
      <c r="AD83" s="15">
        <f>VLOOKUP(A:A,[2]TDSheet!$A:$D,4,0)</f>
        <v>505</v>
      </c>
      <c r="AE83" s="15">
        <f>VLOOKUP(A:A,[1]TDSheet!$A:$AE,31,0)</f>
        <v>0</v>
      </c>
      <c r="AF83" s="15">
        <f>VLOOKUP(A:A,[1]TDSheet!$A:$AF,32,0)</f>
        <v>0</v>
      </c>
      <c r="AG83" s="15">
        <f t="shared" si="17"/>
        <v>392.00000000000006</v>
      </c>
      <c r="AH83" s="15"/>
      <c r="AI83" s="15"/>
      <c r="AJ83" s="15"/>
    </row>
    <row r="84" spans="1:36" s="1" customFormat="1" ht="11.1" customHeight="1" outlineLevel="1" x14ac:dyDescent="0.2">
      <c r="A84" s="7" t="s">
        <v>87</v>
      </c>
      <c r="B84" s="7" t="s">
        <v>9</v>
      </c>
      <c r="C84" s="8">
        <v>805</v>
      </c>
      <c r="D84" s="8">
        <v>1391</v>
      </c>
      <c r="E84" s="8">
        <v>1299</v>
      </c>
      <c r="F84" s="8">
        <v>1024</v>
      </c>
      <c r="G84" s="1">
        <f>VLOOKUP(A:A,[1]TDSheet!$A:$G,7,0)</f>
        <v>0.28000000000000003</v>
      </c>
      <c r="H84" s="1" t="e">
        <f>VLOOKUP(A:A,[1]TDSheet!$A:$H,8,0)</f>
        <v>#N/A</v>
      </c>
      <c r="I84" s="15">
        <f>VLOOKUP(A:A,[1]TDSheet!$A:$I,9,0)</f>
        <v>1132</v>
      </c>
      <c r="J84" s="15">
        <f>VLOOKUP(A:A,[1]TDSheet!$A:$J,10,0)</f>
        <v>-18</v>
      </c>
      <c r="K84" s="15">
        <f>VLOOKUP(A:A,[1]TDSheet!$A:$M,13,0)</f>
        <v>600</v>
      </c>
      <c r="L84" s="15">
        <f>VLOOKUP(A:A,[1]TDSheet!$A:$R,18,0)</f>
        <v>480</v>
      </c>
      <c r="M84" s="15">
        <f>VLOOKUP(A:A,[1]TDSheet!$A:$T,20,0)</f>
        <v>240</v>
      </c>
      <c r="N84" s="15"/>
      <c r="O84" s="15"/>
      <c r="P84" s="15"/>
      <c r="Q84" s="15"/>
      <c r="R84" s="15"/>
      <c r="S84" s="15">
        <f t="shared" si="14"/>
        <v>216.5</v>
      </c>
      <c r="T84" s="17">
        <v>400</v>
      </c>
      <c r="U84" s="18">
        <f t="shared" si="15"/>
        <v>12.674364896073904</v>
      </c>
      <c r="V84" s="15">
        <f t="shared" si="16"/>
        <v>4.7297921478060045</v>
      </c>
      <c r="W84" s="15">
        <v>400</v>
      </c>
      <c r="X84" s="15"/>
      <c r="Y84" s="15"/>
      <c r="Z84" s="15">
        <f>VLOOKUP(A:A,[1]TDSheet!$A:$AA,27,0)</f>
        <v>181.6</v>
      </c>
      <c r="AA84" s="15">
        <f>VLOOKUP(A:A,[1]TDSheet!$A:$AB,28,0)</f>
        <v>191.8</v>
      </c>
      <c r="AB84" s="15">
        <f>VLOOKUP(A:A,[1]TDSheet!$A:$AC,29,0)</f>
        <v>187.8</v>
      </c>
      <c r="AC84" s="15">
        <f>VLOOKUP(A:A,[1]TDSheet!$A:$S,19,0)</f>
        <v>222.8</v>
      </c>
      <c r="AD84" s="15">
        <f>VLOOKUP(A:A,[2]TDSheet!$A:$D,4,0)</f>
        <v>185</v>
      </c>
      <c r="AE84" s="15">
        <f>VLOOKUP(A:A,[1]TDSheet!$A:$AE,31,0)</f>
        <v>0</v>
      </c>
      <c r="AF84" s="15">
        <f>VLOOKUP(A:A,[1]TDSheet!$A:$AF,32,0)</f>
        <v>0</v>
      </c>
      <c r="AG84" s="15">
        <f t="shared" si="17"/>
        <v>112.00000000000001</v>
      </c>
      <c r="AH84" s="15"/>
      <c r="AI84" s="15"/>
      <c r="AJ84" s="15"/>
    </row>
    <row r="85" spans="1:36" s="1" customFormat="1" ht="11.1" customHeight="1" outlineLevel="1" x14ac:dyDescent="0.2">
      <c r="A85" s="7" t="s">
        <v>88</v>
      </c>
      <c r="B85" s="7" t="s">
        <v>9</v>
      </c>
      <c r="C85" s="8">
        <v>119</v>
      </c>
      <c r="D85" s="8">
        <v>44</v>
      </c>
      <c r="E85" s="8">
        <v>68</v>
      </c>
      <c r="F85" s="8">
        <v>99</v>
      </c>
      <c r="G85" s="1">
        <f>VLOOKUP(A:A,[1]TDSheet!$A:$G,7,0)</f>
        <v>0.4</v>
      </c>
      <c r="H85" s="1" t="e">
        <f>VLOOKUP(A:A,[1]TDSheet!$A:$H,8,0)</f>
        <v>#N/A</v>
      </c>
      <c r="I85" s="15">
        <f>VLOOKUP(A:A,[1]TDSheet!$A:$I,9,0)</f>
        <v>57</v>
      </c>
      <c r="J85" s="15">
        <f>VLOOKUP(A:A,[1]TDSheet!$A:$J,10,0)</f>
        <v>-3</v>
      </c>
      <c r="K85" s="15">
        <f>VLOOKUP(A:A,[1]TDSheet!$A:$M,13,0)</f>
        <v>0</v>
      </c>
      <c r="L85" s="15">
        <f>VLOOKUP(A:A,[1]TDSheet!$A:$R,18,0)</f>
        <v>0</v>
      </c>
      <c r="M85" s="15">
        <f>VLOOKUP(A:A,[1]TDSheet!$A:$T,20,0)</f>
        <v>0</v>
      </c>
      <c r="N85" s="15"/>
      <c r="O85" s="15"/>
      <c r="P85" s="15"/>
      <c r="Q85" s="15"/>
      <c r="R85" s="15"/>
      <c r="S85" s="15">
        <f t="shared" si="14"/>
        <v>11.333333333333334</v>
      </c>
      <c r="T85" s="17">
        <v>80</v>
      </c>
      <c r="U85" s="18">
        <f t="shared" si="15"/>
        <v>15.794117647058822</v>
      </c>
      <c r="V85" s="15">
        <f t="shared" si="16"/>
        <v>8.735294117647058</v>
      </c>
      <c r="W85" s="15">
        <v>80</v>
      </c>
      <c r="X85" s="15"/>
      <c r="Y85" s="15"/>
      <c r="Z85" s="15">
        <f>VLOOKUP(A:A,[1]TDSheet!$A:$AA,27,0)</f>
        <v>6.2</v>
      </c>
      <c r="AA85" s="15">
        <f>VLOOKUP(A:A,[1]TDSheet!$A:$AB,28,0)</f>
        <v>17.399999999999999</v>
      </c>
      <c r="AB85" s="15">
        <f>VLOOKUP(A:A,[1]TDSheet!$A:$AC,29,0)</f>
        <v>7.4</v>
      </c>
      <c r="AC85" s="15">
        <f>VLOOKUP(A:A,[1]TDSheet!$A:$S,19,0)</f>
        <v>10.8</v>
      </c>
      <c r="AD85" s="15">
        <f>VLOOKUP(A:A,[2]TDSheet!$A:$D,4,0)</f>
        <v>14</v>
      </c>
      <c r="AE85" s="15" t="str">
        <f>VLOOKUP(A:A,[1]TDSheet!$A:$AE,31,0)</f>
        <v>увел</v>
      </c>
      <c r="AF85" s="15">
        <f>VLOOKUP(A:A,[1]TDSheet!$A:$AF,32,0)</f>
        <v>0</v>
      </c>
      <c r="AG85" s="15">
        <f t="shared" si="17"/>
        <v>32</v>
      </c>
      <c r="AH85" s="15"/>
      <c r="AI85" s="15"/>
      <c r="AJ85" s="15"/>
    </row>
    <row r="86" spans="1:36" s="1" customFormat="1" ht="11.1" customHeight="1" outlineLevel="1" x14ac:dyDescent="0.2">
      <c r="A86" s="7" t="s">
        <v>89</v>
      </c>
      <c r="B86" s="7" t="s">
        <v>9</v>
      </c>
      <c r="C86" s="8">
        <v>782</v>
      </c>
      <c r="D86" s="8">
        <v>2166</v>
      </c>
      <c r="E86" s="8">
        <v>2018</v>
      </c>
      <c r="F86" s="19">
        <v>1836</v>
      </c>
      <c r="G86" s="1">
        <f>VLOOKUP(A:A,[1]TDSheet!$A:$G,7,0)</f>
        <v>0.4</v>
      </c>
      <c r="H86" s="1" t="e">
        <f>VLOOKUP(A:A,[1]TDSheet!$A:$H,8,0)</f>
        <v>#N/A</v>
      </c>
      <c r="I86" s="15">
        <f>VLOOKUP(A:A,[1]TDSheet!$A:$I,9,0)</f>
        <v>532</v>
      </c>
      <c r="J86" s="15">
        <f>VLOOKUP(A:A,[1]TDSheet!$A:$J,10,0)</f>
        <v>1253</v>
      </c>
      <c r="K86" s="15">
        <f>VLOOKUP(A:A,[1]TDSheet!$A:$M,13,0)</f>
        <v>720</v>
      </c>
      <c r="L86" s="15">
        <f>VLOOKUP(A:A,[1]TDSheet!$A:$R,18,0)</f>
        <v>240</v>
      </c>
      <c r="M86" s="15">
        <f>VLOOKUP(A:A,[1]TDSheet!$A:$T,20,0)</f>
        <v>240</v>
      </c>
      <c r="N86" s="15"/>
      <c r="O86" s="15"/>
      <c r="P86" s="15"/>
      <c r="Q86" s="15"/>
      <c r="R86" s="15"/>
      <c r="S86" s="15">
        <f t="shared" si="14"/>
        <v>336.33333333333331</v>
      </c>
      <c r="T86" s="17">
        <v>400</v>
      </c>
      <c r="U86" s="18">
        <f t="shared" si="15"/>
        <v>10.216055500495541</v>
      </c>
      <c r="V86" s="15">
        <f t="shared" si="16"/>
        <v>5.4588701684836476</v>
      </c>
      <c r="W86" s="15">
        <v>400</v>
      </c>
      <c r="X86" s="15"/>
      <c r="Y86" s="15"/>
      <c r="Z86" s="15">
        <f>VLOOKUP(A:A,[1]TDSheet!$A:$AA,27,0)</f>
        <v>330</v>
      </c>
      <c r="AA86" s="15">
        <f>VLOOKUP(A:A,[1]TDSheet!$A:$AB,28,0)</f>
        <v>347.4</v>
      </c>
      <c r="AB86" s="15">
        <f>VLOOKUP(A:A,[1]TDSheet!$A:$AC,29,0)</f>
        <v>361.2</v>
      </c>
      <c r="AC86" s="15">
        <f>VLOOKUP(A:A,[1]TDSheet!$A:$S,19,0)</f>
        <v>357</v>
      </c>
      <c r="AD86" s="15">
        <f>VLOOKUP(A:A,[2]TDSheet!$A:$D,4,0)</f>
        <v>233</v>
      </c>
      <c r="AE86" s="15" t="str">
        <f>VLOOKUP(A:A,[1]TDSheet!$A:$AE,31,0)</f>
        <v>увел</v>
      </c>
      <c r="AF86" s="15" t="str">
        <f>VLOOKUP(A:A,[1]TDSheet!$A:$AF,32,0)</f>
        <v>дубльз</v>
      </c>
      <c r="AG86" s="15">
        <f t="shared" si="17"/>
        <v>160</v>
      </c>
      <c r="AH86" s="15"/>
      <c r="AI86" s="15"/>
      <c r="AJ86" s="15"/>
    </row>
    <row r="87" spans="1:36" s="1" customFormat="1" ht="11.1" customHeight="1" outlineLevel="1" x14ac:dyDescent="0.2">
      <c r="A87" s="7" t="s">
        <v>90</v>
      </c>
      <c r="B87" s="7" t="s">
        <v>8</v>
      </c>
      <c r="C87" s="8">
        <v>161.803</v>
      </c>
      <c r="D87" s="8">
        <v>112.304</v>
      </c>
      <c r="E87" s="8">
        <v>154.91200000000001</v>
      </c>
      <c r="F87" s="8">
        <v>135.536</v>
      </c>
      <c r="G87" s="1">
        <f>VLOOKUP(A:A,[1]TDSheet!$A:$G,7,0)</f>
        <v>1</v>
      </c>
      <c r="H87" s="1" t="e">
        <f>VLOOKUP(A:A,[1]TDSheet!$A:$H,8,0)</f>
        <v>#N/A</v>
      </c>
      <c r="I87" s="15">
        <f>VLOOKUP(A:A,[1]TDSheet!$A:$I,9,0)</f>
        <v>110.8</v>
      </c>
      <c r="J87" s="15">
        <f>VLOOKUP(A:A,[1]TDSheet!$A:$J,10,0)</f>
        <v>1.8410000000000082</v>
      </c>
      <c r="K87" s="15">
        <f>VLOOKUP(A:A,[1]TDSheet!$A:$M,13,0)</f>
        <v>0</v>
      </c>
      <c r="L87" s="15">
        <f>VLOOKUP(A:A,[1]TDSheet!$A:$R,18,0)</f>
        <v>0</v>
      </c>
      <c r="M87" s="15">
        <f>VLOOKUP(A:A,[1]TDSheet!$A:$T,20,0)</f>
        <v>20</v>
      </c>
      <c r="N87" s="15"/>
      <c r="O87" s="15"/>
      <c r="P87" s="15"/>
      <c r="Q87" s="15"/>
      <c r="R87" s="15"/>
      <c r="S87" s="15">
        <f t="shared" si="14"/>
        <v>25.818666666666669</v>
      </c>
      <c r="T87" s="17">
        <v>90</v>
      </c>
      <c r="U87" s="18">
        <f t="shared" si="15"/>
        <v>9.5100185912001649</v>
      </c>
      <c r="V87" s="15">
        <f t="shared" si="16"/>
        <v>5.2495352199958685</v>
      </c>
      <c r="W87" s="15">
        <v>90</v>
      </c>
      <c r="X87" s="15"/>
      <c r="Y87" s="15"/>
      <c r="Z87" s="15">
        <f>VLOOKUP(A:A,[1]TDSheet!$A:$AA,27,0)</f>
        <v>21.2136</v>
      </c>
      <c r="AA87" s="15">
        <f>VLOOKUP(A:A,[1]TDSheet!$A:$AB,28,0)</f>
        <v>26.317599999999999</v>
      </c>
      <c r="AB87" s="15">
        <f>VLOOKUP(A:A,[1]TDSheet!$A:$AC,29,0)</f>
        <v>15.996600000000001</v>
      </c>
      <c r="AC87" s="15">
        <f>VLOOKUP(A:A,[1]TDSheet!$A:$S,19,0)</f>
        <v>22.528200000000002</v>
      </c>
      <c r="AD87" s="15">
        <f>VLOOKUP(A:A,[2]TDSheet!$A:$D,4,0)</f>
        <v>42.271000000000001</v>
      </c>
      <c r="AE87" s="15" t="str">
        <f>VLOOKUP(A:A,[1]TDSheet!$A:$AE,31,0)</f>
        <v>увел</v>
      </c>
      <c r="AF87" s="15">
        <f>VLOOKUP(A:A,[1]TDSheet!$A:$AF,32,0)</f>
        <v>0</v>
      </c>
      <c r="AG87" s="15">
        <f t="shared" si="17"/>
        <v>90</v>
      </c>
      <c r="AH87" s="15"/>
      <c r="AI87" s="15"/>
      <c r="AJ87" s="15"/>
    </row>
    <row r="88" spans="1:36" s="1" customFormat="1" ht="11.1" customHeight="1" outlineLevel="1" x14ac:dyDescent="0.2">
      <c r="A88" s="7" t="s">
        <v>91</v>
      </c>
      <c r="B88" s="7" t="s">
        <v>9</v>
      </c>
      <c r="C88" s="8">
        <v>104</v>
      </c>
      <c r="D88" s="8">
        <v>68</v>
      </c>
      <c r="E88" s="8">
        <v>119</v>
      </c>
      <c r="F88" s="8">
        <v>59</v>
      </c>
      <c r="G88" s="1">
        <f>VLOOKUP(A:A,[1]TDSheet!$A:$G,7,0)</f>
        <v>0.33</v>
      </c>
      <c r="H88" s="1">
        <f>VLOOKUP(A:A,[1]TDSheet!$A:$H,8,0)</f>
        <v>30</v>
      </c>
      <c r="I88" s="15">
        <f>VLOOKUP(A:A,[1]TDSheet!$A:$I,9,0)</f>
        <v>170</v>
      </c>
      <c r="J88" s="15">
        <f>VLOOKUP(A:A,[1]TDSheet!$A:$J,10,0)</f>
        <v>-63</v>
      </c>
      <c r="K88" s="15">
        <f>VLOOKUP(A:A,[1]TDSheet!$A:$M,13,0)</f>
        <v>60</v>
      </c>
      <c r="L88" s="15">
        <f>VLOOKUP(A:A,[1]TDSheet!$A:$R,18,0)</f>
        <v>30</v>
      </c>
      <c r="M88" s="15">
        <f>VLOOKUP(A:A,[1]TDSheet!$A:$T,20,0)</f>
        <v>30</v>
      </c>
      <c r="N88" s="15"/>
      <c r="O88" s="15"/>
      <c r="P88" s="15"/>
      <c r="Q88" s="15"/>
      <c r="R88" s="15"/>
      <c r="S88" s="15">
        <f t="shared" si="14"/>
        <v>19.833333333333332</v>
      </c>
      <c r="T88" s="17">
        <v>30</v>
      </c>
      <c r="U88" s="18">
        <f t="shared" si="15"/>
        <v>10.53781512605042</v>
      </c>
      <c r="V88" s="15">
        <f t="shared" si="16"/>
        <v>2.9747899159663866</v>
      </c>
      <c r="W88" s="15">
        <v>30</v>
      </c>
      <c r="X88" s="15"/>
      <c r="Y88" s="15"/>
      <c r="Z88" s="15">
        <f>VLOOKUP(A:A,[1]TDSheet!$A:$AA,27,0)</f>
        <v>30</v>
      </c>
      <c r="AA88" s="15">
        <f>VLOOKUP(A:A,[1]TDSheet!$A:$AB,28,0)</f>
        <v>22.8</v>
      </c>
      <c r="AB88" s="15">
        <f>VLOOKUP(A:A,[1]TDSheet!$A:$AC,29,0)</f>
        <v>18.600000000000001</v>
      </c>
      <c r="AC88" s="15">
        <f>VLOOKUP(A:A,[1]TDSheet!$A:$S,19,0)</f>
        <v>21.4</v>
      </c>
      <c r="AD88" s="15">
        <f>VLOOKUP(A:A,[2]TDSheet!$A:$D,4,0)</f>
        <v>12</v>
      </c>
      <c r="AE88" s="15">
        <f>VLOOKUP(A:A,[1]TDSheet!$A:$AE,31,0)</f>
        <v>0</v>
      </c>
      <c r="AF88" s="15">
        <f>VLOOKUP(A:A,[1]TDSheet!$A:$AF,32,0)</f>
        <v>0</v>
      </c>
      <c r="AG88" s="15">
        <f t="shared" si="17"/>
        <v>9.9</v>
      </c>
      <c r="AH88" s="15"/>
      <c r="AI88" s="15"/>
      <c r="AJ88" s="15"/>
    </row>
    <row r="89" spans="1:36" s="1" customFormat="1" ht="11.1" customHeight="1" outlineLevel="1" x14ac:dyDescent="0.2">
      <c r="A89" s="7" t="s">
        <v>92</v>
      </c>
      <c r="B89" s="7" t="s">
        <v>8</v>
      </c>
      <c r="C89" s="8">
        <v>2.1419999999999999</v>
      </c>
      <c r="D89" s="8">
        <v>15.279</v>
      </c>
      <c r="E89" s="8">
        <v>2.9209999999999998</v>
      </c>
      <c r="F89" s="8">
        <v>14.5</v>
      </c>
      <c r="G89" s="1">
        <f>VLOOKUP(A:A,[1]TDSheet!$A:$G,7,0)</f>
        <v>1</v>
      </c>
      <c r="H89" s="1" t="e">
        <f>VLOOKUP(A:A,[1]TDSheet!$A:$H,8,0)</f>
        <v>#N/A</v>
      </c>
      <c r="I89" s="15">
        <f>VLOOKUP(A:A,[1]TDSheet!$A:$I,9,0)</f>
        <v>5.6</v>
      </c>
      <c r="J89" s="15">
        <f>VLOOKUP(A:A,[1]TDSheet!$A:$J,10,0)</f>
        <v>-2.6789999999999998</v>
      </c>
      <c r="K89" s="15">
        <f>VLOOKUP(A:A,[1]TDSheet!$A:$M,13,0)</f>
        <v>0</v>
      </c>
      <c r="L89" s="15">
        <f>VLOOKUP(A:A,[1]TDSheet!$A:$R,18,0)</f>
        <v>0</v>
      </c>
      <c r="M89" s="15">
        <f>VLOOKUP(A:A,[1]TDSheet!$A:$T,20,0)</f>
        <v>0</v>
      </c>
      <c r="N89" s="15"/>
      <c r="O89" s="15"/>
      <c r="P89" s="15"/>
      <c r="Q89" s="15"/>
      <c r="R89" s="15"/>
      <c r="S89" s="15">
        <f t="shared" si="14"/>
        <v>0.48683333333333328</v>
      </c>
      <c r="T89" s="17"/>
      <c r="U89" s="18">
        <f t="shared" si="15"/>
        <v>29.784320438206098</v>
      </c>
      <c r="V89" s="15">
        <f t="shared" si="16"/>
        <v>29.784320438206098</v>
      </c>
      <c r="W89" s="15"/>
      <c r="X89" s="15"/>
      <c r="Y89" s="15"/>
      <c r="Z89" s="15">
        <f>VLOOKUP(A:A,[1]TDSheet!$A:$AA,27,0)</f>
        <v>0.68059999999999998</v>
      </c>
      <c r="AA89" s="15">
        <f>VLOOKUP(A:A,[1]TDSheet!$A:$AB,28,0)</f>
        <v>0.85160000000000002</v>
      </c>
      <c r="AB89" s="15">
        <f>VLOOKUP(A:A,[1]TDSheet!$A:$AC,29,0)</f>
        <v>2.1903999999999999</v>
      </c>
      <c r="AC89" s="15">
        <f>VLOOKUP(A:A,[1]TDSheet!$A:$S,19,0)</f>
        <v>0.58419999999999994</v>
      </c>
      <c r="AD89" s="15">
        <v>0</v>
      </c>
      <c r="AE89" s="15" t="str">
        <f>VLOOKUP(A:A,[1]TDSheet!$A:$AE,31,0)</f>
        <v>новинка</v>
      </c>
      <c r="AF89" s="15" t="e">
        <f>VLOOKUP(A:A,[1]TDSheet!$A:$AF,32,0)</f>
        <v>#N/A</v>
      </c>
      <c r="AG89" s="15">
        <f t="shared" si="17"/>
        <v>0</v>
      </c>
      <c r="AH89" s="15"/>
      <c r="AI89" s="15"/>
      <c r="AJ89" s="15"/>
    </row>
    <row r="90" spans="1:36" s="1" customFormat="1" ht="11.1" customHeight="1" outlineLevel="1" x14ac:dyDescent="0.2">
      <c r="A90" s="7" t="s">
        <v>100</v>
      </c>
      <c r="B90" s="7" t="s">
        <v>9</v>
      </c>
      <c r="C90" s="8">
        <v>28</v>
      </c>
      <c r="D90" s="8">
        <v>52</v>
      </c>
      <c r="E90" s="8">
        <v>29</v>
      </c>
      <c r="F90" s="8">
        <v>55</v>
      </c>
      <c r="G90" s="1">
        <f>VLOOKUP(A:A,[1]TDSheet!$A:$G,7,0)</f>
        <v>0.54</v>
      </c>
      <c r="H90" s="1" t="e">
        <f>VLOOKUP(A:A,[1]TDSheet!$A:$H,8,0)</f>
        <v>#N/A</v>
      </c>
      <c r="I90" s="15">
        <f>VLOOKUP(A:A,[1]TDSheet!$A:$I,9,0)</f>
        <v>17</v>
      </c>
      <c r="J90" s="15">
        <f>VLOOKUP(A:A,[1]TDSheet!$A:$J,10,0)</f>
        <v>-2</v>
      </c>
      <c r="K90" s="15">
        <f>VLOOKUP(A:A,[1]TDSheet!$A:$M,13,0)</f>
        <v>0</v>
      </c>
      <c r="L90" s="15">
        <f>VLOOKUP(A:A,[1]TDSheet!$A:$R,18,0)</f>
        <v>0</v>
      </c>
      <c r="M90" s="15">
        <f>VLOOKUP(A:A,[1]TDSheet!$A:$T,20,0)</f>
        <v>0</v>
      </c>
      <c r="N90" s="15"/>
      <c r="O90" s="15"/>
      <c r="P90" s="15"/>
      <c r="Q90" s="15"/>
      <c r="R90" s="15"/>
      <c r="S90" s="15">
        <f t="shared" si="14"/>
        <v>4.833333333333333</v>
      </c>
      <c r="T90" s="17">
        <v>30</v>
      </c>
      <c r="U90" s="18">
        <f t="shared" si="15"/>
        <v>17.586206896551726</v>
      </c>
      <c r="V90" s="15">
        <f t="shared" si="16"/>
        <v>11.379310344827587</v>
      </c>
      <c r="W90" s="15">
        <v>30</v>
      </c>
      <c r="X90" s="15"/>
      <c r="Y90" s="15"/>
      <c r="Z90" s="15">
        <f>VLOOKUP(A:A,[1]TDSheet!$A:$AA,27,0)</f>
        <v>0</v>
      </c>
      <c r="AA90" s="15">
        <f>VLOOKUP(A:A,[1]TDSheet!$A:$AB,28,0)</f>
        <v>0</v>
      </c>
      <c r="AB90" s="15">
        <f>VLOOKUP(A:A,[1]TDSheet!$A:$AC,29,0)</f>
        <v>3</v>
      </c>
      <c r="AC90" s="15">
        <f>VLOOKUP(A:A,[1]TDSheet!$A:$S,19,0)</f>
        <v>3</v>
      </c>
      <c r="AD90" s="15">
        <f>VLOOKUP(A:A,[2]TDSheet!$A:$D,4,0)</f>
        <v>14</v>
      </c>
      <c r="AE90" s="15" t="str">
        <f>VLOOKUP(A:A,[1]TDSheet!$A:$AE,31,0)</f>
        <v>увел</v>
      </c>
      <c r="AF90" s="15" t="e">
        <f>VLOOKUP(A:A,[1]TDSheet!$A:$AF,32,0)</f>
        <v>#N/A</v>
      </c>
      <c r="AG90" s="15">
        <f t="shared" si="17"/>
        <v>16.200000000000003</v>
      </c>
      <c r="AH90" s="15"/>
      <c r="AI90" s="15"/>
      <c r="AJ90" s="15"/>
    </row>
    <row r="91" spans="1:36" s="1" customFormat="1" ht="11.1" customHeight="1" outlineLevel="1" x14ac:dyDescent="0.2">
      <c r="A91" s="7" t="s">
        <v>93</v>
      </c>
      <c r="B91" s="7" t="s">
        <v>9</v>
      </c>
      <c r="C91" s="8">
        <v>38</v>
      </c>
      <c r="D91" s="8">
        <v>81</v>
      </c>
      <c r="E91" s="8">
        <v>70</v>
      </c>
      <c r="F91" s="8">
        <v>58</v>
      </c>
      <c r="G91" s="1">
        <f>VLOOKUP(A:A,[1]TDSheet!$A:$G,7,0)</f>
        <v>0.28000000000000003</v>
      </c>
      <c r="H91" s="1" t="e">
        <f>VLOOKUP(A:A,[1]TDSheet!$A:$H,8,0)</f>
        <v>#N/A</v>
      </c>
      <c r="I91" s="15">
        <f>VLOOKUP(A:A,[1]TDSheet!$A:$I,9,0)</f>
        <v>60</v>
      </c>
      <c r="J91" s="15">
        <f>VLOOKUP(A:A,[1]TDSheet!$A:$J,10,0)</f>
        <v>-1</v>
      </c>
      <c r="K91" s="15">
        <f>VLOOKUP(A:A,[1]TDSheet!$A:$M,13,0)</f>
        <v>40</v>
      </c>
      <c r="L91" s="15">
        <f>VLOOKUP(A:A,[1]TDSheet!$A:$R,18,0)</f>
        <v>0</v>
      </c>
      <c r="M91" s="15">
        <f>VLOOKUP(A:A,[1]TDSheet!$A:$T,20,0)</f>
        <v>0</v>
      </c>
      <c r="N91" s="15"/>
      <c r="O91" s="15"/>
      <c r="P91" s="15"/>
      <c r="Q91" s="15"/>
      <c r="R91" s="15"/>
      <c r="S91" s="15">
        <f t="shared" si="14"/>
        <v>11.666666666666666</v>
      </c>
      <c r="T91" s="17">
        <v>40</v>
      </c>
      <c r="U91" s="18">
        <f t="shared" si="15"/>
        <v>11.828571428571429</v>
      </c>
      <c r="V91" s="15">
        <f t="shared" si="16"/>
        <v>4.9714285714285715</v>
      </c>
      <c r="W91" s="15">
        <v>40</v>
      </c>
      <c r="X91" s="15"/>
      <c r="Y91" s="15"/>
      <c r="Z91" s="15">
        <f>VLOOKUP(A:A,[1]TDSheet!$A:$AA,27,0)</f>
        <v>11.4</v>
      </c>
      <c r="AA91" s="15">
        <f>VLOOKUP(A:A,[1]TDSheet!$A:$AB,28,0)</f>
        <v>11.6</v>
      </c>
      <c r="AB91" s="15">
        <f>VLOOKUP(A:A,[1]TDSheet!$A:$AC,29,0)</f>
        <v>12.8</v>
      </c>
      <c r="AC91" s="15">
        <f>VLOOKUP(A:A,[1]TDSheet!$A:$S,19,0)</f>
        <v>11.8</v>
      </c>
      <c r="AD91" s="15">
        <f>VLOOKUP(A:A,[2]TDSheet!$A:$D,4,0)</f>
        <v>11</v>
      </c>
      <c r="AE91" s="15">
        <f>VLOOKUP(A:A,[1]TDSheet!$A:$AE,31,0)</f>
        <v>0</v>
      </c>
      <c r="AF91" s="15" t="e">
        <f>VLOOKUP(A:A,[1]TDSheet!$A:$AF,32,0)</f>
        <v>#N/A</v>
      </c>
      <c r="AG91" s="15">
        <f t="shared" si="17"/>
        <v>11.200000000000001</v>
      </c>
      <c r="AH91" s="15"/>
      <c r="AI91" s="15"/>
      <c r="AJ91" s="15"/>
    </row>
    <row r="92" spans="1:36" s="1" customFormat="1" ht="11.1" customHeight="1" outlineLevel="1" x14ac:dyDescent="0.2">
      <c r="A92" s="7" t="s">
        <v>94</v>
      </c>
      <c r="B92" s="7" t="s">
        <v>9</v>
      </c>
      <c r="C92" s="8">
        <v>71</v>
      </c>
      <c r="D92" s="8">
        <v>81</v>
      </c>
      <c r="E92" s="8">
        <v>97</v>
      </c>
      <c r="F92" s="8">
        <v>74</v>
      </c>
      <c r="G92" s="1">
        <f>VLOOKUP(A:A,[1]TDSheet!$A:$G,7,0)</f>
        <v>0.28000000000000003</v>
      </c>
      <c r="H92" s="1" t="e">
        <f>VLOOKUP(A:A,[1]TDSheet!$A:$H,8,0)</f>
        <v>#N/A</v>
      </c>
      <c r="I92" s="15">
        <f>VLOOKUP(A:A,[1]TDSheet!$A:$I,9,0)</f>
        <v>76</v>
      </c>
      <c r="J92" s="15">
        <f>VLOOKUP(A:A,[1]TDSheet!$A:$J,10,0)</f>
        <v>-1</v>
      </c>
      <c r="K92" s="15">
        <f>VLOOKUP(A:A,[1]TDSheet!$A:$M,13,0)</f>
        <v>40</v>
      </c>
      <c r="L92" s="15">
        <f>VLOOKUP(A:A,[1]TDSheet!$A:$R,18,0)</f>
        <v>40</v>
      </c>
      <c r="M92" s="15">
        <f>VLOOKUP(A:A,[1]TDSheet!$A:$T,20,0)</f>
        <v>0</v>
      </c>
      <c r="N92" s="15"/>
      <c r="O92" s="15"/>
      <c r="P92" s="15"/>
      <c r="Q92" s="15"/>
      <c r="R92" s="15"/>
      <c r="S92" s="15">
        <f t="shared" si="14"/>
        <v>16.166666666666668</v>
      </c>
      <c r="T92" s="17">
        <v>40</v>
      </c>
      <c r="U92" s="18">
        <f t="shared" si="15"/>
        <v>12</v>
      </c>
      <c r="V92" s="15">
        <f t="shared" si="16"/>
        <v>4.5773195876288657</v>
      </c>
      <c r="W92" s="15">
        <v>40</v>
      </c>
      <c r="X92" s="15"/>
      <c r="Y92" s="15"/>
      <c r="Z92" s="15">
        <f>VLOOKUP(A:A,[1]TDSheet!$A:$AA,27,0)</f>
        <v>10.6</v>
      </c>
      <c r="AA92" s="15">
        <f>VLOOKUP(A:A,[1]TDSheet!$A:$AB,28,0)</f>
        <v>16.399999999999999</v>
      </c>
      <c r="AB92" s="15">
        <f>VLOOKUP(A:A,[1]TDSheet!$A:$AC,29,0)</f>
        <v>17</v>
      </c>
      <c r="AC92" s="15">
        <f>VLOOKUP(A:A,[1]TDSheet!$A:$S,19,0)</f>
        <v>15</v>
      </c>
      <c r="AD92" s="15">
        <f>VLOOKUP(A:A,[2]TDSheet!$A:$D,4,0)</f>
        <v>22</v>
      </c>
      <c r="AE92" s="15">
        <f>VLOOKUP(A:A,[1]TDSheet!$A:$AE,31,0)</f>
        <v>0</v>
      </c>
      <c r="AF92" s="15" t="e">
        <f>VLOOKUP(A:A,[1]TDSheet!$A:$AF,32,0)</f>
        <v>#N/A</v>
      </c>
      <c r="AG92" s="15">
        <f t="shared" si="17"/>
        <v>11.200000000000001</v>
      </c>
      <c r="AH92" s="15"/>
      <c r="AI92" s="15"/>
      <c r="AJ92" s="15"/>
    </row>
    <row r="93" spans="1:36" s="1" customFormat="1" ht="11.1" customHeight="1" outlineLevel="1" x14ac:dyDescent="0.2">
      <c r="A93" s="7" t="s">
        <v>95</v>
      </c>
      <c r="B93" s="7" t="s">
        <v>9</v>
      </c>
      <c r="C93" s="8">
        <v>1556</v>
      </c>
      <c r="D93" s="8">
        <v>3021</v>
      </c>
      <c r="E93" s="8">
        <v>2043</v>
      </c>
      <c r="F93" s="8">
        <v>2780</v>
      </c>
      <c r="G93" s="1">
        <f>VLOOKUP(A:A,[1]TDSheet!$A:$G,7,0)</f>
        <v>0.4</v>
      </c>
      <c r="H93" s="1" t="e">
        <f>VLOOKUP(A:A,[1]TDSheet!$A:$H,8,0)</f>
        <v>#N/A</v>
      </c>
      <c r="I93" s="15">
        <f>VLOOKUP(A:A,[1]TDSheet!$A:$I,9,0)</f>
        <v>1645</v>
      </c>
      <c r="J93" s="15">
        <f>VLOOKUP(A:A,[1]TDSheet!$A:$J,10,0)</f>
        <v>9</v>
      </c>
      <c r="K93" s="15">
        <f>VLOOKUP(A:A,[1]TDSheet!$A:$M,13,0)</f>
        <v>0</v>
      </c>
      <c r="L93" s="15">
        <f>VLOOKUP(A:A,[1]TDSheet!$A:$R,18,0)</f>
        <v>400</v>
      </c>
      <c r="M93" s="15">
        <f>VLOOKUP(A:A,[1]TDSheet!$A:$T,20,0)</f>
        <v>400</v>
      </c>
      <c r="N93" s="15"/>
      <c r="O93" s="15"/>
      <c r="P93" s="15"/>
      <c r="Q93" s="15"/>
      <c r="R93" s="15"/>
      <c r="S93" s="15">
        <f t="shared" si="14"/>
        <v>340.5</v>
      </c>
      <c r="T93" s="17">
        <v>1000</v>
      </c>
      <c r="U93" s="18">
        <f t="shared" si="15"/>
        <v>13.450807635829662</v>
      </c>
      <c r="V93" s="15">
        <f t="shared" si="16"/>
        <v>8.16446402349486</v>
      </c>
      <c r="W93" s="15">
        <v>1000</v>
      </c>
      <c r="X93" s="15"/>
      <c r="Y93" s="15"/>
      <c r="Z93" s="15">
        <f>VLOOKUP(A:A,[1]TDSheet!$A:$AA,27,0)</f>
        <v>421.2</v>
      </c>
      <c r="AA93" s="15">
        <f>VLOOKUP(A:A,[1]TDSheet!$A:$AB,28,0)</f>
        <v>306.2</v>
      </c>
      <c r="AB93" s="15">
        <f>VLOOKUP(A:A,[1]TDSheet!$A:$AC,29,0)</f>
        <v>451.6</v>
      </c>
      <c r="AC93" s="15">
        <f>VLOOKUP(A:A,[1]TDSheet!$A:$S,19,0)</f>
        <v>330.8</v>
      </c>
      <c r="AD93" s="15">
        <f>VLOOKUP(A:A,[2]TDSheet!$A:$D,4,0)</f>
        <v>389</v>
      </c>
      <c r="AE93" s="15" t="str">
        <f>VLOOKUP(A:A,[1]TDSheet!$A:$AE,31,0)</f>
        <v>пл0112,</v>
      </c>
      <c r="AF93" s="15" t="str">
        <f>VLOOKUP(A:A,[1]TDSheet!$A:$AF,32,0)</f>
        <v>м-900</v>
      </c>
      <c r="AG93" s="15">
        <f t="shared" si="17"/>
        <v>400</v>
      </c>
      <c r="AH93" s="15"/>
      <c r="AI93" s="15"/>
      <c r="AJ93" s="15"/>
    </row>
    <row r="94" spans="1:36" s="1" customFormat="1" ht="11.1" customHeight="1" outlineLevel="1" x14ac:dyDescent="0.2">
      <c r="A94" s="7" t="s">
        <v>96</v>
      </c>
      <c r="B94" s="7" t="s">
        <v>9</v>
      </c>
      <c r="C94" s="8">
        <v>138</v>
      </c>
      <c r="D94" s="8">
        <v>1</v>
      </c>
      <c r="E94" s="8">
        <v>49</v>
      </c>
      <c r="F94" s="8">
        <v>114</v>
      </c>
      <c r="G94" s="1">
        <f>VLOOKUP(A:A,[1]TDSheet!$A:$G,7,0)</f>
        <v>0.22</v>
      </c>
      <c r="H94" s="1" t="e">
        <f>VLOOKUP(A:A,[1]TDSheet!$A:$H,8,0)</f>
        <v>#N/A</v>
      </c>
      <c r="I94" s="15">
        <f>VLOOKUP(A:A,[1]TDSheet!$A:$I,9,0)</f>
        <v>46</v>
      </c>
      <c r="J94" s="15">
        <f>VLOOKUP(A:A,[1]TDSheet!$A:$J,10,0)</f>
        <v>0</v>
      </c>
      <c r="K94" s="15">
        <f>VLOOKUP(A:A,[1]TDSheet!$A:$M,13,0)</f>
        <v>0</v>
      </c>
      <c r="L94" s="15">
        <f>VLOOKUP(A:A,[1]TDSheet!$A:$R,18,0)</f>
        <v>0</v>
      </c>
      <c r="M94" s="15">
        <f>VLOOKUP(A:A,[1]TDSheet!$A:$T,20,0)</f>
        <v>0</v>
      </c>
      <c r="N94" s="15"/>
      <c r="O94" s="15"/>
      <c r="P94" s="15"/>
      <c r="Q94" s="15"/>
      <c r="R94" s="15"/>
      <c r="S94" s="15">
        <f t="shared" si="14"/>
        <v>8.1666666666666661</v>
      </c>
      <c r="T94" s="17"/>
      <c r="U94" s="18">
        <f t="shared" si="15"/>
        <v>13.959183673469388</v>
      </c>
      <c r="V94" s="15">
        <f t="shared" si="16"/>
        <v>13.959183673469388</v>
      </c>
      <c r="W94" s="15"/>
      <c r="X94" s="15"/>
      <c r="Y94" s="15"/>
      <c r="Z94" s="15">
        <f>VLOOKUP(A:A,[1]TDSheet!$A:$AA,27,0)</f>
        <v>0</v>
      </c>
      <c r="AA94" s="15">
        <f>VLOOKUP(A:A,[1]TDSheet!$A:$AB,28,0)</f>
        <v>0</v>
      </c>
      <c r="AB94" s="15">
        <f>VLOOKUP(A:A,[1]TDSheet!$A:$AC,29,0)</f>
        <v>7.4</v>
      </c>
      <c r="AC94" s="15">
        <f>VLOOKUP(A:A,[1]TDSheet!$A:$S,19,0)</f>
        <v>9.1999999999999993</v>
      </c>
      <c r="AD94" s="15">
        <f>VLOOKUP(A:A,[2]TDSheet!$A:$D,4,0)</f>
        <v>3</v>
      </c>
      <c r="AE94" s="15" t="e">
        <f>VLOOKUP(A:A,[1]TDSheet!$A:$AE,31,0)</f>
        <v>#N/A</v>
      </c>
      <c r="AF94" s="15" t="e">
        <f>VLOOKUP(A:A,[1]TDSheet!$A:$AF,32,0)</f>
        <v>#N/A</v>
      </c>
      <c r="AG94" s="15">
        <f t="shared" si="17"/>
        <v>0</v>
      </c>
      <c r="AH94" s="15"/>
      <c r="AI94" s="15"/>
      <c r="AJ94" s="15"/>
    </row>
    <row r="95" spans="1:36" s="1" customFormat="1" ht="11.1" customHeight="1" outlineLevel="1" x14ac:dyDescent="0.2">
      <c r="A95" s="7" t="s">
        <v>101</v>
      </c>
      <c r="B95" s="7" t="s">
        <v>9</v>
      </c>
      <c r="C95" s="8">
        <v>126</v>
      </c>
      <c r="D95" s="8">
        <v>252</v>
      </c>
      <c r="E95" s="8">
        <v>177</v>
      </c>
      <c r="F95" s="8">
        <v>245</v>
      </c>
      <c r="G95" s="1">
        <f>VLOOKUP(A:A,[1]TDSheet!$A:$G,7,0)</f>
        <v>0.3</v>
      </c>
      <c r="H95" s="1" t="e">
        <f>VLOOKUP(A:A,[1]TDSheet!$A:$H,8,0)</f>
        <v>#N/A</v>
      </c>
      <c r="I95" s="15">
        <f>VLOOKUP(A:A,[1]TDSheet!$A:$I,9,0)</f>
        <v>158</v>
      </c>
      <c r="J95" s="15">
        <f>VLOOKUP(A:A,[1]TDSheet!$A:$J,10,0)</f>
        <v>-4</v>
      </c>
      <c r="K95" s="15">
        <f>VLOOKUP(A:A,[1]TDSheet!$A:$M,13,0)</f>
        <v>40</v>
      </c>
      <c r="L95" s="15">
        <f>VLOOKUP(A:A,[1]TDSheet!$A:$R,18,0)</f>
        <v>0</v>
      </c>
      <c r="M95" s="15">
        <f>VLOOKUP(A:A,[1]TDSheet!$A:$T,20,0)</f>
        <v>0</v>
      </c>
      <c r="N95" s="15"/>
      <c r="O95" s="15"/>
      <c r="P95" s="15"/>
      <c r="Q95" s="15"/>
      <c r="R95" s="15"/>
      <c r="S95" s="15">
        <f t="shared" si="14"/>
        <v>29.5</v>
      </c>
      <c r="T95" s="17">
        <v>80</v>
      </c>
      <c r="U95" s="18">
        <f t="shared" si="15"/>
        <v>12.372881355932204</v>
      </c>
      <c r="V95" s="15">
        <f t="shared" si="16"/>
        <v>8.3050847457627111</v>
      </c>
      <c r="W95" s="15">
        <v>80</v>
      </c>
      <c r="X95" s="15"/>
      <c r="Y95" s="15"/>
      <c r="Z95" s="15">
        <f>VLOOKUP(A:A,[1]TDSheet!$A:$AA,27,0)</f>
        <v>0</v>
      </c>
      <c r="AA95" s="15">
        <f>VLOOKUP(A:A,[1]TDSheet!$A:$AB,28,0)</f>
        <v>0</v>
      </c>
      <c r="AB95" s="15">
        <f>VLOOKUP(A:A,[1]TDSheet!$A:$AC,29,0)</f>
        <v>24.8</v>
      </c>
      <c r="AC95" s="15">
        <f>VLOOKUP(A:A,[1]TDSheet!$A:$S,19,0)</f>
        <v>30.8</v>
      </c>
      <c r="AD95" s="15">
        <f>VLOOKUP(A:A,[2]TDSheet!$A:$D,4,0)</f>
        <v>23</v>
      </c>
      <c r="AE95" s="15" t="e">
        <f>VLOOKUP(A:A,[1]TDSheet!$A:$AE,31,0)</f>
        <v>#N/A</v>
      </c>
      <c r="AF95" s="15" t="e">
        <f>VLOOKUP(A:A,[1]TDSheet!$A:$AF,32,0)</f>
        <v>#N/A</v>
      </c>
      <c r="AG95" s="15">
        <f t="shared" si="17"/>
        <v>24</v>
      </c>
      <c r="AH95" s="15"/>
      <c r="AI95" s="15"/>
      <c r="AJ95" s="15"/>
    </row>
    <row r="96" spans="1:36" s="1" customFormat="1" ht="11.1" customHeight="1" outlineLevel="1" x14ac:dyDescent="0.2">
      <c r="A96" s="7" t="s">
        <v>97</v>
      </c>
      <c r="B96" s="7" t="s">
        <v>9</v>
      </c>
      <c r="C96" s="8">
        <v>1774</v>
      </c>
      <c r="D96" s="8">
        <v>3277</v>
      </c>
      <c r="E96" s="8">
        <v>2345</v>
      </c>
      <c r="F96" s="8">
        <v>2734</v>
      </c>
      <c r="G96" s="1">
        <f>VLOOKUP(A:A,[1]TDSheet!$A:$G,7,0)</f>
        <v>0.12</v>
      </c>
      <c r="H96" s="1" t="e">
        <f>VLOOKUP(A:A,[1]TDSheet!$A:$H,8,0)</f>
        <v>#N/A</v>
      </c>
      <c r="I96" s="15">
        <f>VLOOKUP(A:A,[1]TDSheet!$A:$I,9,0)</f>
        <v>2097</v>
      </c>
      <c r="J96" s="15">
        <f>VLOOKUP(A:A,[1]TDSheet!$A:$J,10,0)</f>
        <v>26</v>
      </c>
      <c r="K96" s="15">
        <f>VLOOKUP(A:A,[1]TDSheet!$A:$M,13,0)</f>
        <v>800</v>
      </c>
      <c r="L96" s="15">
        <f>VLOOKUP(A:A,[1]TDSheet!$A:$R,18,0)</f>
        <v>600</v>
      </c>
      <c r="M96" s="15">
        <f>VLOOKUP(A:A,[1]TDSheet!$A:$T,20,0)</f>
        <v>400</v>
      </c>
      <c r="N96" s="15"/>
      <c r="O96" s="15"/>
      <c r="P96" s="15"/>
      <c r="Q96" s="15"/>
      <c r="R96" s="15"/>
      <c r="S96" s="15">
        <f t="shared" si="14"/>
        <v>390.83333333333331</v>
      </c>
      <c r="T96" s="17">
        <v>600</v>
      </c>
      <c r="U96" s="18">
        <f t="shared" si="15"/>
        <v>13.136034115138594</v>
      </c>
      <c r="V96" s="15">
        <f t="shared" si="16"/>
        <v>6.9953091684434971</v>
      </c>
      <c r="W96" s="15">
        <v>600</v>
      </c>
      <c r="X96" s="15"/>
      <c r="Y96" s="15"/>
      <c r="Z96" s="15">
        <f>VLOOKUP(A:A,[1]TDSheet!$A:$AA,27,0)</f>
        <v>353</v>
      </c>
      <c r="AA96" s="15">
        <f>VLOOKUP(A:A,[1]TDSheet!$A:$AB,28,0)</f>
        <v>173</v>
      </c>
      <c r="AB96" s="15">
        <f>VLOOKUP(A:A,[1]TDSheet!$A:$AC,29,0)</f>
        <v>379.8</v>
      </c>
      <c r="AC96" s="15">
        <f>VLOOKUP(A:A,[1]TDSheet!$A:$S,19,0)</f>
        <v>424.6</v>
      </c>
      <c r="AD96" s="15">
        <f>VLOOKUP(A:A,[2]TDSheet!$A:$D,4,0)</f>
        <v>222</v>
      </c>
      <c r="AE96" s="15" t="e">
        <f>VLOOKUP(A:A,[1]TDSheet!$A:$AE,31,0)</f>
        <v>#N/A</v>
      </c>
      <c r="AF96" s="15" t="e">
        <f>VLOOKUP(A:A,[1]TDSheet!$A:$AF,32,0)</f>
        <v>#N/A</v>
      </c>
      <c r="AG96" s="15">
        <f t="shared" si="17"/>
        <v>72</v>
      </c>
      <c r="AH96" s="15"/>
      <c r="AI96" s="15"/>
      <c r="AJ96" s="15"/>
    </row>
    <row r="97" spans="1:36" s="1" customFormat="1" ht="11.1" customHeight="1" outlineLevel="1" x14ac:dyDescent="0.2">
      <c r="A97" s="7" t="s">
        <v>102</v>
      </c>
      <c r="B97" s="7" t="s">
        <v>9</v>
      </c>
      <c r="C97" s="8">
        <v>153</v>
      </c>
      <c r="D97" s="8">
        <v>1</v>
      </c>
      <c r="E97" s="8">
        <v>41</v>
      </c>
      <c r="F97" s="8">
        <v>125</v>
      </c>
      <c r="G97" s="1">
        <f>VLOOKUP(A:A,[1]TDSheet!$A:$G,7,0)</f>
        <v>0.22</v>
      </c>
      <c r="H97" s="1" t="e">
        <f>VLOOKUP(A:A,[1]TDSheet!$A:$H,8,0)</f>
        <v>#N/A</v>
      </c>
      <c r="I97" s="15">
        <f>VLOOKUP(A:A,[1]TDSheet!$A:$I,9,0)</f>
        <v>38</v>
      </c>
      <c r="J97" s="15">
        <f>VLOOKUP(A:A,[1]TDSheet!$A:$J,10,0)</f>
        <v>0</v>
      </c>
      <c r="K97" s="15">
        <f>VLOOKUP(A:A,[1]TDSheet!$A:$M,13,0)</f>
        <v>0</v>
      </c>
      <c r="L97" s="15">
        <f>VLOOKUP(A:A,[1]TDSheet!$A:$R,18,0)</f>
        <v>0</v>
      </c>
      <c r="M97" s="15">
        <f>VLOOKUP(A:A,[1]TDSheet!$A:$T,20,0)</f>
        <v>0</v>
      </c>
      <c r="N97" s="15"/>
      <c r="O97" s="15"/>
      <c r="P97" s="15"/>
      <c r="Q97" s="15"/>
      <c r="R97" s="15"/>
      <c r="S97" s="15">
        <f t="shared" si="14"/>
        <v>6.833333333333333</v>
      </c>
      <c r="T97" s="17"/>
      <c r="U97" s="18">
        <f t="shared" si="15"/>
        <v>18.292682926829269</v>
      </c>
      <c r="V97" s="15">
        <f t="shared" si="16"/>
        <v>18.292682926829269</v>
      </c>
      <c r="W97" s="15"/>
      <c r="X97" s="15"/>
      <c r="Y97" s="15"/>
      <c r="Z97" s="15">
        <f>VLOOKUP(A:A,[1]TDSheet!$A:$AA,27,0)</f>
        <v>0</v>
      </c>
      <c r="AA97" s="15">
        <f>VLOOKUP(A:A,[1]TDSheet!$A:$AB,28,0)</f>
        <v>0</v>
      </c>
      <c r="AB97" s="15">
        <f>VLOOKUP(A:A,[1]TDSheet!$A:$AC,29,0)</f>
        <v>6.8</v>
      </c>
      <c r="AC97" s="15">
        <f>VLOOKUP(A:A,[1]TDSheet!$A:$S,19,0)</f>
        <v>7.6</v>
      </c>
      <c r="AD97" s="15">
        <f>VLOOKUP(A:A,[2]TDSheet!$A:$D,4,0)</f>
        <v>3</v>
      </c>
      <c r="AE97" s="15" t="e">
        <f>VLOOKUP(A:A,[1]TDSheet!$A:$AE,31,0)</f>
        <v>#N/A</v>
      </c>
      <c r="AF97" s="15" t="e">
        <f>VLOOKUP(A:A,[1]TDSheet!$A:$AF,32,0)</f>
        <v>#N/A</v>
      </c>
      <c r="AG97" s="15">
        <f t="shared" si="17"/>
        <v>0</v>
      </c>
      <c r="AH97" s="15"/>
      <c r="AI97" s="15"/>
      <c r="AJ97" s="15"/>
    </row>
    <row r="98" spans="1:36" s="1" customFormat="1" ht="11.1" customHeight="1" outlineLevel="1" x14ac:dyDescent="0.2">
      <c r="A98" s="7" t="s">
        <v>103</v>
      </c>
      <c r="B98" s="7" t="s">
        <v>9</v>
      </c>
      <c r="C98" s="8">
        <v>153</v>
      </c>
      <c r="D98" s="8">
        <v>6</v>
      </c>
      <c r="E98" s="8">
        <v>46</v>
      </c>
      <c r="F98" s="19">
        <v>116</v>
      </c>
      <c r="G98" s="1">
        <f>VLOOKUP(A:A,[1]TDSheet!$A:$G,7,0)</f>
        <v>0</v>
      </c>
      <c r="H98" s="1" t="e">
        <f>VLOOKUP(A:A,[1]TDSheet!$A:$H,8,0)</f>
        <v>#N/A</v>
      </c>
      <c r="I98" s="15">
        <f>VLOOKUP(A:A,[1]TDSheet!$A:$I,9,0)</f>
        <v>42</v>
      </c>
      <c r="J98" s="15">
        <f>VLOOKUP(A:A,[1]TDSheet!$A:$J,10,0)</f>
        <v>-5</v>
      </c>
      <c r="K98" s="15">
        <f>VLOOKUP(A:A,[1]TDSheet!$A:$M,13,0)</f>
        <v>0</v>
      </c>
      <c r="L98" s="15">
        <f>VLOOKUP(A:A,[1]TDSheet!$A:$R,18,0)</f>
        <v>0</v>
      </c>
      <c r="M98" s="15">
        <f>VLOOKUP(A:A,[1]TDSheet!$A:$T,20,0)</f>
        <v>0</v>
      </c>
      <c r="N98" s="15"/>
      <c r="O98" s="15"/>
      <c r="P98" s="15"/>
      <c r="Q98" s="15"/>
      <c r="R98" s="15"/>
      <c r="S98" s="15">
        <f t="shared" si="14"/>
        <v>7.666666666666667</v>
      </c>
      <c r="T98" s="17"/>
      <c r="U98" s="18">
        <f t="shared" si="15"/>
        <v>15.130434782608695</v>
      </c>
      <c r="V98" s="15">
        <f t="shared" si="16"/>
        <v>15.130434782608695</v>
      </c>
      <c r="W98" s="15"/>
      <c r="X98" s="15"/>
      <c r="Y98" s="15"/>
      <c r="Z98" s="15">
        <f>VLOOKUP(A:A,[1]TDSheet!$A:$AA,27,0)</f>
        <v>12.2</v>
      </c>
      <c r="AA98" s="15">
        <f>VLOOKUP(A:A,[1]TDSheet!$A:$AB,28,0)</f>
        <v>8</v>
      </c>
      <c r="AB98" s="15">
        <f>VLOOKUP(A:A,[1]TDSheet!$A:$AC,29,0)</f>
        <v>10.199999999999999</v>
      </c>
      <c r="AC98" s="15">
        <f>VLOOKUP(A:A,[1]TDSheet!$A:$S,19,0)</f>
        <v>7.4</v>
      </c>
      <c r="AD98" s="15">
        <f>VLOOKUP(A:A,[2]TDSheet!$A:$D,4,0)</f>
        <v>9</v>
      </c>
      <c r="AE98" s="15">
        <f>VLOOKUP(A:A,[1]TDSheet!$A:$AE,31,0)</f>
        <v>0</v>
      </c>
      <c r="AF98" s="15">
        <f>VLOOKUP(A:A,[1]TDSheet!$A:$AF,32,0)</f>
        <v>0</v>
      </c>
      <c r="AG98" s="15">
        <f t="shared" si="17"/>
        <v>0</v>
      </c>
      <c r="AH98" s="15"/>
      <c r="AI98" s="15"/>
      <c r="AJ98" s="15"/>
    </row>
    <row r="99" spans="1:36" s="1" customFormat="1" ht="11.1" customHeight="1" outlineLevel="1" x14ac:dyDescent="0.2">
      <c r="A99" s="7" t="s">
        <v>104</v>
      </c>
      <c r="B99" s="7" t="s">
        <v>8</v>
      </c>
      <c r="C99" s="8">
        <v>59.62</v>
      </c>
      <c r="D99" s="8"/>
      <c r="E99" s="8">
        <v>14.487</v>
      </c>
      <c r="F99" s="19">
        <v>45.133000000000003</v>
      </c>
      <c r="G99" s="1">
        <f>VLOOKUP(A:A,[1]TDSheet!$A:$G,7,0)</f>
        <v>0</v>
      </c>
      <c r="H99" s="1" t="e">
        <f>VLOOKUP(A:A,[1]TDSheet!$A:$H,8,0)</f>
        <v>#N/A</v>
      </c>
      <c r="I99" s="15">
        <f>VLOOKUP(A:A,[1]TDSheet!$A:$I,9,0)</f>
        <v>10</v>
      </c>
      <c r="J99" s="15">
        <f>VLOOKUP(A:A,[1]TDSheet!$A:$J,10,0)</f>
        <v>0.27200000000000024</v>
      </c>
      <c r="K99" s="15">
        <f>VLOOKUP(A:A,[1]TDSheet!$A:$M,13,0)</f>
        <v>0</v>
      </c>
      <c r="L99" s="15">
        <f>VLOOKUP(A:A,[1]TDSheet!$A:$R,18,0)</f>
        <v>0</v>
      </c>
      <c r="M99" s="15">
        <f>VLOOKUP(A:A,[1]TDSheet!$A:$T,20,0)</f>
        <v>0</v>
      </c>
      <c r="N99" s="15"/>
      <c r="O99" s="15"/>
      <c r="P99" s="15"/>
      <c r="Q99" s="15"/>
      <c r="R99" s="15"/>
      <c r="S99" s="15">
        <f t="shared" si="14"/>
        <v>2.4144999999999999</v>
      </c>
      <c r="T99" s="17"/>
      <c r="U99" s="18">
        <f t="shared" si="15"/>
        <v>18.692482915717541</v>
      </c>
      <c r="V99" s="15">
        <f t="shared" si="16"/>
        <v>18.692482915717541</v>
      </c>
      <c r="W99" s="15"/>
      <c r="X99" s="15"/>
      <c r="Y99" s="15"/>
      <c r="Z99" s="15">
        <f>VLOOKUP(A:A,[1]TDSheet!$A:$AA,27,0)</f>
        <v>5.4424000000000001</v>
      </c>
      <c r="AA99" s="15">
        <f>VLOOKUP(A:A,[1]TDSheet!$A:$AB,28,0)</f>
        <v>6.1943999999999999</v>
      </c>
      <c r="AB99" s="15">
        <f>VLOOKUP(A:A,[1]TDSheet!$A:$AC,29,0)</f>
        <v>2.4882</v>
      </c>
      <c r="AC99" s="15">
        <f>VLOOKUP(A:A,[1]TDSheet!$A:$S,19,0)</f>
        <v>2.0544000000000002</v>
      </c>
      <c r="AD99" s="15">
        <f>VLOOKUP(A:A,[2]TDSheet!$A:$D,4,0)</f>
        <v>4.2149999999999999</v>
      </c>
      <c r="AE99" s="15">
        <f>VLOOKUP(A:A,[1]TDSheet!$A:$AE,31,0)</f>
        <v>0</v>
      </c>
      <c r="AF99" s="15">
        <f>VLOOKUP(A:A,[1]TDSheet!$A:$AF,32,0)</f>
        <v>0</v>
      </c>
      <c r="AG99" s="15">
        <f t="shared" si="17"/>
        <v>0</v>
      </c>
      <c r="AH99" s="15"/>
      <c r="AI99" s="15"/>
      <c r="AJ99" s="15"/>
    </row>
    <row r="100" spans="1:36" s="1" customFormat="1" ht="11.1" customHeight="1" outlineLevel="1" x14ac:dyDescent="0.2">
      <c r="A100" s="7" t="s">
        <v>98</v>
      </c>
      <c r="B100" s="7" t="s">
        <v>8</v>
      </c>
      <c r="C100" s="8">
        <v>234.768</v>
      </c>
      <c r="D100" s="8">
        <v>501.52600000000001</v>
      </c>
      <c r="E100" s="8">
        <v>259.48500000000001</v>
      </c>
      <c r="F100" s="19">
        <v>512.75300000000004</v>
      </c>
      <c r="G100" s="1">
        <f>VLOOKUP(A:A,[1]TDSheet!$A:$G,7,0)</f>
        <v>0</v>
      </c>
      <c r="H100" s="1" t="e">
        <f>VLOOKUP(A:A,[1]TDSheet!$A:$H,8,0)</f>
        <v>#N/A</v>
      </c>
      <c r="I100" s="15">
        <f>VLOOKUP(A:A,[1]TDSheet!$A:$I,9,0)</f>
        <v>220</v>
      </c>
      <c r="J100" s="15">
        <f>VLOOKUP(A:A,[1]TDSheet!$A:$J,10,0)</f>
        <v>6.8559999999999945</v>
      </c>
      <c r="K100" s="15">
        <f>VLOOKUP(A:A,[1]TDSheet!$A:$M,13,0)</f>
        <v>0</v>
      </c>
      <c r="L100" s="15">
        <f>VLOOKUP(A:A,[1]TDSheet!$A:$R,18,0)</f>
        <v>0</v>
      </c>
      <c r="M100" s="15">
        <f>VLOOKUP(A:A,[1]TDSheet!$A:$T,20,0)</f>
        <v>0</v>
      </c>
      <c r="N100" s="15"/>
      <c r="O100" s="15"/>
      <c r="P100" s="15"/>
      <c r="Q100" s="15"/>
      <c r="R100" s="15"/>
      <c r="S100" s="15">
        <f t="shared" si="14"/>
        <v>43.247500000000002</v>
      </c>
      <c r="T100" s="17"/>
      <c r="U100" s="18">
        <f t="shared" si="15"/>
        <v>11.856246025781838</v>
      </c>
      <c r="V100" s="15">
        <f t="shared" si="16"/>
        <v>11.856246025781838</v>
      </c>
      <c r="W100" s="15"/>
      <c r="X100" s="15"/>
      <c r="Y100" s="15"/>
      <c r="Z100" s="15">
        <f>VLOOKUP(A:A,[1]TDSheet!$A:$AA,27,0)</f>
        <v>54.863399999999999</v>
      </c>
      <c r="AA100" s="15">
        <f>VLOOKUP(A:A,[1]TDSheet!$A:$AB,28,0)</f>
        <v>43.230599999999995</v>
      </c>
      <c r="AB100" s="15">
        <f>VLOOKUP(A:A,[1]TDSheet!$A:$AC,29,0)</f>
        <v>38.132999999999996</v>
      </c>
      <c r="AC100" s="15">
        <f>VLOOKUP(A:A,[1]TDSheet!$A:$S,19,0)</f>
        <v>45.371200000000002</v>
      </c>
      <c r="AD100" s="15">
        <f>VLOOKUP(A:A,[2]TDSheet!$A:$D,4,0)</f>
        <v>32.628999999999998</v>
      </c>
      <c r="AE100" s="15">
        <f>VLOOKUP(A:A,[1]TDSheet!$A:$AE,31,0)</f>
        <v>0</v>
      </c>
      <c r="AF100" s="15">
        <f>VLOOKUP(A:A,[1]TDSheet!$A:$AF,32,0)</f>
        <v>0</v>
      </c>
      <c r="AG100" s="15">
        <f t="shared" si="17"/>
        <v>0</v>
      </c>
      <c r="AH100" s="15"/>
      <c r="AI100" s="15"/>
      <c r="AJ100" s="15"/>
    </row>
    <row r="101" spans="1:36" s="1" customFormat="1" ht="11.1" customHeight="1" outlineLevel="1" x14ac:dyDescent="0.2">
      <c r="A101" s="7" t="s">
        <v>99</v>
      </c>
      <c r="B101" s="7" t="s">
        <v>9</v>
      </c>
      <c r="C101" s="8">
        <v>407</v>
      </c>
      <c r="D101" s="8">
        <v>12</v>
      </c>
      <c r="E101" s="8">
        <v>206</v>
      </c>
      <c r="F101" s="19">
        <v>235</v>
      </c>
      <c r="G101" s="1">
        <f>VLOOKUP(A:A,[1]TDSheet!$A:$G,7,0)</f>
        <v>0</v>
      </c>
      <c r="H101" s="1">
        <f>VLOOKUP(A:A,[1]TDSheet!$A:$H,8,0)</f>
        <v>0</v>
      </c>
      <c r="I101" s="15">
        <f>VLOOKUP(A:A,[1]TDSheet!$A:$I,9,0)</f>
        <v>158</v>
      </c>
      <c r="J101" s="15">
        <f>VLOOKUP(A:A,[1]TDSheet!$A:$J,10,0)</f>
        <v>-9</v>
      </c>
      <c r="K101" s="15">
        <f>VLOOKUP(A:A,[1]TDSheet!$A:$M,13,0)</f>
        <v>0</v>
      </c>
      <c r="L101" s="15">
        <f>VLOOKUP(A:A,[1]TDSheet!$A:$R,18,0)</f>
        <v>0</v>
      </c>
      <c r="M101" s="15">
        <f>VLOOKUP(A:A,[1]TDSheet!$A:$T,20,0)</f>
        <v>0</v>
      </c>
      <c r="N101" s="15"/>
      <c r="O101" s="15"/>
      <c r="P101" s="15"/>
      <c r="Q101" s="15"/>
      <c r="R101" s="15"/>
      <c r="S101" s="15">
        <f t="shared" si="14"/>
        <v>34.333333333333336</v>
      </c>
      <c r="T101" s="17"/>
      <c r="U101" s="18">
        <f t="shared" si="15"/>
        <v>6.8446601941747565</v>
      </c>
      <c r="V101" s="15">
        <f t="shared" si="16"/>
        <v>6.8446601941747565</v>
      </c>
      <c r="W101" s="15"/>
      <c r="X101" s="15"/>
      <c r="Y101" s="15"/>
      <c r="Z101" s="15">
        <f>VLOOKUP(A:A,[1]TDSheet!$A:$AA,27,0)</f>
        <v>35.200000000000003</v>
      </c>
      <c r="AA101" s="15">
        <f>VLOOKUP(A:A,[1]TDSheet!$A:$AB,28,0)</f>
        <v>41.8</v>
      </c>
      <c r="AB101" s="15">
        <f>VLOOKUP(A:A,[1]TDSheet!$A:$AC,29,0)</f>
        <v>38.6</v>
      </c>
      <c r="AC101" s="15">
        <f>VLOOKUP(A:A,[1]TDSheet!$A:$S,19,0)</f>
        <v>29.8</v>
      </c>
      <c r="AD101" s="15">
        <f>VLOOKUP(A:A,[2]TDSheet!$A:$D,4,0)</f>
        <v>57</v>
      </c>
      <c r="AE101" s="15">
        <f>VLOOKUP(A:A,[1]TDSheet!$A:$AE,31,0)</f>
        <v>0</v>
      </c>
      <c r="AF101" s="15">
        <f>VLOOKUP(A:A,[1]TDSheet!$A:$AF,32,0)</f>
        <v>0</v>
      </c>
      <c r="AG101" s="15">
        <f t="shared" si="17"/>
        <v>0</v>
      </c>
      <c r="AH101" s="15"/>
      <c r="AI101" s="15"/>
      <c r="AJ101" s="15"/>
    </row>
  </sheetData>
  <autoFilter ref="A4:AG101" xr:uid="{FA40CEB4-9C12-4982-B1DC-6B3890E5315B}"/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2025-12-22T13:04:17Z</dcterms:modified>
</cp:coreProperties>
</file>