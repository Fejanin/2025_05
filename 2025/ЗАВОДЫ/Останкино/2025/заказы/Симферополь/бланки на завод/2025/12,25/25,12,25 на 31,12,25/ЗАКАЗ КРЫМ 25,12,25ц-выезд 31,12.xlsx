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175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1'!$A$9:$J$187</definedName>
  </definedNames>
  <calcPr calcId="162913"/>
</workbook>
</file>

<file path=xl/calcChain.xml><?xml version="1.0" encoding="utf-8"?>
<calcChain xmlns="http://schemas.openxmlformats.org/spreadsheetml/2006/main">
  <c r="D87" i="2" l="1"/>
  <c r="H187" i="1"/>
  <c r="F187" i="1"/>
  <c r="E187" i="1"/>
  <c r="G186" i="1"/>
  <c r="A186" i="1"/>
  <c r="G185" i="1"/>
  <c r="A185" i="1"/>
  <c r="G184" i="1"/>
  <c r="A184" i="1"/>
  <c r="A183" i="1"/>
  <c r="A182" i="1"/>
  <c r="G181" i="1"/>
  <c r="A181" i="1"/>
  <c r="G180" i="1"/>
  <c r="A180" i="1"/>
  <c r="G179" i="1"/>
  <c r="A179" i="1"/>
  <c r="A178" i="1"/>
  <c r="G177" i="1"/>
  <c r="A177" i="1"/>
  <c r="A176" i="1"/>
  <c r="G175" i="1"/>
  <c r="A175" i="1"/>
  <c r="G174" i="1"/>
  <c r="A174" i="1"/>
  <c r="G173" i="1"/>
  <c r="A173" i="1"/>
  <c r="G172" i="1"/>
  <c r="A172" i="1"/>
  <c r="A171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7" i="1" s="1"/>
  <c r="A11" i="1"/>
</calcChain>
</file>

<file path=xl/sharedStrings.xml><?xml version="1.0" encoding="utf-8"?>
<sst xmlns="http://schemas.openxmlformats.org/spreadsheetml/2006/main" count="451" uniqueCount="265">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</sst>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1"/>
  <sheetViews>
    <sheetView tabSelected="1" zoomScale="87" zoomScaleNormal="87" workbookViewId="0">
      <pane ySplit="9" topLeftCell="A160" activePane="bottomLeft" state="frozen"/>
      <selection pane="bottomLeft" activeCell="E187" sqref="E187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46022</v>
      </c>
      <c r="E3" s="7" t="s">
        <v>3</v>
      </c>
      <c r="F3" s="97"/>
      <c r="G3" s="101">
        <v>46026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RIGHT(D11:D186,4)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RIGHT(D12:D187,4)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RIGHT(D13:D188,4)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RIGHT(D14:D187,4)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RIGHT(D15:D188,4)</f>
        <v>6268</v>
      </c>
      <c r="B15" s="27" t="s">
        <v>28</v>
      </c>
      <c r="C15" s="33" t="s">
        <v>27</v>
      </c>
      <c r="D15" s="28">
        <v>1001012426268</v>
      </c>
      <c r="E15" s="24"/>
      <c r="F15" s="23"/>
      <c r="G15" s="23">
        <f>E15*0.4</f>
        <v>0</v>
      </c>
      <c r="H15" s="14"/>
      <c r="I15" s="14"/>
      <c r="J15" s="39"/>
    </row>
    <row r="16" spans="1:12" ht="16.5" customHeight="1" x14ac:dyDescent="0.25">
      <c r="A16" s="93" t="str">
        <f>RIGHT(D16:D189,4)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RIGHT(D17:D189,4)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RIGHT(D18:D189,4)</f>
        <v>6325</v>
      </c>
      <c r="B18" s="27" t="s">
        <v>31</v>
      </c>
      <c r="C18" s="33" t="s">
        <v>27</v>
      </c>
      <c r="D18" s="28">
        <v>1001010106325</v>
      </c>
      <c r="E18" s="24">
        <v>600</v>
      </c>
      <c r="F18" s="23">
        <v>0.4</v>
      </c>
      <c r="G18" s="23">
        <f>E18*0.4</f>
        <v>240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500</v>
      </c>
      <c r="F22" s="23">
        <v>1.366666666666666</v>
      </c>
      <c r="G22" s="23">
        <f>E22*1</f>
        <v>500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2000</v>
      </c>
      <c r="F23" s="23">
        <v>0.4</v>
      </c>
      <c r="G23" s="23">
        <f>E23*0.4</f>
        <v>800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RIGHT(D26:D200,4)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RIGHT(D27:D200,4)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RIGHT(D28:D201,4)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RIGHT(D29:D204,4)</f>
        <v>4813</v>
      </c>
      <c r="B29" s="27" t="s">
        <v>42</v>
      </c>
      <c r="C29" s="30" t="s">
        <v>23</v>
      </c>
      <c r="D29" s="28">
        <v>1001012564813</v>
      </c>
      <c r="E29" s="24">
        <v>200</v>
      </c>
      <c r="F29" s="23">
        <v>1.366666666666666</v>
      </c>
      <c r="G29" s="23">
        <f>E29*1</f>
        <v>200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1000</v>
      </c>
      <c r="F30" s="23">
        <v>0.4</v>
      </c>
      <c r="G30" s="23">
        <f>E30*0.4</f>
        <v>400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RIGHT(D36:D207,4)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RIGHT(D37:D208,4)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RIGHT(D38:D208,4)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RIGHT(D39:D210,4)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RIGHT(D40:D208,4)</f>
        <v>6353</v>
      </c>
      <c r="B40" s="27" t="s">
        <v>53</v>
      </c>
      <c r="C40" s="33" t="s">
        <v>27</v>
      </c>
      <c r="D40" s="28">
        <v>1001012506353</v>
      </c>
      <c r="E40" s="24">
        <v>600</v>
      </c>
      <c r="F40" s="23">
        <v>0.4</v>
      </c>
      <c r="G40" s="23">
        <f>E40*0.4</f>
        <v>240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RIGHT(D41:D209,4)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RIGHT(D42:D212,4)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RIGHT(D43:D214,4)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RIGHT(D44:D215,4)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RIGHT(D45:D214,4)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RIGHT(D46:D215,4)</f>
        <v>7070</v>
      </c>
      <c r="B46" s="27" t="s">
        <v>59</v>
      </c>
      <c r="C46" s="30" t="s">
        <v>23</v>
      </c>
      <c r="D46" s="28">
        <v>1001022377070</v>
      </c>
      <c r="E46" s="24">
        <v>1600</v>
      </c>
      <c r="F46" s="23"/>
      <c r="G46" s="23">
        <f>E46</f>
        <v>1600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RIGHT(D47:D213,4)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RIGHT(D48:D212,4)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RIGHT(D49:D215,4)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RIGHT(D50:D216,4)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RIGHT(D51:D219,4)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RIGHT(D52:D224,4)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/>
      <c r="F53" s="23"/>
      <c r="G53" s="23">
        <f>E53*0.35</f>
        <v>0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/>
      <c r="F55" s="23">
        <v>0.41</v>
      </c>
      <c r="G55" s="23">
        <f>F55*E55</f>
        <v>0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/>
      <c r="F56" s="23">
        <v>0.3</v>
      </c>
      <c r="G56" s="23">
        <f>F56*E56</f>
        <v>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RIGHT(D58:D227,4)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RIGHT(D59:D228,4)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RIGHT(D60:D226,4)</f>
        <v>6303</v>
      </c>
      <c r="B60" s="70" t="s">
        <v>73</v>
      </c>
      <c r="C60" s="30" t="s">
        <v>23</v>
      </c>
      <c r="D60" s="28">
        <v>1001022726303</v>
      </c>
      <c r="E60" s="24"/>
      <c r="F60" s="23">
        <v>1.0666666666666671</v>
      </c>
      <c r="G60" s="23">
        <f>E60*1</f>
        <v>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RIGHT(D61:D227,4)</f>
        <v>7255</v>
      </c>
      <c r="B61" s="70" t="s">
        <v>74</v>
      </c>
      <c r="C61" s="33" t="s">
        <v>27</v>
      </c>
      <c r="D61" s="28">
        <v>1001025507255</v>
      </c>
      <c r="E61" s="24"/>
      <c r="F61" s="23"/>
      <c r="G61" s="23">
        <f>E61*0.4</f>
        <v>0</v>
      </c>
      <c r="H61" s="14"/>
      <c r="I61" s="14"/>
      <c r="J61" s="39"/>
      <c r="K61" s="82"/>
    </row>
    <row r="62" spans="1:11" ht="16.5" customHeight="1" x14ac:dyDescent="0.25">
      <c r="A62" s="93" t="str">
        <f>RIGHT(D62:D227,4)</f>
        <v>7080</v>
      </c>
      <c r="B62" s="45" t="s">
        <v>75</v>
      </c>
      <c r="C62" s="33" t="s">
        <v>27</v>
      </c>
      <c r="D62" s="28">
        <v>1001022467080</v>
      </c>
      <c r="E62" s="24"/>
      <c r="F62" s="23">
        <v>0.45</v>
      </c>
      <c r="G62" s="23">
        <f>E62*0.41</f>
        <v>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RIGHT(D63:D228,4)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RIGHT(D64:D228,4)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RIGHT(D65:D229,4)</f>
        <v>7082</v>
      </c>
      <c r="B65" s="45" t="s">
        <v>78</v>
      </c>
      <c r="C65" s="30" t="s">
        <v>23</v>
      </c>
      <c r="D65" s="28">
        <v>1001022467082</v>
      </c>
      <c r="E65" s="24"/>
      <c r="F65" s="23"/>
      <c r="G65" s="23">
        <f>E65*1</f>
        <v>0</v>
      </c>
      <c r="H65" s="14"/>
      <c r="I65" s="14"/>
      <c r="J65" s="39"/>
    </row>
    <row r="66" spans="1:11" ht="16.5" customHeight="1" x14ac:dyDescent="0.25">
      <c r="A66" s="93" t="str">
        <f>RIGHT(D66:D230,4)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RIGHT(D67:D232,4)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RIGHT(D68:D233,4)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RIGHT(D69:D233,4)</f>
        <v>6765</v>
      </c>
      <c r="B69" s="45" t="s">
        <v>82</v>
      </c>
      <c r="C69" s="33" t="s">
        <v>27</v>
      </c>
      <c r="D69" s="28">
        <v>1001023696765</v>
      </c>
      <c r="E69" s="24"/>
      <c r="F69" s="23"/>
      <c r="G69" s="23">
        <f>E69*0.36</f>
        <v>0</v>
      </c>
      <c r="H69" s="14"/>
      <c r="I69" s="14"/>
      <c r="J69" s="39"/>
    </row>
    <row r="70" spans="1:11" ht="16.5" customHeight="1" x14ac:dyDescent="0.25">
      <c r="A70" s="93" t="str">
        <f>RIGHT(D70:D234,4)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RIGHT(D71:D235,4)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RIGHT(D72:D235,4)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RIGHT(D73:D235,4)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RIGHT(D74:D233,4)</f>
        <v>7066</v>
      </c>
      <c r="B74" s="45" t="s">
        <v>87</v>
      </c>
      <c r="C74" s="33" t="s">
        <v>27</v>
      </c>
      <c r="D74" s="28">
        <v>1001022377066</v>
      </c>
      <c r="E74" s="24">
        <v>2000</v>
      </c>
      <c r="F74" s="23">
        <v>0.41</v>
      </c>
      <c r="G74" s="23">
        <f>E74*0.41</f>
        <v>820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RIGHT(D75:D234,4)</f>
        <v>6837</v>
      </c>
      <c r="B75" s="45" t="s">
        <v>88</v>
      </c>
      <c r="C75" s="33" t="s">
        <v>27</v>
      </c>
      <c r="D75" s="28">
        <v>1001022556837</v>
      </c>
      <c r="E75" s="24"/>
      <c r="F75" s="23">
        <v>0.4</v>
      </c>
      <c r="G75" s="23">
        <f>E75*0.4</f>
        <v>0</v>
      </c>
      <c r="H75" s="14"/>
      <c r="I75" s="14"/>
      <c r="J75" s="39"/>
    </row>
    <row r="76" spans="1:11" ht="16.5" customHeight="1" x14ac:dyDescent="0.25">
      <c r="A76" s="93" t="str">
        <f>RIGHT(D76:D235,4)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RIGHT(D77:D235,4)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RIGHT(D78:D236,4)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RIGHT(D79:D237,4)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RIGHT(D80:D233,4)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RIGHT(D81:D234,4)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RIGHT(D82:D237,4)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RIGHT(D83:D238,4)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RIGHT(D84:D238,4)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RIGHT(D85:D239,4)</f>
        <v>7001</v>
      </c>
      <c r="B85" s="46" t="s">
        <v>98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RIGHT(D86:D239,4)</f>
        <v>6527</v>
      </c>
      <c r="B86" s="46" t="s">
        <v>99</v>
      </c>
      <c r="C86" s="30" t="s">
        <v>23</v>
      </c>
      <c r="D86" s="28">
        <v>1001031076527</v>
      </c>
      <c r="E86" s="24"/>
      <c r="F86" s="23">
        <v>1.0166666666666671</v>
      </c>
      <c r="G86" s="23">
        <f>E86*1</f>
        <v>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RIGHT(D87:D240,4)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RIGHT(D88:D241,4)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RIGHT(D89:D242,4)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RIGHT(D90:D242,4)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RIGHT(D91:D243,4)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RIGHT(D92:D243,4)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RIGHT(D93:D244,4)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RIGHT(D94:D244,4)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RIGHT(D95:D242,4)</f>
        <v>7241</v>
      </c>
      <c r="B95" s="27" t="s">
        <v>108</v>
      </c>
      <c r="C95" s="33" t="s">
        <v>27</v>
      </c>
      <c r="D95" s="28">
        <v>1001303107241</v>
      </c>
      <c r="E95" s="24"/>
      <c r="F95" s="23">
        <v>0.28000000000000003</v>
      </c>
      <c r="G95" s="23">
        <f>E95*0.28</f>
        <v>0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RIGHT(D96:D245,4)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RIGHT(D97:D246,4)</f>
        <v>7154</v>
      </c>
      <c r="B97" s="27" t="s">
        <v>110</v>
      </c>
      <c r="C97" s="33" t="s">
        <v>27</v>
      </c>
      <c r="D97" s="28">
        <v>1001300387154</v>
      </c>
      <c r="E97" s="24">
        <v>1000</v>
      </c>
      <c r="F97" s="23">
        <v>0.35</v>
      </c>
      <c r="G97" s="23">
        <f>E97*0.35</f>
        <v>350</v>
      </c>
      <c r="H97" s="14"/>
      <c r="I97" s="14">
        <v>50</v>
      </c>
      <c r="J97" s="39"/>
    </row>
    <row r="98" spans="1:10" ht="16.5" customHeight="1" x14ac:dyDescent="0.25">
      <c r="A98" s="93" t="str">
        <f>RIGHT(D98:D248,4)</f>
        <v>6793</v>
      </c>
      <c r="B98" s="27" t="s">
        <v>111</v>
      </c>
      <c r="C98" s="33" t="s">
        <v>27</v>
      </c>
      <c r="D98" s="28">
        <v>1001303636793</v>
      </c>
      <c r="E98" s="24"/>
      <c r="F98" s="23"/>
      <c r="G98" s="23">
        <f>E98*0.33</f>
        <v>0</v>
      </c>
      <c r="H98" s="14"/>
      <c r="I98" s="14"/>
      <c r="J98" s="39"/>
    </row>
    <row r="99" spans="1:10" ht="16.5" customHeight="1" x14ac:dyDescent="0.25">
      <c r="A99" s="93" t="str">
        <f>RIGHT(D99:D249,4)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RIGHT(D100:D249,4)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RIGHT(D101:D249,4)</f>
        <v>7236</v>
      </c>
      <c r="B101" s="27" t="s">
        <v>114</v>
      </c>
      <c r="C101" s="33" t="s">
        <v>27</v>
      </c>
      <c r="D101" s="28">
        <v>1001304507236</v>
      </c>
      <c r="E101" s="24"/>
      <c r="F101" s="23">
        <v>0.28000000000000003</v>
      </c>
      <c r="G101" s="23">
        <f>E101*0.28</f>
        <v>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RIGHT(D102:D250,4)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RIGHT(D103:D251,4)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RIGHT(D104:D252,4)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RIGHT(D105:D253,4)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RIGHT(D106:D253,4)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RIGHT(D107:D252,4)</f>
        <v>7169</v>
      </c>
      <c r="B107" s="64" t="s">
        <v>120</v>
      </c>
      <c r="C107" s="33" t="s">
        <v>27</v>
      </c>
      <c r="D107" s="28">
        <v>1001303987169</v>
      </c>
      <c r="E107" s="24">
        <v>1000</v>
      </c>
      <c r="F107" s="23">
        <v>0.35</v>
      </c>
      <c r="G107" s="23">
        <f>E107*F107</f>
        <v>350</v>
      </c>
      <c r="H107" s="14"/>
      <c r="I107" s="14">
        <v>50</v>
      </c>
      <c r="J107" s="39"/>
    </row>
    <row r="108" spans="1:10" ht="16.5" customHeight="1" x14ac:dyDescent="0.25">
      <c r="A108" s="93" t="str">
        <f>RIGHT(D108:D253,4)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RIGHT(D109:D254,4)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RIGHT(D110:D255,4)</f>
        <v>6459</v>
      </c>
      <c r="B110" s="64" t="s">
        <v>123</v>
      </c>
      <c r="C110" s="33" t="s">
        <v>27</v>
      </c>
      <c r="D110" s="28">
        <v>1001214196459</v>
      </c>
      <c r="E110" s="24"/>
      <c r="F110" s="23">
        <v>0.1</v>
      </c>
      <c r="G110" s="23">
        <f>E110*F110</f>
        <v>0</v>
      </c>
      <c r="H110" s="14"/>
      <c r="I110" s="14"/>
      <c r="J110" s="39"/>
    </row>
    <row r="111" spans="1:10" ht="16.5" customHeight="1" x14ac:dyDescent="0.25">
      <c r="A111" s="93" t="str">
        <f>RIGHT(D111:D256,4)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RIGHT(D112:D254,4)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RIGHT(D113:D255,4)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RIGHT(D114:D254,4)</f>
        <v>5544</v>
      </c>
      <c r="B114" s="27" t="s">
        <v>127</v>
      </c>
      <c r="C114" s="30" t="s">
        <v>23</v>
      </c>
      <c r="D114" s="28">
        <v>1001051875544</v>
      </c>
      <c r="E114" s="24">
        <v>300</v>
      </c>
      <c r="F114" s="23">
        <v>0.85</v>
      </c>
      <c r="G114" s="23">
        <f>E114*1</f>
        <v>300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RIGHT(D115:D256,4)</f>
        <v>6697</v>
      </c>
      <c r="B115" s="27" t="s">
        <v>128</v>
      </c>
      <c r="C115" s="36" t="s">
        <v>27</v>
      </c>
      <c r="D115" s="28">
        <v>1001301876697</v>
      </c>
      <c r="E115" s="24">
        <v>1200</v>
      </c>
      <c r="F115" s="23">
        <v>0.35</v>
      </c>
      <c r="G115" s="23">
        <f>E115*0.35</f>
        <v>420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/>
      <c r="F118" s="23">
        <v>0.1</v>
      </c>
      <c r="G118" s="23">
        <f>E118*0.1</f>
        <v>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1200</v>
      </c>
      <c r="F120" s="23">
        <v>0.22</v>
      </c>
      <c r="G120" s="23">
        <f>E120*0.22</f>
        <v>264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RIGHT(D121:D263,4)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RIGHT(D122:D264,4)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RIGHT(D124:D266,4)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RIGHT(D126:D264,4)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RIGHT(D127:D265,4)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6221</v>
      </c>
      <c r="B128" s="27" t="s">
        <v>141</v>
      </c>
      <c r="C128" s="33" t="s">
        <v>27</v>
      </c>
      <c r="D128" s="28">
        <v>1001205376221</v>
      </c>
      <c r="E128" s="24"/>
      <c r="F128" s="23">
        <v>0.09</v>
      </c>
      <c r="G128" s="23">
        <f>F128*E128</f>
        <v>0</v>
      </c>
      <c r="H128" s="14"/>
      <c r="I128" s="14"/>
      <c r="J128" s="39"/>
    </row>
    <row r="129" spans="1:10" ht="16.5" customHeight="1" x14ac:dyDescent="0.25">
      <c r="A129" s="93" t="str">
        <f>RIGHT(D129:D266,4)</f>
        <v>5679</v>
      </c>
      <c r="B129" s="27" t="s">
        <v>142</v>
      </c>
      <c r="C129" s="33" t="s">
        <v>27</v>
      </c>
      <c r="D129" s="28">
        <v>1001190765679</v>
      </c>
      <c r="E129" s="24"/>
      <c r="F129" s="23">
        <v>0.15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RIGHT(D131:D269,4)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RIGHT(D132:D269,4)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1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RIGHT(D133:D270,4)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RIGHT(D137:D273,4)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RIGHT(D138:D274,4)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RIGHT(D140:D269,4)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RIGHT(D141:D270,4)</f>
        <v>7317</v>
      </c>
      <c r="B141" s="27" t="s">
        <v>154</v>
      </c>
      <c r="C141" s="33" t="s">
        <v>27</v>
      </c>
      <c r="D141" s="28">
        <v>1001066567317</v>
      </c>
      <c r="E141" s="24"/>
      <c r="F141" s="23">
        <v>0.54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7382</v>
      </c>
      <c r="B142" s="27" t="s">
        <v>155</v>
      </c>
      <c r="C142" s="33" t="s">
        <v>27</v>
      </c>
      <c r="D142" s="28">
        <v>1001203117382</v>
      </c>
      <c r="E142" s="24"/>
      <c r="F142" s="23">
        <v>0.12</v>
      </c>
      <c r="G142" s="23">
        <f>E142*0.12</f>
        <v>0</v>
      </c>
      <c r="H142" s="14">
        <v>0.96</v>
      </c>
      <c r="I142" s="14">
        <v>60</v>
      </c>
      <c r="J142" s="39"/>
    </row>
    <row r="143" spans="1:10" ht="16.5" customHeight="1" x14ac:dyDescent="0.25">
      <c r="A143" s="93" t="str">
        <f>RIGHT(D143:D272,4)</f>
        <v>4117</v>
      </c>
      <c r="B143" s="27" t="s">
        <v>156</v>
      </c>
      <c r="C143" s="30" t="s">
        <v>23</v>
      </c>
      <c r="D143" s="28">
        <v>1001062504117</v>
      </c>
      <c r="E143" s="24"/>
      <c r="F143" s="23">
        <v>0.48749999999999999</v>
      </c>
      <c r="G143" s="23">
        <f>E143*1</f>
        <v>0</v>
      </c>
      <c r="H143" s="14">
        <v>3.9</v>
      </c>
      <c r="I143" s="14">
        <v>120</v>
      </c>
      <c r="J143" s="39"/>
    </row>
    <row r="144" spans="1:10" ht="16.5" customHeight="1" x14ac:dyDescent="0.25">
      <c r="A144" s="93" t="str">
        <f>RIGHT(D144:D273,4)</f>
        <v>3680</v>
      </c>
      <c r="B144" s="27" t="s">
        <v>157</v>
      </c>
      <c r="C144" s="30" t="s">
        <v>23</v>
      </c>
      <c r="D144" s="28">
        <v>1001062353680</v>
      </c>
      <c r="E144" s="24"/>
      <c r="F144" s="23"/>
      <c r="G144" s="23">
        <f>E144</f>
        <v>0</v>
      </c>
      <c r="H144" s="14"/>
      <c r="I144" s="14"/>
      <c r="J144" s="39"/>
    </row>
    <row r="145" spans="1:10" ht="16.5" customHeight="1" x14ac:dyDescent="0.25">
      <c r="A145" s="93" t="str">
        <f>RIGHT(D145:D273,4)</f>
        <v>5483</v>
      </c>
      <c r="B145" s="27" t="s">
        <v>158</v>
      </c>
      <c r="C145" s="33" t="s">
        <v>27</v>
      </c>
      <c r="D145" s="28">
        <v>1001062505483</v>
      </c>
      <c r="E145" s="24"/>
      <c r="F145" s="23">
        <v>0.25</v>
      </c>
      <c r="G145" s="23">
        <f>E145*0.25</f>
        <v>0</v>
      </c>
      <c r="H145" s="14">
        <v>2</v>
      </c>
      <c r="I145" s="14">
        <v>120</v>
      </c>
      <c r="J145" s="39"/>
    </row>
    <row r="146" spans="1:10" ht="16.5" customHeight="1" thickBot="1" x14ac:dyDescent="0.3">
      <c r="A146" s="93" t="str">
        <f>RIGHT(D146:D274,4)</f>
        <v>6453</v>
      </c>
      <c r="B146" s="27" t="s">
        <v>159</v>
      </c>
      <c r="C146" s="33" t="s">
        <v>27</v>
      </c>
      <c r="D146" s="28">
        <v>1001202506453</v>
      </c>
      <c r="E146" s="24"/>
      <c r="F146" s="23">
        <v>0.1</v>
      </c>
      <c r="G146" s="23">
        <f>E146*0.1</f>
        <v>0</v>
      </c>
      <c r="H146" s="14">
        <v>0.8</v>
      </c>
      <c r="I146" s="14">
        <v>60</v>
      </c>
      <c r="J146" s="39"/>
    </row>
    <row r="147" spans="1:10" ht="16.5" customHeight="1" thickTop="1" thickBot="1" x14ac:dyDescent="0.3">
      <c r="A147" s="93" t="str">
        <f>RIGHT(D147:D275,4)</f>
        <v/>
      </c>
      <c r="B147" s="74" t="s">
        <v>160</v>
      </c>
      <c r="C147" s="74"/>
      <c r="D147" s="74"/>
      <c r="E147" s="74"/>
      <c r="F147" s="73"/>
      <c r="G147" s="74"/>
      <c r="H147" s="74"/>
      <c r="I147" s="74"/>
      <c r="J147" s="75"/>
    </row>
    <row r="148" spans="1:10" ht="16.5" customHeight="1" thickTop="1" x14ac:dyDescent="0.25">
      <c r="A148" s="93" t="str">
        <f>RIGHT(D148:D279,4)</f>
        <v>6470</v>
      </c>
      <c r="B148" s="29" t="s">
        <v>161</v>
      </c>
      <c r="C148" s="32" t="s">
        <v>23</v>
      </c>
      <c r="D148" s="80">
        <v>1001092436470</v>
      </c>
      <c r="E148" s="24"/>
      <c r="F148" s="23"/>
      <c r="G148" s="23">
        <f>E148*1</f>
        <v>0</v>
      </c>
      <c r="H148" s="14"/>
      <c r="I148" s="14"/>
      <c r="J148" s="39"/>
    </row>
    <row r="149" spans="1:10" ht="16.5" customHeight="1" x14ac:dyDescent="0.25">
      <c r="A149" s="93" t="str">
        <f>RIGHT(D149:D280,4)</f>
        <v>6495</v>
      </c>
      <c r="B149" s="29" t="s">
        <v>162</v>
      </c>
      <c r="C149" s="32" t="s">
        <v>27</v>
      </c>
      <c r="D149" s="80">
        <v>1001092436495</v>
      </c>
      <c r="E149" s="24"/>
      <c r="F149" s="23">
        <v>0.3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RIGHT(D150:D281,4)</f>
        <v>7235</v>
      </c>
      <c r="B150" s="29" t="s">
        <v>163</v>
      </c>
      <c r="C150" s="32" t="s">
        <v>27</v>
      </c>
      <c r="D150" s="80">
        <v>1001095227235</v>
      </c>
      <c r="E150" s="24"/>
      <c r="F150" s="23">
        <v>0.35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6411</v>
      </c>
      <c r="B151" s="29" t="s">
        <v>164</v>
      </c>
      <c r="C151" s="32" t="s">
        <v>27</v>
      </c>
      <c r="D151" s="80">
        <v>1001093316411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RIGHT(D152:D283,4)</f>
        <v>7377</v>
      </c>
      <c r="B152" s="29" t="s">
        <v>165</v>
      </c>
      <c r="C152" s="32" t="s">
        <v>27</v>
      </c>
      <c r="D152" s="80">
        <v>1001095027377</v>
      </c>
      <c r="E152" s="24"/>
      <c r="F152" s="23">
        <v>0.3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RIGHT(D153:D280,4)</f>
        <v>6866</v>
      </c>
      <c r="B153" s="29" t="s">
        <v>166</v>
      </c>
      <c r="C153" s="32" t="s">
        <v>23</v>
      </c>
      <c r="D153" s="80">
        <v>1001095716866</v>
      </c>
      <c r="E153" s="24"/>
      <c r="F153" s="23"/>
      <c r="G153" s="23">
        <f>E153*1</f>
        <v>0</v>
      </c>
      <c r="H153" s="14"/>
      <c r="I153" s="14"/>
      <c r="J153" s="39"/>
    </row>
    <row r="154" spans="1:10" ht="16.5" customHeight="1" x14ac:dyDescent="0.25">
      <c r="A154" s="93" t="str">
        <f>RIGHT(D154:D277,4)</f>
        <v>3215</v>
      </c>
      <c r="B154" s="27" t="s">
        <v>167</v>
      </c>
      <c r="C154" s="37" t="s">
        <v>27</v>
      </c>
      <c r="D154" s="51">
        <v>1001094053215</v>
      </c>
      <c r="E154" s="24"/>
      <c r="F154" s="23">
        <v>0.4</v>
      </c>
      <c r="G154" s="23">
        <f>E154*0.4</f>
        <v>0</v>
      </c>
      <c r="H154" s="14">
        <v>3.2</v>
      </c>
      <c r="I154" s="14">
        <v>60</v>
      </c>
      <c r="J154" s="39"/>
    </row>
    <row r="155" spans="1:10" ht="16.5" customHeight="1" thickBot="1" x14ac:dyDescent="0.3">
      <c r="A155" s="93" t="str">
        <f>RIGHT(D155:D278,4)</f>
        <v>7245</v>
      </c>
      <c r="B155" s="27" t="s">
        <v>168</v>
      </c>
      <c r="C155" s="37" t="s">
        <v>27</v>
      </c>
      <c r="D155" s="51">
        <v>1001092687245</v>
      </c>
      <c r="E155" s="24"/>
      <c r="F155" s="23">
        <v>0.4</v>
      </c>
      <c r="G155" s="23">
        <f>E155*0.4</f>
        <v>0</v>
      </c>
      <c r="H155" s="14"/>
      <c r="I155" s="14"/>
      <c r="J155" s="39"/>
    </row>
    <row r="156" spans="1:10" ht="16.5" customHeight="1" thickTop="1" thickBot="1" x14ac:dyDescent="0.3">
      <c r="A156" s="93" t="str">
        <f>RIGHT(D156:D280,4)</f>
        <v/>
      </c>
      <c r="B156" s="74" t="s">
        <v>169</v>
      </c>
      <c r="C156" s="74"/>
      <c r="D156" s="74"/>
      <c r="E156" s="74"/>
      <c r="F156" s="73"/>
      <c r="G156" s="74"/>
      <c r="H156" s="74"/>
      <c r="I156" s="74"/>
      <c r="J156" s="75"/>
    </row>
    <row r="157" spans="1:10" ht="16.5" customHeight="1" thickTop="1" x14ac:dyDescent="0.25">
      <c r="A157" s="93" t="str">
        <f>RIGHT(D157:D283,4)</f>
        <v>7090</v>
      </c>
      <c r="B157" s="47" t="s">
        <v>170</v>
      </c>
      <c r="C157" s="35" t="s">
        <v>27</v>
      </c>
      <c r="D157" s="28">
        <v>1001084217090</v>
      </c>
      <c r="E157" s="24"/>
      <c r="F157" s="23">
        <v>0.3</v>
      </c>
      <c r="G157" s="23">
        <f>E157*F157</f>
        <v>0</v>
      </c>
      <c r="H157" s="14"/>
      <c r="I157" s="14">
        <v>50</v>
      </c>
      <c r="J157" s="39"/>
    </row>
    <row r="158" spans="1:10" ht="16.5" customHeight="1" x14ac:dyDescent="0.25">
      <c r="A158" s="93" t="str">
        <f>RIGHT(D158:D284,4)</f>
        <v>4691</v>
      </c>
      <c r="B158" s="47" t="s">
        <v>171</v>
      </c>
      <c r="C158" s="35" t="s">
        <v>27</v>
      </c>
      <c r="D158" s="28">
        <v>1001083424691</v>
      </c>
      <c r="E158" s="24"/>
      <c r="F158" s="23">
        <v>0.3</v>
      </c>
      <c r="G158" s="23">
        <f t="shared" ref="G158:G164" si="5">F158*E158</f>
        <v>0</v>
      </c>
      <c r="H158" s="14"/>
      <c r="I158" s="14"/>
      <c r="J158" s="92"/>
    </row>
    <row r="159" spans="1:10" ht="16.5" customHeight="1" x14ac:dyDescent="0.25">
      <c r="A159" s="93" t="str">
        <f>RIGHT(D159:D285,4)</f>
        <v>7187</v>
      </c>
      <c r="B159" s="47" t="s">
        <v>172</v>
      </c>
      <c r="C159" s="35" t="s">
        <v>27</v>
      </c>
      <c r="D159" s="28">
        <v>1001085637187</v>
      </c>
      <c r="E159" s="24"/>
      <c r="F159" s="23">
        <v>0.3</v>
      </c>
      <c r="G159" s="23">
        <f t="shared" si="5"/>
        <v>0</v>
      </c>
      <c r="H159" s="14"/>
      <c r="I159" s="14"/>
      <c r="J159" s="92"/>
    </row>
    <row r="160" spans="1:10" ht="16.5" customHeight="1" x14ac:dyDescent="0.25">
      <c r="A160" s="93" t="str">
        <f>RIGHT(D160:D286,4)</f>
        <v>6201</v>
      </c>
      <c r="B160" s="47" t="s">
        <v>173</v>
      </c>
      <c r="C160" s="35" t="s">
        <v>27</v>
      </c>
      <c r="D160" s="28">
        <v>1001225636201</v>
      </c>
      <c r="E160" s="24"/>
      <c r="F160" s="23">
        <v>0.15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RIGHT(D161:D286,4)</f>
        <v>6842</v>
      </c>
      <c r="B161" s="47" t="s">
        <v>174</v>
      </c>
      <c r="C161" s="35" t="s">
        <v>27</v>
      </c>
      <c r="D161" s="28">
        <v>1001080216842</v>
      </c>
      <c r="E161" s="24"/>
      <c r="F161" s="23">
        <v>0.3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RIGHT(D162:D286,4)</f>
        <v>6492</v>
      </c>
      <c r="B162" s="47" t="s">
        <v>175</v>
      </c>
      <c r="C162" s="35" t="s">
        <v>27</v>
      </c>
      <c r="D162" s="28">
        <v>1001084226492</v>
      </c>
      <c r="E162" s="24"/>
      <c r="F162" s="23">
        <v>0.3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6279</v>
      </c>
      <c r="B163" s="47" t="s">
        <v>176</v>
      </c>
      <c r="C163" s="35" t="s">
        <v>27</v>
      </c>
      <c r="D163" s="28">
        <v>1001220286279</v>
      </c>
      <c r="E163" s="24"/>
      <c r="F163" s="23">
        <v>0.15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RIGHT(D164:D285,4)</f>
        <v>4786</v>
      </c>
      <c r="B164" s="47" t="s">
        <v>177</v>
      </c>
      <c r="C164" s="35" t="s">
        <v>27</v>
      </c>
      <c r="D164" s="28">
        <v>1001053944786</v>
      </c>
      <c r="E164" s="24"/>
      <c r="F164" s="23">
        <v>7.0000000000000007E-2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7052</v>
      </c>
      <c r="B165" s="47" t="s">
        <v>178</v>
      </c>
      <c r="C165" s="35" t="s">
        <v>23</v>
      </c>
      <c r="D165" s="28">
        <v>1001204447052</v>
      </c>
      <c r="E165" s="24"/>
      <c r="F165" s="23">
        <v>1</v>
      </c>
      <c r="G165" s="23">
        <f>E165</f>
        <v>0</v>
      </c>
      <c r="H165" s="14"/>
      <c r="I165" s="14"/>
      <c r="J165" s="92"/>
    </row>
    <row r="166" spans="1:10" ht="16.5" customHeight="1" x14ac:dyDescent="0.25">
      <c r="A166" s="93" t="str">
        <f>RIGHT(D166:D286,4)</f>
        <v>7053</v>
      </c>
      <c r="B166" s="47" t="s">
        <v>179</v>
      </c>
      <c r="C166" s="35" t="s">
        <v>23</v>
      </c>
      <c r="D166" s="28">
        <v>1001223297053</v>
      </c>
      <c r="E166" s="24"/>
      <c r="F166" s="23">
        <v>1</v>
      </c>
      <c r="G166" s="23">
        <f>E166</f>
        <v>0</v>
      </c>
      <c r="H166" s="14"/>
      <c r="I166" s="14"/>
      <c r="J166" s="92"/>
    </row>
    <row r="167" spans="1:10" ht="16.5" customHeight="1" x14ac:dyDescent="0.25">
      <c r="A167" s="93" t="str">
        <f>RIGHT(D167:D286,4)</f>
        <v>7092</v>
      </c>
      <c r="B167" s="27" t="s">
        <v>180</v>
      </c>
      <c r="C167" s="33" t="s">
        <v>27</v>
      </c>
      <c r="D167" s="28">
        <v>1001223297092</v>
      </c>
      <c r="E167" s="24"/>
      <c r="F167" s="23">
        <v>0.14000000000000001</v>
      </c>
      <c r="G167" s="23">
        <f>F167*E167</f>
        <v>0</v>
      </c>
      <c r="H167" s="14"/>
      <c r="I167" s="14"/>
      <c r="J167" s="39"/>
    </row>
    <row r="168" spans="1:10" ht="16.5" customHeight="1" x14ac:dyDescent="0.25">
      <c r="A168" s="93" t="str">
        <f>RIGHT(D168:D287,4)</f>
        <v>7103</v>
      </c>
      <c r="B168" s="27" t="s">
        <v>181</v>
      </c>
      <c r="C168" s="33" t="s">
        <v>27</v>
      </c>
      <c r="D168" s="28">
        <v>1001223297103</v>
      </c>
      <c r="E168" s="24"/>
      <c r="F168" s="23">
        <v>0.18</v>
      </c>
      <c r="G168" s="23">
        <f>F168*E168</f>
        <v>0</v>
      </c>
      <c r="H168" s="14"/>
      <c r="I168" s="14"/>
      <c r="J168" s="92"/>
    </row>
    <row r="169" spans="1:10" ht="16.5" customHeight="1" thickBot="1" x14ac:dyDescent="0.3">
      <c r="A169" s="93" t="str">
        <f>RIGHT(D169:D284,4)</f>
        <v>6919</v>
      </c>
      <c r="B169" s="47" t="s">
        <v>182</v>
      </c>
      <c r="C169" s="35" t="s">
        <v>27</v>
      </c>
      <c r="D169" s="28">
        <v>1001223296919</v>
      </c>
      <c r="E169" s="24"/>
      <c r="F169" s="23"/>
      <c r="G169" s="23">
        <f>E169*0.18</f>
        <v>0</v>
      </c>
      <c r="H169" s="14"/>
      <c r="I169" s="14"/>
      <c r="J169" s="92"/>
    </row>
    <row r="170" spans="1:10" ht="16.5" customHeight="1" thickTop="1" thickBot="1" x14ac:dyDescent="0.3">
      <c r="A170" s="93" t="str">
        <f>RIGHT(D170:D285,4)</f>
        <v/>
      </c>
      <c r="B170" s="74" t="s">
        <v>183</v>
      </c>
      <c r="C170" s="74"/>
      <c r="D170" s="74"/>
      <c r="E170" s="74"/>
      <c r="F170" s="73"/>
      <c r="G170" s="74"/>
      <c r="H170" s="74"/>
      <c r="I170" s="74"/>
      <c r="J170" s="75"/>
    </row>
    <row r="171" spans="1:10" ht="16.5" customHeight="1" thickTop="1" thickBot="1" x14ac:dyDescent="0.3">
      <c r="A171" s="93" t="str">
        <f>RIGHT(D171:D288,4)</f>
        <v/>
      </c>
      <c r="B171" s="74" t="s">
        <v>184</v>
      </c>
      <c r="C171" s="74"/>
      <c r="D171" s="74"/>
      <c r="E171" s="74"/>
      <c r="F171" s="73"/>
      <c r="G171" s="74"/>
      <c r="H171" s="74"/>
      <c r="I171" s="74"/>
      <c r="J171" s="75"/>
    </row>
    <row r="172" spans="1:10" ht="16.5" customHeight="1" thickTop="1" x14ac:dyDescent="0.25">
      <c r="A172" s="93" t="str">
        <f>RIGHT(D172:D289,4)</f>
        <v>6314</v>
      </c>
      <c r="B172" s="47" t="s">
        <v>185</v>
      </c>
      <c r="C172" s="33" t="s">
        <v>27</v>
      </c>
      <c r="D172" s="28">
        <v>1002112606314</v>
      </c>
      <c r="E172" s="24"/>
      <c r="F172" s="23">
        <v>0.5</v>
      </c>
      <c r="G172" s="23">
        <f>E172*0.5</f>
        <v>0</v>
      </c>
      <c r="H172" s="14">
        <v>8</v>
      </c>
      <c r="I172" s="72">
        <v>120</v>
      </c>
      <c r="J172" s="39"/>
    </row>
    <row r="173" spans="1:10" ht="16.5" customHeight="1" x14ac:dyDescent="0.25">
      <c r="A173" s="93" t="str">
        <f>RIGHT(D173:D290,4)</f>
        <v>6155</v>
      </c>
      <c r="B173" s="47" t="s">
        <v>186</v>
      </c>
      <c r="C173" s="33" t="s">
        <v>27</v>
      </c>
      <c r="D173" s="28">
        <v>1002115036155</v>
      </c>
      <c r="E173" s="24"/>
      <c r="F173" s="23"/>
      <c r="G173" s="23">
        <f>E173*0.45</f>
        <v>0</v>
      </c>
      <c r="H173" s="14"/>
      <c r="I173" s="72"/>
      <c r="J173" s="39"/>
    </row>
    <row r="174" spans="1:10" ht="16.5" customHeight="1" x14ac:dyDescent="0.25">
      <c r="A174" s="93" t="str">
        <f>RIGHT(D174:D291,4)</f>
        <v>6157</v>
      </c>
      <c r="B174" s="47" t="s">
        <v>187</v>
      </c>
      <c r="C174" s="33" t="s">
        <v>27</v>
      </c>
      <c r="D174" s="28">
        <v>1002115056157</v>
      </c>
      <c r="E174" s="24"/>
      <c r="F174" s="23"/>
      <c r="G174" s="23">
        <f>E174*0.45</f>
        <v>0</v>
      </c>
      <c r="H174" s="14"/>
      <c r="I174" s="72"/>
      <c r="J174" s="39"/>
    </row>
    <row r="175" spans="1:10" ht="16.5" customHeight="1" thickBot="1" x14ac:dyDescent="0.3">
      <c r="A175" s="93" t="str">
        <f t="shared" ref="A175:A186" si="6">RIGHT(D175:D290,4)</f>
        <v>6313</v>
      </c>
      <c r="B175" s="47" t="s">
        <v>188</v>
      </c>
      <c r="C175" s="36" t="s">
        <v>27</v>
      </c>
      <c r="D175" s="28">
        <v>1002112606313</v>
      </c>
      <c r="E175" s="24"/>
      <c r="F175" s="23">
        <v>0.9</v>
      </c>
      <c r="G175" s="23">
        <f>E175*0.9</f>
        <v>0</v>
      </c>
      <c r="H175" s="14">
        <v>9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ht="16.5" customHeight="1" thickTop="1" thickBot="1" x14ac:dyDescent="0.3">
      <c r="A177" s="93" t="str">
        <f t="shared" si="6"/>
        <v>4945</v>
      </c>
      <c r="B177" s="47" t="s">
        <v>190</v>
      </c>
      <c r="C177" s="36" t="s">
        <v>27</v>
      </c>
      <c r="D177" s="28">
        <v>1002151784945</v>
      </c>
      <c r="E177" s="24"/>
      <c r="F177" s="23">
        <v>0.5</v>
      </c>
      <c r="G177" s="23">
        <f>E177*0.5</f>
        <v>0</v>
      </c>
      <c r="H177" s="14">
        <v>8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s="88" customFormat="1" ht="16.5" customHeight="1" thickTop="1" thickBot="1" x14ac:dyDescent="0.3">
      <c r="A179" s="93" t="str">
        <f t="shared" si="6"/>
        <v>4956</v>
      </c>
      <c r="B179" s="89" t="s">
        <v>192</v>
      </c>
      <c r="C179" s="90" t="s">
        <v>27</v>
      </c>
      <c r="D179" s="83">
        <v>1002133974956</v>
      </c>
      <c r="E179" s="84"/>
      <c r="F179" s="85">
        <v>0.42</v>
      </c>
      <c r="G179" s="85">
        <f>E179*0.42</f>
        <v>0</v>
      </c>
      <c r="H179" s="86">
        <v>4.2</v>
      </c>
      <c r="I179" s="91">
        <v>120</v>
      </c>
      <c r="J179" s="86"/>
      <c r="K179" s="87"/>
    </row>
    <row r="180" spans="1:11" ht="16.5" customHeight="1" thickTop="1" x14ac:dyDescent="0.25">
      <c r="A180" s="93" t="str">
        <f t="shared" si="6"/>
        <v>1762</v>
      </c>
      <c r="B180" s="47" t="s">
        <v>193</v>
      </c>
      <c r="C180" s="33" t="s">
        <v>27</v>
      </c>
      <c r="D180" s="28">
        <v>1002131151762</v>
      </c>
      <c r="E180" s="24"/>
      <c r="F180" s="23">
        <v>0.42</v>
      </c>
      <c r="G180" s="23">
        <f>E180*0.42</f>
        <v>0</v>
      </c>
      <c r="H180" s="14">
        <v>4.2</v>
      </c>
      <c r="I180" s="72">
        <v>120</v>
      </c>
      <c r="J180" s="39"/>
    </row>
    <row r="181" spans="1:11" ht="16.5" customHeight="1" thickBot="1" x14ac:dyDescent="0.3">
      <c r="A181" s="93" t="str">
        <f t="shared" si="6"/>
        <v>1764</v>
      </c>
      <c r="B181" s="47" t="s">
        <v>194</v>
      </c>
      <c r="C181" s="36" t="s">
        <v>27</v>
      </c>
      <c r="D181" s="28">
        <v>1002131181764</v>
      </c>
      <c r="E181" s="24"/>
      <c r="F181" s="23">
        <v>0.42</v>
      </c>
      <c r="G181" s="23">
        <f>E181*0.42</f>
        <v>0</v>
      </c>
      <c r="H181" s="14">
        <v>4.2</v>
      </c>
      <c r="I181" s="72">
        <v>120</v>
      </c>
      <c r="J181" s="39"/>
    </row>
    <row r="182" spans="1:11" ht="16.5" customHeight="1" thickTop="1" thickBot="1" x14ac:dyDescent="0.3">
      <c r="A182" s="93" t="str">
        <f t="shared" si="6"/>
        <v/>
      </c>
      <c r="B182" s="74" t="s">
        <v>195</v>
      </c>
      <c r="C182" s="74"/>
      <c r="D182" s="74"/>
      <c r="E182" s="74"/>
      <c r="F182" s="73"/>
      <c r="G182" s="74"/>
      <c r="H182" s="74"/>
      <c r="I182" s="74"/>
      <c r="J182" s="75"/>
    </row>
    <row r="183" spans="1:11" ht="16.5" customHeight="1" thickTop="1" thickBot="1" x14ac:dyDescent="0.3">
      <c r="A183" s="93" t="str">
        <f t="shared" si="6"/>
        <v/>
      </c>
      <c r="B183" s="74" t="s">
        <v>196</v>
      </c>
      <c r="C183" s="74"/>
      <c r="D183" s="74"/>
      <c r="E183" s="74"/>
      <c r="F183" s="73"/>
      <c r="G183" s="74"/>
      <c r="H183" s="74"/>
      <c r="I183" s="74"/>
      <c r="J183" s="75"/>
    </row>
    <row r="184" spans="1:11" ht="16.5" customHeight="1" thickTop="1" thickBot="1" x14ac:dyDescent="0.3">
      <c r="A184" s="93" t="str">
        <f t="shared" si="6"/>
        <v>6004</v>
      </c>
      <c r="B184" s="47" t="s">
        <v>197</v>
      </c>
      <c r="C184" s="36" t="s">
        <v>27</v>
      </c>
      <c r="D184" s="68" t="s">
        <v>198</v>
      </c>
      <c r="E184" s="24"/>
      <c r="F184" s="23">
        <v>1</v>
      </c>
      <c r="G184" s="23">
        <f>E184*1</f>
        <v>0</v>
      </c>
      <c r="H184" s="14">
        <v>8</v>
      </c>
      <c r="I184" s="72">
        <v>120</v>
      </c>
      <c r="J184" s="39"/>
    </row>
    <row r="185" spans="1:11" ht="15.75" customHeight="1" thickTop="1" x14ac:dyDescent="0.25">
      <c r="A185" s="93" t="str">
        <f t="shared" si="6"/>
        <v>5417</v>
      </c>
      <c r="B185" s="47" t="s">
        <v>199</v>
      </c>
      <c r="C185" s="30" t="s">
        <v>23</v>
      </c>
      <c r="D185" s="68" t="s">
        <v>200</v>
      </c>
      <c r="E185" s="24"/>
      <c r="F185" s="23">
        <v>2</v>
      </c>
      <c r="G185" s="23">
        <f>E185*1</f>
        <v>0</v>
      </c>
      <c r="H185" s="14">
        <v>6</v>
      </c>
      <c r="I185" s="72">
        <v>90</v>
      </c>
      <c r="J185" s="39"/>
    </row>
    <row r="186" spans="1:11" ht="15.75" customHeight="1" thickBot="1" x14ac:dyDescent="0.3">
      <c r="A186" s="93" t="str">
        <f t="shared" si="6"/>
        <v>6019</v>
      </c>
      <c r="B186" s="47" t="s">
        <v>201</v>
      </c>
      <c r="C186" s="36" t="s">
        <v>27</v>
      </c>
      <c r="D186" s="69" t="s">
        <v>202</v>
      </c>
      <c r="E186" s="24"/>
      <c r="F186" s="23">
        <v>1</v>
      </c>
      <c r="G186" s="23">
        <f>E186*1</f>
        <v>0</v>
      </c>
      <c r="H186" s="14">
        <v>12</v>
      </c>
      <c r="I186" s="72">
        <v>120</v>
      </c>
      <c r="J186" s="39"/>
    </row>
    <row r="187" spans="1:11" ht="16.5" customHeight="1" thickTop="1" thickBot="1" x14ac:dyDescent="0.3">
      <c r="A187" s="77"/>
      <c r="B187" s="77" t="s">
        <v>203</v>
      </c>
      <c r="C187" s="16"/>
      <c r="D187" s="48"/>
      <c r="E187" s="17">
        <f>SUM(E5:E186)</f>
        <v>13200</v>
      </c>
      <c r="F187" s="17">
        <f>SUM(F10:F186)</f>
        <v>47.803333333333306</v>
      </c>
      <c r="G187" s="17">
        <f>SUM(G11:G186)</f>
        <v>6484</v>
      </c>
      <c r="H187" s="17">
        <f>SUM(H10:H183)</f>
        <v>128.91</v>
      </c>
      <c r="I187" s="17"/>
      <c r="J187" s="17"/>
    </row>
    <row r="188" spans="1:11" ht="15.75" customHeight="1" thickTop="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</sheetData>
  <autoFilter ref="A9:J187"/>
  <mergeCells count="2">
    <mergeCell ref="E1:J1"/>
    <mergeCell ref="G3:J3"/>
  </mergeCells>
  <dataValidations disablePrompts="1" count="2">
    <dataValidation type="textLength" operator="lessThanOrEqual" showInputMessage="1" showErrorMessage="1" sqref="B180">
      <formula1>40</formula1>
    </dataValidation>
    <dataValidation type="textLength" operator="equal" showInputMessage="1" showErrorMessage="1" sqref="D184:D186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167</v>
      </c>
    </row>
    <row r="2" spans="2:3" x14ac:dyDescent="0.25">
      <c r="B2" s="58" t="s">
        <v>204</v>
      </c>
      <c r="C2" s="81"/>
    </row>
    <row r="3" spans="2:3" x14ac:dyDescent="0.25">
      <c r="B3" s="27" t="s">
        <v>205</v>
      </c>
      <c r="C3" s="63"/>
    </row>
    <row r="4" spans="2:3" x14ac:dyDescent="0.25">
      <c r="B4" s="44" t="s">
        <v>206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156</v>
      </c>
      <c r="C6" s="61"/>
    </row>
    <row r="7" spans="2:3" x14ac:dyDescent="0.25">
      <c r="B7" s="71" t="s">
        <v>207</v>
      </c>
      <c r="C7" s="81"/>
    </row>
    <row r="8" spans="2:3" x14ac:dyDescent="0.25">
      <c r="B8" s="27" t="s">
        <v>37</v>
      </c>
    </row>
    <row r="9" spans="2:3" x14ac:dyDescent="0.25">
      <c r="B9" s="79" t="s">
        <v>208</v>
      </c>
      <c r="C9" s="81"/>
    </row>
    <row r="10" spans="2:3" x14ac:dyDescent="0.25">
      <c r="B10" s="29" t="s">
        <v>209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210</v>
      </c>
    </row>
    <row r="14" spans="2:3" x14ac:dyDescent="0.25">
      <c r="B14" s="27" t="s">
        <v>211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212</v>
      </c>
    </row>
    <row r="18" spans="2:3" x14ac:dyDescent="0.25">
      <c r="B18" s="27" t="s">
        <v>213</v>
      </c>
      <c r="C18" s="62"/>
    </row>
    <row r="19" spans="2:3" x14ac:dyDescent="0.25">
      <c r="B19" s="58" t="s">
        <v>214</v>
      </c>
      <c r="C19" s="61"/>
    </row>
    <row r="20" spans="2:3" x14ac:dyDescent="0.25">
      <c r="B20" s="70" t="s">
        <v>158</v>
      </c>
    </row>
    <row r="21" spans="2:3" x14ac:dyDescent="0.25">
      <c r="B21" s="58" t="s">
        <v>215</v>
      </c>
      <c r="C21" s="81"/>
    </row>
    <row r="22" spans="2:3" x14ac:dyDescent="0.25">
      <c r="B22" s="67" t="s">
        <v>216</v>
      </c>
      <c r="C22" s="61"/>
    </row>
    <row r="23" spans="2:3" x14ac:dyDescent="0.25">
      <c r="B23" s="27" t="s">
        <v>127</v>
      </c>
    </row>
    <row r="24" spans="2:3" x14ac:dyDescent="0.25">
      <c r="B24" s="27" t="s">
        <v>217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218</v>
      </c>
    </row>
    <row r="28" spans="2:3" x14ac:dyDescent="0.25">
      <c r="B28" s="78" t="s">
        <v>77</v>
      </c>
      <c r="C28" s="61"/>
    </row>
    <row r="29" spans="2:3" x14ac:dyDescent="0.25">
      <c r="B29" s="45" t="s">
        <v>219</v>
      </c>
    </row>
    <row r="30" spans="2:3" x14ac:dyDescent="0.25">
      <c r="B30" s="70" t="s">
        <v>49</v>
      </c>
    </row>
    <row r="31" spans="2:3" x14ac:dyDescent="0.25">
      <c r="B31" s="66" t="s">
        <v>220</v>
      </c>
      <c r="C31" s="61"/>
    </row>
    <row r="32" spans="2:3" x14ac:dyDescent="0.25">
      <c r="B32" s="79" t="s">
        <v>221</v>
      </c>
      <c r="C32" s="81"/>
    </row>
    <row r="33" spans="2:3" x14ac:dyDescent="0.25">
      <c r="B33" s="79" t="s">
        <v>222</v>
      </c>
      <c r="C33" s="61"/>
    </row>
    <row r="34" spans="2:3" x14ac:dyDescent="0.25">
      <c r="B34" s="66" t="s">
        <v>223</v>
      </c>
      <c r="C34" s="61"/>
    </row>
    <row r="35" spans="2:3" x14ac:dyDescent="0.25">
      <c r="B35" s="27" t="s">
        <v>224</v>
      </c>
    </row>
    <row r="36" spans="2:3" x14ac:dyDescent="0.25">
      <c r="B36" s="27" t="s">
        <v>225</v>
      </c>
    </row>
    <row r="37" spans="2:3" x14ac:dyDescent="0.25">
      <c r="B37" s="79" t="s">
        <v>176</v>
      </c>
      <c r="C37" s="81"/>
    </row>
    <row r="38" spans="2:3" x14ac:dyDescent="0.25">
      <c r="B38" s="66" t="s">
        <v>226</v>
      </c>
      <c r="C38" s="61"/>
    </row>
    <row r="39" spans="2:3" x14ac:dyDescent="0.25">
      <c r="B39" s="27" t="s">
        <v>227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228</v>
      </c>
    </row>
    <row r="45" spans="2:3" x14ac:dyDescent="0.25">
      <c r="B45" s="27" t="s">
        <v>229</v>
      </c>
    </row>
    <row r="46" spans="2:3" x14ac:dyDescent="0.25">
      <c r="B46" s="66" t="s">
        <v>230</v>
      </c>
      <c r="C46" s="61"/>
    </row>
    <row r="47" spans="2:3" x14ac:dyDescent="0.25">
      <c r="B47" s="27" t="s">
        <v>231</v>
      </c>
    </row>
    <row r="48" spans="2:3" x14ac:dyDescent="0.25">
      <c r="B48" s="66" t="s">
        <v>232</v>
      </c>
      <c r="C48" s="61"/>
    </row>
    <row r="49" spans="2:3" x14ac:dyDescent="0.25">
      <c r="B49" s="66" t="s">
        <v>233</v>
      </c>
      <c r="C49" s="61"/>
    </row>
    <row r="50" spans="2:3" x14ac:dyDescent="0.25">
      <c r="B50" s="66" t="s">
        <v>234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235</v>
      </c>
      <c r="C52" s="61"/>
    </row>
    <row r="53" spans="2:3" x14ac:dyDescent="0.25">
      <c r="B53" s="79" t="s">
        <v>236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237</v>
      </c>
      <c r="C55" s="81"/>
    </row>
    <row r="56" spans="2:3" x14ac:dyDescent="0.25">
      <c r="B56" s="70" t="s">
        <v>159</v>
      </c>
    </row>
    <row r="57" spans="2:3" x14ac:dyDescent="0.25">
      <c r="B57" s="27" t="s">
        <v>131</v>
      </c>
    </row>
    <row r="58" spans="2:3" x14ac:dyDescent="0.25">
      <c r="B58" s="79" t="s">
        <v>238</v>
      </c>
      <c r="C58" s="61"/>
    </row>
    <row r="59" spans="2:3" x14ac:dyDescent="0.25">
      <c r="B59" s="79" t="s">
        <v>239</v>
      </c>
      <c r="C59" s="61"/>
    </row>
    <row r="60" spans="2:3" x14ac:dyDescent="0.25">
      <c r="B60" s="79" t="s">
        <v>240</v>
      </c>
      <c r="C60" s="81"/>
    </row>
    <row r="61" spans="2:3" x14ac:dyDescent="0.25">
      <c r="B61" s="27" t="s">
        <v>128</v>
      </c>
    </row>
    <row r="62" spans="2:3" x14ac:dyDescent="0.25">
      <c r="B62" s="66" t="s">
        <v>241</v>
      </c>
      <c r="C62" s="61"/>
    </row>
    <row r="63" spans="2:3" x14ac:dyDescent="0.25">
      <c r="B63" s="79" t="s">
        <v>242</v>
      </c>
      <c r="C63" s="81"/>
    </row>
    <row r="64" spans="2:3" x14ac:dyDescent="0.25">
      <c r="B64" s="55" t="s">
        <v>99</v>
      </c>
    </row>
    <row r="65" spans="2:3" x14ac:dyDescent="0.25">
      <c r="B65" s="55" t="s">
        <v>243</v>
      </c>
      <c r="C65" s="61"/>
    </row>
    <row r="66" spans="2:3" x14ac:dyDescent="0.25">
      <c r="B66" s="55" t="s">
        <v>244</v>
      </c>
      <c r="C66" s="61"/>
    </row>
    <row r="67" spans="2:3" x14ac:dyDescent="0.25">
      <c r="B67" s="79" t="s">
        <v>245</v>
      </c>
      <c r="C67" s="61"/>
    </row>
    <row r="68" spans="2:3" x14ac:dyDescent="0.25">
      <c r="B68" s="79" t="s">
        <v>246</v>
      </c>
      <c r="C68" s="61"/>
    </row>
    <row r="69" spans="2:3" x14ac:dyDescent="0.25">
      <c r="B69" s="79" t="s">
        <v>247</v>
      </c>
      <c r="C69" s="61"/>
    </row>
    <row r="70" spans="2:3" x14ac:dyDescent="0.25">
      <c r="B70" s="79" t="s">
        <v>248</v>
      </c>
      <c r="C70" s="61"/>
    </row>
    <row r="71" spans="2:3" x14ac:dyDescent="0.25">
      <c r="B71" s="79" t="s">
        <v>249</v>
      </c>
      <c r="C71" s="61"/>
    </row>
    <row r="72" spans="2:3" x14ac:dyDescent="0.25">
      <c r="B72" s="79" t="s">
        <v>250</v>
      </c>
      <c r="C72" s="81"/>
    </row>
    <row r="73" spans="2:3" x14ac:dyDescent="0.25">
      <c r="B73" s="79" t="s">
        <v>251</v>
      </c>
      <c r="C73" s="81"/>
    </row>
    <row r="74" spans="2:3" x14ac:dyDescent="0.25">
      <c r="B74" s="79" t="s">
        <v>252</v>
      </c>
      <c r="C74" s="81"/>
    </row>
    <row r="75" spans="2:3" x14ac:dyDescent="0.25">
      <c r="B75" s="79" t="s">
        <v>253</v>
      </c>
      <c r="C75" s="81"/>
    </row>
    <row r="76" spans="2:3" x14ac:dyDescent="0.25">
      <c r="B76" s="60" t="s">
        <v>254</v>
      </c>
      <c r="C76" s="61"/>
    </row>
    <row r="77" spans="2:3" x14ac:dyDescent="0.25">
      <c r="B77" s="60" t="s">
        <v>255</v>
      </c>
      <c r="C77" s="61"/>
    </row>
    <row r="78" spans="2:3" x14ac:dyDescent="0.25">
      <c r="B78" s="60" t="s">
        <v>256</v>
      </c>
      <c r="C78" s="61"/>
    </row>
    <row r="79" spans="2:3" x14ac:dyDescent="0.25">
      <c r="B79" s="60" t="s">
        <v>257</v>
      </c>
      <c r="C79" s="61"/>
    </row>
    <row r="80" spans="2:3" x14ac:dyDescent="0.25">
      <c r="B80" s="60" t="s">
        <v>258</v>
      </c>
      <c r="C80" s="61"/>
    </row>
    <row r="81" spans="2:4" x14ac:dyDescent="0.25">
      <c r="B81" s="60" t="s">
        <v>259</v>
      </c>
      <c r="C81" s="61"/>
    </row>
    <row r="82" spans="2:4" x14ac:dyDescent="0.25">
      <c r="B82" s="60" t="s">
        <v>260</v>
      </c>
      <c r="C82" s="61"/>
    </row>
    <row r="83" spans="2:4" x14ac:dyDescent="0.25">
      <c r="B83" s="60" t="s">
        <v>261</v>
      </c>
      <c r="C83" s="61"/>
    </row>
    <row r="84" spans="2:4" x14ac:dyDescent="0.25">
      <c r="B84" s="60" t="s">
        <v>262</v>
      </c>
      <c r="C84" s="61"/>
    </row>
    <row r="85" spans="2:4" x14ac:dyDescent="0.25">
      <c r="B85" s="60" t="s">
        <v>263</v>
      </c>
      <c r="C85" s="61"/>
    </row>
    <row r="86" spans="2:4" x14ac:dyDescent="0.25">
      <c r="B86" s="67" t="s">
        <v>264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2025-12-25T09:03:11Z</dcterms:modified>
</cp:coreProperties>
</file>