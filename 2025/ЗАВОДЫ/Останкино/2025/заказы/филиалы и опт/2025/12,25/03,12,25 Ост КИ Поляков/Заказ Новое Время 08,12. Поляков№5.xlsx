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E5EBC2B3-5AAC-40CC-90E9-E8D689B90B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Бланк!$A$9:$K$145</definedName>
    <definedName name="кол_во_инд.__упак_к">Бланк!$AC$3:$AC$581</definedName>
    <definedName name="номин.вес_нетто__кг">Бланк!$W$3:$W$581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5" i="1" l="1"/>
  <c r="G144" i="1"/>
  <c r="A144" i="1"/>
  <c r="G143" i="1"/>
  <c r="A143" i="1"/>
  <c r="G142" i="1"/>
  <c r="A142" i="1"/>
  <c r="G141" i="1"/>
  <c r="A141" i="1"/>
  <c r="G140" i="1"/>
  <c r="A140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5" i="1" s="1"/>
  <c r="A11" i="1"/>
  <c r="F3" i="1"/>
</calcChain>
</file>

<file path=xl/sharedStrings.xml><?xml version="1.0" encoding="utf-8"?>
<sst xmlns="http://schemas.openxmlformats.org/spreadsheetml/2006/main" count="283" uniqueCount="159">
  <si>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</si>
  <si>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</si>
  <si>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</si>
  <si>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</si>
  <si>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</si>
  <si>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</si>
  <si>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</si>
  <si>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</si>
  <si>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</si>
  <si>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</si>
  <si>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</si>
  <si>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</si>
  <si>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</si>
  <si>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</si>
  <si>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</si>
  <si>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</si>
  <si>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</si>
  <si>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</si>
  <si>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</si>
  <si>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</si>
  <si>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</si>
  <si>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</si>
  <si>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</si>
  <si>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</si>
  <si>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</si>
  <si>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</si>
  <si>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</si>
  <si>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</si>
  <si>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</si>
  <si>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</si>
  <si>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</si>
  <si>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</si>
  <si>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</si>
  <si>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</si>
  <si>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</si>
  <si>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</si>
  <si>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</si>
  <si>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</si>
  <si>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</si>
  <si>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</si>
  <si>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</si>
  <si>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</si>
  <si>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</si>
  <si>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</si>
  <si>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</si>
  <si>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</si>
  <si>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</si>
  <si>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</si>
  <si>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</si>
  <si>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</si>
  <si>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</si>
  <si>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</si>
  <si>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</si>
  <si>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</si>
  <si>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</si>
  <si>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</si>
  <si>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</si>
  <si>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</si>
  <si>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</si>
  <si>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</si>
  <si>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</si>
  <si>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</si>
  <si>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</si>
  <si>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</si>
  <si>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</si>
  <si>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</si>
  <si>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</si>
  <si>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</si>
  <si>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</si>
  <si>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</si>
  <si>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</si>
  <si>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</si>
  <si>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</si>
  <si>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</si>
  <si>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</si>
  <si>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</si>
  <si>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</si>
  <si>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</si>
  <si>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</si>
  <si>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</si>
  <si>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</si>
  <si>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</si>
  <si>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</si>
  <si>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</si>
  <si>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</si>
  <si>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</si>
  <si>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</si>
  <si>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</si>
  <si>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</si>
  <si>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</si>
  <si>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</si>
  <si>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</si>
  <si>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</si>
  <si>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</si>
  <si>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</si>
  <si>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</si>
  <si>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</si>
  <si>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</si>
  <si>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</si>
  <si>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</si>
  <si>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</si>
  <si>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</si>
  <si>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</si>
  <si>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</si>
  <si>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</si>
  <si>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</si>
  <si>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</si>
  <si>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</si>
  <si>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</si>
  <si>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</si>
  <si>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</si>
  <si>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</si>
  <si>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</si>
  <si>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</si>
  <si>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</si>
  <si>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</si>
  <si>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</si>
  <si>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</si>
  <si>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</si>
  <si>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</si>
  <si>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</si>
  <si>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</si>
  <si>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</si>
  <si>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</si>
  <si>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</si>
  <si>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</si>
  <si>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</si>
  <si>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Папа может с/к в/у 1/250 8шт.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</si>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</sst>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H151" sqref="H15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45999</v>
      </c>
      <c r="E3" s="7" t="s">
        <v>3</v>
      </c>
      <c r="F3" s="82">
        <f>D3+3</f>
        <v>46002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>
        <v>320</v>
      </c>
      <c r="F12" s="23">
        <v>1.3340000000000001</v>
      </c>
      <c r="G12" s="23">
        <f>E12</f>
        <v>320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>
        <v>300</v>
      </c>
      <c r="F23" s="23">
        <v>1.35</v>
      </c>
      <c r="G23" s="23">
        <f>E23</f>
        <v>300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160</v>
      </c>
      <c r="F26" s="23">
        <v>0.4</v>
      </c>
      <c r="G26" s="23">
        <f>E26*F26</f>
        <v>64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>
        <v>220</v>
      </c>
      <c r="F33" s="66">
        <v>0.4</v>
      </c>
      <c r="G33" s="23">
        <f>E33*F33</f>
        <v>88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>
        <v>120</v>
      </c>
      <c r="F36" s="23">
        <v>1.05</v>
      </c>
      <c r="G36" s="23">
        <f>E36</f>
        <v>120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>
        <v>180</v>
      </c>
      <c r="F45" s="23">
        <v>0.4</v>
      </c>
      <c r="G45" s="23">
        <f t="shared" ref="G45:G51" si="3">E45*F45</f>
        <v>72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/>
      <c r="F46" s="23">
        <v>0.41</v>
      </c>
      <c r="G46" s="23">
        <f t="shared" si="3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/>
      <c r="F48" s="23">
        <v>0.33</v>
      </c>
      <c r="G48" s="23">
        <f t="shared" si="3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>
        <v>36</v>
      </c>
      <c r="F49" s="23">
        <v>0.33</v>
      </c>
      <c r="G49" s="23">
        <f t="shared" si="3"/>
        <v>11.88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/>
      <c r="F50" s="23">
        <v>0.33</v>
      </c>
      <c r="G50" s="23">
        <f t="shared" si="3"/>
        <v>0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>
        <v>700</v>
      </c>
      <c r="F53" s="23">
        <v>1.0249999999999999</v>
      </c>
      <c r="G53" s="23">
        <f>E53</f>
        <v>700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>
        <v>200</v>
      </c>
      <c r="F58" s="23">
        <v>0.41</v>
      </c>
      <c r="G58" s="23">
        <f>E58*F58</f>
        <v>82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>
        <v>150</v>
      </c>
      <c r="F62" s="23">
        <v>1</v>
      </c>
      <c r="G62" s="23">
        <f>E62</f>
        <v>150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80</v>
      </c>
      <c r="F63" s="23">
        <v>0.99</v>
      </c>
      <c r="G63" s="23">
        <f>E63</f>
        <v>80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>
        <v>80</v>
      </c>
      <c r="F68" s="23"/>
      <c r="G68" s="23">
        <f>E68</f>
        <v>80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>
        <v>80</v>
      </c>
      <c r="F69" s="23"/>
      <c r="G69" s="23">
        <f>E69</f>
        <v>80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>
        <v>140</v>
      </c>
      <c r="F70" s="23">
        <v>0.31</v>
      </c>
      <c r="G70" s="23">
        <f>F70*E70</f>
        <v>43.4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>
        <v>100</v>
      </c>
      <c r="F73" s="23">
        <v>0.28000000000000003</v>
      </c>
      <c r="G73" s="23">
        <f t="shared" si="5"/>
        <v>28.000000000000004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>
        <v>120</v>
      </c>
      <c r="F75" s="23">
        <v>0.28000000000000003</v>
      </c>
      <c r="G75" s="23">
        <f t="shared" si="5"/>
        <v>33.6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260</v>
      </c>
      <c r="F79" s="23">
        <v>0.35</v>
      </c>
      <c r="G79" s="23">
        <f t="shared" si="6"/>
        <v>91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>
        <v>120</v>
      </c>
      <c r="F81" s="23">
        <v>0.28000000000000003</v>
      </c>
      <c r="G81" s="23">
        <f t="shared" si="6"/>
        <v>33.6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>
        <v>250</v>
      </c>
      <c r="F84" s="23"/>
      <c r="G84" s="23">
        <f>E84</f>
        <v>250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>
        <v>250</v>
      </c>
      <c r="F85" s="23"/>
      <c r="G85" s="23">
        <f>E85</f>
        <v>250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>
        <v>260</v>
      </c>
      <c r="F86" s="23">
        <v>0.35</v>
      </c>
      <c r="G86" s="23">
        <f>E86*F86</f>
        <v>91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>
        <v>200</v>
      </c>
      <c r="F89" s="23">
        <v>0.83399999999999996</v>
      </c>
      <c r="G89" s="23">
        <f>E89</f>
        <v>200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>
        <v>40</v>
      </c>
      <c r="F95" s="23">
        <v>0.31</v>
      </c>
      <c r="G95" s="23">
        <f t="shared" si="8"/>
        <v>12.4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>
        <v>16</v>
      </c>
      <c r="F99" s="23">
        <v>0.35</v>
      </c>
      <c r="G99" s="23">
        <f t="shared" si="8"/>
        <v>5.6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>
        <v>80</v>
      </c>
      <c r="F107" s="23">
        <v>0.33</v>
      </c>
      <c r="G107" s="23">
        <f>E107*F107</f>
        <v>26.400000000000002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>
        <v>30</v>
      </c>
      <c r="F110" s="74">
        <v>0.1</v>
      </c>
      <c r="G110" s="23">
        <f>E110*F110</f>
        <v>3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200</v>
      </c>
      <c r="F111" s="23">
        <v>0.1</v>
      </c>
      <c r="G111" s="23">
        <f>E111*F111</f>
        <v>20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5708</v>
      </c>
      <c r="B112" s="79" t="s">
        <v>125</v>
      </c>
      <c r="C112" s="72" t="s">
        <v>23</v>
      </c>
      <c r="D112" s="73">
        <v>1001063145708</v>
      </c>
      <c r="E112" s="24">
        <v>30</v>
      </c>
      <c r="F112" s="23">
        <v>0.52500000000000002</v>
      </c>
      <c r="G112" s="23">
        <f>E112</f>
        <v>30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7"/>
        <v>0614</v>
      </c>
      <c r="B113" s="79" t="s">
        <v>126</v>
      </c>
      <c r="C113" s="72" t="s">
        <v>23</v>
      </c>
      <c r="D113" s="73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ref="A114:A144" si="9">RIGHT(D114,4)</f>
        <v>3986</v>
      </c>
      <c r="B114" s="79" t="s">
        <v>127</v>
      </c>
      <c r="C114" s="72" t="s">
        <v>21</v>
      </c>
      <c r="D114" s="73">
        <v>1001061973986</v>
      </c>
      <c r="E114" s="24">
        <v>80</v>
      </c>
      <c r="F114" s="23">
        <v>0.25</v>
      </c>
      <c r="G114" s="23">
        <f>E114*F114</f>
        <v>20</v>
      </c>
      <c r="H114" s="14"/>
      <c r="I114" s="14"/>
      <c r="J114" s="29"/>
    </row>
    <row r="115" spans="1:10" ht="16.5" customHeight="1" x14ac:dyDescent="0.25">
      <c r="A115" s="59" t="str">
        <f t="shared" si="9"/>
        <v>1146</v>
      </c>
      <c r="B115" s="79" t="s">
        <v>128</v>
      </c>
      <c r="C115" s="72" t="s">
        <v>23</v>
      </c>
      <c r="D115" s="73">
        <v>1001061971146</v>
      </c>
      <c r="E115" s="24">
        <v>30</v>
      </c>
      <c r="F115" s="23"/>
      <c r="G115" s="23">
        <f>E115</f>
        <v>30</v>
      </c>
      <c r="H115" s="14"/>
      <c r="I115" s="14"/>
      <c r="J115" s="29"/>
    </row>
    <row r="116" spans="1:10" ht="16.5" customHeight="1" x14ac:dyDescent="0.25">
      <c r="A116" s="59" t="str">
        <f t="shared" si="9"/>
        <v>4154</v>
      </c>
      <c r="B116" s="79" t="s">
        <v>129</v>
      </c>
      <c r="C116" s="72" t="s">
        <v>23</v>
      </c>
      <c r="D116" s="73">
        <v>1001062474154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6967</v>
      </c>
      <c r="B117" s="79" t="s">
        <v>130</v>
      </c>
      <c r="C117" s="72" t="s">
        <v>21</v>
      </c>
      <c r="D117" s="73">
        <v>1001063656967</v>
      </c>
      <c r="E117" s="24">
        <v>100</v>
      </c>
      <c r="F117" s="23">
        <v>0.25</v>
      </c>
      <c r="G117" s="23">
        <f>F117*E117</f>
        <v>25</v>
      </c>
      <c r="H117" s="14"/>
      <c r="I117" s="14"/>
      <c r="J117" s="29"/>
    </row>
    <row r="118" spans="1:10" ht="16.5" customHeight="1" x14ac:dyDescent="0.25">
      <c r="A118" s="59" t="str">
        <f t="shared" si="9"/>
        <v>4993</v>
      </c>
      <c r="B118" s="79" t="s">
        <v>131</v>
      </c>
      <c r="C118" s="72" t="s">
        <v>33</v>
      </c>
      <c r="D118" s="73">
        <v>1001060764993</v>
      </c>
      <c r="E118" s="24">
        <v>160</v>
      </c>
      <c r="F118" s="23">
        <v>0.25</v>
      </c>
      <c r="G118" s="23">
        <f>E118*F118</f>
        <v>40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9"/>
        <v>6937</v>
      </c>
      <c r="B119" s="79" t="s">
        <v>132</v>
      </c>
      <c r="C119" s="72" t="s">
        <v>33</v>
      </c>
      <c r="D119" s="73">
        <v>1001063106937</v>
      </c>
      <c r="E119" s="24">
        <v>140</v>
      </c>
      <c r="F119" s="23">
        <v>0.25</v>
      </c>
      <c r="G119" s="23">
        <f>E119*F119</f>
        <v>35</v>
      </c>
      <c r="H119" s="14"/>
      <c r="I119" s="14"/>
      <c r="J119" s="29"/>
    </row>
    <row r="120" spans="1:10" ht="16.5" customHeight="1" x14ac:dyDescent="0.25">
      <c r="A120" s="59" t="str">
        <f t="shared" si="9"/>
        <v>5682</v>
      </c>
      <c r="B120" s="79" t="s">
        <v>133</v>
      </c>
      <c r="C120" s="72" t="s">
        <v>21</v>
      </c>
      <c r="D120" s="73">
        <v>1001193115682</v>
      </c>
      <c r="E120" s="24">
        <v>150</v>
      </c>
      <c r="F120" s="23">
        <v>0.12</v>
      </c>
      <c r="G120" s="23">
        <f>E120*F120</f>
        <v>18</v>
      </c>
      <c r="H120" s="14">
        <v>0.96</v>
      </c>
      <c r="I120" s="14">
        <v>60</v>
      </c>
      <c r="J120" s="29"/>
    </row>
    <row r="121" spans="1:10" ht="16.5" customHeight="1" x14ac:dyDescent="0.25">
      <c r="A121" s="59" t="str">
        <f t="shared" si="9"/>
        <v>5679</v>
      </c>
      <c r="B121" s="79" t="s">
        <v>134</v>
      </c>
      <c r="C121" s="72" t="s">
        <v>21</v>
      </c>
      <c r="D121" s="73">
        <v>1001190765679</v>
      </c>
      <c r="E121" s="24">
        <v>200</v>
      </c>
      <c r="F121" s="23">
        <v>0.15</v>
      </c>
      <c r="G121" s="23">
        <f>F121*E121</f>
        <v>30</v>
      </c>
      <c r="H121" s="14"/>
      <c r="I121" s="14"/>
      <c r="J121" s="29"/>
    </row>
    <row r="122" spans="1:10" ht="16.5" customHeight="1" x14ac:dyDescent="0.25">
      <c r="A122" s="59" t="str">
        <f t="shared" si="9"/>
        <v>4117</v>
      </c>
      <c r="B122" s="79" t="s">
        <v>135</v>
      </c>
      <c r="C122" s="72" t="s">
        <v>23</v>
      </c>
      <c r="D122" s="73">
        <v>1001062504117</v>
      </c>
      <c r="E122" s="24">
        <v>30</v>
      </c>
      <c r="F122" s="23">
        <v>0.50700000000000001</v>
      </c>
      <c r="G122" s="23">
        <f>E122</f>
        <v>30</v>
      </c>
      <c r="H122" s="14">
        <v>4.05</v>
      </c>
      <c r="I122" s="14">
        <v>120</v>
      </c>
      <c r="J122" s="29"/>
    </row>
    <row r="123" spans="1:10" ht="16.5" customHeight="1" x14ac:dyDescent="0.25">
      <c r="A123" s="59" t="str">
        <f t="shared" si="9"/>
        <v>5483</v>
      </c>
      <c r="B123" s="79" t="s">
        <v>136</v>
      </c>
      <c r="C123" s="72" t="s">
        <v>21</v>
      </c>
      <c r="D123" s="73">
        <v>1001062505483</v>
      </c>
      <c r="E123" s="24">
        <v>40</v>
      </c>
      <c r="F123" s="23">
        <v>0.25</v>
      </c>
      <c r="G123" s="23">
        <f>E123*F123</f>
        <v>10</v>
      </c>
      <c r="H123" s="14">
        <v>2</v>
      </c>
      <c r="I123" s="14">
        <v>120</v>
      </c>
      <c r="J123" s="29"/>
    </row>
    <row r="124" spans="1:10" ht="16.5" customHeight="1" x14ac:dyDescent="0.25">
      <c r="A124" s="59" t="str">
        <f t="shared" si="9"/>
        <v>6453</v>
      </c>
      <c r="B124" s="79" t="s">
        <v>137</v>
      </c>
      <c r="C124" s="72" t="s">
        <v>33</v>
      </c>
      <c r="D124" s="73">
        <v>1001202506453</v>
      </c>
      <c r="E124" s="24"/>
      <c r="F124" s="23">
        <v>0.1</v>
      </c>
      <c r="G124" s="23">
        <f>E124*F124</f>
        <v>0</v>
      </c>
      <c r="H124" s="14">
        <v>1.4</v>
      </c>
      <c r="I124" s="14">
        <v>60</v>
      </c>
      <c r="J124" s="29"/>
    </row>
    <row r="125" spans="1:10" ht="16.5" customHeight="1" x14ac:dyDescent="0.25">
      <c r="A125" s="59" t="str">
        <f t="shared" si="9"/>
        <v>6557</v>
      </c>
      <c r="B125" s="79" t="s">
        <v>138</v>
      </c>
      <c r="C125" s="72" t="s">
        <v>33</v>
      </c>
      <c r="D125" s="73">
        <v>1001200756557</v>
      </c>
      <c r="E125" s="24"/>
      <c r="F125" s="23">
        <v>0.1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6228</v>
      </c>
      <c r="B126" s="79" t="s">
        <v>139</v>
      </c>
      <c r="C126" s="72" t="s">
        <v>33</v>
      </c>
      <c r="D126" s="73">
        <v>1001225416228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6221</v>
      </c>
      <c r="B127" s="79" t="s">
        <v>140</v>
      </c>
      <c r="C127" s="72" t="s">
        <v>33</v>
      </c>
      <c r="D127" s="73">
        <v>1001205376221</v>
      </c>
      <c r="E127" s="24">
        <v>100</v>
      </c>
      <c r="F127" s="23">
        <v>0.09</v>
      </c>
      <c r="G127" s="23">
        <f>E127*F127</f>
        <v>9</v>
      </c>
      <c r="H127" s="14"/>
      <c r="I127" s="14"/>
      <c r="J127" s="29"/>
    </row>
    <row r="128" spans="1:10" ht="16.5" customHeight="1" thickBot="1" x14ac:dyDescent="0.3">
      <c r="A128" s="59" t="str">
        <f t="shared" si="9"/>
        <v>3287</v>
      </c>
      <c r="B128" s="79" t="s">
        <v>141</v>
      </c>
      <c r="C128" s="72" t="s">
        <v>23</v>
      </c>
      <c r="D128" s="73">
        <v>1001060763287</v>
      </c>
      <c r="E128" s="24">
        <v>30</v>
      </c>
      <c r="F128" s="23">
        <v>0.51300000000000001</v>
      </c>
      <c r="G128" s="23">
        <f>E128</f>
        <v>30</v>
      </c>
      <c r="H128" s="14">
        <v>4.0999999999999996</v>
      </c>
      <c r="I128" s="14">
        <v>120</v>
      </c>
      <c r="J128" s="29"/>
    </row>
    <row r="129" spans="1:11" ht="16.5" customHeight="1" thickTop="1" thickBot="1" x14ac:dyDescent="0.3">
      <c r="A129" s="59" t="str">
        <f t="shared" si="9"/>
        <v/>
      </c>
      <c r="B129" s="46" t="s">
        <v>142</v>
      </c>
      <c r="C129" s="46"/>
      <c r="D129" s="46"/>
      <c r="E129" s="46"/>
      <c r="F129" s="46"/>
      <c r="G129" s="23"/>
      <c r="H129" s="46"/>
      <c r="I129" s="46"/>
      <c r="J129" s="47"/>
    </row>
    <row r="130" spans="1:11" ht="16.5" customHeight="1" thickTop="1" x14ac:dyDescent="0.25">
      <c r="A130" s="59" t="str">
        <f t="shared" si="9"/>
        <v>6866</v>
      </c>
      <c r="B130" s="76" t="s">
        <v>143</v>
      </c>
      <c r="C130" s="72" t="s">
        <v>38</v>
      </c>
      <c r="D130" s="78">
        <v>1001095716866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9"/>
        <v>3215</v>
      </c>
      <c r="B131" s="79" t="s">
        <v>144</v>
      </c>
      <c r="C131" s="72" t="s">
        <v>33</v>
      </c>
      <c r="D131" s="42">
        <v>1001094053215</v>
      </c>
      <c r="E131" s="24">
        <v>100</v>
      </c>
      <c r="F131" s="23">
        <v>0.4</v>
      </c>
      <c r="G131" s="23">
        <f>E131*F131</f>
        <v>40</v>
      </c>
      <c r="H131" s="14">
        <v>3.2</v>
      </c>
      <c r="I131" s="14">
        <v>60</v>
      </c>
      <c r="J131" s="29"/>
    </row>
    <row r="132" spans="1:11" ht="16.5" customHeight="1" x14ac:dyDescent="0.25">
      <c r="A132" s="59" t="str">
        <f t="shared" si="9"/>
        <v>6025</v>
      </c>
      <c r="B132" s="79" t="s">
        <v>145</v>
      </c>
      <c r="C132" s="72" t="s">
        <v>23</v>
      </c>
      <c r="D132" s="42">
        <v>1001094966025</v>
      </c>
      <c r="E132" s="24">
        <v>60</v>
      </c>
      <c r="F132" s="23"/>
      <c r="G132" s="23">
        <f>E132</f>
        <v>60</v>
      </c>
      <c r="H132" s="14"/>
      <c r="I132" s="14"/>
      <c r="J132" s="29"/>
    </row>
    <row r="133" spans="1:11" ht="16.5" customHeight="1" x14ac:dyDescent="0.25">
      <c r="A133" s="59" t="str">
        <f t="shared" si="9"/>
        <v>6470</v>
      </c>
      <c r="B133" s="79" t="s">
        <v>146</v>
      </c>
      <c r="C133" s="72" t="s">
        <v>23</v>
      </c>
      <c r="D133" s="42">
        <v>1001092436470</v>
      </c>
      <c r="E133" s="24">
        <v>150</v>
      </c>
      <c r="F133" s="23"/>
      <c r="G133" s="23">
        <f>E133</f>
        <v>150</v>
      </c>
      <c r="H133" s="14"/>
      <c r="I133" s="14"/>
      <c r="J133" s="29"/>
    </row>
    <row r="134" spans="1:11" ht="16.5" customHeight="1" x14ac:dyDescent="0.25">
      <c r="A134" s="59" t="str">
        <f t="shared" si="9"/>
        <v>4584</v>
      </c>
      <c r="B134" s="79" t="s">
        <v>147</v>
      </c>
      <c r="C134" s="72" t="s">
        <v>23</v>
      </c>
      <c r="D134" s="42">
        <v>1001092674584</v>
      </c>
      <c r="E134" s="24">
        <v>20</v>
      </c>
      <c r="F134" s="23"/>
      <c r="G134" s="23">
        <f>E134</f>
        <v>20</v>
      </c>
      <c r="H134" s="14"/>
      <c r="I134" s="14"/>
      <c r="J134" s="29"/>
    </row>
    <row r="135" spans="1:11" ht="16.5" customHeight="1" x14ac:dyDescent="0.25">
      <c r="A135" s="59" t="str">
        <f t="shared" si="9"/>
        <v>6472</v>
      </c>
      <c r="B135" s="79" t="s">
        <v>148</v>
      </c>
      <c r="C135" s="72" t="s">
        <v>23</v>
      </c>
      <c r="D135" s="42">
        <v>1001092436472</v>
      </c>
      <c r="E135" s="24"/>
      <c r="F135" s="23"/>
      <c r="G135" s="23">
        <f>E135</f>
        <v>0</v>
      </c>
      <c r="H135" s="14"/>
      <c r="I135" s="14"/>
      <c r="J135" s="29"/>
    </row>
    <row r="136" spans="1:11" ht="16.5" customHeight="1" x14ac:dyDescent="0.25">
      <c r="A136" s="59" t="str">
        <f t="shared" si="9"/>
        <v>5452</v>
      </c>
      <c r="B136" s="50" t="s">
        <v>149</v>
      </c>
      <c r="C136" s="72" t="s">
        <v>23</v>
      </c>
      <c r="D136" s="42">
        <v>1001092485452</v>
      </c>
      <c r="E136" s="24">
        <v>80</v>
      </c>
      <c r="F136" s="23">
        <v>1.367</v>
      </c>
      <c r="G136" s="23">
        <f>E136</f>
        <v>80</v>
      </c>
      <c r="H136" s="14">
        <v>4.0999999999999996</v>
      </c>
      <c r="I136" s="14">
        <v>60</v>
      </c>
      <c r="J136" s="29"/>
    </row>
    <row r="137" spans="1:11" ht="16.5" customHeight="1" x14ac:dyDescent="0.25">
      <c r="A137" s="59" t="str">
        <f t="shared" si="9"/>
        <v>5495</v>
      </c>
      <c r="B137" s="50" t="s">
        <v>150</v>
      </c>
      <c r="C137" s="72" t="s">
        <v>21</v>
      </c>
      <c r="D137" s="42">
        <v>1001093345495</v>
      </c>
      <c r="E137" s="24"/>
      <c r="F137" s="23">
        <v>0.4</v>
      </c>
      <c r="G137" s="23">
        <f>E137*F137</f>
        <v>0</v>
      </c>
      <c r="H137" s="14">
        <v>2.4</v>
      </c>
      <c r="I137" s="14">
        <v>60</v>
      </c>
      <c r="J137" s="29"/>
    </row>
    <row r="138" spans="1:11" ht="15.75" customHeight="1" thickBot="1" x14ac:dyDescent="0.3">
      <c r="A138" s="59" t="str">
        <f t="shared" si="9"/>
        <v>6495</v>
      </c>
      <c r="B138" s="50" t="s">
        <v>151</v>
      </c>
      <c r="C138" s="72" t="s">
        <v>21</v>
      </c>
      <c r="D138" s="42">
        <v>1001092436495</v>
      </c>
      <c r="E138" s="24"/>
      <c r="F138" s="23">
        <v>0.3</v>
      </c>
      <c r="G138" s="23">
        <f>E138*F138</f>
        <v>0</v>
      </c>
      <c r="H138" s="14">
        <v>1.8</v>
      </c>
      <c r="I138" s="14">
        <v>45</v>
      </c>
      <c r="J138" s="29"/>
    </row>
    <row r="139" spans="1:11" ht="16.5" customHeight="1" thickTop="1" thickBot="1" x14ac:dyDescent="0.3">
      <c r="A139" s="59" t="str">
        <f t="shared" si="9"/>
        <v/>
      </c>
      <c r="B139" s="46" t="s">
        <v>152</v>
      </c>
      <c r="C139" s="46"/>
      <c r="D139" s="46"/>
      <c r="E139" s="46"/>
      <c r="F139" s="46"/>
      <c r="G139" s="23"/>
      <c r="H139" s="46"/>
      <c r="I139" s="46"/>
      <c r="J139" s="47"/>
    </row>
    <row r="140" spans="1:11" ht="16.5" customHeight="1" thickTop="1" x14ac:dyDescent="0.25">
      <c r="A140" s="59" t="str">
        <f t="shared" si="9"/>
        <v>6448</v>
      </c>
      <c r="B140" s="37" t="s">
        <v>153</v>
      </c>
      <c r="C140" s="72" t="s">
        <v>33</v>
      </c>
      <c r="D140" s="73">
        <v>1001234146448</v>
      </c>
      <c r="E140" s="24"/>
      <c r="F140" s="23">
        <v>0.1</v>
      </c>
      <c r="G140" s="23">
        <f>E140*F140</f>
        <v>0</v>
      </c>
      <c r="H140" s="14">
        <v>1</v>
      </c>
      <c r="I140" s="14">
        <v>45</v>
      </c>
      <c r="J140" s="29"/>
    </row>
    <row r="141" spans="1:11" ht="16.5" customHeight="1" x14ac:dyDescent="0.25">
      <c r="A141" s="59" t="str">
        <f t="shared" si="9"/>
        <v>7090</v>
      </c>
      <c r="B141" s="37" t="s">
        <v>154</v>
      </c>
      <c r="C141" s="72" t="s">
        <v>33</v>
      </c>
      <c r="D141" s="73">
        <v>1001084217090</v>
      </c>
      <c r="E141" s="24"/>
      <c r="F141" s="23">
        <v>0.3</v>
      </c>
      <c r="G141" s="23">
        <f>E141*F141</f>
        <v>0</v>
      </c>
      <c r="H141" s="14">
        <v>1.8</v>
      </c>
      <c r="I141" s="14">
        <v>45</v>
      </c>
      <c r="J141" s="29"/>
    </row>
    <row r="142" spans="1:11" ht="16.5" customHeight="1" x14ac:dyDescent="0.25">
      <c r="A142" s="59" t="str">
        <f t="shared" si="9"/>
        <v>6208</v>
      </c>
      <c r="B142" s="37" t="s">
        <v>155</v>
      </c>
      <c r="C142" s="72" t="s">
        <v>21</v>
      </c>
      <c r="D142" s="73">
        <v>1001220226208</v>
      </c>
      <c r="E142" s="24"/>
      <c r="F142" s="23">
        <v>0.15</v>
      </c>
      <c r="G142" s="23">
        <f>F142*E142</f>
        <v>0</v>
      </c>
      <c r="H142" s="14"/>
      <c r="I142" s="14"/>
      <c r="J142" s="29"/>
    </row>
    <row r="143" spans="1:11" ht="16.5" customHeight="1" x14ac:dyDescent="0.25">
      <c r="A143" s="59" t="str">
        <f t="shared" si="9"/>
        <v>7053</v>
      </c>
      <c r="B143" s="37" t="s">
        <v>156</v>
      </c>
      <c r="C143" s="72" t="s">
        <v>23</v>
      </c>
      <c r="D143" s="73">
        <v>1001223297053</v>
      </c>
      <c r="E143" s="24"/>
      <c r="F143" s="23"/>
      <c r="G143" s="23">
        <f>E143</f>
        <v>0</v>
      </c>
      <c r="H143" s="14"/>
      <c r="I143" s="14"/>
      <c r="J143" s="29"/>
    </row>
    <row r="144" spans="1:11" s="70" customFormat="1" ht="16.5" customHeight="1" thickBot="1" x14ac:dyDescent="0.3">
      <c r="A144" s="59" t="str">
        <f t="shared" si="9"/>
        <v>7103</v>
      </c>
      <c r="B144" s="58" t="s">
        <v>157</v>
      </c>
      <c r="C144" s="53" t="s">
        <v>33</v>
      </c>
      <c r="D144" s="54">
        <v>1001223297103</v>
      </c>
      <c r="E144" s="24"/>
      <c r="F144" s="74">
        <v>0.18</v>
      </c>
      <c r="G144" s="23">
        <f>E144*F144</f>
        <v>0</v>
      </c>
      <c r="H144" s="75">
        <v>1.8</v>
      </c>
      <c r="I144" s="75">
        <v>45</v>
      </c>
      <c r="J144" s="75"/>
      <c r="K144" s="27"/>
    </row>
    <row r="145" spans="1:10" ht="16.5" customHeight="1" thickTop="1" thickBot="1" x14ac:dyDescent="0.3">
      <c r="A145" s="62"/>
      <c r="B145" s="49" t="s">
        <v>158</v>
      </c>
      <c r="C145" s="16"/>
      <c r="D145" s="38"/>
      <c r="E145" s="17">
        <f>SUM(E10:E144)</f>
        <v>6192</v>
      </c>
      <c r="F145" s="17"/>
      <c r="G145" s="17">
        <f>SUM(G11:G144)</f>
        <v>3892.88</v>
      </c>
      <c r="H145" s="17"/>
      <c r="I145" s="17"/>
      <c r="J145" s="17"/>
    </row>
    <row r="146" spans="1:10" ht="15.75" customHeight="1" thickTop="1" x14ac:dyDescent="0.25">
      <c r="B146" s="39"/>
      <c r="C146" s="18"/>
      <c r="D146" s="43"/>
      <c r="F146" s="19"/>
      <c r="G146" s="19"/>
      <c r="H146" s="20"/>
      <c r="I146" s="20"/>
      <c r="J146" s="21"/>
    </row>
    <row r="147" spans="1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</sheetData>
  <autoFilter ref="A9:K14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2025-12-03T08:11:55Z</dcterms:modified>
</cp:coreProperties>
</file>