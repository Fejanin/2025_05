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A6B0BCC8-F1F0-412F-810A-403322D2D8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<sst xmlns="http://schemas.openxmlformats.org/spreadsheetml/2006/main" count="256" uniqueCount="146">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</sst>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46012</v>
      </c>
      <c r="E3" s="7" t="s">
        <v>3</v>
      </c>
      <c r="F3" s="83">
        <f>D3+3</f>
        <v>46015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>
        <v>226</v>
      </c>
      <c r="F12" s="23">
        <v>1.3340000000000001</v>
      </c>
      <c r="G12" s="23">
        <f>E12</f>
        <v>226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>
        <v>116</v>
      </c>
      <c r="F22" s="23">
        <v>1.35</v>
      </c>
      <c r="G22" s="23">
        <f>E22</f>
        <v>116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>
        <v>82</v>
      </c>
      <c r="F24" s="23">
        <v>1.3540000000000001</v>
      </c>
      <c r="G24" s="23">
        <f>E24</f>
        <v>82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40</v>
      </c>
      <c r="C26" s="73" t="s">
        <v>22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41</v>
      </c>
      <c r="C27" s="73" t="s">
        <v>22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22</v>
      </c>
      <c r="D28" s="74">
        <v>1001013957231</v>
      </c>
      <c r="E28" s="24">
        <v>21</v>
      </c>
      <c r="F28" s="23">
        <v>0.3</v>
      </c>
      <c r="G28" s="23">
        <f>E28*F28</f>
        <v>6.3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22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1"/>
        <v>7255</v>
      </c>
      <c r="B36" s="64" t="s">
        <v>50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51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52</v>
      </c>
      <c r="C38" s="54" t="s">
        <v>24</v>
      </c>
      <c r="D38" s="55">
        <v>1001022726303</v>
      </c>
      <c r="E38" s="24">
        <v>30</v>
      </c>
      <c r="F38" s="23">
        <v>1.05</v>
      </c>
      <c r="G38" s="23">
        <f>E38</f>
        <v>30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53</v>
      </c>
      <c r="C39" s="73" t="s">
        <v>22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54</v>
      </c>
      <c r="C40" s="73" t="s">
        <v>22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55</v>
      </c>
      <c r="C41" s="73" t="s">
        <v>22</v>
      </c>
      <c r="D41" s="74">
        <v>1001023696765</v>
      </c>
      <c r="E41" s="24">
        <v>55</v>
      </c>
      <c r="F41" s="23">
        <v>0.36</v>
      </c>
      <c r="G41" s="23">
        <f>E41*F41</f>
        <v>19.8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56</v>
      </c>
      <c r="C42" s="73" t="s">
        <v>22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57</v>
      </c>
      <c r="C43" s="73" t="s">
        <v>22</v>
      </c>
      <c r="D43" s="74">
        <v>1001024976616</v>
      </c>
      <c r="E43" s="24">
        <v>147</v>
      </c>
      <c r="F43" s="23">
        <v>0.3</v>
      </c>
      <c r="G43" s="23">
        <f>E43*F43</f>
        <v>44.1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58</v>
      </c>
      <c r="C44" s="73" t="s">
        <v>24</v>
      </c>
      <c r="D44" s="74">
        <v>1001022467082</v>
      </c>
      <c r="E44" s="24">
        <v>12</v>
      </c>
      <c r="F44" s="23">
        <v>2.125</v>
      </c>
      <c r="G44" s="23">
        <f>E44</f>
        <v>12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59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60</v>
      </c>
      <c r="C46" s="73" t="s">
        <v>24</v>
      </c>
      <c r="D46" s="74">
        <v>1001022377070</v>
      </c>
      <c r="E46" s="24">
        <v>152</v>
      </c>
      <c r="F46" s="23"/>
      <c r="G46" s="23">
        <f>E46</f>
        <v>152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61</v>
      </c>
      <c r="C47" s="54" t="s">
        <v>24</v>
      </c>
      <c r="D47" s="55">
        <v>1001022246661</v>
      </c>
      <c r="E47" s="24">
        <v>169</v>
      </c>
      <c r="F47" s="23">
        <v>1</v>
      </c>
      <c r="G47" s="23">
        <f>E47</f>
        <v>169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62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63</v>
      </c>
      <c r="C49" s="54" t="s">
        <v>22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6837</v>
      </c>
      <c r="B50" s="52" t="s">
        <v>64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65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66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67</v>
      </c>
      <c r="C53" s="54" t="s">
        <v>24</v>
      </c>
      <c r="D53" s="55">
        <v>1001024976829</v>
      </c>
      <c r="E53" s="24">
        <v>121</v>
      </c>
      <c r="F53" s="23">
        <v>1.0249999999999999</v>
      </c>
      <c r="G53" s="23">
        <f>E53</f>
        <v>121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68</v>
      </c>
      <c r="C54" s="73" t="s">
        <v>24</v>
      </c>
      <c r="D54" s="74">
        <v>1001022657075</v>
      </c>
      <c r="E54" s="24">
        <v>60</v>
      </c>
      <c r="F54" s="23"/>
      <c r="G54" s="23">
        <f>E54</f>
        <v>60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69</v>
      </c>
      <c r="C55" s="73" t="s">
        <v>22</v>
      </c>
      <c r="D55" s="74">
        <v>1001022657073</v>
      </c>
      <c r="E55" s="24">
        <v>122</v>
      </c>
      <c r="F55" s="23">
        <v>0.35</v>
      </c>
      <c r="G55" s="23">
        <f>E55*F55</f>
        <v>42.699999999999996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70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71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72</v>
      </c>
      <c r="C58" s="54" t="s">
        <v>22</v>
      </c>
      <c r="D58" s="55">
        <v>1001022467080</v>
      </c>
      <c r="E58" s="24">
        <v>127</v>
      </c>
      <c r="F58" s="23">
        <v>0.41</v>
      </c>
      <c r="G58" s="23">
        <f>E58*F58</f>
        <v>52.07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2">RIGHT(D59,4)</f>
        <v>7276</v>
      </c>
      <c r="B59" s="57" t="s">
        <v>73</v>
      </c>
      <c r="C59" s="54" t="s">
        <v>22</v>
      </c>
      <c r="D59" s="55">
        <v>1001022467276</v>
      </c>
      <c r="E59" s="24">
        <v>85</v>
      </c>
      <c r="F59" s="23">
        <v>0.3</v>
      </c>
      <c r="G59" s="23">
        <f>E59*F59</f>
        <v>25.5</v>
      </c>
      <c r="H59" s="14"/>
      <c r="I59" s="14"/>
      <c r="J59" s="29"/>
    </row>
    <row r="60" spans="1:10" ht="16.5" customHeight="1" thickBot="1" x14ac:dyDescent="0.3">
      <c r="A60" s="60" t="str">
        <f t="shared" si="2"/>
        <v>7066</v>
      </c>
      <c r="B60" s="57" t="s">
        <v>74</v>
      </c>
      <c r="C60" s="54" t="s">
        <v>22</v>
      </c>
      <c r="D60" s="55">
        <v>1001022377066</v>
      </c>
      <c r="E60" s="24">
        <v>216</v>
      </c>
      <c r="F60" s="23">
        <v>0.41</v>
      </c>
      <c r="G60" s="23">
        <f>E60*F60</f>
        <v>88.559999999999988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2"/>
        <v/>
      </c>
      <c r="B61" s="47" t="s">
        <v>75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2"/>
        <v>7001</v>
      </c>
      <c r="B62" s="81" t="s">
        <v>76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2"/>
        <v>6527</v>
      </c>
      <c r="B63" s="82" t="s">
        <v>77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2"/>
        <v>6550</v>
      </c>
      <c r="B64" s="52" t="s">
        <v>78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2"/>
        <v>6608</v>
      </c>
      <c r="B65" s="52" t="s">
        <v>79</v>
      </c>
      <c r="C65" s="73" t="s">
        <v>24</v>
      </c>
      <c r="D65" s="74">
        <v>1001033856608</v>
      </c>
      <c r="E65" s="24">
        <v>47</v>
      </c>
      <c r="F65" s="23">
        <v>0.99</v>
      </c>
      <c r="G65" s="23">
        <f>E65</f>
        <v>47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2"/>
        <v/>
      </c>
      <c r="B66" s="47" t="s">
        <v>80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2"/>
        <v>6586</v>
      </c>
      <c r="B67" s="80" t="s">
        <v>81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3">E67*F67</f>
        <v>0</v>
      </c>
      <c r="H67" s="14"/>
      <c r="I67" s="14"/>
      <c r="J67" s="29"/>
    </row>
    <row r="68" spans="1:10" ht="16.5" customHeight="1" x14ac:dyDescent="0.25">
      <c r="A68" s="60" t="str">
        <f t="shared" si="2"/>
        <v>6459</v>
      </c>
      <c r="B68" s="80" t="s">
        <v>82</v>
      </c>
      <c r="C68" s="73" t="s">
        <v>22</v>
      </c>
      <c r="D68" s="74">
        <v>1001214196459</v>
      </c>
      <c r="E68" s="24"/>
      <c r="F68" s="23">
        <v>0.1</v>
      </c>
      <c r="G68" s="23">
        <f t="shared" si="3"/>
        <v>0</v>
      </c>
      <c r="H68" s="14"/>
      <c r="I68" s="14"/>
      <c r="J68" s="29"/>
    </row>
    <row r="69" spans="1:10" ht="16.5" customHeight="1" x14ac:dyDescent="0.25">
      <c r="A69" s="60" t="str">
        <f t="shared" si="2"/>
        <v>7232</v>
      </c>
      <c r="B69" s="51" t="s">
        <v>83</v>
      </c>
      <c r="C69" s="73" t="s">
        <v>22</v>
      </c>
      <c r="D69" s="74">
        <v>1001302277232</v>
      </c>
      <c r="E69" s="24">
        <v>27</v>
      </c>
      <c r="F69" s="23">
        <v>0.28000000000000003</v>
      </c>
      <c r="G69" s="23">
        <f t="shared" si="3"/>
        <v>7.5600000000000005</v>
      </c>
      <c r="H69" s="14"/>
      <c r="I69" s="14">
        <v>50</v>
      </c>
      <c r="J69" s="29"/>
    </row>
    <row r="70" spans="1:10" ht="16.5" customHeight="1" x14ac:dyDescent="0.25">
      <c r="A70" s="60" t="str">
        <f t="shared" si="2"/>
        <v>7332</v>
      </c>
      <c r="B70" s="51" t="s">
        <v>84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3"/>
        <v>0</v>
      </c>
      <c r="H70" s="14"/>
      <c r="I70" s="14"/>
      <c r="J70" s="29"/>
    </row>
    <row r="71" spans="1:10" ht="16.5" customHeight="1" x14ac:dyDescent="0.25">
      <c r="A71" s="60" t="str">
        <f t="shared" si="2"/>
        <v>7241</v>
      </c>
      <c r="B71" s="51" t="s">
        <v>85</v>
      </c>
      <c r="C71" s="73" t="s">
        <v>22</v>
      </c>
      <c r="D71" s="74">
        <v>1001303107241</v>
      </c>
      <c r="E71" s="24">
        <v>21</v>
      </c>
      <c r="F71" s="23">
        <v>0.28000000000000003</v>
      </c>
      <c r="G71" s="23">
        <f t="shared" si="3"/>
        <v>5.8800000000000008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2"/>
        <v>7154</v>
      </c>
      <c r="B72" s="51" t="s">
        <v>86</v>
      </c>
      <c r="C72" s="73" t="s">
        <v>22</v>
      </c>
      <c r="D72" s="74">
        <v>1001300387154</v>
      </c>
      <c r="E72" s="24">
        <v>71</v>
      </c>
      <c r="F72" s="23">
        <v>0.35</v>
      </c>
      <c r="G72" s="23">
        <f t="shared" si="3"/>
        <v>24.849999999999998</v>
      </c>
      <c r="H72" s="14"/>
      <c r="I72" s="14">
        <v>50</v>
      </c>
      <c r="J72" s="29"/>
    </row>
    <row r="73" spans="1:10" ht="16.5" customHeight="1" x14ac:dyDescent="0.25">
      <c r="A73" s="60" t="str">
        <f t="shared" si="2"/>
        <v>6787</v>
      </c>
      <c r="B73" s="53" t="s">
        <v>87</v>
      </c>
      <c r="C73" s="54" t="s">
        <v>22</v>
      </c>
      <c r="D73" s="55">
        <v>1001300456787</v>
      </c>
      <c r="E73" s="24"/>
      <c r="F73" s="75">
        <v>0.33</v>
      </c>
      <c r="G73" s="23">
        <f t="shared" si="3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2"/>
        <v>6697</v>
      </c>
      <c r="B74" s="51" t="s">
        <v>88</v>
      </c>
      <c r="C74" s="73" t="s">
        <v>22</v>
      </c>
      <c r="D74" s="74">
        <v>1001301876697</v>
      </c>
      <c r="E74" s="24">
        <v>74</v>
      </c>
      <c r="F74" s="23">
        <v>0.35</v>
      </c>
      <c r="G74" s="23">
        <f t="shared" si="3"/>
        <v>25.9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2"/>
        <v>7237</v>
      </c>
      <c r="B75" s="51" t="s">
        <v>89</v>
      </c>
      <c r="C75" s="73" t="s">
        <v>22</v>
      </c>
      <c r="D75" s="74">
        <v>1001304497237</v>
      </c>
      <c r="E75" s="24">
        <v>122</v>
      </c>
      <c r="F75" s="23">
        <v>0.28000000000000003</v>
      </c>
      <c r="G75" s="23">
        <f t="shared" si="3"/>
        <v>34.160000000000004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2"/>
        <v>7236</v>
      </c>
      <c r="B76" s="53" t="s">
        <v>90</v>
      </c>
      <c r="C76" s="54" t="s">
        <v>22</v>
      </c>
      <c r="D76" s="55">
        <v>1001304507236</v>
      </c>
      <c r="E76" s="24">
        <v>124</v>
      </c>
      <c r="F76" s="23">
        <v>0.28000000000000003</v>
      </c>
      <c r="G76" s="23">
        <f t="shared" si="3"/>
        <v>34.720000000000006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2"/>
        <v>7333</v>
      </c>
      <c r="B77" s="53" t="s">
        <v>91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60" t="str">
        <f t="shared" si="2"/>
        <v>7169</v>
      </c>
      <c r="B78" s="58" t="s">
        <v>92</v>
      </c>
      <c r="C78" s="54" t="s">
        <v>33</v>
      </c>
      <c r="D78" s="55">
        <v>1001303987169</v>
      </c>
      <c r="E78" s="24"/>
      <c r="F78" s="23">
        <v>0.35</v>
      </c>
      <c r="G78" s="23">
        <f t="shared" si="3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2"/>
        <v>7166</v>
      </c>
      <c r="B79" s="45" t="s">
        <v>93</v>
      </c>
      <c r="C79" s="73" t="s">
        <v>24</v>
      </c>
      <c r="D79" s="74">
        <v>1001303987166</v>
      </c>
      <c r="E79" s="24">
        <v>20</v>
      </c>
      <c r="F79" s="23">
        <v>1</v>
      </c>
      <c r="G79" s="23">
        <f>E79</f>
        <v>20</v>
      </c>
      <c r="H79" s="14"/>
      <c r="I79" s="14">
        <v>50</v>
      </c>
      <c r="J79" s="29"/>
    </row>
    <row r="80" spans="1:10" ht="15.75" customHeight="1" x14ac:dyDescent="0.25">
      <c r="A80" s="60" t="str">
        <f t="shared" si="2"/>
        <v>5544</v>
      </c>
      <c r="B80" s="80" t="s">
        <v>94</v>
      </c>
      <c r="C80" s="73" t="s">
        <v>24</v>
      </c>
      <c r="D80" s="74">
        <v>1001051875544</v>
      </c>
      <c r="E80" s="24">
        <v>125</v>
      </c>
      <c r="F80" s="23">
        <v>0.83399999999999996</v>
      </c>
      <c r="G80" s="23">
        <f>E80</f>
        <v>125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2"/>
        <v>7133</v>
      </c>
      <c r="B81" s="80" t="s">
        <v>95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2"/>
        <v>6791</v>
      </c>
      <c r="B82" s="80" t="s">
        <v>96</v>
      </c>
      <c r="C82" s="73" t="s">
        <v>22</v>
      </c>
      <c r="D82" s="74">
        <v>1001304096791</v>
      </c>
      <c r="E82" s="24">
        <v>16</v>
      </c>
      <c r="F82" s="23">
        <v>0.33</v>
      </c>
      <c r="G82" s="23">
        <f>E82*F82</f>
        <v>5.28</v>
      </c>
      <c r="H82" s="14"/>
      <c r="I82" s="14">
        <v>45</v>
      </c>
      <c r="J82" s="72"/>
    </row>
    <row r="83" spans="1:11" ht="15.75" customHeight="1" x14ac:dyDescent="0.25">
      <c r="A83" s="60" t="str">
        <f t="shared" si="2"/>
        <v>6792</v>
      </c>
      <c r="B83" s="80" t="s">
        <v>97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2"/>
        <v>7157</v>
      </c>
      <c r="B84" s="80" t="s">
        <v>98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2"/>
        <v>6793</v>
      </c>
      <c r="B85" s="80" t="s">
        <v>99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2"/>
        <v>7131</v>
      </c>
      <c r="B86" s="80" t="s">
        <v>100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2"/>
        <v>7144</v>
      </c>
      <c r="B87" s="80" t="s">
        <v>101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2"/>
        <v>7146</v>
      </c>
      <c r="B88" s="80" t="s">
        <v>102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2"/>
        <v>7135</v>
      </c>
      <c r="B89" s="80" t="s">
        <v>103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2"/>
        <v>7134</v>
      </c>
      <c r="B90" s="80" t="s">
        <v>104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4">RIGHT(D91,4)</f>
        <v>6807</v>
      </c>
      <c r="B91" s="80" t="s">
        <v>105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4"/>
        <v/>
      </c>
      <c r="B92" s="47" t="s">
        <v>106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4"/>
        <v>5931</v>
      </c>
      <c r="B93" s="64" t="s">
        <v>107</v>
      </c>
      <c r="C93" s="65" t="s">
        <v>22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4"/>
        <v>6834</v>
      </c>
      <c r="B94" s="53" t="s">
        <v>108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4"/>
        <v>7092</v>
      </c>
      <c r="B95" s="80" t="s">
        <v>109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4"/>
        <v>6454</v>
      </c>
      <c r="B96" s="80" t="s">
        <v>110</v>
      </c>
      <c r="C96" s="73" t="s">
        <v>33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4"/>
        <v>3986</v>
      </c>
      <c r="B97" s="80" t="s">
        <v>111</v>
      </c>
      <c r="C97" s="73" t="s">
        <v>33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4"/>
        <v>5708</v>
      </c>
      <c r="B98" s="80" t="s">
        <v>112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4"/>
        <v>6832</v>
      </c>
      <c r="B99" s="80" t="s">
        <v>113</v>
      </c>
      <c r="C99" s="73" t="s">
        <v>24</v>
      </c>
      <c r="D99" s="74">
        <v>1001065616832</v>
      </c>
      <c r="E99" s="24"/>
      <c r="F99" s="23"/>
      <c r="G99" s="23">
        <f>E99</f>
        <v>0</v>
      </c>
      <c r="H99" s="14"/>
      <c r="I99" s="14"/>
      <c r="J99" s="29"/>
    </row>
    <row r="100" spans="1:10" ht="16.5" customHeight="1" x14ac:dyDescent="0.25">
      <c r="A100" s="60" t="str">
        <f t="shared" si="4"/>
        <v>7299</v>
      </c>
      <c r="B100" s="80" t="s">
        <v>114</v>
      </c>
      <c r="C100" s="73" t="s">
        <v>24</v>
      </c>
      <c r="D100" s="74">
        <v>1001060677299</v>
      </c>
      <c r="E100" s="24">
        <v>20</v>
      </c>
      <c r="F100" s="23"/>
      <c r="G100" s="23">
        <f>E100</f>
        <v>20</v>
      </c>
      <c r="H100" s="14"/>
      <c r="I100" s="14"/>
      <c r="J100" s="29"/>
    </row>
    <row r="101" spans="1:10" ht="16.5" customHeight="1" x14ac:dyDescent="0.25">
      <c r="A101" s="60" t="str">
        <f t="shared" si="4"/>
        <v>4993</v>
      </c>
      <c r="B101" s="80" t="s">
        <v>115</v>
      </c>
      <c r="C101" s="73" t="s">
        <v>33</v>
      </c>
      <c r="D101" s="74">
        <v>1001060764993</v>
      </c>
      <c r="E101" s="24"/>
      <c r="F101" s="23">
        <v>0.25</v>
      </c>
      <c r="G101" s="23">
        <f t="shared" ref="G101:G110" si="5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4"/>
        <v>6967</v>
      </c>
      <c r="B102" s="80" t="s">
        <v>116</v>
      </c>
      <c r="C102" s="73" t="s">
        <v>33</v>
      </c>
      <c r="D102" s="74">
        <v>1001063656967</v>
      </c>
      <c r="E102" s="24"/>
      <c r="F102" s="23">
        <v>0.25</v>
      </c>
      <c r="G102" s="23">
        <f t="shared" si="5"/>
        <v>0</v>
      </c>
      <c r="H102" s="14"/>
      <c r="I102" s="14"/>
      <c r="J102" s="29"/>
    </row>
    <row r="103" spans="1:10" ht="16.5" customHeight="1" x14ac:dyDescent="0.25">
      <c r="A103" s="60" t="str">
        <f t="shared" si="4"/>
        <v>7382</v>
      </c>
      <c r="B103" s="80" t="s">
        <v>117</v>
      </c>
      <c r="C103" s="73" t="s">
        <v>22</v>
      </c>
      <c r="D103" s="74">
        <v>1001203117382</v>
      </c>
      <c r="E103" s="24">
        <v>30</v>
      </c>
      <c r="F103" s="23">
        <v>0.12</v>
      </c>
      <c r="G103" s="23">
        <f t="shared" si="5"/>
        <v>3.5999999999999996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4"/>
        <v>7147</v>
      </c>
      <c r="B104" s="80" t="s">
        <v>118</v>
      </c>
      <c r="C104" s="73" t="s">
        <v>22</v>
      </c>
      <c r="D104" s="74">
        <v>1001063237147</v>
      </c>
      <c r="E104" s="24"/>
      <c r="F104" s="23">
        <v>0.22</v>
      </c>
      <c r="G104" s="23">
        <f t="shared" si="5"/>
        <v>0</v>
      </c>
      <c r="H104" s="14"/>
      <c r="I104" s="14"/>
      <c r="J104" s="29"/>
    </row>
    <row r="105" spans="1:10" ht="16.5" customHeight="1" x14ac:dyDescent="0.25">
      <c r="A105" s="60" t="str">
        <f t="shared" si="4"/>
        <v>7229</v>
      </c>
      <c r="B105" s="80" t="s">
        <v>119</v>
      </c>
      <c r="C105" s="73" t="s">
        <v>22</v>
      </c>
      <c r="D105" s="74">
        <v>1001063237229</v>
      </c>
      <c r="E105" s="24"/>
      <c r="F105" s="23">
        <v>0.18</v>
      </c>
      <c r="G105" s="23">
        <f t="shared" si="5"/>
        <v>0</v>
      </c>
      <c r="H105" s="14"/>
      <c r="I105" s="14"/>
      <c r="J105" s="29"/>
    </row>
    <row r="106" spans="1:10" ht="16.5" customHeight="1" x14ac:dyDescent="0.25">
      <c r="A106" s="60" t="str">
        <f t="shared" si="4"/>
        <v>7150</v>
      </c>
      <c r="B106" s="80" t="s">
        <v>120</v>
      </c>
      <c r="C106" s="73" t="s">
        <v>24</v>
      </c>
      <c r="D106" s="74">
        <v>1001063237150</v>
      </c>
      <c r="E106" s="24"/>
      <c r="F106" s="23">
        <v>1</v>
      </c>
      <c r="G106" s="23">
        <f t="shared" si="5"/>
        <v>0</v>
      </c>
      <c r="H106" s="14"/>
      <c r="I106" s="14"/>
      <c r="J106" s="29"/>
    </row>
    <row r="107" spans="1:10" ht="16.5" customHeight="1" x14ac:dyDescent="0.25">
      <c r="A107" s="60" t="str">
        <f t="shared" si="4"/>
        <v>7227</v>
      </c>
      <c r="B107" s="80" t="s">
        <v>121</v>
      </c>
      <c r="C107" s="73" t="s">
        <v>22</v>
      </c>
      <c r="D107" s="74">
        <v>1001063097227</v>
      </c>
      <c r="E107" s="24"/>
      <c r="F107" s="23">
        <v>0.18</v>
      </c>
      <c r="G107" s="23">
        <f t="shared" si="5"/>
        <v>0</v>
      </c>
      <c r="H107" s="14"/>
      <c r="I107" s="14"/>
      <c r="J107" s="29"/>
    </row>
    <row r="108" spans="1:10" ht="16.5" customHeight="1" x14ac:dyDescent="0.25">
      <c r="A108" s="60" t="str">
        <f t="shared" si="4"/>
        <v>7225</v>
      </c>
      <c r="B108" s="80" t="s">
        <v>122</v>
      </c>
      <c r="C108" s="73" t="s">
        <v>22</v>
      </c>
      <c r="D108" s="74">
        <v>1001066537225</v>
      </c>
      <c r="E108" s="24"/>
      <c r="F108" s="23">
        <v>0.18</v>
      </c>
      <c r="G108" s="23">
        <f t="shared" si="5"/>
        <v>0</v>
      </c>
      <c r="H108" s="14"/>
      <c r="I108" s="14"/>
      <c r="J108" s="29"/>
    </row>
    <row r="109" spans="1:10" ht="16.5" customHeight="1" x14ac:dyDescent="0.25">
      <c r="A109" s="60" t="str">
        <f t="shared" si="4"/>
        <v>7228</v>
      </c>
      <c r="B109" s="80" t="s">
        <v>123</v>
      </c>
      <c r="C109" s="73" t="s">
        <v>22</v>
      </c>
      <c r="D109" s="74">
        <v>1001066547228</v>
      </c>
      <c r="E109" s="24"/>
      <c r="F109" s="23">
        <v>0.18</v>
      </c>
      <c r="G109" s="23">
        <f t="shared" si="5"/>
        <v>0</v>
      </c>
      <c r="H109" s="14"/>
      <c r="I109" s="14"/>
      <c r="J109" s="29"/>
    </row>
    <row r="110" spans="1:10" ht="16.5" customHeight="1" x14ac:dyDescent="0.25">
      <c r="A110" s="60" t="str">
        <f t="shared" si="4"/>
        <v>6221</v>
      </c>
      <c r="B110" s="80" t="s">
        <v>124</v>
      </c>
      <c r="C110" s="73" t="s">
        <v>22</v>
      </c>
      <c r="D110" s="74">
        <v>1001205376221</v>
      </c>
      <c r="E110" s="24">
        <v>151</v>
      </c>
      <c r="F110" s="23">
        <v>0.09</v>
      </c>
      <c r="G110" s="23">
        <f t="shared" si="5"/>
        <v>13.59</v>
      </c>
      <c r="H110" s="14"/>
      <c r="I110" s="14"/>
      <c r="J110" s="29"/>
    </row>
    <row r="111" spans="1:10" ht="16.5" customHeight="1" x14ac:dyDescent="0.25">
      <c r="A111" s="60" t="str">
        <f t="shared" si="4"/>
        <v>4117</v>
      </c>
      <c r="B111" s="80" t="s">
        <v>125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4"/>
        <v>5483</v>
      </c>
      <c r="B112" s="80" t="s">
        <v>126</v>
      </c>
      <c r="C112" s="73" t="s">
        <v>22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4"/>
        <v>6453</v>
      </c>
      <c r="B113" s="80" t="s">
        <v>127</v>
      </c>
      <c r="C113" s="73" t="s">
        <v>33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4"/>
        <v>6228</v>
      </c>
      <c r="B114" s="80" t="s">
        <v>128</v>
      </c>
      <c r="C114" s="73" t="s">
        <v>33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4"/>
        <v>3287</v>
      </c>
      <c r="B115" s="80" t="s">
        <v>129</v>
      </c>
      <c r="C115" s="73" t="s">
        <v>24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4"/>
        <v/>
      </c>
      <c r="B116" s="47" t="s">
        <v>130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4"/>
        <v>6866</v>
      </c>
      <c r="B117" s="77" t="s">
        <v>131</v>
      </c>
      <c r="C117" s="73" t="s">
        <v>38</v>
      </c>
      <c r="D117" s="79">
        <v>1001095716866</v>
      </c>
      <c r="E117" s="24">
        <v>19</v>
      </c>
      <c r="F117" s="23"/>
      <c r="G117" s="23">
        <f>E117</f>
        <v>19</v>
      </c>
      <c r="H117" s="14"/>
      <c r="I117" s="14"/>
      <c r="J117" s="29"/>
    </row>
    <row r="118" spans="1:10" ht="16.5" customHeight="1" x14ac:dyDescent="0.25">
      <c r="A118" s="60" t="str">
        <f t="shared" si="4"/>
        <v>3215</v>
      </c>
      <c r="B118" s="80" t="s">
        <v>132</v>
      </c>
      <c r="C118" s="73" t="s">
        <v>33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4"/>
        <v>5452</v>
      </c>
      <c r="B119" s="51" t="s">
        <v>133</v>
      </c>
      <c r="C119" s="73" t="s">
        <v>24</v>
      </c>
      <c r="D119" s="42">
        <v>1001092485452</v>
      </c>
      <c r="E119" s="24">
        <v>17</v>
      </c>
      <c r="F119" s="23">
        <v>1.367</v>
      </c>
      <c r="G119" s="23">
        <f>E119</f>
        <v>17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4"/>
        <v>5495</v>
      </c>
      <c r="B120" s="51" t="s">
        <v>134</v>
      </c>
      <c r="C120" s="73" t="s">
        <v>22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4"/>
        <v>6495</v>
      </c>
      <c r="B121" s="51" t="s">
        <v>135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4"/>
        <v/>
      </c>
      <c r="B122" s="47" t="s">
        <v>136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ref="A123:A130" si="6">RIGHT(D123,4)</f>
        <v>6448</v>
      </c>
      <c r="B123" s="37" t="s">
        <v>137</v>
      </c>
      <c r="C123" s="73" t="s">
        <v>33</v>
      </c>
      <c r="D123" s="74">
        <v>1001234146448</v>
      </c>
      <c r="E123" s="24">
        <v>81</v>
      </c>
      <c r="F123" s="23">
        <v>0.1</v>
      </c>
      <c r="G123" s="23">
        <f>E123*F123</f>
        <v>8.1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6"/>
        <v>6620</v>
      </c>
      <c r="B124" s="37" t="s">
        <v>138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6"/>
        <v>6279</v>
      </c>
      <c r="B125" s="37" t="s">
        <v>139</v>
      </c>
      <c r="C125" s="73" t="s">
        <v>22</v>
      </c>
      <c r="D125" s="74">
        <v>1001220286279</v>
      </c>
      <c r="E125" s="24">
        <v>79</v>
      </c>
      <c r="F125" s="23">
        <v>0.15</v>
      </c>
      <c r="G125" s="23">
        <f>F125*E125</f>
        <v>11.85</v>
      </c>
      <c r="H125" s="14"/>
      <c r="I125" s="14"/>
      <c r="J125" s="29"/>
    </row>
    <row r="126" spans="1:10" ht="16.5" customHeight="1" x14ac:dyDescent="0.25">
      <c r="A126" s="60" t="str">
        <f t="shared" si="6"/>
        <v>6208</v>
      </c>
      <c r="B126" s="37" t="s">
        <v>140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7090</v>
      </c>
      <c r="B127" s="37" t="s">
        <v>141</v>
      </c>
      <c r="C127" s="73" t="s">
        <v>33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6"/>
        <v>7187</v>
      </c>
      <c r="B128" s="37" t="s">
        <v>142</v>
      </c>
      <c r="C128" s="73" t="s">
        <v>33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6"/>
        <v>7103</v>
      </c>
      <c r="B129" s="59" t="s">
        <v>143</v>
      </c>
      <c r="C129" s="54" t="s">
        <v>33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6"/>
        <v>6872</v>
      </c>
      <c r="B130" s="37" t="s">
        <v>144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145</v>
      </c>
      <c r="C131" s="16"/>
      <c r="D131" s="38"/>
      <c r="E131" s="17">
        <f>SUM(E10:E130)</f>
        <v>2785</v>
      </c>
      <c r="F131" s="17"/>
      <c r="G131" s="17">
        <f>SUM(G11:G130)</f>
        <v>1670.5199999999998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2025-12-16T11:11:41Z</dcterms:modified>
</cp:coreProperties>
</file>