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"/>
    </mc:Choice>
  </mc:AlternateContent>
  <xr:revisionPtr revIDLastSave="0" documentId="13_ncr:1_{F6BED29E-E52B-40CC-B5E5-BE71EFAE77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6" i="1" l="1"/>
  <c r="Q97" i="1"/>
  <c r="V97" i="1" s="1"/>
  <c r="L97" i="1"/>
  <c r="Q96" i="1"/>
  <c r="V96" i="1" s="1"/>
  <c r="L96" i="1"/>
  <c r="F95" i="1"/>
  <c r="E95" i="1"/>
  <c r="L95" i="1" s="1"/>
  <c r="Q94" i="1"/>
  <c r="V94" i="1" s="1"/>
  <c r="L94" i="1"/>
  <c r="Q93" i="1"/>
  <c r="L93" i="1"/>
  <c r="AF92" i="1"/>
  <c r="Q92" i="1"/>
  <c r="V92" i="1" s="1"/>
  <c r="L92" i="1"/>
  <c r="Q91" i="1"/>
  <c r="L91" i="1"/>
  <c r="Q90" i="1"/>
  <c r="V90" i="1" s="1"/>
  <c r="L90" i="1"/>
  <c r="Q89" i="1"/>
  <c r="R89" i="1" s="1"/>
  <c r="L89" i="1"/>
  <c r="F88" i="1"/>
  <c r="E88" i="1"/>
  <c r="Q88" i="1" s="1"/>
  <c r="Q87" i="1"/>
  <c r="L87" i="1"/>
  <c r="Q86" i="1"/>
  <c r="V86" i="1" s="1"/>
  <c r="L86" i="1"/>
  <c r="Q85" i="1"/>
  <c r="L85" i="1"/>
  <c r="Q84" i="1"/>
  <c r="V84" i="1" s="1"/>
  <c r="L84" i="1"/>
  <c r="Q83" i="1"/>
  <c r="L83" i="1"/>
  <c r="Q82" i="1"/>
  <c r="V82" i="1" s="1"/>
  <c r="L82" i="1"/>
  <c r="Q81" i="1"/>
  <c r="L81" i="1"/>
  <c r="Q80" i="1"/>
  <c r="V80" i="1" s="1"/>
  <c r="L80" i="1"/>
  <c r="Q79" i="1"/>
  <c r="V79" i="1" s="1"/>
  <c r="L79" i="1"/>
  <c r="Q78" i="1"/>
  <c r="V78" i="1" s="1"/>
  <c r="L78" i="1"/>
  <c r="Q77" i="1"/>
  <c r="V77" i="1" s="1"/>
  <c r="L77" i="1"/>
  <c r="Q76" i="1"/>
  <c r="V76" i="1" s="1"/>
  <c r="L76" i="1"/>
  <c r="Q75" i="1"/>
  <c r="L75" i="1"/>
  <c r="Q74" i="1"/>
  <c r="V74" i="1" s="1"/>
  <c r="L74" i="1"/>
  <c r="Q73" i="1"/>
  <c r="L73" i="1"/>
  <c r="Q72" i="1"/>
  <c r="V72" i="1" s="1"/>
  <c r="L72" i="1"/>
  <c r="Q71" i="1"/>
  <c r="L71" i="1"/>
  <c r="Q70" i="1"/>
  <c r="V70" i="1" s="1"/>
  <c r="L70" i="1"/>
  <c r="Q69" i="1"/>
  <c r="L69" i="1"/>
  <c r="Q68" i="1"/>
  <c r="L68" i="1"/>
  <c r="Q67" i="1"/>
  <c r="V67" i="1" s="1"/>
  <c r="L67" i="1"/>
  <c r="Q66" i="1"/>
  <c r="V66" i="1" s="1"/>
  <c r="L66" i="1"/>
  <c r="F65" i="1"/>
  <c r="E65" i="1"/>
  <c r="Q65" i="1" s="1"/>
  <c r="F64" i="1"/>
  <c r="E64" i="1"/>
  <c r="L64" i="1" s="1"/>
  <c r="Q63" i="1"/>
  <c r="V63" i="1" s="1"/>
  <c r="L63" i="1"/>
  <c r="Q62" i="1"/>
  <c r="L62" i="1"/>
  <c r="Q61" i="1"/>
  <c r="V61" i="1" s="1"/>
  <c r="L61" i="1"/>
  <c r="Q60" i="1"/>
  <c r="V60" i="1" s="1"/>
  <c r="L60" i="1"/>
  <c r="Q59" i="1"/>
  <c r="V59" i="1" s="1"/>
  <c r="L59" i="1"/>
  <c r="Q58" i="1"/>
  <c r="L58" i="1"/>
  <c r="Q57" i="1"/>
  <c r="V57" i="1" s="1"/>
  <c r="L57" i="1"/>
  <c r="Q56" i="1"/>
  <c r="V56" i="1" s="1"/>
  <c r="L56" i="1"/>
  <c r="Q55" i="1"/>
  <c r="V55" i="1" s="1"/>
  <c r="L55" i="1"/>
  <c r="Q54" i="1"/>
  <c r="L54" i="1"/>
  <c r="Q53" i="1"/>
  <c r="V53" i="1" s="1"/>
  <c r="L53" i="1"/>
  <c r="Q52" i="1"/>
  <c r="V52" i="1" s="1"/>
  <c r="L52" i="1"/>
  <c r="Q51" i="1"/>
  <c r="V51" i="1" s="1"/>
  <c r="L51" i="1"/>
  <c r="Q50" i="1"/>
  <c r="L50" i="1"/>
  <c r="Q49" i="1"/>
  <c r="V49" i="1" s="1"/>
  <c r="L49" i="1"/>
  <c r="Q48" i="1"/>
  <c r="V48" i="1" s="1"/>
  <c r="L48" i="1"/>
  <c r="Q47" i="1"/>
  <c r="V47" i="1" s="1"/>
  <c r="L47" i="1"/>
  <c r="Q46" i="1"/>
  <c r="R46" i="1" s="1"/>
  <c r="L46" i="1"/>
  <c r="Q45" i="1"/>
  <c r="V45" i="1" s="1"/>
  <c r="L45" i="1"/>
  <c r="Q44" i="1"/>
  <c r="V44" i="1" s="1"/>
  <c r="L44" i="1"/>
  <c r="Q43" i="1"/>
  <c r="V43" i="1" s="1"/>
  <c r="L43" i="1"/>
  <c r="Q42" i="1"/>
  <c r="L42" i="1"/>
  <c r="Q41" i="1"/>
  <c r="V41" i="1" s="1"/>
  <c r="L41" i="1"/>
  <c r="Q40" i="1"/>
  <c r="V40" i="1" s="1"/>
  <c r="L40" i="1"/>
  <c r="Q39" i="1"/>
  <c r="V39" i="1" s="1"/>
  <c r="L39" i="1"/>
  <c r="Q38" i="1"/>
  <c r="L38" i="1"/>
  <c r="Q37" i="1"/>
  <c r="V37" i="1" s="1"/>
  <c r="L37" i="1"/>
  <c r="V36" i="1"/>
  <c r="L36" i="1"/>
  <c r="Q35" i="1"/>
  <c r="V35" i="1" s="1"/>
  <c r="L35" i="1"/>
  <c r="Q34" i="1"/>
  <c r="L34" i="1"/>
  <c r="Q33" i="1"/>
  <c r="V33" i="1" s="1"/>
  <c r="L33" i="1"/>
  <c r="Q32" i="1"/>
  <c r="V32" i="1" s="1"/>
  <c r="L32" i="1"/>
  <c r="F31" i="1"/>
  <c r="E31" i="1"/>
  <c r="Q31" i="1" s="1"/>
  <c r="Q30" i="1"/>
  <c r="L30" i="1"/>
  <c r="Q29" i="1"/>
  <c r="V29" i="1" s="1"/>
  <c r="L29" i="1"/>
  <c r="Q28" i="1"/>
  <c r="L28" i="1"/>
  <c r="Q27" i="1"/>
  <c r="V27" i="1" s="1"/>
  <c r="L27" i="1"/>
  <c r="Q26" i="1"/>
  <c r="L26" i="1"/>
  <c r="Q25" i="1"/>
  <c r="V25" i="1" s="1"/>
  <c r="L25" i="1"/>
  <c r="Q24" i="1"/>
  <c r="L24" i="1"/>
  <c r="Q23" i="1"/>
  <c r="V23" i="1" s="1"/>
  <c r="L23" i="1"/>
  <c r="Q22" i="1"/>
  <c r="L22" i="1"/>
  <c r="Q21" i="1"/>
  <c r="U21" i="1" s="1"/>
  <c r="L21" i="1"/>
  <c r="Q20" i="1"/>
  <c r="V20" i="1" s="1"/>
  <c r="L20" i="1"/>
  <c r="Q19" i="1"/>
  <c r="V19" i="1" s="1"/>
  <c r="L19" i="1"/>
  <c r="Q18" i="1"/>
  <c r="V18" i="1" s="1"/>
  <c r="L18" i="1"/>
  <c r="Q17" i="1"/>
  <c r="L17" i="1"/>
  <c r="Q16" i="1"/>
  <c r="V16" i="1" s="1"/>
  <c r="L16" i="1"/>
  <c r="Q15" i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L9" i="1"/>
  <c r="F8" i="1"/>
  <c r="E8" i="1"/>
  <c r="Q8" i="1" s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40" i="1" l="1"/>
  <c r="AF40" i="1" s="1"/>
  <c r="R78" i="1"/>
  <c r="R55" i="1"/>
  <c r="R74" i="1"/>
  <c r="AF74" i="1" s="1"/>
  <c r="R72" i="1"/>
  <c r="AF72" i="1" s="1"/>
  <c r="R94" i="1"/>
  <c r="R33" i="1"/>
  <c r="R39" i="1"/>
  <c r="R56" i="1"/>
  <c r="AF56" i="1" s="1"/>
  <c r="R53" i="1"/>
  <c r="U53" i="1" s="1"/>
  <c r="R63" i="1"/>
  <c r="R80" i="1"/>
  <c r="AF80" i="1" s="1"/>
  <c r="E5" i="1"/>
  <c r="R65" i="1"/>
  <c r="AF65" i="1" s="1"/>
  <c r="R57" i="1"/>
  <c r="R86" i="1"/>
  <c r="R20" i="1"/>
  <c r="AF20" i="1" s="1"/>
  <c r="R49" i="1"/>
  <c r="AF8" i="1"/>
  <c r="R31" i="1"/>
  <c r="AF31" i="1" s="1"/>
  <c r="U79" i="1"/>
  <c r="R88" i="1"/>
  <c r="AF88" i="1" s="1"/>
  <c r="AF25" i="1"/>
  <c r="R45" i="1"/>
  <c r="U45" i="1" s="1"/>
  <c r="R61" i="1"/>
  <c r="U61" i="1" s="1"/>
  <c r="R82" i="1"/>
  <c r="AF82" i="1" s="1"/>
  <c r="AF90" i="1"/>
  <c r="AF94" i="1"/>
  <c r="R7" i="1"/>
  <c r="AF7" i="1" s="1"/>
  <c r="AF24" i="1"/>
  <c r="R34" i="1"/>
  <c r="AF34" i="1" s="1"/>
  <c r="R38" i="1"/>
  <c r="AF38" i="1" s="1"/>
  <c r="R42" i="1"/>
  <c r="AF42" i="1" s="1"/>
  <c r="R50" i="1"/>
  <c r="AF50" i="1" s="1"/>
  <c r="V50" i="1"/>
  <c r="AF58" i="1"/>
  <c r="V58" i="1"/>
  <c r="R85" i="1"/>
  <c r="AF85" i="1" s="1"/>
  <c r="AF89" i="1"/>
  <c r="AF93" i="1"/>
  <c r="R6" i="1"/>
  <c r="AF6" i="1" s="1"/>
  <c r="R14" i="1"/>
  <c r="AF14" i="1" s="1"/>
  <c r="R29" i="1"/>
  <c r="AF29" i="1" s="1"/>
  <c r="R70" i="1"/>
  <c r="R84" i="1"/>
  <c r="AF84" i="1" s="1"/>
  <c r="R9" i="1"/>
  <c r="AF9" i="1" s="1"/>
  <c r="R11" i="1"/>
  <c r="AF11" i="1" s="1"/>
  <c r="R13" i="1"/>
  <c r="AF13" i="1" s="1"/>
  <c r="R15" i="1"/>
  <c r="AF15" i="1" s="1"/>
  <c r="R17" i="1"/>
  <c r="AF17" i="1" s="1"/>
  <c r="U18" i="1"/>
  <c r="AF22" i="1"/>
  <c r="R26" i="1"/>
  <c r="AF26" i="1" s="1"/>
  <c r="R28" i="1"/>
  <c r="AF28" i="1" s="1"/>
  <c r="AF30" i="1"/>
  <c r="R32" i="1"/>
  <c r="AF32" i="1" s="1"/>
  <c r="V34" i="1"/>
  <c r="AF36" i="1"/>
  <c r="V38" i="1"/>
  <c r="V42" i="1"/>
  <c r="AF46" i="1"/>
  <c r="V46" i="1"/>
  <c r="R54" i="1"/>
  <c r="AF54" i="1" s="1"/>
  <c r="V54" i="1"/>
  <c r="R62" i="1"/>
  <c r="AF62" i="1" s="1"/>
  <c r="V62" i="1"/>
  <c r="U68" i="1"/>
  <c r="V68" i="1"/>
  <c r="AF81" i="1"/>
  <c r="R87" i="1"/>
  <c r="AF87" i="1" s="1"/>
  <c r="R91" i="1"/>
  <c r="AF91" i="1" s="1"/>
  <c r="R12" i="1"/>
  <c r="AF12" i="1" s="1"/>
  <c r="R16" i="1"/>
  <c r="AF16" i="1" s="1"/>
  <c r="AF23" i="1"/>
  <c r="R43" i="1"/>
  <c r="R47" i="1"/>
  <c r="R51" i="1"/>
  <c r="R59" i="1"/>
  <c r="R77" i="1"/>
  <c r="V88" i="1"/>
  <c r="AF44" i="1"/>
  <c r="AF48" i="1"/>
  <c r="R52" i="1"/>
  <c r="AF52" i="1" s="1"/>
  <c r="AF60" i="1"/>
  <c r="R66" i="1"/>
  <c r="AF66" i="1" s="1"/>
  <c r="R69" i="1"/>
  <c r="AF69" i="1" s="1"/>
  <c r="R71" i="1"/>
  <c r="AF71" i="1" s="1"/>
  <c r="R73" i="1"/>
  <c r="AF73" i="1" s="1"/>
  <c r="AF75" i="1"/>
  <c r="AF78" i="1"/>
  <c r="R83" i="1"/>
  <c r="AF83" i="1" s="1"/>
  <c r="V21" i="1"/>
  <c r="U23" i="1"/>
  <c r="U97" i="1"/>
  <c r="Q64" i="1"/>
  <c r="R64" i="1" s="1"/>
  <c r="AF64" i="1" s="1"/>
  <c r="F5" i="1"/>
  <c r="V8" i="1"/>
  <c r="U19" i="1"/>
  <c r="V31" i="1"/>
  <c r="V65" i="1"/>
  <c r="U76" i="1"/>
  <c r="V89" i="1"/>
  <c r="U90" i="1"/>
  <c r="V91" i="1"/>
  <c r="U92" i="1"/>
  <c r="V93" i="1"/>
  <c r="Q95" i="1"/>
  <c r="R95" i="1" s="1"/>
  <c r="U96" i="1"/>
  <c r="U8" i="1"/>
  <c r="V7" i="1"/>
  <c r="L8" i="1"/>
  <c r="V9" i="1"/>
  <c r="V11" i="1"/>
  <c r="V13" i="1"/>
  <c r="V15" i="1"/>
  <c r="V17" i="1"/>
  <c r="V22" i="1"/>
  <c r="V24" i="1"/>
  <c r="V26" i="1"/>
  <c r="V28" i="1"/>
  <c r="V30" i="1"/>
  <c r="L31" i="1"/>
  <c r="L65" i="1"/>
  <c r="V69" i="1"/>
  <c r="V71" i="1"/>
  <c r="V73" i="1"/>
  <c r="V75" i="1"/>
  <c r="V81" i="1"/>
  <c r="V83" i="1"/>
  <c r="V85" i="1"/>
  <c r="V87" i="1"/>
  <c r="L88" i="1"/>
  <c r="U84" i="1" l="1"/>
  <c r="AF45" i="1"/>
  <c r="U29" i="1"/>
  <c r="U31" i="1"/>
  <c r="U25" i="1"/>
  <c r="U82" i="1"/>
  <c r="U14" i="1"/>
  <c r="U12" i="1"/>
  <c r="U6" i="1"/>
  <c r="U80" i="1"/>
  <c r="U65" i="1"/>
  <c r="U20" i="1"/>
  <c r="U86" i="1"/>
  <c r="AF86" i="1"/>
  <c r="U33" i="1"/>
  <c r="AF33" i="1"/>
  <c r="U41" i="1"/>
  <c r="AF41" i="1"/>
  <c r="U94" i="1"/>
  <c r="U88" i="1"/>
  <c r="AF61" i="1"/>
  <c r="U17" i="1"/>
  <c r="U15" i="1"/>
  <c r="U13" i="1"/>
  <c r="U11" i="1"/>
  <c r="U9" i="1"/>
  <c r="U57" i="1"/>
  <c r="AF57" i="1"/>
  <c r="U78" i="1"/>
  <c r="U69" i="1"/>
  <c r="U52" i="1"/>
  <c r="U67" i="1"/>
  <c r="AF67" i="1"/>
  <c r="U37" i="1"/>
  <c r="AF37" i="1"/>
  <c r="U49" i="1"/>
  <c r="AF49" i="1"/>
  <c r="V64" i="1"/>
  <c r="U16" i="1"/>
  <c r="U73" i="1"/>
  <c r="U60" i="1"/>
  <c r="U44" i="1"/>
  <c r="U91" i="1"/>
  <c r="U87" i="1"/>
  <c r="U81" i="1"/>
  <c r="AF53" i="1"/>
  <c r="U36" i="1"/>
  <c r="U58" i="1"/>
  <c r="AF95" i="1"/>
  <c r="U59" i="1"/>
  <c r="AF59" i="1"/>
  <c r="U51" i="1"/>
  <c r="AF51" i="1"/>
  <c r="U43" i="1"/>
  <c r="AF43" i="1"/>
  <c r="U35" i="1"/>
  <c r="AF35" i="1"/>
  <c r="U10" i="1"/>
  <c r="AF10" i="1"/>
  <c r="V95" i="1"/>
  <c r="U72" i="1"/>
  <c r="U74" i="1"/>
  <c r="U83" i="1"/>
  <c r="U75" i="1"/>
  <c r="U71" i="1"/>
  <c r="U66" i="1"/>
  <c r="U56" i="1"/>
  <c r="U48" i="1"/>
  <c r="AF77" i="1"/>
  <c r="U77" i="1"/>
  <c r="U63" i="1"/>
  <c r="AF63" i="1"/>
  <c r="U55" i="1"/>
  <c r="AF55" i="1"/>
  <c r="U47" i="1"/>
  <c r="AF47" i="1"/>
  <c r="U39" i="1"/>
  <c r="AF39" i="1"/>
  <c r="U27" i="1"/>
  <c r="AF27" i="1"/>
  <c r="U62" i="1"/>
  <c r="U54" i="1"/>
  <c r="U46" i="1"/>
  <c r="U40" i="1"/>
  <c r="U32" i="1"/>
  <c r="U30" i="1"/>
  <c r="U28" i="1"/>
  <c r="U26" i="1"/>
  <c r="U22" i="1"/>
  <c r="U70" i="1"/>
  <c r="AF70" i="1"/>
  <c r="U93" i="1"/>
  <c r="U89" i="1"/>
  <c r="U85" i="1"/>
  <c r="U50" i="1"/>
  <c r="U42" i="1"/>
  <c r="U38" i="1"/>
  <c r="U34" i="1"/>
  <c r="U24" i="1"/>
  <c r="U7" i="1"/>
  <c r="Q5" i="1"/>
  <c r="U64" i="1"/>
  <c r="L5" i="1"/>
  <c r="R5" i="1" l="1"/>
  <c r="U95" i="1"/>
  <c r="AF5" i="1"/>
</calcChain>
</file>

<file path=xl/sharedStrings.xml><?xml version="1.0" encoding="utf-8"?>
<sst xmlns="http://schemas.openxmlformats.org/spreadsheetml/2006/main" count="373" uniqueCount="154">
  <si>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</si>
  <si>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</si>
  <si>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</si>
  <si>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</si>
  <si>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</si>
  <si>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</si>
  <si>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</si>
  <si>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</si>
  <si>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</si>
  <si>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</si>
  <si>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</si>
  <si>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</si>
  <si>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</si>
  <si>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</si>
  <si>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</si>
  <si>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</si>
  <si>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</si>
  <si>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</si>
  <si>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</si>
  <si>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</si>
  <si>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</si>
  <si>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</si>
  <si>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</si>
  <si>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</si>
  <si>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07,12,</t>
  </si>
  <si>
    <t>08,12,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</si>
  <si>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</si>
  <si>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</si>
  <si>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</si>
  <si>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</si>
  <si>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</si>
  <si>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</si>
  <si>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</si>
  <si>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</si>
  <si>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</si>
  <si>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</si>
  <si>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</si>
  <si>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</si>
  <si>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</si>
  <si>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</si>
  <si>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</si>
  <si>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нужно увеличить продажи</t>
  </si>
  <si>
    <t>3986 Ароматная с/к в/у 1/250 ОСТАНКИНО</t>
  </si>
  <si>
    <t>ВНИМАНИЕ / в матрице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</si>
  <si>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</si>
  <si>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</si>
  <si>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</si>
  <si>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</si>
  <si>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</si>
  <si>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</si>
  <si>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</si>
  <si>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</si>
  <si>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</si>
  <si>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</si>
  <si>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</si>
  <si>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</si>
  <si>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</si>
  <si>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</si>
  <si>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</si>
  <si>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</si>
  <si>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</si>
  <si>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</si>
  <si>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</si>
  <si>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5818 МЯСНЫЕ Папа может сос п/о мгс 1*3_45с   ОСТАНКИНО</t>
  </si>
  <si>
    <t>6303 Мясные Папа может сос п/о мгс 1,5*3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</si>
  <si>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</si>
  <si>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</si>
  <si>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</si>
  <si>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</si>
  <si>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</si>
  <si>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</si>
  <si>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</si>
  <si>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</si>
  <si>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</si>
  <si>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</si>
  <si>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</si>
  <si>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</si>
  <si>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</si>
  <si>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</si>
  <si>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</si>
  <si>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</si>
  <si>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</si>
  <si>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</si>
  <si>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</si>
  <si>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</si>
  <si>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</si>
  <si>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</si>
  <si>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</si>
  <si>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</si>
  <si>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</si>
  <si>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</si>
  <si>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</si>
  <si>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</si>
  <si>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</si>
  <si>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</si>
  <si>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</si>
  <si>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</si>
  <si>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</si>
  <si>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</si>
  <si>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</si>
  <si>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</si>
  <si>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</si>
  <si>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</si>
  <si>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</si>
  <si>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</si>
  <si>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</si>
  <si>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</si>
  <si>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</si>
  <si>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</si>
  <si>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</si>
  <si>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</si>
  <si>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</si>
  <si>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</si>
  <si>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</si>
  <si>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</si>
  <si>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</si>
  <si>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</si>
  <si>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</si>
  <si>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</si>
  <si>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</si>
  <si>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</si>
  <si>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</si>
  <si>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</si>
  <si>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</si>
  <si>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</si>
  <si>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</si>
  <si>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</si>
  <si>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</si>
  <si>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</si>
  <si>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</si>
  <si>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</si>
  <si>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</si>
  <si>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</si>
  <si>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</si>
  <si>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</si>
  <si>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</si>
  <si>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</si>
  <si>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</si>
  <si>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</si>
  <si>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</si>
  <si>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</si>
  <si>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</si>
  <si>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</si>
  <si>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</si>
  <si>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</si>
  <si>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</si>
  <si>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</si>
  <si>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</si>
  <si>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</si>
  <si>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</si>
  <si>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</si>
  <si>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</si>
  <si>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 / Обжора / Паллет</t>
  </si>
  <si>
    <t>14,06,25 в уценку 55кг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</si>
</sst>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4" fillId="0" borderId="1" xfId="1" applyNumberFormat="1" applyFont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5" borderId="1" xfId="1" applyNumberFormat="1" applyFont="1" applyFill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9" customWidth="1"/>
    <col min="32" max="32" width="7" customWidth="1"/>
    <col min="33" max="49" width="3" customWidth="1"/>
  </cols>
  <sheetData>
    <row r="1" spans="1:49" x14ac:dyDescent="0.25">
      <c r="A1" s="13"/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</row>
    <row r="2" spans="1:49" x14ac:dyDescent="0.25">
      <c r="A2" s="13"/>
      <c r="B2" s="13"/>
      <c r="C2" s="13"/>
      <c r="D2" s="13"/>
      <c r="E2" s="13"/>
      <c r="F2" s="13"/>
      <c r="G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spans="1:49" x14ac:dyDescent="0.25">
      <c r="A4" s="13"/>
      <c r="B4" s="13"/>
      <c r="C4" s="13"/>
      <c r="D4" s="13"/>
      <c r="E4" s="13"/>
      <c r="F4" s="13"/>
      <c r="G4" s="7"/>
      <c r="H4" s="13"/>
      <c r="I4" s="13"/>
      <c r="J4" s="13"/>
      <c r="K4" s="13"/>
      <c r="L4" s="13"/>
      <c r="M4" s="13"/>
      <c r="N4" s="13"/>
      <c r="O4" s="13" t="s">
        <v>24</v>
      </c>
      <c r="P4" s="13" t="s">
        <v>25</v>
      </c>
      <c r="Q4" s="13" t="s">
        <v>26</v>
      </c>
      <c r="R4" s="13"/>
      <c r="S4" s="13"/>
      <c r="T4" s="13"/>
      <c r="U4" s="13"/>
      <c r="V4" s="13"/>
      <c r="W4" s="13" t="s">
        <v>27</v>
      </c>
      <c r="X4" s="13" t="s">
        <v>28</v>
      </c>
      <c r="Y4" s="13" t="s">
        <v>29</v>
      </c>
      <c r="Z4" s="13" t="s">
        <v>30</v>
      </c>
      <c r="AA4" s="13" t="s">
        <v>31</v>
      </c>
      <c r="AB4" s="13" t="s">
        <v>32</v>
      </c>
      <c r="AC4" s="13" t="s">
        <v>33</v>
      </c>
      <c r="AD4" s="13" t="s">
        <v>34</v>
      </c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spans="1:49" x14ac:dyDescent="0.25">
      <c r="A5" s="13"/>
      <c r="B5" s="13"/>
      <c r="C5" s="13"/>
      <c r="D5" s="13"/>
      <c r="E5" s="3">
        <f>SUM(E6:E500)</f>
        <v>14873.301999999998</v>
      </c>
      <c r="F5" s="3">
        <f>SUM(F6:F500)</f>
        <v>12749.329000000003</v>
      </c>
      <c r="G5" s="7"/>
      <c r="H5" s="13"/>
      <c r="I5" s="13"/>
      <c r="J5" s="13"/>
      <c r="K5" s="3">
        <f t="shared" ref="K5:S5" si="0">SUM(K6:K500)</f>
        <v>16347.68</v>
      </c>
      <c r="L5" s="3">
        <f t="shared" si="0"/>
        <v>-1474.3780000000002</v>
      </c>
      <c r="M5" s="3">
        <f t="shared" si="0"/>
        <v>0</v>
      </c>
      <c r="N5" s="3">
        <f t="shared" si="0"/>
        <v>0</v>
      </c>
      <c r="O5" s="3">
        <f t="shared" si="0"/>
        <v>9462</v>
      </c>
      <c r="P5" s="3">
        <f t="shared" si="0"/>
        <v>5772</v>
      </c>
      <c r="Q5" s="3">
        <f t="shared" si="0"/>
        <v>2974.6603999999988</v>
      </c>
      <c r="R5" s="3">
        <f t="shared" si="0"/>
        <v>14823.731399999999</v>
      </c>
      <c r="S5" s="3">
        <f t="shared" si="0"/>
        <v>0</v>
      </c>
      <c r="T5" s="13"/>
      <c r="U5" s="13"/>
      <c r="V5" s="13"/>
      <c r="W5" s="3">
        <f t="shared" ref="W5:AD5" si="1">SUM(W6:W500)</f>
        <v>3287.0932000000012</v>
      </c>
      <c r="X5" s="3">
        <f t="shared" si="1"/>
        <v>3015.3116</v>
      </c>
      <c r="Y5" s="3">
        <f t="shared" si="1"/>
        <v>2911.9128000000001</v>
      </c>
      <c r="Z5" s="3">
        <f t="shared" si="1"/>
        <v>3005.8520000000003</v>
      </c>
      <c r="AA5" s="3">
        <f t="shared" si="1"/>
        <v>3116.3669999999993</v>
      </c>
      <c r="AB5" s="3">
        <f t="shared" si="1"/>
        <v>3125.9496000000004</v>
      </c>
      <c r="AC5" s="3">
        <f t="shared" si="1"/>
        <v>3099.5834000000009</v>
      </c>
      <c r="AD5" s="3">
        <f t="shared" si="1"/>
        <v>2776.1576</v>
      </c>
      <c r="AE5" s="13"/>
      <c r="AF5" s="3">
        <f>SUM(AF6:AF500)</f>
        <v>8136.9657999999981</v>
      </c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49" x14ac:dyDescent="0.25">
      <c r="A6" s="13" t="s">
        <v>35</v>
      </c>
      <c r="B6" s="13" t="s">
        <v>36</v>
      </c>
      <c r="C6" s="13">
        <v>41</v>
      </c>
      <c r="D6" s="13">
        <v>463</v>
      </c>
      <c r="E6" s="13">
        <v>147</v>
      </c>
      <c r="F6" s="13">
        <v>319</v>
      </c>
      <c r="G6" s="7">
        <v>0.4</v>
      </c>
      <c r="H6" s="13">
        <v>60</v>
      </c>
      <c r="I6" s="13" t="s">
        <v>37</v>
      </c>
      <c r="J6" s="13"/>
      <c r="K6" s="13">
        <v>179</v>
      </c>
      <c r="L6" s="13">
        <f t="shared" ref="L6:L37" si="2">E6-K6</f>
        <v>-32</v>
      </c>
      <c r="M6" s="13"/>
      <c r="N6" s="13"/>
      <c r="O6" s="13">
        <v>0</v>
      </c>
      <c r="P6" s="13"/>
      <c r="Q6" s="13">
        <f t="shared" ref="Q6:Q37" si="3">E6/5</f>
        <v>29.4</v>
      </c>
      <c r="R6" s="4">
        <f>14*Q6-P6-O6-F6</f>
        <v>92.599999999999966</v>
      </c>
      <c r="S6" s="4"/>
      <c r="T6" s="13"/>
      <c r="U6" s="13">
        <f t="shared" ref="U6:U37" si="4">(F6+O6+P6+R6)/Q6</f>
        <v>14</v>
      </c>
      <c r="V6" s="13">
        <f t="shared" ref="V6:V37" si="5">(F6+O6+P6)/Q6</f>
        <v>10.850340136054422</v>
      </c>
      <c r="W6" s="13">
        <v>33.799999999999997</v>
      </c>
      <c r="X6" s="13">
        <v>50.4</v>
      </c>
      <c r="Y6" s="13">
        <v>32.6</v>
      </c>
      <c r="Z6" s="13">
        <v>42.6</v>
      </c>
      <c r="AA6" s="13">
        <v>41.6</v>
      </c>
      <c r="AB6" s="13">
        <v>48.4</v>
      </c>
      <c r="AC6" s="13">
        <v>50.4</v>
      </c>
      <c r="AD6" s="13">
        <v>44.4</v>
      </c>
      <c r="AE6" s="13" t="s">
        <v>38</v>
      </c>
      <c r="AF6" s="13">
        <f t="shared" ref="AF6:AF17" si="6">G6*R6</f>
        <v>37.039999999999985</v>
      </c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</row>
    <row r="7" spans="1:49" x14ac:dyDescent="0.25">
      <c r="A7" s="13" t="s">
        <v>39</v>
      </c>
      <c r="B7" s="13" t="s">
        <v>40</v>
      </c>
      <c r="C7" s="13">
        <v>19.428999999999998</v>
      </c>
      <c r="D7" s="13"/>
      <c r="E7" s="13">
        <v>8.4410000000000007</v>
      </c>
      <c r="F7" s="13">
        <v>10.988</v>
      </c>
      <c r="G7" s="7">
        <v>1</v>
      </c>
      <c r="H7" s="13">
        <v>120</v>
      </c>
      <c r="I7" s="13" t="s">
        <v>37</v>
      </c>
      <c r="J7" s="13"/>
      <c r="K7" s="13">
        <v>8.3000000000000007</v>
      </c>
      <c r="L7" s="13">
        <f t="shared" si="2"/>
        <v>0.14100000000000001</v>
      </c>
      <c r="M7" s="13"/>
      <c r="N7" s="13"/>
      <c r="O7" s="13">
        <v>0</v>
      </c>
      <c r="P7" s="13"/>
      <c r="Q7" s="13">
        <f t="shared" si="3"/>
        <v>1.6882000000000001</v>
      </c>
      <c r="R7" s="4">
        <f t="shared" ref="R7:R17" si="7">14*Q7-P7-O7-F7</f>
        <v>12.646800000000002</v>
      </c>
      <c r="S7" s="4"/>
      <c r="T7" s="13"/>
      <c r="U7" s="13">
        <f t="shared" si="4"/>
        <v>14</v>
      </c>
      <c r="V7" s="13">
        <f t="shared" si="5"/>
        <v>6.5087074991114786</v>
      </c>
      <c r="W7" s="13">
        <v>0.79759999999999998</v>
      </c>
      <c r="X7" s="13">
        <v>1.5882000000000001</v>
      </c>
      <c r="Y7" s="13">
        <v>0.90180000000000005</v>
      </c>
      <c r="Z7" s="13">
        <v>2.8984000000000001</v>
      </c>
      <c r="AA7" s="13">
        <v>3.0806</v>
      </c>
      <c r="AB7" s="13">
        <v>0.20080000000000001</v>
      </c>
      <c r="AC7" s="13">
        <v>2.3755999999999999</v>
      </c>
      <c r="AD7" s="13">
        <v>0.78959999999999997</v>
      </c>
      <c r="AE7" s="13"/>
      <c r="AF7" s="13">
        <f t="shared" si="6"/>
        <v>12.646800000000002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</row>
    <row r="8" spans="1:49" x14ac:dyDescent="0.25">
      <c r="A8" s="13" t="s">
        <v>42</v>
      </c>
      <c r="B8" s="13" t="s">
        <v>36</v>
      </c>
      <c r="C8" s="13">
        <v>24</v>
      </c>
      <c r="D8" s="13">
        <v>64</v>
      </c>
      <c r="E8" s="20">
        <f>48+E19</f>
        <v>63</v>
      </c>
      <c r="F8" s="20">
        <f>30+F19</f>
        <v>24</v>
      </c>
      <c r="G8" s="7">
        <v>0.25</v>
      </c>
      <c r="H8" s="13">
        <v>120</v>
      </c>
      <c r="I8" s="9" t="s">
        <v>43</v>
      </c>
      <c r="J8" s="13"/>
      <c r="K8" s="13">
        <v>139</v>
      </c>
      <c r="L8" s="13">
        <f t="shared" si="2"/>
        <v>-76</v>
      </c>
      <c r="M8" s="13"/>
      <c r="N8" s="13"/>
      <c r="O8" s="13">
        <v>500</v>
      </c>
      <c r="P8" s="13"/>
      <c r="Q8" s="13">
        <f t="shared" si="3"/>
        <v>12.6</v>
      </c>
      <c r="R8" s="4"/>
      <c r="S8" s="4"/>
      <c r="T8" s="13"/>
      <c r="U8" s="13">
        <f t="shared" si="4"/>
        <v>41.587301587301589</v>
      </c>
      <c r="V8" s="13">
        <f t="shared" si="5"/>
        <v>41.587301587301589</v>
      </c>
      <c r="W8" s="13">
        <v>18</v>
      </c>
      <c r="X8" s="13">
        <v>11</v>
      </c>
      <c r="Y8" s="13">
        <v>5.2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 t="s">
        <v>44</v>
      </c>
      <c r="AF8" s="13">
        <f t="shared" si="6"/>
        <v>0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49" x14ac:dyDescent="0.25">
      <c r="A9" s="13" t="s">
        <v>45</v>
      </c>
      <c r="B9" s="13" t="s">
        <v>40</v>
      </c>
      <c r="C9" s="13">
        <v>1121.8520000000001</v>
      </c>
      <c r="D9" s="13">
        <v>1149.55</v>
      </c>
      <c r="E9" s="13">
        <v>1023.415</v>
      </c>
      <c r="F9" s="13">
        <v>1038.694</v>
      </c>
      <c r="G9" s="7">
        <v>1</v>
      </c>
      <c r="H9" s="13">
        <v>60</v>
      </c>
      <c r="I9" s="13" t="s">
        <v>37</v>
      </c>
      <c r="J9" s="13"/>
      <c r="K9" s="13">
        <v>1067.5999999999999</v>
      </c>
      <c r="L9" s="13">
        <f t="shared" si="2"/>
        <v>-44.184999999999945</v>
      </c>
      <c r="M9" s="13"/>
      <c r="N9" s="13"/>
      <c r="O9" s="13">
        <v>365</v>
      </c>
      <c r="P9" s="13">
        <v>800</v>
      </c>
      <c r="Q9" s="13">
        <f t="shared" si="3"/>
        <v>204.68299999999999</v>
      </c>
      <c r="R9" s="4">
        <f t="shared" si="7"/>
        <v>661.86799999999994</v>
      </c>
      <c r="S9" s="4"/>
      <c r="T9" s="13"/>
      <c r="U9" s="13">
        <f t="shared" si="4"/>
        <v>14</v>
      </c>
      <c r="V9" s="13">
        <f t="shared" si="5"/>
        <v>10.766375321839137</v>
      </c>
      <c r="W9" s="13">
        <v>236.45500000000001</v>
      </c>
      <c r="X9" s="13">
        <v>237.2988</v>
      </c>
      <c r="Y9" s="13">
        <v>246.49440000000001</v>
      </c>
      <c r="Z9" s="13">
        <v>222.0692</v>
      </c>
      <c r="AA9" s="13">
        <v>184.41</v>
      </c>
      <c r="AB9" s="13">
        <v>200.88759999999999</v>
      </c>
      <c r="AC9" s="13">
        <v>208.45400000000001</v>
      </c>
      <c r="AD9" s="13">
        <v>223.8758</v>
      </c>
      <c r="AE9" s="13"/>
      <c r="AF9" s="13">
        <f t="shared" si="6"/>
        <v>661.86799999999994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49" x14ac:dyDescent="0.25">
      <c r="A10" s="13" t="s">
        <v>46</v>
      </c>
      <c r="B10" s="13" t="s">
        <v>40</v>
      </c>
      <c r="C10" s="13">
        <v>112.298</v>
      </c>
      <c r="D10" s="13"/>
      <c r="E10" s="13">
        <v>16.443999999999999</v>
      </c>
      <c r="F10" s="13">
        <v>95.853999999999999</v>
      </c>
      <c r="G10" s="7">
        <v>1</v>
      </c>
      <c r="H10" s="13">
        <v>120</v>
      </c>
      <c r="I10" s="13" t="s">
        <v>37</v>
      </c>
      <c r="J10" s="13"/>
      <c r="K10" s="13">
        <v>16.2</v>
      </c>
      <c r="L10" s="13">
        <f t="shared" si="2"/>
        <v>0.24399999999999977</v>
      </c>
      <c r="M10" s="13"/>
      <c r="N10" s="13"/>
      <c r="O10" s="13">
        <v>0</v>
      </c>
      <c r="P10" s="13"/>
      <c r="Q10" s="13">
        <f t="shared" si="3"/>
        <v>3.2887999999999997</v>
      </c>
      <c r="R10" s="4"/>
      <c r="S10" s="4"/>
      <c r="T10" s="13"/>
      <c r="U10" s="13">
        <f t="shared" si="4"/>
        <v>29.145585015811239</v>
      </c>
      <c r="V10" s="13">
        <f t="shared" si="5"/>
        <v>29.145585015811239</v>
      </c>
      <c r="W10" s="13">
        <v>3.1044</v>
      </c>
      <c r="X10" s="13">
        <v>4.9127999999999998</v>
      </c>
      <c r="Y10" s="13">
        <v>6.6876000000000007</v>
      </c>
      <c r="Z10" s="13">
        <v>2.3088000000000002</v>
      </c>
      <c r="AA10" s="13">
        <v>4.5965999999999996</v>
      </c>
      <c r="AB10" s="13">
        <v>5.2732000000000001</v>
      </c>
      <c r="AC10" s="13">
        <v>8.4841999999999995</v>
      </c>
      <c r="AD10" s="13">
        <v>4.9276</v>
      </c>
      <c r="AE10" s="21" t="s">
        <v>47</v>
      </c>
      <c r="AF10" s="13">
        <f t="shared" si="6"/>
        <v>0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49" x14ac:dyDescent="0.25">
      <c r="A11" s="13" t="s">
        <v>48</v>
      </c>
      <c r="B11" s="13" t="s">
        <v>40</v>
      </c>
      <c r="C11" s="13">
        <v>213.358</v>
      </c>
      <c r="D11" s="13"/>
      <c r="E11" s="13">
        <v>111.509</v>
      </c>
      <c r="F11" s="13">
        <v>99.77</v>
      </c>
      <c r="G11" s="7">
        <v>1</v>
      </c>
      <c r="H11" s="13">
        <v>60</v>
      </c>
      <c r="I11" s="13" t="s">
        <v>37</v>
      </c>
      <c r="J11" s="13"/>
      <c r="K11" s="13">
        <v>109.4</v>
      </c>
      <c r="L11" s="13">
        <f t="shared" si="2"/>
        <v>2.1089999999999947</v>
      </c>
      <c r="M11" s="13"/>
      <c r="N11" s="13"/>
      <c r="O11" s="13">
        <v>38</v>
      </c>
      <c r="P11" s="13">
        <v>90</v>
      </c>
      <c r="Q11" s="13">
        <f t="shared" si="3"/>
        <v>22.3018</v>
      </c>
      <c r="R11" s="4">
        <f t="shared" si="7"/>
        <v>84.455199999999977</v>
      </c>
      <c r="S11" s="4"/>
      <c r="T11" s="13"/>
      <c r="U11" s="13">
        <f t="shared" si="4"/>
        <v>13.999999999999998</v>
      </c>
      <c r="V11" s="13">
        <f t="shared" si="5"/>
        <v>10.213076971365538</v>
      </c>
      <c r="W11" s="13">
        <v>24.255800000000001</v>
      </c>
      <c r="X11" s="13">
        <v>20.643799999999999</v>
      </c>
      <c r="Y11" s="13">
        <v>31.21</v>
      </c>
      <c r="Z11" s="13">
        <v>19.559799999999999</v>
      </c>
      <c r="AA11" s="13">
        <v>21.316800000000001</v>
      </c>
      <c r="AB11" s="13">
        <v>28.0518</v>
      </c>
      <c r="AC11" s="13">
        <v>28.050599999999999</v>
      </c>
      <c r="AD11" s="13">
        <v>20.848800000000001</v>
      </c>
      <c r="AE11" s="13"/>
      <c r="AF11" s="13">
        <f t="shared" si="6"/>
        <v>84.455199999999977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49" x14ac:dyDescent="0.25">
      <c r="A12" s="13" t="s">
        <v>49</v>
      </c>
      <c r="B12" s="13" t="s">
        <v>40</v>
      </c>
      <c r="C12" s="13">
        <v>749.31700000000001</v>
      </c>
      <c r="D12" s="13">
        <v>334.84899999999999</v>
      </c>
      <c r="E12" s="13">
        <v>515.47299999999996</v>
      </c>
      <c r="F12" s="13">
        <v>537.84699999999998</v>
      </c>
      <c r="G12" s="7">
        <v>1</v>
      </c>
      <c r="H12" s="13">
        <v>60</v>
      </c>
      <c r="I12" s="13" t="s">
        <v>37</v>
      </c>
      <c r="J12" s="13"/>
      <c r="K12" s="13">
        <v>503.6</v>
      </c>
      <c r="L12" s="13">
        <f t="shared" si="2"/>
        <v>11.872999999999934</v>
      </c>
      <c r="M12" s="13"/>
      <c r="N12" s="13"/>
      <c r="O12" s="13">
        <v>0</v>
      </c>
      <c r="P12" s="13">
        <v>278</v>
      </c>
      <c r="Q12" s="13">
        <f t="shared" si="3"/>
        <v>103.09459999999999</v>
      </c>
      <c r="R12" s="4">
        <f t="shared" si="7"/>
        <v>627.47739999999976</v>
      </c>
      <c r="S12" s="4"/>
      <c r="T12" s="13"/>
      <c r="U12" s="13">
        <f t="shared" si="4"/>
        <v>14</v>
      </c>
      <c r="V12" s="13">
        <f t="shared" si="5"/>
        <v>7.9135764627827268</v>
      </c>
      <c r="W12" s="13">
        <v>96.394800000000004</v>
      </c>
      <c r="X12" s="13">
        <v>111.06619999999999</v>
      </c>
      <c r="Y12" s="13">
        <v>123.4286</v>
      </c>
      <c r="Z12" s="13">
        <v>124.7042</v>
      </c>
      <c r="AA12" s="13">
        <v>129.3168</v>
      </c>
      <c r="AB12" s="13">
        <v>126.3434</v>
      </c>
      <c r="AC12" s="13">
        <v>124.4068</v>
      </c>
      <c r="AD12" s="13">
        <v>113.90260000000001</v>
      </c>
      <c r="AE12" s="13"/>
      <c r="AF12" s="13">
        <f t="shared" si="6"/>
        <v>627.47739999999976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49" x14ac:dyDescent="0.25">
      <c r="A13" s="13" t="s">
        <v>50</v>
      </c>
      <c r="B13" s="13" t="s">
        <v>36</v>
      </c>
      <c r="C13" s="13"/>
      <c r="D13" s="13">
        <v>232</v>
      </c>
      <c r="E13" s="13">
        <v>232</v>
      </c>
      <c r="F13" s="13">
        <v>-9</v>
      </c>
      <c r="G13" s="7">
        <v>0.25</v>
      </c>
      <c r="H13" s="13">
        <v>120</v>
      </c>
      <c r="I13" s="9" t="s">
        <v>43</v>
      </c>
      <c r="J13" s="13"/>
      <c r="K13" s="13">
        <v>437</v>
      </c>
      <c r="L13" s="13">
        <f t="shared" si="2"/>
        <v>-205</v>
      </c>
      <c r="M13" s="13"/>
      <c r="N13" s="13"/>
      <c r="O13" s="13">
        <v>350</v>
      </c>
      <c r="P13" s="13"/>
      <c r="Q13" s="13">
        <f t="shared" si="3"/>
        <v>46.4</v>
      </c>
      <c r="R13" s="4">
        <f t="shared" si="7"/>
        <v>308.60000000000002</v>
      </c>
      <c r="S13" s="4"/>
      <c r="T13" s="13"/>
      <c r="U13" s="13">
        <f t="shared" si="4"/>
        <v>14.000000000000002</v>
      </c>
      <c r="V13" s="13">
        <f t="shared" si="5"/>
        <v>7.3491379310344831</v>
      </c>
      <c r="W13" s="13">
        <v>19.600000000000001</v>
      </c>
      <c r="X13" s="13">
        <v>25.2</v>
      </c>
      <c r="Y13" s="13">
        <v>16.2</v>
      </c>
      <c r="Z13" s="13">
        <v>16.2</v>
      </c>
      <c r="AA13" s="13">
        <v>21.4</v>
      </c>
      <c r="AB13" s="13">
        <v>18.600000000000001</v>
      </c>
      <c r="AC13" s="13">
        <v>12.8</v>
      </c>
      <c r="AD13" s="13">
        <v>10</v>
      </c>
      <c r="AE13" s="13" t="s">
        <v>51</v>
      </c>
      <c r="AF13" s="13">
        <f t="shared" si="6"/>
        <v>77.150000000000006</v>
      </c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49" x14ac:dyDescent="0.25">
      <c r="A14" s="13" t="s">
        <v>52</v>
      </c>
      <c r="B14" s="13" t="s">
        <v>40</v>
      </c>
      <c r="C14" s="13">
        <v>151.71199999999999</v>
      </c>
      <c r="D14" s="13">
        <v>17.706</v>
      </c>
      <c r="E14" s="13">
        <v>53.985999999999997</v>
      </c>
      <c r="F14" s="13">
        <v>114.09699999999999</v>
      </c>
      <c r="G14" s="7">
        <v>1</v>
      </c>
      <c r="H14" s="13">
        <v>60</v>
      </c>
      <c r="I14" s="13" t="s">
        <v>37</v>
      </c>
      <c r="J14" s="13"/>
      <c r="K14" s="13">
        <v>51.7</v>
      </c>
      <c r="L14" s="13">
        <f t="shared" si="2"/>
        <v>2.2859999999999943</v>
      </c>
      <c r="M14" s="13"/>
      <c r="N14" s="13"/>
      <c r="O14" s="13">
        <v>0</v>
      </c>
      <c r="P14" s="13"/>
      <c r="Q14" s="13">
        <f t="shared" si="3"/>
        <v>10.7972</v>
      </c>
      <c r="R14" s="4">
        <f t="shared" si="7"/>
        <v>37.063800000000001</v>
      </c>
      <c r="S14" s="4"/>
      <c r="T14" s="13"/>
      <c r="U14" s="13">
        <f t="shared" si="4"/>
        <v>14</v>
      </c>
      <c r="V14" s="13">
        <f t="shared" si="5"/>
        <v>10.567276701367021</v>
      </c>
      <c r="W14" s="13">
        <v>10.301600000000001</v>
      </c>
      <c r="X14" s="13">
        <v>11.914400000000001</v>
      </c>
      <c r="Y14" s="13">
        <v>14.9946</v>
      </c>
      <c r="Z14" s="13">
        <v>15.0844</v>
      </c>
      <c r="AA14" s="13">
        <v>10.336600000000001</v>
      </c>
      <c r="AB14" s="13">
        <v>13.6394</v>
      </c>
      <c r="AC14" s="13">
        <v>14.057399999999999</v>
      </c>
      <c r="AD14" s="13">
        <v>9.9841999999999995</v>
      </c>
      <c r="AE14" s="13"/>
      <c r="AF14" s="13">
        <f t="shared" si="6"/>
        <v>37.063800000000001</v>
      </c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</row>
    <row r="15" spans="1:49" x14ac:dyDescent="0.25">
      <c r="A15" s="13" t="s">
        <v>53</v>
      </c>
      <c r="B15" s="13" t="s">
        <v>36</v>
      </c>
      <c r="C15" s="13">
        <v>18</v>
      </c>
      <c r="D15" s="13">
        <v>176</v>
      </c>
      <c r="E15" s="13">
        <v>72</v>
      </c>
      <c r="F15" s="13">
        <v>120</v>
      </c>
      <c r="G15" s="7">
        <v>0.25</v>
      </c>
      <c r="H15" s="13">
        <v>120</v>
      </c>
      <c r="I15" s="13" t="s">
        <v>37</v>
      </c>
      <c r="J15" s="13"/>
      <c r="K15" s="13">
        <v>72</v>
      </c>
      <c r="L15" s="13">
        <f t="shared" si="2"/>
        <v>0</v>
      </c>
      <c r="M15" s="13"/>
      <c r="N15" s="13"/>
      <c r="O15" s="13">
        <v>0</v>
      </c>
      <c r="P15" s="13">
        <v>12</v>
      </c>
      <c r="Q15" s="13">
        <f t="shared" si="3"/>
        <v>14.4</v>
      </c>
      <c r="R15" s="4">
        <f t="shared" si="7"/>
        <v>69.599999999999994</v>
      </c>
      <c r="S15" s="4"/>
      <c r="T15" s="13"/>
      <c r="U15" s="13">
        <f t="shared" si="4"/>
        <v>14</v>
      </c>
      <c r="V15" s="13">
        <f t="shared" si="5"/>
        <v>9.1666666666666661</v>
      </c>
      <c r="W15" s="13">
        <v>15.2</v>
      </c>
      <c r="X15" s="13">
        <v>19.399999999999999</v>
      </c>
      <c r="Y15" s="13">
        <v>13.2</v>
      </c>
      <c r="Z15" s="13">
        <v>16</v>
      </c>
      <c r="AA15" s="13">
        <v>15.8</v>
      </c>
      <c r="AB15" s="13">
        <v>13.4</v>
      </c>
      <c r="AC15" s="13">
        <v>12.2</v>
      </c>
      <c r="AD15" s="13">
        <v>12.6</v>
      </c>
      <c r="AE15" s="13" t="s">
        <v>51</v>
      </c>
      <c r="AF15" s="13">
        <f t="shared" si="6"/>
        <v>17.399999999999999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</row>
    <row r="16" spans="1:49" x14ac:dyDescent="0.25">
      <c r="A16" s="13" t="s">
        <v>54</v>
      </c>
      <c r="B16" s="13" t="s">
        <v>36</v>
      </c>
      <c r="C16" s="13">
        <v>64</v>
      </c>
      <c r="D16" s="13">
        <v>357</v>
      </c>
      <c r="E16" s="13">
        <v>214</v>
      </c>
      <c r="F16" s="13">
        <v>191</v>
      </c>
      <c r="G16" s="7">
        <v>0.4</v>
      </c>
      <c r="H16" s="13">
        <v>60</v>
      </c>
      <c r="I16" s="13" t="s">
        <v>37</v>
      </c>
      <c r="J16" s="13"/>
      <c r="K16" s="13">
        <v>216</v>
      </c>
      <c r="L16" s="13">
        <f t="shared" si="2"/>
        <v>-2</v>
      </c>
      <c r="M16" s="13"/>
      <c r="N16" s="13"/>
      <c r="O16" s="13">
        <v>0</v>
      </c>
      <c r="P16" s="13">
        <v>108</v>
      </c>
      <c r="Q16" s="13">
        <f t="shared" si="3"/>
        <v>42.8</v>
      </c>
      <c r="R16" s="4">
        <f t="shared" si="7"/>
        <v>300.19999999999993</v>
      </c>
      <c r="S16" s="4"/>
      <c r="T16" s="13"/>
      <c r="U16" s="13">
        <f t="shared" si="4"/>
        <v>14</v>
      </c>
      <c r="V16" s="13">
        <f t="shared" si="5"/>
        <v>6.9859813084112155</v>
      </c>
      <c r="W16" s="13">
        <v>38</v>
      </c>
      <c r="X16" s="13">
        <v>44</v>
      </c>
      <c r="Y16" s="13">
        <v>34.6</v>
      </c>
      <c r="Z16" s="13">
        <v>40.4</v>
      </c>
      <c r="AA16" s="13">
        <v>47.2</v>
      </c>
      <c r="AB16" s="13">
        <v>44.8</v>
      </c>
      <c r="AC16" s="13">
        <v>36.799999999999997</v>
      </c>
      <c r="AD16" s="13">
        <v>40.799999999999997</v>
      </c>
      <c r="AE16" s="13" t="s">
        <v>51</v>
      </c>
      <c r="AF16" s="13">
        <f t="shared" si="6"/>
        <v>120.07999999999998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</row>
    <row r="17" spans="1:49" x14ac:dyDescent="0.25">
      <c r="A17" s="13" t="s">
        <v>55</v>
      </c>
      <c r="B17" s="13" t="s">
        <v>40</v>
      </c>
      <c r="C17" s="13">
        <v>225.67699999999999</v>
      </c>
      <c r="D17" s="13">
        <v>638.13099999999997</v>
      </c>
      <c r="E17" s="13">
        <v>297.90800000000002</v>
      </c>
      <c r="F17" s="13">
        <v>513.02200000000005</v>
      </c>
      <c r="G17" s="7">
        <v>1</v>
      </c>
      <c r="H17" s="13">
        <v>45</v>
      </c>
      <c r="I17" s="13" t="s">
        <v>37</v>
      </c>
      <c r="J17" s="13"/>
      <c r="K17" s="13">
        <v>325.60000000000002</v>
      </c>
      <c r="L17" s="13">
        <f t="shared" si="2"/>
        <v>-27.692000000000007</v>
      </c>
      <c r="M17" s="13"/>
      <c r="N17" s="13"/>
      <c r="O17" s="13">
        <v>0</v>
      </c>
      <c r="P17" s="13">
        <v>61</v>
      </c>
      <c r="Q17" s="13">
        <f t="shared" si="3"/>
        <v>59.581600000000002</v>
      </c>
      <c r="R17" s="4">
        <f t="shared" si="7"/>
        <v>260.12040000000002</v>
      </c>
      <c r="S17" s="4"/>
      <c r="T17" s="13"/>
      <c r="U17" s="13">
        <f t="shared" si="4"/>
        <v>14</v>
      </c>
      <c r="V17" s="13">
        <f t="shared" si="5"/>
        <v>9.6342159324355183</v>
      </c>
      <c r="W17" s="13">
        <v>61.841600000000007</v>
      </c>
      <c r="X17" s="13">
        <v>79.148800000000008</v>
      </c>
      <c r="Y17" s="13">
        <v>65.013199999999998</v>
      </c>
      <c r="Z17" s="13">
        <v>67.158199999999994</v>
      </c>
      <c r="AA17" s="13">
        <v>63.398400000000002</v>
      </c>
      <c r="AB17" s="13">
        <v>68.315599999999989</v>
      </c>
      <c r="AC17" s="13">
        <v>66.098399999999998</v>
      </c>
      <c r="AD17" s="13">
        <v>62.4514</v>
      </c>
      <c r="AE17" s="13"/>
      <c r="AF17" s="13">
        <f t="shared" si="6"/>
        <v>260.12040000000002</v>
      </c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</row>
    <row r="18" spans="1:49" x14ac:dyDescent="0.25">
      <c r="A18" s="10" t="s">
        <v>56</v>
      </c>
      <c r="B18" s="10" t="s">
        <v>36</v>
      </c>
      <c r="C18" s="10"/>
      <c r="D18" s="10">
        <v>30</v>
      </c>
      <c r="E18" s="20">
        <v>21</v>
      </c>
      <c r="F18" s="20">
        <v>-21</v>
      </c>
      <c r="G18" s="11">
        <v>0</v>
      </c>
      <c r="H18" s="10">
        <v>60</v>
      </c>
      <c r="I18" s="10" t="s">
        <v>57</v>
      </c>
      <c r="J18" s="15" t="s">
        <v>58</v>
      </c>
      <c r="K18" s="10">
        <v>80</v>
      </c>
      <c r="L18" s="10">
        <f t="shared" si="2"/>
        <v>-59</v>
      </c>
      <c r="M18" s="10"/>
      <c r="N18" s="10"/>
      <c r="O18" s="10">
        <v>0</v>
      </c>
      <c r="P18" s="10"/>
      <c r="Q18" s="10">
        <f t="shared" si="3"/>
        <v>4.2</v>
      </c>
      <c r="R18" s="12"/>
      <c r="S18" s="12"/>
      <c r="T18" s="10"/>
      <c r="U18" s="10">
        <f t="shared" si="4"/>
        <v>-5</v>
      </c>
      <c r="V18" s="10">
        <f t="shared" si="5"/>
        <v>-5</v>
      </c>
      <c r="W18" s="10">
        <v>17.8</v>
      </c>
      <c r="X18" s="10">
        <v>38.200000000000003</v>
      </c>
      <c r="Y18" s="10">
        <v>29.8</v>
      </c>
      <c r="Z18" s="10">
        <v>31</v>
      </c>
      <c r="AA18" s="10">
        <v>32.6</v>
      </c>
      <c r="AB18" s="10">
        <v>35.4</v>
      </c>
      <c r="AC18" s="10">
        <v>31.6</v>
      </c>
      <c r="AD18" s="10">
        <v>33.799999999999997</v>
      </c>
      <c r="AE18" s="10" t="s">
        <v>59</v>
      </c>
      <c r="AF18" s="10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r="19" spans="1:49" x14ac:dyDescent="0.25">
      <c r="A19" s="10" t="s">
        <v>60</v>
      </c>
      <c r="B19" s="10" t="s">
        <v>36</v>
      </c>
      <c r="C19" s="10">
        <v>9</v>
      </c>
      <c r="D19" s="10"/>
      <c r="E19" s="20">
        <v>15</v>
      </c>
      <c r="F19" s="20">
        <v>-6</v>
      </c>
      <c r="G19" s="11">
        <v>0</v>
      </c>
      <c r="H19" s="10" t="e">
        <v>#N/A</v>
      </c>
      <c r="I19" s="10" t="s">
        <v>61</v>
      </c>
      <c r="J19" s="10" t="s">
        <v>42</v>
      </c>
      <c r="K19" s="10">
        <v>21</v>
      </c>
      <c r="L19" s="10">
        <f t="shared" si="2"/>
        <v>-6</v>
      </c>
      <c r="M19" s="10"/>
      <c r="N19" s="10"/>
      <c r="O19" s="10">
        <v>0</v>
      </c>
      <c r="P19" s="10"/>
      <c r="Q19" s="10">
        <f t="shared" si="3"/>
        <v>3</v>
      </c>
      <c r="R19" s="12"/>
      <c r="S19" s="12"/>
      <c r="T19" s="10"/>
      <c r="U19" s="10">
        <f t="shared" si="4"/>
        <v>-2</v>
      </c>
      <c r="V19" s="10">
        <f t="shared" si="5"/>
        <v>-2</v>
      </c>
      <c r="W19" s="10">
        <v>2.6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/>
      <c r="AF19" s="10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</row>
    <row r="20" spans="1:49" x14ac:dyDescent="0.25">
      <c r="A20" s="13" t="s">
        <v>62</v>
      </c>
      <c r="B20" s="13" t="s">
        <v>40</v>
      </c>
      <c r="C20" s="13">
        <v>53.877000000000002</v>
      </c>
      <c r="D20" s="13">
        <v>12.472</v>
      </c>
      <c r="E20" s="13">
        <v>29.768999999999998</v>
      </c>
      <c r="F20" s="13">
        <v>36.082000000000001</v>
      </c>
      <c r="G20" s="7">
        <v>1</v>
      </c>
      <c r="H20" s="13">
        <v>120</v>
      </c>
      <c r="I20" s="13" t="s">
        <v>37</v>
      </c>
      <c r="J20" s="13"/>
      <c r="K20" s="13">
        <v>29.8</v>
      </c>
      <c r="L20" s="13">
        <f t="shared" si="2"/>
        <v>-3.1000000000002359E-2</v>
      </c>
      <c r="M20" s="13"/>
      <c r="N20" s="13"/>
      <c r="O20" s="13">
        <v>0</v>
      </c>
      <c r="P20" s="13"/>
      <c r="Q20" s="13">
        <f t="shared" si="3"/>
        <v>5.9537999999999993</v>
      </c>
      <c r="R20" s="4">
        <f>14*Q20-P20-O20-F20</f>
        <v>47.271199999999986</v>
      </c>
      <c r="S20" s="4"/>
      <c r="T20" s="13"/>
      <c r="U20" s="13">
        <f t="shared" si="4"/>
        <v>14</v>
      </c>
      <c r="V20" s="13">
        <f t="shared" si="5"/>
        <v>6.0603312170378594</v>
      </c>
      <c r="W20" s="13">
        <v>4.5787999999999993</v>
      </c>
      <c r="X20" s="13">
        <v>5.0129999999999999</v>
      </c>
      <c r="Y20" s="13">
        <v>5.8650000000000002</v>
      </c>
      <c r="Z20" s="13">
        <v>4.0956000000000001</v>
      </c>
      <c r="AA20" s="13">
        <v>3.5998000000000001</v>
      </c>
      <c r="AB20" s="13">
        <v>4.1834000000000007</v>
      </c>
      <c r="AC20" s="13">
        <v>5.5721999999999996</v>
      </c>
      <c r="AD20" s="13">
        <v>1.2942</v>
      </c>
      <c r="AE20" s="13"/>
      <c r="AF20" s="13">
        <f>G20*R20</f>
        <v>47.271199999999986</v>
      </c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 spans="1:49" x14ac:dyDescent="0.25">
      <c r="A21" s="10" t="s">
        <v>63</v>
      </c>
      <c r="B21" s="10" t="s">
        <v>40</v>
      </c>
      <c r="C21" s="10"/>
      <c r="D21" s="10"/>
      <c r="E21" s="20">
        <v>1.5509999999999999</v>
      </c>
      <c r="F21" s="20">
        <v>-1.5509999999999999</v>
      </c>
      <c r="G21" s="11">
        <v>0</v>
      </c>
      <c r="H21" s="10" t="e">
        <v>#N/A</v>
      </c>
      <c r="I21" s="10" t="s">
        <v>61</v>
      </c>
      <c r="J21" s="10" t="s">
        <v>64</v>
      </c>
      <c r="K21" s="10">
        <v>4</v>
      </c>
      <c r="L21" s="10">
        <f t="shared" si="2"/>
        <v>-2.4489999999999998</v>
      </c>
      <c r="M21" s="10"/>
      <c r="N21" s="10"/>
      <c r="O21" s="10"/>
      <c r="P21" s="10"/>
      <c r="Q21" s="10">
        <f t="shared" si="3"/>
        <v>0.31019999999999998</v>
      </c>
      <c r="R21" s="12"/>
      <c r="S21" s="12"/>
      <c r="T21" s="10"/>
      <c r="U21" s="10">
        <f t="shared" si="4"/>
        <v>-5</v>
      </c>
      <c r="V21" s="10">
        <f t="shared" si="5"/>
        <v>-5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/>
      <c r="AF21" s="10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r="22" spans="1:49" x14ac:dyDescent="0.25">
      <c r="A22" s="13" t="s">
        <v>65</v>
      </c>
      <c r="B22" s="13" t="s">
        <v>36</v>
      </c>
      <c r="C22" s="13">
        <v>179</v>
      </c>
      <c r="D22" s="13"/>
      <c r="E22" s="13">
        <v>93</v>
      </c>
      <c r="F22" s="13">
        <v>82</v>
      </c>
      <c r="G22" s="7">
        <v>0.4</v>
      </c>
      <c r="H22" s="13">
        <v>45</v>
      </c>
      <c r="I22" s="13" t="s">
        <v>37</v>
      </c>
      <c r="J22" s="13"/>
      <c r="K22" s="13">
        <v>97.5</v>
      </c>
      <c r="L22" s="13">
        <f t="shared" si="2"/>
        <v>-4.5</v>
      </c>
      <c r="M22" s="13"/>
      <c r="N22" s="13"/>
      <c r="O22" s="13">
        <v>123</v>
      </c>
      <c r="P22" s="13">
        <v>247</v>
      </c>
      <c r="Q22" s="13">
        <f t="shared" si="3"/>
        <v>18.600000000000001</v>
      </c>
      <c r="R22" s="4"/>
      <c r="S22" s="4"/>
      <c r="T22" s="13"/>
      <c r="U22" s="13">
        <f t="shared" si="4"/>
        <v>24.301075268817204</v>
      </c>
      <c r="V22" s="13">
        <f t="shared" si="5"/>
        <v>24.301075268817204</v>
      </c>
      <c r="W22" s="13">
        <v>39.200000000000003</v>
      </c>
      <c r="X22" s="13">
        <v>24</v>
      </c>
      <c r="Y22" s="13">
        <v>26.2</v>
      </c>
      <c r="Z22" s="13">
        <v>44</v>
      </c>
      <c r="AA22" s="13">
        <v>35.200000000000003</v>
      </c>
      <c r="AB22" s="13">
        <v>34.799999999999997</v>
      </c>
      <c r="AC22" s="13">
        <v>32</v>
      </c>
      <c r="AD22" s="13">
        <v>27.2</v>
      </c>
      <c r="AE22" s="22" t="s">
        <v>152</v>
      </c>
      <c r="AF22" s="13">
        <f t="shared" ref="AF22:AF67" si="8">G22*R22</f>
        <v>0</v>
      </c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</row>
    <row r="23" spans="1:49" x14ac:dyDescent="0.25">
      <c r="A23" s="13" t="s">
        <v>66</v>
      </c>
      <c r="B23" s="13" t="s">
        <v>40</v>
      </c>
      <c r="C23" s="13">
        <v>432.55</v>
      </c>
      <c r="D23" s="13">
        <v>104.979</v>
      </c>
      <c r="E23" s="13">
        <v>150.536</v>
      </c>
      <c r="F23" s="13">
        <v>362.839</v>
      </c>
      <c r="G23" s="7">
        <v>1</v>
      </c>
      <c r="H23" s="13">
        <v>60</v>
      </c>
      <c r="I23" s="13" t="s">
        <v>37</v>
      </c>
      <c r="J23" s="13"/>
      <c r="K23" s="13">
        <v>167.2</v>
      </c>
      <c r="L23" s="13">
        <f t="shared" si="2"/>
        <v>-16.663999999999987</v>
      </c>
      <c r="M23" s="13"/>
      <c r="N23" s="13"/>
      <c r="O23" s="13">
        <v>0</v>
      </c>
      <c r="P23" s="13">
        <v>168</v>
      </c>
      <c r="Q23" s="13">
        <f t="shared" si="3"/>
        <v>30.107199999999999</v>
      </c>
      <c r="R23" s="4"/>
      <c r="S23" s="4"/>
      <c r="T23" s="13"/>
      <c r="U23" s="13">
        <f t="shared" si="4"/>
        <v>17.631629643407557</v>
      </c>
      <c r="V23" s="13">
        <f t="shared" si="5"/>
        <v>17.631629643407557</v>
      </c>
      <c r="W23" s="13">
        <v>48.545200000000001</v>
      </c>
      <c r="X23" s="13">
        <v>40.4754</v>
      </c>
      <c r="Y23" s="13">
        <v>49.236600000000003</v>
      </c>
      <c r="Z23" s="13">
        <v>49.830199999999998</v>
      </c>
      <c r="AA23" s="13">
        <v>43.411799999999999</v>
      </c>
      <c r="AB23" s="13">
        <v>45.0916</v>
      </c>
      <c r="AC23" s="13">
        <v>42.107399999999998</v>
      </c>
      <c r="AD23" s="13">
        <v>51.632199999999997</v>
      </c>
      <c r="AE23" s="13"/>
      <c r="AF23" s="13">
        <f t="shared" si="8"/>
        <v>0</v>
      </c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</row>
    <row r="24" spans="1:49" x14ac:dyDescent="0.25">
      <c r="A24" s="13" t="s">
        <v>67</v>
      </c>
      <c r="B24" s="13" t="s">
        <v>36</v>
      </c>
      <c r="C24" s="13">
        <v>13</v>
      </c>
      <c r="D24" s="13">
        <v>32</v>
      </c>
      <c r="E24" s="13">
        <v>46</v>
      </c>
      <c r="F24" s="13">
        <v>-2</v>
      </c>
      <c r="G24" s="7">
        <v>0.22</v>
      </c>
      <c r="H24" s="13">
        <v>120</v>
      </c>
      <c r="I24" s="13" t="s">
        <v>37</v>
      </c>
      <c r="J24" s="13"/>
      <c r="K24" s="13">
        <v>72</v>
      </c>
      <c r="L24" s="13">
        <f t="shared" si="2"/>
        <v>-26</v>
      </c>
      <c r="M24" s="13"/>
      <c r="N24" s="13"/>
      <c r="O24" s="13">
        <v>84</v>
      </c>
      <c r="P24" s="13">
        <v>80</v>
      </c>
      <c r="Q24" s="13">
        <f t="shared" si="3"/>
        <v>9.1999999999999993</v>
      </c>
      <c r="R24" s="4">
        <v>16</v>
      </c>
      <c r="S24" s="4"/>
      <c r="T24" s="13"/>
      <c r="U24" s="13">
        <f t="shared" si="4"/>
        <v>19.347826086956523</v>
      </c>
      <c r="V24" s="13">
        <f t="shared" si="5"/>
        <v>17.608695652173914</v>
      </c>
      <c r="W24" s="13">
        <v>17.399999999999999</v>
      </c>
      <c r="X24" s="13">
        <v>9</v>
      </c>
      <c r="Y24" s="13">
        <v>13</v>
      </c>
      <c r="Z24" s="13">
        <v>13</v>
      </c>
      <c r="AA24" s="13">
        <v>10.4</v>
      </c>
      <c r="AB24" s="13">
        <v>9.6</v>
      </c>
      <c r="AC24" s="13">
        <v>9.1999999999999993</v>
      </c>
      <c r="AD24" s="13">
        <v>11.2</v>
      </c>
      <c r="AE24" s="13"/>
      <c r="AF24" s="13">
        <f t="shared" si="8"/>
        <v>3.52</v>
      </c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</row>
    <row r="25" spans="1:49" x14ac:dyDescent="0.25">
      <c r="A25" s="13" t="s">
        <v>68</v>
      </c>
      <c r="B25" s="13" t="s">
        <v>36</v>
      </c>
      <c r="C25" s="13">
        <v>53</v>
      </c>
      <c r="D25" s="13">
        <v>13</v>
      </c>
      <c r="E25" s="13">
        <v>18</v>
      </c>
      <c r="F25" s="13">
        <v>43</v>
      </c>
      <c r="G25" s="7">
        <v>0.15</v>
      </c>
      <c r="H25" s="13">
        <v>45</v>
      </c>
      <c r="I25" s="13" t="s">
        <v>37</v>
      </c>
      <c r="J25" s="13"/>
      <c r="K25" s="13">
        <v>19</v>
      </c>
      <c r="L25" s="13">
        <f t="shared" si="2"/>
        <v>-1</v>
      </c>
      <c r="M25" s="13"/>
      <c r="N25" s="13"/>
      <c r="O25" s="13">
        <v>0</v>
      </c>
      <c r="P25" s="13"/>
      <c r="Q25" s="13">
        <f t="shared" si="3"/>
        <v>3.6</v>
      </c>
      <c r="R25" s="4">
        <v>10</v>
      </c>
      <c r="S25" s="4"/>
      <c r="T25" s="13"/>
      <c r="U25" s="13">
        <f t="shared" si="4"/>
        <v>14.722222222222221</v>
      </c>
      <c r="V25" s="13">
        <f t="shared" si="5"/>
        <v>11.944444444444445</v>
      </c>
      <c r="W25" s="13">
        <v>2.4</v>
      </c>
      <c r="X25" s="13">
        <v>4</v>
      </c>
      <c r="Y25" s="13">
        <v>6.2</v>
      </c>
      <c r="Z25" s="13">
        <v>5.2</v>
      </c>
      <c r="AA25" s="13">
        <v>8.6</v>
      </c>
      <c r="AB25" s="13">
        <v>8</v>
      </c>
      <c r="AC25" s="13">
        <v>4.5999999999999996</v>
      </c>
      <c r="AD25" s="13">
        <v>0.4</v>
      </c>
      <c r="AE25" s="22" t="s">
        <v>41</v>
      </c>
      <c r="AF25" s="13">
        <f t="shared" si="8"/>
        <v>1.5</v>
      </c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pans="1:49" x14ac:dyDescent="0.25">
      <c r="A26" s="13" t="s">
        <v>69</v>
      </c>
      <c r="B26" s="13" t="s">
        <v>40</v>
      </c>
      <c r="C26" s="13">
        <v>283.95400000000001</v>
      </c>
      <c r="D26" s="13"/>
      <c r="E26" s="13">
        <v>139.74199999999999</v>
      </c>
      <c r="F26" s="13">
        <v>135.61600000000001</v>
      </c>
      <c r="G26" s="7">
        <v>1</v>
      </c>
      <c r="H26" s="13">
        <v>60</v>
      </c>
      <c r="I26" s="13" t="s">
        <v>37</v>
      </c>
      <c r="J26" s="13"/>
      <c r="K26" s="13">
        <v>135.6</v>
      </c>
      <c r="L26" s="13">
        <f t="shared" si="2"/>
        <v>4.1419999999999959</v>
      </c>
      <c r="M26" s="13"/>
      <c r="N26" s="13"/>
      <c r="O26" s="13">
        <v>0</v>
      </c>
      <c r="P26" s="13">
        <v>8</v>
      </c>
      <c r="Q26" s="13">
        <f t="shared" si="3"/>
        <v>27.948399999999999</v>
      </c>
      <c r="R26" s="4">
        <f t="shared" ref="R22:R67" si="9">14*Q26-P26-O26-F26</f>
        <v>247.66159999999999</v>
      </c>
      <c r="S26" s="4"/>
      <c r="T26" s="13"/>
      <c r="U26" s="13">
        <f t="shared" si="4"/>
        <v>14</v>
      </c>
      <c r="V26" s="13">
        <f t="shared" si="5"/>
        <v>5.1386125860514387</v>
      </c>
      <c r="W26" s="13">
        <v>20.8858</v>
      </c>
      <c r="X26" s="13">
        <v>13.021000000000001</v>
      </c>
      <c r="Y26" s="13">
        <v>20.262599999999999</v>
      </c>
      <c r="Z26" s="13">
        <v>29.521599999999999</v>
      </c>
      <c r="AA26" s="13">
        <v>0</v>
      </c>
      <c r="AB26" s="13">
        <v>0</v>
      </c>
      <c r="AC26" s="13">
        <v>0.27260000000000001</v>
      </c>
      <c r="AD26" s="13">
        <v>9.3792000000000009</v>
      </c>
      <c r="AE26" s="13" t="s">
        <v>70</v>
      </c>
      <c r="AF26" s="13">
        <f t="shared" si="8"/>
        <v>247.66159999999999</v>
      </c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</row>
    <row r="27" spans="1:49" x14ac:dyDescent="0.25">
      <c r="A27" s="13" t="s">
        <v>71</v>
      </c>
      <c r="B27" s="13" t="s">
        <v>36</v>
      </c>
      <c r="C27" s="13">
        <v>823</v>
      </c>
      <c r="D27" s="13"/>
      <c r="E27" s="13">
        <v>213</v>
      </c>
      <c r="F27" s="13">
        <v>606</v>
      </c>
      <c r="G27" s="7">
        <v>0.09</v>
      </c>
      <c r="H27" s="13">
        <v>60</v>
      </c>
      <c r="I27" s="9" t="s">
        <v>43</v>
      </c>
      <c r="J27" s="13"/>
      <c r="K27" s="13">
        <v>213</v>
      </c>
      <c r="L27" s="13">
        <f t="shared" si="2"/>
        <v>0</v>
      </c>
      <c r="M27" s="13"/>
      <c r="N27" s="13"/>
      <c r="O27" s="13">
        <v>0</v>
      </c>
      <c r="P27" s="13"/>
      <c r="Q27" s="13">
        <f t="shared" si="3"/>
        <v>42.6</v>
      </c>
      <c r="R27" s="4"/>
      <c r="S27" s="4"/>
      <c r="T27" s="13"/>
      <c r="U27" s="13">
        <f t="shared" si="4"/>
        <v>14.225352112676056</v>
      </c>
      <c r="V27" s="13">
        <f t="shared" si="5"/>
        <v>14.225352112676056</v>
      </c>
      <c r="W27" s="13">
        <v>96.2</v>
      </c>
      <c r="X27" s="13">
        <v>19.2</v>
      </c>
      <c r="Y27" s="13">
        <v>9.1999999999999993</v>
      </c>
      <c r="Z27" s="13">
        <v>25.4</v>
      </c>
      <c r="AA27" s="13">
        <v>0</v>
      </c>
      <c r="AB27" s="13">
        <v>18</v>
      </c>
      <c r="AC27" s="13">
        <v>2</v>
      </c>
      <c r="AD27" s="13">
        <v>11.8</v>
      </c>
      <c r="AE27" s="13"/>
      <c r="AF27" s="13">
        <f t="shared" si="8"/>
        <v>0</v>
      </c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</row>
    <row r="28" spans="1:49" x14ac:dyDescent="0.25">
      <c r="A28" s="13" t="s">
        <v>72</v>
      </c>
      <c r="B28" s="13" t="s">
        <v>36</v>
      </c>
      <c r="C28" s="13">
        <v>123</v>
      </c>
      <c r="D28" s="13">
        <v>10</v>
      </c>
      <c r="E28" s="13">
        <v>112</v>
      </c>
      <c r="F28" s="13">
        <v>16</v>
      </c>
      <c r="G28" s="7">
        <v>0.09</v>
      </c>
      <c r="H28" s="13">
        <v>45</v>
      </c>
      <c r="I28" s="13" t="s">
        <v>37</v>
      </c>
      <c r="J28" s="13"/>
      <c r="K28" s="13">
        <v>117</v>
      </c>
      <c r="L28" s="13">
        <f t="shared" si="2"/>
        <v>-5</v>
      </c>
      <c r="M28" s="13"/>
      <c r="N28" s="13"/>
      <c r="O28" s="13">
        <v>87</v>
      </c>
      <c r="P28" s="13">
        <v>175</v>
      </c>
      <c r="Q28" s="13">
        <f t="shared" si="3"/>
        <v>22.4</v>
      </c>
      <c r="R28" s="4">
        <f t="shared" si="9"/>
        <v>35.599999999999966</v>
      </c>
      <c r="S28" s="4"/>
      <c r="T28" s="13"/>
      <c r="U28" s="13">
        <f t="shared" si="4"/>
        <v>14</v>
      </c>
      <c r="V28" s="13">
        <f t="shared" si="5"/>
        <v>12.410714285714286</v>
      </c>
      <c r="W28" s="13">
        <v>30.2</v>
      </c>
      <c r="X28" s="13">
        <v>20.6</v>
      </c>
      <c r="Y28" s="13">
        <v>26.2</v>
      </c>
      <c r="Z28" s="13">
        <v>24.2</v>
      </c>
      <c r="AA28" s="13">
        <v>26.2</v>
      </c>
      <c r="AB28" s="13">
        <v>28.8</v>
      </c>
      <c r="AC28" s="13">
        <v>26</v>
      </c>
      <c r="AD28" s="13">
        <v>21</v>
      </c>
      <c r="AE28" s="13" t="s">
        <v>51</v>
      </c>
      <c r="AF28" s="13">
        <f t="shared" si="8"/>
        <v>3.2039999999999966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</row>
    <row r="29" spans="1:49" x14ac:dyDescent="0.25">
      <c r="A29" s="13" t="s">
        <v>73</v>
      </c>
      <c r="B29" s="13" t="s">
        <v>36</v>
      </c>
      <c r="C29" s="13">
        <v>238</v>
      </c>
      <c r="D29" s="13">
        <v>16</v>
      </c>
      <c r="E29" s="13">
        <v>144</v>
      </c>
      <c r="F29" s="13">
        <v>62</v>
      </c>
      <c r="G29" s="7">
        <v>0.4</v>
      </c>
      <c r="H29" s="13">
        <v>60</v>
      </c>
      <c r="I29" s="13" t="s">
        <v>37</v>
      </c>
      <c r="J29" s="13"/>
      <c r="K29" s="13">
        <v>147</v>
      </c>
      <c r="L29" s="13">
        <f t="shared" si="2"/>
        <v>-3</v>
      </c>
      <c r="M29" s="13"/>
      <c r="N29" s="13"/>
      <c r="O29" s="13">
        <v>33</v>
      </c>
      <c r="P29" s="13">
        <v>65</v>
      </c>
      <c r="Q29" s="13">
        <f t="shared" si="3"/>
        <v>28.8</v>
      </c>
      <c r="R29" s="4">
        <f t="shared" si="9"/>
        <v>243.2</v>
      </c>
      <c r="S29" s="4"/>
      <c r="T29" s="13"/>
      <c r="U29" s="13">
        <f t="shared" si="4"/>
        <v>14</v>
      </c>
      <c r="V29" s="13">
        <f t="shared" si="5"/>
        <v>5.5555555555555554</v>
      </c>
      <c r="W29" s="13">
        <v>23.4</v>
      </c>
      <c r="X29" s="13">
        <v>23.4</v>
      </c>
      <c r="Y29" s="13">
        <v>30.4</v>
      </c>
      <c r="Z29" s="13">
        <v>33.4</v>
      </c>
      <c r="AA29" s="13">
        <v>23.2</v>
      </c>
      <c r="AB29" s="13">
        <v>32</v>
      </c>
      <c r="AC29" s="13">
        <v>33</v>
      </c>
      <c r="AD29" s="13">
        <v>34.200000000000003</v>
      </c>
      <c r="AE29" s="13"/>
      <c r="AF29" s="13">
        <f t="shared" si="8"/>
        <v>97.28</v>
      </c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</row>
    <row r="30" spans="1:49" x14ac:dyDescent="0.25">
      <c r="A30" s="13" t="s">
        <v>74</v>
      </c>
      <c r="B30" s="13" t="s">
        <v>36</v>
      </c>
      <c r="C30" s="13">
        <v>14</v>
      </c>
      <c r="D30" s="13">
        <v>48</v>
      </c>
      <c r="E30" s="13">
        <v>16</v>
      </c>
      <c r="F30" s="13">
        <v>30</v>
      </c>
      <c r="G30" s="7">
        <v>0.15</v>
      </c>
      <c r="H30" s="13">
        <v>45</v>
      </c>
      <c r="I30" s="13" t="s">
        <v>37</v>
      </c>
      <c r="J30" s="13"/>
      <c r="K30" s="13">
        <v>17</v>
      </c>
      <c r="L30" s="13">
        <f t="shared" si="2"/>
        <v>-1</v>
      </c>
      <c r="M30" s="13"/>
      <c r="N30" s="13"/>
      <c r="O30" s="13">
        <v>50</v>
      </c>
      <c r="P30" s="13">
        <v>50</v>
      </c>
      <c r="Q30" s="13">
        <f t="shared" si="3"/>
        <v>3.2</v>
      </c>
      <c r="R30" s="4"/>
      <c r="S30" s="4"/>
      <c r="T30" s="13"/>
      <c r="U30" s="13">
        <f t="shared" si="4"/>
        <v>40.625</v>
      </c>
      <c r="V30" s="13">
        <f t="shared" si="5"/>
        <v>40.625</v>
      </c>
      <c r="W30" s="13">
        <v>11.6</v>
      </c>
      <c r="X30" s="13">
        <v>9.6</v>
      </c>
      <c r="Y30" s="13">
        <v>9</v>
      </c>
      <c r="Z30" s="13">
        <v>0</v>
      </c>
      <c r="AA30" s="13">
        <v>8</v>
      </c>
      <c r="AB30" s="13">
        <v>0.4</v>
      </c>
      <c r="AC30" s="13">
        <v>7.6</v>
      </c>
      <c r="AD30" s="13">
        <v>2.8</v>
      </c>
      <c r="AE30" s="13" t="s">
        <v>75</v>
      </c>
      <c r="AF30" s="13">
        <f t="shared" si="8"/>
        <v>0</v>
      </c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 spans="1:49" x14ac:dyDescent="0.25">
      <c r="A31" s="13" t="s">
        <v>64</v>
      </c>
      <c r="B31" s="13" t="s">
        <v>40</v>
      </c>
      <c r="C31" s="13">
        <v>312.06799999999998</v>
      </c>
      <c r="D31" s="13">
        <v>159.84800000000001</v>
      </c>
      <c r="E31" s="20">
        <f>236.787+E21</f>
        <v>238.33799999999999</v>
      </c>
      <c r="F31" s="20">
        <f>216.553+F21</f>
        <v>215.00200000000001</v>
      </c>
      <c r="G31" s="7">
        <v>1</v>
      </c>
      <c r="H31" s="13">
        <v>45</v>
      </c>
      <c r="I31" s="13" t="s">
        <v>37</v>
      </c>
      <c r="J31" s="13"/>
      <c r="K31" s="13">
        <v>232</v>
      </c>
      <c r="L31" s="13">
        <f t="shared" si="2"/>
        <v>6.3379999999999939</v>
      </c>
      <c r="M31" s="13"/>
      <c r="N31" s="13"/>
      <c r="O31" s="13">
        <v>92</v>
      </c>
      <c r="P31" s="13">
        <v>220</v>
      </c>
      <c r="Q31" s="13">
        <f t="shared" si="3"/>
        <v>47.6676</v>
      </c>
      <c r="R31" s="4">
        <f t="shared" si="9"/>
        <v>140.34440000000001</v>
      </c>
      <c r="S31" s="4"/>
      <c r="T31" s="13"/>
      <c r="U31" s="13">
        <f t="shared" si="4"/>
        <v>13.999999999999998</v>
      </c>
      <c r="V31" s="13">
        <f t="shared" si="5"/>
        <v>11.055769537379687</v>
      </c>
      <c r="W31" s="13">
        <v>55.500800000000012</v>
      </c>
      <c r="X31" s="13">
        <v>58.250199999999992</v>
      </c>
      <c r="Y31" s="13">
        <v>59.423400000000001</v>
      </c>
      <c r="Z31" s="13">
        <v>44.594200000000001</v>
      </c>
      <c r="AA31" s="13">
        <v>63.741600000000012</v>
      </c>
      <c r="AB31" s="13">
        <v>50.565399999999997</v>
      </c>
      <c r="AC31" s="13">
        <v>77.327399999999997</v>
      </c>
      <c r="AD31" s="13">
        <v>60.5246</v>
      </c>
      <c r="AE31" s="13"/>
      <c r="AF31" s="13">
        <f t="shared" si="8"/>
        <v>140.34440000000001</v>
      </c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 spans="1:49" x14ac:dyDescent="0.25">
      <c r="A32" s="13" t="s">
        <v>76</v>
      </c>
      <c r="B32" s="13" t="s">
        <v>36</v>
      </c>
      <c r="C32" s="13">
        <v>33</v>
      </c>
      <c r="D32" s="13">
        <v>312</v>
      </c>
      <c r="E32" s="13">
        <v>107</v>
      </c>
      <c r="F32" s="13">
        <v>194</v>
      </c>
      <c r="G32" s="7">
        <v>0.4</v>
      </c>
      <c r="H32" s="13">
        <v>60</v>
      </c>
      <c r="I32" s="13" t="s">
        <v>37</v>
      </c>
      <c r="J32" s="13"/>
      <c r="K32" s="13">
        <v>131</v>
      </c>
      <c r="L32" s="13">
        <f t="shared" si="2"/>
        <v>-24</v>
      </c>
      <c r="M32" s="13"/>
      <c r="N32" s="13"/>
      <c r="O32" s="13">
        <v>0</v>
      </c>
      <c r="P32" s="13"/>
      <c r="Q32" s="13">
        <f t="shared" si="3"/>
        <v>21.4</v>
      </c>
      <c r="R32" s="4">
        <f t="shared" si="9"/>
        <v>105.59999999999997</v>
      </c>
      <c r="S32" s="4"/>
      <c r="T32" s="13"/>
      <c r="U32" s="13">
        <f t="shared" si="4"/>
        <v>14</v>
      </c>
      <c r="V32" s="13">
        <f t="shared" si="5"/>
        <v>9.0654205607476648</v>
      </c>
      <c r="W32" s="13">
        <v>22.2</v>
      </c>
      <c r="X32" s="13">
        <v>31</v>
      </c>
      <c r="Y32" s="13">
        <v>20.6</v>
      </c>
      <c r="Z32" s="13">
        <v>26.4</v>
      </c>
      <c r="AA32" s="13">
        <v>25.6</v>
      </c>
      <c r="AB32" s="13">
        <v>24.2</v>
      </c>
      <c r="AC32" s="13">
        <v>18.600000000000001</v>
      </c>
      <c r="AD32" s="13">
        <v>35.4</v>
      </c>
      <c r="AE32" s="13" t="s">
        <v>51</v>
      </c>
      <c r="AF32" s="13">
        <f t="shared" si="8"/>
        <v>42.239999999999988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</row>
    <row r="33" spans="1:49" x14ac:dyDescent="0.25">
      <c r="A33" s="13" t="s">
        <v>77</v>
      </c>
      <c r="B33" s="13" t="s">
        <v>36</v>
      </c>
      <c r="C33" s="13">
        <v>71</v>
      </c>
      <c r="D33" s="13"/>
      <c r="E33" s="13">
        <v>47</v>
      </c>
      <c r="F33" s="13">
        <v>9</v>
      </c>
      <c r="G33" s="7">
        <v>0.4</v>
      </c>
      <c r="H33" s="13">
        <v>60</v>
      </c>
      <c r="I33" s="13" t="s">
        <v>37</v>
      </c>
      <c r="J33" s="13"/>
      <c r="K33" s="13">
        <v>47</v>
      </c>
      <c r="L33" s="13">
        <f t="shared" si="2"/>
        <v>0</v>
      </c>
      <c r="M33" s="13"/>
      <c r="N33" s="13"/>
      <c r="O33" s="13">
        <v>0</v>
      </c>
      <c r="P33" s="13"/>
      <c r="Q33" s="13">
        <f t="shared" si="3"/>
        <v>9.4</v>
      </c>
      <c r="R33" s="4">
        <f>10*Q33-P33-O33-F33</f>
        <v>85</v>
      </c>
      <c r="S33" s="4"/>
      <c r="T33" s="13"/>
      <c r="U33" s="13">
        <f t="shared" si="4"/>
        <v>10</v>
      </c>
      <c r="V33" s="13">
        <f t="shared" si="5"/>
        <v>0.95744680851063824</v>
      </c>
      <c r="W33" s="13">
        <v>3.6</v>
      </c>
      <c r="X33" s="13">
        <v>4.4000000000000004</v>
      </c>
      <c r="Y33" s="13">
        <v>7</v>
      </c>
      <c r="Z33" s="13">
        <v>4.8</v>
      </c>
      <c r="AA33" s="13">
        <v>4.8</v>
      </c>
      <c r="AB33" s="13">
        <v>7.2</v>
      </c>
      <c r="AC33" s="13">
        <v>4.8</v>
      </c>
      <c r="AD33" s="13">
        <v>4.4000000000000004</v>
      </c>
      <c r="AE33" s="13"/>
      <c r="AF33" s="13">
        <f t="shared" si="8"/>
        <v>34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r="34" spans="1:49" x14ac:dyDescent="0.25">
      <c r="A34" s="13" t="s">
        <v>78</v>
      </c>
      <c r="B34" s="13" t="s">
        <v>36</v>
      </c>
      <c r="C34" s="13">
        <v>500</v>
      </c>
      <c r="D34" s="13">
        <v>82</v>
      </c>
      <c r="E34" s="13">
        <v>354</v>
      </c>
      <c r="F34" s="13">
        <v>206</v>
      </c>
      <c r="G34" s="7">
        <v>0.4</v>
      </c>
      <c r="H34" s="13">
        <v>60</v>
      </c>
      <c r="I34" s="13" t="s">
        <v>37</v>
      </c>
      <c r="J34" s="13"/>
      <c r="K34" s="13">
        <v>357</v>
      </c>
      <c r="L34" s="13">
        <f t="shared" si="2"/>
        <v>-3</v>
      </c>
      <c r="M34" s="13"/>
      <c r="N34" s="13"/>
      <c r="O34" s="13">
        <v>76</v>
      </c>
      <c r="P34" s="13">
        <v>152</v>
      </c>
      <c r="Q34" s="13">
        <f t="shared" si="3"/>
        <v>70.8</v>
      </c>
      <c r="R34" s="4">
        <f t="shared" si="9"/>
        <v>557.19999999999993</v>
      </c>
      <c r="S34" s="4"/>
      <c r="T34" s="13"/>
      <c r="U34" s="13">
        <f t="shared" si="4"/>
        <v>14</v>
      </c>
      <c r="V34" s="13">
        <f t="shared" si="5"/>
        <v>6.129943502824859</v>
      </c>
      <c r="W34" s="13">
        <v>57.8</v>
      </c>
      <c r="X34" s="13">
        <v>63.6</v>
      </c>
      <c r="Y34" s="13">
        <v>73.8</v>
      </c>
      <c r="Z34" s="13">
        <v>74.400000000000006</v>
      </c>
      <c r="AA34" s="13">
        <v>52.6</v>
      </c>
      <c r="AB34" s="13">
        <v>60</v>
      </c>
      <c r="AC34" s="13">
        <v>75.2</v>
      </c>
      <c r="AD34" s="13">
        <v>71.8</v>
      </c>
      <c r="AE34" s="13" t="s">
        <v>51</v>
      </c>
      <c r="AF34" s="13">
        <f t="shared" si="8"/>
        <v>222.88</v>
      </c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r="35" spans="1:49" x14ac:dyDescent="0.25">
      <c r="A35" s="13" t="s">
        <v>79</v>
      </c>
      <c r="B35" s="13" t="s">
        <v>36</v>
      </c>
      <c r="C35" s="13">
        <v>128</v>
      </c>
      <c r="D35" s="13">
        <v>522</v>
      </c>
      <c r="E35" s="13">
        <v>219</v>
      </c>
      <c r="F35" s="13">
        <v>340</v>
      </c>
      <c r="G35" s="7">
        <v>0.4</v>
      </c>
      <c r="H35" s="13">
        <v>60</v>
      </c>
      <c r="I35" s="9" t="s">
        <v>43</v>
      </c>
      <c r="J35" s="13"/>
      <c r="K35" s="13">
        <v>222.3</v>
      </c>
      <c r="L35" s="13">
        <f t="shared" si="2"/>
        <v>-3.3000000000000114</v>
      </c>
      <c r="M35" s="13"/>
      <c r="N35" s="13"/>
      <c r="O35" s="13">
        <v>400</v>
      </c>
      <c r="P35" s="13"/>
      <c r="Q35" s="13">
        <f t="shared" si="3"/>
        <v>43.8</v>
      </c>
      <c r="R35" s="4"/>
      <c r="S35" s="4"/>
      <c r="T35" s="13"/>
      <c r="U35" s="13">
        <f t="shared" si="4"/>
        <v>16.894977168949772</v>
      </c>
      <c r="V35" s="13">
        <f t="shared" si="5"/>
        <v>16.894977168949772</v>
      </c>
      <c r="W35" s="13">
        <v>49.6</v>
      </c>
      <c r="X35" s="13">
        <v>57.8</v>
      </c>
      <c r="Y35" s="13">
        <v>45.8</v>
      </c>
      <c r="Z35" s="13">
        <v>43.4</v>
      </c>
      <c r="AA35" s="13">
        <v>48.8</v>
      </c>
      <c r="AB35" s="13">
        <v>43.2</v>
      </c>
      <c r="AC35" s="13">
        <v>46.4</v>
      </c>
      <c r="AD35" s="13">
        <v>27.6</v>
      </c>
      <c r="AE35" s="13" t="s">
        <v>51</v>
      </c>
      <c r="AF35" s="13">
        <f t="shared" si="8"/>
        <v>0</v>
      </c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</row>
    <row r="36" spans="1:49" x14ac:dyDescent="0.25">
      <c r="A36" s="13" t="s">
        <v>80</v>
      </c>
      <c r="B36" s="13" t="s">
        <v>36</v>
      </c>
      <c r="C36" s="13">
        <v>402</v>
      </c>
      <c r="D36" s="13">
        <v>2</v>
      </c>
      <c r="E36" s="13">
        <v>504</v>
      </c>
      <c r="F36" s="13">
        <v>-137</v>
      </c>
      <c r="G36" s="7">
        <v>0.4</v>
      </c>
      <c r="H36" s="13">
        <v>60</v>
      </c>
      <c r="I36" s="9" t="s">
        <v>43</v>
      </c>
      <c r="J36" s="13"/>
      <c r="K36" s="13">
        <v>975</v>
      </c>
      <c r="L36" s="13">
        <f t="shared" si="2"/>
        <v>-471</v>
      </c>
      <c r="M36" s="13"/>
      <c r="N36" s="13"/>
      <c r="O36" s="13">
        <v>2300</v>
      </c>
      <c r="P36" s="13"/>
      <c r="Q36" s="13">
        <f t="shared" si="3"/>
        <v>100.8</v>
      </c>
      <c r="R36" s="4"/>
      <c r="S36" s="4"/>
      <c r="T36" s="13"/>
      <c r="U36" s="13">
        <f t="shared" si="4"/>
        <v>21.458333333333336</v>
      </c>
      <c r="V36" s="13">
        <f t="shared" si="5"/>
        <v>21.458333333333336</v>
      </c>
      <c r="W36" s="13">
        <v>322.39999999999998</v>
      </c>
      <c r="X36" s="13">
        <v>131.19999999999999</v>
      </c>
      <c r="Y36" s="13">
        <v>86.2</v>
      </c>
      <c r="Z36" s="13">
        <v>100.2</v>
      </c>
      <c r="AA36" s="13">
        <v>155.19999999999999</v>
      </c>
      <c r="AB36" s="13">
        <v>151.4</v>
      </c>
      <c r="AC36" s="13">
        <v>192.4</v>
      </c>
      <c r="AD36" s="13">
        <v>105</v>
      </c>
      <c r="AE36" s="13" t="s">
        <v>51</v>
      </c>
      <c r="AF36" s="13">
        <f t="shared" si="8"/>
        <v>0</v>
      </c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</row>
    <row r="37" spans="1:49" x14ac:dyDescent="0.25">
      <c r="A37" s="13" t="s">
        <v>81</v>
      </c>
      <c r="B37" s="13" t="s">
        <v>36</v>
      </c>
      <c r="C37" s="13">
        <v>8</v>
      </c>
      <c r="D37" s="13">
        <v>30</v>
      </c>
      <c r="E37" s="13">
        <v>14</v>
      </c>
      <c r="F37" s="13">
        <v>20</v>
      </c>
      <c r="G37" s="7">
        <v>0.1</v>
      </c>
      <c r="H37" s="13">
        <v>45</v>
      </c>
      <c r="I37" s="13" t="s">
        <v>37</v>
      </c>
      <c r="J37" s="13"/>
      <c r="K37" s="13">
        <v>18</v>
      </c>
      <c r="L37" s="13">
        <f t="shared" si="2"/>
        <v>-4</v>
      </c>
      <c r="M37" s="13"/>
      <c r="N37" s="13"/>
      <c r="O37" s="13">
        <v>36</v>
      </c>
      <c r="P37" s="13">
        <v>30</v>
      </c>
      <c r="Q37" s="13">
        <f t="shared" si="3"/>
        <v>2.8</v>
      </c>
      <c r="R37" s="4"/>
      <c r="S37" s="4"/>
      <c r="T37" s="13"/>
      <c r="U37" s="13">
        <f t="shared" si="4"/>
        <v>30.714285714285715</v>
      </c>
      <c r="V37" s="13">
        <f t="shared" si="5"/>
        <v>30.714285714285715</v>
      </c>
      <c r="W37" s="13">
        <v>7.4</v>
      </c>
      <c r="X37" s="13">
        <v>6</v>
      </c>
      <c r="Y37" s="13">
        <v>1.8</v>
      </c>
      <c r="Z37" s="13">
        <v>7</v>
      </c>
      <c r="AA37" s="13">
        <v>5.8</v>
      </c>
      <c r="AB37" s="13">
        <v>6</v>
      </c>
      <c r="AC37" s="13">
        <v>2.2000000000000002</v>
      </c>
      <c r="AD37" s="13">
        <v>1.4</v>
      </c>
      <c r="AE37" s="13" t="s">
        <v>82</v>
      </c>
      <c r="AF37" s="13">
        <f t="shared" si="8"/>
        <v>0</v>
      </c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</row>
    <row r="38" spans="1:49" x14ac:dyDescent="0.25">
      <c r="A38" s="13" t="s">
        <v>83</v>
      </c>
      <c r="B38" s="13" t="s">
        <v>36</v>
      </c>
      <c r="C38" s="13">
        <v>139</v>
      </c>
      <c r="D38" s="13">
        <v>319</v>
      </c>
      <c r="E38" s="13">
        <v>205</v>
      </c>
      <c r="F38" s="13">
        <v>147</v>
      </c>
      <c r="G38" s="7">
        <v>0.1</v>
      </c>
      <c r="H38" s="13">
        <v>60</v>
      </c>
      <c r="I38" s="13" t="s">
        <v>37</v>
      </c>
      <c r="J38" s="13"/>
      <c r="K38" s="13">
        <v>205</v>
      </c>
      <c r="L38" s="13">
        <f t="shared" ref="L38:L69" si="10">E38-K38</f>
        <v>0</v>
      </c>
      <c r="M38" s="13"/>
      <c r="N38" s="13"/>
      <c r="O38" s="13">
        <v>44</v>
      </c>
      <c r="P38" s="13">
        <v>87</v>
      </c>
      <c r="Q38" s="13">
        <f t="shared" ref="Q38:Q69" si="11">E38/5</f>
        <v>41</v>
      </c>
      <c r="R38" s="4">
        <f t="shared" si="9"/>
        <v>296</v>
      </c>
      <c r="S38" s="4"/>
      <c r="T38" s="13"/>
      <c r="U38" s="13">
        <f t="shared" ref="U38:U69" si="12">(F38+O38+P38+R38)/Q38</f>
        <v>14</v>
      </c>
      <c r="V38" s="13">
        <f t="shared" ref="V38:V69" si="13">(F38+O38+P38)/Q38</f>
        <v>6.7804878048780486</v>
      </c>
      <c r="W38" s="13">
        <v>36.200000000000003</v>
      </c>
      <c r="X38" s="13">
        <v>38.799999999999997</v>
      </c>
      <c r="Y38" s="13">
        <v>34.6</v>
      </c>
      <c r="Z38" s="13">
        <v>44.8</v>
      </c>
      <c r="AA38" s="13">
        <v>40</v>
      </c>
      <c r="AB38" s="13">
        <v>39.799999999999997</v>
      </c>
      <c r="AC38" s="13">
        <v>32.200000000000003</v>
      </c>
      <c r="AD38" s="13">
        <v>43.6</v>
      </c>
      <c r="AE38" s="13" t="s">
        <v>51</v>
      </c>
      <c r="AF38" s="13">
        <f t="shared" si="8"/>
        <v>29.6</v>
      </c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</row>
    <row r="39" spans="1:49" x14ac:dyDescent="0.25">
      <c r="A39" s="13" t="s">
        <v>84</v>
      </c>
      <c r="B39" s="13" t="s">
        <v>36</v>
      </c>
      <c r="C39" s="13">
        <v>10</v>
      </c>
      <c r="D39" s="13">
        <v>652</v>
      </c>
      <c r="E39" s="13">
        <v>432</v>
      </c>
      <c r="F39" s="13"/>
      <c r="G39" s="7">
        <v>0.1</v>
      </c>
      <c r="H39" s="13">
        <v>60</v>
      </c>
      <c r="I39" s="13" t="s">
        <v>37</v>
      </c>
      <c r="J39" s="13"/>
      <c r="K39" s="13">
        <v>699</v>
      </c>
      <c r="L39" s="13">
        <f t="shared" si="10"/>
        <v>-267</v>
      </c>
      <c r="M39" s="13"/>
      <c r="N39" s="13"/>
      <c r="O39" s="13">
        <v>0</v>
      </c>
      <c r="P39" s="13">
        <v>73</v>
      </c>
      <c r="Q39" s="13">
        <f t="shared" si="11"/>
        <v>86.4</v>
      </c>
      <c r="R39" s="4">
        <f>10*Q39-P39-O39-F39</f>
        <v>791</v>
      </c>
      <c r="S39" s="4"/>
      <c r="T39" s="13"/>
      <c r="U39" s="13">
        <f t="shared" si="12"/>
        <v>10</v>
      </c>
      <c r="V39" s="13">
        <f t="shared" si="13"/>
        <v>0.84490740740740733</v>
      </c>
      <c r="W39" s="13">
        <v>37.200000000000003</v>
      </c>
      <c r="X39" s="13">
        <v>51</v>
      </c>
      <c r="Y39" s="13">
        <v>31</v>
      </c>
      <c r="Z39" s="13">
        <v>37.4</v>
      </c>
      <c r="AA39" s="13">
        <v>49.6</v>
      </c>
      <c r="AB39" s="13">
        <v>44.4</v>
      </c>
      <c r="AC39" s="13">
        <v>62.8</v>
      </c>
      <c r="AD39" s="13">
        <v>76.599999999999994</v>
      </c>
      <c r="AE39" s="13" t="s">
        <v>51</v>
      </c>
      <c r="AF39" s="13">
        <f t="shared" si="8"/>
        <v>79.100000000000009</v>
      </c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</row>
    <row r="40" spans="1:49" x14ac:dyDescent="0.25">
      <c r="A40" s="13" t="s">
        <v>85</v>
      </c>
      <c r="B40" s="13" t="s">
        <v>36</v>
      </c>
      <c r="C40" s="13">
        <v>18</v>
      </c>
      <c r="D40" s="13">
        <v>115</v>
      </c>
      <c r="E40" s="13">
        <v>131</v>
      </c>
      <c r="F40" s="13">
        <v>-6</v>
      </c>
      <c r="G40" s="7">
        <v>0.1</v>
      </c>
      <c r="H40" s="13">
        <v>45</v>
      </c>
      <c r="I40" s="13" t="s">
        <v>37</v>
      </c>
      <c r="J40" s="13"/>
      <c r="K40" s="13">
        <v>131</v>
      </c>
      <c r="L40" s="13">
        <f t="shared" si="10"/>
        <v>0</v>
      </c>
      <c r="M40" s="13"/>
      <c r="N40" s="13"/>
      <c r="O40" s="13">
        <v>62</v>
      </c>
      <c r="P40" s="13">
        <v>50</v>
      </c>
      <c r="Q40" s="13">
        <f t="shared" si="11"/>
        <v>26.2</v>
      </c>
      <c r="R40" s="4">
        <f>13*Q40-P40-O40-F40</f>
        <v>234.59999999999997</v>
      </c>
      <c r="S40" s="4"/>
      <c r="T40" s="13"/>
      <c r="U40" s="13">
        <f t="shared" si="12"/>
        <v>12.999999999999998</v>
      </c>
      <c r="V40" s="13">
        <f t="shared" si="13"/>
        <v>4.0458015267175576</v>
      </c>
      <c r="W40" s="13">
        <v>17.399999999999999</v>
      </c>
      <c r="X40" s="13">
        <v>16.2</v>
      </c>
      <c r="Y40" s="13">
        <v>14.6</v>
      </c>
      <c r="Z40" s="13">
        <v>13</v>
      </c>
      <c r="AA40" s="13">
        <v>12.6</v>
      </c>
      <c r="AB40" s="13">
        <v>5.2</v>
      </c>
      <c r="AC40" s="13">
        <v>16</v>
      </c>
      <c r="AD40" s="13">
        <v>7.6</v>
      </c>
      <c r="AE40" s="13"/>
      <c r="AF40" s="13">
        <f t="shared" si="8"/>
        <v>23.459999999999997</v>
      </c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r="41" spans="1:49" x14ac:dyDescent="0.25">
      <c r="A41" s="13" t="s">
        <v>86</v>
      </c>
      <c r="B41" s="13" t="s">
        <v>36</v>
      </c>
      <c r="C41" s="13">
        <v>142</v>
      </c>
      <c r="D41" s="13">
        <v>85</v>
      </c>
      <c r="E41" s="13">
        <v>141</v>
      </c>
      <c r="F41" s="13">
        <v>54</v>
      </c>
      <c r="G41" s="7">
        <v>0.4</v>
      </c>
      <c r="H41" s="13">
        <v>45</v>
      </c>
      <c r="I41" s="13" t="s">
        <v>37</v>
      </c>
      <c r="J41" s="13"/>
      <c r="K41" s="13">
        <v>148</v>
      </c>
      <c r="L41" s="13">
        <f t="shared" si="10"/>
        <v>-7</v>
      </c>
      <c r="M41" s="13"/>
      <c r="N41" s="13"/>
      <c r="O41" s="13">
        <v>113</v>
      </c>
      <c r="P41" s="13">
        <v>227</v>
      </c>
      <c r="Q41" s="13">
        <f t="shared" si="11"/>
        <v>28.2</v>
      </c>
      <c r="R41" s="4"/>
      <c r="S41" s="4"/>
      <c r="T41" s="13"/>
      <c r="U41" s="13">
        <f t="shared" si="12"/>
        <v>13.971631205673759</v>
      </c>
      <c r="V41" s="13">
        <f t="shared" si="13"/>
        <v>13.971631205673759</v>
      </c>
      <c r="W41" s="13">
        <v>37.6</v>
      </c>
      <c r="X41" s="13">
        <v>26.6</v>
      </c>
      <c r="Y41" s="13">
        <v>33.4</v>
      </c>
      <c r="Z41" s="13">
        <v>29.2</v>
      </c>
      <c r="AA41" s="13">
        <v>30.8</v>
      </c>
      <c r="AB41" s="13">
        <v>36.6</v>
      </c>
      <c r="AC41" s="13">
        <v>23.4</v>
      </c>
      <c r="AD41" s="13">
        <v>32</v>
      </c>
      <c r="AE41" s="13" t="s">
        <v>51</v>
      </c>
      <c r="AF41" s="13">
        <f t="shared" si="8"/>
        <v>0</v>
      </c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</row>
    <row r="42" spans="1:49" x14ac:dyDescent="0.25">
      <c r="A42" s="13" t="s">
        <v>87</v>
      </c>
      <c r="B42" s="13" t="s">
        <v>40</v>
      </c>
      <c r="C42" s="13">
        <v>230.98500000000001</v>
      </c>
      <c r="D42" s="13"/>
      <c r="E42" s="13">
        <v>130.381</v>
      </c>
      <c r="F42" s="13">
        <v>95.587999999999994</v>
      </c>
      <c r="G42" s="7">
        <v>1</v>
      </c>
      <c r="H42" s="13">
        <v>60</v>
      </c>
      <c r="I42" s="13" t="s">
        <v>37</v>
      </c>
      <c r="J42" s="13"/>
      <c r="K42" s="13">
        <v>130.5</v>
      </c>
      <c r="L42" s="13">
        <f t="shared" si="10"/>
        <v>-0.11899999999999977</v>
      </c>
      <c r="M42" s="13"/>
      <c r="N42" s="13"/>
      <c r="O42" s="13">
        <v>42</v>
      </c>
      <c r="P42" s="13">
        <v>130</v>
      </c>
      <c r="Q42" s="13">
        <f t="shared" si="11"/>
        <v>26.0762</v>
      </c>
      <c r="R42" s="4">
        <f t="shared" si="9"/>
        <v>97.478800000000007</v>
      </c>
      <c r="S42" s="4"/>
      <c r="T42" s="13"/>
      <c r="U42" s="13">
        <f t="shared" si="12"/>
        <v>13.999999999999998</v>
      </c>
      <c r="V42" s="13">
        <f t="shared" si="13"/>
        <v>10.261771270353808</v>
      </c>
      <c r="W42" s="13">
        <v>28.807600000000001</v>
      </c>
      <c r="X42" s="13">
        <v>22.558800000000002</v>
      </c>
      <c r="Y42" s="13">
        <v>35.664200000000001</v>
      </c>
      <c r="Z42" s="13">
        <v>36.482399999999998</v>
      </c>
      <c r="AA42" s="13">
        <v>40.063000000000002</v>
      </c>
      <c r="AB42" s="13">
        <v>33.830599999999997</v>
      </c>
      <c r="AC42" s="13">
        <v>27.791399999999999</v>
      </c>
      <c r="AD42" s="13">
        <v>36.779800000000002</v>
      </c>
      <c r="AE42" s="13"/>
      <c r="AF42" s="13">
        <f t="shared" si="8"/>
        <v>97.478800000000007</v>
      </c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r="43" spans="1:49" x14ac:dyDescent="0.25">
      <c r="A43" s="13" t="s">
        <v>88</v>
      </c>
      <c r="B43" s="13" t="s">
        <v>40</v>
      </c>
      <c r="C43" s="13">
        <v>17.803000000000001</v>
      </c>
      <c r="D43" s="13">
        <v>152.74600000000001</v>
      </c>
      <c r="E43" s="13">
        <v>67.739000000000004</v>
      </c>
      <c r="F43" s="13">
        <v>61.320999999999998</v>
      </c>
      <c r="G43" s="7">
        <v>1</v>
      </c>
      <c r="H43" s="13">
        <v>45</v>
      </c>
      <c r="I43" s="13" t="s">
        <v>37</v>
      </c>
      <c r="J43" s="13"/>
      <c r="K43" s="13">
        <v>65.3</v>
      </c>
      <c r="L43" s="13">
        <f t="shared" si="10"/>
        <v>2.4390000000000072</v>
      </c>
      <c r="M43" s="13"/>
      <c r="N43" s="13"/>
      <c r="O43" s="13">
        <v>22</v>
      </c>
      <c r="P43" s="13">
        <v>40</v>
      </c>
      <c r="Q43" s="13">
        <f t="shared" si="11"/>
        <v>13.547800000000001</v>
      </c>
      <c r="R43" s="4">
        <f t="shared" si="9"/>
        <v>66.34820000000002</v>
      </c>
      <c r="S43" s="4"/>
      <c r="T43" s="13"/>
      <c r="U43" s="13">
        <f t="shared" si="12"/>
        <v>14</v>
      </c>
      <c r="V43" s="13">
        <f t="shared" si="13"/>
        <v>9.1026587342594372</v>
      </c>
      <c r="W43" s="13">
        <v>15.1912</v>
      </c>
      <c r="X43" s="13">
        <v>15.074</v>
      </c>
      <c r="Y43" s="13">
        <v>10.4932</v>
      </c>
      <c r="Z43" s="13">
        <v>13.145799999999999</v>
      </c>
      <c r="AA43" s="13">
        <v>19.4406</v>
      </c>
      <c r="AB43" s="13">
        <v>18.122800000000002</v>
      </c>
      <c r="AC43" s="13">
        <v>16.919599999999999</v>
      </c>
      <c r="AD43" s="13">
        <v>14.626799999999999</v>
      </c>
      <c r="AE43" s="13"/>
      <c r="AF43" s="13">
        <f t="shared" si="8"/>
        <v>66.34820000000002</v>
      </c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spans="1:49" x14ac:dyDescent="0.25">
      <c r="A44" s="13" t="s">
        <v>89</v>
      </c>
      <c r="B44" s="13" t="s">
        <v>40</v>
      </c>
      <c r="C44" s="13">
        <v>5.8470000000000004</v>
      </c>
      <c r="D44" s="13">
        <v>102.71599999999999</v>
      </c>
      <c r="E44" s="13">
        <v>53.887999999999998</v>
      </c>
      <c r="F44" s="13">
        <v>51.625</v>
      </c>
      <c r="G44" s="7">
        <v>1</v>
      </c>
      <c r="H44" s="13">
        <v>45</v>
      </c>
      <c r="I44" s="13" t="s">
        <v>37</v>
      </c>
      <c r="J44" s="13"/>
      <c r="K44" s="13">
        <v>55</v>
      </c>
      <c r="L44" s="13">
        <f t="shared" si="10"/>
        <v>-1.1120000000000019</v>
      </c>
      <c r="M44" s="13"/>
      <c r="N44" s="13"/>
      <c r="O44" s="13">
        <v>66</v>
      </c>
      <c r="P44" s="13">
        <v>80</v>
      </c>
      <c r="Q44" s="13">
        <f t="shared" si="11"/>
        <v>10.7776</v>
      </c>
      <c r="R44" s="4"/>
      <c r="S44" s="4"/>
      <c r="T44" s="13"/>
      <c r="U44" s="13">
        <f t="shared" si="12"/>
        <v>18.336642666270784</v>
      </c>
      <c r="V44" s="13">
        <f t="shared" si="13"/>
        <v>18.336642666270784</v>
      </c>
      <c r="W44" s="13">
        <v>15.9596</v>
      </c>
      <c r="X44" s="13">
        <v>14.294600000000001</v>
      </c>
      <c r="Y44" s="13">
        <v>18.706199999999999</v>
      </c>
      <c r="Z44" s="13">
        <v>14.135199999999999</v>
      </c>
      <c r="AA44" s="13">
        <v>20.660599999999999</v>
      </c>
      <c r="AB44" s="13">
        <v>14.7712</v>
      </c>
      <c r="AC44" s="13">
        <v>20.195599999999999</v>
      </c>
      <c r="AD44" s="13">
        <v>18.757999999999999</v>
      </c>
      <c r="AE44" s="13"/>
      <c r="AF44" s="13">
        <f t="shared" si="8"/>
        <v>0</v>
      </c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r="45" spans="1:49" x14ac:dyDescent="0.25">
      <c r="A45" s="13" t="s">
        <v>90</v>
      </c>
      <c r="B45" s="13" t="s">
        <v>36</v>
      </c>
      <c r="C45" s="13"/>
      <c r="D45" s="13">
        <v>120</v>
      </c>
      <c r="E45" s="13">
        <v>46</v>
      </c>
      <c r="F45" s="13">
        <v>52</v>
      </c>
      <c r="G45" s="7">
        <v>0.35</v>
      </c>
      <c r="H45" s="13">
        <v>45</v>
      </c>
      <c r="I45" s="13" t="s">
        <v>37</v>
      </c>
      <c r="J45" s="13"/>
      <c r="K45" s="13">
        <v>60</v>
      </c>
      <c r="L45" s="13">
        <f t="shared" si="10"/>
        <v>-14</v>
      </c>
      <c r="M45" s="13"/>
      <c r="N45" s="13"/>
      <c r="O45" s="13">
        <v>33</v>
      </c>
      <c r="P45" s="13">
        <v>24</v>
      </c>
      <c r="Q45" s="13">
        <f t="shared" si="11"/>
        <v>9.1999999999999993</v>
      </c>
      <c r="R45" s="4">
        <f t="shared" si="9"/>
        <v>19.799999999999983</v>
      </c>
      <c r="S45" s="4"/>
      <c r="T45" s="13"/>
      <c r="U45" s="13">
        <f t="shared" si="12"/>
        <v>14</v>
      </c>
      <c r="V45" s="13">
        <f t="shared" si="13"/>
        <v>11.847826086956523</v>
      </c>
      <c r="W45" s="13">
        <v>12.2</v>
      </c>
      <c r="X45" s="13">
        <v>12.6</v>
      </c>
      <c r="Y45" s="13">
        <v>7.8</v>
      </c>
      <c r="Z45" s="13">
        <v>6.2</v>
      </c>
      <c r="AA45" s="13">
        <v>5.6</v>
      </c>
      <c r="AB45" s="13">
        <v>21.4</v>
      </c>
      <c r="AC45" s="13">
        <v>9.6</v>
      </c>
      <c r="AD45" s="13">
        <v>10.8</v>
      </c>
      <c r="AE45" s="13" t="s">
        <v>51</v>
      </c>
      <c r="AF45" s="13">
        <f t="shared" si="8"/>
        <v>6.9299999999999935</v>
      </c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</row>
    <row r="46" spans="1:49" x14ac:dyDescent="0.25">
      <c r="A46" s="13" t="s">
        <v>91</v>
      </c>
      <c r="B46" s="13" t="s">
        <v>40</v>
      </c>
      <c r="C46" s="13">
        <v>418.50299999999999</v>
      </c>
      <c r="D46" s="13">
        <v>15.708</v>
      </c>
      <c r="E46" s="13">
        <v>197.00200000000001</v>
      </c>
      <c r="F46" s="13">
        <v>146.1</v>
      </c>
      <c r="G46" s="7">
        <v>1</v>
      </c>
      <c r="H46" s="13">
        <v>45</v>
      </c>
      <c r="I46" s="13" t="s">
        <v>37</v>
      </c>
      <c r="J46" s="13"/>
      <c r="K46" s="13">
        <v>198.6</v>
      </c>
      <c r="L46" s="13">
        <f t="shared" si="10"/>
        <v>-1.5979999999999848</v>
      </c>
      <c r="M46" s="13"/>
      <c r="N46" s="13"/>
      <c r="O46" s="13">
        <v>0</v>
      </c>
      <c r="P46" s="13"/>
      <c r="Q46" s="13">
        <f t="shared" si="11"/>
        <v>39.400400000000005</v>
      </c>
      <c r="R46" s="4">
        <f>13*Q46-P46-O46-F46</f>
        <v>366.10520000000008</v>
      </c>
      <c r="S46" s="4"/>
      <c r="T46" s="13"/>
      <c r="U46" s="13">
        <f t="shared" si="12"/>
        <v>13.000000000000002</v>
      </c>
      <c r="V46" s="13">
        <f t="shared" si="13"/>
        <v>3.7080841818864778</v>
      </c>
      <c r="W46" s="13">
        <v>27.084399999999999</v>
      </c>
      <c r="X46" s="13">
        <v>22.139800000000001</v>
      </c>
      <c r="Y46" s="13">
        <v>41.870800000000003</v>
      </c>
      <c r="Z46" s="13">
        <v>26.984400000000001</v>
      </c>
      <c r="AA46" s="13">
        <v>35.395200000000003</v>
      </c>
      <c r="AB46" s="13">
        <v>39.139400000000002</v>
      </c>
      <c r="AC46" s="13">
        <v>34.659399999999998</v>
      </c>
      <c r="AD46" s="13">
        <v>32.191400000000002</v>
      </c>
      <c r="AE46" s="13"/>
      <c r="AF46" s="13">
        <f t="shared" si="8"/>
        <v>366.10520000000008</v>
      </c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</row>
    <row r="47" spans="1:49" x14ac:dyDescent="0.25">
      <c r="A47" s="13" t="s">
        <v>92</v>
      </c>
      <c r="B47" s="13" t="s">
        <v>36</v>
      </c>
      <c r="C47" s="13">
        <v>297</v>
      </c>
      <c r="D47" s="13">
        <v>508</v>
      </c>
      <c r="E47" s="13">
        <v>354</v>
      </c>
      <c r="F47" s="13">
        <v>260</v>
      </c>
      <c r="G47" s="7">
        <v>0.3</v>
      </c>
      <c r="H47" s="13">
        <v>45</v>
      </c>
      <c r="I47" s="13" t="s">
        <v>37</v>
      </c>
      <c r="J47" s="13"/>
      <c r="K47" s="13">
        <v>356</v>
      </c>
      <c r="L47" s="13">
        <f t="shared" si="10"/>
        <v>-2</v>
      </c>
      <c r="M47" s="13"/>
      <c r="N47" s="13"/>
      <c r="O47" s="13">
        <v>77</v>
      </c>
      <c r="P47" s="13">
        <v>154</v>
      </c>
      <c r="Q47" s="13">
        <f t="shared" si="11"/>
        <v>70.8</v>
      </c>
      <c r="R47" s="4">
        <f t="shared" si="9"/>
        <v>500.19999999999993</v>
      </c>
      <c r="S47" s="4"/>
      <c r="T47" s="13"/>
      <c r="U47" s="13">
        <f t="shared" si="12"/>
        <v>14</v>
      </c>
      <c r="V47" s="13">
        <f t="shared" si="13"/>
        <v>6.9350282485875709</v>
      </c>
      <c r="W47" s="13">
        <v>61.4</v>
      </c>
      <c r="X47" s="13">
        <v>66.599999999999994</v>
      </c>
      <c r="Y47" s="13">
        <v>65.599999999999994</v>
      </c>
      <c r="Z47" s="13">
        <v>89</v>
      </c>
      <c r="AA47" s="13">
        <v>64.400000000000006</v>
      </c>
      <c r="AB47" s="13">
        <v>78.8</v>
      </c>
      <c r="AC47" s="13">
        <v>70</v>
      </c>
      <c r="AD47" s="13">
        <v>64.8</v>
      </c>
      <c r="AE47" s="13"/>
      <c r="AF47" s="13">
        <f t="shared" si="8"/>
        <v>150.05999999999997</v>
      </c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</row>
    <row r="48" spans="1:49" x14ac:dyDescent="0.25">
      <c r="A48" s="13" t="s">
        <v>93</v>
      </c>
      <c r="B48" s="13" t="s">
        <v>40</v>
      </c>
      <c r="C48" s="13">
        <v>7.7009999999999996</v>
      </c>
      <c r="D48" s="13"/>
      <c r="E48" s="13">
        <v>9.27</v>
      </c>
      <c r="F48" s="13">
        <v>-1.569</v>
      </c>
      <c r="G48" s="7">
        <v>1</v>
      </c>
      <c r="H48" s="13">
        <v>45</v>
      </c>
      <c r="I48" s="13" t="s">
        <v>37</v>
      </c>
      <c r="J48" s="13"/>
      <c r="K48" s="13">
        <v>9</v>
      </c>
      <c r="L48" s="13">
        <f t="shared" si="10"/>
        <v>0.26999999999999957</v>
      </c>
      <c r="M48" s="13"/>
      <c r="N48" s="13"/>
      <c r="O48" s="13">
        <v>16</v>
      </c>
      <c r="P48" s="13">
        <v>10</v>
      </c>
      <c r="Q48" s="13">
        <f t="shared" si="11"/>
        <v>1.8539999999999999</v>
      </c>
      <c r="R48" s="4">
        <v>6</v>
      </c>
      <c r="S48" s="4"/>
      <c r="T48" s="13"/>
      <c r="U48" s="13">
        <f t="shared" si="12"/>
        <v>16.413700107874867</v>
      </c>
      <c r="V48" s="13">
        <f t="shared" si="13"/>
        <v>13.17745415318231</v>
      </c>
      <c r="W48" s="13">
        <v>3.1057999999999999</v>
      </c>
      <c r="X48" s="13">
        <v>1.5598000000000001</v>
      </c>
      <c r="Y48" s="13">
        <v>2.7850000000000001</v>
      </c>
      <c r="Z48" s="13">
        <v>2.1678000000000002</v>
      </c>
      <c r="AA48" s="13">
        <v>2.4847999999999999</v>
      </c>
      <c r="AB48" s="13">
        <v>2.4853999999999998</v>
      </c>
      <c r="AC48" s="13">
        <v>1.2472000000000001</v>
      </c>
      <c r="AD48" s="13">
        <v>1.2196</v>
      </c>
      <c r="AE48" s="13" t="s">
        <v>94</v>
      </c>
      <c r="AF48" s="13">
        <f t="shared" si="8"/>
        <v>6</v>
      </c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</row>
    <row r="49" spans="1:49" x14ac:dyDescent="0.25">
      <c r="A49" s="13" t="s">
        <v>95</v>
      </c>
      <c r="B49" s="13" t="s">
        <v>36</v>
      </c>
      <c r="C49" s="13">
        <v>999</v>
      </c>
      <c r="D49" s="13">
        <v>893</v>
      </c>
      <c r="E49" s="13">
        <v>675</v>
      </c>
      <c r="F49" s="13">
        <v>748</v>
      </c>
      <c r="G49" s="7">
        <v>0.35</v>
      </c>
      <c r="H49" s="13">
        <v>45</v>
      </c>
      <c r="I49" s="9" t="s">
        <v>43</v>
      </c>
      <c r="J49" s="13"/>
      <c r="K49" s="13">
        <v>728</v>
      </c>
      <c r="L49" s="13">
        <f t="shared" si="10"/>
        <v>-53</v>
      </c>
      <c r="M49" s="13"/>
      <c r="N49" s="13"/>
      <c r="O49" s="13">
        <v>600</v>
      </c>
      <c r="P49" s="13"/>
      <c r="Q49" s="13">
        <f t="shared" si="11"/>
        <v>135</v>
      </c>
      <c r="R49" s="4">
        <f t="shared" si="9"/>
        <v>542</v>
      </c>
      <c r="S49" s="4"/>
      <c r="T49" s="13"/>
      <c r="U49" s="13">
        <f t="shared" si="12"/>
        <v>14</v>
      </c>
      <c r="V49" s="13">
        <f t="shared" si="13"/>
        <v>9.9851851851851858</v>
      </c>
      <c r="W49" s="13">
        <v>124.2</v>
      </c>
      <c r="X49" s="13">
        <v>149</v>
      </c>
      <c r="Y49" s="13">
        <v>205.8</v>
      </c>
      <c r="Z49" s="13">
        <v>227</v>
      </c>
      <c r="AA49" s="13">
        <v>214.6</v>
      </c>
      <c r="AB49" s="13">
        <v>154.19999999999999</v>
      </c>
      <c r="AC49" s="13">
        <v>122</v>
      </c>
      <c r="AD49" s="13">
        <v>136.80000000000001</v>
      </c>
      <c r="AE49" s="13" t="s">
        <v>38</v>
      </c>
      <c r="AF49" s="13">
        <f t="shared" si="8"/>
        <v>189.7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r="50" spans="1:49" x14ac:dyDescent="0.25">
      <c r="A50" s="13" t="s">
        <v>96</v>
      </c>
      <c r="B50" s="13" t="s">
        <v>36</v>
      </c>
      <c r="C50" s="13">
        <v>272</v>
      </c>
      <c r="D50" s="13">
        <v>302</v>
      </c>
      <c r="E50" s="13">
        <v>303</v>
      </c>
      <c r="F50" s="13">
        <v>98</v>
      </c>
      <c r="G50" s="7">
        <v>0.41</v>
      </c>
      <c r="H50" s="13">
        <v>45</v>
      </c>
      <c r="I50" s="13" t="s">
        <v>37</v>
      </c>
      <c r="J50" s="13"/>
      <c r="K50" s="13">
        <v>326</v>
      </c>
      <c r="L50" s="13">
        <f t="shared" si="10"/>
        <v>-23</v>
      </c>
      <c r="M50" s="13"/>
      <c r="N50" s="13"/>
      <c r="O50" s="13">
        <v>60</v>
      </c>
      <c r="P50" s="13">
        <v>121</v>
      </c>
      <c r="Q50" s="13">
        <f t="shared" si="11"/>
        <v>60.6</v>
      </c>
      <c r="R50" s="4">
        <f t="shared" si="9"/>
        <v>569.4</v>
      </c>
      <c r="S50" s="4"/>
      <c r="T50" s="13"/>
      <c r="U50" s="13">
        <f t="shared" si="12"/>
        <v>14</v>
      </c>
      <c r="V50" s="13">
        <f t="shared" si="13"/>
        <v>4.6039603960396036</v>
      </c>
      <c r="W50" s="13">
        <v>46.6</v>
      </c>
      <c r="X50" s="13">
        <v>50.8</v>
      </c>
      <c r="Y50" s="13">
        <v>54.6</v>
      </c>
      <c r="Z50" s="13">
        <v>58.4</v>
      </c>
      <c r="AA50" s="13">
        <v>57.2</v>
      </c>
      <c r="AB50" s="13">
        <v>92</v>
      </c>
      <c r="AC50" s="13">
        <v>72.2</v>
      </c>
      <c r="AD50" s="13">
        <v>55</v>
      </c>
      <c r="AE50" s="13" t="s">
        <v>51</v>
      </c>
      <c r="AF50" s="13">
        <f t="shared" si="8"/>
        <v>233.45399999999998</v>
      </c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</row>
    <row r="51" spans="1:49" x14ac:dyDescent="0.25">
      <c r="A51" s="13" t="s">
        <v>97</v>
      </c>
      <c r="B51" s="13" t="s">
        <v>36</v>
      </c>
      <c r="C51" s="13">
        <v>46</v>
      </c>
      <c r="D51" s="13">
        <v>8</v>
      </c>
      <c r="E51" s="13">
        <v>43</v>
      </c>
      <c r="F51" s="13">
        <v>-3</v>
      </c>
      <c r="G51" s="7">
        <v>0.41</v>
      </c>
      <c r="H51" s="13">
        <v>45</v>
      </c>
      <c r="I51" s="13" t="s">
        <v>37</v>
      </c>
      <c r="J51" s="13"/>
      <c r="K51" s="13">
        <v>46</v>
      </c>
      <c r="L51" s="13">
        <f t="shared" si="10"/>
        <v>-3</v>
      </c>
      <c r="M51" s="13"/>
      <c r="N51" s="13"/>
      <c r="O51" s="13">
        <v>50</v>
      </c>
      <c r="P51" s="13">
        <v>50</v>
      </c>
      <c r="Q51" s="13">
        <f t="shared" si="11"/>
        <v>8.6</v>
      </c>
      <c r="R51" s="4">
        <f t="shared" si="9"/>
        <v>23.399999999999991</v>
      </c>
      <c r="S51" s="4"/>
      <c r="T51" s="13"/>
      <c r="U51" s="13">
        <f t="shared" si="12"/>
        <v>14</v>
      </c>
      <c r="V51" s="13">
        <f t="shared" si="13"/>
        <v>11.279069767441861</v>
      </c>
      <c r="W51" s="13">
        <v>11.2</v>
      </c>
      <c r="X51" s="13">
        <v>4.4000000000000004</v>
      </c>
      <c r="Y51" s="13">
        <v>8.4</v>
      </c>
      <c r="Z51" s="13">
        <v>7.6</v>
      </c>
      <c r="AA51" s="13">
        <v>5.4</v>
      </c>
      <c r="AB51" s="13">
        <v>5.2</v>
      </c>
      <c r="AC51" s="13">
        <v>0.4</v>
      </c>
      <c r="AD51" s="13">
        <v>6.2</v>
      </c>
      <c r="AE51" s="13"/>
      <c r="AF51" s="13">
        <f t="shared" si="8"/>
        <v>9.5939999999999959</v>
      </c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</row>
    <row r="52" spans="1:49" x14ac:dyDescent="0.25">
      <c r="A52" s="13" t="s">
        <v>98</v>
      </c>
      <c r="B52" s="13" t="s">
        <v>36</v>
      </c>
      <c r="C52" s="13">
        <v>238</v>
      </c>
      <c r="D52" s="13">
        <v>686</v>
      </c>
      <c r="E52" s="13">
        <v>255</v>
      </c>
      <c r="F52" s="13">
        <v>435</v>
      </c>
      <c r="G52" s="7">
        <v>0.36</v>
      </c>
      <c r="H52" s="13">
        <v>45</v>
      </c>
      <c r="I52" s="13" t="s">
        <v>37</v>
      </c>
      <c r="J52" s="13"/>
      <c r="K52" s="13">
        <v>258</v>
      </c>
      <c r="L52" s="13">
        <f t="shared" si="10"/>
        <v>-3</v>
      </c>
      <c r="M52" s="13"/>
      <c r="N52" s="13"/>
      <c r="O52" s="13">
        <v>0</v>
      </c>
      <c r="P52" s="13"/>
      <c r="Q52" s="13">
        <f t="shared" si="11"/>
        <v>51</v>
      </c>
      <c r="R52" s="4">
        <f t="shared" si="9"/>
        <v>279</v>
      </c>
      <c r="S52" s="4"/>
      <c r="T52" s="13"/>
      <c r="U52" s="13">
        <f t="shared" si="12"/>
        <v>14</v>
      </c>
      <c r="V52" s="13">
        <f t="shared" si="13"/>
        <v>8.5294117647058822</v>
      </c>
      <c r="W52" s="13">
        <v>47.2</v>
      </c>
      <c r="X52" s="13">
        <v>65.400000000000006</v>
      </c>
      <c r="Y52" s="13">
        <v>55.2</v>
      </c>
      <c r="Z52" s="13">
        <v>57.2</v>
      </c>
      <c r="AA52" s="13">
        <v>51.8</v>
      </c>
      <c r="AB52" s="13">
        <v>43</v>
      </c>
      <c r="AC52" s="13">
        <v>60</v>
      </c>
      <c r="AD52" s="13">
        <v>49.8</v>
      </c>
      <c r="AE52" s="13" t="s">
        <v>51</v>
      </c>
      <c r="AF52" s="13">
        <f t="shared" si="8"/>
        <v>100.44</v>
      </c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</row>
    <row r="53" spans="1:49" x14ac:dyDescent="0.25">
      <c r="A53" s="13" t="s">
        <v>99</v>
      </c>
      <c r="B53" s="13" t="s">
        <v>36</v>
      </c>
      <c r="C53" s="13">
        <v>37</v>
      </c>
      <c r="D53" s="13">
        <v>64</v>
      </c>
      <c r="E53" s="13">
        <v>98</v>
      </c>
      <c r="F53" s="13"/>
      <c r="G53" s="7">
        <v>0.33</v>
      </c>
      <c r="H53" s="13">
        <v>45</v>
      </c>
      <c r="I53" s="13" t="s">
        <v>37</v>
      </c>
      <c r="J53" s="13"/>
      <c r="K53" s="13">
        <v>117</v>
      </c>
      <c r="L53" s="13">
        <f t="shared" si="10"/>
        <v>-19</v>
      </c>
      <c r="M53" s="13"/>
      <c r="N53" s="13"/>
      <c r="O53" s="13">
        <v>0</v>
      </c>
      <c r="P53" s="13"/>
      <c r="Q53" s="13">
        <f t="shared" si="11"/>
        <v>19.600000000000001</v>
      </c>
      <c r="R53" s="4">
        <f>9*Q53-P53-O53-F53</f>
        <v>176.4</v>
      </c>
      <c r="S53" s="4"/>
      <c r="T53" s="13"/>
      <c r="U53" s="13">
        <f t="shared" si="12"/>
        <v>9</v>
      </c>
      <c r="V53" s="13">
        <f t="shared" si="13"/>
        <v>0</v>
      </c>
      <c r="W53" s="13">
        <v>3.4</v>
      </c>
      <c r="X53" s="13">
        <v>8.8000000000000007</v>
      </c>
      <c r="Y53" s="13">
        <v>7</v>
      </c>
      <c r="Z53" s="13">
        <v>5.6</v>
      </c>
      <c r="AA53" s="13">
        <v>8.6</v>
      </c>
      <c r="AB53" s="13">
        <v>6.6</v>
      </c>
      <c r="AC53" s="13">
        <v>9.4</v>
      </c>
      <c r="AD53" s="13">
        <v>3</v>
      </c>
      <c r="AE53" s="13" t="s">
        <v>51</v>
      </c>
      <c r="AF53" s="13">
        <f t="shared" si="8"/>
        <v>58.212000000000003</v>
      </c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</row>
    <row r="54" spans="1:49" x14ac:dyDescent="0.25">
      <c r="A54" s="13" t="s">
        <v>100</v>
      </c>
      <c r="B54" s="13" t="s">
        <v>36</v>
      </c>
      <c r="C54" s="13">
        <v>17</v>
      </c>
      <c r="D54" s="13"/>
      <c r="E54" s="13">
        <v>17</v>
      </c>
      <c r="F54" s="13">
        <v>-1</v>
      </c>
      <c r="G54" s="7">
        <v>0.33</v>
      </c>
      <c r="H54" s="13">
        <v>45</v>
      </c>
      <c r="I54" s="13" t="s">
        <v>37</v>
      </c>
      <c r="J54" s="13"/>
      <c r="K54" s="13">
        <v>21</v>
      </c>
      <c r="L54" s="13">
        <f t="shared" si="10"/>
        <v>-4</v>
      </c>
      <c r="M54" s="13"/>
      <c r="N54" s="13"/>
      <c r="O54" s="13">
        <v>25</v>
      </c>
      <c r="P54" s="13"/>
      <c r="Q54" s="13">
        <f t="shared" si="11"/>
        <v>3.4</v>
      </c>
      <c r="R54" s="4">
        <f t="shared" si="9"/>
        <v>23.6</v>
      </c>
      <c r="S54" s="4"/>
      <c r="T54" s="13"/>
      <c r="U54" s="13">
        <f t="shared" si="12"/>
        <v>14</v>
      </c>
      <c r="V54" s="13">
        <f t="shared" si="13"/>
        <v>7.0588235294117645</v>
      </c>
      <c r="W54" s="13">
        <v>3</v>
      </c>
      <c r="X54" s="13">
        <v>2</v>
      </c>
      <c r="Y54" s="13">
        <v>4.4000000000000004</v>
      </c>
      <c r="Z54" s="13">
        <v>2.8</v>
      </c>
      <c r="AA54" s="13">
        <v>0</v>
      </c>
      <c r="AB54" s="13">
        <v>3.4</v>
      </c>
      <c r="AC54" s="13">
        <v>0.2</v>
      </c>
      <c r="AD54" s="13">
        <v>1.2</v>
      </c>
      <c r="AE54" s="13" t="s">
        <v>51</v>
      </c>
      <c r="AF54" s="13">
        <f t="shared" si="8"/>
        <v>7.7880000000000011</v>
      </c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</row>
    <row r="55" spans="1:49" x14ac:dyDescent="0.25">
      <c r="A55" s="13" t="s">
        <v>101</v>
      </c>
      <c r="B55" s="13" t="s">
        <v>36</v>
      </c>
      <c r="C55" s="13">
        <v>102</v>
      </c>
      <c r="D55" s="13">
        <v>277</v>
      </c>
      <c r="E55" s="13">
        <v>275</v>
      </c>
      <c r="F55" s="13">
        <v>18</v>
      </c>
      <c r="G55" s="7">
        <v>0.33</v>
      </c>
      <c r="H55" s="13">
        <v>45</v>
      </c>
      <c r="I55" s="13" t="s">
        <v>37</v>
      </c>
      <c r="J55" s="13"/>
      <c r="K55" s="13">
        <v>300</v>
      </c>
      <c r="L55" s="13">
        <f t="shared" si="10"/>
        <v>-25</v>
      </c>
      <c r="M55" s="13"/>
      <c r="N55" s="13"/>
      <c r="O55" s="13">
        <v>0</v>
      </c>
      <c r="P55" s="13">
        <v>91</v>
      </c>
      <c r="Q55" s="13">
        <f t="shared" si="11"/>
        <v>55</v>
      </c>
      <c r="R55" s="4">
        <f>11*Q55-P55-O55-F55</f>
        <v>496</v>
      </c>
      <c r="S55" s="4"/>
      <c r="T55" s="13"/>
      <c r="U55" s="13">
        <f t="shared" si="12"/>
        <v>11</v>
      </c>
      <c r="V55" s="13">
        <f t="shared" si="13"/>
        <v>1.9818181818181819</v>
      </c>
      <c r="W55" s="13">
        <v>27</v>
      </c>
      <c r="X55" s="13">
        <v>31</v>
      </c>
      <c r="Y55" s="13">
        <v>28.2</v>
      </c>
      <c r="Z55" s="13">
        <v>25.8</v>
      </c>
      <c r="AA55" s="13">
        <v>41.2</v>
      </c>
      <c r="AB55" s="13">
        <v>36</v>
      </c>
      <c r="AC55" s="13">
        <v>28</v>
      </c>
      <c r="AD55" s="13">
        <v>19.8</v>
      </c>
      <c r="AE55" s="13" t="s">
        <v>38</v>
      </c>
      <c r="AF55" s="13">
        <f t="shared" si="8"/>
        <v>163.68</v>
      </c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</row>
    <row r="56" spans="1:49" x14ac:dyDescent="0.25">
      <c r="A56" s="13" t="s">
        <v>102</v>
      </c>
      <c r="B56" s="13" t="s">
        <v>36</v>
      </c>
      <c r="C56" s="13">
        <v>6</v>
      </c>
      <c r="D56" s="13">
        <v>48</v>
      </c>
      <c r="E56" s="13">
        <v>54</v>
      </c>
      <c r="F56" s="13"/>
      <c r="G56" s="7">
        <v>0.33</v>
      </c>
      <c r="H56" s="13">
        <v>45</v>
      </c>
      <c r="I56" s="13" t="s">
        <v>37</v>
      </c>
      <c r="J56" s="13"/>
      <c r="K56" s="13">
        <v>56</v>
      </c>
      <c r="L56" s="13">
        <f t="shared" si="10"/>
        <v>-2</v>
      </c>
      <c r="M56" s="13"/>
      <c r="N56" s="13"/>
      <c r="O56" s="13">
        <v>0</v>
      </c>
      <c r="P56" s="13"/>
      <c r="Q56" s="13">
        <f t="shared" si="11"/>
        <v>10.8</v>
      </c>
      <c r="R56" s="4">
        <f>9*Q56-P56-O56-F56</f>
        <v>97.2</v>
      </c>
      <c r="S56" s="4"/>
      <c r="T56" s="13"/>
      <c r="U56" s="13">
        <f t="shared" si="12"/>
        <v>9</v>
      </c>
      <c r="V56" s="13">
        <f t="shared" si="13"/>
        <v>0</v>
      </c>
      <c r="W56" s="13">
        <v>4</v>
      </c>
      <c r="X56" s="13">
        <v>6.2</v>
      </c>
      <c r="Y56" s="13">
        <v>3.8</v>
      </c>
      <c r="Z56" s="13">
        <v>5</v>
      </c>
      <c r="AA56" s="13">
        <v>5.8</v>
      </c>
      <c r="AB56" s="13">
        <v>8.4</v>
      </c>
      <c r="AC56" s="13">
        <v>4.5999999999999996</v>
      </c>
      <c r="AD56" s="13">
        <v>4.8</v>
      </c>
      <c r="AE56" s="13" t="s">
        <v>51</v>
      </c>
      <c r="AF56" s="13">
        <f t="shared" si="8"/>
        <v>32.076000000000001</v>
      </c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</row>
    <row r="57" spans="1:49" x14ac:dyDescent="0.25">
      <c r="A57" s="13" t="s">
        <v>103</v>
      </c>
      <c r="B57" s="13" t="s">
        <v>40</v>
      </c>
      <c r="C57" s="13">
        <v>556.34900000000005</v>
      </c>
      <c r="D57" s="13">
        <v>458.18599999999998</v>
      </c>
      <c r="E57" s="13">
        <v>511.41500000000002</v>
      </c>
      <c r="F57" s="13">
        <v>473.43900000000002</v>
      </c>
      <c r="G57" s="7">
        <v>1</v>
      </c>
      <c r="H57" s="13">
        <v>45</v>
      </c>
      <c r="I57" s="13" t="s">
        <v>37</v>
      </c>
      <c r="J57" s="13"/>
      <c r="K57" s="13">
        <v>489</v>
      </c>
      <c r="L57" s="13">
        <f t="shared" si="10"/>
        <v>22.41500000000002</v>
      </c>
      <c r="M57" s="13"/>
      <c r="N57" s="13"/>
      <c r="O57" s="13">
        <v>0</v>
      </c>
      <c r="P57" s="13">
        <v>89</v>
      </c>
      <c r="Q57" s="13">
        <f t="shared" si="11"/>
        <v>102.283</v>
      </c>
      <c r="R57" s="4">
        <f t="shared" si="9"/>
        <v>869.52299999999991</v>
      </c>
      <c r="S57" s="4"/>
      <c r="T57" s="13"/>
      <c r="U57" s="13">
        <f t="shared" si="12"/>
        <v>14</v>
      </c>
      <c r="V57" s="13">
        <f t="shared" si="13"/>
        <v>5.4988512264990277</v>
      </c>
      <c r="W57" s="13">
        <v>79.399199999999993</v>
      </c>
      <c r="X57" s="13">
        <v>102.687</v>
      </c>
      <c r="Y57" s="13">
        <v>104.6752</v>
      </c>
      <c r="Z57" s="13">
        <v>99.838999999999999</v>
      </c>
      <c r="AA57" s="13">
        <v>101.7906</v>
      </c>
      <c r="AB57" s="13">
        <v>89.182400000000001</v>
      </c>
      <c r="AC57" s="13">
        <v>105.916</v>
      </c>
      <c r="AD57" s="13">
        <v>121.712</v>
      </c>
      <c r="AE57" s="13"/>
      <c r="AF57" s="13">
        <f t="shared" si="8"/>
        <v>869.52299999999991</v>
      </c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</row>
    <row r="58" spans="1:49" x14ac:dyDescent="0.25">
      <c r="A58" s="13" t="s">
        <v>104</v>
      </c>
      <c r="B58" s="13" t="s">
        <v>40</v>
      </c>
      <c r="C58" s="13">
        <v>0.92900000000000005</v>
      </c>
      <c r="D58" s="13">
        <v>23.335000000000001</v>
      </c>
      <c r="E58" s="13">
        <v>8.202</v>
      </c>
      <c r="F58" s="13">
        <v>15.635999999999999</v>
      </c>
      <c r="G58" s="7">
        <v>1</v>
      </c>
      <c r="H58" s="13">
        <v>30</v>
      </c>
      <c r="I58" s="13" t="s">
        <v>37</v>
      </c>
      <c r="J58" s="13"/>
      <c r="K58" s="13">
        <v>8.5</v>
      </c>
      <c r="L58" s="13">
        <f t="shared" si="10"/>
        <v>-0.29800000000000004</v>
      </c>
      <c r="M58" s="13"/>
      <c r="N58" s="13"/>
      <c r="O58" s="13">
        <v>24</v>
      </c>
      <c r="P58" s="13">
        <v>40</v>
      </c>
      <c r="Q58" s="13">
        <f t="shared" si="11"/>
        <v>1.6404000000000001</v>
      </c>
      <c r="R58" s="4"/>
      <c r="S58" s="4"/>
      <c r="T58" s="13"/>
      <c r="U58" s="13">
        <f t="shared" si="12"/>
        <v>48.546695927822476</v>
      </c>
      <c r="V58" s="13">
        <f t="shared" si="13"/>
        <v>48.546695927822476</v>
      </c>
      <c r="W58" s="13">
        <v>7.5049999999999999</v>
      </c>
      <c r="X58" s="13">
        <v>4.556</v>
      </c>
      <c r="Y58" s="13">
        <v>3.9491999999999998</v>
      </c>
      <c r="Z58" s="13">
        <v>6.4672000000000001</v>
      </c>
      <c r="AA58" s="13">
        <v>0</v>
      </c>
      <c r="AB58" s="13">
        <v>0</v>
      </c>
      <c r="AC58" s="13">
        <v>0</v>
      </c>
      <c r="AD58" s="13">
        <v>0</v>
      </c>
      <c r="AE58" s="13" t="s">
        <v>70</v>
      </c>
      <c r="AF58" s="13">
        <f t="shared" si="8"/>
        <v>0</v>
      </c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</row>
    <row r="59" spans="1:49" x14ac:dyDescent="0.25">
      <c r="A59" s="13" t="s">
        <v>105</v>
      </c>
      <c r="B59" s="13" t="s">
        <v>36</v>
      </c>
      <c r="C59" s="13">
        <v>30</v>
      </c>
      <c r="D59" s="13"/>
      <c r="E59" s="13">
        <v>33</v>
      </c>
      <c r="F59" s="13"/>
      <c r="G59" s="7">
        <v>0.1</v>
      </c>
      <c r="H59" s="13">
        <v>60</v>
      </c>
      <c r="I59" s="13" t="s">
        <v>37</v>
      </c>
      <c r="J59" s="13"/>
      <c r="K59" s="13">
        <v>37</v>
      </c>
      <c r="L59" s="13">
        <f t="shared" si="10"/>
        <v>-4</v>
      </c>
      <c r="M59" s="13"/>
      <c r="N59" s="13"/>
      <c r="O59" s="13">
        <v>37</v>
      </c>
      <c r="P59" s="13"/>
      <c r="Q59" s="13">
        <f t="shared" si="11"/>
        <v>6.6</v>
      </c>
      <c r="R59" s="4">
        <f t="shared" si="9"/>
        <v>55.399999999999991</v>
      </c>
      <c r="S59" s="4"/>
      <c r="T59" s="13"/>
      <c r="U59" s="13">
        <f t="shared" si="12"/>
        <v>14</v>
      </c>
      <c r="V59" s="13">
        <f t="shared" si="13"/>
        <v>5.6060606060606064</v>
      </c>
      <c r="W59" s="13">
        <v>4.8</v>
      </c>
      <c r="X59" s="13">
        <v>2</v>
      </c>
      <c r="Y59" s="13">
        <v>3.2</v>
      </c>
      <c r="Z59" s="13">
        <v>5.4</v>
      </c>
      <c r="AA59" s="13">
        <v>8.8000000000000007</v>
      </c>
      <c r="AB59" s="13">
        <v>2.4</v>
      </c>
      <c r="AC59" s="13">
        <v>3.4</v>
      </c>
      <c r="AD59" s="13">
        <v>10</v>
      </c>
      <c r="AE59" s="13"/>
      <c r="AF59" s="13">
        <f t="shared" si="8"/>
        <v>5.5399999999999991</v>
      </c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spans="1:49" x14ac:dyDescent="0.25">
      <c r="A60" s="13" t="s">
        <v>106</v>
      </c>
      <c r="B60" s="13" t="s">
        <v>36</v>
      </c>
      <c r="C60" s="13">
        <v>3</v>
      </c>
      <c r="D60" s="13">
        <v>94</v>
      </c>
      <c r="E60" s="13">
        <v>26</v>
      </c>
      <c r="F60" s="13">
        <v>56</v>
      </c>
      <c r="G60" s="7">
        <v>0.4</v>
      </c>
      <c r="H60" s="13">
        <v>45</v>
      </c>
      <c r="I60" s="13" t="s">
        <v>37</v>
      </c>
      <c r="J60" s="13"/>
      <c r="K60" s="13">
        <v>34</v>
      </c>
      <c r="L60" s="13">
        <f t="shared" si="10"/>
        <v>-8</v>
      </c>
      <c r="M60" s="13"/>
      <c r="N60" s="13"/>
      <c r="O60" s="13">
        <v>62</v>
      </c>
      <c r="P60" s="13">
        <v>32</v>
      </c>
      <c r="Q60" s="13">
        <f t="shared" si="11"/>
        <v>5.2</v>
      </c>
      <c r="R60" s="4"/>
      <c r="S60" s="4"/>
      <c r="T60" s="13"/>
      <c r="U60" s="13">
        <f t="shared" si="12"/>
        <v>28.846153846153847</v>
      </c>
      <c r="V60" s="13">
        <f t="shared" si="13"/>
        <v>28.846153846153847</v>
      </c>
      <c r="W60" s="13">
        <v>13</v>
      </c>
      <c r="X60" s="13">
        <v>10.8</v>
      </c>
      <c r="Y60" s="13">
        <v>8.4</v>
      </c>
      <c r="Z60" s="13">
        <v>7.2</v>
      </c>
      <c r="AA60" s="13">
        <v>10</v>
      </c>
      <c r="AB60" s="13">
        <v>12.2</v>
      </c>
      <c r="AC60" s="13">
        <v>10</v>
      </c>
      <c r="AD60" s="13">
        <v>7.8</v>
      </c>
      <c r="AE60" s="13"/>
      <c r="AF60" s="13">
        <f t="shared" si="8"/>
        <v>0</v>
      </c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</row>
    <row r="61" spans="1:49" x14ac:dyDescent="0.25">
      <c r="A61" s="13" t="s">
        <v>107</v>
      </c>
      <c r="B61" s="13" t="s">
        <v>40</v>
      </c>
      <c r="C61" s="13">
        <v>4.4989999999999997</v>
      </c>
      <c r="D61" s="13">
        <v>60.23</v>
      </c>
      <c r="E61" s="13">
        <v>26.56</v>
      </c>
      <c r="F61" s="13">
        <v>35.268999999999998</v>
      </c>
      <c r="G61" s="7">
        <v>1</v>
      </c>
      <c r="H61" s="13">
        <v>60</v>
      </c>
      <c r="I61" s="13" t="s">
        <v>37</v>
      </c>
      <c r="J61" s="13"/>
      <c r="K61" s="13">
        <v>26.5</v>
      </c>
      <c r="L61" s="13">
        <f t="shared" si="10"/>
        <v>5.9999999999998721E-2</v>
      </c>
      <c r="M61" s="13"/>
      <c r="N61" s="13"/>
      <c r="O61" s="13">
        <v>0</v>
      </c>
      <c r="P61" s="13"/>
      <c r="Q61" s="13">
        <f t="shared" si="11"/>
        <v>5.3119999999999994</v>
      </c>
      <c r="R61" s="4">
        <f t="shared" si="9"/>
        <v>39.098999999999997</v>
      </c>
      <c r="S61" s="4"/>
      <c r="T61" s="13"/>
      <c r="U61" s="13">
        <f t="shared" si="12"/>
        <v>14</v>
      </c>
      <c r="V61" s="13">
        <f t="shared" si="13"/>
        <v>6.6394954819277112</v>
      </c>
      <c r="W61" s="13">
        <v>3.625</v>
      </c>
      <c r="X61" s="13">
        <v>6.9370000000000003</v>
      </c>
      <c r="Y61" s="13">
        <v>4.5209999999999999</v>
      </c>
      <c r="Z61" s="13">
        <v>3.3410000000000002</v>
      </c>
      <c r="AA61" s="13">
        <v>2.927</v>
      </c>
      <c r="AB61" s="13">
        <v>6.4276</v>
      </c>
      <c r="AC61" s="13">
        <v>2.36</v>
      </c>
      <c r="AD61" s="13">
        <v>4.266</v>
      </c>
      <c r="AE61" s="13"/>
      <c r="AF61" s="13">
        <f t="shared" si="8"/>
        <v>39.098999999999997</v>
      </c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</row>
    <row r="62" spans="1:49" x14ac:dyDescent="0.25">
      <c r="A62" s="13" t="s">
        <v>108</v>
      </c>
      <c r="B62" s="13" t="s">
        <v>36</v>
      </c>
      <c r="C62" s="13"/>
      <c r="D62" s="13">
        <v>88</v>
      </c>
      <c r="E62" s="13">
        <v>35</v>
      </c>
      <c r="F62" s="13">
        <v>52</v>
      </c>
      <c r="G62" s="7">
        <v>0.25</v>
      </c>
      <c r="H62" s="13">
        <v>120</v>
      </c>
      <c r="I62" s="13" t="s">
        <v>37</v>
      </c>
      <c r="J62" s="13"/>
      <c r="K62" s="13">
        <v>35</v>
      </c>
      <c r="L62" s="13">
        <f t="shared" si="10"/>
        <v>0</v>
      </c>
      <c r="M62" s="13"/>
      <c r="N62" s="13"/>
      <c r="O62" s="13">
        <v>25</v>
      </c>
      <c r="P62" s="13"/>
      <c r="Q62" s="13">
        <f t="shared" si="11"/>
        <v>7</v>
      </c>
      <c r="R62" s="4">
        <f t="shared" si="9"/>
        <v>21</v>
      </c>
      <c r="S62" s="4"/>
      <c r="T62" s="13"/>
      <c r="U62" s="13">
        <f t="shared" si="12"/>
        <v>14</v>
      </c>
      <c r="V62" s="13">
        <f t="shared" si="13"/>
        <v>11</v>
      </c>
      <c r="W62" s="13">
        <v>8.1999999999999993</v>
      </c>
      <c r="X62" s="13">
        <v>7.2</v>
      </c>
      <c r="Y62" s="13">
        <v>5.4</v>
      </c>
      <c r="Z62" s="13">
        <v>7.6</v>
      </c>
      <c r="AA62" s="13">
        <v>2</v>
      </c>
      <c r="AB62" s="13">
        <v>7.6</v>
      </c>
      <c r="AC62" s="13">
        <v>3.8</v>
      </c>
      <c r="AD62" s="13">
        <v>3.4</v>
      </c>
      <c r="AE62" s="13" t="s">
        <v>70</v>
      </c>
      <c r="AF62" s="13">
        <f t="shared" si="8"/>
        <v>5.25</v>
      </c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</row>
    <row r="63" spans="1:49" x14ac:dyDescent="0.25">
      <c r="A63" s="13" t="s">
        <v>109</v>
      </c>
      <c r="B63" s="13" t="s">
        <v>40</v>
      </c>
      <c r="C63" s="13">
        <v>14.226000000000001</v>
      </c>
      <c r="D63" s="13">
        <v>56.545999999999999</v>
      </c>
      <c r="E63" s="13">
        <v>56.143000000000001</v>
      </c>
      <c r="F63" s="13"/>
      <c r="G63" s="7">
        <v>1</v>
      </c>
      <c r="H63" s="13">
        <v>45</v>
      </c>
      <c r="I63" s="13" t="s">
        <v>37</v>
      </c>
      <c r="J63" s="13"/>
      <c r="K63" s="13">
        <v>55.3</v>
      </c>
      <c r="L63" s="13">
        <f t="shared" si="10"/>
        <v>0.84300000000000352</v>
      </c>
      <c r="M63" s="13"/>
      <c r="N63" s="13"/>
      <c r="O63" s="13">
        <v>0</v>
      </c>
      <c r="P63" s="13"/>
      <c r="Q63" s="13">
        <f t="shared" si="11"/>
        <v>11.2286</v>
      </c>
      <c r="R63" s="4">
        <f>9*Q63-P63-O63-F63</f>
        <v>101.0574</v>
      </c>
      <c r="S63" s="4"/>
      <c r="T63" s="13"/>
      <c r="U63" s="13">
        <f t="shared" si="12"/>
        <v>9</v>
      </c>
      <c r="V63" s="13">
        <f t="shared" si="13"/>
        <v>0</v>
      </c>
      <c r="W63" s="13">
        <v>3.6217999999999999</v>
      </c>
      <c r="X63" s="13">
        <v>5.2949999999999999</v>
      </c>
      <c r="Y63" s="13">
        <v>3.6503999999999999</v>
      </c>
      <c r="Z63" s="13">
        <v>4.4521999999999986</v>
      </c>
      <c r="AA63" s="13">
        <v>5.0945999999999998</v>
      </c>
      <c r="AB63" s="13">
        <v>5.9866000000000001</v>
      </c>
      <c r="AC63" s="13">
        <v>6.0286</v>
      </c>
      <c r="AD63" s="13">
        <v>3.1646000000000001</v>
      </c>
      <c r="AE63" s="13"/>
      <c r="AF63" s="13">
        <f t="shared" si="8"/>
        <v>101.0574</v>
      </c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</row>
    <row r="64" spans="1:49" x14ac:dyDescent="0.25">
      <c r="A64" s="13" t="s">
        <v>110</v>
      </c>
      <c r="B64" s="13" t="s">
        <v>36</v>
      </c>
      <c r="C64" s="13">
        <v>1865</v>
      </c>
      <c r="D64" s="13">
        <v>33</v>
      </c>
      <c r="E64" s="20">
        <f>650+E96</f>
        <v>758</v>
      </c>
      <c r="F64" s="20">
        <f>838+F96</f>
        <v>1175</v>
      </c>
      <c r="G64" s="7">
        <v>0.41</v>
      </c>
      <c r="H64" s="13">
        <v>50</v>
      </c>
      <c r="I64" s="9" t="s">
        <v>43</v>
      </c>
      <c r="J64" s="13"/>
      <c r="K64" s="13">
        <v>682.5</v>
      </c>
      <c r="L64" s="13">
        <f t="shared" si="10"/>
        <v>75.5</v>
      </c>
      <c r="M64" s="13"/>
      <c r="N64" s="13"/>
      <c r="O64" s="13">
        <v>233</v>
      </c>
      <c r="P64" s="13">
        <v>467</v>
      </c>
      <c r="Q64" s="13">
        <f t="shared" si="11"/>
        <v>151.6</v>
      </c>
      <c r="R64" s="4">
        <f t="shared" si="9"/>
        <v>247.40000000000009</v>
      </c>
      <c r="S64" s="4"/>
      <c r="T64" s="13"/>
      <c r="U64" s="13">
        <f t="shared" si="12"/>
        <v>14.000000000000002</v>
      </c>
      <c r="V64" s="13">
        <f t="shared" si="13"/>
        <v>12.368073878627969</v>
      </c>
      <c r="W64" s="13">
        <v>337.8</v>
      </c>
      <c r="X64" s="13">
        <v>183.90880000000001</v>
      </c>
      <c r="Y64" s="13">
        <v>155.80000000000001</v>
      </c>
      <c r="Z64" s="13">
        <v>177.6</v>
      </c>
      <c r="AA64" s="13">
        <v>177.6</v>
      </c>
      <c r="AB64" s="13">
        <v>177.6</v>
      </c>
      <c r="AC64" s="13">
        <v>242.6</v>
      </c>
      <c r="AD64" s="13">
        <v>156</v>
      </c>
      <c r="AE64" s="13" t="s">
        <v>51</v>
      </c>
      <c r="AF64" s="13">
        <f t="shared" si="8"/>
        <v>101.43400000000003</v>
      </c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</row>
    <row r="65" spans="1:49" x14ac:dyDescent="0.25">
      <c r="A65" s="13" t="s">
        <v>111</v>
      </c>
      <c r="B65" s="13" t="s">
        <v>40</v>
      </c>
      <c r="C65" s="13">
        <v>415.233</v>
      </c>
      <c r="D65" s="13">
        <v>570.92600000000004</v>
      </c>
      <c r="E65" s="20">
        <f>239.998+E97</f>
        <v>401.36400000000003</v>
      </c>
      <c r="F65" s="20">
        <f>328.085+F97</f>
        <v>447.41099999999994</v>
      </c>
      <c r="G65" s="7">
        <v>1</v>
      </c>
      <c r="H65" s="13">
        <v>50</v>
      </c>
      <c r="I65" s="13" t="s">
        <v>37</v>
      </c>
      <c r="J65" s="13"/>
      <c r="K65" s="13">
        <v>261.5</v>
      </c>
      <c r="L65" s="13">
        <f t="shared" si="10"/>
        <v>139.86400000000003</v>
      </c>
      <c r="M65" s="13"/>
      <c r="N65" s="13"/>
      <c r="O65" s="13">
        <v>0</v>
      </c>
      <c r="P65" s="13"/>
      <c r="Q65" s="13">
        <f t="shared" si="11"/>
        <v>80.272800000000004</v>
      </c>
      <c r="R65" s="4">
        <f t="shared" si="9"/>
        <v>676.40820000000019</v>
      </c>
      <c r="S65" s="4"/>
      <c r="T65" s="13"/>
      <c r="U65" s="13">
        <f t="shared" si="12"/>
        <v>14.000000000000002</v>
      </c>
      <c r="V65" s="13">
        <f t="shared" si="13"/>
        <v>5.5736314168684773</v>
      </c>
      <c r="W65" s="13">
        <v>51.307200000000002</v>
      </c>
      <c r="X65" s="13">
        <v>75.458600000000004</v>
      </c>
      <c r="Y65" s="13">
        <v>74.871600000000001</v>
      </c>
      <c r="Z65" s="13">
        <v>71.828199999999995</v>
      </c>
      <c r="AA65" s="13">
        <v>71.905000000000001</v>
      </c>
      <c r="AB65" s="13">
        <v>63.412599999999998</v>
      </c>
      <c r="AC65" s="13">
        <v>62.621800000000007</v>
      </c>
      <c r="AD65" s="13">
        <v>57.442799999999998</v>
      </c>
      <c r="AE65" s="13"/>
      <c r="AF65" s="13">
        <f t="shared" si="8"/>
        <v>676.40820000000019</v>
      </c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</row>
    <row r="66" spans="1:49" x14ac:dyDescent="0.25">
      <c r="A66" s="13" t="s">
        <v>112</v>
      </c>
      <c r="B66" s="13" t="s">
        <v>36</v>
      </c>
      <c r="C66" s="13">
        <v>109</v>
      </c>
      <c r="D66" s="13">
        <v>240</v>
      </c>
      <c r="E66" s="13">
        <v>156</v>
      </c>
      <c r="F66" s="13">
        <v>188</v>
      </c>
      <c r="G66" s="7">
        <v>0.35</v>
      </c>
      <c r="H66" s="13">
        <v>50</v>
      </c>
      <c r="I66" s="13" t="s">
        <v>37</v>
      </c>
      <c r="J66" s="13"/>
      <c r="K66" s="13">
        <v>158</v>
      </c>
      <c r="L66" s="13">
        <f t="shared" si="10"/>
        <v>-2</v>
      </c>
      <c r="M66" s="13"/>
      <c r="N66" s="13"/>
      <c r="O66" s="13">
        <v>0</v>
      </c>
      <c r="P66" s="13"/>
      <c r="Q66" s="13">
        <f t="shared" si="11"/>
        <v>31.2</v>
      </c>
      <c r="R66" s="4">
        <f t="shared" si="9"/>
        <v>248.8</v>
      </c>
      <c r="S66" s="4"/>
      <c r="T66" s="13"/>
      <c r="U66" s="13">
        <f t="shared" si="12"/>
        <v>14</v>
      </c>
      <c r="V66" s="13">
        <f t="shared" si="13"/>
        <v>6.0256410256410255</v>
      </c>
      <c r="W66" s="13">
        <v>20.6</v>
      </c>
      <c r="X66" s="13">
        <v>32.799999999999997</v>
      </c>
      <c r="Y66" s="13">
        <v>25</v>
      </c>
      <c r="Z66" s="13">
        <v>16.8</v>
      </c>
      <c r="AA66" s="13">
        <v>37.200000000000003</v>
      </c>
      <c r="AB66" s="13">
        <v>18.399999999999999</v>
      </c>
      <c r="AC66" s="13">
        <v>29.8</v>
      </c>
      <c r="AD66" s="13">
        <v>32.4</v>
      </c>
      <c r="AE66" s="13"/>
      <c r="AF66" s="13">
        <f t="shared" si="8"/>
        <v>87.08</v>
      </c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</row>
    <row r="67" spans="1:49" x14ac:dyDescent="0.25">
      <c r="A67" s="13" t="s">
        <v>113</v>
      </c>
      <c r="B67" s="13" t="s">
        <v>40</v>
      </c>
      <c r="C67" s="13">
        <v>10.782</v>
      </c>
      <c r="D67" s="13">
        <v>6.1310000000000002</v>
      </c>
      <c r="E67" s="13">
        <v>4.6239999999999997</v>
      </c>
      <c r="F67" s="13">
        <v>12.289</v>
      </c>
      <c r="G67" s="7">
        <v>1</v>
      </c>
      <c r="H67" s="13">
        <v>50</v>
      </c>
      <c r="I67" s="13" t="s">
        <v>37</v>
      </c>
      <c r="J67" s="13"/>
      <c r="K67" s="13">
        <v>5</v>
      </c>
      <c r="L67" s="13">
        <f t="shared" si="10"/>
        <v>-0.37600000000000033</v>
      </c>
      <c r="M67" s="13"/>
      <c r="N67" s="13"/>
      <c r="O67" s="13">
        <v>0</v>
      </c>
      <c r="P67" s="13"/>
      <c r="Q67" s="13">
        <f t="shared" si="11"/>
        <v>0.92479999999999996</v>
      </c>
      <c r="R67" s="4"/>
      <c r="S67" s="4"/>
      <c r="T67" s="13"/>
      <c r="U67" s="13">
        <f t="shared" si="12"/>
        <v>13.288278546712803</v>
      </c>
      <c r="V67" s="13">
        <f t="shared" si="13"/>
        <v>13.288278546712803</v>
      </c>
      <c r="W67" s="13">
        <v>0.61780000000000002</v>
      </c>
      <c r="X67" s="13">
        <v>1.4388000000000001</v>
      </c>
      <c r="Y67" s="13">
        <v>-3.3000000000000002E-2</v>
      </c>
      <c r="Z67" s="13">
        <v>1.8566</v>
      </c>
      <c r="AA67" s="13">
        <v>0</v>
      </c>
      <c r="AB67" s="13">
        <v>1.8584000000000001</v>
      </c>
      <c r="AC67" s="13">
        <v>0.31240000000000001</v>
      </c>
      <c r="AD67" s="13">
        <v>0.61619999999999997</v>
      </c>
      <c r="AE67" s="14" t="s">
        <v>153</v>
      </c>
      <c r="AF67" s="13">
        <f t="shared" si="8"/>
        <v>0</v>
      </c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</row>
    <row r="68" spans="1:49" x14ac:dyDescent="0.25">
      <c r="A68" s="10" t="s">
        <v>114</v>
      </c>
      <c r="B68" s="10" t="s">
        <v>36</v>
      </c>
      <c r="C68" s="10">
        <v>-3</v>
      </c>
      <c r="D68" s="10"/>
      <c r="E68" s="20">
        <v>3</v>
      </c>
      <c r="F68" s="20">
        <v>-8</v>
      </c>
      <c r="G68" s="11">
        <v>0</v>
      </c>
      <c r="H68" s="10">
        <v>50</v>
      </c>
      <c r="I68" s="10" t="s">
        <v>61</v>
      </c>
      <c r="J68" s="10" t="s">
        <v>115</v>
      </c>
      <c r="K68" s="10">
        <v>10</v>
      </c>
      <c r="L68" s="10">
        <f t="shared" si="10"/>
        <v>-7</v>
      </c>
      <c r="M68" s="10"/>
      <c r="N68" s="10"/>
      <c r="O68" s="10">
        <v>0</v>
      </c>
      <c r="P68" s="10"/>
      <c r="Q68" s="10">
        <f t="shared" si="11"/>
        <v>0.6</v>
      </c>
      <c r="R68" s="12"/>
      <c r="S68" s="12"/>
      <c r="T68" s="10"/>
      <c r="U68" s="10">
        <f t="shared" si="12"/>
        <v>-13.333333333333334</v>
      </c>
      <c r="V68" s="10">
        <f t="shared" si="13"/>
        <v>-13.333333333333334</v>
      </c>
      <c r="W68" s="10">
        <v>1</v>
      </c>
      <c r="X68" s="10">
        <v>1.4</v>
      </c>
      <c r="Y68" s="10">
        <v>1.8</v>
      </c>
      <c r="Z68" s="10">
        <v>48.8</v>
      </c>
      <c r="AA68" s="10">
        <v>76.2</v>
      </c>
      <c r="AB68" s="10">
        <v>90.2</v>
      </c>
      <c r="AC68" s="10">
        <v>71.8</v>
      </c>
      <c r="AD68" s="10">
        <v>86.2</v>
      </c>
      <c r="AE68" s="10" t="s">
        <v>116</v>
      </c>
      <c r="AF68" s="10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</row>
    <row r="69" spans="1:49" x14ac:dyDescent="0.25">
      <c r="A69" s="13" t="s">
        <v>117</v>
      </c>
      <c r="B69" s="13" t="s">
        <v>36</v>
      </c>
      <c r="C69" s="13">
        <v>443</v>
      </c>
      <c r="D69" s="13">
        <v>663</v>
      </c>
      <c r="E69" s="13">
        <v>575</v>
      </c>
      <c r="F69" s="13">
        <v>489</v>
      </c>
      <c r="G69" s="7">
        <v>0.41</v>
      </c>
      <c r="H69" s="13">
        <v>50</v>
      </c>
      <c r="I69" s="13" t="s">
        <v>37</v>
      </c>
      <c r="J69" s="13"/>
      <c r="K69" s="13">
        <v>579.5</v>
      </c>
      <c r="L69" s="13">
        <f t="shared" si="10"/>
        <v>-4.5</v>
      </c>
      <c r="M69" s="13"/>
      <c r="N69" s="13"/>
      <c r="O69" s="13">
        <v>131</v>
      </c>
      <c r="P69" s="13">
        <v>263</v>
      </c>
      <c r="Q69" s="13">
        <f t="shared" si="11"/>
        <v>115</v>
      </c>
      <c r="R69" s="4">
        <f t="shared" ref="R69:R75" si="14">14*Q69-P69-O69-F69</f>
        <v>727</v>
      </c>
      <c r="S69" s="4"/>
      <c r="T69" s="13"/>
      <c r="U69" s="13">
        <f t="shared" si="12"/>
        <v>14</v>
      </c>
      <c r="V69" s="13">
        <f t="shared" si="13"/>
        <v>7.678260869565217</v>
      </c>
      <c r="W69" s="13">
        <v>107.6</v>
      </c>
      <c r="X69" s="13">
        <v>118.2</v>
      </c>
      <c r="Y69" s="13">
        <v>109.4</v>
      </c>
      <c r="Z69" s="13">
        <v>116.8</v>
      </c>
      <c r="AA69" s="13">
        <v>138</v>
      </c>
      <c r="AB69" s="13">
        <v>138.80000000000001</v>
      </c>
      <c r="AC69" s="13">
        <v>103</v>
      </c>
      <c r="AD69" s="13">
        <v>108.2</v>
      </c>
      <c r="AE69" s="13" t="s">
        <v>51</v>
      </c>
      <c r="AF69" s="13">
        <f t="shared" ref="AF69:AF75" si="15">G69*R69</f>
        <v>298.07</v>
      </c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</row>
    <row r="70" spans="1:49" x14ac:dyDescent="0.25">
      <c r="A70" s="13" t="s">
        <v>118</v>
      </c>
      <c r="B70" s="13" t="s">
        <v>40</v>
      </c>
      <c r="C70" s="13">
        <v>262.476</v>
      </c>
      <c r="D70" s="13">
        <v>190.46</v>
      </c>
      <c r="E70" s="13">
        <v>206.351</v>
      </c>
      <c r="F70" s="13">
        <v>221.86099999999999</v>
      </c>
      <c r="G70" s="7">
        <v>1</v>
      </c>
      <c r="H70" s="13">
        <v>50</v>
      </c>
      <c r="I70" s="13" t="s">
        <v>37</v>
      </c>
      <c r="J70" s="13"/>
      <c r="K70" s="13">
        <v>203.5</v>
      </c>
      <c r="L70" s="13">
        <f t="shared" ref="L70:L101" si="16">E70-K70</f>
        <v>2.8509999999999991</v>
      </c>
      <c r="M70" s="13"/>
      <c r="N70" s="13"/>
      <c r="O70" s="13">
        <v>0</v>
      </c>
      <c r="P70" s="13"/>
      <c r="Q70" s="13">
        <f t="shared" ref="Q70:Q97" si="17">E70/5</f>
        <v>41.270200000000003</v>
      </c>
      <c r="R70" s="4">
        <f t="shared" si="14"/>
        <v>355.92180000000008</v>
      </c>
      <c r="S70" s="4"/>
      <c r="T70" s="13"/>
      <c r="U70" s="13">
        <f t="shared" ref="U70:U97" si="18">(F70+O70+P70+R70)/Q70</f>
        <v>14</v>
      </c>
      <c r="V70" s="13">
        <f t="shared" ref="V70:V97" si="19">(F70+O70+P70)/Q70</f>
        <v>5.3758159640612346</v>
      </c>
      <c r="W70" s="13">
        <v>25.744800000000001</v>
      </c>
      <c r="X70" s="13">
        <v>41.082799999999999</v>
      </c>
      <c r="Y70" s="13">
        <v>41.4758</v>
      </c>
      <c r="Z70" s="13">
        <v>34.020000000000003</v>
      </c>
      <c r="AA70" s="13">
        <v>40.653399999999998</v>
      </c>
      <c r="AB70" s="13">
        <v>36.0914</v>
      </c>
      <c r="AC70" s="13">
        <v>36.638599999999997</v>
      </c>
      <c r="AD70" s="13">
        <v>33.515000000000001</v>
      </c>
      <c r="AE70" s="13"/>
      <c r="AF70" s="13">
        <f t="shared" si="15"/>
        <v>355.92180000000008</v>
      </c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</row>
    <row r="71" spans="1:49" x14ac:dyDescent="0.25">
      <c r="A71" s="13" t="s">
        <v>119</v>
      </c>
      <c r="B71" s="13" t="s">
        <v>36</v>
      </c>
      <c r="C71" s="13"/>
      <c r="D71" s="13">
        <v>296</v>
      </c>
      <c r="E71" s="13">
        <v>105</v>
      </c>
      <c r="F71" s="13">
        <v>180</v>
      </c>
      <c r="G71" s="7">
        <v>0.3</v>
      </c>
      <c r="H71" s="13">
        <v>50</v>
      </c>
      <c r="I71" s="13" t="s">
        <v>37</v>
      </c>
      <c r="J71" s="13"/>
      <c r="K71" s="13">
        <v>112</v>
      </c>
      <c r="L71" s="13">
        <f t="shared" si="16"/>
        <v>-7</v>
      </c>
      <c r="M71" s="13"/>
      <c r="N71" s="13"/>
      <c r="O71" s="13">
        <v>0</v>
      </c>
      <c r="P71" s="13"/>
      <c r="Q71" s="13">
        <f t="shared" si="17"/>
        <v>21</v>
      </c>
      <c r="R71" s="4">
        <f t="shared" si="14"/>
        <v>114</v>
      </c>
      <c r="S71" s="4"/>
      <c r="T71" s="13"/>
      <c r="U71" s="13">
        <f t="shared" si="18"/>
        <v>14</v>
      </c>
      <c r="V71" s="13">
        <f t="shared" si="19"/>
        <v>8.5714285714285712</v>
      </c>
      <c r="W71" s="13">
        <v>14</v>
      </c>
      <c r="X71" s="13">
        <v>31</v>
      </c>
      <c r="Y71" s="13">
        <v>14.6</v>
      </c>
      <c r="Z71" s="13">
        <v>15.6</v>
      </c>
      <c r="AA71" s="13">
        <v>27.8</v>
      </c>
      <c r="AB71" s="13">
        <v>37.4</v>
      </c>
      <c r="AC71" s="13">
        <v>24.6</v>
      </c>
      <c r="AD71" s="13">
        <v>21.6</v>
      </c>
      <c r="AE71" s="13"/>
      <c r="AF71" s="13">
        <f t="shared" si="15"/>
        <v>34.199999999999996</v>
      </c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</row>
    <row r="72" spans="1:49" x14ac:dyDescent="0.25">
      <c r="A72" s="13" t="s">
        <v>120</v>
      </c>
      <c r="B72" s="13" t="s">
        <v>36</v>
      </c>
      <c r="C72" s="13">
        <v>41</v>
      </c>
      <c r="D72" s="13">
        <v>30</v>
      </c>
      <c r="E72" s="13">
        <v>52</v>
      </c>
      <c r="F72" s="13">
        <v>16</v>
      </c>
      <c r="G72" s="7">
        <v>0.14000000000000001</v>
      </c>
      <c r="H72" s="13">
        <v>50</v>
      </c>
      <c r="I72" s="13" t="s">
        <v>37</v>
      </c>
      <c r="J72" s="13"/>
      <c r="K72" s="13">
        <v>54</v>
      </c>
      <c r="L72" s="13">
        <f t="shared" si="16"/>
        <v>-2</v>
      </c>
      <c r="M72" s="13"/>
      <c r="N72" s="13"/>
      <c r="O72" s="13">
        <v>9</v>
      </c>
      <c r="P72" s="13"/>
      <c r="Q72" s="13">
        <f t="shared" si="17"/>
        <v>10.4</v>
      </c>
      <c r="R72" s="4">
        <f>11*Q72-P72-O72-F72</f>
        <v>89.4</v>
      </c>
      <c r="S72" s="4"/>
      <c r="T72" s="13"/>
      <c r="U72" s="13">
        <f t="shared" si="18"/>
        <v>11</v>
      </c>
      <c r="V72" s="13">
        <f t="shared" si="19"/>
        <v>2.4038461538461537</v>
      </c>
      <c r="W72" s="13">
        <v>5.8</v>
      </c>
      <c r="X72" s="13">
        <v>6.8</v>
      </c>
      <c r="Y72" s="13">
        <v>8.1999999999999993</v>
      </c>
      <c r="Z72" s="13">
        <v>5.2</v>
      </c>
      <c r="AA72" s="13">
        <v>6.2</v>
      </c>
      <c r="AB72" s="13">
        <v>8.8000000000000007</v>
      </c>
      <c r="AC72" s="13">
        <v>5.8</v>
      </c>
      <c r="AD72" s="13">
        <v>9.8000000000000007</v>
      </c>
      <c r="AE72" s="13"/>
      <c r="AF72" s="13">
        <f t="shared" si="15"/>
        <v>12.516000000000002</v>
      </c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r="73" spans="1:49" x14ac:dyDescent="0.25">
      <c r="A73" s="13" t="s">
        <v>121</v>
      </c>
      <c r="B73" s="13" t="s">
        <v>36</v>
      </c>
      <c r="C73" s="13">
        <v>126</v>
      </c>
      <c r="D73" s="13">
        <v>140</v>
      </c>
      <c r="E73" s="13">
        <v>178</v>
      </c>
      <c r="F73" s="13">
        <v>84</v>
      </c>
      <c r="G73" s="7">
        <v>0.18</v>
      </c>
      <c r="H73" s="13">
        <v>50</v>
      </c>
      <c r="I73" s="13" t="s">
        <v>37</v>
      </c>
      <c r="J73" s="13"/>
      <c r="K73" s="13">
        <v>184</v>
      </c>
      <c r="L73" s="13">
        <f t="shared" si="16"/>
        <v>-6</v>
      </c>
      <c r="M73" s="13"/>
      <c r="N73" s="13"/>
      <c r="O73" s="13">
        <v>79</v>
      </c>
      <c r="P73" s="13">
        <v>159</v>
      </c>
      <c r="Q73" s="13">
        <f t="shared" si="17"/>
        <v>35.6</v>
      </c>
      <c r="R73" s="4">
        <f t="shared" si="14"/>
        <v>176.40000000000003</v>
      </c>
      <c r="S73" s="4"/>
      <c r="T73" s="13"/>
      <c r="U73" s="13">
        <f t="shared" si="18"/>
        <v>14</v>
      </c>
      <c r="V73" s="13">
        <f t="shared" si="19"/>
        <v>9.0449438202247183</v>
      </c>
      <c r="W73" s="13">
        <v>37</v>
      </c>
      <c r="X73" s="13">
        <v>34.799999999999997</v>
      </c>
      <c r="Y73" s="13">
        <v>37.200000000000003</v>
      </c>
      <c r="Z73" s="13">
        <v>33</v>
      </c>
      <c r="AA73" s="13">
        <v>43.2</v>
      </c>
      <c r="AB73" s="13">
        <v>49.4</v>
      </c>
      <c r="AC73" s="13">
        <v>47</v>
      </c>
      <c r="AD73" s="13">
        <v>32</v>
      </c>
      <c r="AE73" s="13" t="s">
        <v>51</v>
      </c>
      <c r="AF73" s="13">
        <f t="shared" si="15"/>
        <v>31.752000000000006</v>
      </c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</row>
    <row r="74" spans="1:49" x14ac:dyDescent="0.25">
      <c r="A74" s="13" t="s">
        <v>122</v>
      </c>
      <c r="B74" s="13" t="s">
        <v>40</v>
      </c>
      <c r="C74" s="13">
        <v>14.417</v>
      </c>
      <c r="D74" s="13">
        <v>10.268000000000001</v>
      </c>
      <c r="E74" s="13">
        <v>17.024000000000001</v>
      </c>
      <c r="F74" s="13">
        <v>7.6609999999999996</v>
      </c>
      <c r="G74" s="7">
        <v>1</v>
      </c>
      <c r="H74" s="13">
        <v>45</v>
      </c>
      <c r="I74" s="13" t="s">
        <v>37</v>
      </c>
      <c r="J74" s="13"/>
      <c r="K74" s="13">
        <v>15.88</v>
      </c>
      <c r="L74" s="13">
        <f t="shared" si="16"/>
        <v>1.1440000000000001</v>
      </c>
      <c r="M74" s="13"/>
      <c r="N74" s="13"/>
      <c r="O74" s="13">
        <v>0</v>
      </c>
      <c r="P74" s="13"/>
      <c r="Q74" s="13">
        <f t="shared" si="17"/>
        <v>3.4048000000000003</v>
      </c>
      <c r="R74" s="4">
        <f>11*Q74-P74-O74-F74</f>
        <v>29.791800000000002</v>
      </c>
      <c r="S74" s="4"/>
      <c r="T74" s="13"/>
      <c r="U74" s="13">
        <f t="shared" si="18"/>
        <v>11</v>
      </c>
      <c r="V74" s="13">
        <f t="shared" si="19"/>
        <v>2.2500587406015033</v>
      </c>
      <c r="W74" s="13">
        <v>1.1941999999999999</v>
      </c>
      <c r="X74" s="13">
        <v>1.552</v>
      </c>
      <c r="Y74" s="13">
        <v>2.5649999999999999</v>
      </c>
      <c r="Z74" s="13">
        <v>0</v>
      </c>
      <c r="AA74" s="13">
        <v>2.0424000000000002</v>
      </c>
      <c r="AB74" s="13">
        <v>0</v>
      </c>
      <c r="AC74" s="13">
        <v>0.68280000000000007</v>
      </c>
      <c r="AD74" s="13">
        <v>0.3422</v>
      </c>
      <c r="AE74" s="13"/>
      <c r="AF74" s="13">
        <f t="shared" si="15"/>
        <v>29.791800000000002</v>
      </c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</row>
    <row r="75" spans="1:49" x14ac:dyDescent="0.25">
      <c r="A75" s="13" t="s">
        <v>123</v>
      </c>
      <c r="B75" s="13" t="s">
        <v>36</v>
      </c>
      <c r="C75" s="13"/>
      <c r="D75" s="13"/>
      <c r="E75" s="13">
        <v>-1</v>
      </c>
      <c r="F75" s="13"/>
      <c r="G75" s="7">
        <v>0.22</v>
      </c>
      <c r="H75" s="13">
        <v>120</v>
      </c>
      <c r="I75" s="13" t="s">
        <v>37</v>
      </c>
      <c r="J75" s="13"/>
      <c r="K75" s="13"/>
      <c r="L75" s="13">
        <f t="shared" si="16"/>
        <v>-1</v>
      </c>
      <c r="M75" s="13"/>
      <c r="N75" s="13"/>
      <c r="O75" s="13">
        <v>8</v>
      </c>
      <c r="P75" s="13"/>
      <c r="Q75" s="13">
        <f t="shared" si="17"/>
        <v>-0.2</v>
      </c>
      <c r="R75" s="4">
        <v>16</v>
      </c>
      <c r="S75" s="4"/>
      <c r="T75" s="13"/>
      <c r="U75" s="13">
        <f t="shared" si="18"/>
        <v>-120</v>
      </c>
      <c r="V75" s="13">
        <f t="shared" si="19"/>
        <v>-40</v>
      </c>
      <c r="W75" s="13">
        <v>-0.2</v>
      </c>
      <c r="X75" s="13">
        <v>1.2</v>
      </c>
      <c r="Y75" s="13">
        <v>2</v>
      </c>
      <c r="Z75" s="13">
        <v>1</v>
      </c>
      <c r="AA75" s="13">
        <v>1.8</v>
      </c>
      <c r="AB75" s="13">
        <v>0</v>
      </c>
      <c r="AC75" s="13">
        <v>0</v>
      </c>
      <c r="AD75" s="13">
        <v>1.2</v>
      </c>
      <c r="AE75" s="19" t="s">
        <v>124</v>
      </c>
      <c r="AF75" s="13">
        <f t="shared" si="15"/>
        <v>3.52</v>
      </c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</row>
    <row r="76" spans="1:49" x14ac:dyDescent="0.25">
      <c r="A76" s="16" t="s">
        <v>125</v>
      </c>
      <c r="B76" s="16" t="s">
        <v>36</v>
      </c>
      <c r="C76" s="16"/>
      <c r="D76" s="16"/>
      <c r="E76" s="16"/>
      <c r="F76" s="16"/>
      <c r="G76" s="17">
        <v>0</v>
      </c>
      <c r="H76" s="16">
        <v>50</v>
      </c>
      <c r="I76" s="16" t="s">
        <v>37</v>
      </c>
      <c r="J76" s="16"/>
      <c r="K76" s="16"/>
      <c r="L76" s="16">
        <f t="shared" si="16"/>
        <v>0</v>
      </c>
      <c r="M76" s="16"/>
      <c r="N76" s="16"/>
      <c r="O76" s="16">
        <v>0</v>
      </c>
      <c r="P76" s="16"/>
      <c r="Q76" s="16">
        <f t="shared" si="17"/>
        <v>0</v>
      </c>
      <c r="R76" s="18"/>
      <c r="S76" s="18"/>
      <c r="T76" s="16"/>
      <c r="U76" s="16" t="e">
        <f t="shared" si="18"/>
        <v>#DIV/0!</v>
      </c>
      <c r="V76" s="16" t="e">
        <f t="shared" si="19"/>
        <v>#DIV/0!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 t="s">
        <v>126</v>
      </c>
      <c r="AF76" s="16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</row>
    <row r="77" spans="1:49" x14ac:dyDescent="0.25">
      <c r="A77" s="13" t="s">
        <v>127</v>
      </c>
      <c r="B77" s="13" t="s">
        <v>36</v>
      </c>
      <c r="C77" s="13">
        <v>263</v>
      </c>
      <c r="D77" s="13">
        <v>371</v>
      </c>
      <c r="E77" s="13">
        <v>414</v>
      </c>
      <c r="F77" s="13">
        <v>205</v>
      </c>
      <c r="G77" s="7">
        <v>0.35</v>
      </c>
      <c r="H77" s="13">
        <v>50</v>
      </c>
      <c r="I77" s="9" t="s">
        <v>43</v>
      </c>
      <c r="J77" s="13"/>
      <c r="K77" s="13">
        <v>422</v>
      </c>
      <c r="L77" s="13">
        <f t="shared" si="16"/>
        <v>-8</v>
      </c>
      <c r="M77" s="13"/>
      <c r="N77" s="13"/>
      <c r="O77" s="13">
        <v>171</v>
      </c>
      <c r="P77" s="13">
        <v>343</v>
      </c>
      <c r="Q77" s="13">
        <f t="shared" si="17"/>
        <v>82.8</v>
      </c>
      <c r="R77" s="4">
        <f t="shared" ref="R77:R78" si="20">14*Q77-P77-O77-F77</f>
        <v>440.20000000000005</v>
      </c>
      <c r="S77" s="4"/>
      <c r="T77" s="13"/>
      <c r="U77" s="13">
        <f t="shared" si="18"/>
        <v>14.000000000000002</v>
      </c>
      <c r="V77" s="13">
        <f t="shared" si="19"/>
        <v>8.683574879227054</v>
      </c>
      <c r="W77" s="13">
        <v>82</v>
      </c>
      <c r="X77" s="13">
        <v>73.599999999999994</v>
      </c>
      <c r="Y77" s="13">
        <v>70.599999999999994</v>
      </c>
      <c r="Z77" s="13">
        <v>66.400000000000006</v>
      </c>
      <c r="AA77" s="13">
        <v>140.80000000000001</v>
      </c>
      <c r="AB77" s="13">
        <v>159.80000000000001</v>
      </c>
      <c r="AC77" s="13">
        <v>186.6</v>
      </c>
      <c r="AD77" s="13">
        <v>96.4</v>
      </c>
      <c r="AE77" s="13" t="s">
        <v>38</v>
      </c>
      <c r="AF77" s="13">
        <f>G77*R77</f>
        <v>154.07</v>
      </c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</row>
    <row r="78" spans="1:49" x14ac:dyDescent="0.25">
      <c r="A78" s="13" t="s">
        <v>128</v>
      </c>
      <c r="B78" s="13" t="s">
        <v>40</v>
      </c>
      <c r="C78" s="13">
        <v>61.679000000000002</v>
      </c>
      <c r="D78" s="13"/>
      <c r="E78" s="13">
        <v>40.024000000000001</v>
      </c>
      <c r="F78" s="13">
        <v>21.655000000000001</v>
      </c>
      <c r="G78" s="7">
        <v>1</v>
      </c>
      <c r="H78" s="13">
        <v>50</v>
      </c>
      <c r="I78" s="13" t="s">
        <v>37</v>
      </c>
      <c r="J78" s="13"/>
      <c r="K78" s="13">
        <v>40.200000000000003</v>
      </c>
      <c r="L78" s="13">
        <f t="shared" si="16"/>
        <v>-0.17600000000000193</v>
      </c>
      <c r="M78" s="13"/>
      <c r="N78" s="13"/>
      <c r="O78" s="13">
        <v>0</v>
      </c>
      <c r="P78" s="13"/>
      <c r="Q78" s="13">
        <f t="shared" si="17"/>
        <v>8.0047999999999995</v>
      </c>
      <c r="R78" s="4">
        <f>12*Q78-P78-O78-F78</f>
        <v>74.402599999999993</v>
      </c>
      <c r="S78" s="4"/>
      <c r="T78" s="13"/>
      <c r="U78" s="13">
        <f t="shared" si="18"/>
        <v>12</v>
      </c>
      <c r="V78" s="13">
        <f t="shared" si="19"/>
        <v>2.7052518488906658</v>
      </c>
      <c r="W78" s="13">
        <v>3.9350000000000001</v>
      </c>
      <c r="X78" s="13">
        <v>1.6963999999999999</v>
      </c>
      <c r="Y78" s="13">
        <v>2.6665999999999999</v>
      </c>
      <c r="Z78" s="13">
        <v>5.9481999999999999</v>
      </c>
      <c r="AA78" s="13">
        <v>0</v>
      </c>
      <c r="AB78" s="13">
        <v>3.3163999999999998</v>
      </c>
      <c r="AC78" s="13">
        <v>0.69779999999999998</v>
      </c>
      <c r="AD78" s="13">
        <v>1.5680000000000001</v>
      </c>
      <c r="AE78" s="13"/>
      <c r="AF78" s="13">
        <f>G78*R78</f>
        <v>74.402599999999993</v>
      </c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</row>
    <row r="79" spans="1:49" x14ac:dyDescent="0.25">
      <c r="A79" s="10" t="s">
        <v>129</v>
      </c>
      <c r="B79" s="10" t="s">
        <v>36</v>
      </c>
      <c r="C79" s="10">
        <v>14</v>
      </c>
      <c r="D79" s="10"/>
      <c r="E79" s="10"/>
      <c r="F79" s="10">
        <v>14</v>
      </c>
      <c r="G79" s="11">
        <v>0</v>
      </c>
      <c r="H79" s="10" t="e">
        <v>#N/A</v>
      </c>
      <c r="I79" s="10" t="s">
        <v>61</v>
      </c>
      <c r="J79" s="10"/>
      <c r="K79" s="10">
        <v>2</v>
      </c>
      <c r="L79" s="10">
        <f t="shared" si="16"/>
        <v>-2</v>
      </c>
      <c r="M79" s="10"/>
      <c r="N79" s="10"/>
      <c r="O79" s="10">
        <v>0</v>
      </c>
      <c r="P79" s="10"/>
      <c r="Q79" s="10">
        <f t="shared" si="17"/>
        <v>0</v>
      </c>
      <c r="R79" s="12"/>
      <c r="S79" s="12"/>
      <c r="T79" s="10"/>
      <c r="U79" s="10" t="e">
        <f t="shared" si="18"/>
        <v>#DIV/0!</v>
      </c>
      <c r="V79" s="10" t="e">
        <f t="shared" si="19"/>
        <v>#DIV/0!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 t="s">
        <v>130</v>
      </c>
      <c r="AF79" s="10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</row>
    <row r="80" spans="1:49" x14ac:dyDescent="0.25">
      <c r="A80" s="13" t="s">
        <v>131</v>
      </c>
      <c r="B80" s="13" t="s">
        <v>40</v>
      </c>
      <c r="C80" s="13">
        <v>261.09199999999998</v>
      </c>
      <c r="D80" s="13">
        <v>670.02800000000002</v>
      </c>
      <c r="E80" s="13">
        <v>327.81799999999998</v>
      </c>
      <c r="F80" s="13">
        <v>557.71699999999998</v>
      </c>
      <c r="G80" s="7">
        <v>1</v>
      </c>
      <c r="H80" s="13">
        <v>50</v>
      </c>
      <c r="I80" s="13" t="s">
        <v>37</v>
      </c>
      <c r="J80" s="13"/>
      <c r="K80" s="13">
        <v>356.7</v>
      </c>
      <c r="L80" s="13">
        <f t="shared" si="16"/>
        <v>-28.882000000000005</v>
      </c>
      <c r="M80" s="13"/>
      <c r="N80" s="13"/>
      <c r="O80" s="13">
        <v>0</v>
      </c>
      <c r="P80" s="13"/>
      <c r="Q80" s="13">
        <f t="shared" si="17"/>
        <v>65.563599999999994</v>
      </c>
      <c r="R80" s="4">
        <f t="shared" ref="R80:R95" si="21">14*Q80-P80-O80-F80</f>
        <v>360.1733999999999</v>
      </c>
      <c r="S80" s="4"/>
      <c r="T80" s="13"/>
      <c r="U80" s="13">
        <f t="shared" si="18"/>
        <v>14</v>
      </c>
      <c r="V80" s="13">
        <f t="shared" si="19"/>
        <v>8.5065036087097106</v>
      </c>
      <c r="W80" s="13">
        <v>51.511800000000008</v>
      </c>
      <c r="X80" s="13">
        <v>78.689599999999999</v>
      </c>
      <c r="Y80" s="13">
        <v>61.767200000000003</v>
      </c>
      <c r="Z80" s="13">
        <v>67.259</v>
      </c>
      <c r="AA80" s="13">
        <v>53.638399999999997</v>
      </c>
      <c r="AB80" s="13">
        <v>65.921000000000006</v>
      </c>
      <c r="AC80" s="13">
        <v>59.848599999999998</v>
      </c>
      <c r="AD80" s="13">
        <v>57.800600000000003</v>
      </c>
      <c r="AE80" s="13"/>
      <c r="AF80" s="13">
        <f t="shared" ref="AF80:AF95" si="22">G80*R80</f>
        <v>360.1733999999999</v>
      </c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</row>
    <row r="81" spans="1:49" x14ac:dyDescent="0.25">
      <c r="A81" s="13" t="s">
        <v>132</v>
      </c>
      <c r="B81" s="13" t="s">
        <v>36</v>
      </c>
      <c r="C81" s="13">
        <v>-17</v>
      </c>
      <c r="D81" s="13">
        <v>676</v>
      </c>
      <c r="E81" s="13">
        <v>708</v>
      </c>
      <c r="F81" s="13">
        <v>-79</v>
      </c>
      <c r="G81" s="7">
        <v>0.35</v>
      </c>
      <c r="H81" s="13">
        <v>50</v>
      </c>
      <c r="I81" s="9" t="s">
        <v>43</v>
      </c>
      <c r="J81" s="13"/>
      <c r="K81" s="13">
        <v>887</v>
      </c>
      <c r="L81" s="13">
        <f t="shared" si="16"/>
        <v>-179</v>
      </c>
      <c r="M81" s="13"/>
      <c r="N81" s="13"/>
      <c r="O81" s="13">
        <v>2500</v>
      </c>
      <c r="P81" s="13"/>
      <c r="Q81" s="13">
        <f t="shared" si="17"/>
        <v>141.6</v>
      </c>
      <c r="R81" s="4"/>
      <c r="S81" s="4"/>
      <c r="T81" s="13"/>
      <c r="U81" s="13">
        <f t="shared" si="18"/>
        <v>17.097457627118644</v>
      </c>
      <c r="V81" s="13">
        <f t="shared" si="19"/>
        <v>17.097457627118644</v>
      </c>
      <c r="W81" s="13">
        <v>249.4</v>
      </c>
      <c r="X81" s="13">
        <v>137.4</v>
      </c>
      <c r="Y81" s="13">
        <v>136.80000000000001</v>
      </c>
      <c r="Z81" s="13">
        <v>158</v>
      </c>
      <c r="AA81" s="13">
        <v>144.19999999999999</v>
      </c>
      <c r="AB81" s="13">
        <v>141.4</v>
      </c>
      <c r="AC81" s="13">
        <v>127.4</v>
      </c>
      <c r="AD81" s="13">
        <v>112.6</v>
      </c>
      <c r="AE81" s="13"/>
      <c r="AF81" s="13">
        <f t="shared" si="22"/>
        <v>0</v>
      </c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</row>
    <row r="82" spans="1:49" x14ac:dyDescent="0.25">
      <c r="A82" s="13" t="s">
        <v>133</v>
      </c>
      <c r="B82" s="13" t="s">
        <v>36</v>
      </c>
      <c r="C82" s="13">
        <v>5</v>
      </c>
      <c r="D82" s="13">
        <v>6</v>
      </c>
      <c r="E82" s="13">
        <v>11</v>
      </c>
      <c r="F82" s="13"/>
      <c r="G82" s="7">
        <v>0.3</v>
      </c>
      <c r="H82" s="13">
        <v>50</v>
      </c>
      <c r="I82" s="13" t="s">
        <v>37</v>
      </c>
      <c r="J82" s="13"/>
      <c r="K82" s="13">
        <v>14</v>
      </c>
      <c r="L82" s="13">
        <f t="shared" si="16"/>
        <v>-3</v>
      </c>
      <c r="M82" s="13"/>
      <c r="N82" s="13"/>
      <c r="O82" s="13">
        <v>10</v>
      </c>
      <c r="P82" s="13"/>
      <c r="Q82" s="13">
        <f t="shared" si="17"/>
        <v>2.2000000000000002</v>
      </c>
      <c r="R82" s="4">
        <f t="shared" si="21"/>
        <v>20.800000000000004</v>
      </c>
      <c r="S82" s="4"/>
      <c r="T82" s="13"/>
      <c r="U82" s="13">
        <f t="shared" si="18"/>
        <v>14</v>
      </c>
      <c r="V82" s="13">
        <f t="shared" si="19"/>
        <v>4.545454545454545</v>
      </c>
      <c r="W82" s="13">
        <v>1.8</v>
      </c>
      <c r="X82" s="13">
        <v>1.8</v>
      </c>
      <c r="Y82" s="13">
        <v>0.6</v>
      </c>
      <c r="Z82" s="13">
        <v>2</v>
      </c>
      <c r="AA82" s="13">
        <v>1</v>
      </c>
      <c r="AB82" s="13">
        <v>1.8</v>
      </c>
      <c r="AC82" s="13">
        <v>2</v>
      </c>
      <c r="AD82" s="13">
        <v>0</v>
      </c>
      <c r="AE82" s="13"/>
      <c r="AF82" s="13">
        <f t="shared" si="22"/>
        <v>6.2400000000000011</v>
      </c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</row>
    <row r="83" spans="1:49" x14ac:dyDescent="0.25">
      <c r="A83" s="13" t="s">
        <v>134</v>
      </c>
      <c r="B83" s="13" t="s">
        <v>36</v>
      </c>
      <c r="C83" s="13">
        <v>8</v>
      </c>
      <c r="D83" s="13">
        <v>24</v>
      </c>
      <c r="E83" s="13">
        <v>32</v>
      </c>
      <c r="F83" s="13"/>
      <c r="G83" s="7">
        <v>0.3</v>
      </c>
      <c r="H83" s="13">
        <v>60</v>
      </c>
      <c r="I83" s="13" t="s">
        <v>37</v>
      </c>
      <c r="J83" s="13"/>
      <c r="K83" s="13">
        <v>33</v>
      </c>
      <c r="L83" s="13">
        <f t="shared" si="16"/>
        <v>-1</v>
      </c>
      <c r="M83" s="13"/>
      <c r="N83" s="13"/>
      <c r="O83" s="13">
        <v>44</v>
      </c>
      <c r="P83" s="13">
        <v>24</v>
      </c>
      <c r="Q83" s="13">
        <f t="shared" si="17"/>
        <v>6.4</v>
      </c>
      <c r="R83" s="4">
        <f t="shared" si="21"/>
        <v>21.600000000000009</v>
      </c>
      <c r="S83" s="4"/>
      <c r="T83" s="13"/>
      <c r="U83" s="13">
        <f t="shared" si="18"/>
        <v>14</v>
      </c>
      <c r="V83" s="13">
        <f t="shared" si="19"/>
        <v>10.625</v>
      </c>
      <c r="W83" s="13">
        <v>7.6</v>
      </c>
      <c r="X83" s="13">
        <v>5.4</v>
      </c>
      <c r="Y83" s="13">
        <v>3.4</v>
      </c>
      <c r="Z83" s="13">
        <v>7.6</v>
      </c>
      <c r="AA83" s="13">
        <v>4.2</v>
      </c>
      <c r="AB83" s="13">
        <v>2.2000000000000002</v>
      </c>
      <c r="AC83" s="13">
        <v>3.4</v>
      </c>
      <c r="AD83" s="13">
        <v>4.2</v>
      </c>
      <c r="AE83" s="13"/>
      <c r="AF83" s="13">
        <f t="shared" si="22"/>
        <v>6.4800000000000022</v>
      </c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</row>
    <row r="84" spans="1:49" x14ac:dyDescent="0.25">
      <c r="A84" s="13" t="s">
        <v>135</v>
      </c>
      <c r="B84" s="13" t="s">
        <v>36</v>
      </c>
      <c r="C84" s="13">
        <v>51</v>
      </c>
      <c r="D84" s="13">
        <v>153</v>
      </c>
      <c r="E84" s="13">
        <v>124</v>
      </c>
      <c r="F84" s="13">
        <v>73</v>
      </c>
      <c r="G84" s="7">
        <v>0.28000000000000003</v>
      </c>
      <c r="H84" s="13">
        <v>50</v>
      </c>
      <c r="I84" s="13" t="s">
        <v>37</v>
      </c>
      <c r="J84" s="13"/>
      <c r="K84" s="13">
        <v>131</v>
      </c>
      <c r="L84" s="13">
        <f t="shared" si="16"/>
        <v>-7</v>
      </c>
      <c r="M84" s="13"/>
      <c r="N84" s="13"/>
      <c r="O84" s="13">
        <v>26</v>
      </c>
      <c r="P84" s="13">
        <v>52</v>
      </c>
      <c r="Q84" s="13">
        <f t="shared" si="17"/>
        <v>24.8</v>
      </c>
      <c r="R84" s="4">
        <f t="shared" si="21"/>
        <v>196.2</v>
      </c>
      <c r="S84" s="4"/>
      <c r="T84" s="13"/>
      <c r="U84" s="13">
        <f t="shared" si="18"/>
        <v>14</v>
      </c>
      <c r="V84" s="13">
        <f t="shared" si="19"/>
        <v>6.088709677419355</v>
      </c>
      <c r="W84" s="13">
        <v>20.399999999999999</v>
      </c>
      <c r="X84" s="13">
        <v>22.2</v>
      </c>
      <c r="Y84" s="13">
        <v>18.8</v>
      </c>
      <c r="Z84" s="13">
        <v>15.2</v>
      </c>
      <c r="AA84" s="13">
        <v>24.6</v>
      </c>
      <c r="AB84" s="13">
        <v>31</v>
      </c>
      <c r="AC84" s="13">
        <v>19.2</v>
      </c>
      <c r="AD84" s="13">
        <v>22</v>
      </c>
      <c r="AE84" s="13" t="s">
        <v>51</v>
      </c>
      <c r="AF84" s="13">
        <f t="shared" si="22"/>
        <v>54.936</v>
      </c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</row>
    <row r="85" spans="1:49" x14ac:dyDescent="0.25">
      <c r="A85" s="13" t="s">
        <v>136</v>
      </c>
      <c r="B85" s="13" t="s">
        <v>36</v>
      </c>
      <c r="C85" s="13">
        <v>229</v>
      </c>
      <c r="D85" s="13">
        <v>220</v>
      </c>
      <c r="E85" s="13">
        <v>317</v>
      </c>
      <c r="F85" s="13">
        <v>111</v>
      </c>
      <c r="G85" s="7">
        <v>0.28000000000000003</v>
      </c>
      <c r="H85" s="13">
        <v>45</v>
      </c>
      <c r="I85" s="13" t="s">
        <v>37</v>
      </c>
      <c r="J85" s="13"/>
      <c r="K85" s="13">
        <v>326</v>
      </c>
      <c r="L85" s="13">
        <f t="shared" si="16"/>
        <v>-9</v>
      </c>
      <c r="M85" s="13"/>
      <c r="N85" s="13"/>
      <c r="O85" s="13">
        <v>65</v>
      </c>
      <c r="P85" s="13">
        <v>129</v>
      </c>
      <c r="Q85" s="13">
        <f t="shared" si="17"/>
        <v>63.4</v>
      </c>
      <c r="R85" s="4">
        <f t="shared" si="21"/>
        <v>582.6</v>
      </c>
      <c r="S85" s="4"/>
      <c r="T85" s="13"/>
      <c r="U85" s="13">
        <f t="shared" si="18"/>
        <v>14</v>
      </c>
      <c r="V85" s="13">
        <f t="shared" si="19"/>
        <v>4.8107255520504735</v>
      </c>
      <c r="W85" s="13">
        <v>45.2</v>
      </c>
      <c r="X85" s="13">
        <v>47.2</v>
      </c>
      <c r="Y85" s="13">
        <v>49</v>
      </c>
      <c r="Z85" s="13">
        <v>46.8</v>
      </c>
      <c r="AA85" s="13">
        <v>67.599999999999994</v>
      </c>
      <c r="AB85" s="13">
        <v>39.6</v>
      </c>
      <c r="AC85" s="13">
        <v>51.8</v>
      </c>
      <c r="AD85" s="13">
        <v>37.200000000000003</v>
      </c>
      <c r="AE85" s="13" t="s">
        <v>51</v>
      </c>
      <c r="AF85" s="13">
        <f t="shared" si="22"/>
        <v>163.12800000000001</v>
      </c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</row>
    <row r="86" spans="1:49" x14ac:dyDescent="0.25">
      <c r="A86" s="13" t="s">
        <v>137</v>
      </c>
      <c r="B86" s="13" t="s">
        <v>36</v>
      </c>
      <c r="C86" s="13">
        <v>74</v>
      </c>
      <c r="D86" s="13">
        <v>81</v>
      </c>
      <c r="E86" s="13">
        <v>138</v>
      </c>
      <c r="F86" s="13">
        <v>13</v>
      </c>
      <c r="G86" s="7">
        <v>0.28000000000000003</v>
      </c>
      <c r="H86" s="13">
        <v>45</v>
      </c>
      <c r="I86" s="13" t="s">
        <v>37</v>
      </c>
      <c r="J86" s="13"/>
      <c r="K86" s="13">
        <v>141</v>
      </c>
      <c r="L86" s="13">
        <f t="shared" si="16"/>
        <v>-3</v>
      </c>
      <c r="M86" s="13"/>
      <c r="N86" s="13"/>
      <c r="O86" s="13">
        <v>89</v>
      </c>
      <c r="P86" s="13">
        <v>177</v>
      </c>
      <c r="Q86" s="13">
        <f t="shared" si="17"/>
        <v>27.6</v>
      </c>
      <c r="R86" s="4">
        <f t="shared" si="21"/>
        <v>107.40000000000003</v>
      </c>
      <c r="S86" s="4"/>
      <c r="T86" s="13"/>
      <c r="U86" s="13">
        <f t="shared" si="18"/>
        <v>14</v>
      </c>
      <c r="V86" s="13">
        <f t="shared" si="19"/>
        <v>10.108695652173912</v>
      </c>
      <c r="W86" s="13">
        <v>30.4</v>
      </c>
      <c r="X86" s="13">
        <v>23</v>
      </c>
      <c r="Y86" s="13">
        <v>25.2</v>
      </c>
      <c r="Z86" s="13">
        <v>21.4</v>
      </c>
      <c r="AA86" s="13">
        <v>31.8</v>
      </c>
      <c r="AB86" s="13">
        <v>28</v>
      </c>
      <c r="AC86" s="13">
        <v>20.6</v>
      </c>
      <c r="AD86" s="13">
        <v>11.8</v>
      </c>
      <c r="AE86" s="13"/>
      <c r="AF86" s="13">
        <f t="shared" si="22"/>
        <v>30.072000000000013</v>
      </c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</row>
    <row r="87" spans="1:49" x14ac:dyDescent="0.25">
      <c r="A87" s="13" t="s">
        <v>138</v>
      </c>
      <c r="B87" s="13" t="s">
        <v>36</v>
      </c>
      <c r="C87" s="13">
        <v>90</v>
      </c>
      <c r="D87" s="13">
        <v>111.92</v>
      </c>
      <c r="E87" s="13">
        <v>128</v>
      </c>
      <c r="F87" s="13">
        <v>68.92</v>
      </c>
      <c r="G87" s="7">
        <v>0.28000000000000003</v>
      </c>
      <c r="H87" s="13">
        <v>45</v>
      </c>
      <c r="I87" s="13" t="s">
        <v>37</v>
      </c>
      <c r="J87" s="13"/>
      <c r="K87" s="13">
        <v>131</v>
      </c>
      <c r="L87" s="13">
        <f t="shared" si="16"/>
        <v>-3</v>
      </c>
      <c r="M87" s="13"/>
      <c r="N87" s="13"/>
      <c r="O87" s="13">
        <v>32</v>
      </c>
      <c r="P87" s="13">
        <v>63</v>
      </c>
      <c r="Q87" s="13">
        <f t="shared" si="17"/>
        <v>25.6</v>
      </c>
      <c r="R87" s="4">
        <f t="shared" si="21"/>
        <v>194.48000000000002</v>
      </c>
      <c r="S87" s="4"/>
      <c r="T87" s="13"/>
      <c r="U87" s="13">
        <f t="shared" si="18"/>
        <v>14</v>
      </c>
      <c r="V87" s="13">
        <f t="shared" si="19"/>
        <v>6.4031250000000002</v>
      </c>
      <c r="W87" s="13">
        <v>20.399999999999999</v>
      </c>
      <c r="X87" s="13">
        <v>20.8</v>
      </c>
      <c r="Y87" s="13">
        <v>20.399999999999999</v>
      </c>
      <c r="Z87" s="13">
        <v>15.8</v>
      </c>
      <c r="AA87" s="13">
        <v>25.4</v>
      </c>
      <c r="AB87" s="13">
        <v>19.2</v>
      </c>
      <c r="AC87" s="13">
        <v>14.8</v>
      </c>
      <c r="AD87" s="13">
        <v>18</v>
      </c>
      <c r="AE87" s="13" t="s">
        <v>51</v>
      </c>
      <c r="AF87" s="13">
        <f t="shared" si="22"/>
        <v>54.454400000000007</v>
      </c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</row>
    <row r="88" spans="1:49" x14ac:dyDescent="0.25">
      <c r="A88" s="13" t="s">
        <v>115</v>
      </c>
      <c r="B88" s="13" t="s">
        <v>36</v>
      </c>
      <c r="C88" s="13">
        <v>-1</v>
      </c>
      <c r="D88" s="13">
        <v>721</v>
      </c>
      <c r="E88" s="20">
        <f>349+E68</f>
        <v>352</v>
      </c>
      <c r="F88" s="20">
        <f>355+F68</f>
        <v>347</v>
      </c>
      <c r="G88" s="7">
        <v>0.4</v>
      </c>
      <c r="H88" s="13">
        <v>50</v>
      </c>
      <c r="I88" s="13" t="s">
        <v>37</v>
      </c>
      <c r="J88" s="13"/>
      <c r="K88" s="13">
        <v>353</v>
      </c>
      <c r="L88" s="13">
        <f t="shared" si="16"/>
        <v>-1</v>
      </c>
      <c r="M88" s="13"/>
      <c r="N88" s="13"/>
      <c r="O88" s="13">
        <v>107</v>
      </c>
      <c r="P88" s="13">
        <v>214</v>
      </c>
      <c r="Q88" s="13">
        <f t="shared" si="17"/>
        <v>70.400000000000006</v>
      </c>
      <c r="R88" s="4">
        <f t="shared" si="21"/>
        <v>317.60000000000014</v>
      </c>
      <c r="S88" s="4"/>
      <c r="T88" s="13"/>
      <c r="U88" s="13">
        <f t="shared" si="18"/>
        <v>14</v>
      </c>
      <c r="V88" s="13">
        <f t="shared" si="19"/>
        <v>9.4886363636363633</v>
      </c>
      <c r="W88" s="13">
        <v>74.2</v>
      </c>
      <c r="X88" s="13">
        <v>80.2</v>
      </c>
      <c r="Y88" s="13">
        <v>55.6</v>
      </c>
      <c r="Z88" s="13">
        <v>22.2</v>
      </c>
      <c r="AA88" s="13">
        <v>0</v>
      </c>
      <c r="AB88" s="13">
        <v>0</v>
      </c>
      <c r="AC88" s="13">
        <v>0</v>
      </c>
      <c r="AD88" s="13">
        <v>0</v>
      </c>
      <c r="AE88" s="13" t="s">
        <v>139</v>
      </c>
      <c r="AF88" s="13">
        <f t="shared" si="22"/>
        <v>127.04000000000006</v>
      </c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</row>
    <row r="89" spans="1:49" x14ac:dyDescent="0.25">
      <c r="A89" s="13" t="s">
        <v>140</v>
      </c>
      <c r="B89" s="13" t="s">
        <v>36</v>
      </c>
      <c r="C89" s="13">
        <v>39</v>
      </c>
      <c r="D89" s="13">
        <v>7</v>
      </c>
      <c r="E89" s="13">
        <v>28</v>
      </c>
      <c r="F89" s="13">
        <v>17</v>
      </c>
      <c r="G89" s="7">
        <v>0.3</v>
      </c>
      <c r="H89" s="13">
        <v>50</v>
      </c>
      <c r="I89" s="13" t="s">
        <v>37</v>
      </c>
      <c r="J89" s="13"/>
      <c r="K89" s="13">
        <v>28</v>
      </c>
      <c r="L89" s="13">
        <f t="shared" si="16"/>
        <v>0</v>
      </c>
      <c r="M89" s="13"/>
      <c r="N89" s="13"/>
      <c r="O89" s="13">
        <v>0</v>
      </c>
      <c r="P89" s="13">
        <v>7</v>
      </c>
      <c r="Q89" s="13">
        <f t="shared" si="17"/>
        <v>5.6</v>
      </c>
      <c r="R89" s="4">
        <f>13*Q89-P89-O89-F89</f>
        <v>48.8</v>
      </c>
      <c r="S89" s="4"/>
      <c r="T89" s="13"/>
      <c r="U89" s="13">
        <f t="shared" si="18"/>
        <v>13</v>
      </c>
      <c r="V89" s="13">
        <f t="shared" si="19"/>
        <v>4.2857142857142856</v>
      </c>
      <c r="W89" s="13">
        <v>3.8</v>
      </c>
      <c r="X89" s="13">
        <v>4.5999999999999996</v>
      </c>
      <c r="Y89" s="13">
        <v>5</v>
      </c>
      <c r="Z89" s="13">
        <v>7.6</v>
      </c>
      <c r="AA89" s="13">
        <v>5.8</v>
      </c>
      <c r="AB89" s="13">
        <v>5</v>
      </c>
      <c r="AC89" s="13">
        <v>5.4</v>
      </c>
      <c r="AD89" s="13">
        <v>4.8</v>
      </c>
      <c r="AE89" s="13" t="s">
        <v>141</v>
      </c>
      <c r="AF89" s="13">
        <f t="shared" si="22"/>
        <v>14.639999999999999</v>
      </c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</row>
    <row r="90" spans="1:49" x14ac:dyDescent="0.25">
      <c r="A90" s="13" t="s">
        <v>142</v>
      </c>
      <c r="B90" s="13" t="s">
        <v>36</v>
      </c>
      <c r="C90" s="13"/>
      <c r="D90" s="13">
        <v>12</v>
      </c>
      <c r="E90" s="13">
        <v>5</v>
      </c>
      <c r="F90" s="13"/>
      <c r="G90" s="7">
        <v>0.33</v>
      </c>
      <c r="H90" s="13">
        <v>30</v>
      </c>
      <c r="I90" s="13" t="s">
        <v>37</v>
      </c>
      <c r="J90" s="13"/>
      <c r="K90" s="13">
        <v>27</v>
      </c>
      <c r="L90" s="13">
        <f t="shared" si="16"/>
        <v>-22</v>
      </c>
      <c r="M90" s="13"/>
      <c r="N90" s="13"/>
      <c r="O90" s="13">
        <v>30</v>
      </c>
      <c r="P90" s="13">
        <v>24</v>
      </c>
      <c r="Q90" s="13">
        <f t="shared" si="17"/>
        <v>1</v>
      </c>
      <c r="R90" s="4"/>
      <c r="S90" s="4"/>
      <c r="T90" s="13"/>
      <c r="U90" s="13">
        <f t="shared" si="18"/>
        <v>54</v>
      </c>
      <c r="V90" s="13">
        <f t="shared" si="19"/>
        <v>54</v>
      </c>
      <c r="W90" s="13">
        <v>6.2</v>
      </c>
      <c r="X90" s="13">
        <v>3.2</v>
      </c>
      <c r="Y90" s="13">
        <v>4</v>
      </c>
      <c r="Z90" s="13">
        <v>4.4000000000000004</v>
      </c>
      <c r="AA90" s="13">
        <v>1.6</v>
      </c>
      <c r="AB90" s="13">
        <v>5</v>
      </c>
      <c r="AC90" s="13">
        <v>-0.2</v>
      </c>
      <c r="AD90" s="13">
        <v>3.4</v>
      </c>
      <c r="AE90" s="13"/>
      <c r="AF90" s="13">
        <f t="shared" si="22"/>
        <v>0</v>
      </c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</row>
    <row r="91" spans="1:49" x14ac:dyDescent="0.25">
      <c r="A91" s="13" t="s">
        <v>143</v>
      </c>
      <c r="B91" s="13" t="s">
        <v>40</v>
      </c>
      <c r="C91" s="13">
        <v>43.668999999999997</v>
      </c>
      <c r="D91" s="13"/>
      <c r="E91" s="13">
        <v>16.018999999999998</v>
      </c>
      <c r="F91" s="13">
        <v>23.82</v>
      </c>
      <c r="G91" s="7">
        <v>1</v>
      </c>
      <c r="H91" s="13">
        <v>30</v>
      </c>
      <c r="I91" s="13" t="s">
        <v>37</v>
      </c>
      <c r="J91" s="13"/>
      <c r="K91" s="13">
        <v>15.9</v>
      </c>
      <c r="L91" s="13">
        <f t="shared" si="16"/>
        <v>0.118999999999998</v>
      </c>
      <c r="M91" s="13"/>
      <c r="N91" s="13"/>
      <c r="O91" s="13">
        <v>0</v>
      </c>
      <c r="P91" s="13"/>
      <c r="Q91" s="13">
        <f t="shared" si="17"/>
        <v>3.2037999999999998</v>
      </c>
      <c r="R91" s="4">
        <f t="shared" si="21"/>
        <v>21.033199999999994</v>
      </c>
      <c r="S91" s="4"/>
      <c r="T91" s="13"/>
      <c r="U91" s="13">
        <f t="shared" si="18"/>
        <v>14</v>
      </c>
      <c r="V91" s="13">
        <f t="shared" si="19"/>
        <v>7.4349210312753611</v>
      </c>
      <c r="W91" s="13">
        <v>3.2841999999999998</v>
      </c>
      <c r="X91" s="13">
        <v>0.505</v>
      </c>
      <c r="Y91" s="13">
        <v>4.5098000000000003</v>
      </c>
      <c r="Z91" s="13">
        <v>5.5426000000000002</v>
      </c>
      <c r="AA91" s="13">
        <v>0</v>
      </c>
      <c r="AB91" s="13">
        <v>0</v>
      </c>
      <c r="AC91" s="13">
        <v>0</v>
      </c>
      <c r="AD91" s="13">
        <v>0</v>
      </c>
      <c r="AE91" s="13" t="s">
        <v>70</v>
      </c>
      <c r="AF91" s="13">
        <f t="shared" si="22"/>
        <v>21.033199999999994</v>
      </c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</row>
    <row r="92" spans="1:49" x14ac:dyDescent="0.25">
      <c r="A92" s="13" t="s">
        <v>144</v>
      </c>
      <c r="B92" s="13" t="s">
        <v>36</v>
      </c>
      <c r="C92" s="13">
        <v>21</v>
      </c>
      <c r="D92" s="13"/>
      <c r="E92" s="13">
        <v>6</v>
      </c>
      <c r="F92" s="13">
        <v>14</v>
      </c>
      <c r="G92" s="7">
        <v>0.28000000000000003</v>
      </c>
      <c r="H92" s="13">
        <v>50</v>
      </c>
      <c r="I92" s="13" t="s">
        <v>37</v>
      </c>
      <c r="J92" s="13"/>
      <c r="K92" s="13">
        <v>7</v>
      </c>
      <c r="L92" s="13">
        <f t="shared" si="16"/>
        <v>-1</v>
      </c>
      <c r="M92" s="13"/>
      <c r="N92" s="13"/>
      <c r="O92" s="13">
        <v>0</v>
      </c>
      <c r="P92" s="13">
        <v>8</v>
      </c>
      <c r="Q92" s="13">
        <f t="shared" si="17"/>
        <v>1.2</v>
      </c>
      <c r="R92" s="4"/>
      <c r="S92" s="4"/>
      <c r="T92" s="13"/>
      <c r="U92" s="13">
        <f t="shared" si="18"/>
        <v>18.333333333333336</v>
      </c>
      <c r="V92" s="13">
        <f t="shared" si="19"/>
        <v>18.333333333333336</v>
      </c>
      <c r="W92" s="13">
        <v>1.6</v>
      </c>
      <c r="X92" s="13">
        <v>0.8</v>
      </c>
      <c r="Y92" s="13">
        <v>1.6</v>
      </c>
      <c r="Z92" s="13">
        <v>1.4</v>
      </c>
      <c r="AA92" s="13">
        <v>0</v>
      </c>
      <c r="AB92" s="13">
        <v>0.4</v>
      </c>
      <c r="AC92" s="13">
        <v>1</v>
      </c>
      <c r="AD92" s="13">
        <v>0.8</v>
      </c>
      <c r="AE92" s="13"/>
      <c r="AF92" s="13">
        <f t="shared" si="22"/>
        <v>0</v>
      </c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</row>
    <row r="93" spans="1:49" x14ac:dyDescent="0.25">
      <c r="A93" s="13" t="s">
        <v>145</v>
      </c>
      <c r="B93" s="13" t="s">
        <v>36</v>
      </c>
      <c r="C93" s="13">
        <v>3</v>
      </c>
      <c r="D93" s="13"/>
      <c r="E93" s="13">
        <v>3</v>
      </c>
      <c r="F93" s="13"/>
      <c r="G93" s="7">
        <v>0.28000000000000003</v>
      </c>
      <c r="H93" s="13">
        <v>50</v>
      </c>
      <c r="I93" s="13" t="s">
        <v>37</v>
      </c>
      <c r="J93" s="13"/>
      <c r="K93" s="13">
        <v>9</v>
      </c>
      <c r="L93" s="13">
        <f t="shared" si="16"/>
        <v>-6</v>
      </c>
      <c r="M93" s="13"/>
      <c r="N93" s="13"/>
      <c r="O93" s="13">
        <v>36</v>
      </c>
      <c r="P93" s="13"/>
      <c r="Q93" s="13">
        <f t="shared" si="17"/>
        <v>0.6</v>
      </c>
      <c r="R93" s="4">
        <v>8</v>
      </c>
      <c r="S93" s="4"/>
      <c r="T93" s="13"/>
      <c r="U93" s="13">
        <f t="shared" si="18"/>
        <v>73.333333333333343</v>
      </c>
      <c r="V93" s="13">
        <f t="shared" si="19"/>
        <v>60</v>
      </c>
      <c r="W93" s="13">
        <v>3.8</v>
      </c>
      <c r="X93" s="13">
        <v>0.6</v>
      </c>
      <c r="Y93" s="13">
        <v>0</v>
      </c>
      <c r="Z93" s="13">
        <v>0.6</v>
      </c>
      <c r="AA93" s="13">
        <v>1.4</v>
      </c>
      <c r="AB93" s="13">
        <v>0.4</v>
      </c>
      <c r="AC93" s="13">
        <v>1.8</v>
      </c>
      <c r="AD93" s="13">
        <v>0</v>
      </c>
      <c r="AE93" s="13"/>
      <c r="AF93" s="13">
        <f t="shared" si="22"/>
        <v>2.2400000000000002</v>
      </c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</row>
    <row r="94" spans="1:49" x14ac:dyDescent="0.25">
      <c r="A94" s="13" t="s">
        <v>146</v>
      </c>
      <c r="B94" s="13" t="s">
        <v>36</v>
      </c>
      <c r="C94" s="13">
        <v>8</v>
      </c>
      <c r="D94" s="13">
        <v>8</v>
      </c>
      <c r="E94" s="13">
        <v>10</v>
      </c>
      <c r="F94" s="13">
        <v>3</v>
      </c>
      <c r="G94" s="7">
        <v>0.4</v>
      </c>
      <c r="H94" s="13">
        <v>60</v>
      </c>
      <c r="I94" s="13" t="s">
        <v>37</v>
      </c>
      <c r="J94" s="13"/>
      <c r="K94" s="13">
        <v>10</v>
      </c>
      <c r="L94" s="13">
        <f t="shared" si="16"/>
        <v>0</v>
      </c>
      <c r="M94" s="13"/>
      <c r="N94" s="13"/>
      <c r="O94" s="13">
        <v>0</v>
      </c>
      <c r="P94" s="13"/>
      <c r="Q94" s="13">
        <f t="shared" si="17"/>
        <v>2</v>
      </c>
      <c r="R94" s="4">
        <f>11*Q94-P94-O94-F94</f>
        <v>19</v>
      </c>
      <c r="S94" s="4"/>
      <c r="T94" s="13"/>
      <c r="U94" s="13">
        <f t="shared" si="18"/>
        <v>11</v>
      </c>
      <c r="V94" s="13">
        <f t="shared" si="19"/>
        <v>1.5</v>
      </c>
      <c r="W94" s="13">
        <v>0.8</v>
      </c>
      <c r="X94" s="13">
        <v>1.4</v>
      </c>
      <c r="Y94" s="13">
        <v>2</v>
      </c>
      <c r="Z94" s="13">
        <v>1.4</v>
      </c>
      <c r="AA94" s="13">
        <v>1</v>
      </c>
      <c r="AB94" s="13">
        <v>1.4</v>
      </c>
      <c r="AC94" s="13">
        <v>0</v>
      </c>
      <c r="AD94" s="13">
        <v>0</v>
      </c>
      <c r="AE94" s="13" t="s">
        <v>147</v>
      </c>
      <c r="AF94" s="13">
        <f t="shared" si="22"/>
        <v>7.6000000000000005</v>
      </c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</row>
    <row r="95" spans="1:49" x14ac:dyDescent="0.25">
      <c r="A95" s="14" t="s">
        <v>58</v>
      </c>
      <c r="B95" s="13" t="s">
        <v>36</v>
      </c>
      <c r="C95" s="13"/>
      <c r="D95" s="13">
        <v>144</v>
      </c>
      <c r="E95" s="20">
        <f>46+E18</f>
        <v>67</v>
      </c>
      <c r="F95" s="20">
        <f>78+F18</f>
        <v>57</v>
      </c>
      <c r="G95" s="7">
        <v>0.12</v>
      </c>
      <c r="H95" s="13">
        <v>60</v>
      </c>
      <c r="I95" s="13" t="s">
        <v>37</v>
      </c>
      <c r="J95" s="13"/>
      <c r="K95" s="13">
        <v>63</v>
      </c>
      <c r="L95" s="13">
        <f t="shared" si="16"/>
        <v>4</v>
      </c>
      <c r="M95" s="13"/>
      <c r="N95" s="13"/>
      <c r="O95" s="13"/>
      <c r="P95" s="13"/>
      <c r="Q95" s="13">
        <f t="shared" si="17"/>
        <v>13.4</v>
      </c>
      <c r="R95" s="4">
        <f>13*Q95-P95-O95-F95</f>
        <v>117.20000000000002</v>
      </c>
      <c r="S95" s="4"/>
      <c r="T95" s="13"/>
      <c r="U95" s="13">
        <f t="shared" si="18"/>
        <v>13.000000000000002</v>
      </c>
      <c r="V95" s="13">
        <f t="shared" si="19"/>
        <v>4.2537313432835822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4" t="s">
        <v>148</v>
      </c>
      <c r="AF95" s="13">
        <f t="shared" si="22"/>
        <v>14.064000000000002</v>
      </c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</row>
    <row r="96" spans="1:49" x14ac:dyDescent="0.25">
      <c r="A96" s="16" t="s">
        <v>149</v>
      </c>
      <c r="B96" s="16" t="s">
        <v>36</v>
      </c>
      <c r="C96" s="16">
        <v>97</v>
      </c>
      <c r="D96" s="16">
        <v>350</v>
      </c>
      <c r="E96" s="20">
        <v>108</v>
      </c>
      <c r="F96" s="20">
        <v>337</v>
      </c>
      <c r="G96" s="17">
        <v>0</v>
      </c>
      <c r="H96" s="16" t="e">
        <v>#N/A</v>
      </c>
      <c r="I96" s="16" t="s">
        <v>150</v>
      </c>
      <c r="J96" s="16" t="s">
        <v>110</v>
      </c>
      <c r="K96" s="16">
        <v>108</v>
      </c>
      <c r="L96" s="16">
        <f t="shared" si="16"/>
        <v>0</v>
      </c>
      <c r="M96" s="16"/>
      <c r="N96" s="16"/>
      <c r="O96" s="16">
        <v>0</v>
      </c>
      <c r="P96" s="16"/>
      <c r="Q96" s="16">
        <f t="shared" si="17"/>
        <v>21.6</v>
      </c>
      <c r="R96" s="18"/>
      <c r="S96" s="18"/>
      <c r="T96" s="16"/>
      <c r="U96" s="16">
        <f t="shared" si="18"/>
        <v>15.601851851851851</v>
      </c>
      <c r="V96" s="16">
        <f t="shared" si="19"/>
        <v>15.601851851851851</v>
      </c>
      <c r="W96" s="16">
        <v>4.5999999999999996</v>
      </c>
      <c r="X96" s="16">
        <v>26.308800000000002</v>
      </c>
      <c r="Y96" s="16">
        <v>32.200000000000003</v>
      </c>
      <c r="Z96" s="16">
        <v>37.6</v>
      </c>
      <c r="AA96" s="16">
        <v>35.799999999999997</v>
      </c>
      <c r="AB96" s="16">
        <v>35.200000000000003</v>
      </c>
      <c r="AC96" s="16">
        <v>36.4</v>
      </c>
      <c r="AD96" s="16">
        <v>18.8</v>
      </c>
      <c r="AE96" s="16"/>
      <c r="AF96" s="16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</row>
    <row r="97" spans="1:49" x14ac:dyDescent="0.25">
      <c r="A97" s="16" t="s">
        <v>151</v>
      </c>
      <c r="B97" s="16" t="s">
        <v>40</v>
      </c>
      <c r="C97" s="16">
        <v>94.730999999999995</v>
      </c>
      <c r="D97" s="16">
        <v>201.57599999999999</v>
      </c>
      <c r="E97" s="20">
        <v>161.36600000000001</v>
      </c>
      <c r="F97" s="20">
        <v>119.32599999999999</v>
      </c>
      <c r="G97" s="17">
        <v>0</v>
      </c>
      <c r="H97" s="16" t="e">
        <v>#N/A</v>
      </c>
      <c r="I97" s="16" t="s">
        <v>150</v>
      </c>
      <c r="J97" s="16" t="s">
        <v>111</v>
      </c>
      <c r="K97" s="16">
        <v>154.5</v>
      </c>
      <c r="L97" s="16">
        <f t="shared" si="16"/>
        <v>6.8660000000000139</v>
      </c>
      <c r="M97" s="16"/>
      <c r="N97" s="16"/>
      <c r="O97" s="16">
        <v>0</v>
      </c>
      <c r="P97" s="16"/>
      <c r="Q97" s="16">
        <f t="shared" si="17"/>
        <v>32.273200000000003</v>
      </c>
      <c r="R97" s="18"/>
      <c r="S97" s="18"/>
      <c r="T97" s="16"/>
      <c r="U97" s="16">
        <f t="shared" si="18"/>
        <v>3.6973711934360391</v>
      </c>
      <c r="V97" s="16">
        <f t="shared" si="19"/>
        <v>3.6973711934360391</v>
      </c>
      <c r="W97" s="16">
        <v>3.7372000000000001</v>
      </c>
      <c r="X97" s="16">
        <v>36.436199999999999</v>
      </c>
      <c r="Y97" s="16">
        <v>36.656799999999997</v>
      </c>
      <c r="Z97" s="16">
        <v>30.5578</v>
      </c>
      <c r="AA97" s="16">
        <v>28.462399999999999</v>
      </c>
      <c r="AB97" s="16">
        <v>30.451599999999999</v>
      </c>
      <c r="AC97" s="16">
        <v>25.856999999999999</v>
      </c>
      <c r="AD97" s="16">
        <v>26.144400000000001</v>
      </c>
      <c r="AE97" s="16"/>
      <c r="AF97" s="16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</row>
    <row r="98" spans="1:49" x14ac:dyDescent="0.25">
      <c r="A98" s="13"/>
      <c r="B98" s="13"/>
      <c r="C98" s="13"/>
      <c r="D98" s="13"/>
      <c r="E98" s="13"/>
      <c r="F98" s="13"/>
      <c r="G98" s="7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</row>
    <row r="99" spans="1:49" x14ac:dyDescent="0.25">
      <c r="A99" s="13"/>
      <c r="B99" s="13"/>
      <c r="C99" s="13"/>
      <c r="D99" s="13"/>
      <c r="E99" s="13"/>
      <c r="F99" s="13"/>
      <c r="G99" s="7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</row>
    <row r="100" spans="1:49" x14ac:dyDescent="0.25">
      <c r="A100" s="13"/>
      <c r="B100" s="13"/>
      <c r="C100" s="13"/>
      <c r="D100" s="13"/>
      <c r="E100" s="13"/>
      <c r="F100" s="13"/>
      <c r="G100" s="7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</row>
    <row r="101" spans="1:49" x14ac:dyDescent="0.25">
      <c r="A101" s="13"/>
      <c r="B101" s="13"/>
      <c r="C101" s="13"/>
      <c r="D101" s="13"/>
      <c r="E101" s="13"/>
      <c r="F101" s="13"/>
      <c r="G101" s="7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</row>
    <row r="102" spans="1:49" x14ac:dyDescent="0.25">
      <c r="A102" s="13"/>
      <c r="B102" s="13"/>
      <c r="C102" s="13"/>
      <c r="D102" s="13"/>
      <c r="E102" s="13"/>
      <c r="F102" s="13"/>
      <c r="G102" s="7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</row>
    <row r="103" spans="1:49" x14ac:dyDescent="0.25">
      <c r="A103" s="13"/>
      <c r="B103" s="13"/>
      <c r="C103" s="13"/>
      <c r="D103" s="13"/>
      <c r="E103" s="13"/>
      <c r="F103" s="13"/>
      <c r="G103" s="7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</row>
    <row r="104" spans="1:49" x14ac:dyDescent="0.25">
      <c r="A104" s="13"/>
      <c r="B104" s="13"/>
      <c r="C104" s="13"/>
      <c r="D104" s="13"/>
      <c r="E104" s="13"/>
      <c r="F104" s="13"/>
      <c r="G104" s="7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</row>
    <row r="105" spans="1:49" x14ac:dyDescent="0.25">
      <c r="A105" s="13"/>
      <c r="B105" s="13"/>
      <c r="C105" s="13"/>
      <c r="D105" s="13"/>
      <c r="E105" s="13"/>
      <c r="F105" s="13"/>
      <c r="G105" s="7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</row>
    <row r="106" spans="1:49" x14ac:dyDescent="0.25">
      <c r="A106" s="13"/>
      <c r="B106" s="13"/>
      <c r="C106" s="13"/>
      <c r="D106" s="13"/>
      <c r="E106" s="13"/>
      <c r="F106" s="13"/>
      <c r="G106" s="7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</row>
    <row r="107" spans="1:49" x14ac:dyDescent="0.25">
      <c r="A107" s="13"/>
      <c r="B107" s="13"/>
      <c r="C107" s="13"/>
      <c r="D107" s="13"/>
      <c r="E107" s="13"/>
      <c r="F107" s="13"/>
      <c r="G107" s="7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</row>
    <row r="108" spans="1:49" x14ac:dyDescent="0.25">
      <c r="A108" s="13"/>
      <c r="B108" s="13"/>
      <c r="C108" s="13"/>
      <c r="D108" s="13"/>
      <c r="E108" s="13"/>
      <c r="F108" s="13"/>
      <c r="G108" s="7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</row>
    <row r="109" spans="1:49" x14ac:dyDescent="0.25">
      <c r="A109" s="13"/>
      <c r="B109" s="13"/>
      <c r="C109" s="13"/>
      <c r="D109" s="13"/>
      <c r="E109" s="13"/>
      <c r="F109" s="13"/>
      <c r="G109" s="7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</row>
    <row r="110" spans="1:49" x14ac:dyDescent="0.25">
      <c r="A110" s="13"/>
      <c r="B110" s="13"/>
      <c r="C110" s="13"/>
      <c r="D110" s="13"/>
      <c r="E110" s="13"/>
      <c r="F110" s="13"/>
      <c r="G110" s="7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</row>
    <row r="111" spans="1:49" x14ac:dyDescent="0.25">
      <c r="A111" s="13"/>
      <c r="B111" s="13"/>
      <c r="C111" s="13"/>
      <c r="D111" s="13"/>
      <c r="E111" s="13"/>
      <c r="F111" s="13"/>
      <c r="G111" s="7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</row>
    <row r="112" spans="1:49" x14ac:dyDescent="0.25">
      <c r="A112" s="13"/>
      <c r="B112" s="13"/>
      <c r="C112" s="13"/>
      <c r="D112" s="13"/>
      <c r="E112" s="13"/>
      <c r="F112" s="13"/>
      <c r="G112" s="7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</row>
    <row r="113" spans="1:49" x14ac:dyDescent="0.25">
      <c r="A113" s="13"/>
      <c r="B113" s="13"/>
      <c r="C113" s="13"/>
      <c r="D113" s="13"/>
      <c r="E113" s="13"/>
      <c r="F113" s="13"/>
      <c r="G113" s="7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</row>
    <row r="114" spans="1:49" x14ac:dyDescent="0.25">
      <c r="A114" s="13"/>
      <c r="B114" s="13"/>
      <c r="C114" s="13"/>
      <c r="D114" s="13"/>
      <c r="E114" s="13"/>
      <c r="F114" s="13"/>
      <c r="G114" s="7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</row>
    <row r="115" spans="1:49" x14ac:dyDescent="0.25">
      <c r="A115" s="13"/>
      <c r="B115" s="13"/>
      <c r="C115" s="13"/>
      <c r="D115" s="13"/>
      <c r="E115" s="13"/>
      <c r="F115" s="13"/>
      <c r="G115" s="7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</row>
    <row r="116" spans="1:49" x14ac:dyDescent="0.25">
      <c r="A116" s="13"/>
      <c r="B116" s="13"/>
      <c r="C116" s="13"/>
      <c r="D116" s="13"/>
      <c r="E116" s="13"/>
      <c r="F116" s="13"/>
      <c r="G116" s="7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</row>
    <row r="117" spans="1:49" x14ac:dyDescent="0.25">
      <c r="A117" s="13"/>
      <c r="B117" s="13"/>
      <c r="C117" s="13"/>
      <c r="D117" s="13"/>
      <c r="E117" s="13"/>
      <c r="F117" s="13"/>
      <c r="G117" s="7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</row>
    <row r="118" spans="1:49" x14ac:dyDescent="0.25">
      <c r="A118" s="13"/>
      <c r="B118" s="13"/>
      <c r="C118" s="13"/>
      <c r="D118" s="13"/>
      <c r="E118" s="13"/>
      <c r="F118" s="13"/>
      <c r="G118" s="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</row>
    <row r="119" spans="1:49" x14ac:dyDescent="0.25">
      <c r="A119" s="13"/>
      <c r="B119" s="13"/>
      <c r="C119" s="13"/>
      <c r="D119" s="13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</row>
    <row r="120" spans="1:49" x14ac:dyDescent="0.25">
      <c r="A120" s="13"/>
      <c r="B120" s="13"/>
      <c r="C120" s="13"/>
      <c r="D120" s="13"/>
      <c r="E120" s="13"/>
      <c r="F120" s="13"/>
      <c r="G120" s="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</row>
    <row r="121" spans="1:49" x14ac:dyDescent="0.25">
      <c r="A121" s="13"/>
      <c r="B121" s="13"/>
      <c r="C121" s="13"/>
      <c r="D121" s="13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</row>
    <row r="122" spans="1:49" x14ac:dyDescent="0.25">
      <c r="A122" s="13"/>
      <c r="B122" s="13"/>
      <c r="C122" s="13"/>
      <c r="D122" s="13"/>
      <c r="E122" s="13"/>
      <c r="F122" s="13"/>
      <c r="G122" s="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</row>
    <row r="123" spans="1:49" x14ac:dyDescent="0.25">
      <c r="A123" s="13"/>
      <c r="B123" s="13"/>
      <c r="C123" s="13"/>
      <c r="D123" s="13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</row>
    <row r="124" spans="1:49" x14ac:dyDescent="0.25">
      <c r="A124" s="13"/>
      <c r="B124" s="13"/>
      <c r="C124" s="13"/>
      <c r="D124" s="13"/>
      <c r="E124" s="13"/>
      <c r="F124" s="13"/>
      <c r="G124" s="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</row>
    <row r="125" spans="1:49" x14ac:dyDescent="0.25">
      <c r="A125" s="13"/>
      <c r="B125" s="13"/>
      <c r="C125" s="13"/>
      <c r="D125" s="13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</row>
    <row r="126" spans="1:49" x14ac:dyDescent="0.25">
      <c r="A126" s="13"/>
      <c r="B126" s="13"/>
      <c r="C126" s="13"/>
      <c r="D126" s="13"/>
      <c r="E126" s="13"/>
      <c r="F126" s="13"/>
      <c r="G126" s="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</row>
    <row r="127" spans="1:49" x14ac:dyDescent="0.25">
      <c r="A127" s="13"/>
      <c r="B127" s="13"/>
      <c r="C127" s="13"/>
      <c r="D127" s="13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</row>
    <row r="128" spans="1:49" x14ac:dyDescent="0.25">
      <c r="A128" s="13"/>
      <c r="B128" s="13"/>
      <c r="C128" s="13"/>
      <c r="D128" s="13"/>
      <c r="E128" s="13"/>
      <c r="F128" s="13"/>
      <c r="G128" s="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</row>
    <row r="129" spans="1:49" x14ac:dyDescent="0.25">
      <c r="A129" s="13"/>
      <c r="B129" s="13"/>
      <c r="C129" s="13"/>
      <c r="D129" s="13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</row>
    <row r="130" spans="1:49" x14ac:dyDescent="0.25">
      <c r="A130" s="13"/>
      <c r="B130" s="13"/>
      <c r="C130" s="13"/>
      <c r="D130" s="13"/>
      <c r="E130" s="13"/>
      <c r="F130" s="13"/>
      <c r="G130" s="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</row>
    <row r="131" spans="1:49" x14ac:dyDescent="0.25">
      <c r="A131" s="13"/>
      <c r="B131" s="13"/>
      <c r="C131" s="13"/>
      <c r="D131" s="13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</row>
    <row r="132" spans="1:49" x14ac:dyDescent="0.25">
      <c r="A132" s="13"/>
      <c r="B132" s="13"/>
      <c r="C132" s="13"/>
      <c r="D132" s="13"/>
      <c r="E132" s="13"/>
      <c r="F132" s="13"/>
      <c r="G132" s="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</row>
    <row r="133" spans="1:49" x14ac:dyDescent="0.25">
      <c r="A133" s="13"/>
      <c r="B133" s="13"/>
      <c r="C133" s="13"/>
      <c r="D133" s="13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</row>
    <row r="134" spans="1:49" x14ac:dyDescent="0.25">
      <c r="A134" s="13"/>
      <c r="B134" s="13"/>
      <c r="C134" s="13"/>
      <c r="D134" s="13"/>
      <c r="E134" s="13"/>
      <c r="F134" s="13"/>
      <c r="G134" s="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</row>
    <row r="135" spans="1:49" x14ac:dyDescent="0.25">
      <c r="A135" s="13"/>
      <c r="B135" s="13"/>
      <c r="C135" s="13"/>
      <c r="D135" s="13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</row>
    <row r="136" spans="1:49" x14ac:dyDescent="0.25">
      <c r="A136" s="13"/>
      <c r="B136" s="13"/>
      <c r="C136" s="13"/>
      <c r="D136" s="13"/>
      <c r="E136" s="13"/>
      <c r="F136" s="13"/>
      <c r="G136" s="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</row>
    <row r="137" spans="1:49" x14ac:dyDescent="0.25">
      <c r="A137" s="13"/>
      <c r="B137" s="13"/>
      <c r="C137" s="13"/>
      <c r="D137" s="13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</row>
    <row r="138" spans="1:49" x14ac:dyDescent="0.25">
      <c r="A138" s="13"/>
      <c r="B138" s="13"/>
      <c r="C138" s="13"/>
      <c r="D138" s="13"/>
      <c r="E138" s="13"/>
      <c r="F138" s="13"/>
      <c r="G138" s="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</row>
    <row r="139" spans="1:49" x14ac:dyDescent="0.25">
      <c r="A139" s="13"/>
      <c r="B139" s="13"/>
      <c r="C139" s="13"/>
      <c r="D139" s="13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</row>
    <row r="140" spans="1:49" x14ac:dyDescent="0.25">
      <c r="A140" s="13"/>
      <c r="B140" s="13"/>
      <c r="C140" s="13"/>
      <c r="D140" s="13"/>
      <c r="E140" s="13"/>
      <c r="F140" s="13"/>
      <c r="G140" s="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</row>
    <row r="141" spans="1:49" x14ac:dyDescent="0.25">
      <c r="A141" s="13"/>
      <c r="B141" s="13"/>
      <c r="C141" s="13"/>
      <c r="D141" s="13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</row>
    <row r="142" spans="1:49" x14ac:dyDescent="0.25">
      <c r="A142" s="13"/>
      <c r="B142" s="13"/>
      <c r="C142" s="13"/>
      <c r="D142" s="13"/>
      <c r="E142" s="13"/>
      <c r="F142" s="13"/>
      <c r="G142" s="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</row>
    <row r="143" spans="1:49" x14ac:dyDescent="0.25">
      <c r="A143" s="13"/>
      <c r="B143" s="13"/>
      <c r="C143" s="13"/>
      <c r="D143" s="13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</row>
    <row r="144" spans="1:49" x14ac:dyDescent="0.25">
      <c r="A144" s="13"/>
      <c r="B144" s="13"/>
      <c r="C144" s="13"/>
      <c r="D144" s="13"/>
      <c r="E144" s="13"/>
      <c r="F144" s="13"/>
      <c r="G144" s="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</row>
    <row r="145" spans="1:49" x14ac:dyDescent="0.25">
      <c r="A145" s="13"/>
      <c r="B145" s="13"/>
      <c r="C145" s="13"/>
      <c r="D145" s="13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</row>
    <row r="146" spans="1:49" x14ac:dyDescent="0.25">
      <c r="A146" s="13"/>
      <c r="B146" s="13"/>
      <c r="C146" s="13"/>
      <c r="D146" s="13"/>
      <c r="E146" s="13"/>
      <c r="F146" s="13"/>
      <c r="G146" s="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</row>
    <row r="147" spans="1:49" x14ac:dyDescent="0.25">
      <c r="A147" s="13"/>
      <c r="B147" s="13"/>
      <c r="C147" s="13"/>
      <c r="D147" s="13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</row>
    <row r="148" spans="1:49" x14ac:dyDescent="0.25">
      <c r="A148" s="13"/>
      <c r="B148" s="13"/>
      <c r="C148" s="13"/>
      <c r="D148" s="13"/>
      <c r="E148" s="13"/>
      <c r="F148" s="13"/>
      <c r="G148" s="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</row>
    <row r="149" spans="1:49" x14ac:dyDescent="0.25">
      <c r="A149" s="13"/>
      <c r="B149" s="13"/>
      <c r="C149" s="13"/>
      <c r="D149" s="13"/>
      <c r="E149" s="13"/>
      <c r="F149" s="13"/>
      <c r="G149" s="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</row>
    <row r="150" spans="1:49" x14ac:dyDescent="0.25">
      <c r="A150" s="13"/>
      <c r="B150" s="13"/>
      <c r="C150" s="13"/>
      <c r="D150" s="13"/>
      <c r="E150" s="13"/>
      <c r="F150" s="13"/>
      <c r="G150" s="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</row>
    <row r="151" spans="1:49" x14ac:dyDescent="0.25">
      <c r="A151" s="13"/>
      <c r="B151" s="13"/>
      <c r="C151" s="13"/>
      <c r="D151" s="13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</row>
    <row r="152" spans="1:49" x14ac:dyDescent="0.25">
      <c r="A152" s="13"/>
      <c r="B152" s="13"/>
      <c r="C152" s="13"/>
      <c r="D152" s="13"/>
      <c r="E152" s="13"/>
      <c r="F152" s="13"/>
      <c r="G152" s="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</row>
    <row r="153" spans="1:49" x14ac:dyDescent="0.25">
      <c r="A153" s="13"/>
      <c r="B153" s="13"/>
      <c r="C153" s="13"/>
      <c r="D153" s="13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</row>
    <row r="154" spans="1:49" x14ac:dyDescent="0.25">
      <c r="A154" s="13"/>
      <c r="B154" s="13"/>
      <c r="C154" s="13"/>
      <c r="D154" s="13"/>
      <c r="E154" s="13"/>
      <c r="F154" s="13"/>
      <c r="G154" s="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</row>
    <row r="155" spans="1:49" x14ac:dyDescent="0.25">
      <c r="A155" s="13"/>
      <c r="B155" s="13"/>
      <c r="C155" s="13"/>
      <c r="D155" s="13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</row>
    <row r="156" spans="1:49" x14ac:dyDescent="0.25">
      <c r="A156" s="13"/>
      <c r="B156" s="13"/>
      <c r="C156" s="13"/>
      <c r="D156" s="13"/>
      <c r="E156" s="13"/>
      <c r="F156" s="13"/>
      <c r="G156" s="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</row>
    <row r="157" spans="1:49" x14ac:dyDescent="0.25">
      <c r="A157" s="13"/>
      <c r="B157" s="13"/>
      <c r="C157" s="13"/>
      <c r="D157" s="13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</row>
    <row r="158" spans="1:49" x14ac:dyDescent="0.25">
      <c r="A158" s="13"/>
      <c r="B158" s="13"/>
      <c r="C158" s="13"/>
      <c r="D158" s="13"/>
      <c r="E158" s="13"/>
      <c r="F158" s="13"/>
      <c r="G158" s="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</row>
    <row r="159" spans="1:49" x14ac:dyDescent="0.25">
      <c r="A159" s="13"/>
      <c r="B159" s="13"/>
      <c r="C159" s="13"/>
      <c r="D159" s="13"/>
      <c r="E159" s="13"/>
      <c r="F159" s="13"/>
      <c r="G159" s="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</row>
    <row r="160" spans="1:49" x14ac:dyDescent="0.25">
      <c r="A160" s="13"/>
      <c r="B160" s="13"/>
      <c r="C160" s="13"/>
      <c r="D160" s="13"/>
      <c r="E160" s="13"/>
      <c r="F160" s="13"/>
      <c r="G160" s="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</row>
    <row r="161" spans="1:49" x14ac:dyDescent="0.25">
      <c r="A161" s="13"/>
      <c r="B161" s="13"/>
      <c r="C161" s="13"/>
      <c r="D161" s="13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</row>
    <row r="162" spans="1:49" x14ac:dyDescent="0.25">
      <c r="A162" s="13"/>
      <c r="B162" s="13"/>
      <c r="C162" s="13"/>
      <c r="D162" s="13"/>
      <c r="E162" s="13"/>
      <c r="F162" s="13"/>
      <c r="G162" s="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</row>
    <row r="163" spans="1:49" x14ac:dyDescent="0.25">
      <c r="A163" s="13"/>
      <c r="B163" s="13"/>
      <c r="C163" s="13"/>
      <c r="D163" s="13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</row>
    <row r="164" spans="1:49" x14ac:dyDescent="0.25">
      <c r="A164" s="13"/>
      <c r="B164" s="13"/>
      <c r="C164" s="13"/>
      <c r="D164" s="13"/>
      <c r="E164" s="13"/>
      <c r="F164" s="13"/>
      <c r="G164" s="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</row>
    <row r="165" spans="1:49" x14ac:dyDescent="0.25">
      <c r="A165" s="13"/>
      <c r="B165" s="13"/>
      <c r="C165" s="13"/>
      <c r="D165" s="13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</row>
    <row r="166" spans="1:49" x14ac:dyDescent="0.25">
      <c r="A166" s="13"/>
      <c r="B166" s="13"/>
      <c r="C166" s="13"/>
      <c r="D166" s="13"/>
      <c r="E166" s="13"/>
      <c r="F166" s="13"/>
      <c r="G166" s="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</row>
    <row r="167" spans="1:49" x14ac:dyDescent="0.25">
      <c r="A167" s="13"/>
      <c r="B167" s="13"/>
      <c r="C167" s="13"/>
      <c r="D167" s="13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</row>
    <row r="168" spans="1:49" x14ac:dyDescent="0.25">
      <c r="A168" s="13"/>
      <c r="B168" s="13"/>
      <c r="C168" s="13"/>
      <c r="D168" s="13"/>
      <c r="E168" s="13"/>
      <c r="F168" s="13"/>
      <c r="G168" s="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</row>
    <row r="169" spans="1:49" x14ac:dyDescent="0.25">
      <c r="A169" s="13"/>
      <c r="B169" s="13"/>
      <c r="C169" s="13"/>
      <c r="D169" s="13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</row>
    <row r="170" spans="1:49" x14ac:dyDescent="0.25">
      <c r="A170" s="13"/>
      <c r="B170" s="13"/>
      <c r="C170" s="13"/>
      <c r="D170" s="13"/>
      <c r="E170" s="13"/>
      <c r="F170" s="13"/>
      <c r="G170" s="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</row>
    <row r="171" spans="1:49" x14ac:dyDescent="0.25">
      <c r="A171" s="13"/>
      <c r="B171" s="13"/>
      <c r="C171" s="13"/>
      <c r="D171" s="13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</row>
    <row r="172" spans="1:49" x14ac:dyDescent="0.25">
      <c r="A172" s="13"/>
      <c r="B172" s="13"/>
      <c r="C172" s="13"/>
      <c r="D172" s="13"/>
      <c r="E172" s="13"/>
      <c r="F172" s="13"/>
      <c r="G172" s="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</row>
    <row r="173" spans="1:49" x14ac:dyDescent="0.25">
      <c r="A173" s="13"/>
      <c r="B173" s="13"/>
      <c r="C173" s="13"/>
      <c r="D173" s="13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</row>
    <row r="174" spans="1:49" x14ac:dyDescent="0.25">
      <c r="A174" s="13"/>
      <c r="B174" s="13"/>
      <c r="C174" s="13"/>
      <c r="D174" s="13"/>
      <c r="E174" s="13"/>
      <c r="F174" s="13"/>
      <c r="G174" s="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</row>
    <row r="175" spans="1:49" x14ac:dyDescent="0.25">
      <c r="A175" s="13"/>
      <c r="B175" s="13"/>
      <c r="C175" s="13"/>
      <c r="D175" s="13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</row>
    <row r="176" spans="1:49" x14ac:dyDescent="0.25">
      <c r="A176" s="13"/>
      <c r="B176" s="13"/>
      <c r="C176" s="13"/>
      <c r="D176" s="13"/>
      <c r="E176" s="13"/>
      <c r="F176" s="13"/>
      <c r="G176" s="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</row>
    <row r="177" spans="1:49" x14ac:dyDescent="0.25">
      <c r="A177" s="13"/>
      <c r="B177" s="13"/>
      <c r="C177" s="13"/>
      <c r="D177" s="13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</row>
    <row r="178" spans="1:49" x14ac:dyDescent="0.25">
      <c r="A178" s="13"/>
      <c r="B178" s="13"/>
      <c r="C178" s="13"/>
      <c r="D178" s="13"/>
      <c r="E178" s="13"/>
      <c r="F178" s="13"/>
      <c r="G178" s="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</row>
    <row r="179" spans="1:49" x14ac:dyDescent="0.25">
      <c r="A179" s="13"/>
      <c r="B179" s="13"/>
      <c r="C179" s="13"/>
      <c r="D179" s="13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</row>
    <row r="180" spans="1:49" x14ac:dyDescent="0.25">
      <c r="A180" s="13"/>
      <c r="B180" s="13"/>
      <c r="C180" s="13"/>
      <c r="D180" s="13"/>
      <c r="E180" s="13"/>
      <c r="F180" s="13"/>
      <c r="G180" s="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</row>
    <row r="181" spans="1:49" x14ac:dyDescent="0.25">
      <c r="A181" s="13"/>
      <c r="B181" s="13"/>
      <c r="C181" s="13"/>
      <c r="D181" s="13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</row>
    <row r="182" spans="1:49" x14ac:dyDescent="0.25">
      <c r="A182" s="13"/>
      <c r="B182" s="13"/>
      <c r="C182" s="13"/>
      <c r="D182" s="13"/>
      <c r="E182" s="13"/>
      <c r="F182" s="13"/>
      <c r="G182" s="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</row>
    <row r="183" spans="1:49" x14ac:dyDescent="0.25">
      <c r="A183" s="13"/>
      <c r="B183" s="13"/>
      <c r="C183" s="13"/>
      <c r="D183" s="13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</row>
    <row r="184" spans="1:49" x14ac:dyDescent="0.25">
      <c r="A184" s="13"/>
      <c r="B184" s="13"/>
      <c r="C184" s="13"/>
      <c r="D184" s="13"/>
      <c r="E184" s="13"/>
      <c r="F184" s="13"/>
      <c r="G184" s="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</row>
    <row r="185" spans="1:49" x14ac:dyDescent="0.25">
      <c r="A185" s="13"/>
      <c r="B185" s="13"/>
      <c r="C185" s="13"/>
      <c r="D185" s="13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</row>
    <row r="186" spans="1:49" x14ac:dyDescent="0.25">
      <c r="A186" s="13"/>
      <c r="B186" s="13"/>
      <c r="C186" s="13"/>
      <c r="D186" s="13"/>
      <c r="E186" s="13"/>
      <c r="F186" s="13"/>
      <c r="G186" s="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</row>
    <row r="187" spans="1:49" x14ac:dyDescent="0.25">
      <c r="A187" s="13"/>
      <c r="B187" s="13"/>
      <c r="C187" s="13"/>
      <c r="D187" s="13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</row>
    <row r="188" spans="1:49" x14ac:dyDescent="0.25">
      <c r="A188" s="13"/>
      <c r="B188" s="13"/>
      <c r="C188" s="13"/>
      <c r="D188" s="13"/>
      <c r="E188" s="13"/>
      <c r="F188" s="13"/>
      <c r="G188" s="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</row>
    <row r="189" spans="1:49" x14ac:dyDescent="0.25">
      <c r="A189" s="13"/>
      <c r="B189" s="13"/>
      <c r="C189" s="13"/>
      <c r="D189" s="13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</row>
    <row r="190" spans="1:49" x14ac:dyDescent="0.25">
      <c r="A190" s="13"/>
      <c r="B190" s="13"/>
      <c r="C190" s="13"/>
      <c r="D190" s="13"/>
      <c r="E190" s="13"/>
      <c r="F190" s="13"/>
      <c r="G190" s="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</row>
    <row r="191" spans="1:49" x14ac:dyDescent="0.25">
      <c r="A191" s="13"/>
      <c r="B191" s="13"/>
      <c r="C191" s="13"/>
      <c r="D191" s="13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</row>
    <row r="192" spans="1:49" x14ac:dyDescent="0.25">
      <c r="A192" s="13"/>
      <c r="B192" s="13"/>
      <c r="C192" s="13"/>
      <c r="D192" s="13"/>
      <c r="E192" s="13"/>
      <c r="F192" s="13"/>
      <c r="G192" s="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</row>
    <row r="193" spans="1:49" x14ac:dyDescent="0.25">
      <c r="A193" s="13"/>
      <c r="B193" s="13"/>
      <c r="C193" s="13"/>
      <c r="D193" s="13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</row>
    <row r="194" spans="1:49" x14ac:dyDescent="0.25">
      <c r="A194" s="13"/>
      <c r="B194" s="13"/>
      <c r="C194" s="13"/>
      <c r="D194" s="13"/>
      <c r="E194" s="13"/>
      <c r="F194" s="13"/>
      <c r="G194" s="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</row>
    <row r="195" spans="1:49" x14ac:dyDescent="0.25">
      <c r="A195" s="13"/>
      <c r="B195" s="13"/>
      <c r="C195" s="13"/>
      <c r="D195" s="13"/>
      <c r="E195" s="13"/>
      <c r="F195" s="13"/>
      <c r="G195" s="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</row>
    <row r="196" spans="1:49" x14ac:dyDescent="0.25">
      <c r="A196" s="13"/>
      <c r="B196" s="13"/>
      <c r="C196" s="13"/>
      <c r="D196" s="13"/>
      <c r="E196" s="13"/>
      <c r="F196" s="13"/>
      <c r="G196" s="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</row>
    <row r="197" spans="1:49" x14ac:dyDescent="0.25">
      <c r="A197" s="13"/>
      <c r="B197" s="13"/>
      <c r="C197" s="13"/>
      <c r="D197" s="13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</row>
    <row r="198" spans="1:49" x14ac:dyDescent="0.25">
      <c r="A198" s="13"/>
      <c r="B198" s="13"/>
      <c r="C198" s="13"/>
      <c r="D198" s="13"/>
      <c r="E198" s="13"/>
      <c r="F198" s="13"/>
      <c r="G198" s="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</row>
    <row r="199" spans="1:49" x14ac:dyDescent="0.25">
      <c r="A199" s="13"/>
      <c r="B199" s="13"/>
      <c r="C199" s="13"/>
      <c r="D199" s="13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</row>
    <row r="200" spans="1:49" x14ac:dyDescent="0.25">
      <c r="A200" s="13"/>
      <c r="B200" s="13"/>
      <c r="C200" s="13"/>
      <c r="D200" s="13"/>
      <c r="E200" s="13"/>
      <c r="F200" s="13"/>
      <c r="G200" s="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</row>
    <row r="201" spans="1:49" x14ac:dyDescent="0.25">
      <c r="A201" s="13"/>
      <c r="B201" s="13"/>
      <c r="C201" s="13"/>
      <c r="D201" s="13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</row>
    <row r="202" spans="1:49" x14ac:dyDescent="0.25">
      <c r="A202" s="13"/>
      <c r="B202" s="13"/>
      <c r="C202" s="13"/>
      <c r="D202" s="13"/>
      <c r="E202" s="13"/>
      <c r="F202" s="13"/>
      <c r="G202" s="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</row>
    <row r="203" spans="1:49" x14ac:dyDescent="0.25">
      <c r="A203" s="13"/>
      <c r="B203" s="13"/>
      <c r="C203" s="13"/>
      <c r="D203" s="13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</row>
    <row r="204" spans="1:49" x14ac:dyDescent="0.25">
      <c r="A204" s="13"/>
      <c r="B204" s="13"/>
      <c r="C204" s="13"/>
      <c r="D204" s="13"/>
      <c r="E204" s="13"/>
      <c r="F204" s="13"/>
      <c r="G204" s="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</row>
    <row r="205" spans="1:49" x14ac:dyDescent="0.25">
      <c r="A205" s="13"/>
      <c r="B205" s="13"/>
      <c r="C205" s="13"/>
      <c r="D205" s="13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</row>
    <row r="206" spans="1:49" x14ac:dyDescent="0.25">
      <c r="A206" s="13"/>
      <c r="B206" s="13"/>
      <c r="C206" s="13"/>
      <c r="D206" s="13"/>
      <c r="E206" s="13"/>
      <c r="F206" s="13"/>
      <c r="G206" s="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</row>
    <row r="207" spans="1:49" x14ac:dyDescent="0.25">
      <c r="A207" s="13"/>
      <c r="B207" s="13"/>
      <c r="C207" s="13"/>
      <c r="D207" s="13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</row>
    <row r="208" spans="1:49" x14ac:dyDescent="0.25">
      <c r="A208" s="13"/>
      <c r="B208" s="13"/>
      <c r="C208" s="13"/>
      <c r="D208" s="13"/>
      <c r="E208" s="13"/>
      <c r="F208" s="13"/>
      <c r="G208" s="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</row>
    <row r="209" spans="1:49" x14ac:dyDescent="0.25">
      <c r="A209" s="13"/>
      <c r="B209" s="13"/>
      <c r="C209" s="13"/>
      <c r="D209" s="13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</row>
    <row r="210" spans="1:49" x14ac:dyDescent="0.25">
      <c r="A210" s="13"/>
      <c r="B210" s="13"/>
      <c r="C210" s="13"/>
      <c r="D210" s="13"/>
      <c r="E210" s="13"/>
      <c r="F210" s="13"/>
      <c r="G210" s="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</row>
    <row r="211" spans="1:49" x14ac:dyDescent="0.25">
      <c r="A211" s="13"/>
      <c r="B211" s="13"/>
      <c r="C211" s="13"/>
      <c r="D211" s="13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</row>
    <row r="212" spans="1:49" x14ac:dyDescent="0.25">
      <c r="A212" s="13"/>
      <c r="B212" s="13"/>
      <c r="C212" s="13"/>
      <c r="D212" s="13"/>
      <c r="E212" s="13"/>
      <c r="F212" s="13"/>
      <c r="G212" s="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</row>
    <row r="213" spans="1:49" x14ac:dyDescent="0.25">
      <c r="A213" s="13"/>
      <c r="B213" s="13"/>
      <c r="C213" s="13"/>
      <c r="D213" s="13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</row>
    <row r="214" spans="1:49" x14ac:dyDescent="0.25">
      <c r="A214" s="13"/>
      <c r="B214" s="13"/>
      <c r="C214" s="13"/>
      <c r="D214" s="13"/>
      <c r="E214" s="13"/>
      <c r="F214" s="13"/>
      <c r="G214" s="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</row>
    <row r="215" spans="1:49" x14ac:dyDescent="0.25">
      <c r="A215" s="13"/>
      <c r="B215" s="13"/>
      <c r="C215" s="13"/>
      <c r="D215" s="13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</row>
    <row r="216" spans="1:49" x14ac:dyDescent="0.25">
      <c r="A216" s="13"/>
      <c r="B216" s="13"/>
      <c r="C216" s="13"/>
      <c r="D216" s="13"/>
      <c r="E216" s="13"/>
      <c r="F216" s="13"/>
      <c r="G216" s="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</row>
    <row r="217" spans="1:49" x14ac:dyDescent="0.25">
      <c r="A217" s="13"/>
      <c r="B217" s="13"/>
      <c r="C217" s="13"/>
      <c r="D217" s="13"/>
      <c r="E217" s="13"/>
      <c r="F217" s="13"/>
      <c r="G217" s="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</row>
    <row r="218" spans="1:49" x14ac:dyDescent="0.25">
      <c r="A218" s="13"/>
      <c r="B218" s="13"/>
      <c r="C218" s="13"/>
      <c r="D218" s="13"/>
      <c r="E218" s="13"/>
      <c r="F218" s="13"/>
      <c r="G218" s="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</row>
    <row r="219" spans="1:49" x14ac:dyDescent="0.25">
      <c r="A219" s="13"/>
      <c r="B219" s="13"/>
      <c r="C219" s="13"/>
      <c r="D219" s="13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</row>
    <row r="220" spans="1:49" x14ac:dyDescent="0.25">
      <c r="A220" s="13"/>
      <c r="B220" s="13"/>
      <c r="C220" s="13"/>
      <c r="D220" s="13"/>
      <c r="E220" s="13"/>
      <c r="F220" s="13"/>
      <c r="G220" s="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</row>
    <row r="221" spans="1:49" x14ac:dyDescent="0.25">
      <c r="A221" s="13"/>
      <c r="B221" s="13"/>
      <c r="C221" s="13"/>
      <c r="D221" s="13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</row>
    <row r="222" spans="1:49" x14ac:dyDescent="0.25">
      <c r="A222" s="13"/>
      <c r="B222" s="13"/>
      <c r="C222" s="13"/>
      <c r="D222" s="13"/>
      <c r="E222" s="13"/>
      <c r="F222" s="13"/>
      <c r="G222" s="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</row>
    <row r="223" spans="1:49" x14ac:dyDescent="0.25">
      <c r="A223" s="13"/>
      <c r="B223" s="13"/>
      <c r="C223" s="13"/>
      <c r="D223" s="13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</row>
    <row r="224" spans="1:49" x14ac:dyDescent="0.25">
      <c r="A224" s="13"/>
      <c r="B224" s="13"/>
      <c r="C224" s="13"/>
      <c r="D224" s="13"/>
      <c r="E224" s="13"/>
      <c r="F224" s="13"/>
      <c r="G224" s="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</row>
    <row r="225" spans="1:49" x14ac:dyDescent="0.25">
      <c r="A225" s="13"/>
      <c r="B225" s="13"/>
      <c r="C225" s="13"/>
      <c r="D225" s="13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</row>
    <row r="226" spans="1:49" x14ac:dyDescent="0.25">
      <c r="A226" s="13"/>
      <c r="B226" s="13"/>
      <c r="C226" s="13"/>
      <c r="D226" s="13"/>
      <c r="E226" s="13"/>
      <c r="F226" s="13"/>
      <c r="G226" s="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</row>
    <row r="227" spans="1:49" x14ac:dyDescent="0.25">
      <c r="A227" s="13"/>
      <c r="B227" s="13"/>
      <c r="C227" s="13"/>
      <c r="D227" s="13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</row>
    <row r="228" spans="1:49" x14ac:dyDescent="0.25">
      <c r="A228" s="13"/>
      <c r="B228" s="13"/>
      <c r="C228" s="13"/>
      <c r="D228" s="13"/>
      <c r="E228" s="13"/>
      <c r="F228" s="13"/>
      <c r="G228" s="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</row>
    <row r="229" spans="1:49" x14ac:dyDescent="0.25">
      <c r="A229" s="13"/>
      <c r="B229" s="13"/>
      <c r="C229" s="13"/>
      <c r="D229" s="13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</row>
    <row r="230" spans="1:49" x14ac:dyDescent="0.25">
      <c r="A230" s="13"/>
      <c r="B230" s="13"/>
      <c r="C230" s="13"/>
      <c r="D230" s="13"/>
      <c r="E230" s="13"/>
      <c r="F230" s="13"/>
      <c r="G230" s="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</row>
    <row r="231" spans="1:49" x14ac:dyDescent="0.25">
      <c r="A231" s="13"/>
      <c r="B231" s="13"/>
      <c r="C231" s="13"/>
      <c r="D231" s="13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</row>
    <row r="232" spans="1:49" x14ac:dyDescent="0.25">
      <c r="A232" s="13"/>
      <c r="B232" s="13"/>
      <c r="C232" s="13"/>
      <c r="D232" s="13"/>
      <c r="E232" s="13"/>
      <c r="F232" s="13"/>
      <c r="G232" s="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</row>
    <row r="233" spans="1:49" x14ac:dyDescent="0.25">
      <c r="A233" s="13"/>
      <c r="B233" s="13"/>
      <c r="C233" s="13"/>
      <c r="D233" s="13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</row>
    <row r="234" spans="1:49" x14ac:dyDescent="0.25">
      <c r="A234" s="13"/>
      <c r="B234" s="13"/>
      <c r="C234" s="13"/>
      <c r="D234" s="13"/>
      <c r="E234" s="13"/>
      <c r="F234" s="13"/>
      <c r="G234" s="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</row>
    <row r="235" spans="1:49" x14ac:dyDescent="0.25">
      <c r="A235" s="13"/>
      <c r="B235" s="13"/>
      <c r="C235" s="13"/>
      <c r="D235" s="13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</row>
    <row r="236" spans="1:49" x14ac:dyDescent="0.25">
      <c r="A236" s="13"/>
      <c r="B236" s="13"/>
      <c r="C236" s="13"/>
      <c r="D236" s="13"/>
      <c r="E236" s="13"/>
      <c r="F236" s="13"/>
      <c r="G236" s="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</row>
    <row r="237" spans="1:49" x14ac:dyDescent="0.25">
      <c r="A237" s="13"/>
      <c r="B237" s="13"/>
      <c r="C237" s="13"/>
      <c r="D237" s="13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</row>
    <row r="238" spans="1:49" x14ac:dyDescent="0.25">
      <c r="A238" s="13"/>
      <c r="B238" s="13"/>
      <c r="C238" s="13"/>
      <c r="D238" s="13"/>
      <c r="E238" s="13"/>
      <c r="F238" s="13"/>
      <c r="G238" s="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</row>
    <row r="239" spans="1:49" x14ac:dyDescent="0.25">
      <c r="A239" s="13"/>
      <c r="B239" s="13"/>
      <c r="C239" s="13"/>
      <c r="D239" s="13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</row>
    <row r="240" spans="1:49" x14ac:dyDescent="0.25">
      <c r="A240" s="13"/>
      <c r="B240" s="13"/>
      <c r="C240" s="13"/>
      <c r="D240" s="13"/>
      <c r="E240" s="13"/>
      <c r="F240" s="13"/>
      <c r="G240" s="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</row>
    <row r="241" spans="1:49" x14ac:dyDescent="0.25">
      <c r="A241" s="13"/>
      <c r="B241" s="13"/>
      <c r="C241" s="13"/>
      <c r="D241" s="13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</row>
    <row r="242" spans="1:49" x14ac:dyDescent="0.25">
      <c r="A242" s="13"/>
      <c r="B242" s="13"/>
      <c r="C242" s="13"/>
      <c r="D242" s="13"/>
      <c r="E242" s="13"/>
      <c r="F242" s="13"/>
      <c r="G242" s="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</row>
    <row r="243" spans="1:49" x14ac:dyDescent="0.25">
      <c r="A243" s="13"/>
      <c r="B243" s="13"/>
      <c r="C243" s="13"/>
      <c r="D243" s="13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</row>
    <row r="244" spans="1:49" x14ac:dyDescent="0.25">
      <c r="A244" s="13"/>
      <c r="B244" s="13"/>
      <c r="C244" s="13"/>
      <c r="D244" s="13"/>
      <c r="E244" s="13"/>
      <c r="F244" s="13"/>
      <c r="G244" s="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</row>
    <row r="245" spans="1:49" x14ac:dyDescent="0.25">
      <c r="A245" s="13"/>
      <c r="B245" s="13"/>
      <c r="C245" s="13"/>
      <c r="D245" s="13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</row>
    <row r="246" spans="1:49" x14ac:dyDescent="0.25">
      <c r="A246" s="13"/>
      <c r="B246" s="13"/>
      <c r="C246" s="13"/>
      <c r="D246" s="13"/>
      <c r="E246" s="13"/>
      <c r="F246" s="13"/>
      <c r="G246" s="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</row>
    <row r="247" spans="1:49" x14ac:dyDescent="0.25">
      <c r="A247" s="13"/>
      <c r="B247" s="13"/>
      <c r="C247" s="13"/>
      <c r="D247" s="13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</row>
    <row r="248" spans="1:49" x14ac:dyDescent="0.25">
      <c r="A248" s="13"/>
      <c r="B248" s="13"/>
      <c r="C248" s="13"/>
      <c r="D248" s="13"/>
      <c r="E248" s="13"/>
      <c r="F248" s="13"/>
      <c r="G248" s="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</row>
    <row r="249" spans="1:49" x14ac:dyDescent="0.25">
      <c r="A249" s="13"/>
      <c r="B249" s="13"/>
      <c r="C249" s="13"/>
      <c r="D249" s="13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</row>
    <row r="250" spans="1:49" x14ac:dyDescent="0.25">
      <c r="A250" s="13"/>
      <c r="B250" s="13"/>
      <c r="C250" s="13"/>
      <c r="D250" s="13"/>
      <c r="E250" s="13"/>
      <c r="F250" s="13"/>
      <c r="G250" s="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</row>
    <row r="251" spans="1:49" x14ac:dyDescent="0.25">
      <c r="A251" s="13"/>
      <c r="B251" s="13"/>
      <c r="C251" s="13"/>
      <c r="D251" s="13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</row>
    <row r="252" spans="1:49" x14ac:dyDescent="0.25">
      <c r="A252" s="13"/>
      <c r="B252" s="13"/>
      <c r="C252" s="13"/>
      <c r="D252" s="13"/>
      <c r="E252" s="13"/>
      <c r="F252" s="13"/>
      <c r="G252" s="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</row>
    <row r="253" spans="1:49" x14ac:dyDescent="0.25">
      <c r="A253" s="13"/>
      <c r="B253" s="13"/>
      <c r="C253" s="13"/>
      <c r="D253" s="13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</row>
    <row r="254" spans="1:49" x14ac:dyDescent="0.25">
      <c r="A254" s="13"/>
      <c r="B254" s="13"/>
      <c r="C254" s="13"/>
      <c r="D254" s="13"/>
      <c r="E254" s="13"/>
      <c r="F254" s="13"/>
      <c r="G254" s="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</row>
    <row r="255" spans="1:49" x14ac:dyDescent="0.25">
      <c r="A255" s="13"/>
      <c r="B255" s="13"/>
      <c r="C255" s="13"/>
      <c r="D255" s="13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</row>
    <row r="256" spans="1:49" x14ac:dyDescent="0.25">
      <c r="A256" s="13"/>
      <c r="B256" s="13"/>
      <c r="C256" s="13"/>
      <c r="D256" s="13"/>
      <c r="E256" s="13"/>
      <c r="F256" s="13"/>
      <c r="G256" s="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</row>
    <row r="257" spans="1:49" x14ac:dyDescent="0.25">
      <c r="A257" s="13"/>
      <c r="B257" s="13"/>
      <c r="C257" s="13"/>
      <c r="D257" s="13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</row>
    <row r="258" spans="1:49" x14ac:dyDescent="0.25">
      <c r="A258" s="13"/>
      <c r="B258" s="13"/>
      <c r="C258" s="13"/>
      <c r="D258" s="13"/>
      <c r="E258" s="13"/>
      <c r="F258" s="13"/>
      <c r="G258" s="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</row>
    <row r="259" spans="1:49" x14ac:dyDescent="0.25">
      <c r="A259" s="13"/>
      <c r="B259" s="13"/>
      <c r="C259" s="13"/>
      <c r="D259" s="13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</row>
    <row r="260" spans="1:49" x14ac:dyDescent="0.25">
      <c r="A260" s="13"/>
      <c r="B260" s="13"/>
      <c r="C260" s="13"/>
      <c r="D260" s="13"/>
      <c r="E260" s="13"/>
      <c r="F260" s="13"/>
      <c r="G260" s="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</row>
    <row r="261" spans="1:49" x14ac:dyDescent="0.25">
      <c r="A261" s="13"/>
      <c r="B261" s="13"/>
      <c r="C261" s="13"/>
      <c r="D261" s="13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</row>
    <row r="262" spans="1:49" x14ac:dyDescent="0.25">
      <c r="A262" s="13"/>
      <c r="B262" s="13"/>
      <c r="C262" s="13"/>
      <c r="D262" s="13"/>
      <c r="E262" s="13"/>
      <c r="F262" s="13"/>
      <c r="G262" s="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</row>
    <row r="263" spans="1:49" x14ac:dyDescent="0.25">
      <c r="A263" s="13"/>
      <c r="B263" s="13"/>
      <c r="C263" s="13"/>
      <c r="D263" s="13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</row>
    <row r="264" spans="1:49" x14ac:dyDescent="0.25">
      <c r="A264" s="13"/>
      <c r="B264" s="13"/>
      <c r="C264" s="13"/>
      <c r="D264" s="13"/>
      <c r="E264" s="13"/>
      <c r="F264" s="13"/>
      <c r="G264" s="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</row>
    <row r="265" spans="1:49" x14ac:dyDescent="0.25">
      <c r="A265" s="13"/>
      <c r="B265" s="13"/>
      <c r="C265" s="13"/>
      <c r="D265" s="13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</row>
    <row r="266" spans="1:49" x14ac:dyDescent="0.25">
      <c r="A266" s="13"/>
      <c r="B266" s="13"/>
      <c r="C266" s="13"/>
      <c r="D266" s="13"/>
      <c r="E266" s="13"/>
      <c r="F266" s="13"/>
      <c r="G266" s="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</row>
    <row r="267" spans="1:49" x14ac:dyDescent="0.25">
      <c r="A267" s="13"/>
      <c r="B267" s="13"/>
      <c r="C267" s="13"/>
      <c r="D267" s="13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</row>
    <row r="268" spans="1:49" x14ac:dyDescent="0.25">
      <c r="A268" s="13"/>
      <c r="B268" s="13"/>
      <c r="C268" s="13"/>
      <c r="D268" s="13"/>
      <c r="E268" s="13"/>
      <c r="F268" s="13"/>
      <c r="G268" s="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</row>
    <row r="269" spans="1:49" x14ac:dyDescent="0.25">
      <c r="A269" s="13"/>
      <c r="B269" s="13"/>
      <c r="C269" s="13"/>
      <c r="D269" s="13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</row>
    <row r="270" spans="1:49" x14ac:dyDescent="0.25">
      <c r="A270" s="13"/>
      <c r="B270" s="13"/>
      <c r="C270" s="13"/>
      <c r="D270" s="13"/>
      <c r="E270" s="13"/>
      <c r="F270" s="13"/>
      <c r="G270" s="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</row>
    <row r="271" spans="1:49" x14ac:dyDescent="0.25">
      <c r="A271" s="13"/>
      <c r="B271" s="13"/>
      <c r="C271" s="13"/>
      <c r="D271" s="13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</row>
    <row r="272" spans="1:49" x14ac:dyDescent="0.25">
      <c r="A272" s="13"/>
      <c r="B272" s="13"/>
      <c r="C272" s="13"/>
      <c r="D272" s="13"/>
      <c r="E272" s="13"/>
      <c r="F272" s="13"/>
      <c r="G272" s="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</row>
    <row r="273" spans="1:49" x14ac:dyDescent="0.25">
      <c r="A273" s="13"/>
      <c r="B273" s="13"/>
      <c r="C273" s="13"/>
      <c r="D273" s="13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</row>
    <row r="274" spans="1:49" x14ac:dyDescent="0.25">
      <c r="A274" s="13"/>
      <c r="B274" s="13"/>
      <c r="C274" s="13"/>
      <c r="D274" s="13"/>
      <c r="E274" s="13"/>
      <c r="F274" s="13"/>
      <c r="G274" s="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</row>
    <row r="275" spans="1:49" x14ac:dyDescent="0.25">
      <c r="A275" s="13"/>
      <c r="B275" s="13"/>
      <c r="C275" s="13"/>
      <c r="D275" s="13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</row>
    <row r="276" spans="1:49" x14ac:dyDescent="0.25">
      <c r="A276" s="13"/>
      <c r="B276" s="13"/>
      <c r="C276" s="13"/>
      <c r="D276" s="13"/>
      <c r="E276" s="13"/>
      <c r="F276" s="13"/>
      <c r="G276" s="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</row>
    <row r="277" spans="1:49" x14ac:dyDescent="0.25">
      <c r="A277" s="13"/>
      <c r="B277" s="13"/>
      <c r="C277" s="13"/>
      <c r="D277" s="13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</row>
    <row r="278" spans="1:49" x14ac:dyDescent="0.25">
      <c r="A278" s="13"/>
      <c r="B278" s="13"/>
      <c r="C278" s="13"/>
      <c r="D278" s="13"/>
      <c r="E278" s="13"/>
      <c r="F278" s="13"/>
      <c r="G278" s="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</row>
    <row r="279" spans="1:49" x14ac:dyDescent="0.25">
      <c r="A279" s="13"/>
      <c r="B279" s="13"/>
      <c r="C279" s="13"/>
      <c r="D279" s="13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</row>
    <row r="280" spans="1:49" x14ac:dyDescent="0.25">
      <c r="A280" s="13"/>
      <c r="B280" s="13"/>
      <c r="C280" s="13"/>
      <c r="D280" s="13"/>
      <c r="E280" s="13"/>
      <c r="F280" s="13"/>
      <c r="G280" s="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</row>
    <row r="281" spans="1:49" x14ac:dyDescent="0.25">
      <c r="A281" s="13"/>
      <c r="B281" s="13"/>
      <c r="C281" s="13"/>
      <c r="D281" s="13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</row>
    <row r="282" spans="1:49" x14ac:dyDescent="0.25">
      <c r="A282" s="13"/>
      <c r="B282" s="13"/>
      <c r="C282" s="13"/>
      <c r="D282" s="13"/>
      <c r="E282" s="13"/>
      <c r="F282" s="13"/>
      <c r="G282" s="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</row>
    <row r="283" spans="1:49" x14ac:dyDescent="0.25">
      <c r="A283" s="13"/>
      <c r="B283" s="13"/>
      <c r="C283" s="13"/>
      <c r="D283" s="13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</row>
    <row r="284" spans="1:49" x14ac:dyDescent="0.25">
      <c r="A284" s="13"/>
      <c r="B284" s="13"/>
      <c r="C284" s="13"/>
      <c r="D284" s="13"/>
      <c r="E284" s="13"/>
      <c r="F284" s="13"/>
      <c r="G284" s="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</row>
    <row r="285" spans="1:49" x14ac:dyDescent="0.25">
      <c r="A285" s="13"/>
      <c r="B285" s="13"/>
      <c r="C285" s="13"/>
      <c r="D285" s="13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</row>
    <row r="286" spans="1:49" x14ac:dyDescent="0.25">
      <c r="A286" s="13"/>
      <c r="B286" s="13"/>
      <c r="C286" s="13"/>
      <c r="D286" s="13"/>
      <c r="E286" s="13"/>
      <c r="F286" s="13"/>
      <c r="G286" s="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</row>
    <row r="287" spans="1:49" x14ac:dyDescent="0.25">
      <c r="A287" s="13"/>
      <c r="B287" s="13"/>
      <c r="C287" s="13"/>
      <c r="D287" s="13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</row>
    <row r="288" spans="1:49" x14ac:dyDescent="0.25">
      <c r="A288" s="13"/>
      <c r="B288" s="13"/>
      <c r="C288" s="13"/>
      <c r="D288" s="13"/>
      <c r="E288" s="13"/>
      <c r="F288" s="13"/>
      <c r="G288" s="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</row>
    <row r="289" spans="1:49" x14ac:dyDescent="0.25">
      <c r="A289" s="13"/>
      <c r="B289" s="13"/>
      <c r="C289" s="13"/>
      <c r="D289" s="13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</row>
    <row r="290" spans="1:49" x14ac:dyDescent="0.25">
      <c r="A290" s="13"/>
      <c r="B290" s="13"/>
      <c r="C290" s="13"/>
      <c r="D290" s="13"/>
      <c r="E290" s="13"/>
      <c r="F290" s="13"/>
      <c r="G290" s="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</row>
    <row r="291" spans="1:49" x14ac:dyDescent="0.25">
      <c r="A291" s="13"/>
      <c r="B291" s="13"/>
      <c r="C291" s="13"/>
      <c r="D291" s="13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</row>
    <row r="292" spans="1:49" x14ac:dyDescent="0.25">
      <c r="A292" s="13"/>
      <c r="B292" s="13"/>
      <c r="C292" s="13"/>
      <c r="D292" s="13"/>
      <c r="E292" s="13"/>
      <c r="F292" s="13"/>
      <c r="G292" s="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</row>
    <row r="293" spans="1:49" x14ac:dyDescent="0.25">
      <c r="A293" s="13"/>
      <c r="B293" s="13"/>
      <c r="C293" s="13"/>
      <c r="D293" s="13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</row>
    <row r="294" spans="1:49" x14ac:dyDescent="0.25">
      <c r="A294" s="13"/>
      <c r="B294" s="13"/>
      <c r="C294" s="13"/>
      <c r="D294" s="13"/>
      <c r="E294" s="13"/>
      <c r="F294" s="13"/>
      <c r="G294" s="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</row>
    <row r="295" spans="1:49" x14ac:dyDescent="0.25">
      <c r="A295" s="13"/>
      <c r="B295" s="13"/>
      <c r="C295" s="13"/>
      <c r="D295" s="13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</row>
    <row r="296" spans="1:49" x14ac:dyDescent="0.25">
      <c r="A296" s="13"/>
      <c r="B296" s="13"/>
      <c r="C296" s="13"/>
      <c r="D296" s="13"/>
      <c r="E296" s="13"/>
      <c r="F296" s="13"/>
      <c r="G296" s="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</row>
    <row r="297" spans="1:49" x14ac:dyDescent="0.25">
      <c r="A297" s="13"/>
      <c r="B297" s="13"/>
      <c r="C297" s="13"/>
      <c r="D297" s="13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</row>
    <row r="298" spans="1:49" x14ac:dyDescent="0.25">
      <c r="A298" s="13"/>
      <c r="B298" s="13"/>
      <c r="C298" s="13"/>
      <c r="D298" s="13"/>
      <c r="E298" s="13"/>
      <c r="F298" s="13"/>
      <c r="G298" s="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</row>
    <row r="299" spans="1:49" x14ac:dyDescent="0.25">
      <c r="A299" s="13"/>
      <c r="B299" s="13"/>
      <c r="C299" s="13"/>
      <c r="D299" s="13"/>
      <c r="E299" s="13"/>
      <c r="F299" s="13"/>
      <c r="G299" s="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</row>
    <row r="300" spans="1:49" x14ac:dyDescent="0.25">
      <c r="A300" s="13"/>
      <c r="B300" s="13"/>
      <c r="C300" s="13"/>
      <c r="D300" s="13"/>
      <c r="E300" s="13"/>
      <c r="F300" s="13"/>
      <c r="G300" s="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</row>
    <row r="301" spans="1:49" x14ac:dyDescent="0.25">
      <c r="A301" s="13"/>
      <c r="B301" s="13"/>
      <c r="C301" s="13"/>
      <c r="D301" s="13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</row>
    <row r="302" spans="1:49" x14ac:dyDescent="0.25">
      <c r="A302" s="13"/>
      <c r="B302" s="13"/>
      <c r="C302" s="13"/>
      <c r="D302" s="13"/>
      <c r="E302" s="13"/>
      <c r="F302" s="13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</row>
    <row r="303" spans="1:49" x14ac:dyDescent="0.25">
      <c r="A303" s="13"/>
      <c r="B303" s="13"/>
      <c r="C303" s="13"/>
      <c r="D303" s="13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</row>
    <row r="304" spans="1:49" x14ac:dyDescent="0.25">
      <c r="A304" s="13"/>
      <c r="B304" s="13"/>
      <c r="C304" s="13"/>
      <c r="D304" s="13"/>
      <c r="E304" s="13"/>
      <c r="F304" s="13"/>
      <c r="G304" s="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</row>
    <row r="305" spans="1:49" x14ac:dyDescent="0.25">
      <c r="A305" s="13"/>
      <c r="B305" s="13"/>
      <c r="C305" s="13"/>
      <c r="D305" s="13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</row>
    <row r="306" spans="1:49" x14ac:dyDescent="0.25">
      <c r="A306" s="13"/>
      <c r="B306" s="13"/>
      <c r="C306" s="13"/>
      <c r="D306" s="13"/>
      <c r="E306" s="13"/>
      <c r="F306" s="13"/>
      <c r="G306" s="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</row>
    <row r="307" spans="1:49" x14ac:dyDescent="0.25">
      <c r="A307" s="13"/>
      <c r="B307" s="13"/>
      <c r="C307" s="13"/>
      <c r="D307" s="13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</row>
    <row r="308" spans="1:49" x14ac:dyDescent="0.25">
      <c r="A308" s="13"/>
      <c r="B308" s="13"/>
      <c r="C308" s="13"/>
      <c r="D308" s="13"/>
      <c r="E308" s="13"/>
      <c r="F308" s="13"/>
      <c r="G308" s="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</row>
    <row r="309" spans="1:49" x14ac:dyDescent="0.25">
      <c r="A309" s="13"/>
      <c r="B309" s="13"/>
      <c r="C309" s="13"/>
      <c r="D309" s="13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</row>
    <row r="310" spans="1:49" x14ac:dyDescent="0.25">
      <c r="A310" s="13"/>
      <c r="B310" s="13"/>
      <c r="C310" s="13"/>
      <c r="D310" s="13"/>
      <c r="E310" s="13"/>
      <c r="F310" s="13"/>
      <c r="G310" s="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</row>
    <row r="311" spans="1:49" x14ac:dyDescent="0.25">
      <c r="A311" s="13"/>
      <c r="B311" s="13"/>
      <c r="C311" s="13"/>
      <c r="D311" s="13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</row>
    <row r="312" spans="1:49" x14ac:dyDescent="0.25">
      <c r="A312" s="13"/>
      <c r="B312" s="13"/>
      <c r="C312" s="13"/>
      <c r="D312" s="13"/>
      <c r="E312" s="13"/>
      <c r="F312" s="13"/>
      <c r="G312" s="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</row>
    <row r="313" spans="1:49" x14ac:dyDescent="0.25">
      <c r="A313" s="13"/>
      <c r="B313" s="13"/>
      <c r="C313" s="13"/>
      <c r="D313" s="13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</row>
    <row r="314" spans="1:49" x14ac:dyDescent="0.25">
      <c r="A314" s="13"/>
      <c r="B314" s="13"/>
      <c r="C314" s="13"/>
      <c r="D314" s="13"/>
      <c r="E314" s="13"/>
      <c r="F314" s="13"/>
      <c r="G314" s="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</row>
    <row r="315" spans="1:49" x14ac:dyDescent="0.25">
      <c r="A315" s="13"/>
      <c r="B315" s="13"/>
      <c r="C315" s="13"/>
      <c r="D315" s="13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</row>
    <row r="316" spans="1:49" x14ac:dyDescent="0.25">
      <c r="A316" s="13"/>
      <c r="B316" s="13"/>
      <c r="C316" s="13"/>
      <c r="D316" s="13"/>
      <c r="E316" s="13"/>
      <c r="F316" s="13"/>
      <c r="G316" s="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</row>
    <row r="317" spans="1:49" x14ac:dyDescent="0.25">
      <c r="A317" s="13"/>
      <c r="B317" s="13"/>
      <c r="C317" s="13"/>
      <c r="D317" s="13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</row>
    <row r="318" spans="1:49" x14ac:dyDescent="0.25">
      <c r="A318" s="13"/>
      <c r="B318" s="13"/>
      <c r="C318" s="13"/>
      <c r="D318" s="13"/>
      <c r="E318" s="13"/>
      <c r="F318" s="13"/>
      <c r="G318" s="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</row>
    <row r="319" spans="1:49" x14ac:dyDescent="0.25">
      <c r="A319" s="13"/>
      <c r="B319" s="13"/>
      <c r="C319" s="13"/>
      <c r="D319" s="13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</row>
    <row r="320" spans="1:49" x14ac:dyDescent="0.25">
      <c r="A320" s="13"/>
      <c r="B320" s="13"/>
      <c r="C320" s="13"/>
      <c r="D320" s="13"/>
      <c r="E320" s="13"/>
      <c r="F320" s="13"/>
      <c r="G320" s="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</row>
    <row r="321" spans="1:49" x14ac:dyDescent="0.25">
      <c r="A321" s="13"/>
      <c r="B321" s="13"/>
      <c r="C321" s="13"/>
      <c r="D321" s="13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</row>
    <row r="322" spans="1:49" x14ac:dyDescent="0.25">
      <c r="A322" s="13"/>
      <c r="B322" s="13"/>
      <c r="C322" s="13"/>
      <c r="D322" s="13"/>
      <c r="E322" s="13"/>
      <c r="F322" s="13"/>
      <c r="G322" s="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</row>
    <row r="323" spans="1:49" x14ac:dyDescent="0.25">
      <c r="A323" s="13"/>
      <c r="B323" s="13"/>
      <c r="C323" s="13"/>
      <c r="D323" s="13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</row>
    <row r="324" spans="1:49" x14ac:dyDescent="0.25">
      <c r="A324" s="13"/>
      <c r="B324" s="13"/>
      <c r="C324" s="13"/>
      <c r="D324" s="13"/>
      <c r="E324" s="13"/>
      <c r="F324" s="13"/>
      <c r="G324" s="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</row>
    <row r="325" spans="1:49" x14ac:dyDescent="0.25">
      <c r="A325" s="13"/>
      <c r="B325" s="13"/>
      <c r="C325" s="13"/>
      <c r="D325" s="13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</row>
    <row r="326" spans="1:49" x14ac:dyDescent="0.25">
      <c r="A326" s="13"/>
      <c r="B326" s="13"/>
      <c r="C326" s="13"/>
      <c r="D326" s="13"/>
      <c r="E326" s="13"/>
      <c r="F326" s="13"/>
      <c r="G326" s="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</row>
    <row r="327" spans="1:49" x14ac:dyDescent="0.25">
      <c r="A327" s="13"/>
      <c r="B327" s="13"/>
      <c r="C327" s="13"/>
      <c r="D327" s="13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</row>
    <row r="328" spans="1:49" x14ac:dyDescent="0.25">
      <c r="A328" s="13"/>
      <c r="B328" s="13"/>
      <c r="C328" s="13"/>
      <c r="D328" s="13"/>
      <c r="E328" s="13"/>
      <c r="F328" s="13"/>
      <c r="G328" s="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</row>
    <row r="329" spans="1:49" x14ac:dyDescent="0.25">
      <c r="A329" s="13"/>
      <c r="B329" s="13"/>
      <c r="C329" s="13"/>
      <c r="D329" s="13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</row>
    <row r="330" spans="1:49" x14ac:dyDescent="0.25">
      <c r="A330" s="13"/>
      <c r="B330" s="13"/>
      <c r="C330" s="13"/>
      <c r="D330" s="13"/>
      <c r="E330" s="13"/>
      <c r="F330" s="13"/>
      <c r="G330" s="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</row>
    <row r="331" spans="1:49" x14ac:dyDescent="0.25">
      <c r="A331" s="13"/>
      <c r="B331" s="13"/>
      <c r="C331" s="13"/>
      <c r="D331" s="13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</row>
    <row r="332" spans="1:49" x14ac:dyDescent="0.25">
      <c r="A332" s="13"/>
      <c r="B332" s="13"/>
      <c r="C332" s="13"/>
      <c r="D332" s="13"/>
      <c r="E332" s="13"/>
      <c r="F332" s="13"/>
      <c r="G332" s="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</row>
    <row r="333" spans="1:49" x14ac:dyDescent="0.25">
      <c r="A333" s="13"/>
      <c r="B333" s="13"/>
      <c r="C333" s="13"/>
      <c r="D333" s="13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</row>
    <row r="334" spans="1:49" x14ac:dyDescent="0.25">
      <c r="A334" s="13"/>
      <c r="B334" s="13"/>
      <c r="C334" s="13"/>
      <c r="D334" s="13"/>
      <c r="E334" s="13"/>
      <c r="F334" s="13"/>
      <c r="G334" s="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</row>
    <row r="335" spans="1:49" x14ac:dyDescent="0.25">
      <c r="A335" s="13"/>
      <c r="B335" s="13"/>
      <c r="C335" s="13"/>
      <c r="D335" s="13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</row>
    <row r="336" spans="1:49" x14ac:dyDescent="0.25">
      <c r="A336" s="13"/>
      <c r="B336" s="13"/>
      <c r="C336" s="13"/>
      <c r="D336" s="13"/>
      <c r="E336" s="13"/>
      <c r="F336" s="13"/>
      <c r="G336" s="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</row>
    <row r="337" spans="1:49" x14ac:dyDescent="0.25">
      <c r="A337" s="13"/>
      <c r="B337" s="13"/>
      <c r="C337" s="13"/>
      <c r="D337" s="13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</row>
    <row r="338" spans="1:49" x14ac:dyDescent="0.25">
      <c r="A338" s="13"/>
      <c r="B338" s="13"/>
      <c r="C338" s="13"/>
      <c r="D338" s="13"/>
      <c r="E338" s="13"/>
      <c r="F338" s="13"/>
      <c r="G338" s="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</row>
    <row r="339" spans="1:49" x14ac:dyDescent="0.25">
      <c r="A339" s="13"/>
      <c r="B339" s="13"/>
      <c r="C339" s="13"/>
      <c r="D339" s="13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</row>
    <row r="340" spans="1:49" x14ac:dyDescent="0.25">
      <c r="A340" s="13"/>
      <c r="B340" s="13"/>
      <c r="C340" s="13"/>
      <c r="D340" s="13"/>
      <c r="E340" s="13"/>
      <c r="F340" s="13"/>
      <c r="G340" s="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</row>
    <row r="341" spans="1:49" x14ac:dyDescent="0.25">
      <c r="A341" s="13"/>
      <c r="B341" s="13"/>
      <c r="C341" s="13"/>
      <c r="D341" s="13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</row>
    <row r="342" spans="1:49" x14ac:dyDescent="0.25">
      <c r="A342" s="13"/>
      <c r="B342" s="13"/>
      <c r="C342" s="13"/>
      <c r="D342" s="13"/>
      <c r="E342" s="13"/>
      <c r="F342" s="13"/>
      <c r="G342" s="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</row>
    <row r="343" spans="1:49" x14ac:dyDescent="0.25">
      <c r="A343" s="13"/>
      <c r="B343" s="13"/>
      <c r="C343" s="13"/>
      <c r="D343" s="13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</row>
    <row r="344" spans="1:49" x14ac:dyDescent="0.25">
      <c r="A344" s="13"/>
      <c r="B344" s="13"/>
      <c r="C344" s="13"/>
      <c r="D344" s="13"/>
      <c r="E344" s="13"/>
      <c r="F344" s="13"/>
      <c r="G344" s="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</row>
    <row r="345" spans="1:49" x14ac:dyDescent="0.25">
      <c r="A345" s="13"/>
      <c r="B345" s="13"/>
      <c r="C345" s="13"/>
      <c r="D345" s="13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</row>
    <row r="346" spans="1:49" x14ac:dyDescent="0.25">
      <c r="A346" s="13"/>
      <c r="B346" s="13"/>
      <c r="C346" s="13"/>
      <c r="D346" s="13"/>
      <c r="E346" s="13"/>
      <c r="F346" s="13"/>
      <c r="G346" s="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</row>
    <row r="347" spans="1:49" x14ac:dyDescent="0.25">
      <c r="A347" s="13"/>
      <c r="B347" s="13"/>
      <c r="C347" s="13"/>
      <c r="D347" s="13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</row>
    <row r="348" spans="1:49" x14ac:dyDescent="0.25">
      <c r="A348" s="13"/>
      <c r="B348" s="13"/>
      <c r="C348" s="13"/>
      <c r="D348" s="13"/>
      <c r="E348" s="13"/>
      <c r="F348" s="13"/>
      <c r="G348" s="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</row>
    <row r="349" spans="1:49" x14ac:dyDescent="0.25">
      <c r="A349" s="13"/>
      <c r="B349" s="13"/>
      <c r="C349" s="13"/>
      <c r="D349" s="13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</row>
    <row r="350" spans="1:49" x14ac:dyDescent="0.25">
      <c r="A350" s="13"/>
      <c r="B350" s="13"/>
      <c r="C350" s="13"/>
      <c r="D350" s="13"/>
      <c r="E350" s="13"/>
      <c r="F350" s="13"/>
      <c r="G350" s="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</row>
    <row r="351" spans="1:49" x14ac:dyDescent="0.25">
      <c r="A351" s="13"/>
      <c r="B351" s="13"/>
      <c r="C351" s="13"/>
      <c r="D351" s="13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</row>
    <row r="352" spans="1:49" x14ac:dyDescent="0.25">
      <c r="A352" s="13"/>
      <c r="B352" s="13"/>
      <c r="C352" s="13"/>
      <c r="D352" s="13"/>
      <c r="E352" s="13"/>
      <c r="F352" s="13"/>
      <c r="G352" s="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</row>
    <row r="353" spans="1:49" x14ac:dyDescent="0.25">
      <c r="A353" s="13"/>
      <c r="B353" s="13"/>
      <c r="C353" s="13"/>
      <c r="D353" s="13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</row>
    <row r="354" spans="1:49" x14ac:dyDescent="0.25">
      <c r="A354" s="13"/>
      <c r="B354" s="13"/>
      <c r="C354" s="13"/>
      <c r="D354" s="13"/>
      <c r="E354" s="13"/>
      <c r="F354" s="13"/>
      <c r="G354" s="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</row>
    <row r="355" spans="1:49" x14ac:dyDescent="0.25">
      <c r="A355" s="13"/>
      <c r="B355" s="13"/>
      <c r="C355" s="13"/>
      <c r="D355" s="13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</row>
    <row r="356" spans="1:49" x14ac:dyDescent="0.25">
      <c r="A356" s="13"/>
      <c r="B356" s="13"/>
      <c r="C356" s="13"/>
      <c r="D356" s="13"/>
      <c r="E356" s="13"/>
      <c r="F356" s="13"/>
      <c r="G356" s="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</row>
    <row r="357" spans="1:49" x14ac:dyDescent="0.25">
      <c r="A357" s="13"/>
      <c r="B357" s="13"/>
      <c r="C357" s="13"/>
      <c r="D357" s="13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</row>
    <row r="358" spans="1:49" x14ac:dyDescent="0.25">
      <c r="A358" s="13"/>
      <c r="B358" s="13"/>
      <c r="C358" s="13"/>
      <c r="D358" s="13"/>
      <c r="E358" s="13"/>
      <c r="F358" s="13"/>
      <c r="G358" s="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</row>
    <row r="359" spans="1:49" x14ac:dyDescent="0.25">
      <c r="A359" s="13"/>
      <c r="B359" s="13"/>
      <c r="C359" s="13"/>
      <c r="D359" s="13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</row>
    <row r="360" spans="1:49" x14ac:dyDescent="0.25">
      <c r="A360" s="13"/>
      <c r="B360" s="13"/>
      <c r="C360" s="13"/>
      <c r="D360" s="13"/>
      <c r="E360" s="13"/>
      <c r="F360" s="13"/>
      <c r="G360" s="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</row>
    <row r="361" spans="1:49" x14ac:dyDescent="0.25">
      <c r="A361" s="13"/>
      <c r="B361" s="13"/>
      <c r="C361" s="13"/>
      <c r="D361" s="13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</row>
    <row r="362" spans="1:49" x14ac:dyDescent="0.25">
      <c r="A362" s="13"/>
      <c r="B362" s="13"/>
      <c r="C362" s="13"/>
      <c r="D362" s="13"/>
      <c r="E362" s="13"/>
      <c r="F362" s="13"/>
      <c r="G362" s="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</row>
    <row r="363" spans="1:49" x14ac:dyDescent="0.25">
      <c r="A363" s="13"/>
      <c r="B363" s="13"/>
      <c r="C363" s="13"/>
      <c r="D363" s="13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</row>
    <row r="364" spans="1:49" x14ac:dyDescent="0.25">
      <c r="A364" s="13"/>
      <c r="B364" s="13"/>
      <c r="C364" s="13"/>
      <c r="D364" s="13"/>
      <c r="E364" s="13"/>
      <c r="F364" s="13"/>
      <c r="G364" s="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</row>
    <row r="365" spans="1:49" x14ac:dyDescent="0.25">
      <c r="A365" s="13"/>
      <c r="B365" s="13"/>
      <c r="C365" s="13"/>
      <c r="D365" s="13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</row>
    <row r="366" spans="1:49" x14ac:dyDescent="0.25">
      <c r="A366" s="13"/>
      <c r="B366" s="13"/>
      <c r="C366" s="13"/>
      <c r="D366" s="13"/>
      <c r="E366" s="13"/>
      <c r="F366" s="13"/>
      <c r="G366" s="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</row>
    <row r="367" spans="1:49" x14ac:dyDescent="0.25">
      <c r="A367" s="13"/>
      <c r="B367" s="13"/>
      <c r="C367" s="13"/>
      <c r="D367" s="13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</row>
    <row r="368" spans="1:49" x14ac:dyDescent="0.25">
      <c r="A368" s="13"/>
      <c r="B368" s="13"/>
      <c r="C368" s="13"/>
      <c r="D368" s="13"/>
      <c r="E368" s="13"/>
      <c r="F368" s="13"/>
      <c r="G368" s="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</row>
    <row r="369" spans="1:49" x14ac:dyDescent="0.25">
      <c r="A369" s="13"/>
      <c r="B369" s="13"/>
      <c r="C369" s="13"/>
      <c r="D369" s="13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</row>
    <row r="370" spans="1:49" x14ac:dyDescent="0.25">
      <c r="A370" s="13"/>
      <c r="B370" s="13"/>
      <c r="C370" s="13"/>
      <c r="D370" s="13"/>
      <c r="E370" s="13"/>
      <c r="F370" s="13"/>
      <c r="G370" s="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</row>
    <row r="371" spans="1:49" x14ac:dyDescent="0.25">
      <c r="A371" s="13"/>
      <c r="B371" s="13"/>
      <c r="C371" s="13"/>
      <c r="D371" s="13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</row>
    <row r="372" spans="1:49" x14ac:dyDescent="0.25">
      <c r="A372" s="13"/>
      <c r="B372" s="13"/>
      <c r="C372" s="13"/>
      <c r="D372" s="13"/>
      <c r="E372" s="13"/>
      <c r="F372" s="13"/>
      <c r="G372" s="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</row>
    <row r="373" spans="1:49" x14ac:dyDescent="0.25">
      <c r="A373" s="13"/>
      <c r="B373" s="13"/>
      <c r="C373" s="13"/>
      <c r="D373" s="13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</row>
    <row r="374" spans="1:49" x14ac:dyDescent="0.25">
      <c r="A374" s="13"/>
      <c r="B374" s="13"/>
      <c r="C374" s="13"/>
      <c r="D374" s="13"/>
      <c r="E374" s="13"/>
      <c r="F374" s="13"/>
      <c r="G374" s="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</row>
    <row r="375" spans="1:49" x14ac:dyDescent="0.25">
      <c r="A375" s="13"/>
      <c r="B375" s="13"/>
      <c r="C375" s="13"/>
      <c r="D375" s="13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</row>
    <row r="376" spans="1:49" x14ac:dyDescent="0.25">
      <c r="A376" s="13"/>
      <c r="B376" s="13"/>
      <c r="C376" s="13"/>
      <c r="D376" s="13"/>
      <c r="E376" s="13"/>
      <c r="F376" s="13"/>
      <c r="G376" s="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</row>
    <row r="377" spans="1:49" x14ac:dyDescent="0.25">
      <c r="A377" s="13"/>
      <c r="B377" s="13"/>
      <c r="C377" s="13"/>
      <c r="D377" s="13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</row>
    <row r="378" spans="1:49" x14ac:dyDescent="0.25">
      <c r="A378" s="13"/>
      <c r="B378" s="13"/>
      <c r="C378" s="13"/>
      <c r="D378" s="13"/>
      <c r="E378" s="13"/>
      <c r="F378" s="13"/>
      <c r="G378" s="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</row>
    <row r="379" spans="1:49" x14ac:dyDescent="0.25">
      <c r="A379" s="13"/>
      <c r="B379" s="13"/>
      <c r="C379" s="13"/>
      <c r="D379" s="13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</row>
    <row r="380" spans="1:49" x14ac:dyDescent="0.25">
      <c r="A380" s="13"/>
      <c r="B380" s="13"/>
      <c r="C380" s="13"/>
      <c r="D380" s="13"/>
      <c r="E380" s="13"/>
      <c r="F380" s="13"/>
      <c r="G380" s="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</row>
    <row r="381" spans="1:49" x14ac:dyDescent="0.25">
      <c r="A381" s="13"/>
      <c r="B381" s="13"/>
      <c r="C381" s="13"/>
      <c r="D381" s="13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</row>
    <row r="382" spans="1:49" x14ac:dyDescent="0.25">
      <c r="A382" s="13"/>
      <c r="B382" s="13"/>
      <c r="C382" s="13"/>
      <c r="D382" s="13"/>
      <c r="E382" s="13"/>
      <c r="F382" s="13"/>
      <c r="G382" s="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</row>
    <row r="383" spans="1:49" x14ac:dyDescent="0.25">
      <c r="A383" s="13"/>
      <c r="B383" s="13"/>
      <c r="C383" s="13"/>
      <c r="D383" s="13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</row>
    <row r="384" spans="1:49" x14ac:dyDescent="0.25">
      <c r="A384" s="13"/>
      <c r="B384" s="13"/>
      <c r="C384" s="13"/>
      <c r="D384" s="13"/>
      <c r="E384" s="13"/>
      <c r="F384" s="13"/>
      <c r="G384" s="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</row>
    <row r="385" spans="1:49" x14ac:dyDescent="0.25">
      <c r="A385" s="13"/>
      <c r="B385" s="13"/>
      <c r="C385" s="13"/>
      <c r="D385" s="13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</row>
    <row r="386" spans="1:49" x14ac:dyDescent="0.25">
      <c r="A386" s="13"/>
      <c r="B386" s="13"/>
      <c r="C386" s="13"/>
      <c r="D386" s="13"/>
      <c r="E386" s="13"/>
      <c r="F386" s="13"/>
      <c r="G386" s="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</row>
    <row r="387" spans="1:49" x14ac:dyDescent="0.25">
      <c r="A387" s="13"/>
      <c r="B387" s="13"/>
      <c r="C387" s="13"/>
      <c r="D387" s="13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</row>
    <row r="388" spans="1:49" x14ac:dyDescent="0.25">
      <c r="A388" s="13"/>
      <c r="B388" s="13"/>
      <c r="C388" s="13"/>
      <c r="D388" s="13"/>
      <c r="E388" s="13"/>
      <c r="F388" s="13"/>
      <c r="G388" s="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</row>
    <row r="389" spans="1:49" x14ac:dyDescent="0.25">
      <c r="A389" s="13"/>
      <c r="B389" s="13"/>
      <c r="C389" s="13"/>
      <c r="D389" s="13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</row>
    <row r="390" spans="1:49" x14ac:dyDescent="0.25">
      <c r="A390" s="13"/>
      <c r="B390" s="13"/>
      <c r="C390" s="13"/>
      <c r="D390" s="13"/>
      <c r="E390" s="13"/>
      <c r="F390" s="13"/>
      <c r="G390" s="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</row>
    <row r="391" spans="1:49" x14ac:dyDescent="0.25">
      <c r="A391" s="13"/>
      <c r="B391" s="13"/>
      <c r="C391" s="13"/>
      <c r="D391" s="13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</row>
    <row r="392" spans="1:49" x14ac:dyDescent="0.25">
      <c r="A392" s="13"/>
      <c r="B392" s="13"/>
      <c r="C392" s="13"/>
      <c r="D392" s="13"/>
      <c r="E392" s="13"/>
      <c r="F392" s="13"/>
      <c r="G392" s="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</row>
    <row r="393" spans="1:49" x14ac:dyDescent="0.25">
      <c r="A393" s="13"/>
      <c r="B393" s="13"/>
      <c r="C393" s="13"/>
      <c r="D393" s="13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</row>
    <row r="394" spans="1:49" x14ac:dyDescent="0.25">
      <c r="A394" s="13"/>
      <c r="B394" s="13"/>
      <c r="C394" s="13"/>
      <c r="D394" s="13"/>
      <c r="E394" s="13"/>
      <c r="F394" s="13"/>
      <c r="G394" s="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</row>
    <row r="395" spans="1:49" x14ac:dyDescent="0.25">
      <c r="A395" s="13"/>
      <c r="B395" s="13"/>
      <c r="C395" s="13"/>
      <c r="D395" s="13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</row>
    <row r="396" spans="1:49" x14ac:dyDescent="0.25">
      <c r="A396" s="13"/>
      <c r="B396" s="13"/>
      <c r="C396" s="13"/>
      <c r="D396" s="13"/>
      <c r="E396" s="13"/>
      <c r="F396" s="13"/>
      <c r="G396" s="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</row>
    <row r="397" spans="1:49" x14ac:dyDescent="0.25">
      <c r="A397" s="13"/>
      <c r="B397" s="13"/>
      <c r="C397" s="13"/>
      <c r="D397" s="13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</row>
    <row r="398" spans="1:49" x14ac:dyDescent="0.25">
      <c r="A398" s="13"/>
      <c r="B398" s="13"/>
      <c r="C398" s="13"/>
      <c r="D398" s="13"/>
      <c r="E398" s="13"/>
      <c r="F398" s="13"/>
      <c r="G398" s="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</row>
    <row r="399" spans="1:49" x14ac:dyDescent="0.25">
      <c r="A399" s="13"/>
      <c r="B399" s="13"/>
      <c r="C399" s="13"/>
      <c r="D399" s="13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</row>
    <row r="400" spans="1:49" x14ac:dyDescent="0.25">
      <c r="A400" s="13"/>
      <c r="B400" s="13"/>
      <c r="C400" s="13"/>
      <c r="D400" s="13"/>
      <c r="E400" s="13"/>
      <c r="F400" s="13"/>
      <c r="G400" s="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</row>
    <row r="401" spans="1:49" x14ac:dyDescent="0.25">
      <c r="A401" s="13"/>
      <c r="B401" s="13"/>
      <c r="C401" s="13"/>
      <c r="D401" s="13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</row>
    <row r="402" spans="1:49" x14ac:dyDescent="0.25">
      <c r="A402" s="13"/>
      <c r="B402" s="13"/>
      <c r="C402" s="13"/>
      <c r="D402" s="13"/>
      <c r="E402" s="13"/>
      <c r="F402" s="13"/>
      <c r="G402" s="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</row>
    <row r="403" spans="1:49" x14ac:dyDescent="0.25">
      <c r="A403" s="13"/>
      <c r="B403" s="13"/>
      <c r="C403" s="13"/>
      <c r="D403" s="13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</row>
    <row r="404" spans="1:49" x14ac:dyDescent="0.25">
      <c r="A404" s="13"/>
      <c r="B404" s="13"/>
      <c r="C404" s="13"/>
      <c r="D404" s="13"/>
      <c r="E404" s="13"/>
      <c r="F404" s="13"/>
      <c r="G404" s="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</row>
    <row r="405" spans="1:49" x14ac:dyDescent="0.25">
      <c r="A405" s="13"/>
      <c r="B405" s="13"/>
      <c r="C405" s="13"/>
      <c r="D405" s="13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</row>
    <row r="406" spans="1:49" x14ac:dyDescent="0.25">
      <c r="A406" s="13"/>
      <c r="B406" s="13"/>
      <c r="C406" s="13"/>
      <c r="D406" s="13"/>
      <c r="E406" s="13"/>
      <c r="F406" s="13"/>
      <c r="G406" s="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</row>
    <row r="407" spans="1:49" x14ac:dyDescent="0.25">
      <c r="A407" s="13"/>
      <c r="B407" s="13"/>
      <c r="C407" s="13"/>
      <c r="D407" s="13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</row>
    <row r="408" spans="1:49" x14ac:dyDescent="0.25">
      <c r="A408" s="13"/>
      <c r="B408" s="13"/>
      <c r="C408" s="13"/>
      <c r="D408" s="13"/>
      <c r="E408" s="13"/>
      <c r="F408" s="13"/>
      <c r="G408" s="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</row>
    <row r="409" spans="1:49" x14ac:dyDescent="0.25">
      <c r="A409" s="13"/>
      <c r="B409" s="13"/>
      <c r="C409" s="13"/>
      <c r="D409" s="13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</row>
    <row r="410" spans="1:49" x14ac:dyDescent="0.25">
      <c r="A410" s="13"/>
      <c r="B410" s="13"/>
      <c r="C410" s="13"/>
      <c r="D410" s="13"/>
      <c r="E410" s="13"/>
      <c r="F410" s="13"/>
      <c r="G410" s="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</row>
    <row r="411" spans="1:49" x14ac:dyDescent="0.25">
      <c r="A411" s="13"/>
      <c r="B411" s="13"/>
      <c r="C411" s="13"/>
      <c r="D411" s="13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</row>
    <row r="412" spans="1:49" x14ac:dyDescent="0.25">
      <c r="A412" s="13"/>
      <c r="B412" s="13"/>
      <c r="C412" s="13"/>
      <c r="D412" s="13"/>
      <c r="E412" s="13"/>
      <c r="F412" s="13"/>
      <c r="G412" s="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</row>
    <row r="413" spans="1:49" x14ac:dyDescent="0.25">
      <c r="A413" s="13"/>
      <c r="B413" s="13"/>
      <c r="C413" s="13"/>
      <c r="D413" s="13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</row>
    <row r="414" spans="1:49" x14ac:dyDescent="0.25">
      <c r="A414" s="13"/>
      <c r="B414" s="13"/>
      <c r="C414" s="13"/>
      <c r="D414" s="13"/>
      <c r="E414" s="13"/>
      <c r="F414" s="13"/>
      <c r="G414" s="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</row>
    <row r="415" spans="1:49" x14ac:dyDescent="0.25">
      <c r="A415" s="13"/>
      <c r="B415" s="13"/>
      <c r="C415" s="13"/>
      <c r="D415" s="13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</row>
    <row r="416" spans="1:49" x14ac:dyDescent="0.25">
      <c r="A416" s="13"/>
      <c r="B416" s="13"/>
      <c r="C416" s="13"/>
      <c r="D416" s="13"/>
      <c r="E416" s="13"/>
      <c r="F416" s="13"/>
      <c r="G416" s="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</row>
    <row r="417" spans="1:49" x14ac:dyDescent="0.25">
      <c r="A417" s="13"/>
      <c r="B417" s="13"/>
      <c r="C417" s="13"/>
      <c r="D417" s="13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</row>
    <row r="418" spans="1:49" x14ac:dyDescent="0.25">
      <c r="A418" s="13"/>
      <c r="B418" s="13"/>
      <c r="C418" s="13"/>
      <c r="D418" s="13"/>
      <c r="E418" s="13"/>
      <c r="F418" s="13"/>
      <c r="G418" s="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</row>
    <row r="419" spans="1:49" x14ac:dyDescent="0.25">
      <c r="A419" s="13"/>
      <c r="B419" s="13"/>
      <c r="C419" s="13"/>
      <c r="D419" s="13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</row>
    <row r="420" spans="1:49" x14ac:dyDescent="0.25">
      <c r="A420" s="13"/>
      <c r="B420" s="13"/>
      <c r="C420" s="13"/>
      <c r="D420" s="13"/>
      <c r="E420" s="13"/>
      <c r="F420" s="13"/>
      <c r="G420" s="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</row>
    <row r="421" spans="1:49" x14ac:dyDescent="0.25">
      <c r="A421" s="13"/>
      <c r="B421" s="13"/>
      <c r="C421" s="13"/>
      <c r="D421" s="13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</row>
    <row r="422" spans="1:49" x14ac:dyDescent="0.25">
      <c r="A422" s="13"/>
      <c r="B422" s="13"/>
      <c r="C422" s="13"/>
      <c r="D422" s="13"/>
      <c r="E422" s="13"/>
      <c r="F422" s="13"/>
      <c r="G422" s="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</row>
    <row r="423" spans="1:49" x14ac:dyDescent="0.25">
      <c r="A423" s="13"/>
      <c r="B423" s="13"/>
      <c r="C423" s="13"/>
      <c r="D423" s="13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</row>
    <row r="424" spans="1:49" x14ac:dyDescent="0.25">
      <c r="A424" s="13"/>
      <c r="B424" s="13"/>
      <c r="C424" s="13"/>
      <c r="D424" s="13"/>
      <c r="E424" s="13"/>
      <c r="F424" s="13"/>
      <c r="G424" s="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</row>
    <row r="425" spans="1:49" x14ac:dyDescent="0.25">
      <c r="A425" s="13"/>
      <c r="B425" s="13"/>
      <c r="C425" s="13"/>
      <c r="D425" s="13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</row>
    <row r="426" spans="1:49" x14ac:dyDescent="0.25">
      <c r="A426" s="13"/>
      <c r="B426" s="13"/>
      <c r="C426" s="13"/>
      <c r="D426" s="13"/>
      <c r="E426" s="13"/>
      <c r="F426" s="13"/>
      <c r="G426" s="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</row>
    <row r="427" spans="1:49" x14ac:dyDescent="0.25">
      <c r="A427" s="13"/>
      <c r="B427" s="13"/>
      <c r="C427" s="13"/>
      <c r="D427" s="13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</row>
    <row r="428" spans="1:49" x14ac:dyDescent="0.25">
      <c r="A428" s="13"/>
      <c r="B428" s="13"/>
      <c r="C428" s="13"/>
      <c r="D428" s="13"/>
      <c r="E428" s="13"/>
      <c r="F428" s="13"/>
      <c r="G428" s="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</row>
    <row r="429" spans="1:49" x14ac:dyDescent="0.25">
      <c r="A429" s="13"/>
      <c r="B429" s="13"/>
      <c r="C429" s="13"/>
      <c r="D429" s="13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</row>
    <row r="430" spans="1:49" x14ac:dyDescent="0.25">
      <c r="A430" s="13"/>
      <c r="B430" s="13"/>
      <c r="C430" s="13"/>
      <c r="D430" s="13"/>
      <c r="E430" s="13"/>
      <c r="F430" s="13"/>
      <c r="G430" s="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</row>
    <row r="431" spans="1:49" x14ac:dyDescent="0.25">
      <c r="A431" s="13"/>
      <c r="B431" s="13"/>
      <c r="C431" s="13"/>
      <c r="D431" s="13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</row>
    <row r="432" spans="1:49" x14ac:dyDescent="0.25">
      <c r="A432" s="13"/>
      <c r="B432" s="13"/>
      <c r="C432" s="13"/>
      <c r="D432" s="13"/>
      <c r="E432" s="13"/>
      <c r="F432" s="13"/>
      <c r="G432" s="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</row>
    <row r="433" spans="1:49" x14ac:dyDescent="0.25">
      <c r="A433" s="13"/>
      <c r="B433" s="13"/>
      <c r="C433" s="13"/>
      <c r="D433" s="13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</row>
    <row r="434" spans="1:49" x14ac:dyDescent="0.25">
      <c r="A434" s="13"/>
      <c r="B434" s="13"/>
      <c r="C434" s="13"/>
      <c r="D434" s="13"/>
      <c r="E434" s="13"/>
      <c r="F434" s="13"/>
      <c r="G434" s="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</row>
    <row r="435" spans="1:49" x14ac:dyDescent="0.25">
      <c r="A435" s="13"/>
      <c r="B435" s="13"/>
      <c r="C435" s="13"/>
      <c r="D435" s="13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</row>
    <row r="436" spans="1:49" x14ac:dyDescent="0.25">
      <c r="A436" s="13"/>
      <c r="B436" s="13"/>
      <c r="C436" s="13"/>
      <c r="D436" s="13"/>
      <c r="E436" s="13"/>
      <c r="F436" s="13"/>
      <c r="G436" s="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</row>
    <row r="437" spans="1:49" x14ac:dyDescent="0.25">
      <c r="A437" s="13"/>
      <c r="B437" s="13"/>
      <c r="C437" s="13"/>
      <c r="D437" s="13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</row>
    <row r="438" spans="1:49" x14ac:dyDescent="0.25">
      <c r="A438" s="13"/>
      <c r="B438" s="13"/>
      <c r="C438" s="13"/>
      <c r="D438" s="13"/>
      <c r="E438" s="13"/>
      <c r="F438" s="13"/>
      <c r="G438" s="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</row>
    <row r="439" spans="1:49" x14ac:dyDescent="0.25">
      <c r="A439" s="13"/>
      <c r="B439" s="13"/>
      <c r="C439" s="13"/>
      <c r="D439" s="13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</row>
    <row r="440" spans="1:49" x14ac:dyDescent="0.25">
      <c r="A440" s="13"/>
      <c r="B440" s="13"/>
      <c r="C440" s="13"/>
      <c r="D440" s="13"/>
      <c r="E440" s="13"/>
      <c r="F440" s="13"/>
      <c r="G440" s="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</row>
    <row r="441" spans="1:49" x14ac:dyDescent="0.25">
      <c r="A441" s="13"/>
      <c r="B441" s="13"/>
      <c r="C441" s="13"/>
      <c r="D441" s="13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</row>
    <row r="442" spans="1:49" x14ac:dyDescent="0.25">
      <c r="A442" s="13"/>
      <c r="B442" s="13"/>
      <c r="C442" s="13"/>
      <c r="D442" s="13"/>
      <c r="E442" s="13"/>
      <c r="F442" s="13"/>
      <c r="G442" s="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</row>
    <row r="443" spans="1:49" x14ac:dyDescent="0.25">
      <c r="A443" s="13"/>
      <c r="B443" s="13"/>
      <c r="C443" s="13"/>
      <c r="D443" s="13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</row>
    <row r="444" spans="1:49" x14ac:dyDescent="0.25">
      <c r="A444" s="13"/>
      <c r="B444" s="13"/>
      <c r="C444" s="13"/>
      <c r="D444" s="13"/>
      <c r="E444" s="13"/>
      <c r="F444" s="13"/>
      <c r="G444" s="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</row>
    <row r="445" spans="1:49" x14ac:dyDescent="0.25">
      <c r="A445" s="13"/>
      <c r="B445" s="13"/>
      <c r="C445" s="13"/>
      <c r="D445" s="13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</row>
    <row r="446" spans="1:49" x14ac:dyDescent="0.25">
      <c r="A446" s="13"/>
      <c r="B446" s="13"/>
      <c r="C446" s="13"/>
      <c r="D446" s="13"/>
      <c r="E446" s="13"/>
      <c r="F446" s="13"/>
      <c r="G446" s="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</row>
    <row r="447" spans="1:49" x14ac:dyDescent="0.25">
      <c r="A447" s="13"/>
      <c r="B447" s="13"/>
      <c r="C447" s="13"/>
      <c r="D447" s="13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</row>
    <row r="448" spans="1:49" x14ac:dyDescent="0.25">
      <c r="A448" s="13"/>
      <c r="B448" s="13"/>
      <c r="C448" s="13"/>
      <c r="D448" s="13"/>
      <c r="E448" s="13"/>
      <c r="F448" s="13"/>
      <c r="G448" s="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</row>
    <row r="449" spans="1:49" x14ac:dyDescent="0.25">
      <c r="A449" s="13"/>
      <c r="B449" s="13"/>
      <c r="C449" s="13"/>
      <c r="D449" s="13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</row>
    <row r="450" spans="1:49" x14ac:dyDescent="0.25">
      <c r="A450" s="13"/>
      <c r="B450" s="13"/>
      <c r="C450" s="13"/>
      <c r="D450" s="13"/>
      <c r="E450" s="13"/>
      <c r="F450" s="13"/>
      <c r="G450" s="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</row>
    <row r="451" spans="1:49" x14ac:dyDescent="0.25">
      <c r="A451" s="13"/>
      <c r="B451" s="13"/>
      <c r="C451" s="13"/>
      <c r="D451" s="13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</row>
    <row r="452" spans="1:49" x14ac:dyDescent="0.25">
      <c r="A452" s="13"/>
      <c r="B452" s="13"/>
      <c r="C452" s="13"/>
      <c r="D452" s="13"/>
      <c r="E452" s="13"/>
      <c r="F452" s="13"/>
      <c r="G452" s="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</row>
    <row r="453" spans="1:49" x14ac:dyDescent="0.25">
      <c r="A453" s="13"/>
      <c r="B453" s="13"/>
      <c r="C453" s="13"/>
      <c r="D453" s="13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</row>
    <row r="454" spans="1:49" x14ac:dyDescent="0.25">
      <c r="A454" s="13"/>
      <c r="B454" s="13"/>
      <c r="C454" s="13"/>
      <c r="D454" s="13"/>
      <c r="E454" s="13"/>
      <c r="F454" s="13"/>
      <c r="G454" s="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</row>
    <row r="455" spans="1:49" x14ac:dyDescent="0.25">
      <c r="A455" s="13"/>
      <c r="B455" s="13"/>
      <c r="C455" s="13"/>
      <c r="D455" s="13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</row>
    <row r="456" spans="1:49" x14ac:dyDescent="0.25">
      <c r="A456" s="13"/>
      <c r="B456" s="13"/>
      <c r="C456" s="13"/>
      <c r="D456" s="13"/>
      <c r="E456" s="13"/>
      <c r="F456" s="13"/>
      <c r="G456" s="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</row>
    <row r="457" spans="1:49" x14ac:dyDescent="0.25">
      <c r="A457" s="13"/>
      <c r="B457" s="13"/>
      <c r="C457" s="13"/>
      <c r="D457" s="13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</row>
    <row r="458" spans="1:49" x14ac:dyDescent="0.25">
      <c r="A458" s="13"/>
      <c r="B458" s="13"/>
      <c r="C458" s="13"/>
      <c r="D458" s="13"/>
      <c r="E458" s="13"/>
      <c r="F458" s="13"/>
      <c r="G458" s="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</row>
    <row r="459" spans="1:49" x14ac:dyDescent="0.25">
      <c r="A459" s="13"/>
      <c r="B459" s="13"/>
      <c r="C459" s="13"/>
      <c r="D459" s="13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</row>
    <row r="460" spans="1:49" x14ac:dyDescent="0.25">
      <c r="A460" s="13"/>
      <c r="B460" s="13"/>
      <c r="C460" s="13"/>
      <c r="D460" s="13"/>
      <c r="E460" s="13"/>
      <c r="F460" s="13"/>
      <c r="G460" s="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</row>
    <row r="461" spans="1:49" x14ac:dyDescent="0.25">
      <c r="A461" s="13"/>
      <c r="B461" s="13"/>
      <c r="C461" s="13"/>
      <c r="D461" s="13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</row>
    <row r="462" spans="1:49" x14ac:dyDescent="0.25">
      <c r="A462" s="13"/>
      <c r="B462" s="13"/>
      <c r="C462" s="13"/>
      <c r="D462" s="13"/>
      <c r="E462" s="13"/>
      <c r="F462" s="13"/>
      <c r="G462" s="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</row>
    <row r="463" spans="1:49" x14ac:dyDescent="0.25">
      <c r="A463" s="13"/>
      <c r="B463" s="13"/>
      <c r="C463" s="13"/>
      <c r="D463" s="13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</row>
    <row r="464" spans="1:49" x14ac:dyDescent="0.25">
      <c r="A464" s="13"/>
      <c r="B464" s="13"/>
      <c r="C464" s="13"/>
      <c r="D464" s="13"/>
      <c r="E464" s="13"/>
      <c r="F464" s="13"/>
      <c r="G464" s="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</row>
    <row r="465" spans="1:49" x14ac:dyDescent="0.25">
      <c r="A465" s="13"/>
      <c r="B465" s="13"/>
      <c r="C465" s="13"/>
      <c r="D465" s="13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</row>
    <row r="466" spans="1:49" x14ac:dyDescent="0.25">
      <c r="A466" s="13"/>
      <c r="B466" s="13"/>
      <c r="C466" s="13"/>
      <c r="D466" s="13"/>
      <c r="E466" s="13"/>
      <c r="F466" s="13"/>
      <c r="G466" s="7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</row>
    <row r="467" spans="1:49" x14ac:dyDescent="0.25">
      <c r="A467" s="13"/>
      <c r="B467" s="13"/>
      <c r="C467" s="13"/>
      <c r="D467" s="13"/>
      <c r="E467" s="13"/>
      <c r="F467" s="13"/>
      <c r="G467" s="7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</row>
    <row r="468" spans="1:49" x14ac:dyDescent="0.25">
      <c r="A468" s="13"/>
      <c r="B468" s="13"/>
      <c r="C468" s="13"/>
      <c r="D468" s="13"/>
      <c r="E468" s="13"/>
      <c r="F468" s="13"/>
      <c r="G468" s="7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</row>
    <row r="469" spans="1:49" x14ac:dyDescent="0.25">
      <c r="A469" s="13"/>
      <c r="B469" s="13"/>
      <c r="C469" s="13"/>
      <c r="D469" s="13"/>
      <c r="E469" s="13"/>
      <c r="F469" s="13"/>
      <c r="G469" s="7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</row>
    <row r="470" spans="1:49" x14ac:dyDescent="0.25">
      <c r="A470" s="13"/>
      <c r="B470" s="13"/>
      <c r="C470" s="13"/>
      <c r="D470" s="13"/>
      <c r="E470" s="13"/>
      <c r="F470" s="13"/>
      <c r="G470" s="7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</row>
    <row r="471" spans="1:49" x14ac:dyDescent="0.25">
      <c r="A471" s="13"/>
      <c r="B471" s="13"/>
      <c r="C471" s="13"/>
      <c r="D471" s="13"/>
      <c r="E471" s="13"/>
      <c r="F471" s="13"/>
      <c r="G471" s="7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</row>
    <row r="472" spans="1:49" x14ac:dyDescent="0.25">
      <c r="A472" s="13"/>
      <c r="B472" s="13"/>
      <c r="C472" s="13"/>
      <c r="D472" s="13"/>
      <c r="E472" s="13"/>
      <c r="F472" s="13"/>
      <c r="G472" s="7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</row>
    <row r="473" spans="1:49" x14ac:dyDescent="0.25">
      <c r="A473" s="13"/>
      <c r="B473" s="13"/>
      <c r="C473" s="13"/>
      <c r="D473" s="13"/>
      <c r="E473" s="13"/>
      <c r="F473" s="13"/>
      <c r="G473" s="7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</row>
    <row r="474" spans="1:49" x14ac:dyDescent="0.25">
      <c r="A474" s="13"/>
      <c r="B474" s="13"/>
      <c r="C474" s="13"/>
      <c r="D474" s="13"/>
      <c r="E474" s="13"/>
      <c r="F474" s="13"/>
      <c r="G474" s="7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</row>
    <row r="475" spans="1:49" x14ac:dyDescent="0.25">
      <c r="A475" s="13"/>
      <c r="B475" s="13"/>
      <c r="C475" s="13"/>
      <c r="D475" s="13"/>
      <c r="E475" s="13"/>
      <c r="F475" s="13"/>
      <c r="G475" s="7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</row>
    <row r="476" spans="1:49" x14ac:dyDescent="0.25">
      <c r="A476" s="13"/>
      <c r="B476" s="13"/>
      <c r="C476" s="13"/>
      <c r="D476" s="13"/>
      <c r="E476" s="13"/>
      <c r="F476" s="13"/>
      <c r="G476" s="7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</row>
    <row r="477" spans="1:49" x14ac:dyDescent="0.25">
      <c r="A477" s="13"/>
      <c r="B477" s="13"/>
      <c r="C477" s="13"/>
      <c r="D477" s="13"/>
      <c r="E477" s="13"/>
      <c r="F477" s="13"/>
      <c r="G477" s="7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</row>
    <row r="478" spans="1:49" x14ac:dyDescent="0.25">
      <c r="A478" s="13"/>
      <c r="B478" s="13"/>
      <c r="C478" s="13"/>
      <c r="D478" s="13"/>
      <c r="E478" s="13"/>
      <c r="F478" s="13"/>
      <c r="G478" s="7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</row>
    <row r="479" spans="1:49" x14ac:dyDescent="0.25">
      <c r="A479" s="13"/>
      <c r="B479" s="13"/>
      <c r="C479" s="13"/>
      <c r="D479" s="13"/>
      <c r="E479" s="13"/>
      <c r="F479" s="13"/>
      <c r="G479" s="7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</row>
    <row r="480" spans="1:49" x14ac:dyDescent="0.25">
      <c r="A480" s="13"/>
      <c r="B480" s="13"/>
      <c r="C480" s="13"/>
      <c r="D480" s="13"/>
      <c r="E480" s="13"/>
      <c r="F480" s="13"/>
      <c r="G480" s="7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</row>
    <row r="481" spans="1:49" x14ac:dyDescent="0.25">
      <c r="A481" s="13"/>
      <c r="B481" s="13"/>
      <c r="C481" s="13"/>
      <c r="D481" s="13"/>
      <c r="E481" s="13"/>
      <c r="F481" s="13"/>
      <c r="G481" s="7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</row>
    <row r="482" spans="1:49" x14ac:dyDescent="0.25">
      <c r="A482" s="13"/>
      <c r="B482" s="13"/>
      <c r="C482" s="13"/>
      <c r="D482" s="13"/>
      <c r="E482" s="13"/>
      <c r="F482" s="13"/>
      <c r="G482" s="7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</row>
    <row r="483" spans="1:49" x14ac:dyDescent="0.25">
      <c r="A483" s="13"/>
      <c r="B483" s="13"/>
      <c r="C483" s="13"/>
      <c r="D483" s="13"/>
      <c r="E483" s="13"/>
      <c r="F483" s="13"/>
      <c r="G483" s="7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</row>
    <row r="484" spans="1:49" x14ac:dyDescent="0.25">
      <c r="A484" s="13"/>
      <c r="B484" s="13"/>
      <c r="C484" s="13"/>
      <c r="D484" s="13"/>
      <c r="E484" s="13"/>
      <c r="F484" s="13"/>
      <c r="G484" s="7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</row>
    <row r="485" spans="1:49" x14ac:dyDescent="0.25">
      <c r="A485" s="13"/>
      <c r="B485" s="13"/>
      <c r="C485" s="13"/>
      <c r="D485" s="13"/>
      <c r="E485" s="13"/>
      <c r="F485" s="13"/>
      <c r="G485" s="7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</row>
    <row r="486" spans="1:49" x14ac:dyDescent="0.25">
      <c r="A486" s="13"/>
      <c r="B486" s="13"/>
      <c r="C486" s="13"/>
      <c r="D486" s="13"/>
      <c r="E486" s="13"/>
      <c r="F486" s="13"/>
      <c r="G486" s="7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</row>
    <row r="487" spans="1:49" x14ac:dyDescent="0.25">
      <c r="A487" s="13"/>
      <c r="B487" s="13"/>
      <c r="C487" s="13"/>
      <c r="D487" s="13"/>
      <c r="E487" s="13"/>
      <c r="F487" s="13"/>
      <c r="G487" s="7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</row>
    <row r="488" spans="1:49" x14ac:dyDescent="0.25">
      <c r="A488" s="13"/>
      <c r="B488" s="13"/>
      <c r="C488" s="13"/>
      <c r="D488" s="13"/>
      <c r="E488" s="13"/>
      <c r="F488" s="13"/>
      <c r="G488" s="7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</row>
    <row r="489" spans="1:49" x14ac:dyDescent="0.25">
      <c r="A489" s="13"/>
      <c r="B489" s="13"/>
      <c r="C489" s="13"/>
      <c r="D489" s="13"/>
      <c r="E489" s="13"/>
      <c r="F489" s="13"/>
      <c r="G489" s="7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</row>
    <row r="490" spans="1:49" x14ac:dyDescent="0.25">
      <c r="A490" s="13"/>
      <c r="B490" s="13"/>
      <c r="C490" s="13"/>
      <c r="D490" s="13"/>
      <c r="E490" s="13"/>
      <c r="F490" s="13"/>
      <c r="G490" s="7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</row>
    <row r="491" spans="1:49" x14ac:dyDescent="0.25">
      <c r="A491" s="13"/>
      <c r="B491" s="13"/>
      <c r="C491" s="13"/>
      <c r="D491" s="13"/>
      <c r="E491" s="13"/>
      <c r="F491" s="13"/>
      <c r="G491" s="7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</row>
    <row r="492" spans="1:49" x14ac:dyDescent="0.25">
      <c r="A492" s="13"/>
      <c r="B492" s="13"/>
      <c r="C492" s="13"/>
      <c r="D492" s="13"/>
      <c r="E492" s="13"/>
      <c r="F492" s="13"/>
      <c r="G492" s="7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</row>
    <row r="493" spans="1:49" x14ac:dyDescent="0.25">
      <c r="A493" s="13"/>
      <c r="B493" s="13"/>
      <c r="C493" s="13"/>
      <c r="D493" s="13"/>
      <c r="E493" s="13"/>
      <c r="F493" s="13"/>
      <c r="G493" s="7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</row>
    <row r="494" spans="1:49" x14ac:dyDescent="0.25">
      <c r="A494" s="13"/>
      <c r="B494" s="13"/>
      <c r="C494" s="13"/>
      <c r="D494" s="13"/>
      <c r="E494" s="13"/>
      <c r="F494" s="13"/>
      <c r="G494" s="7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</row>
    <row r="495" spans="1:49" x14ac:dyDescent="0.25">
      <c r="A495" s="13"/>
      <c r="B495" s="13"/>
      <c r="C495" s="13"/>
      <c r="D495" s="13"/>
      <c r="E495" s="13"/>
      <c r="F495" s="13"/>
      <c r="G495" s="7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</row>
    <row r="496" spans="1:49" x14ac:dyDescent="0.25">
      <c r="A496" s="13"/>
      <c r="B496" s="13"/>
      <c r="C496" s="13"/>
      <c r="D496" s="13"/>
      <c r="E496" s="13"/>
      <c r="F496" s="13"/>
      <c r="G496" s="7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</row>
    <row r="497" spans="1:49" x14ac:dyDescent="0.25">
      <c r="A497" s="13"/>
      <c r="B497" s="13"/>
      <c r="C497" s="13"/>
      <c r="D497" s="13"/>
      <c r="E497" s="13"/>
      <c r="F497" s="13"/>
      <c r="G497" s="7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</row>
    <row r="498" spans="1:49" x14ac:dyDescent="0.25">
      <c r="A498" s="13"/>
      <c r="B498" s="13"/>
      <c r="C498" s="13"/>
      <c r="D498" s="13"/>
      <c r="E498" s="13"/>
      <c r="F498" s="13"/>
      <c r="G498" s="7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</row>
    <row r="499" spans="1:49" x14ac:dyDescent="0.25">
      <c r="A499" s="13"/>
      <c r="B499" s="13"/>
      <c r="C499" s="13"/>
      <c r="D499" s="13"/>
      <c r="E499" s="13"/>
      <c r="F499" s="13"/>
      <c r="G499" s="7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</row>
    <row r="500" spans="1:49" x14ac:dyDescent="0.25">
      <c r="A500" s="13"/>
      <c r="B500" s="13"/>
      <c r="C500" s="13"/>
      <c r="D500" s="13"/>
      <c r="E500" s="13"/>
      <c r="F500" s="13"/>
      <c r="G500" s="7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</row>
  </sheetData>
  <autoFilter ref="A3:AF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2025-12-09T12:02:19Z</dcterms:created>
  <dcterms:modified xsi:type="dcterms:W3CDTF">2025-12-09T12:39:37Z</dcterms:modified>
</cp:coreProperties>
</file>