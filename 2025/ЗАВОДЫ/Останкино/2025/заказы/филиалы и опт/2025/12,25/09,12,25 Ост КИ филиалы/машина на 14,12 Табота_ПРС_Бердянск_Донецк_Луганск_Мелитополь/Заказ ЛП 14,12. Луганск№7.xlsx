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8FFF7B34-B39B-48B2-8437-BA813F8C33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1" i="1" s="1"/>
  <c r="A11" i="1"/>
  <c r="F3" i="1"/>
</calcChain>
</file>

<file path=xl/sharedStrings.xml><?xml version="1.0" encoding="utf-8"?>
<sst xmlns="http://schemas.openxmlformats.org/spreadsheetml/2006/main" count="256" uniqueCount="146">
  <si>
    <t xml:space="preserve">Грузополучатель: </t>
  </si>
  <si>
    <t>ООО "Логистический партнер"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</si>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</sst>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K7" sqref="K7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130438644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46005</v>
      </c>
      <c r="E3" s="7" t="s">
        <v>3</v>
      </c>
      <c r="F3" s="83">
        <f>D3+3</f>
        <v>46008</v>
      </c>
      <c r="G3" s="87" t="s">
        <v>4</v>
      </c>
      <c r="H3" s="85"/>
      <c r="I3" s="85"/>
      <c r="J3" s="86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10</v>
      </c>
      <c r="B9" s="49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2"/>
      <c r="B10" s="47" t="s">
        <v>20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21</v>
      </c>
      <c r="C11" s="73" t="s">
        <v>22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>
        <v>361</v>
      </c>
      <c r="F12" s="23">
        <v>1.3340000000000001</v>
      </c>
      <c r="G12" s="23">
        <f>E12</f>
        <v>361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>
        <v>189</v>
      </c>
      <c r="F13" s="23">
        <v>0.4</v>
      </c>
      <c r="G13" s="23">
        <f>E13*F13</f>
        <v>75.600000000000009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27</v>
      </c>
      <c r="C15" s="73" t="s">
        <v>24</v>
      </c>
      <c r="D15" s="74">
        <v>1001012634574</v>
      </c>
      <c r="E15" s="24">
        <v>202</v>
      </c>
      <c r="F15" s="23">
        <v>1.35</v>
      </c>
      <c r="G15" s="23">
        <f>E15</f>
        <v>202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28</v>
      </c>
      <c r="C16" s="73" t="s">
        <v>24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29</v>
      </c>
      <c r="C17" s="73" t="s">
        <v>24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30</v>
      </c>
      <c r="C18" s="73" t="s">
        <v>24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31</v>
      </c>
      <c r="C19" s="73" t="s">
        <v>22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32</v>
      </c>
      <c r="C20" s="54" t="s">
        <v>33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34</v>
      </c>
      <c r="C21" s="73" t="s">
        <v>24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35</v>
      </c>
      <c r="C22" s="73" t="s">
        <v>24</v>
      </c>
      <c r="D22" s="74">
        <v>1001012564813</v>
      </c>
      <c r="E22" s="24">
        <v>329</v>
      </c>
      <c r="F22" s="23">
        <v>1.35</v>
      </c>
      <c r="G22" s="23">
        <f>E22</f>
        <v>329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36</v>
      </c>
      <c r="C23" s="54" t="s">
        <v>22</v>
      </c>
      <c r="D23" s="55">
        <v>1001012566392</v>
      </c>
      <c r="E23" s="24">
        <v>79</v>
      </c>
      <c r="F23" s="23">
        <v>0.4</v>
      </c>
      <c r="G23" s="23">
        <f>E23*F23</f>
        <v>31.6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37</v>
      </c>
      <c r="C24" s="73" t="s">
        <v>38</v>
      </c>
      <c r="D24" s="74">
        <v>1001012505851</v>
      </c>
      <c r="E24" s="24">
        <v>250</v>
      </c>
      <c r="F24" s="23">
        <v>1.3540000000000001</v>
      </c>
      <c r="G24" s="23">
        <f>E24</f>
        <v>250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39</v>
      </c>
      <c r="C25" s="73" t="s">
        <v>22</v>
      </c>
      <c r="D25" s="74">
        <v>1001012506353</v>
      </c>
      <c r="E25" s="24"/>
      <c r="F25" s="23">
        <v>0.4</v>
      </c>
      <c r="G25" s="23">
        <f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40</v>
      </c>
      <c r="C26" s="73" t="s">
        <v>22</v>
      </c>
      <c r="D26" s="74">
        <v>1001016747343</v>
      </c>
      <c r="E26" s="24">
        <v>36</v>
      </c>
      <c r="F26" s="23">
        <v>0.4</v>
      </c>
      <c r="G26" s="23">
        <f>E26*F26</f>
        <v>14.4</v>
      </c>
      <c r="H26" s="14"/>
      <c r="I26" s="14"/>
      <c r="J26" s="29"/>
    </row>
    <row r="27" spans="1:10" ht="16.5" customHeight="1" x14ac:dyDescent="0.25">
      <c r="A27" s="60" t="str">
        <f t="shared" ref="A27:A58" si="1">RIGHT(D27,4)</f>
        <v>6325</v>
      </c>
      <c r="B27" s="80" t="s">
        <v>41</v>
      </c>
      <c r="C27" s="73" t="s">
        <v>22</v>
      </c>
      <c r="D27" s="74">
        <v>1001010106325</v>
      </c>
      <c r="E27" s="24">
        <v>17</v>
      </c>
      <c r="F27" s="23">
        <v>0.4</v>
      </c>
      <c r="G27" s="23">
        <f>E27*F27</f>
        <v>6.8000000000000007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42</v>
      </c>
      <c r="C28" s="73" t="s">
        <v>22</v>
      </c>
      <c r="D28" s="74">
        <v>1001013957231</v>
      </c>
      <c r="E28" s="24">
        <v>52</v>
      </c>
      <c r="F28" s="23">
        <v>0.3</v>
      </c>
      <c r="G28" s="23">
        <f>E28*F28</f>
        <v>15.6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43</v>
      </c>
      <c r="C29" s="73" t="s">
        <v>22</v>
      </c>
      <c r="D29" s="74">
        <v>1001010016324</v>
      </c>
      <c r="E29" s="24">
        <v>54</v>
      </c>
      <c r="F29" s="23">
        <v>0.4</v>
      </c>
      <c r="G29" s="23">
        <f>E29*F29</f>
        <v>21.6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44</v>
      </c>
      <c r="C30" s="73" t="s">
        <v>24</v>
      </c>
      <c r="D30" s="74">
        <v>1001012456498</v>
      </c>
      <c r="E30" s="24">
        <v>43</v>
      </c>
      <c r="F30" s="23">
        <v>1</v>
      </c>
      <c r="G30" s="23">
        <f>E30</f>
        <v>43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45</v>
      </c>
      <c r="C31" s="73" t="s">
        <v>24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46</v>
      </c>
      <c r="C32" s="73" t="s">
        <v>24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47</v>
      </c>
      <c r="C33" s="73" t="s">
        <v>22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48</v>
      </c>
      <c r="C34" s="73" t="s">
        <v>22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49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 t="str">
        <f t="shared" si="1"/>
        <v>7255</v>
      </c>
      <c r="B36" s="64" t="s">
        <v>50</v>
      </c>
      <c r="C36" s="65" t="s">
        <v>33</v>
      </c>
      <c r="D36" s="66">
        <v>1001025507255</v>
      </c>
      <c r="E36" s="24">
        <v>77</v>
      </c>
      <c r="F36" s="67">
        <v>0.4</v>
      </c>
      <c r="G36" s="23">
        <f>E36*F36</f>
        <v>30.8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1"/>
        <v>6602</v>
      </c>
      <c r="B37" s="80" t="s">
        <v>51</v>
      </c>
      <c r="C37" s="73" t="s">
        <v>33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1"/>
        <v>6303</v>
      </c>
      <c r="B38" s="56" t="s">
        <v>52</v>
      </c>
      <c r="C38" s="54" t="s">
        <v>24</v>
      </c>
      <c r="D38" s="55">
        <v>1001022726303</v>
      </c>
      <c r="E38" s="24">
        <v>220</v>
      </c>
      <c r="F38" s="23">
        <v>1.05</v>
      </c>
      <c r="G38" s="23">
        <f>E38</f>
        <v>220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1"/>
        <v>5819</v>
      </c>
      <c r="B39" s="36" t="s">
        <v>53</v>
      </c>
      <c r="C39" s="73" t="s">
        <v>22</v>
      </c>
      <c r="D39" s="74">
        <v>1001022725819</v>
      </c>
      <c r="E39" s="24">
        <v>33</v>
      </c>
      <c r="F39" s="23">
        <v>0.4</v>
      </c>
      <c r="G39" s="23">
        <f>E39*F39</f>
        <v>13.200000000000001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1"/>
        <v>6762</v>
      </c>
      <c r="B40" s="36" t="s">
        <v>54</v>
      </c>
      <c r="C40" s="73" t="s">
        <v>22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1"/>
        <v>6765</v>
      </c>
      <c r="B41" s="36" t="s">
        <v>55</v>
      </c>
      <c r="C41" s="73" t="s">
        <v>22</v>
      </c>
      <c r="D41" s="74">
        <v>1001023696765</v>
      </c>
      <c r="E41" s="24">
        <v>15</v>
      </c>
      <c r="F41" s="23">
        <v>0.36</v>
      </c>
      <c r="G41" s="23">
        <f>E41*F41</f>
        <v>5.3999999999999995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1"/>
        <v>6759</v>
      </c>
      <c r="B42" s="36" t="s">
        <v>56</v>
      </c>
      <c r="C42" s="73" t="s">
        <v>22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1"/>
        <v>6616</v>
      </c>
      <c r="B43" s="36" t="s">
        <v>57</v>
      </c>
      <c r="C43" s="73" t="s">
        <v>22</v>
      </c>
      <c r="D43" s="74">
        <v>1001024976616</v>
      </c>
      <c r="E43" s="24"/>
      <c r="F43" s="23">
        <v>0.3</v>
      </c>
      <c r="G43" s="23">
        <f>E43*F43</f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1"/>
        <v>7082</v>
      </c>
      <c r="B44" s="35" t="s">
        <v>58</v>
      </c>
      <c r="C44" s="73" t="s">
        <v>24</v>
      </c>
      <c r="D44" s="74">
        <v>1001022467082</v>
      </c>
      <c r="E44" s="24">
        <v>193</v>
      </c>
      <c r="F44" s="23">
        <v>2.125</v>
      </c>
      <c r="G44" s="23">
        <f>E44</f>
        <v>193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1"/>
        <v>6767</v>
      </c>
      <c r="B45" s="35" t="s">
        <v>59</v>
      </c>
      <c r="C45" s="73" t="s">
        <v>24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1"/>
        <v>7070</v>
      </c>
      <c r="B46" s="35" t="s">
        <v>60</v>
      </c>
      <c r="C46" s="73" t="s">
        <v>24</v>
      </c>
      <c r="D46" s="74">
        <v>1001022377070</v>
      </c>
      <c r="E46" s="24">
        <v>60</v>
      </c>
      <c r="F46" s="23"/>
      <c r="G46" s="23">
        <f>E46</f>
        <v>60</v>
      </c>
      <c r="H46" s="14"/>
      <c r="I46" s="14"/>
      <c r="J46" s="29"/>
    </row>
    <row r="47" spans="1:11" s="15" customFormat="1" ht="16.5" customHeight="1" x14ac:dyDescent="0.25">
      <c r="A47" s="60" t="str">
        <f t="shared" si="1"/>
        <v>6661</v>
      </c>
      <c r="B47" s="53" t="s">
        <v>61</v>
      </c>
      <c r="C47" s="54" t="s">
        <v>24</v>
      </c>
      <c r="D47" s="55">
        <v>1001022246661</v>
      </c>
      <c r="E47" s="24">
        <v>164</v>
      </c>
      <c r="F47" s="23">
        <v>1</v>
      </c>
      <c r="G47" s="23">
        <f>E47</f>
        <v>164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1"/>
        <v>6475</v>
      </c>
      <c r="B48" s="80" t="s">
        <v>62</v>
      </c>
      <c r="C48" s="73" t="s">
        <v>22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1"/>
        <v>6713</v>
      </c>
      <c r="B49" s="57" t="s">
        <v>63</v>
      </c>
      <c r="C49" s="54" t="s">
        <v>22</v>
      </c>
      <c r="D49" s="55">
        <v>1001022246713</v>
      </c>
      <c r="E49" s="24">
        <v>235</v>
      </c>
      <c r="F49" s="23">
        <v>0.41</v>
      </c>
      <c r="G49" s="23">
        <f>E49*F49</f>
        <v>96.35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1"/>
        <v>6837</v>
      </c>
      <c r="B50" s="52" t="s">
        <v>64</v>
      </c>
      <c r="C50" s="73" t="s">
        <v>22</v>
      </c>
      <c r="D50" s="74">
        <v>1001022556837</v>
      </c>
      <c r="E50" s="24">
        <v>63</v>
      </c>
      <c r="F50" s="23">
        <v>0.4</v>
      </c>
      <c r="G50" s="23">
        <f>E50*F50</f>
        <v>25.200000000000003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1"/>
        <v>7284</v>
      </c>
      <c r="B51" s="82" t="s">
        <v>65</v>
      </c>
      <c r="C51" s="73" t="s">
        <v>22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1"/>
        <v>6764</v>
      </c>
      <c r="B52" s="52" t="s">
        <v>66</v>
      </c>
      <c r="C52" s="73" t="s">
        <v>24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1"/>
        <v>6829</v>
      </c>
      <c r="B53" s="57" t="s">
        <v>67</v>
      </c>
      <c r="C53" s="54" t="s">
        <v>24</v>
      </c>
      <c r="D53" s="55">
        <v>1001024976829</v>
      </c>
      <c r="E53" s="24">
        <v>130</v>
      </c>
      <c r="F53" s="23">
        <v>1.0249999999999999</v>
      </c>
      <c r="G53" s="23">
        <f>E53</f>
        <v>130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1"/>
        <v>7075</v>
      </c>
      <c r="B54" s="82" t="s">
        <v>68</v>
      </c>
      <c r="C54" s="73" t="s">
        <v>24</v>
      </c>
      <c r="D54" s="74">
        <v>1001022657075</v>
      </c>
      <c r="E54" s="24">
        <v>63</v>
      </c>
      <c r="F54" s="23"/>
      <c r="G54" s="23">
        <f>E54</f>
        <v>63</v>
      </c>
      <c r="H54" s="14"/>
      <c r="I54" s="14"/>
      <c r="J54" s="29"/>
    </row>
    <row r="55" spans="1:10" ht="16.5" customHeight="1" x14ac:dyDescent="0.25">
      <c r="A55" s="60" t="str">
        <f t="shared" si="1"/>
        <v>7073</v>
      </c>
      <c r="B55" s="82" t="s">
        <v>69</v>
      </c>
      <c r="C55" s="73" t="s">
        <v>22</v>
      </c>
      <c r="D55" s="74">
        <v>1001022657073</v>
      </c>
      <c r="E55" s="24">
        <v>28</v>
      </c>
      <c r="F55" s="23">
        <v>0.35</v>
      </c>
      <c r="G55" s="23">
        <f>E55*F55</f>
        <v>9.7999999999999989</v>
      </c>
      <c r="H55" s="14"/>
      <c r="I55" s="14"/>
      <c r="J55" s="29"/>
    </row>
    <row r="56" spans="1:10" ht="16.5" customHeight="1" x14ac:dyDescent="0.25">
      <c r="A56" s="60" t="str">
        <f t="shared" si="1"/>
        <v>6724</v>
      </c>
      <c r="B56" s="82" t="s">
        <v>70</v>
      </c>
      <c r="C56" s="73" t="s">
        <v>22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1"/>
        <v>6761</v>
      </c>
      <c r="B57" s="52" t="s">
        <v>71</v>
      </c>
      <c r="C57" s="73" t="s">
        <v>24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1"/>
        <v>7080</v>
      </c>
      <c r="B58" s="57" t="s">
        <v>72</v>
      </c>
      <c r="C58" s="54" t="s">
        <v>22</v>
      </c>
      <c r="D58" s="55">
        <v>1001022467080</v>
      </c>
      <c r="E58" s="24">
        <v>151</v>
      </c>
      <c r="F58" s="23">
        <v>0.41</v>
      </c>
      <c r="G58" s="23">
        <f>E58*F58</f>
        <v>61.91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ref="A59:A90" si="2">RIGHT(D59,4)</f>
        <v>7276</v>
      </c>
      <c r="B59" s="57" t="s">
        <v>73</v>
      </c>
      <c r="C59" s="54" t="s">
        <v>22</v>
      </c>
      <c r="D59" s="55">
        <v>1001022467276</v>
      </c>
      <c r="E59" s="24">
        <v>33</v>
      </c>
      <c r="F59" s="23">
        <v>0.3</v>
      </c>
      <c r="G59" s="23">
        <f>E59*F59</f>
        <v>9.9</v>
      </c>
      <c r="H59" s="14"/>
      <c r="I59" s="14"/>
      <c r="J59" s="29"/>
    </row>
    <row r="60" spans="1:10" ht="16.5" customHeight="1" thickBot="1" x14ac:dyDescent="0.3">
      <c r="A60" s="60" t="str">
        <f t="shared" si="2"/>
        <v>7066</v>
      </c>
      <c r="B60" s="57" t="s">
        <v>74</v>
      </c>
      <c r="C60" s="54" t="s">
        <v>22</v>
      </c>
      <c r="D60" s="55">
        <v>1001022377066</v>
      </c>
      <c r="E60" s="24">
        <v>116</v>
      </c>
      <c r="F60" s="23">
        <v>0.41</v>
      </c>
      <c r="G60" s="23">
        <f>E60*F60</f>
        <v>47.559999999999995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2"/>
        <v/>
      </c>
      <c r="B61" s="47" t="s">
        <v>75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2"/>
        <v>7001</v>
      </c>
      <c r="B62" s="81" t="s">
        <v>76</v>
      </c>
      <c r="C62" s="54" t="s">
        <v>38</v>
      </c>
      <c r="D62" s="55">
        <v>1001035937001</v>
      </c>
      <c r="E62" s="24">
        <v>37</v>
      </c>
      <c r="F62" s="75">
        <v>0.98699999999999999</v>
      </c>
      <c r="G62" s="23">
        <f>E62</f>
        <v>37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2"/>
        <v>6527</v>
      </c>
      <c r="B63" s="82" t="s">
        <v>77</v>
      </c>
      <c r="C63" s="73" t="s">
        <v>38</v>
      </c>
      <c r="D63" s="74">
        <v>1001031076527</v>
      </c>
      <c r="E63" s="24">
        <v>97</v>
      </c>
      <c r="F63" s="23">
        <v>1</v>
      </c>
      <c r="G63" s="23">
        <f>E63</f>
        <v>97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2"/>
        <v>6550</v>
      </c>
      <c r="B64" s="52" t="s">
        <v>78</v>
      </c>
      <c r="C64" s="73" t="s">
        <v>24</v>
      </c>
      <c r="D64" s="74">
        <v>1001032736550</v>
      </c>
      <c r="E64" s="24">
        <v>74</v>
      </c>
      <c r="F64" s="23">
        <v>1</v>
      </c>
      <c r="G64" s="23">
        <f>E64</f>
        <v>74</v>
      </c>
      <c r="H64" s="14"/>
      <c r="I64" s="14"/>
      <c r="J64" s="29"/>
    </row>
    <row r="65" spans="1:10" ht="16.5" customHeight="1" thickBot="1" x14ac:dyDescent="0.3">
      <c r="A65" s="60" t="str">
        <f t="shared" si="2"/>
        <v>6608</v>
      </c>
      <c r="B65" s="52" t="s">
        <v>79</v>
      </c>
      <c r="C65" s="73" t="s">
        <v>24</v>
      </c>
      <c r="D65" s="74">
        <v>1001033856608</v>
      </c>
      <c r="E65" s="24">
        <v>80</v>
      </c>
      <c r="F65" s="23">
        <v>0.99</v>
      </c>
      <c r="G65" s="23">
        <f>E65</f>
        <v>80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2"/>
        <v/>
      </c>
      <c r="B66" s="47" t="s">
        <v>80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2"/>
        <v>6586</v>
      </c>
      <c r="B67" s="80" t="s">
        <v>81</v>
      </c>
      <c r="C67" s="73" t="s">
        <v>22</v>
      </c>
      <c r="D67" s="74">
        <v>1001215576586</v>
      </c>
      <c r="E67" s="24"/>
      <c r="F67" s="23">
        <v>0.09</v>
      </c>
      <c r="G67" s="23">
        <f t="shared" ref="G67:G78" si="3">E67*F67</f>
        <v>0</v>
      </c>
      <c r="H67" s="14"/>
      <c r="I67" s="14"/>
      <c r="J67" s="29"/>
    </row>
    <row r="68" spans="1:10" ht="16.5" customHeight="1" x14ac:dyDescent="0.25">
      <c r="A68" s="60" t="str">
        <f t="shared" si="2"/>
        <v>6459</v>
      </c>
      <c r="B68" s="80" t="s">
        <v>82</v>
      </c>
      <c r="C68" s="73" t="s">
        <v>22</v>
      </c>
      <c r="D68" s="74">
        <v>1001214196459</v>
      </c>
      <c r="E68" s="24"/>
      <c r="F68" s="23">
        <v>0.1</v>
      </c>
      <c r="G68" s="23">
        <f t="shared" si="3"/>
        <v>0</v>
      </c>
      <c r="H68" s="14"/>
      <c r="I68" s="14"/>
      <c r="J68" s="29"/>
    </row>
    <row r="69" spans="1:10" ht="16.5" customHeight="1" x14ac:dyDescent="0.25">
      <c r="A69" s="60" t="str">
        <f t="shared" si="2"/>
        <v>7232</v>
      </c>
      <c r="B69" s="51" t="s">
        <v>83</v>
      </c>
      <c r="C69" s="73" t="s">
        <v>22</v>
      </c>
      <c r="D69" s="74">
        <v>1001302277232</v>
      </c>
      <c r="E69" s="24">
        <v>111</v>
      </c>
      <c r="F69" s="23">
        <v>0.28000000000000003</v>
      </c>
      <c r="G69" s="23">
        <f t="shared" si="3"/>
        <v>31.080000000000002</v>
      </c>
      <c r="H69" s="14"/>
      <c r="I69" s="14">
        <v>50</v>
      </c>
      <c r="J69" s="29"/>
    </row>
    <row r="70" spans="1:10" ht="16.5" customHeight="1" x14ac:dyDescent="0.25">
      <c r="A70" s="60" t="str">
        <f t="shared" si="2"/>
        <v>7332</v>
      </c>
      <c r="B70" s="51" t="s">
        <v>84</v>
      </c>
      <c r="C70" s="73" t="s">
        <v>22</v>
      </c>
      <c r="D70" s="74">
        <v>1001301777332</v>
      </c>
      <c r="E70" s="24"/>
      <c r="F70" s="23">
        <v>0.28000000000000003</v>
      </c>
      <c r="G70" s="23">
        <f t="shared" si="3"/>
        <v>0</v>
      </c>
      <c r="H70" s="14"/>
      <c r="I70" s="14"/>
      <c r="J70" s="29"/>
    </row>
    <row r="71" spans="1:10" ht="16.5" customHeight="1" x14ac:dyDescent="0.25">
      <c r="A71" s="60" t="str">
        <f t="shared" si="2"/>
        <v>7241</v>
      </c>
      <c r="B71" s="51" t="s">
        <v>85</v>
      </c>
      <c r="C71" s="73" t="s">
        <v>22</v>
      </c>
      <c r="D71" s="74">
        <v>1001303107241</v>
      </c>
      <c r="E71" s="24">
        <v>226</v>
      </c>
      <c r="F71" s="23">
        <v>0.28000000000000003</v>
      </c>
      <c r="G71" s="23">
        <f t="shared" si="3"/>
        <v>63.280000000000008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2"/>
        <v>7154</v>
      </c>
      <c r="B72" s="51" t="s">
        <v>86</v>
      </c>
      <c r="C72" s="73" t="s">
        <v>22</v>
      </c>
      <c r="D72" s="74">
        <v>1001300387154</v>
      </c>
      <c r="E72" s="24">
        <v>173</v>
      </c>
      <c r="F72" s="23">
        <v>0.35</v>
      </c>
      <c r="G72" s="23">
        <f t="shared" si="3"/>
        <v>60.55</v>
      </c>
      <c r="H72" s="14"/>
      <c r="I72" s="14">
        <v>50</v>
      </c>
      <c r="J72" s="29"/>
    </row>
    <row r="73" spans="1:10" ht="16.5" customHeight="1" x14ac:dyDescent="0.25">
      <c r="A73" s="60" t="str">
        <f t="shared" si="2"/>
        <v>6787</v>
      </c>
      <c r="B73" s="53" t="s">
        <v>87</v>
      </c>
      <c r="C73" s="54" t="s">
        <v>22</v>
      </c>
      <c r="D73" s="55">
        <v>1001300456787</v>
      </c>
      <c r="E73" s="24">
        <v>16</v>
      </c>
      <c r="F73" s="75">
        <v>0.33</v>
      </c>
      <c r="G73" s="23">
        <f t="shared" si="3"/>
        <v>5.28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2"/>
        <v>6697</v>
      </c>
      <c r="B74" s="51" t="s">
        <v>88</v>
      </c>
      <c r="C74" s="73" t="s">
        <v>22</v>
      </c>
      <c r="D74" s="74">
        <v>1001301876697</v>
      </c>
      <c r="E74" s="24">
        <v>216</v>
      </c>
      <c r="F74" s="23">
        <v>0.35</v>
      </c>
      <c r="G74" s="23">
        <f t="shared" si="3"/>
        <v>75.599999999999994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2"/>
        <v>7237</v>
      </c>
      <c r="B75" s="51" t="s">
        <v>89</v>
      </c>
      <c r="C75" s="73" t="s">
        <v>22</v>
      </c>
      <c r="D75" s="74">
        <v>1001304497237</v>
      </c>
      <c r="E75" s="24">
        <v>50</v>
      </c>
      <c r="F75" s="23">
        <v>0.28000000000000003</v>
      </c>
      <c r="G75" s="23">
        <f t="shared" si="3"/>
        <v>14.000000000000002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2"/>
        <v>7236</v>
      </c>
      <c r="B76" s="53" t="s">
        <v>90</v>
      </c>
      <c r="C76" s="54" t="s">
        <v>22</v>
      </c>
      <c r="D76" s="55">
        <v>1001304507236</v>
      </c>
      <c r="E76" s="24">
        <v>168</v>
      </c>
      <c r="F76" s="23">
        <v>0.28000000000000003</v>
      </c>
      <c r="G76" s="23">
        <f t="shared" si="3"/>
        <v>47.040000000000006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2"/>
        <v>7333</v>
      </c>
      <c r="B77" s="53" t="s">
        <v>91</v>
      </c>
      <c r="C77" s="54" t="s">
        <v>22</v>
      </c>
      <c r="D77" s="55">
        <v>1001303987333</v>
      </c>
      <c r="E77" s="24"/>
      <c r="F77" s="23">
        <v>0.28000000000000003</v>
      </c>
      <c r="G77" s="23">
        <f t="shared" si="3"/>
        <v>0</v>
      </c>
      <c r="H77" s="14"/>
      <c r="I77" s="14"/>
      <c r="J77" s="29"/>
    </row>
    <row r="78" spans="1:10" ht="16.5" customHeight="1" x14ac:dyDescent="0.25">
      <c r="A78" s="60" t="str">
        <f t="shared" si="2"/>
        <v>7169</v>
      </c>
      <c r="B78" s="58" t="s">
        <v>92</v>
      </c>
      <c r="C78" s="54" t="s">
        <v>33</v>
      </c>
      <c r="D78" s="55">
        <v>1001303987169</v>
      </c>
      <c r="E78" s="24">
        <v>124</v>
      </c>
      <c r="F78" s="23">
        <v>0.35</v>
      </c>
      <c r="G78" s="23">
        <f t="shared" si="3"/>
        <v>43.4</v>
      </c>
      <c r="H78" s="14"/>
      <c r="I78" s="14">
        <v>50</v>
      </c>
      <c r="J78" s="29"/>
    </row>
    <row r="79" spans="1:10" ht="16.5" customHeight="1" x14ac:dyDescent="0.25">
      <c r="A79" s="60" t="str">
        <f t="shared" si="2"/>
        <v>7166</v>
      </c>
      <c r="B79" s="45" t="s">
        <v>93</v>
      </c>
      <c r="C79" s="73" t="s">
        <v>24</v>
      </c>
      <c r="D79" s="74">
        <v>1001303987166</v>
      </c>
      <c r="E79" s="24">
        <v>191</v>
      </c>
      <c r="F79" s="23">
        <v>1</v>
      </c>
      <c r="G79" s="23">
        <f>E79</f>
        <v>191</v>
      </c>
      <c r="H79" s="14"/>
      <c r="I79" s="14">
        <v>50</v>
      </c>
      <c r="J79" s="29"/>
    </row>
    <row r="80" spans="1:10" ht="15.75" customHeight="1" x14ac:dyDescent="0.25">
      <c r="A80" s="60" t="str">
        <f t="shared" si="2"/>
        <v>5544</v>
      </c>
      <c r="B80" s="80" t="s">
        <v>94</v>
      </c>
      <c r="C80" s="73" t="s">
        <v>24</v>
      </c>
      <c r="D80" s="74">
        <v>1001051875544</v>
      </c>
      <c r="E80" s="24">
        <v>108</v>
      </c>
      <c r="F80" s="23">
        <v>0.83399999999999996</v>
      </c>
      <c r="G80" s="23">
        <f>E80</f>
        <v>108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2"/>
        <v>7133</v>
      </c>
      <c r="B81" s="80" t="s">
        <v>95</v>
      </c>
      <c r="C81" s="73" t="s">
        <v>24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2"/>
        <v>6791</v>
      </c>
      <c r="B82" s="80" t="s">
        <v>96</v>
      </c>
      <c r="C82" s="73" t="s">
        <v>22</v>
      </c>
      <c r="D82" s="74">
        <v>1001304096791</v>
      </c>
      <c r="E82" s="24">
        <v>21</v>
      </c>
      <c r="F82" s="23">
        <v>0.33</v>
      </c>
      <c r="G82" s="23">
        <f>E82*F82</f>
        <v>6.9300000000000006</v>
      </c>
      <c r="H82" s="14"/>
      <c r="I82" s="14">
        <v>45</v>
      </c>
      <c r="J82" s="72"/>
    </row>
    <row r="83" spans="1:11" ht="15.75" customHeight="1" x14ac:dyDescent="0.25">
      <c r="A83" s="60" t="str">
        <f t="shared" si="2"/>
        <v>6792</v>
      </c>
      <c r="B83" s="80" t="s">
        <v>97</v>
      </c>
      <c r="C83" s="73" t="s">
        <v>24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2"/>
        <v>7157</v>
      </c>
      <c r="B84" s="80" t="s">
        <v>98</v>
      </c>
      <c r="C84" s="73" t="s">
        <v>24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2"/>
        <v>6793</v>
      </c>
      <c r="B85" s="80" t="s">
        <v>99</v>
      </c>
      <c r="C85" s="73" t="s">
        <v>22</v>
      </c>
      <c r="D85" s="74">
        <v>1001303636793</v>
      </c>
      <c r="E85" s="24">
        <v>23</v>
      </c>
      <c r="F85" s="23">
        <v>0.33</v>
      </c>
      <c r="G85" s="23">
        <f>E85*F85</f>
        <v>7.5900000000000007</v>
      </c>
      <c r="H85" s="14"/>
      <c r="I85" s="14">
        <v>45</v>
      </c>
      <c r="J85" s="72"/>
    </row>
    <row r="86" spans="1:11" ht="15.75" customHeight="1" x14ac:dyDescent="0.25">
      <c r="A86" s="60" t="str">
        <f t="shared" si="2"/>
        <v>7131</v>
      </c>
      <c r="B86" s="80" t="s">
        <v>100</v>
      </c>
      <c r="C86" s="73" t="s">
        <v>24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2"/>
        <v>7144</v>
      </c>
      <c r="B87" s="80" t="s">
        <v>101</v>
      </c>
      <c r="C87" s="73" t="s">
        <v>22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2"/>
        <v>7146</v>
      </c>
      <c r="B88" s="80" t="s">
        <v>102</v>
      </c>
      <c r="C88" s="73" t="s">
        <v>24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2"/>
        <v>7135</v>
      </c>
      <c r="B89" s="80" t="s">
        <v>103</v>
      </c>
      <c r="C89" s="73" t="s">
        <v>22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2"/>
        <v>7134</v>
      </c>
      <c r="B90" s="80" t="s">
        <v>104</v>
      </c>
      <c r="C90" s="73" t="s">
        <v>22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ref="A91:A122" si="4">RIGHT(D91,4)</f>
        <v>6807</v>
      </c>
      <c r="B91" s="80" t="s">
        <v>105</v>
      </c>
      <c r="C91" s="73" t="s">
        <v>22</v>
      </c>
      <c r="D91" s="74">
        <v>1001300366807</v>
      </c>
      <c r="E91" s="24">
        <v>8</v>
      </c>
      <c r="F91" s="23">
        <v>0.33</v>
      </c>
      <c r="G91" s="23">
        <f>E91*F91</f>
        <v>2.64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4"/>
        <v/>
      </c>
      <c r="B92" s="47" t="s">
        <v>106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4"/>
        <v>5931</v>
      </c>
      <c r="B93" s="64" t="s">
        <v>107</v>
      </c>
      <c r="C93" s="65" t="s">
        <v>22</v>
      </c>
      <c r="D93" s="66">
        <v>1001060755931</v>
      </c>
      <c r="E93" s="24">
        <v>99</v>
      </c>
      <c r="F93" s="67">
        <v>0.22</v>
      </c>
      <c r="G93" s="23">
        <f>E93*F93</f>
        <v>21.78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4"/>
        <v>6834</v>
      </c>
      <c r="B94" s="53" t="s">
        <v>108</v>
      </c>
      <c r="C94" s="54" t="s">
        <v>22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4"/>
        <v>7092</v>
      </c>
      <c r="B95" s="80" t="s">
        <v>109</v>
      </c>
      <c r="C95" s="73" t="s">
        <v>22</v>
      </c>
      <c r="D95" s="74">
        <v>1001223297092</v>
      </c>
      <c r="E95" s="24">
        <v>70</v>
      </c>
      <c r="F95" s="23">
        <v>0.14000000000000001</v>
      </c>
      <c r="G95" s="23">
        <f>E95*F95</f>
        <v>9.8000000000000007</v>
      </c>
      <c r="H95" s="14"/>
      <c r="I95" s="14"/>
      <c r="J95" s="29"/>
    </row>
    <row r="96" spans="1:11" ht="16.5" customHeight="1" x14ac:dyDescent="0.25">
      <c r="A96" s="60" t="str">
        <f t="shared" si="4"/>
        <v>6454</v>
      </c>
      <c r="B96" s="80" t="s">
        <v>110</v>
      </c>
      <c r="C96" s="73" t="s">
        <v>33</v>
      </c>
      <c r="D96" s="74">
        <v>1001201976454</v>
      </c>
      <c r="E96" s="24">
        <v>275</v>
      </c>
      <c r="F96" s="23">
        <v>0.1</v>
      </c>
      <c r="G96" s="23">
        <f>E96*F96</f>
        <v>27.5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4"/>
        <v>3986</v>
      </c>
      <c r="B97" s="80" t="s">
        <v>111</v>
      </c>
      <c r="C97" s="73" t="s">
        <v>33</v>
      </c>
      <c r="D97" s="74">
        <v>1001061973986</v>
      </c>
      <c r="E97" s="24">
        <v>8</v>
      </c>
      <c r="F97" s="23">
        <v>0.25</v>
      </c>
      <c r="G97" s="23">
        <f>E97*F97</f>
        <v>2</v>
      </c>
      <c r="H97" s="14"/>
      <c r="I97" s="14"/>
      <c r="J97" s="29"/>
    </row>
    <row r="98" spans="1:10" ht="16.5" customHeight="1" x14ac:dyDescent="0.25">
      <c r="A98" s="60" t="str">
        <f t="shared" si="4"/>
        <v>5708</v>
      </c>
      <c r="B98" s="80" t="s">
        <v>112</v>
      </c>
      <c r="C98" s="73" t="s">
        <v>24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4"/>
        <v>6832</v>
      </c>
      <c r="B99" s="80" t="s">
        <v>113</v>
      </c>
      <c r="C99" s="73" t="s">
        <v>24</v>
      </c>
      <c r="D99" s="74">
        <v>1001065616832</v>
      </c>
      <c r="E99" s="24">
        <v>4</v>
      </c>
      <c r="F99" s="23"/>
      <c r="G99" s="23">
        <f>E99</f>
        <v>4</v>
      </c>
      <c r="H99" s="14"/>
      <c r="I99" s="14"/>
      <c r="J99" s="29"/>
    </row>
    <row r="100" spans="1:10" ht="16.5" customHeight="1" x14ac:dyDescent="0.25">
      <c r="A100" s="60" t="str">
        <f t="shared" si="4"/>
        <v>7299</v>
      </c>
      <c r="B100" s="80" t="s">
        <v>114</v>
      </c>
      <c r="C100" s="73" t="s">
        <v>24</v>
      </c>
      <c r="D100" s="74">
        <v>1001060677299</v>
      </c>
      <c r="E100" s="24">
        <v>6</v>
      </c>
      <c r="F100" s="23"/>
      <c r="G100" s="23">
        <f>E100</f>
        <v>6</v>
      </c>
      <c r="H100" s="14"/>
      <c r="I100" s="14"/>
      <c r="J100" s="29"/>
    </row>
    <row r="101" spans="1:10" ht="16.5" customHeight="1" x14ac:dyDescent="0.25">
      <c r="A101" s="60" t="str">
        <f t="shared" si="4"/>
        <v>4993</v>
      </c>
      <c r="B101" s="80" t="s">
        <v>115</v>
      </c>
      <c r="C101" s="73" t="s">
        <v>33</v>
      </c>
      <c r="D101" s="74">
        <v>1001060764993</v>
      </c>
      <c r="E101" s="24"/>
      <c r="F101" s="23">
        <v>0.25</v>
      </c>
      <c r="G101" s="23">
        <f t="shared" ref="G101:G110" si="5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4"/>
        <v>6967</v>
      </c>
      <c r="B102" s="80" t="s">
        <v>116</v>
      </c>
      <c r="C102" s="73" t="s">
        <v>33</v>
      </c>
      <c r="D102" s="74">
        <v>1001063656967</v>
      </c>
      <c r="E102" s="24"/>
      <c r="F102" s="23">
        <v>0.25</v>
      </c>
      <c r="G102" s="23">
        <f t="shared" si="5"/>
        <v>0</v>
      </c>
      <c r="H102" s="14"/>
      <c r="I102" s="14"/>
      <c r="J102" s="29"/>
    </row>
    <row r="103" spans="1:10" ht="16.5" customHeight="1" x14ac:dyDescent="0.25">
      <c r="A103" s="60" t="str">
        <f t="shared" si="4"/>
        <v>7382</v>
      </c>
      <c r="B103" s="80" t="s">
        <v>117</v>
      </c>
      <c r="C103" s="73" t="s">
        <v>22</v>
      </c>
      <c r="D103" s="74">
        <v>1001203117382</v>
      </c>
      <c r="E103" s="24">
        <v>32</v>
      </c>
      <c r="F103" s="23">
        <v>0.12</v>
      </c>
      <c r="G103" s="23">
        <f t="shared" si="5"/>
        <v>3.84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4"/>
        <v>7147</v>
      </c>
      <c r="B104" s="80" t="s">
        <v>118</v>
      </c>
      <c r="C104" s="73" t="s">
        <v>22</v>
      </c>
      <c r="D104" s="74">
        <v>1001063237147</v>
      </c>
      <c r="E104" s="24"/>
      <c r="F104" s="23">
        <v>0.22</v>
      </c>
      <c r="G104" s="23">
        <f t="shared" si="5"/>
        <v>0</v>
      </c>
      <c r="H104" s="14"/>
      <c r="I104" s="14"/>
      <c r="J104" s="29"/>
    </row>
    <row r="105" spans="1:10" ht="16.5" customHeight="1" x14ac:dyDescent="0.25">
      <c r="A105" s="60" t="str">
        <f t="shared" si="4"/>
        <v>7229</v>
      </c>
      <c r="B105" s="80" t="s">
        <v>119</v>
      </c>
      <c r="C105" s="73" t="s">
        <v>22</v>
      </c>
      <c r="D105" s="74">
        <v>1001063237229</v>
      </c>
      <c r="E105" s="24"/>
      <c r="F105" s="23">
        <v>0.18</v>
      </c>
      <c r="G105" s="23">
        <f t="shared" si="5"/>
        <v>0</v>
      </c>
      <c r="H105" s="14"/>
      <c r="I105" s="14"/>
      <c r="J105" s="29"/>
    </row>
    <row r="106" spans="1:10" ht="16.5" customHeight="1" x14ac:dyDescent="0.25">
      <c r="A106" s="60" t="str">
        <f t="shared" si="4"/>
        <v>7150</v>
      </c>
      <c r="B106" s="80" t="s">
        <v>120</v>
      </c>
      <c r="C106" s="73" t="s">
        <v>24</v>
      </c>
      <c r="D106" s="74">
        <v>1001063237150</v>
      </c>
      <c r="E106" s="24"/>
      <c r="F106" s="23">
        <v>1</v>
      </c>
      <c r="G106" s="23">
        <f t="shared" si="5"/>
        <v>0</v>
      </c>
      <c r="H106" s="14"/>
      <c r="I106" s="14"/>
      <c r="J106" s="29"/>
    </row>
    <row r="107" spans="1:10" ht="16.5" customHeight="1" x14ac:dyDescent="0.25">
      <c r="A107" s="60" t="str">
        <f t="shared" si="4"/>
        <v>7227</v>
      </c>
      <c r="B107" s="80" t="s">
        <v>121</v>
      </c>
      <c r="C107" s="73" t="s">
        <v>22</v>
      </c>
      <c r="D107" s="74">
        <v>1001063097227</v>
      </c>
      <c r="E107" s="24"/>
      <c r="F107" s="23">
        <v>0.18</v>
      </c>
      <c r="G107" s="23">
        <f t="shared" si="5"/>
        <v>0</v>
      </c>
      <c r="H107" s="14"/>
      <c r="I107" s="14"/>
      <c r="J107" s="29"/>
    </row>
    <row r="108" spans="1:10" ht="16.5" customHeight="1" x14ac:dyDescent="0.25">
      <c r="A108" s="60" t="str">
        <f t="shared" si="4"/>
        <v>7225</v>
      </c>
      <c r="B108" s="80" t="s">
        <v>122</v>
      </c>
      <c r="C108" s="73" t="s">
        <v>22</v>
      </c>
      <c r="D108" s="74">
        <v>1001066537225</v>
      </c>
      <c r="E108" s="24"/>
      <c r="F108" s="23">
        <v>0.18</v>
      </c>
      <c r="G108" s="23">
        <f t="shared" si="5"/>
        <v>0</v>
      </c>
      <c r="H108" s="14"/>
      <c r="I108" s="14"/>
      <c r="J108" s="29"/>
    </row>
    <row r="109" spans="1:10" ht="16.5" customHeight="1" x14ac:dyDescent="0.25">
      <c r="A109" s="60" t="str">
        <f t="shared" si="4"/>
        <v>7228</v>
      </c>
      <c r="B109" s="80" t="s">
        <v>123</v>
      </c>
      <c r="C109" s="73" t="s">
        <v>22</v>
      </c>
      <c r="D109" s="74">
        <v>1001066547228</v>
      </c>
      <c r="E109" s="24"/>
      <c r="F109" s="23">
        <v>0.18</v>
      </c>
      <c r="G109" s="23">
        <f t="shared" si="5"/>
        <v>0</v>
      </c>
      <c r="H109" s="14"/>
      <c r="I109" s="14"/>
      <c r="J109" s="29"/>
    </row>
    <row r="110" spans="1:10" ht="16.5" customHeight="1" x14ac:dyDescent="0.25">
      <c r="A110" s="60" t="str">
        <f t="shared" si="4"/>
        <v>6221</v>
      </c>
      <c r="B110" s="80" t="s">
        <v>124</v>
      </c>
      <c r="C110" s="73" t="s">
        <v>22</v>
      </c>
      <c r="D110" s="74">
        <v>1001205376221</v>
      </c>
      <c r="E110" s="24">
        <v>91</v>
      </c>
      <c r="F110" s="23">
        <v>0.09</v>
      </c>
      <c r="G110" s="23">
        <f t="shared" si="5"/>
        <v>8.19</v>
      </c>
      <c r="H110" s="14"/>
      <c r="I110" s="14"/>
      <c r="J110" s="29"/>
    </row>
    <row r="111" spans="1:10" ht="16.5" customHeight="1" x14ac:dyDescent="0.25">
      <c r="A111" s="60" t="str">
        <f t="shared" si="4"/>
        <v>4117</v>
      </c>
      <c r="B111" s="80" t="s">
        <v>125</v>
      </c>
      <c r="C111" s="73" t="s">
        <v>24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4"/>
        <v>5483</v>
      </c>
      <c r="B112" s="80" t="s">
        <v>126</v>
      </c>
      <c r="C112" s="73" t="s">
        <v>22</v>
      </c>
      <c r="D112" s="74">
        <v>1001062505483</v>
      </c>
      <c r="E112" s="24">
        <v>54</v>
      </c>
      <c r="F112" s="23">
        <v>0.25</v>
      </c>
      <c r="G112" s="23">
        <f>E112*F112</f>
        <v>13.5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4"/>
        <v>6453</v>
      </c>
      <c r="B113" s="80" t="s">
        <v>127</v>
      </c>
      <c r="C113" s="73" t="s">
        <v>33</v>
      </c>
      <c r="D113" s="74">
        <v>1001202506453</v>
      </c>
      <c r="E113" s="24">
        <v>142</v>
      </c>
      <c r="F113" s="23">
        <v>0.1</v>
      </c>
      <c r="G113" s="23">
        <f>E113*F113</f>
        <v>14.200000000000001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4"/>
        <v>6228</v>
      </c>
      <c r="B114" s="80" t="s">
        <v>128</v>
      </c>
      <c r="C114" s="73" t="s">
        <v>33</v>
      </c>
      <c r="D114" s="74">
        <v>1001225416228</v>
      </c>
      <c r="E114" s="24">
        <v>53</v>
      </c>
      <c r="F114" s="23">
        <v>0.09</v>
      </c>
      <c r="G114" s="23">
        <f>E114*F114</f>
        <v>4.7699999999999996</v>
      </c>
      <c r="H114" s="14"/>
      <c r="I114" s="14"/>
      <c r="J114" s="29"/>
    </row>
    <row r="115" spans="1:10" ht="16.5" customHeight="1" thickBot="1" x14ac:dyDescent="0.3">
      <c r="A115" s="60" t="str">
        <f t="shared" si="4"/>
        <v>3287</v>
      </c>
      <c r="B115" s="80" t="s">
        <v>129</v>
      </c>
      <c r="C115" s="73" t="s">
        <v>24</v>
      </c>
      <c r="D115" s="74">
        <v>1001060763287</v>
      </c>
      <c r="E115" s="24">
        <v>11</v>
      </c>
      <c r="F115" s="23">
        <v>0.51300000000000001</v>
      </c>
      <c r="G115" s="23">
        <f>E115</f>
        <v>11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4"/>
        <v/>
      </c>
      <c r="B116" s="47" t="s">
        <v>130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4"/>
        <v>6866</v>
      </c>
      <c r="B117" s="77" t="s">
        <v>131</v>
      </c>
      <c r="C117" s="73" t="s">
        <v>38</v>
      </c>
      <c r="D117" s="79">
        <v>1001095716866</v>
      </c>
      <c r="E117" s="24">
        <v>11</v>
      </c>
      <c r="F117" s="23"/>
      <c r="G117" s="23">
        <f>E117</f>
        <v>11</v>
      </c>
      <c r="H117" s="14"/>
      <c r="I117" s="14"/>
      <c r="J117" s="29"/>
    </row>
    <row r="118" spans="1:10" ht="16.5" customHeight="1" x14ac:dyDescent="0.25">
      <c r="A118" s="60" t="str">
        <f t="shared" si="4"/>
        <v>3215</v>
      </c>
      <c r="B118" s="80" t="s">
        <v>132</v>
      </c>
      <c r="C118" s="73" t="s">
        <v>33</v>
      </c>
      <c r="D118" s="42">
        <v>1001094053215</v>
      </c>
      <c r="E118" s="24">
        <v>66</v>
      </c>
      <c r="F118" s="23">
        <v>0.4</v>
      </c>
      <c r="G118" s="23">
        <f>E118*F118</f>
        <v>26.400000000000002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4"/>
        <v>5452</v>
      </c>
      <c r="B119" s="51" t="s">
        <v>133</v>
      </c>
      <c r="C119" s="73" t="s">
        <v>24</v>
      </c>
      <c r="D119" s="42">
        <v>1001092485452</v>
      </c>
      <c r="E119" s="24">
        <v>116</v>
      </c>
      <c r="F119" s="23">
        <v>1.367</v>
      </c>
      <c r="G119" s="23">
        <f>E119</f>
        <v>116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4"/>
        <v>5495</v>
      </c>
      <c r="B120" s="51" t="s">
        <v>134</v>
      </c>
      <c r="C120" s="73" t="s">
        <v>22</v>
      </c>
      <c r="D120" s="42">
        <v>1001093345495</v>
      </c>
      <c r="E120" s="24"/>
      <c r="F120" s="23">
        <v>0.4</v>
      </c>
      <c r="G120" s="23">
        <f>E120*F120</f>
        <v>0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4"/>
        <v>6495</v>
      </c>
      <c r="B121" s="51" t="s">
        <v>135</v>
      </c>
      <c r="C121" s="73" t="s">
        <v>22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4"/>
        <v/>
      </c>
      <c r="B122" s="47" t="s">
        <v>136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ref="A123:A130" si="6">RIGHT(D123,4)</f>
        <v>6448</v>
      </c>
      <c r="B123" s="37" t="s">
        <v>137</v>
      </c>
      <c r="C123" s="73" t="s">
        <v>33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6"/>
        <v>6620</v>
      </c>
      <c r="B124" s="37" t="s">
        <v>138</v>
      </c>
      <c r="C124" s="73" t="s">
        <v>24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6"/>
        <v>6279</v>
      </c>
      <c r="B125" s="37" t="s">
        <v>139</v>
      </c>
      <c r="C125" s="73" t="s">
        <v>22</v>
      </c>
      <c r="D125" s="74">
        <v>1001220286279</v>
      </c>
      <c r="E125" s="24">
        <v>56</v>
      </c>
      <c r="F125" s="23">
        <v>0.15</v>
      </c>
      <c r="G125" s="23">
        <f>F125*E125</f>
        <v>8.4</v>
      </c>
      <c r="H125" s="14"/>
      <c r="I125" s="14"/>
      <c r="J125" s="29"/>
    </row>
    <row r="126" spans="1:10" ht="16.5" customHeight="1" x14ac:dyDescent="0.25">
      <c r="A126" s="60" t="str">
        <f t="shared" si="6"/>
        <v>6208</v>
      </c>
      <c r="B126" s="37" t="s">
        <v>140</v>
      </c>
      <c r="C126" s="73" t="s">
        <v>22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6"/>
        <v>7090</v>
      </c>
      <c r="B127" s="37" t="s">
        <v>141</v>
      </c>
      <c r="C127" s="73" t="s">
        <v>33</v>
      </c>
      <c r="D127" s="74">
        <v>1001084217090</v>
      </c>
      <c r="E127" s="24">
        <v>59</v>
      </c>
      <c r="F127" s="23">
        <v>0.3</v>
      </c>
      <c r="G127" s="23">
        <f>E127*F127</f>
        <v>17.7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6"/>
        <v>7187</v>
      </c>
      <c r="B128" s="37" t="s">
        <v>142</v>
      </c>
      <c r="C128" s="73" t="s">
        <v>33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6"/>
        <v>7103</v>
      </c>
      <c r="B129" s="59" t="s">
        <v>143</v>
      </c>
      <c r="C129" s="54" t="s">
        <v>33</v>
      </c>
      <c r="D129" s="55">
        <v>1001223297103</v>
      </c>
      <c r="E129" s="24">
        <v>48</v>
      </c>
      <c r="F129" s="75">
        <v>0.18</v>
      </c>
      <c r="G129" s="23">
        <f>E129*F129</f>
        <v>8.64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6"/>
        <v>6872</v>
      </c>
      <c r="B130" s="37" t="s">
        <v>144</v>
      </c>
      <c r="C130" s="73" t="s">
        <v>24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145</v>
      </c>
      <c r="C131" s="16"/>
      <c r="D131" s="38"/>
      <c r="E131" s="17">
        <f>SUM(E10:E130)</f>
        <v>6117</v>
      </c>
      <c r="F131" s="17"/>
      <c r="G131" s="17">
        <f>SUM(G11:G130)</f>
        <v>3739.8300000000004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2025-12-10T10:08:19Z</dcterms:modified>
</cp:coreProperties>
</file>