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"/>
    </mc:Choice>
  </mc:AlternateContent>
  <xr:revisionPtr revIDLastSave="0" documentId="13_ncr:1_{98CC8D1A-A1A1-4E52-A266-CCA12A17A1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1" i="1" l="1"/>
  <c r="AE31" i="1" s="1"/>
  <c r="Q30" i="1"/>
  <c r="AE30" i="1" s="1"/>
  <c r="Q15" i="1"/>
  <c r="Q38" i="1"/>
  <c r="Q40" i="1"/>
  <c r="AE40" i="1" s="1"/>
  <c r="Q45" i="1"/>
  <c r="AE45" i="1" s="1"/>
  <c r="Q44" i="1"/>
  <c r="AE43" i="1"/>
  <c r="Q29" i="1"/>
  <c r="AE28" i="1"/>
  <c r="P46" i="1"/>
  <c r="T46" i="1" s="1"/>
  <c r="P6" i="1"/>
  <c r="P7" i="1"/>
  <c r="P43" i="1"/>
  <c r="P44" i="1"/>
  <c r="T44" i="1" s="1"/>
  <c r="P8" i="1"/>
  <c r="P9" i="1"/>
  <c r="P10" i="1"/>
  <c r="P11" i="1"/>
  <c r="P12" i="1"/>
  <c r="P13" i="1"/>
  <c r="P14" i="1"/>
  <c r="P15" i="1"/>
  <c r="P16" i="1"/>
  <c r="P17" i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P29" i="1"/>
  <c r="T29" i="1" s="1"/>
  <c r="P30" i="1"/>
  <c r="P31" i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P41" i="1"/>
  <c r="T41" i="1" s="1"/>
  <c r="P45" i="1"/>
  <c r="L41" i="1"/>
  <c r="L40" i="1"/>
  <c r="L39" i="1"/>
  <c r="AE38" i="1"/>
  <c r="L38" i="1"/>
  <c r="L37" i="1"/>
  <c r="AE36" i="1"/>
  <c r="L36" i="1"/>
  <c r="L35" i="1"/>
  <c r="AE34" i="1"/>
  <c r="L34" i="1"/>
  <c r="AE33" i="1"/>
  <c r="L33" i="1"/>
  <c r="L32" i="1"/>
  <c r="L31" i="1"/>
  <c r="L30" i="1"/>
  <c r="AE29" i="1"/>
  <c r="L29" i="1"/>
  <c r="L28" i="1"/>
  <c r="AE27" i="1"/>
  <c r="L27" i="1"/>
  <c r="L26" i="1"/>
  <c r="L25" i="1"/>
  <c r="L24" i="1"/>
  <c r="L23" i="1"/>
  <c r="AE22" i="1"/>
  <c r="L22" i="1"/>
  <c r="L21" i="1"/>
  <c r="AE20" i="1"/>
  <c r="L20" i="1"/>
  <c r="L19" i="1"/>
  <c r="AE18" i="1"/>
  <c r="L18" i="1"/>
  <c r="L17" i="1"/>
  <c r="L16" i="1"/>
  <c r="L15" i="1"/>
  <c r="L14" i="1"/>
  <c r="L13" i="1"/>
  <c r="L12" i="1"/>
  <c r="L11" i="1"/>
  <c r="L10" i="1"/>
  <c r="L9" i="1"/>
  <c r="L8" i="1"/>
  <c r="AE44" i="1"/>
  <c r="L44" i="1"/>
  <c r="L43" i="1"/>
  <c r="L7" i="1"/>
  <c r="L6" i="1"/>
  <c r="AE46" i="1"/>
  <c r="L46" i="1"/>
  <c r="L45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1" i="1" l="1"/>
  <c r="T40" i="1"/>
  <c r="T43" i="1"/>
  <c r="T30" i="1"/>
  <c r="T28" i="1"/>
  <c r="T12" i="1"/>
  <c r="Q16" i="1"/>
  <c r="AE16" i="1" s="1"/>
  <c r="AE14" i="1"/>
  <c r="Q12" i="1"/>
  <c r="AE12" i="1" s="1"/>
  <c r="Q10" i="1"/>
  <c r="AE10" i="1" s="1"/>
  <c r="AE8" i="1"/>
  <c r="Q17" i="1"/>
  <c r="AE17" i="1" s="1"/>
  <c r="AE15" i="1"/>
  <c r="Q13" i="1"/>
  <c r="AE13" i="1" s="1"/>
  <c r="AE11" i="1"/>
  <c r="AE9" i="1"/>
  <c r="AE7" i="1"/>
  <c r="U25" i="1"/>
  <c r="P5" i="1"/>
  <c r="U41" i="1"/>
  <c r="U9" i="1"/>
  <c r="U33" i="1"/>
  <c r="U17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4" i="1"/>
  <c r="U46" i="1"/>
  <c r="T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3" i="1"/>
  <c r="U6" i="1"/>
  <c r="L5" i="1"/>
  <c r="U45" i="1"/>
  <c r="T8" i="1" l="1"/>
  <c r="T16" i="1"/>
  <c r="T9" i="1"/>
  <c r="T13" i="1"/>
  <c r="T17" i="1"/>
  <c r="Q5" i="1"/>
  <c r="AE6" i="1"/>
  <c r="AE5" i="1" s="1"/>
  <c r="T7" i="1"/>
  <c r="T11" i="1"/>
  <c r="T15" i="1"/>
  <c r="T6" i="1"/>
  <c r="T10" i="1"/>
  <c r="T14" i="1"/>
</calcChain>
</file>

<file path=xl/sharedStrings.xml><?xml version="1.0" encoding="utf-8"?>
<sst xmlns="http://schemas.openxmlformats.org/spreadsheetml/2006/main" count="160" uniqueCount="95">
  <si>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</si>
  <si>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</si>
  <si>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</si>
  <si>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</si>
  <si>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</si>
  <si>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</si>
  <si>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</si>
  <si>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</si>
  <si>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</si>
  <si>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</si>
  <si>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</si>
  <si>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</si>
  <si>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</si>
  <si>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</si>
  <si>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</si>
  <si>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</si>
  <si>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</si>
  <si>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</si>
  <si>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</si>
  <si>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</si>
  <si>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</si>
  <si>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</si>
  <si>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</si>
  <si>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</si>
  <si>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</si>
  <si>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08,12,</t>
  </si>
  <si>
    <t>24,11,</t>
  </si>
  <si>
    <t>17,11,</t>
  </si>
  <si>
    <t>10,11,</t>
  </si>
  <si>
    <t>03,11,</t>
  </si>
  <si>
    <t>27,10,</t>
  </si>
  <si>
    <t>20,10,</t>
  </si>
  <si>
    <t>13,10,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</si>
  <si>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</si>
  <si>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</si>
  <si>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</si>
  <si>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</si>
  <si>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</si>
  <si>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</si>
  <si>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</si>
  <si>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</si>
  <si>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</si>
  <si>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</si>
  <si>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19,08,25 списание 47 шт. (сроки)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</si>
  <si>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</si>
  <si>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</si>
  <si>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</si>
  <si>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</si>
  <si>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</si>
  <si>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</si>
  <si>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</si>
  <si>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</si>
  <si>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</si>
  <si>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</si>
  <si>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</si>
  <si>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</si>
  <si>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</si>
  <si>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</si>
  <si>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</si>
  <si>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</si>
  <si>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нужно увеличить продажи</t>
  </si>
  <si>
    <t>Сыр Папа Может "Российский традиционный"  50%, вакуум  Останкино</t>
  </si>
  <si>
    <t>24,11,25 заказ под клиента (460кг) / 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</si>
  <si>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</si>
  <si>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</si>
  <si>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</si>
  <si>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</si>
  <si>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</si>
  <si>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</si>
  <si>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</si>
  <si>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</si>
  <si>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</si>
  <si>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</si>
  <si>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</si>
  <si>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</si>
  <si>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</si>
  <si>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</si>
  <si>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</si>
  <si>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</si>
  <si>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</si>
  <si>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</si>
  <si>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</si>
  <si>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</si>
  <si>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</si>
  <si>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</si>
  <si>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</si>
  <si>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24,11,25 заказ под клиента (420кг) / 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</si>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</sst>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3" xfId="1" applyNumberFormat="1" applyFill="1" applyBorder="1"/>
    <xf numFmtId="164" fontId="1" fillId="6" borderId="4" xfId="1" applyNumberFormat="1" applyFill="1" applyBorder="1"/>
    <xf numFmtId="164" fontId="1" fillId="6" borderId="5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" sqref="S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9.140625" customWidth="1"/>
    <col min="31" max="31" width="7" customWidth="1"/>
    <col min="32" max="50" width="3" customWidth="1"/>
  </cols>
  <sheetData>
    <row r="1" spans="1:50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/>
      <c r="T4" s="4"/>
      <c r="U4" s="4"/>
      <c r="V4" s="4" t="s">
        <v>24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SUM(E6:E495)</f>
        <v>2588.9679999999998</v>
      </c>
      <c r="F5" s="3">
        <f>SUM(F6:F495)</f>
        <v>6993.4839999999995</v>
      </c>
      <c r="G5" s="7"/>
      <c r="H5" s="4"/>
      <c r="I5" s="4"/>
      <c r="J5" s="4"/>
      <c r="K5" s="3">
        <f t="shared" ref="K5:R5" si="0">SUM(K6:K495)</f>
        <v>2741.0280000000002</v>
      </c>
      <c r="L5" s="3">
        <f t="shared" si="0"/>
        <v>-152.05999999999997</v>
      </c>
      <c r="M5" s="3">
        <f t="shared" si="0"/>
        <v>0</v>
      </c>
      <c r="N5" s="3">
        <f t="shared" si="0"/>
        <v>0</v>
      </c>
      <c r="O5" s="3">
        <f t="shared" si="0"/>
        <v>1859</v>
      </c>
      <c r="P5" s="3">
        <f t="shared" si="0"/>
        <v>517.79360000000008</v>
      </c>
      <c r="Q5" s="3">
        <f t="shared" si="0"/>
        <v>2467.4960000000001</v>
      </c>
      <c r="R5" s="3">
        <f t="shared" si="0"/>
        <v>0</v>
      </c>
      <c r="S5" s="4"/>
      <c r="T5" s="4"/>
      <c r="U5" s="4"/>
      <c r="V5" s="3">
        <f t="shared" ref="V5:AC5" si="1">SUM(V6:V495)</f>
        <v>632.86459999999988</v>
      </c>
      <c r="W5" s="3">
        <f t="shared" si="1"/>
        <v>461.0292</v>
      </c>
      <c r="X5" s="3">
        <f t="shared" si="1"/>
        <v>557.15300000000002</v>
      </c>
      <c r="Y5" s="3">
        <f t="shared" si="1"/>
        <v>516.76679999999999</v>
      </c>
      <c r="Z5" s="3">
        <f t="shared" si="1"/>
        <v>496.69299999999998</v>
      </c>
      <c r="AA5" s="3">
        <f t="shared" si="1"/>
        <v>770.86619999999994</v>
      </c>
      <c r="AB5" s="3">
        <f t="shared" si="1"/>
        <v>627.9316</v>
      </c>
      <c r="AC5" s="3">
        <f t="shared" si="1"/>
        <v>578.43240000000003</v>
      </c>
      <c r="AD5" s="4"/>
      <c r="AE5" s="3">
        <f>SUM(AE6:AE495)</f>
        <v>526.11599999999999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37</v>
      </c>
      <c r="B6" s="4" t="s">
        <v>34</v>
      </c>
      <c r="C6" s="4">
        <v>46</v>
      </c>
      <c r="D6" s="4">
        <v>112</v>
      </c>
      <c r="E6" s="4">
        <v>28</v>
      </c>
      <c r="F6" s="4">
        <v>130</v>
      </c>
      <c r="G6" s="7">
        <v>0.18</v>
      </c>
      <c r="H6" s="4">
        <v>270</v>
      </c>
      <c r="I6" s="4">
        <v>9988438</v>
      </c>
      <c r="J6" s="4"/>
      <c r="K6" s="4">
        <v>28</v>
      </c>
      <c r="L6" s="4">
        <f t="shared" ref="L6:L41" si="2">E6-K6</f>
        <v>0</v>
      </c>
      <c r="M6" s="4"/>
      <c r="N6" s="4"/>
      <c r="O6" s="4">
        <v>0</v>
      </c>
      <c r="P6" s="4">
        <f t="shared" ref="P6:P41" si="3">E6/5</f>
        <v>5.6</v>
      </c>
      <c r="Q6" s="9"/>
      <c r="R6" s="9"/>
      <c r="S6" s="4"/>
      <c r="T6" s="4">
        <f t="shared" ref="T6:T41" si="4">(F6+O6+Q6)/P6</f>
        <v>23.214285714285715</v>
      </c>
      <c r="U6" s="4">
        <f t="shared" ref="U6:U41" si="5">(F6+O6)/P6</f>
        <v>23.214285714285715</v>
      </c>
      <c r="V6" s="4">
        <v>5</v>
      </c>
      <c r="W6" s="4">
        <v>8.8000000000000007</v>
      </c>
      <c r="X6" s="4">
        <v>6.2</v>
      </c>
      <c r="Y6" s="4">
        <v>5.4</v>
      </c>
      <c r="Z6" s="4">
        <v>7.4</v>
      </c>
      <c r="AA6" s="4">
        <v>5.2</v>
      </c>
      <c r="AB6" s="4">
        <v>4.2</v>
      </c>
      <c r="AC6" s="4">
        <v>7</v>
      </c>
      <c r="AD6" s="4"/>
      <c r="AE6" s="4">
        <f t="shared" ref="AE6:AE18" si="6">G6*Q6</f>
        <v>0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38</v>
      </c>
      <c r="B7" s="4" t="s">
        <v>34</v>
      </c>
      <c r="C7" s="4">
        <v>61</v>
      </c>
      <c r="D7" s="4">
        <v>112</v>
      </c>
      <c r="E7" s="4">
        <v>29</v>
      </c>
      <c r="F7" s="4">
        <v>144</v>
      </c>
      <c r="G7" s="7">
        <v>0.18</v>
      </c>
      <c r="H7" s="4">
        <v>270</v>
      </c>
      <c r="I7" s="4">
        <v>9988445</v>
      </c>
      <c r="J7" s="4"/>
      <c r="K7" s="4">
        <v>29</v>
      </c>
      <c r="L7" s="4">
        <f t="shared" si="2"/>
        <v>0</v>
      </c>
      <c r="M7" s="4"/>
      <c r="N7" s="4"/>
      <c r="O7" s="4">
        <v>0</v>
      </c>
      <c r="P7" s="4">
        <f t="shared" si="3"/>
        <v>5.8</v>
      </c>
      <c r="Q7" s="9"/>
      <c r="R7" s="9"/>
      <c r="S7" s="4"/>
      <c r="T7" s="4">
        <f t="shared" si="4"/>
        <v>24.827586206896552</v>
      </c>
      <c r="U7" s="4">
        <f t="shared" si="5"/>
        <v>24.827586206896552</v>
      </c>
      <c r="V7" s="4">
        <v>5.4</v>
      </c>
      <c r="W7" s="4">
        <v>9.6</v>
      </c>
      <c r="X7" s="4">
        <v>6.4</v>
      </c>
      <c r="Y7" s="4">
        <v>4.5999999999999996</v>
      </c>
      <c r="Z7" s="4">
        <v>6.6</v>
      </c>
      <c r="AA7" s="4">
        <v>4.2</v>
      </c>
      <c r="AB7" s="4">
        <v>5</v>
      </c>
      <c r="AC7" s="4">
        <v>7.6</v>
      </c>
      <c r="AD7" s="4"/>
      <c r="AE7" s="4">
        <f t="shared" si="6"/>
        <v>0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41</v>
      </c>
      <c r="B8" s="4" t="s">
        <v>34</v>
      </c>
      <c r="C8" s="4">
        <v>14</v>
      </c>
      <c r="D8" s="4">
        <v>16</v>
      </c>
      <c r="E8" s="4">
        <v>5</v>
      </c>
      <c r="F8" s="4">
        <v>25</v>
      </c>
      <c r="G8" s="7">
        <v>0.4</v>
      </c>
      <c r="H8" s="4">
        <v>270</v>
      </c>
      <c r="I8" s="4">
        <v>9988452</v>
      </c>
      <c r="J8" s="4"/>
      <c r="K8" s="4">
        <v>5</v>
      </c>
      <c r="L8" s="4">
        <f t="shared" si="2"/>
        <v>0</v>
      </c>
      <c r="M8" s="4"/>
      <c r="N8" s="4"/>
      <c r="O8" s="4">
        <v>0</v>
      </c>
      <c r="P8" s="4">
        <f t="shared" si="3"/>
        <v>1</v>
      </c>
      <c r="Q8" s="9"/>
      <c r="R8" s="9"/>
      <c r="S8" s="4"/>
      <c r="T8" s="4">
        <f t="shared" si="4"/>
        <v>25</v>
      </c>
      <c r="U8" s="4">
        <f t="shared" si="5"/>
        <v>25</v>
      </c>
      <c r="V8" s="4">
        <v>0.4</v>
      </c>
      <c r="W8" s="4">
        <v>1.6</v>
      </c>
      <c r="X8" s="4">
        <v>1</v>
      </c>
      <c r="Y8" s="4">
        <v>0.8</v>
      </c>
      <c r="Z8" s="4">
        <v>2</v>
      </c>
      <c r="AA8" s="4">
        <v>0.2</v>
      </c>
      <c r="AB8" s="4">
        <v>0.8</v>
      </c>
      <c r="AC8" s="4">
        <v>1.8</v>
      </c>
      <c r="AD8" s="24" t="s">
        <v>60</v>
      </c>
      <c r="AE8" s="4">
        <f t="shared" si="6"/>
        <v>0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42</v>
      </c>
      <c r="B9" s="4" t="s">
        <v>34</v>
      </c>
      <c r="C9" s="4">
        <v>26</v>
      </c>
      <c r="D9" s="4"/>
      <c r="E9" s="4">
        <v>5</v>
      </c>
      <c r="F9" s="4">
        <v>21</v>
      </c>
      <c r="G9" s="7">
        <v>0.4</v>
      </c>
      <c r="H9" s="4">
        <v>270</v>
      </c>
      <c r="I9" s="4">
        <v>9988476</v>
      </c>
      <c r="J9" s="4"/>
      <c r="K9" s="4">
        <v>5</v>
      </c>
      <c r="L9" s="4">
        <f t="shared" si="2"/>
        <v>0</v>
      </c>
      <c r="M9" s="4"/>
      <c r="N9" s="4"/>
      <c r="O9" s="4">
        <v>28</v>
      </c>
      <c r="P9" s="4">
        <f t="shared" si="3"/>
        <v>1</v>
      </c>
      <c r="Q9" s="9"/>
      <c r="R9" s="9"/>
      <c r="S9" s="4"/>
      <c r="T9" s="4">
        <f t="shared" si="4"/>
        <v>49</v>
      </c>
      <c r="U9" s="4">
        <f t="shared" si="5"/>
        <v>49</v>
      </c>
      <c r="V9" s="4">
        <v>4</v>
      </c>
      <c r="W9" s="4">
        <v>0</v>
      </c>
      <c r="X9" s="4">
        <v>0</v>
      </c>
      <c r="Y9" s="4">
        <v>0.2</v>
      </c>
      <c r="Z9" s="4">
        <v>1.4</v>
      </c>
      <c r="AA9" s="4">
        <v>0</v>
      </c>
      <c r="AB9" s="4">
        <v>0</v>
      </c>
      <c r="AC9" s="4">
        <v>0</v>
      </c>
      <c r="AD9" s="4" t="s">
        <v>43</v>
      </c>
      <c r="AE9" s="4">
        <f t="shared" si="6"/>
        <v>0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44</v>
      </c>
      <c r="B10" s="4" t="s">
        <v>34</v>
      </c>
      <c r="C10" s="4">
        <v>272</v>
      </c>
      <c r="D10" s="4">
        <v>3</v>
      </c>
      <c r="E10" s="4">
        <v>70</v>
      </c>
      <c r="F10" s="4">
        <v>196</v>
      </c>
      <c r="G10" s="7">
        <v>0.18</v>
      </c>
      <c r="H10" s="4">
        <v>150</v>
      </c>
      <c r="I10" s="4">
        <v>5034819</v>
      </c>
      <c r="J10" s="4"/>
      <c r="K10" s="4">
        <v>79</v>
      </c>
      <c r="L10" s="4">
        <f t="shared" si="2"/>
        <v>-9</v>
      </c>
      <c r="M10" s="4"/>
      <c r="N10" s="4"/>
      <c r="O10" s="4">
        <v>24</v>
      </c>
      <c r="P10" s="4">
        <f t="shared" si="3"/>
        <v>14</v>
      </c>
      <c r="Q10" s="9">
        <f t="shared" ref="Q10:Q17" si="7">20*P10-O10-F10</f>
        <v>60</v>
      </c>
      <c r="R10" s="9"/>
      <c r="S10" s="4"/>
      <c r="T10" s="4">
        <f t="shared" si="4"/>
        <v>20</v>
      </c>
      <c r="U10" s="4">
        <f t="shared" si="5"/>
        <v>15.714285714285714</v>
      </c>
      <c r="V10" s="4">
        <v>14.8</v>
      </c>
      <c r="W10" s="4">
        <v>14.4</v>
      </c>
      <c r="X10" s="4">
        <v>21</v>
      </c>
      <c r="Y10" s="4">
        <v>13</v>
      </c>
      <c r="Z10" s="4">
        <v>9.4</v>
      </c>
      <c r="AA10" s="4">
        <v>4.4000000000000004</v>
      </c>
      <c r="AB10" s="4">
        <v>13.2</v>
      </c>
      <c r="AC10" s="4">
        <v>12.6</v>
      </c>
      <c r="AD10" s="4"/>
      <c r="AE10" s="4">
        <f t="shared" si="6"/>
        <v>10.799999999999999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25">
      <c r="A11" s="4" t="s">
        <v>45</v>
      </c>
      <c r="B11" s="4" t="s">
        <v>34</v>
      </c>
      <c r="C11" s="4"/>
      <c r="D11" s="4"/>
      <c r="E11" s="4">
        <v>-2</v>
      </c>
      <c r="F11" s="4"/>
      <c r="G11" s="7">
        <v>0.1</v>
      </c>
      <c r="H11" s="4">
        <v>90</v>
      </c>
      <c r="I11" s="4">
        <v>8444163</v>
      </c>
      <c r="J11" s="4"/>
      <c r="K11" s="4">
        <v>19</v>
      </c>
      <c r="L11" s="4">
        <f t="shared" si="2"/>
        <v>-21</v>
      </c>
      <c r="M11" s="4"/>
      <c r="N11" s="4"/>
      <c r="O11" s="4">
        <v>152</v>
      </c>
      <c r="P11" s="4">
        <f t="shared" si="3"/>
        <v>-0.4</v>
      </c>
      <c r="Q11" s="9"/>
      <c r="R11" s="9"/>
      <c r="S11" s="4"/>
      <c r="T11" s="4">
        <f t="shared" si="4"/>
        <v>-380</v>
      </c>
      <c r="U11" s="4">
        <f t="shared" si="5"/>
        <v>-380</v>
      </c>
      <c r="V11" s="4">
        <v>9.6</v>
      </c>
      <c r="W11" s="4">
        <v>-0.2</v>
      </c>
      <c r="X11" s="4">
        <v>2</v>
      </c>
      <c r="Y11" s="4">
        <v>2.4</v>
      </c>
      <c r="Z11" s="4">
        <v>10.8</v>
      </c>
      <c r="AA11" s="4">
        <v>22.8</v>
      </c>
      <c r="AB11" s="4">
        <v>9.8000000000000007</v>
      </c>
      <c r="AC11" s="4">
        <v>11.4</v>
      </c>
      <c r="AD11" s="4" t="s">
        <v>46</v>
      </c>
      <c r="AE11" s="4">
        <f t="shared" si="6"/>
        <v>0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47</v>
      </c>
      <c r="B12" s="4" t="s">
        <v>34</v>
      </c>
      <c r="C12" s="4">
        <v>478</v>
      </c>
      <c r="D12" s="4">
        <v>4</v>
      </c>
      <c r="E12" s="4">
        <v>136</v>
      </c>
      <c r="F12" s="4">
        <v>337</v>
      </c>
      <c r="G12" s="7">
        <v>0.18</v>
      </c>
      <c r="H12" s="4">
        <v>150</v>
      </c>
      <c r="I12" s="4">
        <v>5038411</v>
      </c>
      <c r="J12" s="4"/>
      <c r="K12" s="4">
        <v>142</v>
      </c>
      <c r="L12" s="4">
        <f t="shared" si="2"/>
        <v>-6</v>
      </c>
      <c r="M12" s="4"/>
      <c r="N12" s="4"/>
      <c r="O12" s="4">
        <v>150</v>
      </c>
      <c r="P12" s="4">
        <f t="shared" si="3"/>
        <v>27.2</v>
      </c>
      <c r="Q12" s="9">
        <f t="shared" si="7"/>
        <v>57</v>
      </c>
      <c r="R12" s="9"/>
      <c r="S12" s="4"/>
      <c r="T12" s="4">
        <f t="shared" si="4"/>
        <v>20</v>
      </c>
      <c r="U12" s="4">
        <f t="shared" si="5"/>
        <v>17.904411764705884</v>
      </c>
      <c r="V12" s="4">
        <v>29.6</v>
      </c>
      <c r="W12" s="4">
        <v>17.8</v>
      </c>
      <c r="X12" s="4">
        <v>35.6</v>
      </c>
      <c r="Y12" s="4">
        <v>32.799999999999997</v>
      </c>
      <c r="Z12" s="4">
        <v>23.2</v>
      </c>
      <c r="AA12" s="4">
        <v>26.4</v>
      </c>
      <c r="AB12" s="4">
        <v>29</v>
      </c>
      <c r="AC12" s="4">
        <v>24.8</v>
      </c>
      <c r="AD12" s="4"/>
      <c r="AE12" s="4">
        <f t="shared" si="6"/>
        <v>10.26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4" t="s">
        <v>48</v>
      </c>
      <c r="B13" s="4" t="s">
        <v>34</v>
      </c>
      <c r="C13" s="4">
        <v>392</v>
      </c>
      <c r="D13" s="4">
        <v>363</v>
      </c>
      <c r="E13" s="4">
        <v>186</v>
      </c>
      <c r="F13" s="4">
        <v>557</v>
      </c>
      <c r="G13" s="7">
        <v>0.18</v>
      </c>
      <c r="H13" s="4">
        <v>150</v>
      </c>
      <c r="I13" s="4">
        <v>5038459</v>
      </c>
      <c r="J13" s="4"/>
      <c r="K13" s="4">
        <v>197</v>
      </c>
      <c r="L13" s="4">
        <f t="shared" si="2"/>
        <v>-11</v>
      </c>
      <c r="M13" s="4"/>
      <c r="N13" s="4"/>
      <c r="O13" s="4">
        <v>0</v>
      </c>
      <c r="P13" s="4">
        <f t="shared" si="3"/>
        <v>37.200000000000003</v>
      </c>
      <c r="Q13" s="9">
        <f t="shared" si="7"/>
        <v>187</v>
      </c>
      <c r="R13" s="9"/>
      <c r="S13" s="4"/>
      <c r="T13" s="4">
        <f t="shared" si="4"/>
        <v>20</v>
      </c>
      <c r="U13" s="4">
        <f t="shared" si="5"/>
        <v>14.973118279569892</v>
      </c>
      <c r="V13" s="4">
        <v>34.6</v>
      </c>
      <c r="W13" s="4">
        <v>46.2</v>
      </c>
      <c r="X13" s="4">
        <v>40.200000000000003</v>
      </c>
      <c r="Y13" s="4">
        <v>33.200000000000003</v>
      </c>
      <c r="Z13" s="4">
        <v>37.799999999999997</v>
      </c>
      <c r="AA13" s="4">
        <v>44</v>
      </c>
      <c r="AB13" s="4">
        <v>27.4</v>
      </c>
      <c r="AC13" s="4">
        <v>27.6</v>
      </c>
      <c r="AD13" s="4"/>
      <c r="AE13" s="4">
        <f t="shared" si="6"/>
        <v>33.659999999999997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49</v>
      </c>
      <c r="B14" s="4" t="s">
        <v>34</v>
      </c>
      <c r="C14" s="4">
        <v>120</v>
      </c>
      <c r="D14" s="4">
        <v>228</v>
      </c>
      <c r="E14" s="4">
        <v>46</v>
      </c>
      <c r="F14" s="4">
        <v>278</v>
      </c>
      <c r="G14" s="7">
        <v>0.18</v>
      </c>
      <c r="H14" s="4">
        <v>150</v>
      </c>
      <c r="I14" s="4">
        <v>5038831</v>
      </c>
      <c r="J14" s="4"/>
      <c r="K14" s="4">
        <v>67</v>
      </c>
      <c r="L14" s="4">
        <f t="shared" si="2"/>
        <v>-21</v>
      </c>
      <c r="M14" s="4"/>
      <c r="N14" s="4"/>
      <c r="O14" s="4">
        <v>30</v>
      </c>
      <c r="P14" s="4">
        <f t="shared" si="3"/>
        <v>9.1999999999999993</v>
      </c>
      <c r="Q14" s="9"/>
      <c r="R14" s="9"/>
      <c r="S14" s="4"/>
      <c r="T14" s="4">
        <f t="shared" si="4"/>
        <v>33.478260869565219</v>
      </c>
      <c r="U14" s="4">
        <f t="shared" si="5"/>
        <v>33.478260869565219</v>
      </c>
      <c r="V14" s="4">
        <v>18.2</v>
      </c>
      <c r="W14" s="4">
        <v>21.2</v>
      </c>
      <c r="X14" s="4">
        <v>11.8</v>
      </c>
      <c r="Y14" s="4">
        <v>14.2</v>
      </c>
      <c r="Z14" s="4">
        <v>4</v>
      </c>
      <c r="AA14" s="4">
        <v>18.2</v>
      </c>
      <c r="AB14" s="4">
        <v>13.8</v>
      </c>
      <c r="AC14" s="4">
        <v>10.199999999999999</v>
      </c>
      <c r="AD14" s="24" t="s">
        <v>60</v>
      </c>
      <c r="AE14" s="4">
        <f t="shared" si="6"/>
        <v>0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4" t="s">
        <v>50</v>
      </c>
      <c r="B15" s="4" t="s">
        <v>34</v>
      </c>
      <c r="C15" s="4">
        <v>60</v>
      </c>
      <c r="D15" s="4">
        <v>4</v>
      </c>
      <c r="E15" s="4">
        <v>56</v>
      </c>
      <c r="F15" s="4">
        <v>3</v>
      </c>
      <c r="G15" s="7">
        <v>0.18</v>
      </c>
      <c r="H15" s="4">
        <v>120</v>
      </c>
      <c r="I15" s="4">
        <v>5038855</v>
      </c>
      <c r="J15" s="4"/>
      <c r="K15" s="4">
        <v>79</v>
      </c>
      <c r="L15" s="4">
        <f t="shared" si="2"/>
        <v>-23</v>
      </c>
      <c r="M15" s="4"/>
      <c r="N15" s="4"/>
      <c r="O15" s="4">
        <v>0</v>
      </c>
      <c r="P15" s="4">
        <f t="shared" si="3"/>
        <v>11.2</v>
      </c>
      <c r="Q15" s="9">
        <f>15*P15-O15-F15</f>
        <v>165</v>
      </c>
      <c r="R15" s="9"/>
      <c r="S15" s="4"/>
      <c r="T15" s="4">
        <f t="shared" si="4"/>
        <v>15.000000000000002</v>
      </c>
      <c r="U15" s="4">
        <f t="shared" si="5"/>
        <v>0.26785714285714285</v>
      </c>
      <c r="V15" s="4">
        <v>-0.2</v>
      </c>
      <c r="W15" s="4">
        <v>0</v>
      </c>
      <c r="X15" s="4">
        <v>-0.4</v>
      </c>
      <c r="Y15" s="4">
        <v>-0.2</v>
      </c>
      <c r="Z15" s="4">
        <v>-0.2</v>
      </c>
      <c r="AA15" s="4">
        <v>-0.4</v>
      </c>
      <c r="AB15" s="4">
        <v>-0.8</v>
      </c>
      <c r="AC15" s="4">
        <v>-0.4</v>
      </c>
      <c r="AD15" s="4" t="s">
        <v>51</v>
      </c>
      <c r="AE15" s="4">
        <f t="shared" si="6"/>
        <v>29.7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4" t="s">
        <v>52</v>
      </c>
      <c r="B16" s="4" t="s">
        <v>34</v>
      </c>
      <c r="C16" s="4">
        <v>220</v>
      </c>
      <c r="D16" s="4">
        <v>958</v>
      </c>
      <c r="E16" s="4">
        <v>242</v>
      </c>
      <c r="F16" s="4">
        <v>925</v>
      </c>
      <c r="G16" s="7">
        <v>0.18</v>
      </c>
      <c r="H16" s="4">
        <v>150</v>
      </c>
      <c r="I16" s="4">
        <v>5038435</v>
      </c>
      <c r="J16" s="4"/>
      <c r="K16" s="4">
        <v>250</v>
      </c>
      <c r="L16" s="4">
        <f t="shared" si="2"/>
        <v>-8</v>
      </c>
      <c r="M16" s="4"/>
      <c r="N16" s="4"/>
      <c r="O16" s="4">
        <v>0</v>
      </c>
      <c r="P16" s="4">
        <f t="shared" si="3"/>
        <v>48.4</v>
      </c>
      <c r="Q16" s="9">
        <f t="shared" si="7"/>
        <v>43</v>
      </c>
      <c r="R16" s="9"/>
      <c r="S16" s="4"/>
      <c r="T16" s="4">
        <f t="shared" si="4"/>
        <v>20</v>
      </c>
      <c r="U16" s="4">
        <f t="shared" si="5"/>
        <v>19.111570247933884</v>
      </c>
      <c r="V16" s="4">
        <v>53.2</v>
      </c>
      <c r="W16" s="4">
        <v>80.8</v>
      </c>
      <c r="X16" s="4">
        <v>43.2</v>
      </c>
      <c r="Y16" s="4">
        <v>52</v>
      </c>
      <c r="Z16" s="4">
        <v>70</v>
      </c>
      <c r="AA16" s="4">
        <v>66</v>
      </c>
      <c r="AB16" s="4">
        <v>51.6</v>
      </c>
      <c r="AC16" s="4">
        <v>64.2</v>
      </c>
      <c r="AD16" s="4"/>
      <c r="AE16" s="4">
        <f t="shared" si="6"/>
        <v>7.7399999999999993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ht="15.75" thickBot="1" x14ac:dyDescent="0.3">
      <c r="A17" s="4" t="s">
        <v>53</v>
      </c>
      <c r="B17" s="4" t="s">
        <v>34</v>
      </c>
      <c r="C17" s="4">
        <v>274</v>
      </c>
      <c r="D17" s="4">
        <v>287</v>
      </c>
      <c r="E17" s="4">
        <v>110</v>
      </c>
      <c r="F17" s="4">
        <v>419</v>
      </c>
      <c r="G17" s="7">
        <v>0.18</v>
      </c>
      <c r="H17" s="4">
        <v>120</v>
      </c>
      <c r="I17" s="4">
        <v>5038398</v>
      </c>
      <c r="J17" s="4"/>
      <c r="K17" s="4">
        <v>140</v>
      </c>
      <c r="L17" s="4">
        <f t="shared" si="2"/>
        <v>-30</v>
      </c>
      <c r="M17" s="4"/>
      <c r="N17" s="4"/>
      <c r="O17" s="4">
        <v>0</v>
      </c>
      <c r="P17" s="4">
        <f t="shared" si="3"/>
        <v>22</v>
      </c>
      <c r="Q17" s="9">
        <f t="shared" si="7"/>
        <v>21</v>
      </c>
      <c r="R17" s="9"/>
      <c r="S17" s="4"/>
      <c r="T17" s="4">
        <f t="shared" si="4"/>
        <v>20</v>
      </c>
      <c r="U17" s="4">
        <f t="shared" si="5"/>
        <v>19.045454545454547</v>
      </c>
      <c r="V17" s="4">
        <v>27.2</v>
      </c>
      <c r="W17" s="4">
        <v>33.799999999999997</v>
      </c>
      <c r="X17" s="4">
        <v>29.4</v>
      </c>
      <c r="Y17" s="4">
        <v>17.2</v>
      </c>
      <c r="Z17" s="4">
        <v>24.8</v>
      </c>
      <c r="AA17" s="4">
        <v>38</v>
      </c>
      <c r="AB17" s="4">
        <v>21</v>
      </c>
      <c r="AC17" s="4">
        <v>23</v>
      </c>
      <c r="AD17" s="4"/>
      <c r="AE17" s="4">
        <f t="shared" si="6"/>
        <v>3.78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x14ac:dyDescent="0.25">
      <c r="A18" s="12" t="s">
        <v>54</v>
      </c>
      <c r="B18" s="13" t="s">
        <v>55</v>
      </c>
      <c r="C18" s="13"/>
      <c r="D18" s="13"/>
      <c r="E18" s="13"/>
      <c r="F18" s="14"/>
      <c r="G18" s="7">
        <v>1</v>
      </c>
      <c r="H18" s="4">
        <v>150</v>
      </c>
      <c r="I18" s="4">
        <v>8785242</v>
      </c>
      <c r="J18" s="4"/>
      <c r="K18" s="4"/>
      <c r="L18" s="4">
        <f t="shared" si="2"/>
        <v>0</v>
      </c>
      <c r="M18" s="4"/>
      <c r="N18" s="4"/>
      <c r="O18" s="4">
        <v>0</v>
      </c>
      <c r="P18" s="4">
        <f t="shared" si="3"/>
        <v>0</v>
      </c>
      <c r="Q18" s="9"/>
      <c r="R18" s="9"/>
      <c r="S18" s="4"/>
      <c r="T18" s="4" t="e">
        <f t="shared" si="4"/>
        <v>#DIV/0!</v>
      </c>
      <c r="U18" s="4" t="e">
        <f t="shared" si="5"/>
        <v>#DIV/0!</v>
      </c>
      <c r="V18" s="4">
        <v>0</v>
      </c>
      <c r="W18" s="4">
        <v>0</v>
      </c>
      <c r="X18" s="4">
        <v>0.66439999999999999</v>
      </c>
      <c r="Y18" s="4">
        <v>0</v>
      </c>
      <c r="Z18" s="4">
        <v>0</v>
      </c>
      <c r="AA18" s="4">
        <v>0</v>
      </c>
      <c r="AB18" s="4">
        <v>-0.65639999999999998</v>
      </c>
      <c r="AC18" s="4">
        <v>0</v>
      </c>
      <c r="AD18" s="4"/>
      <c r="AE18" s="4">
        <f t="shared" si="6"/>
        <v>0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ht="15.75" thickBot="1" x14ac:dyDescent="0.3">
      <c r="A19" s="15" t="s">
        <v>56</v>
      </c>
      <c r="B19" s="16" t="s">
        <v>55</v>
      </c>
      <c r="C19" s="16">
        <v>75.581999999999994</v>
      </c>
      <c r="D19" s="16"/>
      <c r="E19" s="16">
        <v>10.304</v>
      </c>
      <c r="F19" s="17">
        <v>65.278000000000006</v>
      </c>
      <c r="G19" s="18">
        <v>0</v>
      </c>
      <c r="H19" s="19" t="e">
        <v>#N/A</v>
      </c>
      <c r="I19" s="19" t="s">
        <v>57</v>
      </c>
      <c r="J19" s="19" t="s">
        <v>54</v>
      </c>
      <c r="K19" s="19">
        <v>9</v>
      </c>
      <c r="L19" s="19">
        <f t="shared" si="2"/>
        <v>1.3040000000000003</v>
      </c>
      <c r="M19" s="19"/>
      <c r="N19" s="19"/>
      <c r="O19" s="19">
        <v>0</v>
      </c>
      <c r="P19" s="19">
        <f t="shared" si="3"/>
        <v>2.0608</v>
      </c>
      <c r="Q19" s="20"/>
      <c r="R19" s="20"/>
      <c r="S19" s="19"/>
      <c r="T19" s="19">
        <f t="shared" si="4"/>
        <v>31.676048136645967</v>
      </c>
      <c r="U19" s="19">
        <f t="shared" si="5"/>
        <v>31.676048136645967</v>
      </c>
      <c r="V19" s="19">
        <v>2.7292000000000001</v>
      </c>
      <c r="W19" s="19">
        <v>2.0215999999999998</v>
      </c>
      <c r="X19" s="19">
        <v>6.0683999999999996</v>
      </c>
      <c r="Y19" s="19">
        <v>4.0823999999999998</v>
      </c>
      <c r="Z19" s="19">
        <v>2.6631999999999998</v>
      </c>
      <c r="AA19" s="19">
        <v>3.4367999999999999</v>
      </c>
      <c r="AB19" s="19">
        <v>10.3148</v>
      </c>
      <c r="AC19" s="19">
        <v>5.8356000000000003</v>
      </c>
      <c r="AD19" s="25" t="s">
        <v>35</v>
      </c>
      <c r="AE19" s="19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x14ac:dyDescent="0.25">
      <c r="A20" s="12" t="s">
        <v>58</v>
      </c>
      <c r="B20" s="13" t="s">
        <v>55</v>
      </c>
      <c r="C20" s="13"/>
      <c r="D20" s="13"/>
      <c r="E20" s="13"/>
      <c r="F20" s="14"/>
      <c r="G20" s="7">
        <v>1</v>
      </c>
      <c r="H20" s="4">
        <v>150</v>
      </c>
      <c r="I20" s="4">
        <v>8785235</v>
      </c>
      <c r="J20" s="4"/>
      <c r="K20" s="4"/>
      <c r="L20" s="4">
        <f t="shared" si="2"/>
        <v>0</v>
      </c>
      <c r="M20" s="4"/>
      <c r="N20" s="4"/>
      <c r="O20" s="4">
        <v>50</v>
      </c>
      <c r="P20" s="4">
        <f t="shared" si="3"/>
        <v>0</v>
      </c>
      <c r="Q20" s="9"/>
      <c r="R20" s="9"/>
      <c r="S20" s="4"/>
      <c r="T20" s="4" t="e">
        <f t="shared" si="4"/>
        <v>#DIV/0!</v>
      </c>
      <c r="U20" s="4" t="e">
        <f t="shared" si="5"/>
        <v>#DIV/0!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/>
      <c r="AE20" s="4">
        <f>G20*Q20</f>
        <v>0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ht="15.75" thickBot="1" x14ac:dyDescent="0.3">
      <c r="A21" s="15" t="s">
        <v>59</v>
      </c>
      <c r="B21" s="16" t="s">
        <v>55</v>
      </c>
      <c r="C21" s="16">
        <v>79.852000000000004</v>
      </c>
      <c r="D21" s="16"/>
      <c r="E21" s="16">
        <v>24.03</v>
      </c>
      <c r="F21" s="17">
        <v>55.822000000000003</v>
      </c>
      <c r="G21" s="18">
        <v>0</v>
      </c>
      <c r="H21" s="19" t="e">
        <v>#N/A</v>
      </c>
      <c r="I21" s="19" t="s">
        <v>57</v>
      </c>
      <c r="J21" s="19" t="s">
        <v>58</v>
      </c>
      <c r="K21" s="19">
        <v>22</v>
      </c>
      <c r="L21" s="19">
        <f t="shared" si="2"/>
        <v>2.0300000000000011</v>
      </c>
      <c r="M21" s="19"/>
      <c r="N21" s="19"/>
      <c r="O21" s="19">
        <v>0</v>
      </c>
      <c r="P21" s="19">
        <f t="shared" si="3"/>
        <v>4.806</v>
      </c>
      <c r="Q21" s="20"/>
      <c r="R21" s="20"/>
      <c r="S21" s="19"/>
      <c r="T21" s="19">
        <f t="shared" si="4"/>
        <v>11.615064502704952</v>
      </c>
      <c r="U21" s="19">
        <f t="shared" si="5"/>
        <v>11.615064502704952</v>
      </c>
      <c r="V21" s="19">
        <v>6.1696</v>
      </c>
      <c r="W21" s="19">
        <v>0.66800000000000004</v>
      </c>
      <c r="X21" s="19">
        <v>4.7682000000000002</v>
      </c>
      <c r="Y21" s="19">
        <v>4.0609999999999999</v>
      </c>
      <c r="Z21" s="19">
        <v>4.7210000000000001</v>
      </c>
      <c r="AA21" s="19">
        <v>9.0640000000000001</v>
      </c>
      <c r="AB21" s="19">
        <v>6.1281999999999996</v>
      </c>
      <c r="AC21" s="19">
        <v>4.1307999999999998</v>
      </c>
      <c r="AD21" s="24" t="s">
        <v>60</v>
      </c>
      <c r="AE21" s="19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x14ac:dyDescent="0.25">
      <c r="A22" s="12" t="s">
        <v>61</v>
      </c>
      <c r="B22" s="13" t="s">
        <v>55</v>
      </c>
      <c r="C22" s="13"/>
      <c r="D22" s="13"/>
      <c r="E22" s="13"/>
      <c r="F22" s="14"/>
      <c r="G22" s="7">
        <v>1</v>
      </c>
      <c r="H22" s="4">
        <v>120</v>
      </c>
      <c r="I22" s="4">
        <v>8785204</v>
      </c>
      <c r="J22" s="4"/>
      <c r="K22" s="4"/>
      <c r="L22" s="4">
        <f t="shared" si="2"/>
        <v>0</v>
      </c>
      <c r="M22" s="4"/>
      <c r="N22" s="4"/>
      <c r="O22" s="4">
        <v>99</v>
      </c>
      <c r="P22" s="4">
        <f t="shared" si="3"/>
        <v>0</v>
      </c>
      <c r="Q22" s="9"/>
      <c r="R22" s="9"/>
      <c r="S22" s="4"/>
      <c r="T22" s="4" t="e">
        <f t="shared" si="4"/>
        <v>#DIV/0!</v>
      </c>
      <c r="U22" s="4" t="e">
        <f t="shared" si="5"/>
        <v>#DIV/0!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 t="s">
        <v>62</v>
      </c>
      <c r="AE22" s="4">
        <f>G22*Q22</f>
        <v>0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ht="15.75" thickBot="1" x14ac:dyDescent="0.3">
      <c r="A23" s="15" t="s">
        <v>63</v>
      </c>
      <c r="B23" s="16" t="s">
        <v>55</v>
      </c>
      <c r="C23" s="16">
        <v>78.034999999999997</v>
      </c>
      <c r="D23" s="16">
        <v>51.21</v>
      </c>
      <c r="E23" s="16">
        <v>32.462000000000003</v>
      </c>
      <c r="F23" s="17">
        <v>96.783000000000001</v>
      </c>
      <c r="G23" s="18">
        <v>0</v>
      </c>
      <c r="H23" s="19" t="e">
        <v>#N/A</v>
      </c>
      <c r="I23" s="19" t="s">
        <v>57</v>
      </c>
      <c r="J23" s="19" t="s">
        <v>61</v>
      </c>
      <c r="K23" s="19">
        <v>28.9</v>
      </c>
      <c r="L23" s="19">
        <f t="shared" si="2"/>
        <v>3.5620000000000047</v>
      </c>
      <c r="M23" s="19"/>
      <c r="N23" s="19"/>
      <c r="O23" s="19">
        <v>0</v>
      </c>
      <c r="P23" s="19">
        <f t="shared" si="3"/>
        <v>6.4924000000000008</v>
      </c>
      <c r="Q23" s="20"/>
      <c r="R23" s="20"/>
      <c r="S23" s="19"/>
      <c r="T23" s="19">
        <f t="shared" si="4"/>
        <v>14.907122173618383</v>
      </c>
      <c r="U23" s="19">
        <f t="shared" si="5"/>
        <v>14.907122173618383</v>
      </c>
      <c r="V23" s="19">
        <v>12</v>
      </c>
      <c r="W23" s="19">
        <v>6.2435999999999998</v>
      </c>
      <c r="X23" s="19">
        <v>12.1904</v>
      </c>
      <c r="Y23" s="19">
        <v>12.318</v>
      </c>
      <c r="Z23" s="19">
        <v>8.9063999999999997</v>
      </c>
      <c r="AA23" s="19">
        <v>96.225200000000001</v>
      </c>
      <c r="AB23" s="19">
        <v>30.4954</v>
      </c>
      <c r="AC23" s="19">
        <v>9.7260000000000009</v>
      </c>
      <c r="AD23" s="19"/>
      <c r="AE23" s="19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.75" thickBot="1" x14ac:dyDescent="0.3">
      <c r="A24" s="26" t="s">
        <v>64</v>
      </c>
      <c r="B24" s="26" t="s">
        <v>34</v>
      </c>
      <c r="C24" s="26"/>
      <c r="D24" s="26"/>
      <c r="E24" s="26"/>
      <c r="F24" s="26"/>
      <c r="G24" s="27">
        <v>0</v>
      </c>
      <c r="H24" s="26">
        <v>60</v>
      </c>
      <c r="I24" s="26">
        <v>8444170</v>
      </c>
      <c r="J24" s="26"/>
      <c r="K24" s="26"/>
      <c r="L24" s="26">
        <f t="shared" si="2"/>
        <v>0</v>
      </c>
      <c r="M24" s="26"/>
      <c r="N24" s="26"/>
      <c r="O24" s="26">
        <v>0</v>
      </c>
      <c r="P24" s="26">
        <f t="shared" si="3"/>
        <v>0</v>
      </c>
      <c r="Q24" s="28"/>
      <c r="R24" s="28"/>
      <c r="S24" s="26"/>
      <c r="T24" s="26" t="e">
        <f t="shared" si="4"/>
        <v>#DIV/0!</v>
      </c>
      <c r="U24" s="26" t="e">
        <f t="shared" si="5"/>
        <v>#DIV/0!</v>
      </c>
      <c r="V24" s="26">
        <v>0</v>
      </c>
      <c r="W24" s="26">
        <v>-0.2</v>
      </c>
      <c r="X24" s="26">
        <v>0</v>
      </c>
      <c r="Y24" s="26">
        <v>-0.4</v>
      </c>
      <c r="Z24" s="26">
        <v>0</v>
      </c>
      <c r="AA24" s="26">
        <v>-0.8</v>
      </c>
      <c r="AB24" s="26">
        <v>0</v>
      </c>
      <c r="AC24" s="26">
        <v>0</v>
      </c>
      <c r="AD24" s="26" t="s">
        <v>65</v>
      </c>
      <c r="AE24" s="26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25">
      <c r="A25" s="21" t="s">
        <v>66</v>
      </c>
      <c r="B25" s="22" t="s">
        <v>55</v>
      </c>
      <c r="C25" s="22">
        <v>250.07900000000001</v>
      </c>
      <c r="D25" s="22">
        <v>2.8279999999999998</v>
      </c>
      <c r="E25" s="22">
        <v>21.666</v>
      </c>
      <c r="F25" s="23">
        <v>228.41300000000001</v>
      </c>
      <c r="G25" s="18">
        <v>0</v>
      </c>
      <c r="H25" s="19">
        <v>120</v>
      </c>
      <c r="I25" s="19" t="s">
        <v>67</v>
      </c>
      <c r="J25" s="19"/>
      <c r="K25" s="19">
        <v>22.2</v>
      </c>
      <c r="L25" s="19">
        <f t="shared" si="2"/>
        <v>-0.53399999999999892</v>
      </c>
      <c r="M25" s="19"/>
      <c r="N25" s="19"/>
      <c r="O25" s="19">
        <v>0</v>
      </c>
      <c r="P25" s="19">
        <f t="shared" si="3"/>
        <v>4.3331999999999997</v>
      </c>
      <c r="Q25" s="20"/>
      <c r="R25" s="20"/>
      <c r="S25" s="19"/>
      <c r="T25" s="19">
        <f t="shared" si="4"/>
        <v>52.712314225053085</v>
      </c>
      <c r="U25" s="19">
        <f t="shared" si="5"/>
        <v>52.712314225053085</v>
      </c>
      <c r="V25" s="19">
        <v>11.477399999999999</v>
      </c>
      <c r="W25" s="19">
        <v>2.4104000000000001</v>
      </c>
      <c r="X25" s="19">
        <v>4.0392000000000001</v>
      </c>
      <c r="Y25" s="19">
        <v>5.9770000000000003</v>
      </c>
      <c r="Z25" s="19">
        <v>6.0220000000000002</v>
      </c>
      <c r="AA25" s="19">
        <v>15.742599999999999</v>
      </c>
      <c r="AB25" s="19">
        <v>7.4812000000000003</v>
      </c>
      <c r="AC25" s="19">
        <v>9.7886000000000006</v>
      </c>
      <c r="AD25" s="25" t="s">
        <v>35</v>
      </c>
      <c r="AE25" s="19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ht="15.75" thickBot="1" x14ac:dyDescent="0.3">
      <c r="A26" s="15" t="s">
        <v>68</v>
      </c>
      <c r="B26" s="16" t="s">
        <v>55</v>
      </c>
      <c r="C26" s="16">
        <v>4.9459999999999997</v>
      </c>
      <c r="D26" s="16"/>
      <c r="E26" s="16"/>
      <c r="F26" s="17">
        <v>4.9459999999999997</v>
      </c>
      <c r="G26" s="18">
        <v>0</v>
      </c>
      <c r="H26" s="19" t="e">
        <v>#N/A</v>
      </c>
      <c r="I26" s="19" t="s">
        <v>69</v>
      </c>
      <c r="J26" s="19" t="s">
        <v>66</v>
      </c>
      <c r="K26" s="19"/>
      <c r="L26" s="19">
        <f t="shared" si="2"/>
        <v>0</v>
      </c>
      <c r="M26" s="19"/>
      <c r="N26" s="19"/>
      <c r="O26" s="19">
        <v>0</v>
      </c>
      <c r="P26" s="19">
        <f t="shared" si="3"/>
        <v>0</v>
      </c>
      <c r="Q26" s="20"/>
      <c r="R26" s="20"/>
      <c r="S26" s="19"/>
      <c r="T26" s="19" t="e">
        <f t="shared" si="4"/>
        <v>#DIV/0!</v>
      </c>
      <c r="U26" s="19" t="e">
        <f t="shared" si="5"/>
        <v>#DIV/0!</v>
      </c>
      <c r="V26" s="19">
        <v>0</v>
      </c>
      <c r="W26" s="19">
        <v>0</v>
      </c>
      <c r="X26" s="19">
        <v>-0.89319999999999999</v>
      </c>
      <c r="Y26" s="19">
        <v>2.1760000000000002</v>
      </c>
      <c r="Z26" s="19">
        <v>1.3655999999999999</v>
      </c>
      <c r="AA26" s="19">
        <v>0</v>
      </c>
      <c r="AB26" s="19">
        <v>0</v>
      </c>
      <c r="AC26" s="19">
        <v>0</v>
      </c>
      <c r="AD26" s="19"/>
      <c r="AE26" s="19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25">
      <c r="A27" s="4" t="s">
        <v>70</v>
      </c>
      <c r="B27" s="4" t="s">
        <v>34</v>
      </c>
      <c r="C27" s="4">
        <v>43</v>
      </c>
      <c r="D27" s="4">
        <v>48</v>
      </c>
      <c r="E27" s="4">
        <v>17</v>
      </c>
      <c r="F27" s="4">
        <v>74</v>
      </c>
      <c r="G27" s="7">
        <v>0.14000000000000001</v>
      </c>
      <c r="H27" s="4">
        <v>180</v>
      </c>
      <c r="I27" s="4">
        <v>9988391</v>
      </c>
      <c r="J27" s="4"/>
      <c r="K27" s="4">
        <v>17</v>
      </c>
      <c r="L27" s="4">
        <f t="shared" si="2"/>
        <v>0</v>
      </c>
      <c r="M27" s="4"/>
      <c r="N27" s="4"/>
      <c r="O27" s="4">
        <v>0</v>
      </c>
      <c r="P27" s="4">
        <f t="shared" si="3"/>
        <v>3.4</v>
      </c>
      <c r="Q27" s="9"/>
      <c r="R27" s="9"/>
      <c r="S27" s="4"/>
      <c r="T27" s="4">
        <f t="shared" si="4"/>
        <v>21.764705882352942</v>
      </c>
      <c r="U27" s="4">
        <f t="shared" si="5"/>
        <v>21.764705882352942</v>
      </c>
      <c r="V27" s="4">
        <v>2.2000000000000002</v>
      </c>
      <c r="W27" s="4">
        <v>5</v>
      </c>
      <c r="X27" s="4">
        <v>4.4000000000000004</v>
      </c>
      <c r="Y27" s="4">
        <v>1.2</v>
      </c>
      <c r="Z27" s="4">
        <v>2</v>
      </c>
      <c r="AA27" s="4">
        <v>3.2</v>
      </c>
      <c r="AB27" s="4">
        <v>1.8</v>
      </c>
      <c r="AC27" s="4">
        <v>2.4</v>
      </c>
      <c r="AD27" s="4"/>
      <c r="AE27" s="4">
        <f>G27*Q27</f>
        <v>0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x14ac:dyDescent="0.25">
      <c r="A28" s="4" t="s">
        <v>71</v>
      </c>
      <c r="B28" s="4" t="s">
        <v>34</v>
      </c>
      <c r="C28" s="4">
        <v>88</v>
      </c>
      <c r="D28" s="4">
        <v>147</v>
      </c>
      <c r="E28" s="4">
        <v>37</v>
      </c>
      <c r="F28" s="4">
        <v>195</v>
      </c>
      <c r="G28" s="7">
        <v>0.18</v>
      </c>
      <c r="H28" s="4">
        <v>270</v>
      </c>
      <c r="I28" s="4">
        <v>9988681</v>
      </c>
      <c r="J28" s="4"/>
      <c r="K28" s="4">
        <v>40</v>
      </c>
      <c r="L28" s="4">
        <f t="shared" si="2"/>
        <v>-3</v>
      </c>
      <c r="M28" s="4"/>
      <c r="N28" s="4"/>
      <c r="O28" s="4">
        <v>128</v>
      </c>
      <c r="P28" s="4">
        <f t="shared" si="3"/>
        <v>7.4</v>
      </c>
      <c r="Q28" s="9"/>
      <c r="R28" s="9"/>
      <c r="S28" s="4"/>
      <c r="T28" s="4">
        <f t="shared" si="4"/>
        <v>43.648648648648646</v>
      </c>
      <c r="U28" s="4">
        <f t="shared" si="5"/>
        <v>43.648648648648646</v>
      </c>
      <c r="V28" s="4">
        <v>18.2</v>
      </c>
      <c r="W28" s="4">
        <v>15.6</v>
      </c>
      <c r="X28" s="4">
        <v>8.6</v>
      </c>
      <c r="Y28" s="4">
        <v>14.6</v>
      </c>
      <c r="Z28" s="4">
        <v>11.8</v>
      </c>
      <c r="AA28" s="4">
        <v>13</v>
      </c>
      <c r="AB28" s="4">
        <v>11</v>
      </c>
      <c r="AC28" s="4">
        <v>18.8</v>
      </c>
      <c r="AD28" s="25" t="s">
        <v>35</v>
      </c>
      <c r="AE28" s="4">
        <f>G28*Q28</f>
        <v>0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4" t="s">
        <v>72</v>
      </c>
      <c r="B29" s="4" t="s">
        <v>55</v>
      </c>
      <c r="C29" s="4">
        <v>257.48200000000003</v>
      </c>
      <c r="D29" s="4">
        <v>6.8360000000000003</v>
      </c>
      <c r="E29" s="4">
        <v>106.342</v>
      </c>
      <c r="F29" s="4">
        <v>150.83000000000001</v>
      </c>
      <c r="G29" s="7">
        <v>1</v>
      </c>
      <c r="H29" s="4">
        <v>120</v>
      </c>
      <c r="I29" s="4">
        <v>8785198</v>
      </c>
      <c r="J29" s="4"/>
      <c r="K29" s="4">
        <v>103.22799999999999</v>
      </c>
      <c r="L29" s="4">
        <f t="shared" si="2"/>
        <v>3.1140000000000043</v>
      </c>
      <c r="M29" s="4"/>
      <c r="N29" s="4"/>
      <c r="O29" s="4">
        <v>248</v>
      </c>
      <c r="P29" s="4">
        <f t="shared" si="3"/>
        <v>21.2684</v>
      </c>
      <c r="Q29" s="9">
        <f t="shared" ref="Q29" si="8">20*P29-O29-F29</f>
        <v>26.537999999999982</v>
      </c>
      <c r="R29" s="9"/>
      <c r="S29" s="4"/>
      <c r="T29" s="4">
        <f t="shared" si="4"/>
        <v>20.000000000000004</v>
      </c>
      <c r="U29" s="4">
        <f t="shared" si="5"/>
        <v>18.752233360290386</v>
      </c>
      <c r="V29" s="4">
        <v>25.011199999999999</v>
      </c>
      <c r="W29" s="4">
        <v>15.8088</v>
      </c>
      <c r="X29" s="4">
        <v>20.7788</v>
      </c>
      <c r="Y29" s="4">
        <v>15.484</v>
      </c>
      <c r="Z29" s="4">
        <v>0</v>
      </c>
      <c r="AA29" s="4">
        <v>5.2176</v>
      </c>
      <c r="AB29" s="4">
        <v>40.844000000000001</v>
      </c>
      <c r="AC29" s="4">
        <v>3.3115999999999999</v>
      </c>
      <c r="AD29" s="4"/>
      <c r="AE29" s="4">
        <f>G29*Q29</f>
        <v>26.537999999999982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x14ac:dyDescent="0.25">
      <c r="A30" s="4" t="s">
        <v>73</v>
      </c>
      <c r="B30" s="4" t="s">
        <v>34</v>
      </c>
      <c r="C30" s="4">
        <v>527</v>
      </c>
      <c r="D30" s="4">
        <v>1</v>
      </c>
      <c r="E30" s="4">
        <v>316</v>
      </c>
      <c r="F30" s="4">
        <v>207</v>
      </c>
      <c r="G30" s="7">
        <v>0.1</v>
      </c>
      <c r="H30" s="4">
        <v>60</v>
      </c>
      <c r="I30" s="4">
        <v>8444187</v>
      </c>
      <c r="J30" s="4"/>
      <c r="K30" s="4">
        <v>319</v>
      </c>
      <c r="L30" s="4">
        <f t="shared" si="2"/>
        <v>-3</v>
      </c>
      <c r="M30" s="4"/>
      <c r="N30" s="4"/>
      <c r="O30" s="4">
        <v>240</v>
      </c>
      <c r="P30" s="4">
        <f t="shared" si="3"/>
        <v>63.2</v>
      </c>
      <c r="Q30" s="9">
        <f>16*P30-O30-F30</f>
        <v>564.20000000000005</v>
      </c>
      <c r="R30" s="9"/>
      <c r="S30" s="4"/>
      <c r="T30" s="4">
        <f t="shared" si="4"/>
        <v>16</v>
      </c>
      <c r="U30" s="4">
        <f t="shared" si="5"/>
        <v>7.0727848101265822</v>
      </c>
      <c r="V30" s="4">
        <v>47.8</v>
      </c>
      <c r="W30" s="4">
        <v>43</v>
      </c>
      <c r="X30" s="4">
        <v>63</v>
      </c>
      <c r="Y30" s="4">
        <v>40</v>
      </c>
      <c r="Z30" s="4">
        <v>55.4</v>
      </c>
      <c r="AA30" s="4">
        <v>36</v>
      </c>
      <c r="AB30" s="4">
        <v>62.4</v>
      </c>
      <c r="AC30" s="4">
        <v>52</v>
      </c>
      <c r="AD30" s="4" t="s">
        <v>74</v>
      </c>
      <c r="AE30" s="4">
        <f>G30*Q30</f>
        <v>56.420000000000009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4" t="s">
        <v>75</v>
      </c>
      <c r="B31" s="4" t="s">
        <v>34</v>
      </c>
      <c r="C31" s="4">
        <v>335</v>
      </c>
      <c r="D31" s="4">
        <v>121</v>
      </c>
      <c r="E31" s="4">
        <v>261</v>
      </c>
      <c r="F31" s="4">
        <v>189</v>
      </c>
      <c r="G31" s="7">
        <v>0.1</v>
      </c>
      <c r="H31" s="4">
        <v>90</v>
      </c>
      <c r="I31" s="4">
        <v>8444194</v>
      </c>
      <c r="J31" s="4"/>
      <c r="K31" s="4">
        <v>262</v>
      </c>
      <c r="L31" s="4">
        <f t="shared" si="2"/>
        <v>-1</v>
      </c>
      <c r="M31" s="4"/>
      <c r="N31" s="4"/>
      <c r="O31" s="4">
        <v>324</v>
      </c>
      <c r="P31" s="4">
        <f t="shared" si="3"/>
        <v>52.2</v>
      </c>
      <c r="Q31" s="9">
        <f>18*P31-O31-F31</f>
        <v>426.6</v>
      </c>
      <c r="R31" s="9"/>
      <c r="S31" s="4"/>
      <c r="T31" s="4">
        <f t="shared" si="4"/>
        <v>18</v>
      </c>
      <c r="U31" s="4">
        <f t="shared" si="5"/>
        <v>9.8275862068965516</v>
      </c>
      <c r="V31" s="4">
        <v>43.2</v>
      </c>
      <c r="W31" s="4">
        <v>36.4</v>
      </c>
      <c r="X31" s="4">
        <v>40.799999999999997</v>
      </c>
      <c r="Y31" s="4">
        <v>32.4</v>
      </c>
      <c r="Z31" s="4">
        <v>27</v>
      </c>
      <c r="AA31" s="4">
        <v>46.4</v>
      </c>
      <c r="AB31" s="4">
        <v>40.200000000000003</v>
      </c>
      <c r="AC31" s="4">
        <v>39</v>
      </c>
      <c r="AD31" s="4"/>
      <c r="AE31" s="4">
        <f>G31*Q31</f>
        <v>42.660000000000004</v>
      </c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x14ac:dyDescent="0.25">
      <c r="A32" s="26" t="s">
        <v>76</v>
      </c>
      <c r="B32" s="26" t="s">
        <v>55</v>
      </c>
      <c r="C32" s="26"/>
      <c r="D32" s="26"/>
      <c r="E32" s="26"/>
      <c r="F32" s="26"/>
      <c r="G32" s="27">
        <v>0</v>
      </c>
      <c r="H32" s="26">
        <v>150</v>
      </c>
      <c r="I32" s="26">
        <v>8786928</v>
      </c>
      <c r="J32" s="26"/>
      <c r="K32" s="26"/>
      <c r="L32" s="26">
        <f t="shared" si="2"/>
        <v>0</v>
      </c>
      <c r="M32" s="26"/>
      <c r="N32" s="26"/>
      <c r="O32" s="26">
        <v>0</v>
      </c>
      <c r="P32" s="26">
        <f t="shared" si="3"/>
        <v>0</v>
      </c>
      <c r="Q32" s="28"/>
      <c r="R32" s="28"/>
      <c r="S32" s="26"/>
      <c r="T32" s="26" t="e">
        <f t="shared" si="4"/>
        <v>#DIV/0!</v>
      </c>
      <c r="U32" s="26" t="e">
        <f t="shared" si="5"/>
        <v>#DIV/0!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 t="s">
        <v>77</v>
      </c>
      <c r="AE32" s="26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ht="15.75" thickBot="1" x14ac:dyDescent="0.3">
      <c r="A33" s="4" t="s">
        <v>78</v>
      </c>
      <c r="B33" s="4" t="s">
        <v>34</v>
      </c>
      <c r="C33" s="4"/>
      <c r="D33" s="4">
        <v>96</v>
      </c>
      <c r="E33" s="4"/>
      <c r="F33" s="4">
        <v>96</v>
      </c>
      <c r="G33" s="7">
        <v>0.14000000000000001</v>
      </c>
      <c r="H33" s="4">
        <v>180</v>
      </c>
      <c r="I33" s="4">
        <v>9988377</v>
      </c>
      <c r="J33" s="4"/>
      <c r="K33" s="4"/>
      <c r="L33" s="4">
        <f t="shared" si="2"/>
        <v>0</v>
      </c>
      <c r="M33" s="4"/>
      <c r="N33" s="4"/>
      <c r="O33" s="4">
        <v>96</v>
      </c>
      <c r="P33" s="4">
        <f t="shared" si="3"/>
        <v>0</v>
      </c>
      <c r="Q33" s="9"/>
      <c r="R33" s="9"/>
      <c r="S33" s="4"/>
      <c r="T33" s="4" t="e">
        <f t="shared" si="4"/>
        <v>#DIV/0!</v>
      </c>
      <c r="U33" s="4" t="e">
        <f t="shared" si="5"/>
        <v>#DIV/0!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 t="s">
        <v>79</v>
      </c>
      <c r="AE33" s="4">
        <f>G33*Q33</f>
        <v>0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x14ac:dyDescent="0.25">
      <c r="A34" s="12" t="s">
        <v>80</v>
      </c>
      <c r="B34" s="13" t="s">
        <v>34</v>
      </c>
      <c r="C34" s="13">
        <v>16</v>
      </c>
      <c r="D34" s="13"/>
      <c r="E34" s="13"/>
      <c r="F34" s="14">
        <v>16</v>
      </c>
      <c r="G34" s="7">
        <v>0.2</v>
      </c>
      <c r="H34" s="4">
        <v>120</v>
      </c>
      <c r="I34" s="4" t="s">
        <v>81</v>
      </c>
      <c r="J34" s="4"/>
      <c r="K34" s="4"/>
      <c r="L34" s="4">
        <f t="shared" si="2"/>
        <v>0</v>
      </c>
      <c r="M34" s="4"/>
      <c r="N34" s="4"/>
      <c r="O34" s="4">
        <v>0</v>
      </c>
      <c r="P34" s="4">
        <f t="shared" si="3"/>
        <v>0</v>
      </c>
      <c r="Q34" s="9"/>
      <c r="R34" s="9"/>
      <c r="S34" s="4"/>
      <c r="T34" s="4" t="e">
        <f t="shared" si="4"/>
        <v>#DIV/0!</v>
      </c>
      <c r="U34" s="4" t="e">
        <f t="shared" si="5"/>
        <v>#DIV/0!</v>
      </c>
      <c r="V34" s="4">
        <v>1.2</v>
      </c>
      <c r="W34" s="4">
        <v>9.1999999999999993</v>
      </c>
      <c r="X34" s="4">
        <v>-0.2</v>
      </c>
      <c r="Y34" s="4">
        <v>0</v>
      </c>
      <c r="Z34" s="4">
        <v>0</v>
      </c>
      <c r="AA34" s="4">
        <v>1.2</v>
      </c>
      <c r="AB34" s="4">
        <v>4.8</v>
      </c>
      <c r="AC34" s="4">
        <v>4.5999999999999996</v>
      </c>
      <c r="AD34" s="4" t="s">
        <v>82</v>
      </c>
      <c r="AE34" s="4">
        <f>G34*Q34</f>
        <v>0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ht="15.75" thickBot="1" x14ac:dyDescent="0.3">
      <c r="A35" s="15" t="s">
        <v>83</v>
      </c>
      <c r="B35" s="16" t="s">
        <v>34</v>
      </c>
      <c r="C35" s="16"/>
      <c r="D35" s="16"/>
      <c r="E35" s="16">
        <v>2</v>
      </c>
      <c r="F35" s="17">
        <v>-2</v>
      </c>
      <c r="G35" s="18">
        <v>0</v>
      </c>
      <c r="H35" s="19" t="e">
        <v>#N/A</v>
      </c>
      <c r="I35" s="19" t="s">
        <v>57</v>
      </c>
      <c r="J35" s="19" t="s">
        <v>80</v>
      </c>
      <c r="K35" s="19">
        <v>2</v>
      </c>
      <c r="L35" s="19">
        <f t="shared" si="2"/>
        <v>0</v>
      </c>
      <c r="M35" s="19"/>
      <c r="N35" s="19"/>
      <c r="O35" s="19"/>
      <c r="P35" s="19">
        <f t="shared" si="3"/>
        <v>0.4</v>
      </c>
      <c r="Q35" s="20"/>
      <c r="R35" s="20"/>
      <c r="S35" s="19"/>
      <c r="T35" s="19">
        <f t="shared" si="4"/>
        <v>-5</v>
      </c>
      <c r="U35" s="19">
        <f t="shared" si="5"/>
        <v>-5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/>
      <c r="AE35" s="19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25">
      <c r="A36" s="12" t="s">
        <v>84</v>
      </c>
      <c r="B36" s="13" t="s">
        <v>55</v>
      </c>
      <c r="C36" s="13">
        <v>257.16000000000003</v>
      </c>
      <c r="D36" s="13">
        <v>47.66</v>
      </c>
      <c r="E36" s="13">
        <v>13.536</v>
      </c>
      <c r="F36" s="14">
        <v>54.058</v>
      </c>
      <c r="G36" s="7">
        <v>1</v>
      </c>
      <c r="H36" s="4">
        <v>120</v>
      </c>
      <c r="I36" s="4" t="s">
        <v>85</v>
      </c>
      <c r="J36" s="4"/>
      <c r="K36" s="4">
        <v>13.5</v>
      </c>
      <c r="L36" s="4">
        <f t="shared" si="2"/>
        <v>3.5999999999999588E-2</v>
      </c>
      <c r="M36" s="4"/>
      <c r="N36" s="4"/>
      <c r="O36" s="4">
        <v>0</v>
      </c>
      <c r="P36" s="4">
        <f t="shared" si="3"/>
        <v>2.7071999999999998</v>
      </c>
      <c r="Q36" s="9"/>
      <c r="R36" s="9"/>
      <c r="S36" s="4"/>
      <c r="T36" s="4">
        <f t="shared" si="4"/>
        <v>19.968232860520096</v>
      </c>
      <c r="U36" s="4">
        <f t="shared" si="5"/>
        <v>19.968232860520096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-0.17399999999999999</v>
      </c>
      <c r="AC36" s="4">
        <v>0</v>
      </c>
      <c r="AD36" s="4" t="s">
        <v>86</v>
      </c>
      <c r="AE36" s="4">
        <f>G36*Q36</f>
        <v>0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15.75" thickBot="1" x14ac:dyDescent="0.3">
      <c r="A37" s="15" t="s">
        <v>87</v>
      </c>
      <c r="B37" s="16" t="s">
        <v>55</v>
      </c>
      <c r="C37" s="16">
        <v>-234.01</v>
      </c>
      <c r="D37" s="16">
        <v>257.16000000000003</v>
      </c>
      <c r="E37" s="16"/>
      <c r="F37" s="17"/>
      <c r="G37" s="18">
        <v>0</v>
      </c>
      <c r="H37" s="19" t="e">
        <v>#N/A</v>
      </c>
      <c r="I37" s="19" t="s">
        <v>57</v>
      </c>
      <c r="J37" s="19" t="s">
        <v>84</v>
      </c>
      <c r="K37" s="19"/>
      <c r="L37" s="19">
        <f t="shared" si="2"/>
        <v>0</v>
      </c>
      <c r="M37" s="19"/>
      <c r="N37" s="19"/>
      <c r="O37" s="19">
        <v>0</v>
      </c>
      <c r="P37" s="19">
        <f t="shared" si="3"/>
        <v>0</v>
      </c>
      <c r="Q37" s="20"/>
      <c r="R37" s="20"/>
      <c r="S37" s="19"/>
      <c r="T37" s="19" t="e">
        <f t="shared" si="4"/>
        <v>#DIV/0!</v>
      </c>
      <c r="U37" s="19" t="e">
        <f t="shared" si="5"/>
        <v>#DIV/0!</v>
      </c>
      <c r="V37" s="19">
        <v>92.738399999999999</v>
      </c>
      <c r="W37" s="19">
        <v>3.8656000000000001</v>
      </c>
      <c r="X37" s="19">
        <v>5.7976000000000001</v>
      </c>
      <c r="Y37" s="19">
        <v>3.7928000000000002</v>
      </c>
      <c r="Z37" s="19">
        <v>5.3587999999999996</v>
      </c>
      <c r="AA37" s="19">
        <v>96.150800000000004</v>
      </c>
      <c r="AB37" s="19">
        <v>2.3620000000000001</v>
      </c>
      <c r="AC37" s="19">
        <v>11.4948</v>
      </c>
      <c r="AD37" s="19"/>
      <c r="AE37" s="19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x14ac:dyDescent="0.25">
      <c r="A38" s="12" t="s">
        <v>88</v>
      </c>
      <c r="B38" s="13" t="s">
        <v>34</v>
      </c>
      <c r="C38" s="13"/>
      <c r="D38" s="13"/>
      <c r="E38" s="13"/>
      <c r="F38" s="14"/>
      <c r="G38" s="7">
        <v>0.2</v>
      </c>
      <c r="H38" s="4">
        <v>120</v>
      </c>
      <c r="I38" s="4" t="s">
        <v>89</v>
      </c>
      <c r="J38" s="4"/>
      <c r="K38" s="4"/>
      <c r="L38" s="4">
        <f t="shared" si="2"/>
        <v>0</v>
      </c>
      <c r="M38" s="4"/>
      <c r="N38" s="4"/>
      <c r="O38" s="4">
        <v>40</v>
      </c>
      <c r="P38" s="4">
        <f t="shared" si="3"/>
        <v>0</v>
      </c>
      <c r="Q38" s="9">
        <f>20*(P38+P39)-O38-O39-F38-F39</f>
        <v>120</v>
      </c>
      <c r="R38" s="9"/>
      <c r="S38" s="4"/>
      <c r="T38" s="4" t="e">
        <f t="shared" si="4"/>
        <v>#DIV/0!</v>
      </c>
      <c r="U38" s="4" t="e">
        <f t="shared" si="5"/>
        <v>#DIV/0!</v>
      </c>
      <c r="V38" s="4">
        <v>0</v>
      </c>
      <c r="W38" s="4">
        <v>-0.2</v>
      </c>
      <c r="X38" s="4">
        <v>-0.2</v>
      </c>
      <c r="Y38" s="4">
        <v>-0.2</v>
      </c>
      <c r="Z38" s="4">
        <v>0</v>
      </c>
      <c r="AA38" s="4">
        <v>0</v>
      </c>
      <c r="AB38" s="4">
        <v>0</v>
      </c>
      <c r="AC38" s="4">
        <v>0</v>
      </c>
      <c r="AD38" s="4"/>
      <c r="AE38" s="4">
        <f>G38*Q38</f>
        <v>24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ht="15.75" thickBot="1" x14ac:dyDescent="0.3">
      <c r="A39" s="15" t="s">
        <v>90</v>
      </c>
      <c r="B39" s="16" t="s">
        <v>34</v>
      </c>
      <c r="C39" s="16">
        <v>55</v>
      </c>
      <c r="D39" s="16">
        <v>70</v>
      </c>
      <c r="E39" s="16">
        <v>57</v>
      </c>
      <c r="F39" s="17">
        <v>68</v>
      </c>
      <c r="G39" s="18">
        <v>0</v>
      </c>
      <c r="H39" s="19" t="e">
        <v>#N/A</v>
      </c>
      <c r="I39" s="19" t="s">
        <v>57</v>
      </c>
      <c r="J39" s="19" t="s">
        <v>88</v>
      </c>
      <c r="K39" s="19">
        <v>63</v>
      </c>
      <c r="L39" s="19">
        <f t="shared" si="2"/>
        <v>-6</v>
      </c>
      <c r="M39" s="19"/>
      <c r="N39" s="19"/>
      <c r="O39" s="19">
        <v>0</v>
      </c>
      <c r="P39" s="19">
        <f t="shared" si="3"/>
        <v>11.4</v>
      </c>
      <c r="Q39" s="20"/>
      <c r="R39" s="20"/>
      <c r="S39" s="19"/>
      <c r="T39" s="19">
        <f t="shared" si="4"/>
        <v>5.9649122807017543</v>
      </c>
      <c r="U39" s="19">
        <f t="shared" si="5"/>
        <v>5.9649122807017543</v>
      </c>
      <c r="V39" s="19">
        <v>8</v>
      </c>
      <c r="W39" s="19">
        <v>8</v>
      </c>
      <c r="X39" s="19">
        <v>7.6</v>
      </c>
      <c r="Y39" s="19">
        <v>8.8000000000000007</v>
      </c>
      <c r="Z39" s="19">
        <v>6.4</v>
      </c>
      <c r="AA39" s="19">
        <v>7.8</v>
      </c>
      <c r="AB39" s="19">
        <v>5.8</v>
      </c>
      <c r="AC39" s="19">
        <v>7</v>
      </c>
      <c r="AD39" s="19"/>
      <c r="AE39" s="19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25">
      <c r="A40" s="12" t="s">
        <v>91</v>
      </c>
      <c r="B40" s="13" t="s">
        <v>55</v>
      </c>
      <c r="C40" s="13">
        <v>145.20599999999999</v>
      </c>
      <c r="D40" s="13"/>
      <c r="E40" s="13">
        <v>86.628</v>
      </c>
      <c r="F40" s="14">
        <v>50.613999999999997</v>
      </c>
      <c r="G40" s="7">
        <v>1</v>
      </c>
      <c r="H40" s="4">
        <v>120</v>
      </c>
      <c r="I40" s="4" t="s">
        <v>92</v>
      </c>
      <c r="J40" s="4"/>
      <c r="K40" s="4">
        <v>81.2</v>
      </c>
      <c r="L40" s="4">
        <f t="shared" si="2"/>
        <v>5.4279999999999973</v>
      </c>
      <c r="M40" s="4"/>
      <c r="N40" s="4"/>
      <c r="O40" s="4">
        <v>0</v>
      </c>
      <c r="P40" s="4">
        <f t="shared" si="3"/>
        <v>17.325600000000001</v>
      </c>
      <c r="Q40" s="9">
        <f>20*(P40+P41)-O40-O41-F40-F41</f>
        <v>167.15800000000007</v>
      </c>
      <c r="R40" s="9"/>
      <c r="S40" s="4"/>
      <c r="T40" s="4">
        <f t="shared" si="4"/>
        <v>12.569377106709151</v>
      </c>
      <c r="U40" s="4">
        <f t="shared" si="5"/>
        <v>2.9213418294315923</v>
      </c>
      <c r="V40" s="4">
        <v>2.8696000000000002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5.0952000000000002</v>
      </c>
      <c r="AD40" s="4" t="s">
        <v>93</v>
      </c>
      <c r="AE40" s="4">
        <f>G40*Q40</f>
        <v>167.15800000000007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ht="15.75" thickBot="1" x14ac:dyDescent="0.3">
      <c r="A41" s="15" t="s">
        <v>94</v>
      </c>
      <c r="B41" s="16" t="s">
        <v>55</v>
      </c>
      <c r="C41" s="16">
        <v>-7.3079999999999998</v>
      </c>
      <c r="D41" s="16">
        <v>136.048</v>
      </c>
      <c r="E41" s="16"/>
      <c r="F41" s="17">
        <v>128.74</v>
      </c>
      <c r="G41" s="18">
        <v>0</v>
      </c>
      <c r="H41" s="19" t="e">
        <v>#N/A</v>
      </c>
      <c r="I41" s="19" t="s">
        <v>57</v>
      </c>
      <c r="J41" s="19" t="s">
        <v>91</v>
      </c>
      <c r="K41" s="19"/>
      <c r="L41" s="19">
        <f t="shared" si="2"/>
        <v>0</v>
      </c>
      <c r="M41" s="19"/>
      <c r="N41" s="19"/>
      <c r="O41" s="19">
        <v>0</v>
      </c>
      <c r="P41" s="19">
        <f t="shared" si="3"/>
        <v>0</v>
      </c>
      <c r="Q41" s="20"/>
      <c r="R41" s="20"/>
      <c r="S41" s="19"/>
      <c r="T41" s="19" t="e">
        <f t="shared" si="4"/>
        <v>#DIV/0!</v>
      </c>
      <c r="U41" s="19" t="e">
        <f t="shared" si="5"/>
        <v>#DIV/0!</v>
      </c>
      <c r="V41" s="19">
        <v>10.2692</v>
      </c>
      <c r="W41" s="19">
        <v>16.011199999999999</v>
      </c>
      <c r="X41" s="19">
        <v>22.9392</v>
      </c>
      <c r="Y41" s="19">
        <v>20.875599999999999</v>
      </c>
      <c r="Z41" s="19">
        <v>14.856</v>
      </c>
      <c r="AA41" s="19">
        <v>21.029199999999999</v>
      </c>
      <c r="AB41" s="19">
        <v>21.336400000000001</v>
      </c>
      <c r="AC41" s="19">
        <v>15.8498</v>
      </c>
      <c r="AD41" s="19"/>
      <c r="AE41" s="19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x14ac:dyDescent="0.25">
      <c r="A43" s="4" t="s">
        <v>39</v>
      </c>
      <c r="B43" s="4" t="s">
        <v>34</v>
      </c>
      <c r="C43" s="4">
        <v>739</v>
      </c>
      <c r="D43" s="4">
        <v>401</v>
      </c>
      <c r="E43" s="4">
        <v>198</v>
      </c>
      <c r="F43" s="4">
        <v>936</v>
      </c>
      <c r="G43" s="7">
        <v>0.18</v>
      </c>
      <c r="H43" s="4">
        <v>120</v>
      </c>
      <c r="I43" s="4"/>
      <c r="J43" s="4"/>
      <c r="K43" s="4">
        <v>198</v>
      </c>
      <c r="L43" s="4">
        <f>E43-K43</f>
        <v>0</v>
      </c>
      <c r="M43" s="4"/>
      <c r="N43" s="4"/>
      <c r="O43" s="4">
        <v>150</v>
      </c>
      <c r="P43" s="4">
        <f>E43/5</f>
        <v>39.6</v>
      </c>
      <c r="Q43" s="9"/>
      <c r="R43" s="9"/>
      <c r="S43" s="4"/>
      <c r="T43" s="4">
        <f>(F43+O43+Q43)/P43</f>
        <v>27.424242424242422</v>
      </c>
      <c r="U43" s="4">
        <f>(F43+O43)/P43</f>
        <v>27.424242424242422</v>
      </c>
      <c r="V43" s="4">
        <v>63</v>
      </c>
      <c r="W43" s="4">
        <v>70.8</v>
      </c>
      <c r="X43" s="4">
        <v>51.8</v>
      </c>
      <c r="Y43" s="4">
        <v>42.4</v>
      </c>
      <c r="Z43" s="4">
        <v>42</v>
      </c>
      <c r="AA43" s="4">
        <v>39.200000000000003</v>
      </c>
      <c r="AB43" s="4">
        <v>64.2</v>
      </c>
      <c r="AC43" s="4">
        <v>51.4</v>
      </c>
      <c r="AD43" s="4"/>
      <c r="AE43" s="4">
        <f>G43*Q43</f>
        <v>0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25">
      <c r="A44" s="4" t="s">
        <v>40</v>
      </c>
      <c r="B44" s="4" t="s">
        <v>34</v>
      </c>
      <c r="C44" s="4">
        <v>1710</v>
      </c>
      <c r="D44" s="4">
        <v>2</v>
      </c>
      <c r="E44" s="4">
        <v>442</v>
      </c>
      <c r="F44" s="4">
        <v>1238</v>
      </c>
      <c r="G44" s="7">
        <v>0.18</v>
      </c>
      <c r="H44" s="4">
        <v>120</v>
      </c>
      <c r="I44" s="4"/>
      <c r="J44" s="4"/>
      <c r="K44" s="4">
        <v>467</v>
      </c>
      <c r="L44" s="4">
        <f>E44-K44</f>
        <v>-25</v>
      </c>
      <c r="M44" s="4"/>
      <c r="N44" s="4"/>
      <c r="O44" s="4">
        <v>0</v>
      </c>
      <c r="P44" s="4">
        <f>E44/5</f>
        <v>88.4</v>
      </c>
      <c r="Q44" s="9">
        <f t="shared" ref="Q44:Q45" si="9">20*P44-O44-F44</f>
        <v>530</v>
      </c>
      <c r="R44" s="9"/>
      <c r="S44" s="4"/>
      <c r="T44" s="4">
        <f>(F44+O44+Q44)/P44</f>
        <v>20</v>
      </c>
      <c r="U44" s="4">
        <f>(F44+O44)/P44</f>
        <v>14.004524886877828</v>
      </c>
      <c r="V44" s="4">
        <v>74.8</v>
      </c>
      <c r="W44" s="4">
        <v>-16.8</v>
      </c>
      <c r="X44" s="4">
        <v>95.2</v>
      </c>
      <c r="Y44" s="4">
        <v>126.2</v>
      </c>
      <c r="Z44" s="4">
        <v>105.8</v>
      </c>
      <c r="AA44" s="4">
        <v>135.6</v>
      </c>
      <c r="AB44" s="4">
        <v>138.4</v>
      </c>
      <c r="AC44" s="4">
        <v>136.80000000000001</v>
      </c>
      <c r="AD44" s="4"/>
      <c r="AE44" s="4">
        <f>G44*Q44</f>
        <v>95.399999999999991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x14ac:dyDescent="0.25">
      <c r="A45" s="4" t="s">
        <v>33</v>
      </c>
      <c r="B45" s="4" t="s">
        <v>34</v>
      </c>
      <c r="C45" s="4">
        <v>115</v>
      </c>
      <c r="D45" s="4"/>
      <c r="E45" s="4">
        <v>43</v>
      </c>
      <c r="F45" s="4">
        <v>72</v>
      </c>
      <c r="G45" s="7">
        <v>0.18</v>
      </c>
      <c r="H45" s="4"/>
      <c r="I45" s="4">
        <v>4421577</v>
      </c>
      <c r="J45" s="4"/>
      <c r="K45" s="4">
        <v>43</v>
      </c>
      <c r="L45" s="4">
        <f>E45-K45</f>
        <v>0</v>
      </c>
      <c r="M45" s="4"/>
      <c r="N45" s="4"/>
      <c r="O45" s="4">
        <v>0</v>
      </c>
      <c r="P45" s="4">
        <f>E45/5</f>
        <v>8.6</v>
      </c>
      <c r="Q45" s="9">
        <f t="shared" si="9"/>
        <v>100</v>
      </c>
      <c r="R45" s="9"/>
      <c r="S45" s="4"/>
      <c r="T45" s="4">
        <f>(F45+O45+Q45)/P45</f>
        <v>20</v>
      </c>
      <c r="U45" s="4">
        <f>(F45+O45)/P45</f>
        <v>8.3720930232558146</v>
      </c>
      <c r="V45" s="4">
        <v>2.8</v>
      </c>
      <c r="W45" s="4">
        <v>5.6</v>
      </c>
      <c r="X45" s="4">
        <v>9.4</v>
      </c>
      <c r="Y45" s="4">
        <v>5.2</v>
      </c>
      <c r="Z45" s="4">
        <v>2.6</v>
      </c>
      <c r="AA45" s="4">
        <v>7.4</v>
      </c>
      <c r="AB45" s="4">
        <v>2.4</v>
      </c>
      <c r="AC45" s="4">
        <v>9.4</v>
      </c>
      <c r="AE45" s="4">
        <f>G45*Q45</f>
        <v>18</v>
      </c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4" t="s">
        <v>36</v>
      </c>
      <c r="B46" s="4" t="s">
        <v>34</v>
      </c>
      <c r="C46" s="4">
        <v>20</v>
      </c>
      <c r="D46" s="4">
        <v>24</v>
      </c>
      <c r="E46" s="4">
        <v>10</v>
      </c>
      <c r="F46" s="4">
        <v>34</v>
      </c>
      <c r="G46" s="7">
        <v>0.18</v>
      </c>
      <c r="H46" s="4"/>
      <c r="I46" s="4">
        <v>4421584</v>
      </c>
      <c r="J46" s="4"/>
      <c r="K46" s="4">
        <v>10</v>
      </c>
      <c r="L46" s="4">
        <f>E46-K46</f>
        <v>0</v>
      </c>
      <c r="M46" s="4"/>
      <c r="N46" s="4"/>
      <c r="O46" s="4">
        <v>100</v>
      </c>
      <c r="P46" s="4">
        <f>E46/5</f>
        <v>2</v>
      </c>
      <c r="Q46" s="9"/>
      <c r="R46" s="9"/>
      <c r="S46" s="4"/>
      <c r="T46" s="4">
        <f>(F46+O46+Q46)/P46</f>
        <v>67</v>
      </c>
      <c r="U46" s="4">
        <f>(F46+O46)/P46</f>
        <v>67</v>
      </c>
      <c r="V46" s="4">
        <v>6.6</v>
      </c>
      <c r="W46" s="4">
        <v>3.6</v>
      </c>
      <c r="X46" s="4">
        <v>4</v>
      </c>
      <c r="Y46" s="4">
        <v>2.2000000000000002</v>
      </c>
      <c r="Z46" s="4">
        <v>2.6</v>
      </c>
      <c r="AA46" s="4">
        <v>6</v>
      </c>
      <c r="AB46" s="4">
        <v>3.8</v>
      </c>
      <c r="AC46" s="4">
        <v>2</v>
      </c>
      <c r="AD46" s="25" t="s">
        <v>35</v>
      </c>
      <c r="AE46" s="4">
        <f>G46*Q46</f>
        <v>0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4"/>
      <c r="B47" s="4"/>
      <c r="C47" s="4"/>
      <c r="D47" s="4"/>
      <c r="E47" s="4"/>
      <c r="F47" s="4"/>
      <c r="G47" s="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4"/>
      <c r="B48" s="4"/>
      <c r="C48" s="4"/>
      <c r="D48" s="4"/>
      <c r="E48" s="4"/>
      <c r="F48" s="4"/>
      <c r="G48" s="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/>
      <c r="B49" s="4"/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x14ac:dyDescent="0.25">
      <c r="A449" s="4"/>
      <c r="B449" s="4"/>
      <c r="C449" s="4"/>
      <c r="D449" s="4"/>
      <c r="E449" s="4"/>
      <c r="F449" s="4"/>
      <c r="G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x14ac:dyDescent="0.25">
      <c r="A450" s="4"/>
      <c r="B450" s="4"/>
      <c r="C450" s="4"/>
      <c r="D450" s="4"/>
      <c r="E450" s="4"/>
      <c r="F450" s="4"/>
      <c r="G450" s="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x14ac:dyDescent="0.25">
      <c r="A451" s="4"/>
      <c r="B451" s="4"/>
      <c r="C451" s="4"/>
      <c r="D451" s="4"/>
      <c r="E451" s="4"/>
      <c r="F451" s="4"/>
      <c r="G451" s="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</sheetData>
  <autoFilter ref="A3:AE4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2025-12-08T09:02:50Z</dcterms:created>
  <dcterms:modified xsi:type="dcterms:W3CDTF">2025-12-08T10:45:21Z</dcterms:modified>
</cp:coreProperties>
</file>