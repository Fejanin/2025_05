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185B2FD2-F299-4E83-9863-9232F2000F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<sst xmlns="http://schemas.openxmlformats.org/spreadsheetml/2006/main" count="257" uniqueCount="146">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</sst>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45999</v>
      </c>
      <c r="E3" s="7" t="s">
        <v>3</v>
      </c>
      <c r="F3" s="84">
        <f>D3+3</f>
        <v>46002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268</v>
      </c>
      <c r="F12" s="23">
        <v>1.3340000000000001</v>
      </c>
      <c r="G12" s="23">
        <f>E12</f>
        <v>268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221</v>
      </c>
      <c r="F13" s="23">
        <v>0.4</v>
      </c>
      <c r="G13" s="23">
        <f>E13*F13</f>
        <v>88.4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42</v>
      </c>
      <c r="F22" s="23">
        <v>1.35</v>
      </c>
      <c r="G22" s="23">
        <f>E22</f>
        <v>42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658</v>
      </c>
      <c r="F23" s="23">
        <v>0.4</v>
      </c>
      <c r="G23" s="23">
        <f>E23*F23</f>
        <v>263.2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249</v>
      </c>
      <c r="F24" s="23">
        <v>1.3540000000000001</v>
      </c>
      <c r="G24" s="23">
        <f>E24</f>
        <v>249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169</v>
      </c>
      <c r="F25" s="23">
        <v>0.4</v>
      </c>
      <c r="G25" s="23">
        <f>E25*F25</f>
        <v>67.600000000000009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83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96</v>
      </c>
      <c r="F30" s="23">
        <v>1</v>
      </c>
      <c r="G30" s="23">
        <f>E30</f>
        <v>96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50</v>
      </c>
      <c r="F32" s="23">
        <v>1</v>
      </c>
      <c r="G32" s="23">
        <f>E32</f>
        <v>50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149</v>
      </c>
      <c r="F34" s="23">
        <v>0.4</v>
      </c>
      <c r="G34" s="23">
        <f>E34*F34</f>
        <v>59.6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49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68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45</v>
      </c>
      <c r="F39" s="23">
        <v>0.4</v>
      </c>
      <c r="G39" s="23">
        <f t="shared" ref="G39:G44" si="3">E39*F39</f>
        <v>18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6837</v>
      </c>
      <c r="B40" s="36" t="s">
        <v>53</v>
      </c>
      <c r="C40" s="73" t="s">
        <v>21</v>
      </c>
      <c r="D40" s="74">
        <v>1001022556837</v>
      </c>
      <c r="E40" s="24"/>
      <c r="F40" s="23">
        <v>0.4</v>
      </c>
      <c r="G40" s="23">
        <f t="shared" si="3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3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6765</v>
      </c>
      <c r="B42" s="36" t="s">
        <v>55</v>
      </c>
      <c r="C42" s="73" t="s">
        <v>21</v>
      </c>
      <c r="D42" s="74">
        <v>1001023696765</v>
      </c>
      <c r="E42" s="24">
        <v>121</v>
      </c>
      <c r="F42" s="23">
        <v>0.36</v>
      </c>
      <c r="G42" s="23">
        <f t="shared" si="3"/>
        <v>43.559999999999995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3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2"/>
        <v>6616</v>
      </c>
      <c r="B44" s="36" t="s">
        <v>57</v>
      </c>
      <c r="C44" s="73" t="s">
        <v>21</v>
      </c>
      <c r="D44" s="74">
        <v>1001024976616</v>
      </c>
      <c r="E44" s="24">
        <v>277</v>
      </c>
      <c r="F44" s="23">
        <v>0.3</v>
      </c>
      <c r="G44" s="23">
        <f t="shared" si="3"/>
        <v>83.1</v>
      </c>
      <c r="H44" s="14"/>
      <c r="I44" s="14"/>
      <c r="J44" s="29"/>
      <c r="K44" s="27"/>
    </row>
    <row r="45" spans="1:11" ht="16.5" customHeight="1" x14ac:dyDescent="0.25">
      <c r="A45" s="60" t="str">
        <f t="shared" si="2"/>
        <v>7082</v>
      </c>
      <c r="B45" s="35" t="s">
        <v>58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2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2"/>
        <v>7070</v>
      </c>
      <c r="B47" s="35" t="s">
        <v>60</v>
      </c>
      <c r="C47" s="73" t="s">
        <v>23</v>
      </c>
      <c r="D47" s="74">
        <v>1001022377070</v>
      </c>
      <c r="E47" s="24">
        <v>153</v>
      </c>
      <c r="F47" s="23"/>
      <c r="G47" s="23">
        <f>E47</f>
        <v>153</v>
      </c>
      <c r="H47" s="14"/>
      <c r="I47" s="14"/>
      <c r="J47" s="29"/>
    </row>
    <row r="48" spans="1:11" s="15" customFormat="1" ht="16.5" customHeight="1" x14ac:dyDescent="0.25">
      <c r="A48" s="60" t="str">
        <f t="shared" si="2"/>
        <v>6661</v>
      </c>
      <c r="B48" s="53" t="s">
        <v>61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2"/>
        <v>6475</v>
      </c>
      <c r="B49" s="80" t="s">
        <v>62</v>
      </c>
      <c r="C49" s="73" t="s">
        <v>21</v>
      </c>
      <c r="D49" s="74">
        <v>1001025176475</v>
      </c>
      <c r="E49" s="24">
        <v>118</v>
      </c>
      <c r="F49" s="23">
        <v>0.4</v>
      </c>
      <c r="G49" s="23">
        <f>E49*F49</f>
        <v>47.2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2"/>
        <v>6713</v>
      </c>
      <c r="B50" s="57" t="s">
        <v>63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2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2"/>
        <v>7284</v>
      </c>
      <c r="B52" s="82" t="s">
        <v>65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2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2"/>
        <v>6829</v>
      </c>
      <c r="B54" s="57" t="s">
        <v>67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2"/>
        <v>7075</v>
      </c>
      <c r="B55" s="82" t="s">
        <v>68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2"/>
        <v>7073</v>
      </c>
      <c r="B56" s="82" t="s">
        <v>69</v>
      </c>
      <c r="C56" s="73" t="s">
        <v>21</v>
      </c>
      <c r="D56" s="74">
        <v>1001022657073</v>
      </c>
      <c r="E56" s="24">
        <v>221</v>
      </c>
      <c r="F56" s="23">
        <v>0.35</v>
      </c>
      <c r="G56" s="23">
        <f>E56*F56</f>
        <v>77.349999999999994</v>
      </c>
      <c r="H56" s="14"/>
      <c r="I56" s="14"/>
      <c r="J56" s="29"/>
    </row>
    <row r="57" spans="1:11" ht="16.5" customHeight="1" x14ac:dyDescent="0.25">
      <c r="A57" s="60" t="str">
        <f t="shared" si="2"/>
        <v>6724</v>
      </c>
      <c r="B57" s="82" t="s">
        <v>70</v>
      </c>
      <c r="C57" s="73" t="s">
        <v>21</v>
      </c>
      <c r="D57" s="74">
        <v>1001020836724</v>
      </c>
      <c r="E57" s="24">
        <v>177</v>
      </c>
      <c r="F57" s="23">
        <v>0.41</v>
      </c>
      <c r="G57" s="23">
        <f>F57*E57</f>
        <v>72.569999999999993</v>
      </c>
      <c r="H57" s="14"/>
      <c r="I57" s="14"/>
      <c r="J57" s="29"/>
    </row>
    <row r="58" spans="1:11" ht="16.5" customHeight="1" x14ac:dyDescent="0.25">
      <c r="A58" s="60" t="str">
        <f t="shared" si="2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2"/>
        <v>7080</v>
      </c>
      <c r="B59" s="57" t="s">
        <v>72</v>
      </c>
      <c r="C59" s="54" t="s">
        <v>21</v>
      </c>
      <c r="D59" s="55">
        <v>1001022467080</v>
      </c>
      <c r="E59" s="24">
        <v>553</v>
      </c>
      <c r="F59" s="23">
        <v>0.41</v>
      </c>
      <c r="G59" s="23">
        <f>E59*F59</f>
        <v>226.73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2"/>
        <v>7276</v>
      </c>
      <c r="B60" s="57" t="s">
        <v>73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2"/>
        <v>7066</v>
      </c>
      <c r="B61" s="57" t="s">
        <v>74</v>
      </c>
      <c r="C61" s="54" t="s">
        <v>21</v>
      </c>
      <c r="D61" s="55">
        <v>1001022377066</v>
      </c>
      <c r="E61" s="24">
        <v>138</v>
      </c>
      <c r="F61" s="23">
        <v>0.41</v>
      </c>
      <c r="G61" s="23">
        <f>E61*F61</f>
        <v>56.58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2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2"/>
        <v>7001</v>
      </c>
      <c r="B63" s="81" t="s">
        <v>76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2"/>
        <v>6527</v>
      </c>
      <c r="B64" s="82" t="s">
        <v>77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2"/>
        <v>6550</v>
      </c>
      <c r="B65" s="52" t="s">
        <v>78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2"/>
        <v>6608</v>
      </c>
      <c r="B66" s="52" t="s">
        <v>79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2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2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6459</v>
      </c>
      <c r="B69" s="80" t="s">
        <v>82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si="5"/>
        <v>7232</v>
      </c>
      <c r="B70" s="51" t="s">
        <v>83</v>
      </c>
      <c r="C70" s="73" t="s">
        <v>21</v>
      </c>
      <c r="D70" s="74">
        <v>1001302277232</v>
      </c>
      <c r="E70" s="24">
        <v>43</v>
      </c>
      <c r="F70" s="23">
        <v>0.28000000000000003</v>
      </c>
      <c r="G70" s="23">
        <f t="shared" si="4"/>
        <v>12.040000000000001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84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85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86</v>
      </c>
      <c r="C73" s="73" t="s">
        <v>21</v>
      </c>
      <c r="D73" s="74">
        <v>1001300387154</v>
      </c>
      <c r="E73" s="24">
        <v>332</v>
      </c>
      <c r="F73" s="23">
        <v>0.35</v>
      </c>
      <c r="G73" s="23">
        <f t="shared" si="4"/>
        <v>116.19999999999999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87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88</v>
      </c>
      <c r="C75" s="73" t="s">
        <v>21</v>
      </c>
      <c r="D75" s="74">
        <v>1001301876697</v>
      </c>
      <c r="E75" s="24">
        <v>266</v>
      </c>
      <c r="F75" s="23">
        <v>0.35</v>
      </c>
      <c r="G75" s="23">
        <f t="shared" si="4"/>
        <v>93.1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89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90</v>
      </c>
      <c r="C77" s="54" t="s">
        <v>21</v>
      </c>
      <c r="D77" s="55">
        <v>1001304507236</v>
      </c>
      <c r="E77" s="24">
        <v>288</v>
      </c>
      <c r="F77" s="23">
        <v>0.28000000000000003</v>
      </c>
      <c r="G77" s="23">
        <f t="shared" si="4"/>
        <v>80.640000000000015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91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92</v>
      </c>
      <c r="C79" s="54" t="s">
        <v>32</v>
      </c>
      <c r="D79" s="55">
        <v>1001303987169</v>
      </c>
      <c r="E79" s="24">
        <v>651</v>
      </c>
      <c r="F79" s="23">
        <v>0.35</v>
      </c>
      <c r="G79" s="23">
        <f t="shared" si="4"/>
        <v>227.85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93</v>
      </c>
      <c r="C80" s="73" t="s">
        <v>23</v>
      </c>
      <c r="D80" s="74">
        <v>1001303987166</v>
      </c>
      <c r="E80" s="24">
        <v>229</v>
      </c>
      <c r="F80" s="23">
        <v>1</v>
      </c>
      <c r="G80" s="23">
        <f>E80</f>
        <v>229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94</v>
      </c>
      <c r="C81" s="73" t="s">
        <v>23</v>
      </c>
      <c r="D81" s="74">
        <v>1001051875544</v>
      </c>
      <c r="E81" s="24">
        <v>173</v>
      </c>
      <c r="F81" s="23">
        <v>0.83399999999999996</v>
      </c>
      <c r="G81" s="23">
        <f>E81</f>
        <v>173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96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98</v>
      </c>
      <c r="C85" s="73" t="s">
        <v>23</v>
      </c>
      <c r="D85" s="74">
        <v>1001300387157</v>
      </c>
      <c r="E85" s="24">
        <v>50</v>
      </c>
      <c r="F85" s="23">
        <v>1</v>
      </c>
      <c r="G85" s="23">
        <f>E85</f>
        <v>50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99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100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103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>
        <v>249</v>
      </c>
      <c r="F94" s="67">
        <v>0.22</v>
      </c>
      <c r="G94" s="23">
        <f>E94*F94</f>
        <v>54.78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>
        <v>211</v>
      </c>
      <c r="F97" s="23">
        <v>0.1</v>
      </c>
      <c r="G97" s="23">
        <f>E97*F97</f>
        <v>21.1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ref="A101:A131" si="6">RIGHT(D101,4)</f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6"/>
        <v>4993</v>
      </c>
      <c r="B102" s="80" t="s">
        <v>115</v>
      </c>
      <c r="C102" s="73" t="s">
        <v>32</v>
      </c>
      <c r="D102" s="74">
        <v>1001060764993</v>
      </c>
      <c r="E102" s="24">
        <v>232</v>
      </c>
      <c r="F102" s="23">
        <v>0.25</v>
      </c>
      <c r="G102" s="23">
        <f t="shared" ref="G102:G111" si="7">E102*F102</f>
        <v>58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6"/>
        <v>6967</v>
      </c>
      <c r="B103" s="80" t="s">
        <v>116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si="6"/>
        <v>7382</v>
      </c>
      <c r="B104" s="80" t="s">
        <v>117</v>
      </c>
      <c r="C104" s="73" t="s">
        <v>21</v>
      </c>
      <c r="D104" s="74">
        <v>1001203117382</v>
      </c>
      <c r="E104" s="24">
        <v>172</v>
      </c>
      <c r="F104" s="23">
        <v>0.12</v>
      </c>
      <c r="G104" s="23">
        <f t="shared" si="7"/>
        <v>20.64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6"/>
        <v>7147</v>
      </c>
      <c r="B105" s="80" t="s">
        <v>118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6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6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6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6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6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6"/>
        <v>6221</v>
      </c>
      <c r="B111" s="80" t="s">
        <v>124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6"/>
        <v>4117</v>
      </c>
      <c r="B112" s="80" t="s">
        <v>125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6"/>
        <v>5483</v>
      </c>
      <c r="B113" s="80" t="s">
        <v>126</v>
      </c>
      <c r="C113" s="73" t="s">
        <v>21</v>
      </c>
      <c r="D113" s="74">
        <v>1001062505483</v>
      </c>
      <c r="E113" s="24">
        <v>277</v>
      </c>
      <c r="F113" s="23">
        <v>0.25</v>
      </c>
      <c r="G113" s="23">
        <f>E113*F113</f>
        <v>69.25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6"/>
        <v>6453</v>
      </c>
      <c r="B114" s="80" t="s">
        <v>127</v>
      </c>
      <c r="C114" s="73" t="s">
        <v>32</v>
      </c>
      <c r="D114" s="74">
        <v>1001202506453</v>
      </c>
      <c r="E114" s="24">
        <v>116</v>
      </c>
      <c r="F114" s="23">
        <v>0.1</v>
      </c>
      <c r="G114" s="23">
        <f>E114*F114</f>
        <v>11.600000000000001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6"/>
        <v>6228</v>
      </c>
      <c r="B115" s="80" t="s">
        <v>128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6"/>
        <v>3287</v>
      </c>
      <c r="B116" s="80" t="s">
        <v>129</v>
      </c>
      <c r="C116" s="73" t="s">
        <v>23</v>
      </c>
      <c r="D116" s="74">
        <v>1001060763287</v>
      </c>
      <c r="E116" s="24">
        <v>7</v>
      </c>
      <c r="F116" s="23">
        <v>0.51300000000000001</v>
      </c>
      <c r="G116" s="23">
        <f>E116</f>
        <v>7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6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6"/>
        <v>6866</v>
      </c>
      <c r="B118" s="77" t="s">
        <v>131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6"/>
        <v>3215</v>
      </c>
      <c r="B119" s="80" t="s">
        <v>132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6"/>
        <v>5452</v>
      </c>
      <c r="B120" s="51" t="s">
        <v>133</v>
      </c>
      <c r="C120" s="73" t="s">
        <v>23</v>
      </c>
      <c r="D120" s="42">
        <v>1001092485452</v>
      </c>
      <c r="E120" s="24">
        <v>118</v>
      </c>
      <c r="F120" s="23">
        <v>1.367</v>
      </c>
      <c r="G120" s="23">
        <f>E120</f>
        <v>118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6"/>
        <v>5495</v>
      </c>
      <c r="B121" s="51" t="s">
        <v>134</v>
      </c>
      <c r="C121" s="73" t="s">
        <v>21</v>
      </c>
      <c r="D121" s="42">
        <v>1001093345495</v>
      </c>
      <c r="E121" s="24">
        <v>87</v>
      </c>
      <c r="F121" s="23">
        <v>0.4</v>
      </c>
      <c r="G121" s="23">
        <f>E121*F121</f>
        <v>34.800000000000004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6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6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6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6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6"/>
        <v>6279</v>
      </c>
      <c r="B126" s="37" t="s">
        <v>139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6208</v>
      </c>
      <c r="B127" s="37" t="s">
        <v>140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6"/>
        <v>7090</v>
      </c>
      <c r="B128" s="37" t="s">
        <v>141</v>
      </c>
      <c r="C128" s="73" t="s">
        <v>32</v>
      </c>
      <c r="D128" s="74">
        <v>1001084217090</v>
      </c>
      <c r="E128" s="24">
        <v>50</v>
      </c>
      <c r="F128" s="23">
        <v>0.3</v>
      </c>
      <c r="G128" s="23">
        <f>E128*F128</f>
        <v>15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6"/>
        <v>7187</v>
      </c>
      <c r="B129" s="37" t="s">
        <v>142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6"/>
        <v>7103</v>
      </c>
      <c r="B130" s="59" t="s">
        <v>143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6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7256</v>
      </c>
      <c r="F132" s="17"/>
      <c r="G132" s="17">
        <f>SUM(G11:G131)</f>
        <v>3353.889999999999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2025-12-03T10:19:58Z</dcterms:modified>
</cp:coreProperties>
</file>