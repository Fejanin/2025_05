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3FD2D5C2-DA30-47EA-8A2D-A824DB8AB9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1" i="1" l="1"/>
  <c r="S42" i="1"/>
  <c r="S43" i="1"/>
  <c r="S40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6" i="1"/>
  <c r="S5" i="1" l="1"/>
  <c r="R41" i="1"/>
  <c r="R40" i="1"/>
  <c r="V40" i="1" s="1"/>
  <c r="R38" i="1"/>
  <c r="R36" i="1"/>
  <c r="R35" i="1"/>
  <c r="AG35" i="1" s="1"/>
  <c r="R28" i="1"/>
  <c r="R26" i="1"/>
  <c r="R23" i="1"/>
  <c r="R21" i="1"/>
  <c r="R17" i="1"/>
  <c r="R15" i="1"/>
  <c r="R11" i="1"/>
  <c r="R9" i="1"/>
  <c r="R8" i="1"/>
  <c r="V8" i="1" s="1"/>
  <c r="R7" i="1"/>
  <c r="AG7" i="1" s="1"/>
  <c r="R10" i="1"/>
  <c r="R12" i="1"/>
  <c r="R13" i="1"/>
  <c r="R14" i="1"/>
  <c r="R16" i="1"/>
  <c r="R18" i="1"/>
  <c r="R19" i="1"/>
  <c r="R20" i="1"/>
  <c r="R22" i="1"/>
  <c r="R24" i="1"/>
  <c r="R25" i="1"/>
  <c r="R27" i="1"/>
  <c r="R29" i="1"/>
  <c r="R30" i="1"/>
  <c r="R31" i="1"/>
  <c r="R32" i="1"/>
  <c r="R33" i="1"/>
  <c r="R34" i="1"/>
  <c r="R37" i="1"/>
  <c r="R42" i="1"/>
  <c r="R6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6" i="1"/>
  <c r="AG37" i="1"/>
  <c r="AG38" i="1"/>
  <c r="AG40" i="1"/>
  <c r="AG41" i="1"/>
  <c r="AG42" i="1"/>
  <c r="AG43" i="1"/>
  <c r="AG6" i="1"/>
  <c r="V7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6" i="1"/>
  <c r="V37" i="1"/>
  <c r="V38" i="1"/>
  <c r="V41" i="1"/>
  <c r="V42" i="1"/>
  <c r="V43" i="1"/>
  <c r="V6" i="1"/>
  <c r="V35" i="1" l="1"/>
  <c r="R5" i="1"/>
  <c r="Q41" i="1"/>
  <c r="P43" i="1"/>
  <c r="P6" i="1"/>
  <c r="P7" i="1"/>
  <c r="P8" i="1"/>
  <c r="P40" i="1"/>
  <c r="Q40" i="1" s="1"/>
  <c r="P41" i="1"/>
  <c r="P9" i="1"/>
  <c r="P10" i="1"/>
  <c r="P11" i="1"/>
  <c r="Q11" i="1" s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Q26" i="1" s="1"/>
  <c r="P27" i="1"/>
  <c r="P28" i="1"/>
  <c r="Q28" i="1" s="1"/>
  <c r="P29" i="1"/>
  <c r="Q29" i="1" s="1"/>
  <c r="P30" i="1"/>
  <c r="P31" i="1"/>
  <c r="P32" i="1"/>
  <c r="P33" i="1"/>
  <c r="P34" i="1"/>
  <c r="P35" i="1"/>
  <c r="P36" i="1"/>
  <c r="P37" i="1"/>
  <c r="P38" i="1"/>
  <c r="P42" i="1"/>
  <c r="W42" i="1" s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41" i="1"/>
  <c r="L40" i="1"/>
  <c r="L8" i="1"/>
  <c r="L7" i="1"/>
  <c r="L6" i="1"/>
  <c r="L43" i="1"/>
  <c r="L42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36" i="1" l="1"/>
  <c r="Q38" i="1"/>
  <c r="Q33" i="1"/>
  <c r="Q23" i="1"/>
  <c r="Q43" i="1"/>
  <c r="Q21" i="1"/>
  <c r="Q7" i="1"/>
  <c r="Q9" i="1"/>
  <c r="Q13" i="1"/>
  <c r="Q15" i="1"/>
  <c r="Q17" i="1"/>
  <c r="Q6" i="1"/>
  <c r="Q8" i="1"/>
  <c r="Q14" i="1"/>
  <c r="Q18" i="1"/>
  <c r="Q35" i="1"/>
  <c r="W37" i="1"/>
  <c r="W33" i="1"/>
  <c r="W29" i="1"/>
  <c r="W25" i="1"/>
  <c r="W21" i="1"/>
  <c r="W17" i="1"/>
  <c r="W13" i="1"/>
  <c r="W9" i="1"/>
  <c r="W7" i="1"/>
  <c r="W35" i="1"/>
  <c r="W31" i="1"/>
  <c r="W27" i="1"/>
  <c r="W23" i="1"/>
  <c r="W19" i="1"/>
  <c r="W15" i="1"/>
  <c r="W11" i="1"/>
  <c r="W40" i="1"/>
  <c r="W43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41" i="1"/>
  <c r="W8" i="1"/>
  <c r="W6" i="1"/>
  <c r="L5" i="1"/>
  <c r="P5" i="1"/>
  <c r="Q5" i="1" l="1"/>
  <c r="AG5" i="1"/>
</calcChain>
</file>

<file path=xl/sharedStrings.xml><?xml version="1.0" encoding="utf-8"?>
<sst xmlns="http://schemas.openxmlformats.org/spreadsheetml/2006/main" count="176" uniqueCount="92">
  <si>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</si>
  <si>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</si>
  <si>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</si>
  <si>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</si>
  <si>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</si>
  <si>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</si>
  <si>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</si>
  <si>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</si>
  <si>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</si>
  <si>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</si>
  <si>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</si>
  <si>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</si>
  <si>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</si>
  <si>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</si>
  <si>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</si>
  <si>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</si>
  <si>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</si>
  <si>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</si>
  <si>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</si>
  <si>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</si>
  <si>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</si>
  <si>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</si>
  <si>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</si>
  <si>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</si>
  <si>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</si>
  <si>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</si>
  <si>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</si>
  <si>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</si>
  <si>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</si>
  <si>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</si>
  <si>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</si>
  <si>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</si>
  <si>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</si>
  <si>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</si>
  <si>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</si>
  <si>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</si>
  <si>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</si>
  <si>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</si>
  <si>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</si>
  <si>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</si>
  <si>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</si>
  <si>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</si>
  <si>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</si>
  <si>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</si>
  <si>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</si>
  <si>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</si>
  <si>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</si>
  <si>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</si>
  <si>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</si>
  <si>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</si>
  <si>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</si>
  <si>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</si>
  <si>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</si>
  <si>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</si>
  <si>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</si>
  <si>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</si>
  <si>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</si>
  <si>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</si>
  <si>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</si>
  <si>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</si>
  <si>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</si>
  <si>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</si>
  <si>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</si>
  <si>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</si>
  <si>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</si>
  <si>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</si>
  <si>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</si>
  <si>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</si>
  <si>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</si>
  <si>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</si>
  <si>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</si>
  <si>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</si>
  <si>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</si>
  <si>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</si>
  <si>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</si>
  <si>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</si>
  <si>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</si>
  <si>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</si>
  <si>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</si>
  <si>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</si>
  <si>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</si>
  <si>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</si>
  <si>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</si>
  <si>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</si>
  <si>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</si>
  <si>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29,09,25 завод не отгрузил</t>
  </si>
  <si>
    <t>18,08,25 завод не отгрузил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</si>
  <si>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</si>
  <si>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запас перед НГ</t>
  </si>
  <si>
    <t>итого</t>
  </si>
  <si>
    <t>заказ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</si>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</sst>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7" style="25" customWidth="1"/>
    <col min="20" max="20" width="7" customWidth="1"/>
    <col min="21" max="21" width="21" customWidth="1"/>
    <col min="22" max="23" width="5" customWidth="1"/>
    <col min="24" max="31" width="6" customWidth="1"/>
    <col min="32" max="32" width="46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89</v>
      </c>
      <c r="S3" s="3" t="s">
        <v>90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 t="s">
        <v>91</v>
      </c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SUM(E6:E496)</f>
        <v>5412.8230000000003</v>
      </c>
      <c r="F5" s="4">
        <f>SUM(F6:F496)</f>
        <v>5663.771999999999</v>
      </c>
      <c r="G5" s="7"/>
      <c r="H5" s="1"/>
      <c r="I5" s="1"/>
      <c r="J5" s="1"/>
      <c r="K5" s="4">
        <f t="shared" ref="K5:T5" si="0">SUM(K6:K496)</f>
        <v>5557.6639999999998</v>
      </c>
      <c r="L5" s="4">
        <f t="shared" si="0"/>
        <v>-144.84100000000001</v>
      </c>
      <c r="M5" s="4">
        <f t="shared" si="0"/>
        <v>0</v>
      </c>
      <c r="N5" s="4">
        <f t="shared" si="0"/>
        <v>0</v>
      </c>
      <c r="O5" s="4">
        <f t="shared" si="0"/>
        <v>6464</v>
      </c>
      <c r="P5" s="4">
        <f t="shared" si="0"/>
        <v>1082.5645999999999</v>
      </c>
      <c r="Q5" s="4">
        <f t="shared" si="0"/>
        <v>10251.364</v>
      </c>
      <c r="R5" s="4">
        <f t="shared" si="0"/>
        <v>12104</v>
      </c>
      <c r="S5" s="4">
        <f t="shared" si="0"/>
        <v>12090</v>
      </c>
      <c r="T5" s="4">
        <f t="shared" si="0"/>
        <v>8280</v>
      </c>
      <c r="U5" s="1"/>
      <c r="V5" s="1"/>
      <c r="W5" s="1"/>
      <c r="X5" s="4">
        <f t="shared" ref="X5:AE5" si="1">SUM(X6:X496)</f>
        <v>929.0648000000001</v>
      </c>
      <c r="Y5" s="4">
        <f t="shared" si="1"/>
        <v>829.27999999999986</v>
      </c>
      <c r="Z5" s="4">
        <f t="shared" si="1"/>
        <v>843.7704</v>
      </c>
      <c r="AA5" s="4">
        <f t="shared" si="1"/>
        <v>973.03700000000015</v>
      </c>
      <c r="AB5" s="4">
        <f t="shared" si="1"/>
        <v>1035.2360000000001</v>
      </c>
      <c r="AC5" s="4">
        <f t="shared" si="1"/>
        <v>969.89660000000003</v>
      </c>
      <c r="AD5" s="4">
        <f t="shared" si="1"/>
        <v>1166.6854000000003</v>
      </c>
      <c r="AE5" s="4">
        <f t="shared" si="1"/>
        <v>1079.4366000000002</v>
      </c>
      <c r="AF5" s="1"/>
      <c r="AG5" s="4">
        <f>SUM(AG6:AG496)</f>
        <v>3755.56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35</v>
      </c>
      <c r="C6" s="1">
        <v>42</v>
      </c>
      <c r="D6" s="1">
        <v>16</v>
      </c>
      <c r="E6" s="1">
        <v>30</v>
      </c>
      <c r="F6" s="1">
        <v>22</v>
      </c>
      <c r="G6" s="7">
        <v>0.14000000000000001</v>
      </c>
      <c r="H6" s="1">
        <v>180</v>
      </c>
      <c r="I6" s="1">
        <v>9988421</v>
      </c>
      <c r="J6" s="1"/>
      <c r="K6" s="1">
        <v>32</v>
      </c>
      <c r="L6" s="1">
        <f t="shared" ref="L6:L38" si="2">E6-K6</f>
        <v>-2</v>
      </c>
      <c r="M6" s="1"/>
      <c r="N6" s="1"/>
      <c r="O6" s="1">
        <v>16</v>
      </c>
      <c r="P6" s="1">
        <f t="shared" ref="P6:P38" si="3">E6/5</f>
        <v>6</v>
      </c>
      <c r="Q6" s="9">
        <f>20*P6-O6-F6</f>
        <v>82</v>
      </c>
      <c r="R6" s="9">
        <f>Q6</f>
        <v>82</v>
      </c>
      <c r="S6" s="9">
        <f>IFERROR(VLOOKUP(A6,заказ!A:B,2,0),0)</f>
        <v>80</v>
      </c>
      <c r="T6" s="9"/>
      <c r="U6" s="1"/>
      <c r="V6" s="1">
        <f>(F6+O6+R6)/P6</f>
        <v>20</v>
      </c>
      <c r="W6" s="1">
        <f t="shared" ref="W6:W38" si="4">(F6+O6)/P6</f>
        <v>6.333333333333333</v>
      </c>
      <c r="X6" s="1">
        <v>3.6</v>
      </c>
      <c r="Y6" s="1">
        <v>4.2</v>
      </c>
      <c r="Z6" s="1">
        <v>0</v>
      </c>
      <c r="AA6" s="1">
        <v>1</v>
      </c>
      <c r="AB6" s="1">
        <v>5</v>
      </c>
      <c r="AC6" s="1">
        <v>5.6</v>
      </c>
      <c r="AD6" s="1">
        <v>4</v>
      </c>
      <c r="AE6" s="1">
        <v>5.6</v>
      </c>
      <c r="AF6" s="1" t="s">
        <v>38</v>
      </c>
      <c r="AG6" s="1">
        <f>G6*R6</f>
        <v>11.48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35</v>
      </c>
      <c r="C7" s="1">
        <v>133</v>
      </c>
      <c r="D7" s="1">
        <v>128</v>
      </c>
      <c r="E7" s="1">
        <v>92</v>
      </c>
      <c r="F7" s="1">
        <v>138</v>
      </c>
      <c r="G7" s="7">
        <v>0.18</v>
      </c>
      <c r="H7" s="1">
        <v>270</v>
      </c>
      <c r="I7" s="1">
        <v>9988438</v>
      </c>
      <c r="J7" s="1"/>
      <c r="K7" s="1">
        <v>92</v>
      </c>
      <c r="L7" s="1">
        <f t="shared" si="2"/>
        <v>0</v>
      </c>
      <c r="M7" s="1"/>
      <c r="N7" s="1"/>
      <c r="O7" s="1">
        <v>48</v>
      </c>
      <c r="P7" s="1">
        <f t="shared" si="3"/>
        <v>18.399999999999999</v>
      </c>
      <c r="Q7" s="9">
        <f t="shared" ref="Q7:Q18" si="5">20*P7-O7-F7</f>
        <v>182</v>
      </c>
      <c r="R7" s="9">
        <f>T7</f>
        <v>250</v>
      </c>
      <c r="S7" s="9">
        <f>IFERROR(VLOOKUP(A7,заказ!A:B,2,0),0)</f>
        <v>256</v>
      </c>
      <c r="T7" s="9">
        <v>250</v>
      </c>
      <c r="U7" s="1" t="s">
        <v>88</v>
      </c>
      <c r="V7" s="1">
        <f t="shared" ref="V7:V43" si="6">(F7+O7+R7)/P7</f>
        <v>23.695652173913047</v>
      </c>
      <c r="W7" s="1">
        <f t="shared" si="4"/>
        <v>10.108695652173914</v>
      </c>
      <c r="X7" s="1">
        <v>15.4</v>
      </c>
      <c r="Y7" s="1">
        <v>16</v>
      </c>
      <c r="Z7" s="1">
        <v>14.6</v>
      </c>
      <c r="AA7" s="1">
        <v>12.8</v>
      </c>
      <c r="AB7" s="1">
        <v>17.600000000000001</v>
      </c>
      <c r="AC7" s="1">
        <v>11.8</v>
      </c>
      <c r="AD7" s="1">
        <v>12.2</v>
      </c>
      <c r="AE7" s="1">
        <v>17</v>
      </c>
      <c r="AF7" s="1"/>
      <c r="AG7" s="1">
        <f t="shared" ref="AG7:AG43" si="7">G7*R7</f>
        <v>45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35</v>
      </c>
      <c r="C8" s="1">
        <v>90</v>
      </c>
      <c r="D8" s="1">
        <v>144</v>
      </c>
      <c r="E8" s="1">
        <v>63</v>
      </c>
      <c r="F8" s="1">
        <v>148</v>
      </c>
      <c r="G8" s="7">
        <v>0.18</v>
      </c>
      <c r="H8" s="1">
        <v>270</v>
      </c>
      <c r="I8" s="1">
        <v>9988445</v>
      </c>
      <c r="J8" s="1"/>
      <c r="K8" s="1">
        <v>63</v>
      </c>
      <c r="L8" s="1">
        <f t="shared" si="2"/>
        <v>0</v>
      </c>
      <c r="M8" s="1"/>
      <c r="N8" s="1"/>
      <c r="O8" s="1">
        <v>96</v>
      </c>
      <c r="P8" s="1">
        <f t="shared" si="3"/>
        <v>12.6</v>
      </c>
      <c r="Q8" s="9">
        <f t="shared" si="5"/>
        <v>8</v>
      </c>
      <c r="R8" s="9">
        <f t="shared" ref="R8:R9" si="8">T8</f>
        <v>50</v>
      </c>
      <c r="S8" s="9">
        <f>IFERROR(VLOOKUP(A8,заказ!A:B,2,0),0)</f>
        <v>48</v>
      </c>
      <c r="T8" s="9">
        <v>50</v>
      </c>
      <c r="U8" s="1" t="s">
        <v>88</v>
      </c>
      <c r="V8" s="1">
        <f t="shared" si="6"/>
        <v>23.333333333333336</v>
      </c>
      <c r="W8" s="1">
        <f t="shared" si="4"/>
        <v>19.365079365079367</v>
      </c>
      <c r="X8" s="1">
        <v>15.4</v>
      </c>
      <c r="Y8" s="1">
        <v>15.4</v>
      </c>
      <c r="Z8" s="1">
        <v>13.2</v>
      </c>
      <c r="AA8" s="1">
        <v>10.4</v>
      </c>
      <c r="AB8" s="1">
        <v>14.6</v>
      </c>
      <c r="AC8" s="1">
        <v>12.8</v>
      </c>
      <c r="AD8" s="1">
        <v>13.2</v>
      </c>
      <c r="AE8" s="1">
        <v>12.8</v>
      </c>
      <c r="AF8" s="1"/>
      <c r="AG8" s="1">
        <f t="shared" si="7"/>
        <v>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44</v>
      </c>
      <c r="B9" s="1" t="s">
        <v>35</v>
      </c>
      <c r="C9" s="1">
        <v>58</v>
      </c>
      <c r="D9" s="1">
        <v>106</v>
      </c>
      <c r="E9" s="1">
        <v>39</v>
      </c>
      <c r="F9" s="1">
        <v>123</v>
      </c>
      <c r="G9" s="7">
        <v>0.4</v>
      </c>
      <c r="H9" s="1">
        <v>270</v>
      </c>
      <c r="I9" s="1">
        <v>9988452</v>
      </c>
      <c r="J9" s="1"/>
      <c r="K9" s="1">
        <v>41</v>
      </c>
      <c r="L9" s="1">
        <f t="shared" si="2"/>
        <v>-2</v>
      </c>
      <c r="M9" s="1"/>
      <c r="N9" s="1"/>
      <c r="O9" s="1">
        <v>0</v>
      </c>
      <c r="P9" s="1">
        <f t="shared" si="3"/>
        <v>7.8</v>
      </c>
      <c r="Q9" s="9">
        <f t="shared" si="5"/>
        <v>33</v>
      </c>
      <c r="R9" s="9">
        <f t="shared" si="8"/>
        <v>80</v>
      </c>
      <c r="S9" s="9">
        <f>IFERROR(VLOOKUP(A9,заказ!A:B,2,0),0)</f>
        <v>80</v>
      </c>
      <c r="T9" s="9">
        <v>80</v>
      </c>
      <c r="U9" s="1" t="s">
        <v>88</v>
      </c>
      <c r="V9" s="1">
        <f t="shared" si="6"/>
        <v>26.025641025641026</v>
      </c>
      <c r="W9" s="1">
        <f t="shared" si="4"/>
        <v>15.76923076923077</v>
      </c>
      <c r="X9" s="1">
        <v>5.8</v>
      </c>
      <c r="Y9" s="1">
        <v>9.6</v>
      </c>
      <c r="Z9" s="1">
        <v>6.4</v>
      </c>
      <c r="AA9" s="1">
        <v>6.2</v>
      </c>
      <c r="AB9" s="1">
        <v>1.8</v>
      </c>
      <c r="AC9" s="1">
        <v>10.6</v>
      </c>
      <c r="AD9" s="1">
        <v>3.4</v>
      </c>
      <c r="AE9" s="1">
        <v>5</v>
      </c>
      <c r="AF9" s="1" t="s">
        <v>85</v>
      </c>
      <c r="AG9" s="1">
        <f t="shared" si="7"/>
        <v>32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35</v>
      </c>
      <c r="C10" s="1">
        <v>51</v>
      </c>
      <c r="D10" s="1">
        <v>56</v>
      </c>
      <c r="E10" s="1">
        <v>18</v>
      </c>
      <c r="F10" s="1">
        <v>89</v>
      </c>
      <c r="G10" s="7">
        <v>0.4</v>
      </c>
      <c r="H10" s="1">
        <v>270</v>
      </c>
      <c r="I10" s="1">
        <v>9988476</v>
      </c>
      <c r="J10" s="1"/>
      <c r="K10" s="1">
        <v>18</v>
      </c>
      <c r="L10" s="1">
        <f t="shared" si="2"/>
        <v>0</v>
      </c>
      <c r="M10" s="1"/>
      <c r="N10" s="1"/>
      <c r="O10" s="1">
        <v>0</v>
      </c>
      <c r="P10" s="1">
        <f t="shared" si="3"/>
        <v>3.6</v>
      </c>
      <c r="Q10" s="9"/>
      <c r="R10" s="9">
        <f t="shared" ref="R10:R42" si="9">Q10</f>
        <v>0</v>
      </c>
      <c r="S10" s="9">
        <f>IFERROR(VLOOKUP(A10,заказ!A:B,2,0),0)</f>
        <v>0</v>
      </c>
      <c r="T10" s="9"/>
      <c r="U10" s="1"/>
      <c r="V10" s="1">
        <f t="shared" si="6"/>
        <v>24.722222222222221</v>
      </c>
      <c r="W10" s="1">
        <f t="shared" si="4"/>
        <v>24.722222222222221</v>
      </c>
      <c r="X10" s="1">
        <v>4.2</v>
      </c>
      <c r="Y10" s="1">
        <v>7.2</v>
      </c>
      <c r="Z10" s="1">
        <v>2.6</v>
      </c>
      <c r="AA10" s="1">
        <v>5</v>
      </c>
      <c r="AB10" s="1">
        <v>2.2000000000000002</v>
      </c>
      <c r="AC10" s="1">
        <v>5.8</v>
      </c>
      <c r="AD10" s="1">
        <v>2.6</v>
      </c>
      <c r="AE10" s="1">
        <v>3.2</v>
      </c>
      <c r="AF10" s="1"/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35</v>
      </c>
      <c r="C11" s="1">
        <v>368</v>
      </c>
      <c r="D11" s="1">
        <v>17</v>
      </c>
      <c r="E11" s="1">
        <v>185</v>
      </c>
      <c r="F11" s="1">
        <v>163</v>
      </c>
      <c r="G11" s="7">
        <v>0.18</v>
      </c>
      <c r="H11" s="1">
        <v>150</v>
      </c>
      <c r="I11" s="1">
        <v>5034819</v>
      </c>
      <c r="J11" s="1"/>
      <c r="K11" s="1">
        <v>184</v>
      </c>
      <c r="L11" s="1">
        <f t="shared" si="2"/>
        <v>1</v>
      </c>
      <c r="M11" s="1"/>
      <c r="N11" s="1"/>
      <c r="O11" s="1">
        <v>0</v>
      </c>
      <c r="P11" s="1">
        <f t="shared" si="3"/>
        <v>37</v>
      </c>
      <c r="Q11" s="9">
        <f>19*P11-O11-F11</f>
        <v>540</v>
      </c>
      <c r="R11" s="9">
        <f>T11</f>
        <v>600</v>
      </c>
      <c r="S11" s="9">
        <f>IFERROR(VLOOKUP(A11,заказ!A:B,2,0),0)</f>
        <v>600</v>
      </c>
      <c r="T11" s="9">
        <v>600</v>
      </c>
      <c r="U11" s="1" t="s">
        <v>88</v>
      </c>
      <c r="V11" s="1">
        <f t="shared" si="6"/>
        <v>20.621621621621621</v>
      </c>
      <c r="W11" s="1">
        <f t="shared" si="4"/>
        <v>4.4054054054054053</v>
      </c>
      <c r="X11" s="1">
        <v>12.2</v>
      </c>
      <c r="Y11" s="1">
        <v>22.8</v>
      </c>
      <c r="Z11" s="1">
        <v>21.2</v>
      </c>
      <c r="AA11" s="1">
        <v>32.799999999999997</v>
      </c>
      <c r="AB11" s="1">
        <v>32</v>
      </c>
      <c r="AC11" s="1">
        <v>31.6</v>
      </c>
      <c r="AD11" s="1">
        <v>34.799999999999997</v>
      </c>
      <c r="AE11" s="1">
        <v>29.6</v>
      </c>
      <c r="AF11" s="1" t="s">
        <v>86</v>
      </c>
      <c r="AG11" s="1">
        <f t="shared" si="7"/>
        <v>108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47</v>
      </c>
      <c r="B12" s="1" t="s">
        <v>35</v>
      </c>
      <c r="C12" s="1">
        <v>66</v>
      </c>
      <c r="D12" s="1"/>
      <c r="E12" s="1">
        <v>24</v>
      </c>
      <c r="F12" s="1">
        <v>22</v>
      </c>
      <c r="G12" s="7">
        <v>0.1</v>
      </c>
      <c r="H12" s="1">
        <v>90</v>
      </c>
      <c r="I12" s="1">
        <v>8444163</v>
      </c>
      <c r="J12" s="1"/>
      <c r="K12" s="1">
        <v>27</v>
      </c>
      <c r="L12" s="1">
        <f t="shared" si="2"/>
        <v>-3</v>
      </c>
      <c r="M12" s="1"/>
      <c r="N12" s="1"/>
      <c r="O12" s="1">
        <v>96</v>
      </c>
      <c r="P12" s="1">
        <f t="shared" si="3"/>
        <v>4.8</v>
      </c>
      <c r="Q12" s="9"/>
      <c r="R12" s="9">
        <f t="shared" si="9"/>
        <v>0</v>
      </c>
      <c r="S12" s="9">
        <f>IFERROR(VLOOKUP(A12,заказ!A:B,2,0),0)</f>
        <v>0</v>
      </c>
      <c r="T12" s="9"/>
      <c r="U12" s="1"/>
      <c r="V12" s="1">
        <f t="shared" si="6"/>
        <v>24.583333333333336</v>
      </c>
      <c r="W12" s="1">
        <f t="shared" si="4"/>
        <v>24.583333333333336</v>
      </c>
      <c r="X12" s="1">
        <v>9.1999999999999993</v>
      </c>
      <c r="Y12" s="1">
        <v>6.8</v>
      </c>
      <c r="Z12" s="1">
        <v>2.8</v>
      </c>
      <c r="AA12" s="1">
        <v>4.4000000000000004</v>
      </c>
      <c r="AB12" s="1">
        <v>11</v>
      </c>
      <c r="AC12" s="1">
        <v>2.4</v>
      </c>
      <c r="AD12" s="1">
        <v>8.4</v>
      </c>
      <c r="AE12" s="1">
        <v>7.2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35</v>
      </c>
      <c r="C13" s="1">
        <v>633</v>
      </c>
      <c r="D13" s="1">
        <v>2</v>
      </c>
      <c r="E13" s="1">
        <v>362</v>
      </c>
      <c r="F13" s="1">
        <v>202</v>
      </c>
      <c r="G13" s="7">
        <v>0.18</v>
      </c>
      <c r="H13" s="1">
        <v>150</v>
      </c>
      <c r="I13" s="1">
        <v>5038411</v>
      </c>
      <c r="J13" s="1"/>
      <c r="K13" s="1">
        <v>364</v>
      </c>
      <c r="L13" s="1">
        <f t="shared" si="2"/>
        <v>-2</v>
      </c>
      <c r="M13" s="1"/>
      <c r="N13" s="1"/>
      <c r="O13" s="1">
        <v>200</v>
      </c>
      <c r="P13" s="1">
        <f t="shared" si="3"/>
        <v>72.400000000000006</v>
      </c>
      <c r="Q13" s="9">
        <f t="shared" si="5"/>
        <v>1046</v>
      </c>
      <c r="R13" s="9">
        <f t="shared" si="9"/>
        <v>1046</v>
      </c>
      <c r="S13" s="9">
        <f>IFERROR(VLOOKUP(A13,заказ!A:B,2,0),0)</f>
        <v>1050</v>
      </c>
      <c r="T13" s="9"/>
      <c r="U13" s="1"/>
      <c r="V13" s="1">
        <f t="shared" si="6"/>
        <v>20</v>
      </c>
      <c r="W13" s="1">
        <f t="shared" si="4"/>
        <v>5.5524861878453038</v>
      </c>
      <c r="X13" s="1">
        <v>45.6</v>
      </c>
      <c r="Y13" s="1">
        <v>33.799999999999997</v>
      </c>
      <c r="Z13" s="1">
        <v>50.8</v>
      </c>
      <c r="AA13" s="1">
        <v>48.6</v>
      </c>
      <c r="AB13" s="1">
        <v>50.8</v>
      </c>
      <c r="AC13" s="1">
        <v>48</v>
      </c>
      <c r="AD13" s="1">
        <v>68.8</v>
      </c>
      <c r="AE13" s="1">
        <v>63</v>
      </c>
      <c r="AF13" s="1"/>
      <c r="AG13" s="1">
        <f t="shared" si="7"/>
        <v>188.28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35</v>
      </c>
      <c r="C14" s="1">
        <v>660</v>
      </c>
      <c r="D14" s="1">
        <v>254</v>
      </c>
      <c r="E14" s="1">
        <v>432</v>
      </c>
      <c r="F14" s="1">
        <v>346</v>
      </c>
      <c r="G14" s="7">
        <v>0.18</v>
      </c>
      <c r="H14" s="1">
        <v>150</v>
      </c>
      <c r="I14" s="1">
        <v>5038459</v>
      </c>
      <c r="J14" s="1"/>
      <c r="K14" s="1">
        <v>438</v>
      </c>
      <c r="L14" s="1">
        <f t="shared" si="2"/>
        <v>-6</v>
      </c>
      <c r="M14" s="1"/>
      <c r="N14" s="1"/>
      <c r="O14" s="1">
        <v>350</v>
      </c>
      <c r="P14" s="1">
        <f t="shared" si="3"/>
        <v>86.4</v>
      </c>
      <c r="Q14" s="9">
        <f t="shared" si="5"/>
        <v>1032</v>
      </c>
      <c r="R14" s="9">
        <f t="shared" si="9"/>
        <v>1032</v>
      </c>
      <c r="S14" s="9">
        <f>IFERROR(VLOOKUP(A14,заказ!A:B,2,0),0)</f>
        <v>1030</v>
      </c>
      <c r="T14" s="9"/>
      <c r="U14" s="1"/>
      <c r="V14" s="1">
        <f t="shared" si="6"/>
        <v>20</v>
      </c>
      <c r="W14" s="1">
        <f t="shared" si="4"/>
        <v>8.0555555555555554</v>
      </c>
      <c r="X14" s="1">
        <v>63.6</v>
      </c>
      <c r="Y14" s="1">
        <v>61.6</v>
      </c>
      <c r="Z14" s="1">
        <v>63.8</v>
      </c>
      <c r="AA14" s="1">
        <v>51.6</v>
      </c>
      <c r="AB14" s="1">
        <v>76.8</v>
      </c>
      <c r="AC14" s="1">
        <v>55.6</v>
      </c>
      <c r="AD14" s="1">
        <v>93.8</v>
      </c>
      <c r="AE14" s="1">
        <v>60.6</v>
      </c>
      <c r="AF14" s="1"/>
      <c r="AG14" s="1">
        <f t="shared" si="7"/>
        <v>185.76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35</v>
      </c>
      <c r="C15" s="1">
        <v>259</v>
      </c>
      <c r="D15" s="1">
        <v>1</v>
      </c>
      <c r="E15" s="1">
        <v>150</v>
      </c>
      <c r="F15" s="1">
        <v>12</v>
      </c>
      <c r="G15" s="7">
        <v>0.18</v>
      </c>
      <c r="H15" s="1">
        <v>150</v>
      </c>
      <c r="I15" s="1">
        <v>5038831</v>
      </c>
      <c r="J15" s="1"/>
      <c r="K15" s="1">
        <v>237</v>
      </c>
      <c r="L15" s="1">
        <f t="shared" si="2"/>
        <v>-87</v>
      </c>
      <c r="M15" s="1"/>
      <c r="N15" s="1"/>
      <c r="O15" s="1">
        <v>350</v>
      </c>
      <c r="P15" s="1">
        <f t="shared" si="3"/>
        <v>30</v>
      </c>
      <c r="Q15" s="9">
        <f t="shared" si="5"/>
        <v>238</v>
      </c>
      <c r="R15" s="9">
        <f>T15</f>
        <v>350</v>
      </c>
      <c r="S15" s="9">
        <f>IFERROR(VLOOKUP(A15,заказ!A:B,2,0),0)</f>
        <v>350</v>
      </c>
      <c r="T15" s="9">
        <v>350</v>
      </c>
      <c r="U15" s="1" t="s">
        <v>88</v>
      </c>
      <c r="V15" s="1">
        <f t="shared" si="6"/>
        <v>23.733333333333334</v>
      </c>
      <c r="W15" s="1">
        <f t="shared" si="4"/>
        <v>12.066666666666666</v>
      </c>
      <c r="X15" s="1">
        <v>31</v>
      </c>
      <c r="Y15" s="1">
        <v>22.6</v>
      </c>
      <c r="Z15" s="1">
        <v>26.4</v>
      </c>
      <c r="AA15" s="1">
        <v>33.6</v>
      </c>
      <c r="AB15" s="1">
        <v>36.4</v>
      </c>
      <c r="AC15" s="1">
        <v>30.8</v>
      </c>
      <c r="AD15" s="1">
        <v>54.6</v>
      </c>
      <c r="AE15" s="1">
        <v>36</v>
      </c>
      <c r="AF15" s="1"/>
      <c r="AG15" s="1">
        <f t="shared" si="7"/>
        <v>63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51</v>
      </c>
      <c r="B16" s="1" t="s">
        <v>35</v>
      </c>
      <c r="C16" s="1"/>
      <c r="D16" s="1">
        <v>50</v>
      </c>
      <c r="E16" s="1">
        <v>33</v>
      </c>
      <c r="F16" s="1">
        <v>16</v>
      </c>
      <c r="G16" s="7">
        <v>0.18</v>
      </c>
      <c r="H16" s="1">
        <v>120</v>
      </c>
      <c r="I16" s="1">
        <v>5038855</v>
      </c>
      <c r="J16" s="1"/>
      <c r="K16" s="1">
        <v>34</v>
      </c>
      <c r="L16" s="1">
        <f t="shared" si="2"/>
        <v>-1</v>
      </c>
      <c r="M16" s="1"/>
      <c r="N16" s="1"/>
      <c r="O16" s="1">
        <v>400</v>
      </c>
      <c r="P16" s="1">
        <f t="shared" si="3"/>
        <v>6.6</v>
      </c>
      <c r="Q16" s="9"/>
      <c r="R16" s="9">
        <f t="shared" si="9"/>
        <v>0</v>
      </c>
      <c r="S16" s="9">
        <f>IFERROR(VLOOKUP(A16,заказ!A:B,2,0),0)</f>
        <v>0</v>
      </c>
      <c r="T16" s="9"/>
      <c r="U16" s="1"/>
      <c r="V16" s="1">
        <f t="shared" si="6"/>
        <v>63.030303030303031</v>
      </c>
      <c r="W16" s="1">
        <f t="shared" si="4"/>
        <v>63.030303030303031</v>
      </c>
      <c r="X16" s="1">
        <v>32.4</v>
      </c>
      <c r="Y16" s="1">
        <v>7.2</v>
      </c>
      <c r="Z16" s="1">
        <v>-0.8</v>
      </c>
      <c r="AA16" s="1">
        <v>-0.2</v>
      </c>
      <c r="AB16" s="1">
        <v>0</v>
      </c>
      <c r="AC16" s="1">
        <v>-1.2</v>
      </c>
      <c r="AD16" s="1">
        <v>-2</v>
      </c>
      <c r="AE16" s="1">
        <v>-6.2</v>
      </c>
      <c r="AF16" s="1" t="s">
        <v>52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35</v>
      </c>
      <c r="C17" s="1">
        <v>1035</v>
      </c>
      <c r="D17" s="1">
        <v>50</v>
      </c>
      <c r="E17" s="1">
        <v>684</v>
      </c>
      <c r="F17" s="1">
        <v>137</v>
      </c>
      <c r="G17" s="7">
        <v>0.18</v>
      </c>
      <c r="H17" s="1">
        <v>150</v>
      </c>
      <c r="I17" s="1">
        <v>5038435</v>
      </c>
      <c r="J17" s="1"/>
      <c r="K17" s="1">
        <v>682</v>
      </c>
      <c r="L17" s="1">
        <f t="shared" si="2"/>
        <v>2</v>
      </c>
      <c r="M17" s="1"/>
      <c r="N17" s="1"/>
      <c r="O17" s="1">
        <v>750</v>
      </c>
      <c r="P17" s="1">
        <f t="shared" si="3"/>
        <v>136.80000000000001</v>
      </c>
      <c r="Q17" s="9">
        <f t="shared" si="5"/>
        <v>1849</v>
      </c>
      <c r="R17" s="9">
        <f>T17</f>
        <v>2000</v>
      </c>
      <c r="S17" s="9">
        <f>IFERROR(VLOOKUP(A17,заказ!A:B,2,0),0)</f>
        <v>2000</v>
      </c>
      <c r="T17" s="9">
        <v>2000</v>
      </c>
      <c r="U17" s="1" t="s">
        <v>88</v>
      </c>
      <c r="V17" s="1">
        <f t="shared" si="6"/>
        <v>21.103801169590643</v>
      </c>
      <c r="W17" s="1">
        <f t="shared" si="4"/>
        <v>6.4839181286549703</v>
      </c>
      <c r="X17" s="1">
        <v>94.2</v>
      </c>
      <c r="Y17" s="1">
        <v>76.400000000000006</v>
      </c>
      <c r="Z17" s="1">
        <v>94.6</v>
      </c>
      <c r="AA17" s="1">
        <v>112.4</v>
      </c>
      <c r="AB17" s="1">
        <v>95.2</v>
      </c>
      <c r="AC17" s="1">
        <v>89.4</v>
      </c>
      <c r="AD17" s="1">
        <v>121</v>
      </c>
      <c r="AE17" s="1">
        <v>118.2</v>
      </c>
      <c r="AF17" s="1"/>
      <c r="AG17" s="1">
        <f t="shared" si="7"/>
        <v>360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5.75" thickBot="1" x14ac:dyDescent="0.3">
      <c r="A18" s="1" t="s">
        <v>54</v>
      </c>
      <c r="B18" s="1" t="s">
        <v>35</v>
      </c>
      <c r="C18" s="1">
        <v>426</v>
      </c>
      <c r="D18" s="1"/>
      <c r="E18" s="1">
        <v>272</v>
      </c>
      <c r="F18" s="1">
        <v>35</v>
      </c>
      <c r="G18" s="7">
        <v>0.18</v>
      </c>
      <c r="H18" s="1">
        <v>120</v>
      </c>
      <c r="I18" s="1">
        <v>5038398</v>
      </c>
      <c r="J18" s="1"/>
      <c r="K18" s="1">
        <v>282</v>
      </c>
      <c r="L18" s="1">
        <f t="shared" si="2"/>
        <v>-10</v>
      </c>
      <c r="M18" s="1"/>
      <c r="N18" s="1"/>
      <c r="O18" s="1">
        <v>250</v>
      </c>
      <c r="P18" s="1">
        <f t="shared" si="3"/>
        <v>54.4</v>
      </c>
      <c r="Q18" s="9">
        <f t="shared" si="5"/>
        <v>803</v>
      </c>
      <c r="R18" s="9">
        <f t="shared" si="9"/>
        <v>803</v>
      </c>
      <c r="S18" s="9">
        <f>IFERROR(VLOOKUP(A18,заказ!A:B,2,0),0)</f>
        <v>800</v>
      </c>
      <c r="T18" s="9"/>
      <c r="U18" s="1"/>
      <c r="V18" s="1">
        <f t="shared" si="6"/>
        <v>20</v>
      </c>
      <c r="W18" s="1">
        <f t="shared" si="4"/>
        <v>5.2389705882352944</v>
      </c>
      <c r="X18" s="1">
        <v>34.200000000000003</v>
      </c>
      <c r="Y18" s="1">
        <v>26.8</v>
      </c>
      <c r="Z18" s="1">
        <v>31</v>
      </c>
      <c r="AA18" s="1">
        <v>37</v>
      </c>
      <c r="AB18" s="1">
        <v>51.8</v>
      </c>
      <c r="AC18" s="1">
        <v>58.2</v>
      </c>
      <c r="AD18" s="1">
        <v>65.400000000000006</v>
      </c>
      <c r="AE18" s="1">
        <v>48</v>
      </c>
      <c r="AF18" s="1"/>
      <c r="AG18" s="1">
        <f t="shared" si="7"/>
        <v>144.54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2" t="s">
        <v>55</v>
      </c>
      <c r="B19" s="13" t="s">
        <v>56</v>
      </c>
      <c r="C19" s="13"/>
      <c r="D19" s="13"/>
      <c r="E19" s="13"/>
      <c r="F19" s="14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148</v>
      </c>
      <c r="P19" s="1">
        <f t="shared" si="3"/>
        <v>0</v>
      </c>
      <c r="Q19" s="9"/>
      <c r="R19" s="9">
        <f t="shared" si="9"/>
        <v>0</v>
      </c>
      <c r="S19" s="9">
        <f>IFERROR(VLOOKUP(A19,заказ!A:B,2,0),0)</f>
        <v>0</v>
      </c>
      <c r="T19" s="9"/>
      <c r="U19" s="1"/>
      <c r="V19" s="1" t="e">
        <f t="shared" si="6"/>
        <v>#DIV/0!</v>
      </c>
      <c r="W19" s="1" t="e">
        <f t="shared" si="4"/>
        <v>#DIV/0!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5.75" thickBot="1" x14ac:dyDescent="0.3">
      <c r="A20" s="15" t="s">
        <v>57</v>
      </c>
      <c r="B20" s="16" t="s">
        <v>56</v>
      </c>
      <c r="C20" s="16">
        <v>32.204999999999998</v>
      </c>
      <c r="D20" s="16">
        <v>106.033</v>
      </c>
      <c r="E20" s="16">
        <v>15.95</v>
      </c>
      <c r="F20" s="17">
        <v>101.64400000000001</v>
      </c>
      <c r="G20" s="18">
        <v>0</v>
      </c>
      <c r="H20" s="19" t="e">
        <v>#N/A</v>
      </c>
      <c r="I20" s="19" t="s">
        <v>58</v>
      </c>
      <c r="J20" s="19" t="s">
        <v>55</v>
      </c>
      <c r="K20" s="19">
        <v>21.4</v>
      </c>
      <c r="L20" s="19">
        <f t="shared" si="2"/>
        <v>-5.4499999999999993</v>
      </c>
      <c r="M20" s="19"/>
      <c r="N20" s="19"/>
      <c r="O20" s="19">
        <v>0</v>
      </c>
      <c r="P20" s="19">
        <f t="shared" si="3"/>
        <v>3.19</v>
      </c>
      <c r="Q20" s="20"/>
      <c r="R20" s="9">
        <f t="shared" si="9"/>
        <v>0</v>
      </c>
      <c r="S20" s="9">
        <f>IFERROR(VLOOKUP(A20,заказ!A:B,2,0),0)</f>
        <v>0</v>
      </c>
      <c r="T20" s="20"/>
      <c r="U20" s="19"/>
      <c r="V20" s="1">
        <f t="shared" si="6"/>
        <v>31.86332288401254</v>
      </c>
      <c r="W20" s="19">
        <f t="shared" si="4"/>
        <v>31.86332288401254</v>
      </c>
      <c r="X20" s="19">
        <v>14.999000000000001</v>
      </c>
      <c r="Y20" s="19">
        <v>8.9885999999999999</v>
      </c>
      <c r="Z20" s="19">
        <v>8.9421999999999997</v>
      </c>
      <c r="AA20" s="19">
        <v>10.83</v>
      </c>
      <c r="AB20" s="19">
        <v>9.6608000000000001</v>
      </c>
      <c r="AC20" s="19">
        <v>11.423400000000001</v>
      </c>
      <c r="AD20" s="19">
        <v>14.6516</v>
      </c>
      <c r="AE20" s="19">
        <v>10.0144</v>
      </c>
      <c r="AF20" s="19"/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2" t="s">
        <v>59</v>
      </c>
      <c r="B21" s="13" t="s">
        <v>56</v>
      </c>
      <c r="C21" s="13"/>
      <c r="D21" s="13"/>
      <c r="E21" s="13"/>
      <c r="F21" s="14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50</v>
      </c>
      <c r="P21" s="1">
        <f t="shared" si="3"/>
        <v>0</v>
      </c>
      <c r="Q21" s="9">
        <f>20*(P21+P22)-O21-O22-F21-F22</f>
        <v>172.346</v>
      </c>
      <c r="R21" s="9">
        <f>T21</f>
        <v>250</v>
      </c>
      <c r="S21" s="9">
        <f>IFERROR(VLOOKUP(A21,заказ!A:B,2,0),0)</f>
        <v>248</v>
      </c>
      <c r="T21" s="9">
        <v>250</v>
      </c>
      <c r="U21" s="1" t="s">
        <v>88</v>
      </c>
      <c r="V21" s="1" t="e">
        <f t="shared" si="6"/>
        <v>#DIV/0!</v>
      </c>
      <c r="W21" s="1" t="e">
        <f t="shared" si="4"/>
        <v>#DIV/0!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>
        <f t="shared" si="7"/>
        <v>250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thickBot="1" x14ac:dyDescent="0.3">
      <c r="A22" s="15" t="s">
        <v>60</v>
      </c>
      <c r="B22" s="16" t="s">
        <v>56</v>
      </c>
      <c r="C22" s="16">
        <v>116.742</v>
      </c>
      <c r="D22" s="16">
        <v>1.37</v>
      </c>
      <c r="E22" s="16">
        <v>66.042000000000002</v>
      </c>
      <c r="F22" s="17">
        <v>41.822000000000003</v>
      </c>
      <c r="G22" s="18">
        <v>0</v>
      </c>
      <c r="H22" s="19" t="e">
        <v>#N/A</v>
      </c>
      <c r="I22" s="19" t="s">
        <v>58</v>
      </c>
      <c r="J22" s="19" t="s">
        <v>59</v>
      </c>
      <c r="K22" s="19">
        <v>57.1</v>
      </c>
      <c r="L22" s="19">
        <f t="shared" si="2"/>
        <v>8.9420000000000002</v>
      </c>
      <c r="M22" s="19"/>
      <c r="N22" s="19"/>
      <c r="O22" s="19">
        <v>0</v>
      </c>
      <c r="P22" s="19">
        <f t="shared" si="3"/>
        <v>13.208400000000001</v>
      </c>
      <c r="Q22" s="20"/>
      <c r="R22" s="9">
        <f t="shared" si="9"/>
        <v>0</v>
      </c>
      <c r="S22" s="9">
        <f>IFERROR(VLOOKUP(A22,заказ!A:B,2,0),0)</f>
        <v>0</v>
      </c>
      <c r="T22" s="20"/>
      <c r="U22" s="19"/>
      <c r="V22" s="1">
        <f t="shared" si="6"/>
        <v>3.166318403440235</v>
      </c>
      <c r="W22" s="19">
        <f t="shared" si="4"/>
        <v>3.166318403440235</v>
      </c>
      <c r="X22" s="19">
        <v>9.791599999999999</v>
      </c>
      <c r="Y22" s="19">
        <v>3.3694000000000002</v>
      </c>
      <c r="Z22" s="19">
        <v>6.1909999999999998</v>
      </c>
      <c r="AA22" s="19">
        <v>10.3796</v>
      </c>
      <c r="AB22" s="19">
        <v>4.7618</v>
      </c>
      <c r="AC22" s="19">
        <v>7.4278000000000004</v>
      </c>
      <c r="AD22" s="19">
        <v>4.8238000000000003</v>
      </c>
      <c r="AE22" s="19">
        <v>8.9802</v>
      </c>
      <c r="AF22" s="19"/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2" t="s">
        <v>61</v>
      </c>
      <c r="B23" s="13" t="s">
        <v>56</v>
      </c>
      <c r="C23" s="13"/>
      <c r="D23" s="13"/>
      <c r="E23" s="13"/>
      <c r="F23" s="14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148</v>
      </c>
      <c r="P23" s="1">
        <f t="shared" si="3"/>
        <v>0</v>
      </c>
      <c r="Q23" s="9">
        <f>20*(P23+P24)-O23-O24-F23-F24</f>
        <v>267.93499999999995</v>
      </c>
      <c r="R23" s="9">
        <f>T23</f>
        <v>300</v>
      </c>
      <c r="S23" s="9">
        <f>IFERROR(VLOOKUP(A23,заказ!A:B,2,0),0)</f>
        <v>297</v>
      </c>
      <c r="T23" s="9">
        <v>300</v>
      </c>
      <c r="U23" s="1" t="s">
        <v>88</v>
      </c>
      <c r="V23" s="1" t="e">
        <f t="shared" si="6"/>
        <v>#DIV/0!</v>
      </c>
      <c r="W23" s="1" t="e">
        <f t="shared" si="4"/>
        <v>#DIV/0!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>
        <f t="shared" si="7"/>
        <v>300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thickBot="1" x14ac:dyDescent="0.3">
      <c r="A24" s="15" t="s">
        <v>62</v>
      </c>
      <c r="B24" s="16" t="s">
        <v>56</v>
      </c>
      <c r="C24" s="16">
        <v>207.08799999999999</v>
      </c>
      <c r="D24" s="16">
        <v>149.93700000000001</v>
      </c>
      <c r="E24" s="16">
        <v>150.65199999999999</v>
      </c>
      <c r="F24" s="17">
        <v>186.673</v>
      </c>
      <c r="G24" s="18">
        <v>0</v>
      </c>
      <c r="H24" s="19" t="e">
        <v>#N/A</v>
      </c>
      <c r="I24" s="19" t="s">
        <v>58</v>
      </c>
      <c r="J24" s="19" t="s">
        <v>61</v>
      </c>
      <c r="K24" s="19">
        <v>140.4</v>
      </c>
      <c r="L24" s="19">
        <f t="shared" si="2"/>
        <v>10.251999999999981</v>
      </c>
      <c r="M24" s="19"/>
      <c r="N24" s="19"/>
      <c r="O24" s="19">
        <v>0</v>
      </c>
      <c r="P24" s="19">
        <f t="shared" si="3"/>
        <v>30.130399999999998</v>
      </c>
      <c r="Q24" s="20"/>
      <c r="R24" s="9">
        <f t="shared" si="9"/>
        <v>0</v>
      </c>
      <c r="S24" s="9">
        <f>IFERROR(VLOOKUP(A24,заказ!A:B,2,0),0)</f>
        <v>0</v>
      </c>
      <c r="T24" s="20"/>
      <c r="U24" s="19"/>
      <c r="V24" s="1">
        <f t="shared" si="6"/>
        <v>6.195503544592837</v>
      </c>
      <c r="W24" s="19">
        <f t="shared" si="4"/>
        <v>6.195503544592837</v>
      </c>
      <c r="X24" s="19">
        <v>27.1464</v>
      </c>
      <c r="Y24" s="19">
        <v>24.015599999999999</v>
      </c>
      <c r="Z24" s="19">
        <v>22.155000000000001</v>
      </c>
      <c r="AA24" s="19">
        <v>21.588200000000001</v>
      </c>
      <c r="AB24" s="19">
        <v>28.439599999999999</v>
      </c>
      <c r="AC24" s="19">
        <v>17.607399999999998</v>
      </c>
      <c r="AD24" s="19">
        <v>28.289200000000001</v>
      </c>
      <c r="AE24" s="19">
        <v>19.231000000000002</v>
      </c>
      <c r="AF24" s="19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21" t="s">
        <v>63</v>
      </c>
      <c r="B25" s="21" t="s">
        <v>35</v>
      </c>
      <c r="C25" s="21"/>
      <c r="D25" s="21"/>
      <c r="E25" s="21">
        <v>-1</v>
      </c>
      <c r="F25" s="21"/>
      <c r="G25" s="22">
        <v>0</v>
      </c>
      <c r="H25" s="21">
        <v>60</v>
      </c>
      <c r="I25" s="21">
        <v>8444170</v>
      </c>
      <c r="J25" s="21"/>
      <c r="K25" s="21"/>
      <c r="L25" s="21">
        <f t="shared" si="2"/>
        <v>-1</v>
      </c>
      <c r="M25" s="21"/>
      <c r="N25" s="21"/>
      <c r="O25" s="21">
        <v>0</v>
      </c>
      <c r="P25" s="21">
        <f t="shared" si="3"/>
        <v>-0.2</v>
      </c>
      <c r="Q25" s="23"/>
      <c r="R25" s="9">
        <f t="shared" si="9"/>
        <v>0</v>
      </c>
      <c r="S25" s="9">
        <f>IFERROR(VLOOKUP(A25,заказ!A:B,2,0),0)</f>
        <v>0</v>
      </c>
      <c r="T25" s="23"/>
      <c r="U25" s="21"/>
      <c r="V25" s="1">
        <f t="shared" si="6"/>
        <v>0</v>
      </c>
      <c r="W25" s="21">
        <f t="shared" si="4"/>
        <v>0</v>
      </c>
      <c r="X25" s="21">
        <v>0</v>
      </c>
      <c r="Y25" s="21">
        <v>-0.2</v>
      </c>
      <c r="Z25" s="21">
        <v>-0.2</v>
      </c>
      <c r="AA25" s="21">
        <v>0</v>
      </c>
      <c r="AB25" s="21">
        <v>-0.2</v>
      </c>
      <c r="AC25" s="21">
        <v>0</v>
      </c>
      <c r="AD25" s="21">
        <v>0</v>
      </c>
      <c r="AE25" s="21">
        <v>-0.4</v>
      </c>
      <c r="AF25" s="21" t="s">
        <v>64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65</v>
      </c>
      <c r="B26" s="1" t="s">
        <v>35</v>
      </c>
      <c r="C26" s="1">
        <v>110</v>
      </c>
      <c r="D26" s="1"/>
      <c r="E26" s="1">
        <v>37</v>
      </c>
      <c r="F26" s="1">
        <v>65</v>
      </c>
      <c r="G26" s="7">
        <v>0.14000000000000001</v>
      </c>
      <c r="H26" s="1">
        <v>180</v>
      </c>
      <c r="I26" s="1">
        <v>9988391</v>
      </c>
      <c r="J26" s="1"/>
      <c r="K26" s="1">
        <v>46</v>
      </c>
      <c r="L26" s="1">
        <f t="shared" si="2"/>
        <v>-9</v>
      </c>
      <c r="M26" s="1"/>
      <c r="N26" s="1"/>
      <c r="O26" s="1">
        <v>16</v>
      </c>
      <c r="P26" s="1">
        <f t="shared" si="3"/>
        <v>7.4</v>
      </c>
      <c r="Q26" s="9">
        <f t="shared" ref="Q26:Q28" si="10">20*P26-O26-F26</f>
        <v>67</v>
      </c>
      <c r="R26" s="9">
        <f>T26</f>
        <v>150</v>
      </c>
      <c r="S26" s="9">
        <f>IFERROR(VLOOKUP(A26,заказ!A:B,2,0),0)</f>
        <v>144</v>
      </c>
      <c r="T26" s="9">
        <v>150</v>
      </c>
      <c r="U26" s="1" t="s">
        <v>88</v>
      </c>
      <c r="V26" s="1">
        <f t="shared" si="6"/>
        <v>31.216216216216214</v>
      </c>
      <c r="W26" s="1">
        <f t="shared" si="4"/>
        <v>10.945945945945946</v>
      </c>
      <c r="X26" s="1">
        <v>5.8</v>
      </c>
      <c r="Y26" s="1">
        <v>8</v>
      </c>
      <c r="Z26" s="1">
        <v>4</v>
      </c>
      <c r="AA26" s="1">
        <v>4.5999999999999996</v>
      </c>
      <c r="AB26" s="1">
        <v>5.6</v>
      </c>
      <c r="AC26" s="1">
        <v>6.8</v>
      </c>
      <c r="AD26" s="1">
        <v>7.2</v>
      </c>
      <c r="AE26" s="1">
        <v>9</v>
      </c>
      <c r="AF26" s="1"/>
      <c r="AG26" s="1">
        <f t="shared" si="7"/>
        <v>21.000000000000004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35</v>
      </c>
      <c r="C27" s="1">
        <v>334</v>
      </c>
      <c r="D27" s="1"/>
      <c r="E27" s="1">
        <v>147</v>
      </c>
      <c r="F27" s="1">
        <v>149</v>
      </c>
      <c r="G27" s="7">
        <v>0.18</v>
      </c>
      <c r="H27" s="1">
        <v>270</v>
      </c>
      <c r="I27" s="1">
        <v>9988681</v>
      </c>
      <c r="J27" s="1"/>
      <c r="K27" s="1">
        <v>147</v>
      </c>
      <c r="L27" s="1">
        <f t="shared" si="2"/>
        <v>0</v>
      </c>
      <c r="M27" s="1"/>
      <c r="N27" s="1"/>
      <c r="O27" s="1">
        <v>448</v>
      </c>
      <c r="P27" s="1">
        <f t="shared" si="3"/>
        <v>29.4</v>
      </c>
      <c r="Q27" s="9"/>
      <c r="R27" s="9">
        <f t="shared" si="9"/>
        <v>0</v>
      </c>
      <c r="S27" s="9">
        <f>IFERROR(VLOOKUP(A27,заказ!A:B,2,0),0)</f>
        <v>0</v>
      </c>
      <c r="T27" s="9"/>
      <c r="U27" s="1"/>
      <c r="V27" s="1">
        <f t="shared" si="6"/>
        <v>20.306122448979593</v>
      </c>
      <c r="W27" s="1">
        <f t="shared" si="4"/>
        <v>20.306122448979593</v>
      </c>
      <c r="X27" s="1">
        <v>34.6</v>
      </c>
      <c r="Y27" s="1">
        <v>24.2</v>
      </c>
      <c r="Z27" s="1">
        <v>28.2</v>
      </c>
      <c r="AA27" s="1">
        <v>26.4</v>
      </c>
      <c r="AB27" s="1">
        <v>35.200000000000003</v>
      </c>
      <c r="AC27" s="1">
        <v>22.4</v>
      </c>
      <c r="AD27" s="1">
        <v>46</v>
      </c>
      <c r="AE27" s="1">
        <v>43.2</v>
      </c>
      <c r="AF27" s="1"/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56</v>
      </c>
      <c r="C28" s="1">
        <v>399.50299999999999</v>
      </c>
      <c r="D28" s="1"/>
      <c r="E28" s="1">
        <v>181.84700000000001</v>
      </c>
      <c r="F28" s="1">
        <v>172.047</v>
      </c>
      <c r="G28" s="7">
        <v>1</v>
      </c>
      <c r="H28" s="1">
        <v>120</v>
      </c>
      <c r="I28" s="1">
        <v>8785198</v>
      </c>
      <c r="J28" s="1"/>
      <c r="K28" s="1">
        <v>161.9</v>
      </c>
      <c r="L28" s="1">
        <f t="shared" si="2"/>
        <v>19.947000000000003</v>
      </c>
      <c r="M28" s="1"/>
      <c r="N28" s="1"/>
      <c r="O28" s="1">
        <v>297</v>
      </c>
      <c r="P28" s="1">
        <f t="shared" si="3"/>
        <v>36.369399999999999</v>
      </c>
      <c r="Q28" s="9">
        <f t="shared" si="10"/>
        <v>258.34099999999989</v>
      </c>
      <c r="R28" s="9">
        <f>T28</f>
        <v>300</v>
      </c>
      <c r="S28" s="9">
        <f>IFERROR(VLOOKUP(A28,заказ!A:B,2,0),0)</f>
        <v>297</v>
      </c>
      <c r="T28" s="9">
        <v>300</v>
      </c>
      <c r="U28" s="1" t="s">
        <v>88</v>
      </c>
      <c r="V28" s="1">
        <f t="shared" si="6"/>
        <v>21.145440947609806</v>
      </c>
      <c r="W28" s="1">
        <f t="shared" si="4"/>
        <v>12.896748365384088</v>
      </c>
      <c r="X28" s="1">
        <v>34.729399999999998</v>
      </c>
      <c r="Y28" s="1">
        <v>25.0214</v>
      </c>
      <c r="Z28" s="1">
        <v>33.119600000000013</v>
      </c>
      <c r="AA28" s="1">
        <v>32.2744</v>
      </c>
      <c r="AB28" s="1">
        <v>28.939599999999999</v>
      </c>
      <c r="AC28" s="1">
        <v>23.622800000000002</v>
      </c>
      <c r="AD28" s="1">
        <v>21.1998</v>
      </c>
      <c r="AE28" s="1">
        <v>29.945399999999999</v>
      </c>
      <c r="AF28" s="1"/>
      <c r="AG28" s="1">
        <f t="shared" si="7"/>
        <v>300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35</v>
      </c>
      <c r="C29" s="1">
        <v>168</v>
      </c>
      <c r="D29" s="1">
        <v>12</v>
      </c>
      <c r="E29" s="1">
        <v>65</v>
      </c>
      <c r="F29" s="1">
        <v>91</v>
      </c>
      <c r="G29" s="7">
        <v>0.1</v>
      </c>
      <c r="H29" s="1">
        <v>60</v>
      </c>
      <c r="I29" s="1">
        <v>8444187</v>
      </c>
      <c r="J29" s="1"/>
      <c r="K29" s="1">
        <v>66</v>
      </c>
      <c r="L29" s="1">
        <f t="shared" si="2"/>
        <v>-1</v>
      </c>
      <c r="M29" s="1"/>
      <c r="N29" s="1"/>
      <c r="O29" s="1">
        <v>0</v>
      </c>
      <c r="P29" s="1">
        <f t="shared" si="3"/>
        <v>13</v>
      </c>
      <c r="Q29" s="9">
        <f>16*P29-O29-F29</f>
        <v>117</v>
      </c>
      <c r="R29" s="9">
        <f t="shared" si="9"/>
        <v>117</v>
      </c>
      <c r="S29" s="9">
        <f>IFERROR(VLOOKUP(A29,заказ!A:B,2,0),0)</f>
        <v>120</v>
      </c>
      <c r="T29" s="9"/>
      <c r="U29" s="1"/>
      <c r="V29" s="1">
        <f t="shared" si="6"/>
        <v>16</v>
      </c>
      <c r="W29" s="1">
        <f t="shared" si="4"/>
        <v>7</v>
      </c>
      <c r="X29" s="1">
        <v>7.2</v>
      </c>
      <c r="Y29" s="1">
        <v>13.8</v>
      </c>
      <c r="Z29" s="1">
        <v>17.399999999999999</v>
      </c>
      <c r="AA29" s="1">
        <v>7.2</v>
      </c>
      <c r="AB29" s="1">
        <v>10.199999999999999</v>
      </c>
      <c r="AC29" s="1">
        <v>6</v>
      </c>
      <c r="AD29" s="1">
        <v>15</v>
      </c>
      <c r="AE29" s="1">
        <v>8</v>
      </c>
      <c r="AF29" s="1"/>
      <c r="AG29" s="1">
        <f t="shared" si="7"/>
        <v>11.700000000000001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35</v>
      </c>
      <c r="C30" s="1">
        <v>35</v>
      </c>
      <c r="D30" s="1">
        <v>150</v>
      </c>
      <c r="E30" s="1">
        <v>12</v>
      </c>
      <c r="F30" s="1">
        <v>150</v>
      </c>
      <c r="G30" s="7">
        <v>0.1</v>
      </c>
      <c r="H30" s="1">
        <v>90</v>
      </c>
      <c r="I30" s="1">
        <v>8444194</v>
      </c>
      <c r="J30" s="1"/>
      <c r="K30" s="1">
        <v>24</v>
      </c>
      <c r="L30" s="1">
        <f t="shared" si="2"/>
        <v>-12</v>
      </c>
      <c r="M30" s="1"/>
      <c r="N30" s="1"/>
      <c r="O30" s="1">
        <v>0</v>
      </c>
      <c r="P30" s="1">
        <f t="shared" si="3"/>
        <v>2.4</v>
      </c>
      <c r="Q30" s="9"/>
      <c r="R30" s="9">
        <f t="shared" si="9"/>
        <v>0</v>
      </c>
      <c r="S30" s="9">
        <f>IFERROR(VLOOKUP(A30,заказ!A:B,2,0),0)</f>
        <v>0</v>
      </c>
      <c r="T30" s="9"/>
      <c r="U30" s="1"/>
      <c r="V30" s="1">
        <f t="shared" si="6"/>
        <v>62.5</v>
      </c>
      <c r="W30" s="1">
        <f t="shared" si="4"/>
        <v>62.5</v>
      </c>
      <c r="X30" s="1">
        <v>9.1999999999999993</v>
      </c>
      <c r="Y30" s="1">
        <v>19</v>
      </c>
      <c r="Z30" s="1">
        <v>4.4000000000000004</v>
      </c>
      <c r="AA30" s="1">
        <v>4</v>
      </c>
      <c r="AB30" s="1">
        <v>16.600000000000001</v>
      </c>
      <c r="AC30" s="1">
        <v>7</v>
      </c>
      <c r="AD30" s="1">
        <v>8.6</v>
      </c>
      <c r="AE30" s="1">
        <v>7</v>
      </c>
      <c r="AF30" s="1"/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21" t="s">
        <v>70</v>
      </c>
      <c r="B31" s="21" t="s">
        <v>56</v>
      </c>
      <c r="C31" s="21"/>
      <c r="D31" s="21"/>
      <c r="E31" s="21"/>
      <c r="F31" s="21"/>
      <c r="G31" s="22">
        <v>0</v>
      </c>
      <c r="H31" s="21">
        <v>150</v>
      </c>
      <c r="I31" s="21">
        <v>8786928</v>
      </c>
      <c r="J31" s="21"/>
      <c r="K31" s="21"/>
      <c r="L31" s="21">
        <f t="shared" si="2"/>
        <v>0</v>
      </c>
      <c r="M31" s="21"/>
      <c r="N31" s="21"/>
      <c r="O31" s="21">
        <v>0</v>
      </c>
      <c r="P31" s="21">
        <f t="shared" si="3"/>
        <v>0</v>
      </c>
      <c r="Q31" s="23"/>
      <c r="R31" s="9">
        <f t="shared" si="9"/>
        <v>0</v>
      </c>
      <c r="S31" s="9">
        <f>IFERROR(VLOOKUP(A31,заказ!A:B,2,0),0)</f>
        <v>0</v>
      </c>
      <c r="T31" s="23"/>
      <c r="U31" s="21"/>
      <c r="V31" s="1" t="e">
        <f t="shared" si="6"/>
        <v>#DIV/0!</v>
      </c>
      <c r="W31" s="21" t="e">
        <f t="shared" si="4"/>
        <v>#DIV/0!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 t="s">
        <v>71</v>
      </c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thickBot="1" x14ac:dyDescent="0.3">
      <c r="A32" s="1" t="s">
        <v>72</v>
      </c>
      <c r="B32" s="1" t="s">
        <v>35</v>
      </c>
      <c r="C32" s="1">
        <v>96</v>
      </c>
      <c r="D32" s="1">
        <v>192</v>
      </c>
      <c r="E32" s="1">
        <v>42</v>
      </c>
      <c r="F32" s="1">
        <v>246</v>
      </c>
      <c r="G32" s="7">
        <v>0.14000000000000001</v>
      </c>
      <c r="H32" s="1">
        <v>180</v>
      </c>
      <c r="I32" s="1">
        <v>9988377</v>
      </c>
      <c r="J32" s="1"/>
      <c r="K32" s="1">
        <v>42</v>
      </c>
      <c r="L32" s="1">
        <f t="shared" si="2"/>
        <v>0</v>
      </c>
      <c r="M32" s="1"/>
      <c r="N32" s="1"/>
      <c r="O32" s="1">
        <v>96</v>
      </c>
      <c r="P32" s="1">
        <f t="shared" si="3"/>
        <v>8.4</v>
      </c>
      <c r="Q32" s="9"/>
      <c r="R32" s="9">
        <f t="shared" si="9"/>
        <v>0</v>
      </c>
      <c r="S32" s="9">
        <f>IFERROR(VLOOKUP(A32,заказ!A:B,2,0),0)</f>
        <v>0</v>
      </c>
      <c r="T32" s="9"/>
      <c r="U32" s="1"/>
      <c r="V32" s="1">
        <f t="shared" si="6"/>
        <v>40.714285714285715</v>
      </c>
      <c r="W32" s="1">
        <f t="shared" si="4"/>
        <v>40.714285714285715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24" t="s">
        <v>87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2" t="s">
        <v>73</v>
      </c>
      <c r="B33" s="13" t="s">
        <v>35</v>
      </c>
      <c r="C33" s="13"/>
      <c r="D33" s="13"/>
      <c r="E33" s="13"/>
      <c r="F33" s="14"/>
      <c r="G33" s="7">
        <v>0.2</v>
      </c>
      <c r="H33" s="1">
        <v>120</v>
      </c>
      <c r="I33" s="1" t="s">
        <v>74</v>
      </c>
      <c r="J33" s="1"/>
      <c r="K33" s="1"/>
      <c r="L33" s="1">
        <f t="shared" si="2"/>
        <v>0</v>
      </c>
      <c r="M33" s="1"/>
      <c r="N33" s="1"/>
      <c r="O33" s="1">
        <v>400</v>
      </c>
      <c r="P33" s="1">
        <f t="shared" si="3"/>
        <v>0</v>
      </c>
      <c r="Q33" s="9">
        <f>20*(P33+P34)-O33-O34-F33-F34</f>
        <v>494</v>
      </c>
      <c r="R33" s="9">
        <f t="shared" si="9"/>
        <v>494</v>
      </c>
      <c r="S33" s="9">
        <f>IFERROR(VLOOKUP(A33,заказ!A:B,2,0),0)</f>
        <v>490</v>
      </c>
      <c r="T33" s="9"/>
      <c r="U33" s="1"/>
      <c r="V33" s="1" t="e">
        <f t="shared" si="6"/>
        <v>#DIV/0!</v>
      </c>
      <c r="W33" s="1" t="e">
        <f t="shared" si="4"/>
        <v>#DIV/0!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 t="s">
        <v>75</v>
      </c>
      <c r="AG33" s="1">
        <f t="shared" si="7"/>
        <v>98.800000000000011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thickBot="1" x14ac:dyDescent="0.3">
      <c r="A34" s="15" t="s">
        <v>76</v>
      </c>
      <c r="B34" s="16" t="s">
        <v>35</v>
      </c>
      <c r="C34" s="16">
        <v>260</v>
      </c>
      <c r="D34" s="16">
        <v>100</v>
      </c>
      <c r="E34" s="16">
        <v>244</v>
      </c>
      <c r="F34" s="17">
        <v>82</v>
      </c>
      <c r="G34" s="18">
        <v>0</v>
      </c>
      <c r="H34" s="19" t="e">
        <v>#N/A</v>
      </c>
      <c r="I34" s="19" t="s">
        <v>58</v>
      </c>
      <c r="J34" s="19" t="s">
        <v>73</v>
      </c>
      <c r="K34" s="19">
        <v>244</v>
      </c>
      <c r="L34" s="19">
        <f t="shared" si="2"/>
        <v>0</v>
      </c>
      <c r="M34" s="19"/>
      <c r="N34" s="19"/>
      <c r="O34" s="19">
        <v>0</v>
      </c>
      <c r="P34" s="19">
        <f t="shared" si="3"/>
        <v>48.8</v>
      </c>
      <c r="Q34" s="20"/>
      <c r="R34" s="9">
        <f t="shared" si="9"/>
        <v>0</v>
      </c>
      <c r="S34" s="9">
        <f>IFERROR(VLOOKUP(A34,заказ!A:B,2,0),0)</f>
        <v>0</v>
      </c>
      <c r="T34" s="20"/>
      <c r="U34" s="19"/>
      <c r="V34" s="1">
        <f t="shared" si="6"/>
        <v>1.6803278688524592</v>
      </c>
      <c r="W34" s="19">
        <f t="shared" si="4"/>
        <v>1.6803278688524592</v>
      </c>
      <c r="X34" s="19">
        <v>37.799999999999997</v>
      </c>
      <c r="Y34" s="19">
        <v>32</v>
      </c>
      <c r="Z34" s="19">
        <v>35.200000000000003</v>
      </c>
      <c r="AA34" s="19">
        <v>39.4</v>
      </c>
      <c r="AB34" s="19">
        <v>37.200000000000003</v>
      </c>
      <c r="AC34" s="19">
        <v>42.8</v>
      </c>
      <c r="AD34" s="19">
        <v>28.4</v>
      </c>
      <c r="AE34" s="19">
        <v>30.8</v>
      </c>
      <c r="AF34" s="19"/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thickBot="1" x14ac:dyDescent="0.3">
      <c r="A35" s="1" t="s">
        <v>77</v>
      </c>
      <c r="B35" s="1" t="s">
        <v>56</v>
      </c>
      <c r="C35" s="1">
        <v>315.26100000000002</v>
      </c>
      <c r="D35" s="1">
        <v>0.10199999999999999</v>
      </c>
      <c r="E35" s="1">
        <v>116.053</v>
      </c>
      <c r="F35" s="1">
        <v>193.04599999999999</v>
      </c>
      <c r="G35" s="7">
        <v>1</v>
      </c>
      <c r="H35" s="1">
        <v>120</v>
      </c>
      <c r="I35" s="1" t="s">
        <v>78</v>
      </c>
      <c r="J35" s="1"/>
      <c r="K35" s="1">
        <v>119.464</v>
      </c>
      <c r="L35" s="1">
        <f t="shared" si="2"/>
        <v>-3.4110000000000014</v>
      </c>
      <c r="M35" s="1"/>
      <c r="N35" s="1"/>
      <c r="O35" s="1">
        <v>0</v>
      </c>
      <c r="P35" s="1">
        <f t="shared" si="3"/>
        <v>23.210599999999999</v>
      </c>
      <c r="Q35" s="9">
        <f>20*P35-O35-F35</f>
        <v>271.166</v>
      </c>
      <c r="R35" s="9">
        <f t="shared" ref="R35:R36" si="11">T35</f>
        <v>350</v>
      </c>
      <c r="S35" s="9">
        <f>IFERROR(VLOOKUP(A35,заказ!A:B,2,0),0)</f>
        <v>345</v>
      </c>
      <c r="T35" s="9">
        <v>350</v>
      </c>
      <c r="U35" s="1" t="s">
        <v>88</v>
      </c>
      <c r="V35" s="1">
        <f t="shared" si="6"/>
        <v>23.396465408046325</v>
      </c>
      <c r="W35" s="1">
        <f t="shared" si="4"/>
        <v>8.3171481995295249</v>
      </c>
      <c r="X35" s="1">
        <v>10.447800000000001</v>
      </c>
      <c r="Y35" s="1">
        <v>9.5518000000000001</v>
      </c>
      <c r="Z35" s="1">
        <v>7.8756000000000004</v>
      </c>
      <c r="AA35" s="1">
        <v>20.768000000000001</v>
      </c>
      <c r="AB35" s="1">
        <v>20.1858</v>
      </c>
      <c r="AC35" s="1">
        <v>16.988199999999999</v>
      </c>
      <c r="AD35" s="1">
        <v>9.0053999999999998</v>
      </c>
      <c r="AE35" s="1">
        <v>31.803999999999998</v>
      </c>
      <c r="AF35" s="1"/>
      <c r="AG35" s="1">
        <f t="shared" si="7"/>
        <v>350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2" t="s">
        <v>79</v>
      </c>
      <c r="B36" s="13" t="s">
        <v>35</v>
      </c>
      <c r="C36" s="13"/>
      <c r="D36" s="13"/>
      <c r="E36" s="13"/>
      <c r="F36" s="14"/>
      <c r="G36" s="7">
        <v>0.2</v>
      </c>
      <c r="H36" s="1">
        <v>120</v>
      </c>
      <c r="I36" s="1" t="s">
        <v>80</v>
      </c>
      <c r="J36" s="1"/>
      <c r="K36" s="1"/>
      <c r="L36" s="1">
        <f t="shared" si="2"/>
        <v>0</v>
      </c>
      <c r="M36" s="1"/>
      <c r="N36" s="1"/>
      <c r="O36" s="1">
        <v>100</v>
      </c>
      <c r="P36" s="1">
        <f t="shared" si="3"/>
        <v>0</v>
      </c>
      <c r="Q36" s="9">
        <f>20*(P36+P37)-O36-O37-F36-F37</f>
        <v>421</v>
      </c>
      <c r="R36" s="9">
        <f t="shared" si="11"/>
        <v>500</v>
      </c>
      <c r="S36" s="9">
        <f>IFERROR(VLOOKUP(A36,заказ!A:B,2,0),0)</f>
        <v>500</v>
      </c>
      <c r="T36" s="9">
        <v>500</v>
      </c>
      <c r="U36" s="1" t="s">
        <v>88</v>
      </c>
      <c r="V36" s="1" t="e">
        <f t="shared" si="6"/>
        <v>#DIV/0!</v>
      </c>
      <c r="W36" s="1" t="e">
        <f t="shared" si="4"/>
        <v>#DIV/0!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/>
      <c r="AG36" s="1">
        <f t="shared" si="7"/>
        <v>100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thickBot="1" x14ac:dyDescent="0.3">
      <c r="A37" s="15" t="s">
        <v>81</v>
      </c>
      <c r="B37" s="16" t="s">
        <v>35</v>
      </c>
      <c r="C37" s="16">
        <v>262</v>
      </c>
      <c r="D37" s="16">
        <v>150</v>
      </c>
      <c r="E37" s="16">
        <v>181</v>
      </c>
      <c r="F37" s="17">
        <v>203</v>
      </c>
      <c r="G37" s="18">
        <v>0</v>
      </c>
      <c r="H37" s="19" t="e">
        <v>#N/A</v>
      </c>
      <c r="I37" s="19" t="s">
        <v>58</v>
      </c>
      <c r="J37" s="19" t="s">
        <v>79</v>
      </c>
      <c r="K37" s="19">
        <v>199</v>
      </c>
      <c r="L37" s="19">
        <f t="shared" si="2"/>
        <v>-18</v>
      </c>
      <c r="M37" s="19"/>
      <c r="N37" s="19"/>
      <c r="O37" s="19">
        <v>0</v>
      </c>
      <c r="P37" s="19">
        <f t="shared" si="3"/>
        <v>36.200000000000003</v>
      </c>
      <c r="Q37" s="20"/>
      <c r="R37" s="9">
        <f t="shared" si="9"/>
        <v>0</v>
      </c>
      <c r="S37" s="9">
        <f>IFERROR(VLOOKUP(A37,заказ!A:B,2,0),0)</f>
        <v>0</v>
      </c>
      <c r="T37" s="20"/>
      <c r="U37" s="19"/>
      <c r="V37" s="1">
        <f t="shared" si="6"/>
        <v>5.6077348066298338</v>
      </c>
      <c r="W37" s="19">
        <f t="shared" si="4"/>
        <v>5.6077348066298338</v>
      </c>
      <c r="X37" s="19">
        <v>25.2</v>
      </c>
      <c r="Y37" s="19">
        <v>25.4</v>
      </c>
      <c r="Z37" s="19">
        <v>19.399999999999999</v>
      </c>
      <c r="AA37" s="19">
        <v>31</v>
      </c>
      <c r="AB37" s="19">
        <v>28.4</v>
      </c>
      <c r="AC37" s="19">
        <v>37</v>
      </c>
      <c r="AD37" s="19">
        <v>25</v>
      </c>
      <c r="AE37" s="19">
        <v>31.6</v>
      </c>
      <c r="AF37" s="19"/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82</v>
      </c>
      <c r="B38" s="1" t="s">
        <v>56</v>
      </c>
      <c r="C38" s="1">
        <v>436.96899999999999</v>
      </c>
      <c r="D38" s="1"/>
      <c r="E38" s="1">
        <v>341.279</v>
      </c>
      <c r="F38" s="1">
        <v>25.54</v>
      </c>
      <c r="G38" s="7">
        <v>1</v>
      </c>
      <c r="H38" s="1">
        <v>120</v>
      </c>
      <c r="I38" s="1" t="s">
        <v>83</v>
      </c>
      <c r="J38" s="1"/>
      <c r="K38" s="1">
        <v>347.4</v>
      </c>
      <c r="L38" s="1">
        <f t="shared" si="2"/>
        <v>-6.1209999999999809</v>
      </c>
      <c r="M38" s="1"/>
      <c r="N38" s="1"/>
      <c r="O38" s="1">
        <v>705</v>
      </c>
      <c r="P38" s="1">
        <f t="shared" si="3"/>
        <v>68.255799999999994</v>
      </c>
      <c r="Q38" s="9">
        <f>20*P38-O38-F38</f>
        <v>634.57600000000002</v>
      </c>
      <c r="R38" s="9">
        <f>T38</f>
        <v>700</v>
      </c>
      <c r="S38" s="9">
        <f>IFERROR(VLOOKUP(A38,заказ!A:B,2,0),0)</f>
        <v>705</v>
      </c>
      <c r="T38" s="9">
        <v>700</v>
      </c>
      <c r="U38" s="1" t="s">
        <v>88</v>
      </c>
      <c r="V38" s="1">
        <f t="shared" si="6"/>
        <v>20.958511950632769</v>
      </c>
      <c r="W38" s="1">
        <f t="shared" si="4"/>
        <v>10.702973227183625</v>
      </c>
      <c r="X38" s="1">
        <v>62.150599999999997</v>
      </c>
      <c r="Y38" s="1">
        <v>58.933199999999999</v>
      </c>
      <c r="Z38" s="1">
        <v>50.286999999999999</v>
      </c>
      <c r="AA38" s="1">
        <v>61.196800000000003</v>
      </c>
      <c r="AB38" s="1">
        <v>49.648400000000002</v>
      </c>
      <c r="AC38" s="1">
        <v>67.227000000000004</v>
      </c>
      <c r="AD38" s="1">
        <v>70.315599999999989</v>
      </c>
      <c r="AE38" s="1">
        <v>50.261600000000001</v>
      </c>
      <c r="AF38" s="1" t="s">
        <v>84</v>
      </c>
      <c r="AG38" s="1">
        <f t="shared" si="7"/>
        <v>700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0"/>
      <c r="B39" s="10"/>
      <c r="C39" s="10"/>
      <c r="D39" s="10"/>
      <c r="E39" s="10"/>
      <c r="F39" s="10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41</v>
      </c>
      <c r="B40" s="1" t="s">
        <v>35</v>
      </c>
      <c r="C40" s="1">
        <v>1280</v>
      </c>
      <c r="D40" s="1">
        <v>2000</v>
      </c>
      <c r="E40" s="1">
        <v>570</v>
      </c>
      <c r="F40" s="1">
        <v>1554</v>
      </c>
      <c r="G40" s="7">
        <v>0.18</v>
      </c>
      <c r="H40" s="1">
        <v>120</v>
      </c>
      <c r="I40" s="1"/>
      <c r="J40" s="1"/>
      <c r="K40" s="1">
        <v>565</v>
      </c>
      <c r="L40" s="1">
        <f>E40-K40</f>
        <v>5</v>
      </c>
      <c r="M40" s="1"/>
      <c r="N40" s="1"/>
      <c r="O40" s="1">
        <v>500</v>
      </c>
      <c r="P40" s="1">
        <f>E40/5</f>
        <v>114</v>
      </c>
      <c r="Q40" s="9">
        <f t="shared" ref="Q40:Q43" si="12">20*P40-O40-F40</f>
        <v>226</v>
      </c>
      <c r="R40" s="9">
        <f t="shared" ref="R40:R41" si="13">T40</f>
        <v>400</v>
      </c>
      <c r="S40" s="9">
        <f>R40</f>
        <v>400</v>
      </c>
      <c r="T40" s="9">
        <v>400</v>
      </c>
      <c r="U40" s="1" t="s">
        <v>88</v>
      </c>
      <c r="V40" s="1">
        <f t="shared" si="6"/>
        <v>21.526315789473685</v>
      </c>
      <c r="W40" s="1">
        <f>(F40+O40)/P40</f>
        <v>18.017543859649123</v>
      </c>
      <c r="X40" s="1">
        <v>129.19999999999999</v>
      </c>
      <c r="Y40" s="1">
        <v>139.80000000000001</v>
      </c>
      <c r="Z40" s="1">
        <v>135</v>
      </c>
      <c r="AA40" s="1">
        <v>109.2</v>
      </c>
      <c r="AB40" s="1">
        <v>110.4</v>
      </c>
      <c r="AC40" s="1">
        <v>85.4</v>
      </c>
      <c r="AD40" s="1">
        <v>115.6</v>
      </c>
      <c r="AE40" s="1">
        <v>115.8</v>
      </c>
      <c r="AF40" s="1"/>
      <c r="AG40" s="1">
        <f t="shared" si="7"/>
        <v>72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42</v>
      </c>
      <c r="B41" s="1" t="s">
        <v>35</v>
      </c>
      <c r="C41" s="1">
        <v>1114</v>
      </c>
      <c r="D41" s="1">
        <v>1025</v>
      </c>
      <c r="E41" s="1">
        <v>741</v>
      </c>
      <c r="F41" s="1">
        <v>719</v>
      </c>
      <c r="G41" s="7">
        <v>0.18</v>
      </c>
      <c r="H41" s="1">
        <v>120</v>
      </c>
      <c r="I41" s="1"/>
      <c r="J41" s="1"/>
      <c r="K41" s="1">
        <v>766</v>
      </c>
      <c r="L41" s="1">
        <f>E41-K41</f>
        <v>-25</v>
      </c>
      <c r="M41" s="1"/>
      <c r="N41" s="1"/>
      <c r="O41" s="1">
        <v>1000</v>
      </c>
      <c r="P41" s="1">
        <f>E41/5</f>
        <v>148.19999999999999</v>
      </c>
      <c r="Q41" s="9">
        <f t="shared" si="12"/>
        <v>1245</v>
      </c>
      <c r="R41" s="9">
        <f t="shared" si="13"/>
        <v>2000</v>
      </c>
      <c r="S41" s="9">
        <f t="shared" ref="S41:S43" si="14">R41</f>
        <v>2000</v>
      </c>
      <c r="T41" s="9">
        <v>2000</v>
      </c>
      <c r="U41" s="1" t="s">
        <v>88</v>
      </c>
      <c r="V41" s="1">
        <f t="shared" si="6"/>
        <v>25.0944669365722</v>
      </c>
      <c r="W41" s="1">
        <f>(F41+O41)/P41</f>
        <v>11.59919028340081</v>
      </c>
      <c r="X41" s="1">
        <v>133</v>
      </c>
      <c r="Y41" s="1">
        <v>110.8</v>
      </c>
      <c r="Z41" s="1">
        <v>117.2</v>
      </c>
      <c r="AA41" s="1">
        <v>217.8</v>
      </c>
      <c r="AB41" s="1">
        <v>245.4</v>
      </c>
      <c r="AC41" s="1">
        <v>228</v>
      </c>
      <c r="AD41" s="1">
        <v>275</v>
      </c>
      <c r="AE41" s="1">
        <v>262.60000000000002</v>
      </c>
      <c r="AF41" s="1" t="s">
        <v>43</v>
      </c>
      <c r="AG41" s="1">
        <f t="shared" si="7"/>
        <v>360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34</v>
      </c>
      <c r="B42" s="1" t="s">
        <v>35</v>
      </c>
      <c r="C42" s="1">
        <v>121</v>
      </c>
      <c r="D42" s="1">
        <v>118</v>
      </c>
      <c r="E42" s="1">
        <v>20</v>
      </c>
      <c r="F42" s="1">
        <v>99</v>
      </c>
      <c r="G42" s="7">
        <v>0.18</v>
      </c>
      <c r="H42" s="1"/>
      <c r="I42" s="1">
        <v>4421577</v>
      </c>
      <c r="J42" s="1"/>
      <c r="K42" s="1">
        <v>20</v>
      </c>
      <c r="L42" s="1">
        <f>E42-K42</f>
        <v>0</v>
      </c>
      <c r="M42" s="1"/>
      <c r="N42" s="1"/>
      <c r="O42" s="1"/>
      <c r="P42" s="1">
        <f>E42/5</f>
        <v>4</v>
      </c>
      <c r="Q42" s="9"/>
      <c r="R42" s="9">
        <f t="shared" si="9"/>
        <v>0</v>
      </c>
      <c r="S42" s="9">
        <f t="shared" si="14"/>
        <v>0</v>
      </c>
      <c r="T42" s="9"/>
      <c r="U42" s="1"/>
      <c r="V42" s="1">
        <f t="shared" si="6"/>
        <v>24.75</v>
      </c>
      <c r="W42" s="1">
        <f>(F42+O42)/P42</f>
        <v>24.75</v>
      </c>
      <c r="X42" s="1">
        <v>7.4</v>
      </c>
      <c r="Y42" s="1">
        <v>7.4</v>
      </c>
      <c r="Z42" s="1">
        <v>10.4</v>
      </c>
      <c r="AA42" s="1">
        <v>9.6</v>
      </c>
      <c r="AB42" s="1">
        <v>6.8</v>
      </c>
      <c r="AC42" s="1">
        <v>11.6</v>
      </c>
      <c r="AD42" s="1">
        <v>6.4</v>
      </c>
      <c r="AE42" s="1">
        <v>9.1999999999999993</v>
      </c>
      <c r="AF42" s="1"/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36</v>
      </c>
      <c r="B43" s="1" t="s">
        <v>35</v>
      </c>
      <c r="C43" s="1">
        <v>263</v>
      </c>
      <c r="D43" s="1">
        <v>202</v>
      </c>
      <c r="E43" s="1">
        <v>99</v>
      </c>
      <c r="F43" s="1">
        <v>132</v>
      </c>
      <c r="G43" s="7">
        <v>0.18</v>
      </c>
      <c r="H43" s="1"/>
      <c r="I43" s="1">
        <v>4421584</v>
      </c>
      <c r="J43" s="1"/>
      <c r="K43" s="1">
        <v>97</v>
      </c>
      <c r="L43" s="1">
        <f>E43-K43</f>
        <v>2</v>
      </c>
      <c r="M43" s="1"/>
      <c r="N43" s="1"/>
      <c r="O43" s="1"/>
      <c r="P43" s="1">
        <f>E43/5</f>
        <v>19.8</v>
      </c>
      <c r="Q43" s="9">
        <f t="shared" si="12"/>
        <v>264</v>
      </c>
      <c r="R43" s="9">
        <v>250</v>
      </c>
      <c r="S43" s="9">
        <f t="shared" si="14"/>
        <v>250</v>
      </c>
      <c r="T43" s="9"/>
      <c r="U43" s="1"/>
      <c r="V43" s="1">
        <f t="shared" si="6"/>
        <v>19.292929292929291</v>
      </c>
      <c r="W43" s="1">
        <f>(F43+O43)/P43</f>
        <v>6.6666666666666661</v>
      </c>
      <c r="X43" s="1">
        <v>13.6</v>
      </c>
      <c r="Y43" s="1">
        <v>8.8000000000000007</v>
      </c>
      <c r="Z43" s="1">
        <v>17.600000000000001</v>
      </c>
      <c r="AA43" s="1">
        <v>11.2</v>
      </c>
      <c r="AB43" s="1">
        <v>2.8</v>
      </c>
      <c r="AC43" s="1">
        <v>17.2</v>
      </c>
      <c r="AD43" s="1">
        <v>11</v>
      </c>
      <c r="AE43" s="1">
        <v>12.4</v>
      </c>
      <c r="AF43" s="1"/>
      <c r="AG43" s="1">
        <f t="shared" si="7"/>
        <v>45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</sheetData>
  <autoFilter ref="A3:AG38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78E3-DB90-433A-AB7C-2BF87D2A609E}">
  <dimension ref="A1:B19"/>
  <sheetViews>
    <sheetView workbookViewId="0">
      <selection activeCell="E20" sqref="E20"/>
    </sheetView>
  </sheetViews>
  <sheetFormatPr defaultRowHeight="15" x14ac:dyDescent="0.25"/>
  <sheetData>
    <row r="1" spans="1:2" x14ac:dyDescent="0.25">
      <c r="A1" t="s">
        <v>37</v>
      </c>
      <c r="B1">
        <v>80</v>
      </c>
    </row>
    <row r="2" spans="1:2" x14ac:dyDescent="0.25">
      <c r="A2" t="s">
        <v>39</v>
      </c>
      <c r="B2">
        <v>256</v>
      </c>
    </row>
    <row r="3" spans="1:2" x14ac:dyDescent="0.25">
      <c r="A3" t="s">
        <v>40</v>
      </c>
      <c r="B3">
        <v>48</v>
      </c>
    </row>
    <row r="4" spans="1:2" x14ac:dyDescent="0.25">
      <c r="A4" t="s">
        <v>44</v>
      </c>
      <c r="B4">
        <v>80</v>
      </c>
    </row>
    <row r="5" spans="1:2" x14ac:dyDescent="0.25">
      <c r="A5" t="s">
        <v>46</v>
      </c>
      <c r="B5">
        <v>600</v>
      </c>
    </row>
    <row r="6" spans="1:2" x14ac:dyDescent="0.25">
      <c r="A6" t="s">
        <v>48</v>
      </c>
      <c r="B6">
        <v>1050</v>
      </c>
    </row>
    <row r="7" spans="1:2" x14ac:dyDescent="0.25">
      <c r="A7" t="s">
        <v>49</v>
      </c>
      <c r="B7">
        <v>1030</v>
      </c>
    </row>
    <row r="8" spans="1:2" x14ac:dyDescent="0.25">
      <c r="A8" t="s">
        <v>50</v>
      </c>
      <c r="B8">
        <v>350</v>
      </c>
    </row>
    <row r="9" spans="1:2" x14ac:dyDescent="0.25">
      <c r="A9" t="s">
        <v>53</v>
      </c>
      <c r="B9">
        <v>2000</v>
      </c>
    </row>
    <row r="10" spans="1:2" x14ac:dyDescent="0.25">
      <c r="A10" t="s">
        <v>54</v>
      </c>
      <c r="B10">
        <v>800</v>
      </c>
    </row>
    <row r="11" spans="1:2" x14ac:dyDescent="0.25">
      <c r="A11" t="s">
        <v>59</v>
      </c>
      <c r="B11">
        <v>248</v>
      </c>
    </row>
    <row r="12" spans="1:2" x14ac:dyDescent="0.25">
      <c r="A12" t="s">
        <v>61</v>
      </c>
      <c r="B12">
        <v>297</v>
      </c>
    </row>
    <row r="13" spans="1:2" x14ac:dyDescent="0.25">
      <c r="A13" t="s">
        <v>65</v>
      </c>
      <c r="B13">
        <v>144</v>
      </c>
    </row>
    <row r="14" spans="1:2" x14ac:dyDescent="0.25">
      <c r="A14" t="s">
        <v>67</v>
      </c>
      <c r="B14">
        <v>297</v>
      </c>
    </row>
    <row r="15" spans="1:2" x14ac:dyDescent="0.25">
      <c r="A15" t="s">
        <v>68</v>
      </c>
      <c r="B15">
        <v>120</v>
      </c>
    </row>
    <row r="16" spans="1:2" x14ac:dyDescent="0.25">
      <c r="A16" t="s">
        <v>73</v>
      </c>
      <c r="B16">
        <v>490</v>
      </c>
    </row>
    <row r="17" spans="1:2" x14ac:dyDescent="0.25">
      <c r="A17" t="s">
        <v>77</v>
      </c>
      <c r="B17">
        <v>345</v>
      </c>
    </row>
    <row r="18" spans="1:2" x14ac:dyDescent="0.25">
      <c r="A18" t="s">
        <v>79</v>
      </c>
      <c r="B18">
        <v>500</v>
      </c>
    </row>
    <row r="19" spans="1:2" x14ac:dyDescent="0.25">
      <c r="A19" t="s">
        <v>82</v>
      </c>
      <c r="B19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2025-12-16T14:05:45Z</dcterms:created>
  <dcterms:modified xsi:type="dcterms:W3CDTF">2025-12-17T08:33:08Z</dcterms:modified>
</cp:coreProperties>
</file>