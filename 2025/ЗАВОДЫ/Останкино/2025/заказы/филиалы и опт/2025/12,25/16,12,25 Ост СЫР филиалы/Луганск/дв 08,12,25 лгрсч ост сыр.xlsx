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"/>
    </mc:Choice>
  </mc:AlternateContent>
  <xr:revisionPtr revIDLastSave="0" documentId="13_ncr:1_{7BFAAB04-9930-4445-9EF5-78711AB932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1" i="1"/>
  <c r="AF42" i="1"/>
  <c r="AF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1" i="1"/>
  <c r="U42" i="1"/>
  <c r="U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1" i="1"/>
  <c r="R6" i="1"/>
  <c r="R5" i="1" l="1"/>
  <c r="Q9" i="1"/>
  <c r="Q42" i="1"/>
  <c r="Q17" i="1"/>
  <c r="Q13" i="1"/>
  <c r="Q5" i="1"/>
  <c r="P44" i="1"/>
  <c r="U44" i="1" s="1"/>
  <c r="P6" i="1"/>
  <c r="P7" i="1"/>
  <c r="P41" i="1"/>
  <c r="P42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3" i="1"/>
  <c r="V43" i="1" s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42" i="1"/>
  <c r="L41" i="1"/>
  <c r="L7" i="1"/>
  <c r="L6" i="1"/>
  <c r="L44" i="1"/>
  <c r="L43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V32" i="1" l="1"/>
  <c r="L5" i="1"/>
  <c r="U43" i="1"/>
  <c r="V24" i="1"/>
  <c r="V9" i="1"/>
  <c r="V36" i="1"/>
  <c r="V28" i="1"/>
  <c r="V20" i="1"/>
  <c r="V13" i="1"/>
  <c r="V7" i="1"/>
  <c r="V38" i="1"/>
  <c r="V34" i="1"/>
  <c r="V30" i="1"/>
  <c r="V26" i="1"/>
  <c r="V22" i="1"/>
  <c r="V18" i="1"/>
  <c r="V15" i="1"/>
  <c r="V11" i="1"/>
  <c r="V42" i="1"/>
  <c r="V44" i="1"/>
  <c r="V39" i="1"/>
  <c r="V37" i="1"/>
  <c r="V35" i="1"/>
  <c r="V33" i="1"/>
  <c r="V31" i="1"/>
  <c r="V29" i="1"/>
  <c r="V27" i="1"/>
  <c r="V25" i="1"/>
  <c r="V23" i="1"/>
  <c r="V21" i="1"/>
  <c r="V19" i="1"/>
  <c r="V17" i="1"/>
  <c r="V16" i="1"/>
  <c r="V14" i="1"/>
  <c r="V12" i="1"/>
  <c r="V10" i="1"/>
  <c r="V8" i="1"/>
  <c r="V41" i="1"/>
  <c r="V6" i="1"/>
  <c r="AF5" i="1"/>
  <c r="P5" i="1"/>
</calcChain>
</file>

<file path=xl/sharedStrings.xml><?xml version="1.0" encoding="utf-8"?>
<sst xmlns="http://schemas.openxmlformats.org/spreadsheetml/2006/main" count="164" uniqueCount="90">
  <si>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</si>
  <si>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</si>
  <si>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</si>
  <si>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</si>
  <si>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</si>
  <si>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</si>
  <si>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</si>
  <si>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</si>
  <si>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</si>
  <si>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</si>
  <si>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</si>
  <si>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</si>
  <si>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</si>
  <si>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</si>
  <si>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</si>
  <si>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</si>
  <si>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</si>
  <si>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</si>
  <si>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</si>
  <si>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</si>
  <si>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</si>
  <si>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</si>
  <si>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</si>
  <si>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</si>
  <si>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</si>
  <si>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</si>
  <si>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</si>
  <si>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</si>
  <si>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</si>
  <si>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</si>
  <si>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</si>
  <si>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</si>
  <si>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</si>
  <si>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</si>
  <si>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</si>
  <si>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</si>
  <si>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</si>
  <si>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</si>
  <si>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</si>
  <si>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</si>
  <si>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</si>
  <si>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</si>
  <si>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</si>
  <si>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</si>
  <si>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</si>
  <si>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</si>
  <si>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</si>
  <si>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</si>
  <si>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</si>
  <si>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</si>
  <si>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</si>
  <si>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</si>
  <si>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</si>
  <si>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</si>
  <si>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</si>
  <si>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</si>
  <si>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</si>
  <si>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</si>
  <si>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</si>
  <si>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</si>
  <si>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</si>
  <si>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</si>
  <si>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</si>
  <si>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</si>
  <si>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</si>
  <si>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</si>
  <si>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</si>
  <si>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</si>
  <si>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</si>
  <si>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</si>
  <si>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</si>
  <si>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</si>
  <si>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</si>
  <si>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</si>
  <si>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</si>
  <si>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</si>
  <si>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</si>
  <si>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</si>
  <si>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</si>
  <si>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</si>
  <si>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</si>
  <si>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</si>
  <si>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</si>
  <si>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</si>
  <si>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</si>
  <si>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</si>
  <si>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Сыр творожный Сливочный 140 гр.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</si>
  <si>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13,08,25 заказываем для ОП</t>
    </r>
  </si>
  <si>
    <t>с 13,08,25 заказываем для ОП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</si>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</sst>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3" sqref="R4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27" customWidth="1"/>
    <col min="19" max="19" width="7" customWidth="1"/>
    <col min="20" max="20" width="21" customWidth="1"/>
    <col min="21" max="22" width="5" customWidth="1"/>
    <col min="23" max="30" width="6" customWidth="1"/>
    <col min="31" max="31" width="50.57031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89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516.50200000000007</v>
      </c>
      <c r="F5" s="4">
        <f>SUM(F6:F495)</f>
        <v>2399.768</v>
      </c>
      <c r="G5" s="7"/>
      <c r="H5" s="1"/>
      <c r="I5" s="1"/>
      <c r="J5" s="1"/>
      <c r="K5" s="4">
        <f t="shared" ref="K5:S5" si="0">SUM(K6:K495)</f>
        <v>535.29999999999995</v>
      </c>
      <c r="L5" s="4">
        <f t="shared" si="0"/>
        <v>-18.798000000000002</v>
      </c>
      <c r="M5" s="4">
        <f t="shared" si="0"/>
        <v>0</v>
      </c>
      <c r="N5" s="4">
        <f t="shared" si="0"/>
        <v>0</v>
      </c>
      <c r="O5" s="4">
        <f t="shared" si="0"/>
        <v>388</v>
      </c>
      <c r="P5" s="4">
        <f t="shared" si="0"/>
        <v>103.30040000000001</v>
      </c>
      <c r="Q5" s="4">
        <f t="shared" si="0"/>
        <v>113</v>
      </c>
      <c r="R5" s="4">
        <f t="shared" si="0"/>
        <v>114</v>
      </c>
      <c r="S5" s="4">
        <f t="shared" si="0"/>
        <v>0</v>
      </c>
      <c r="T5" s="1"/>
      <c r="U5" s="1"/>
      <c r="V5" s="1"/>
      <c r="W5" s="4">
        <f t="shared" ref="W5:AD5" si="1">SUM(W6:W495)</f>
        <v>116.2834</v>
      </c>
      <c r="X5" s="4">
        <f t="shared" si="1"/>
        <v>156.83520000000001</v>
      </c>
      <c r="Y5" s="4">
        <f t="shared" si="1"/>
        <v>148.61800000000002</v>
      </c>
      <c r="Z5" s="4">
        <f t="shared" si="1"/>
        <v>100.97140000000002</v>
      </c>
      <c r="AA5" s="4">
        <f t="shared" si="1"/>
        <v>111.83159999999999</v>
      </c>
      <c r="AB5" s="4">
        <f t="shared" si="1"/>
        <v>122.2042</v>
      </c>
      <c r="AC5" s="4">
        <f t="shared" si="1"/>
        <v>102.42359999999999</v>
      </c>
      <c r="AD5" s="4">
        <f t="shared" si="1"/>
        <v>75.769400000000005</v>
      </c>
      <c r="AE5" s="1"/>
      <c r="AF5" s="4">
        <f>SUM(AF6:AF495)</f>
        <v>26.9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34</v>
      </c>
      <c r="C6" s="1">
        <v>154</v>
      </c>
      <c r="D6" s="1"/>
      <c r="E6" s="1">
        <v>15</v>
      </c>
      <c r="F6" s="1">
        <v>139</v>
      </c>
      <c r="G6" s="7">
        <v>0.18</v>
      </c>
      <c r="H6" s="1">
        <v>270</v>
      </c>
      <c r="I6" s="1">
        <v>9988438</v>
      </c>
      <c r="J6" s="1"/>
      <c r="K6" s="1">
        <v>15</v>
      </c>
      <c r="L6" s="1">
        <f t="shared" ref="L6:L39" si="2">E6-K6</f>
        <v>0</v>
      </c>
      <c r="M6" s="1"/>
      <c r="N6" s="1"/>
      <c r="O6" s="1">
        <v>0</v>
      </c>
      <c r="P6" s="1">
        <f t="shared" ref="P6:P39" si="3">E6/5</f>
        <v>3</v>
      </c>
      <c r="Q6" s="9"/>
      <c r="R6" s="9">
        <f>Q6</f>
        <v>0</v>
      </c>
      <c r="S6" s="9"/>
      <c r="T6" s="1"/>
      <c r="U6" s="1">
        <f>(F6+O6+R6)/P6</f>
        <v>46.333333333333336</v>
      </c>
      <c r="V6" s="1">
        <f t="shared" ref="V6:V39" si="4">(F6+O6)/P6</f>
        <v>46.333333333333336</v>
      </c>
      <c r="W6" s="1">
        <v>3</v>
      </c>
      <c r="X6" s="1">
        <v>4.2</v>
      </c>
      <c r="Y6" s="1">
        <v>1.4</v>
      </c>
      <c r="Z6" s="1">
        <v>2.2000000000000002</v>
      </c>
      <c r="AA6" s="1">
        <v>11.4</v>
      </c>
      <c r="AB6" s="1">
        <v>0.8</v>
      </c>
      <c r="AC6" s="1">
        <v>3.8</v>
      </c>
      <c r="AD6" s="1">
        <v>0</v>
      </c>
      <c r="AE6" s="24" t="s">
        <v>38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34</v>
      </c>
      <c r="C7" s="1">
        <v>189</v>
      </c>
      <c r="D7" s="1"/>
      <c r="E7" s="1">
        <v>13</v>
      </c>
      <c r="F7" s="1">
        <v>176</v>
      </c>
      <c r="G7" s="7">
        <v>0.18</v>
      </c>
      <c r="H7" s="1">
        <v>270</v>
      </c>
      <c r="I7" s="1">
        <v>9988445</v>
      </c>
      <c r="J7" s="1"/>
      <c r="K7" s="1">
        <v>13</v>
      </c>
      <c r="L7" s="1">
        <f t="shared" si="2"/>
        <v>0</v>
      </c>
      <c r="M7" s="1"/>
      <c r="N7" s="1"/>
      <c r="O7" s="1">
        <v>0</v>
      </c>
      <c r="P7" s="1">
        <f t="shared" si="3"/>
        <v>2.6</v>
      </c>
      <c r="Q7" s="9"/>
      <c r="R7" s="9">
        <f t="shared" ref="R7:R42" si="5">Q7</f>
        <v>0</v>
      </c>
      <c r="S7" s="9"/>
      <c r="T7" s="1"/>
      <c r="U7" s="1">
        <f t="shared" ref="U7:U42" si="6">(F7+O7+R7)/P7</f>
        <v>67.692307692307693</v>
      </c>
      <c r="V7" s="1">
        <f t="shared" si="4"/>
        <v>67.692307692307693</v>
      </c>
      <c r="W7" s="1">
        <v>2.8</v>
      </c>
      <c r="X7" s="1">
        <v>3.8</v>
      </c>
      <c r="Y7" s="1">
        <v>1.4</v>
      </c>
      <c r="Z7" s="1">
        <v>2.2000000000000002</v>
      </c>
      <c r="AA7" s="1">
        <v>4.8</v>
      </c>
      <c r="AB7" s="1">
        <v>7.4</v>
      </c>
      <c r="AC7" s="1">
        <v>16</v>
      </c>
      <c r="AD7" s="1">
        <v>0.4</v>
      </c>
      <c r="AE7" s="24" t="s">
        <v>38</v>
      </c>
      <c r="AF7" s="1">
        <f t="shared" ref="AF7:AF42" si="7"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21" t="s">
        <v>42</v>
      </c>
      <c r="B8" s="21" t="s">
        <v>34</v>
      </c>
      <c r="C8" s="21"/>
      <c r="D8" s="21"/>
      <c r="E8" s="21"/>
      <c r="F8" s="21"/>
      <c r="G8" s="22">
        <v>0</v>
      </c>
      <c r="H8" s="21">
        <v>270</v>
      </c>
      <c r="I8" s="21">
        <v>9988452</v>
      </c>
      <c r="J8" s="21"/>
      <c r="K8" s="21"/>
      <c r="L8" s="21">
        <f t="shared" si="2"/>
        <v>0</v>
      </c>
      <c r="M8" s="21"/>
      <c r="N8" s="21"/>
      <c r="O8" s="21">
        <v>0</v>
      </c>
      <c r="P8" s="21">
        <f t="shared" si="3"/>
        <v>0</v>
      </c>
      <c r="Q8" s="23"/>
      <c r="R8" s="9">
        <f t="shared" si="5"/>
        <v>0</v>
      </c>
      <c r="S8" s="23"/>
      <c r="T8" s="21"/>
      <c r="U8" s="1" t="e">
        <f t="shared" si="6"/>
        <v>#DIV/0!</v>
      </c>
      <c r="V8" s="21" t="e">
        <f t="shared" si="4"/>
        <v>#DIV/0!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 t="s">
        <v>43</v>
      </c>
      <c r="AF8" s="1">
        <f t="shared" si="7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34</v>
      </c>
      <c r="C9" s="1">
        <v>71</v>
      </c>
      <c r="D9" s="1"/>
      <c r="E9" s="1">
        <v>20</v>
      </c>
      <c r="F9" s="1">
        <v>51</v>
      </c>
      <c r="G9" s="7">
        <v>0.4</v>
      </c>
      <c r="H9" s="1">
        <v>270</v>
      </c>
      <c r="I9" s="1">
        <v>9988476</v>
      </c>
      <c r="J9" s="1"/>
      <c r="K9" s="1">
        <v>20</v>
      </c>
      <c r="L9" s="1">
        <f t="shared" si="2"/>
        <v>0</v>
      </c>
      <c r="M9" s="1"/>
      <c r="N9" s="1"/>
      <c r="O9" s="1">
        <v>0</v>
      </c>
      <c r="P9" s="1">
        <f t="shared" si="3"/>
        <v>4</v>
      </c>
      <c r="Q9" s="9">
        <f t="shared" ref="Q9" si="8">20*P9-O9-F9</f>
        <v>29</v>
      </c>
      <c r="R9" s="9">
        <f t="shared" si="5"/>
        <v>29</v>
      </c>
      <c r="S9" s="9"/>
      <c r="T9" s="1"/>
      <c r="U9" s="1">
        <f t="shared" si="6"/>
        <v>20</v>
      </c>
      <c r="V9" s="1">
        <f t="shared" si="4"/>
        <v>12.75</v>
      </c>
      <c r="W9" s="1">
        <v>2.6</v>
      </c>
      <c r="X9" s="1">
        <v>1.8</v>
      </c>
      <c r="Y9" s="1">
        <v>5</v>
      </c>
      <c r="Z9" s="1">
        <v>2</v>
      </c>
      <c r="AA9" s="1">
        <v>2.2000000000000002</v>
      </c>
      <c r="AB9" s="1">
        <v>0.4</v>
      </c>
      <c r="AC9" s="1">
        <v>1.8</v>
      </c>
      <c r="AD9" s="1">
        <v>2.4</v>
      </c>
      <c r="AE9" s="1" t="s">
        <v>45</v>
      </c>
      <c r="AF9" s="1">
        <f t="shared" si="7"/>
        <v>11.600000000000001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21" t="s">
        <v>46</v>
      </c>
      <c r="B10" s="21" t="s">
        <v>34</v>
      </c>
      <c r="C10" s="21"/>
      <c r="D10" s="21"/>
      <c r="E10" s="21"/>
      <c r="F10" s="21"/>
      <c r="G10" s="22">
        <v>0</v>
      </c>
      <c r="H10" s="21">
        <v>150</v>
      </c>
      <c r="I10" s="21">
        <v>5034819</v>
      </c>
      <c r="J10" s="21"/>
      <c r="K10" s="21"/>
      <c r="L10" s="21">
        <f t="shared" si="2"/>
        <v>0</v>
      </c>
      <c r="M10" s="21"/>
      <c r="N10" s="21"/>
      <c r="O10" s="21">
        <v>0</v>
      </c>
      <c r="P10" s="21">
        <f t="shared" si="3"/>
        <v>0</v>
      </c>
      <c r="Q10" s="23"/>
      <c r="R10" s="9">
        <f t="shared" si="5"/>
        <v>0</v>
      </c>
      <c r="S10" s="23"/>
      <c r="T10" s="21"/>
      <c r="U10" s="1" t="e">
        <f t="shared" si="6"/>
        <v>#DIV/0!</v>
      </c>
      <c r="V10" s="21" t="e">
        <f t="shared" si="4"/>
        <v>#DIV/0!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 t="s">
        <v>35</v>
      </c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21" t="s">
        <v>47</v>
      </c>
      <c r="B11" s="21" t="s">
        <v>34</v>
      </c>
      <c r="C11" s="21"/>
      <c r="D11" s="21"/>
      <c r="E11" s="21"/>
      <c r="F11" s="21"/>
      <c r="G11" s="22">
        <v>0</v>
      </c>
      <c r="H11" s="21">
        <v>90</v>
      </c>
      <c r="I11" s="21">
        <v>8444163</v>
      </c>
      <c r="J11" s="21"/>
      <c r="K11" s="21"/>
      <c r="L11" s="21">
        <f t="shared" si="2"/>
        <v>0</v>
      </c>
      <c r="M11" s="21"/>
      <c r="N11" s="21"/>
      <c r="O11" s="21">
        <v>0</v>
      </c>
      <c r="P11" s="21">
        <f t="shared" si="3"/>
        <v>0</v>
      </c>
      <c r="Q11" s="23"/>
      <c r="R11" s="9">
        <f t="shared" si="5"/>
        <v>0</v>
      </c>
      <c r="S11" s="23"/>
      <c r="T11" s="21"/>
      <c r="U11" s="1" t="e">
        <f t="shared" si="6"/>
        <v>#DIV/0!</v>
      </c>
      <c r="V11" s="21" t="e">
        <f t="shared" si="4"/>
        <v>#DIV/0!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 t="s">
        <v>35</v>
      </c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34</v>
      </c>
      <c r="C12" s="1">
        <v>129</v>
      </c>
      <c r="D12" s="1">
        <v>280</v>
      </c>
      <c r="E12" s="1">
        <v>75</v>
      </c>
      <c r="F12" s="1">
        <v>333</v>
      </c>
      <c r="G12" s="7">
        <v>0.18</v>
      </c>
      <c r="H12" s="1">
        <v>150</v>
      </c>
      <c r="I12" s="1">
        <v>5038411</v>
      </c>
      <c r="J12" s="1"/>
      <c r="K12" s="1">
        <v>76</v>
      </c>
      <c r="L12" s="1">
        <f t="shared" si="2"/>
        <v>-1</v>
      </c>
      <c r="M12" s="1"/>
      <c r="N12" s="1"/>
      <c r="O12" s="1">
        <v>0</v>
      </c>
      <c r="P12" s="1">
        <f t="shared" si="3"/>
        <v>15</v>
      </c>
      <c r="Q12" s="9"/>
      <c r="R12" s="9">
        <f t="shared" si="5"/>
        <v>0</v>
      </c>
      <c r="S12" s="9"/>
      <c r="T12" s="1"/>
      <c r="U12" s="1">
        <f t="shared" si="6"/>
        <v>22.2</v>
      </c>
      <c r="V12" s="1">
        <f t="shared" si="4"/>
        <v>22.2</v>
      </c>
      <c r="W12" s="1">
        <v>14.2</v>
      </c>
      <c r="X12" s="1">
        <v>24</v>
      </c>
      <c r="Y12" s="1">
        <v>16.399999999999999</v>
      </c>
      <c r="Z12" s="1">
        <v>10.8</v>
      </c>
      <c r="AA12" s="1">
        <v>12</v>
      </c>
      <c r="AB12" s="1">
        <v>14</v>
      </c>
      <c r="AC12" s="1">
        <v>7.8</v>
      </c>
      <c r="AD12" s="1">
        <v>7.2</v>
      </c>
      <c r="AE12" s="1"/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34</v>
      </c>
      <c r="C13" s="1">
        <v>149</v>
      </c>
      <c r="D13" s="1">
        <v>220</v>
      </c>
      <c r="E13" s="1">
        <v>81</v>
      </c>
      <c r="F13" s="1">
        <v>286</v>
      </c>
      <c r="G13" s="7">
        <v>0.18</v>
      </c>
      <c r="H13" s="1">
        <v>150</v>
      </c>
      <c r="I13" s="1">
        <v>5038459</v>
      </c>
      <c r="J13" s="1"/>
      <c r="K13" s="1">
        <v>82</v>
      </c>
      <c r="L13" s="1">
        <f t="shared" si="2"/>
        <v>-1</v>
      </c>
      <c r="M13" s="1"/>
      <c r="N13" s="1"/>
      <c r="O13" s="1">
        <v>0</v>
      </c>
      <c r="P13" s="1">
        <f t="shared" si="3"/>
        <v>16.2</v>
      </c>
      <c r="Q13" s="9">
        <f t="shared" ref="Q13" si="9">20*P13-O13-F13</f>
        <v>38</v>
      </c>
      <c r="R13" s="9">
        <f t="shared" si="5"/>
        <v>38</v>
      </c>
      <c r="S13" s="9"/>
      <c r="T13" s="1"/>
      <c r="U13" s="1">
        <f t="shared" si="6"/>
        <v>20</v>
      </c>
      <c r="V13" s="1">
        <f t="shared" si="4"/>
        <v>17.654320987654323</v>
      </c>
      <c r="W13" s="1">
        <v>15.8</v>
      </c>
      <c r="X13" s="1">
        <v>21.8</v>
      </c>
      <c r="Y13" s="1">
        <v>18</v>
      </c>
      <c r="Z13" s="1">
        <v>12.6</v>
      </c>
      <c r="AA13" s="1">
        <v>17.8</v>
      </c>
      <c r="AB13" s="1">
        <v>18.399999999999999</v>
      </c>
      <c r="AC13" s="1">
        <v>8.8000000000000007</v>
      </c>
      <c r="AD13" s="1">
        <v>9.6</v>
      </c>
      <c r="AE13" s="1"/>
      <c r="AF13" s="1">
        <f t="shared" si="7"/>
        <v>6.84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21" t="s">
        <v>50</v>
      </c>
      <c r="B14" s="21" t="s">
        <v>34</v>
      </c>
      <c r="C14" s="21"/>
      <c r="D14" s="21"/>
      <c r="E14" s="21"/>
      <c r="F14" s="21"/>
      <c r="G14" s="22">
        <v>0</v>
      </c>
      <c r="H14" s="21">
        <v>150</v>
      </c>
      <c r="I14" s="21">
        <v>5038831</v>
      </c>
      <c r="J14" s="21"/>
      <c r="K14" s="21"/>
      <c r="L14" s="21">
        <f t="shared" si="2"/>
        <v>0</v>
      </c>
      <c r="M14" s="21"/>
      <c r="N14" s="21"/>
      <c r="O14" s="21">
        <v>0</v>
      </c>
      <c r="P14" s="21">
        <f t="shared" si="3"/>
        <v>0</v>
      </c>
      <c r="Q14" s="23"/>
      <c r="R14" s="9">
        <f t="shared" si="5"/>
        <v>0</v>
      </c>
      <c r="S14" s="23"/>
      <c r="T14" s="21"/>
      <c r="U14" s="1" t="e">
        <f t="shared" si="6"/>
        <v>#DIV/0!</v>
      </c>
      <c r="V14" s="21" t="e">
        <f t="shared" si="4"/>
        <v>#DIV/0!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 t="s">
        <v>35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1" t="s">
        <v>51</v>
      </c>
      <c r="B15" s="21" t="s">
        <v>34</v>
      </c>
      <c r="C15" s="21"/>
      <c r="D15" s="21"/>
      <c r="E15" s="21"/>
      <c r="F15" s="21"/>
      <c r="G15" s="22">
        <v>0</v>
      </c>
      <c r="H15" s="21">
        <v>120</v>
      </c>
      <c r="I15" s="21">
        <v>5038855</v>
      </c>
      <c r="J15" s="21"/>
      <c r="K15" s="21"/>
      <c r="L15" s="21">
        <f t="shared" si="2"/>
        <v>0</v>
      </c>
      <c r="M15" s="21"/>
      <c r="N15" s="21"/>
      <c r="O15" s="21">
        <v>0</v>
      </c>
      <c r="P15" s="21">
        <f t="shared" si="3"/>
        <v>0</v>
      </c>
      <c r="Q15" s="23"/>
      <c r="R15" s="9">
        <f t="shared" si="5"/>
        <v>0</v>
      </c>
      <c r="S15" s="23"/>
      <c r="T15" s="21"/>
      <c r="U15" s="1" t="e">
        <f t="shared" si="6"/>
        <v>#DIV/0!</v>
      </c>
      <c r="V15" s="21" t="e">
        <f t="shared" si="4"/>
        <v>#DIV/0!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 t="s">
        <v>35</v>
      </c>
      <c r="AF15" s="1">
        <f t="shared" si="7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34</v>
      </c>
      <c r="C16" s="1">
        <v>264</v>
      </c>
      <c r="D16" s="1">
        <v>400</v>
      </c>
      <c r="E16" s="1">
        <v>116</v>
      </c>
      <c r="F16" s="1">
        <v>548</v>
      </c>
      <c r="G16" s="7">
        <v>0.18</v>
      </c>
      <c r="H16" s="1">
        <v>150</v>
      </c>
      <c r="I16" s="1">
        <v>5038435</v>
      </c>
      <c r="J16" s="1"/>
      <c r="K16" s="1">
        <v>118</v>
      </c>
      <c r="L16" s="1">
        <f t="shared" si="2"/>
        <v>-2</v>
      </c>
      <c r="M16" s="1"/>
      <c r="N16" s="1"/>
      <c r="O16" s="1">
        <v>0</v>
      </c>
      <c r="P16" s="1">
        <f t="shared" si="3"/>
        <v>23.2</v>
      </c>
      <c r="Q16" s="9"/>
      <c r="R16" s="9">
        <f t="shared" si="5"/>
        <v>0</v>
      </c>
      <c r="S16" s="9"/>
      <c r="T16" s="1"/>
      <c r="U16" s="1">
        <f t="shared" si="6"/>
        <v>23.620689655172413</v>
      </c>
      <c r="V16" s="1">
        <f t="shared" si="4"/>
        <v>23.620689655172413</v>
      </c>
      <c r="W16" s="1">
        <v>13.4</v>
      </c>
      <c r="X16" s="1">
        <v>36.200000000000003</v>
      </c>
      <c r="Y16" s="1">
        <v>25.4</v>
      </c>
      <c r="Z16" s="1">
        <v>15.6</v>
      </c>
      <c r="AA16" s="1">
        <v>15</v>
      </c>
      <c r="AB16" s="1">
        <v>20.399999999999999</v>
      </c>
      <c r="AC16" s="1">
        <v>11</v>
      </c>
      <c r="AD16" s="1">
        <v>7.4</v>
      </c>
      <c r="AE16" s="1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15.75" thickBot="1" x14ac:dyDescent="0.3">
      <c r="A17" s="1" t="s">
        <v>53</v>
      </c>
      <c r="B17" s="1" t="s">
        <v>34</v>
      </c>
      <c r="C17" s="1">
        <v>228</v>
      </c>
      <c r="D17" s="1">
        <v>30</v>
      </c>
      <c r="E17" s="1">
        <v>57</v>
      </c>
      <c r="F17" s="1">
        <v>201</v>
      </c>
      <c r="G17" s="7">
        <v>0.18</v>
      </c>
      <c r="H17" s="1">
        <v>120</v>
      </c>
      <c r="I17" s="1">
        <v>5038398</v>
      </c>
      <c r="J17" s="1"/>
      <c r="K17" s="1">
        <v>59</v>
      </c>
      <c r="L17" s="1">
        <f t="shared" si="2"/>
        <v>-2</v>
      </c>
      <c r="M17" s="1"/>
      <c r="N17" s="1"/>
      <c r="O17" s="1">
        <v>0</v>
      </c>
      <c r="P17" s="1">
        <f t="shared" si="3"/>
        <v>11.4</v>
      </c>
      <c r="Q17" s="9">
        <f t="shared" ref="Q17" si="10">20*P17-O17-F17</f>
        <v>27</v>
      </c>
      <c r="R17" s="9">
        <f t="shared" si="5"/>
        <v>27</v>
      </c>
      <c r="S17" s="9"/>
      <c r="T17" s="1"/>
      <c r="U17" s="1">
        <f t="shared" si="6"/>
        <v>20</v>
      </c>
      <c r="V17" s="1">
        <f t="shared" si="4"/>
        <v>17.631578947368421</v>
      </c>
      <c r="W17" s="1">
        <v>10.199999999999999</v>
      </c>
      <c r="X17" s="1">
        <v>16.399999999999999</v>
      </c>
      <c r="Y17" s="1">
        <v>19.8</v>
      </c>
      <c r="Z17" s="1">
        <v>14.2</v>
      </c>
      <c r="AA17" s="1">
        <v>12.6</v>
      </c>
      <c r="AB17" s="1">
        <v>21.2</v>
      </c>
      <c r="AC17" s="1">
        <v>11.8</v>
      </c>
      <c r="AD17" s="1">
        <v>7.8</v>
      </c>
      <c r="AE17" s="1"/>
      <c r="AF17" s="1">
        <f t="shared" si="7"/>
        <v>4.8599999999999994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2" t="s">
        <v>54</v>
      </c>
      <c r="B18" s="13" t="s">
        <v>55</v>
      </c>
      <c r="C18" s="13"/>
      <c r="D18" s="13"/>
      <c r="E18" s="13"/>
      <c r="F18" s="14"/>
      <c r="G18" s="7">
        <v>1</v>
      </c>
      <c r="H18" s="1">
        <v>150</v>
      </c>
      <c r="I18" s="1">
        <v>8785242</v>
      </c>
      <c r="J18" s="1"/>
      <c r="K18" s="1"/>
      <c r="L18" s="1">
        <f t="shared" si="2"/>
        <v>0</v>
      </c>
      <c r="M18" s="1"/>
      <c r="N18" s="1"/>
      <c r="O18" s="1">
        <v>0</v>
      </c>
      <c r="P18" s="1">
        <f t="shared" si="3"/>
        <v>0</v>
      </c>
      <c r="Q18" s="9"/>
      <c r="R18" s="9">
        <f t="shared" si="5"/>
        <v>0</v>
      </c>
      <c r="S18" s="9"/>
      <c r="T18" s="1"/>
      <c r="U18" s="1" t="e">
        <f t="shared" si="6"/>
        <v>#DIV/0!</v>
      </c>
      <c r="V18" s="1" t="e">
        <f t="shared" si="4"/>
        <v>#DIV/0!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t="15.75" thickBot="1" x14ac:dyDescent="0.3">
      <c r="A19" s="15" t="s">
        <v>56</v>
      </c>
      <c r="B19" s="16" t="s">
        <v>55</v>
      </c>
      <c r="C19" s="16">
        <v>32.247999999999998</v>
      </c>
      <c r="D19" s="16"/>
      <c r="E19" s="16">
        <v>3.1440000000000001</v>
      </c>
      <c r="F19" s="17">
        <v>29.103999999999999</v>
      </c>
      <c r="G19" s="18">
        <v>0</v>
      </c>
      <c r="H19" s="19" t="e">
        <v>#N/A</v>
      </c>
      <c r="I19" s="19" t="s">
        <v>57</v>
      </c>
      <c r="J19" s="19" t="s">
        <v>54</v>
      </c>
      <c r="K19" s="19">
        <v>3.1</v>
      </c>
      <c r="L19" s="19">
        <f t="shared" si="2"/>
        <v>4.4000000000000039E-2</v>
      </c>
      <c r="M19" s="19"/>
      <c r="N19" s="19"/>
      <c r="O19" s="19">
        <v>0</v>
      </c>
      <c r="P19" s="19">
        <f t="shared" si="3"/>
        <v>0.62880000000000003</v>
      </c>
      <c r="Q19" s="20"/>
      <c r="R19" s="9">
        <f t="shared" si="5"/>
        <v>0</v>
      </c>
      <c r="S19" s="20"/>
      <c r="T19" s="19"/>
      <c r="U19" s="1">
        <f t="shared" si="6"/>
        <v>46.284987277353686</v>
      </c>
      <c r="V19" s="19">
        <f t="shared" si="4"/>
        <v>46.284987277353686</v>
      </c>
      <c r="W19" s="19">
        <v>0</v>
      </c>
      <c r="X19" s="19">
        <v>0</v>
      </c>
      <c r="Y19" s="19">
        <v>1.3512</v>
      </c>
      <c r="Z19" s="19">
        <v>0.67720000000000002</v>
      </c>
      <c r="AA19" s="19">
        <v>0</v>
      </c>
      <c r="AB19" s="19">
        <v>0</v>
      </c>
      <c r="AC19" s="19">
        <v>1.3088</v>
      </c>
      <c r="AD19" s="19">
        <v>0</v>
      </c>
      <c r="AE19" s="24" t="s">
        <v>38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2" t="s">
        <v>58</v>
      </c>
      <c r="B20" s="13" t="s">
        <v>55</v>
      </c>
      <c r="C20" s="13"/>
      <c r="D20" s="13"/>
      <c r="E20" s="13"/>
      <c r="F20" s="14"/>
      <c r="G20" s="7">
        <v>1</v>
      </c>
      <c r="H20" s="1">
        <v>150</v>
      </c>
      <c r="I20" s="1">
        <v>8785235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f t="shared" si="3"/>
        <v>0</v>
      </c>
      <c r="Q20" s="9"/>
      <c r="R20" s="9">
        <f t="shared" si="5"/>
        <v>0</v>
      </c>
      <c r="S20" s="9"/>
      <c r="T20" s="1"/>
      <c r="U20" s="1" t="e">
        <f t="shared" si="6"/>
        <v>#DIV/0!</v>
      </c>
      <c r="V20" s="1" t="e">
        <f t="shared" si="4"/>
        <v>#DIV/0!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/>
      <c r="AF20" s="1">
        <f t="shared" si="7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15.75" thickBot="1" x14ac:dyDescent="0.3">
      <c r="A21" s="15" t="s">
        <v>59</v>
      </c>
      <c r="B21" s="16" t="s">
        <v>55</v>
      </c>
      <c r="C21" s="16">
        <v>33.965000000000003</v>
      </c>
      <c r="D21" s="16"/>
      <c r="E21" s="16">
        <v>-0.224</v>
      </c>
      <c r="F21" s="17">
        <v>33.965000000000003</v>
      </c>
      <c r="G21" s="18">
        <v>0</v>
      </c>
      <c r="H21" s="19" t="e">
        <v>#N/A</v>
      </c>
      <c r="I21" s="19" t="s">
        <v>57</v>
      </c>
      <c r="J21" s="19" t="s">
        <v>58</v>
      </c>
      <c r="K21" s="19"/>
      <c r="L21" s="19">
        <f t="shared" si="2"/>
        <v>-0.224</v>
      </c>
      <c r="M21" s="19"/>
      <c r="N21" s="19"/>
      <c r="O21" s="19">
        <v>0</v>
      </c>
      <c r="P21" s="19">
        <f t="shared" si="3"/>
        <v>-4.48E-2</v>
      </c>
      <c r="Q21" s="20"/>
      <c r="R21" s="9">
        <f t="shared" si="5"/>
        <v>0</v>
      </c>
      <c r="S21" s="20"/>
      <c r="T21" s="19"/>
      <c r="U21" s="1">
        <f t="shared" si="6"/>
        <v>-758.14732142857156</v>
      </c>
      <c r="V21" s="19">
        <f t="shared" si="4"/>
        <v>-758.14732142857156</v>
      </c>
      <c r="W21" s="19">
        <v>0</v>
      </c>
      <c r="X21" s="19">
        <v>0</v>
      </c>
      <c r="Y21" s="19">
        <v>1.3939999999999999</v>
      </c>
      <c r="Z21" s="19">
        <v>0.68899999999999995</v>
      </c>
      <c r="AA21" s="19">
        <v>0.72199999999999998</v>
      </c>
      <c r="AB21" s="19">
        <v>0.68499999999999994</v>
      </c>
      <c r="AC21" s="19">
        <v>0.64900000000000002</v>
      </c>
      <c r="AD21" s="19">
        <v>2.78</v>
      </c>
      <c r="AE21" s="24" t="s">
        <v>38</v>
      </c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2" t="s">
        <v>60</v>
      </c>
      <c r="B22" s="13" t="s">
        <v>55</v>
      </c>
      <c r="C22" s="13"/>
      <c r="D22" s="13"/>
      <c r="E22" s="13"/>
      <c r="F22" s="14"/>
      <c r="G22" s="7">
        <v>1</v>
      </c>
      <c r="H22" s="1">
        <v>120</v>
      </c>
      <c r="I22" s="1">
        <v>8785204</v>
      </c>
      <c r="J22" s="1"/>
      <c r="K22" s="1"/>
      <c r="L22" s="1">
        <f t="shared" si="2"/>
        <v>0</v>
      </c>
      <c r="M22" s="1"/>
      <c r="N22" s="1"/>
      <c r="O22" s="1">
        <v>33</v>
      </c>
      <c r="P22" s="1">
        <f t="shared" si="3"/>
        <v>0</v>
      </c>
      <c r="Q22" s="9"/>
      <c r="R22" s="9">
        <f t="shared" si="5"/>
        <v>0</v>
      </c>
      <c r="S22" s="9"/>
      <c r="T22" s="1"/>
      <c r="U22" s="1" t="e">
        <f t="shared" si="6"/>
        <v>#DIV/0!</v>
      </c>
      <c r="V22" s="1" t="e">
        <f t="shared" si="4"/>
        <v>#DIV/0!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7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15.75" thickBot="1" x14ac:dyDescent="0.3">
      <c r="A23" s="15" t="s">
        <v>61</v>
      </c>
      <c r="B23" s="16" t="s">
        <v>55</v>
      </c>
      <c r="C23" s="16">
        <v>29.969000000000001</v>
      </c>
      <c r="D23" s="16"/>
      <c r="E23" s="16">
        <v>12.708</v>
      </c>
      <c r="F23" s="17">
        <v>17.260999999999999</v>
      </c>
      <c r="G23" s="18">
        <v>0</v>
      </c>
      <c r="H23" s="19" t="e">
        <v>#N/A</v>
      </c>
      <c r="I23" s="19" t="s">
        <v>57</v>
      </c>
      <c r="J23" s="19" t="s">
        <v>60</v>
      </c>
      <c r="K23" s="19">
        <v>13.5</v>
      </c>
      <c r="L23" s="19">
        <f t="shared" si="2"/>
        <v>-0.79199999999999982</v>
      </c>
      <c r="M23" s="19"/>
      <c r="N23" s="19"/>
      <c r="O23" s="19">
        <v>0</v>
      </c>
      <c r="P23" s="19">
        <f t="shared" si="3"/>
        <v>2.5415999999999999</v>
      </c>
      <c r="Q23" s="20"/>
      <c r="R23" s="9">
        <f t="shared" si="5"/>
        <v>0</v>
      </c>
      <c r="S23" s="20"/>
      <c r="T23" s="19"/>
      <c r="U23" s="1">
        <f t="shared" si="6"/>
        <v>6.7913912496065469</v>
      </c>
      <c r="V23" s="19">
        <f t="shared" si="4"/>
        <v>6.7913912496065469</v>
      </c>
      <c r="W23" s="19">
        <v>3.1417999999999999</v>
      </c>
      <c r="X23" s="19">
        <v>1.2856000000000001</v>
      </c>
      <c r="Y23" s="19">
        <v>2.0367999999999999</v>
      </c>
      <c r="Z23" s="19">
        <v>1.3335999999999999</v>
      </c>
      <c r="AA23" s="19">
        <v>0</v>
      </c>
      <c r="AB23" s="19">
        <v>2.6534</v>
      </c>
      <c r="AC23" s="19">
        <v>0.64200000000000002</v>
      </c>
      <c r="AD23" s="19">
        <v>1.24</v>
      </c>
      <c r="AE23" s="19"/>
      <c r="AF23" s="1">
        <f t="shared" si="7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1" t="s">
        <v>62</v>
      </c>
      <c r="B24" s="21" t="s">
        <v>34</v>
      </c>
      <c r="C24" s="21"/>
      <c r="D24" s="21"/>
      <c r="E24" s="21"/>
      <c r="F24" s="21"/>
      <c r="G24" s="22">
        <v>0</v>
      </c>
      <c r="H24" s="21">
        <v>60</v>
      </c>
      <c r="I24" s="21">
        <v>8444170</v>
      </c>
      <c r="J24" s="21"/>
      <c r="K24" s="21"/>
      <c r="L24" s="21">
        <f t="shared" si="2"/>
        <v>0</v>
      </c>
      <c r="M24" s="21"/>
      <c r="N24" s="21"/>
      <c r="O24" s="21">
        <v>0</v>
      </c>
      <c r="P24" s="21">
        <f t="shared" si="3"/>
        <v>0</v>
      </c>
      <c r="Q24" s="23"/>
      <c r="R24" s="9">
        <f t="shared" si="5"/>
        <v>0</v>
      </c>
      <c r="S24" s="23"/>
      <c r="T24" s="21"/>
      <c r="U24" s="1" t="e">
        <f t="shared" si="6"/>
        <v>#DIV/0!</v>
      </c>
      <c r="V24" s="21" t="e">
        <f t="shared" si="4"/>
        <v>#DIV/0!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 t="s">
        <v>63</v>
      </c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21" t="s">
        <v>64</v>
      </c>
      <c r="B25" s="21" t="s">
        <v>34</v>
      </c>
      <c r="C25" s="21"/>
      <c r="D25" s="21"/>
      <c r="E25" s="21"/>
      <c r="F25" s="21"/>
      <c r="G25" s="22">
        <v>0</v>
      </c>
      <c r="H25" s="21">
        <v>180</v>
      </c>
      <c r="I25" s="21">
        <v>9988391</v>
      </c>
      <c r="J25" s="21"/>
      <c r="K25" s="21"/>
      <c r="L25" s="21">
        <f t="shared" si="2"/>
        <v>0</v>
      </c>
      <c r="M25" s="21"/>
      <c r="N25" s="21"/>
      <c r="O25" s="21">
        <v>0</v>
      </c>
      <c r="P25" s="21">
        <f t="shared" si="3"/>
        <v>0</v>
      </c>
      <c r="Q25" s="23"/>
      <c r="R25" s="9">
        <f t="shared" si="5"/>
        <v>0</v>
      </c>
      <c r="S25" s="23"/>
      <c r="T25" s="21"/>
      <c r="U25" s="1" t="e">
        <f t="shared" si="6"/>
        <v>#DIV/0!</v>
      </c>
      <c r="V25" s="21" t="e">
        <f t="shared" si="4"/>
        <v>#DIV/0!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 t="s">
        <v>35</v>
      </c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21" t="s">
        <v>65</v>
      </c>
      <c r="B26" s="21" t="s">
        <v>34</v>
      </c>
      <c r="C26" s="21"/>
      <c r="D26" s="21"/>
      <c r="E26" s="21"/>
      <c r="F26" s="21"/>
      <c r="G26" s="22">
        <v>0</v>
      </c>
      <c r="H26" s="21">
        <v>270</v>
      </c>
      <c r="I26" s="21">
        <v>9988681</v>
      </c>
      <c r="J26" s="21"/>
      <c r="K26" s="21"/>
      <c r="L26" s="21">
        <f t="shared" si="2"/>
        <v>0</v>
      </c>
      <c r="M26" s="21"/>
      <c r="N26" s="21"/>
      <c r="O26" s="21">
        <v>0</v>
      </c>
      <c r="P26" s="21">
        <f t="shared" si="3"/>
        <v>0</v>
      </c>
      <c r="Q26" s="23"/>
      <c r="R26" s="9">
        <f t="shared" si="5"/>
        <v>0</v>
      </c>
      <c r="S26" s="23"/>
      <c r="T26" s="21"/>
      <c r="U26" s="1" t="e">
        <f t="shared" si="6"/>
        <v>#DIV/0!</v>
      </c>
      <c r="V26" s="21" t="e">
        <f t="shared" si="4"/>
        <v>#DIV/0!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 t="s">
        <v>35</v>
      </c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1" t="s">
        <v>66</v>
      </c>
      <c r="B27" s="21" t="s">
        <v>55</v>
      </c>
      <c r="C27" s="21"/>
      <c r="D27" s="21"/>
      <c r="E27" s="21"/>
      <c r="F27" s="21"/>
      <c r="G27" s="22">
        <v>0</v>
      </c>
      <c r="H27" s="21">
        <v>120</v>
      </c>
      <c r="I27" s="21">
        <v>8785198</v>
      </c>
      <c r="J27" s="21"/>
      <c r="K27" s="21"/>
      <c r="L27" s="21">
        <f t="shared" si="2"/>
        <v>0</v>
      </c>
      <c r="M27" s="21"/>
      <c r="N27" s="21"/>
      <c r="O27" s="21">
        <v>0</v>
      </c>
      <c r="P27" s="21">
        <f t="shared" si="3"/>
        <v>0</v>
      </c>
      <c r="Q27" s="23"/>
      <c r="R27" s="9">
        <f t="shared" si="5"/>
        <v>0</v>
      </c>
      <c r="S27" s="23"/>
      <c r="T27" s="21"/>
      <c r="U27" s="1" t="e">
        <f t="shared" si="6"/>
        <v>#DIV/0!</v>
      </c>
      <c r="V27" s="21" t="e">
        <f t="shared" si="4"/>
        <v>#DIV/0!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 t="s">
        <v>35</v>
      </c>
      <c r="AF27" s="1">
        <f t="shared" si="7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1" t="s">
        <v>67</v>
      </c>
      <c r="B28" s="21" t="s">
        <v>34</v>
      </c>
      <c r="C28" s="21"/>
      <c r="D28" s="21"/>
      <c r="E28" s="21"/>
      <c r="F28" s="21"/>
      <c r="G28" s="22">
        <v>0</v>
      </c>
      <c r="H28" s="21">
        <v>60</v>
      </c>
      <c r="I28" s="21">
        <v>8444187</v>
      </c>
      <c r="J28" s="21"/>
      <c r="K28" s="21"/>
      <c r="L28" s="21">
        <f t="shared" si="2"/>
        <v>0</v>
      </c>
      <c r="M28" s="21"/>
      <c r="N28" s="21"/>
      <c r="O28" s="21">
        <v>0</v>
      </c>
      <c r="P28" s="21">
        <f t="shared" si="3"/>
        <v>0</v>
      </c>
      <c r="Q28" s="23"/>
      <c r="R28" s="9">
        <f t="shared" si="5"/>
        <v>0</v>
      </c>
      <c r="S28" s="23"/>
      <c r="T28" s="21"/>
      <c r="U28" s="1" t="e">
        <f t="shared" si="6"/>
        <v>#DIV/0!</v>
      </c>
      <c r="V28" s="21" t="e">
        <f t="shared" si="4"/>
        <v>#DIV/0!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 t="s">
        <v>35</v>
      </c>
      <c r="AF28" s="1">
        <f t="shared" si="7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1" t="s">
        <v>68</v>
      </c>
      <c r="B29" s="21" t="s">
        <v>34</v>
      </c>
      <c r="C29" s="21"/>
      <c r="D29" s="21"/>
      <c r="E29" s="21"/>
      <c r="F29" s="21"/>
      <c r="G29" s="22">
        <v>0</v>
      </c>
      <c r="H29" s="21">
        <v>90</v>
      </c>
      <c r="I29" s="21">
        <v>8444194</v>
      </c>
      <c r="J29" s="21"/>
      <c r="K29" s="21"/>
      <c r="L29" s="21">
        <f t="shared" si="2"/>
        <v>0</v>
      </c>
      <c r="M29" s="21"/>
      <c r="N29" s="21"/>
      <c r="O29" s="21">
        <v>0</v>
      </c>
      <c r="P29" s="21">
        <f t="shared" si="3"/>
        <v>0</v>
      </c>
      <c r="Q29" s="23"/>
      <c r="R29" s="9">
        <f t="shared" si="5"/>
        <v>0</v>
      </c>
      <c r="S29" s="23"/>
      <c r="T29" s="21"/>
      <c r="U29" s="1" t="e">
        <f t="shared" si="6"/>
        <v>#DIV/0!</v>
      </c>
      <c r="V29" s="21" t="e">
        <f t="shared" si="4"/>
        <v>#DIV/0!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 t="s">
        <v>35</v>
      </c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5.75" thickBot="1" x14ac:dyDescent="0.3">
      <c r="A30" s="21" t="s">
        <v>69</v>
      </c>
      <c r="B30" s="21" t="s">
        <v>55</v>
      </c>
      <c r="C30" s="21"/>
      <c r="D30" s="21"/>
      <c r="E30" s="21"/>
      <c r="F30" s="21"/>
      <c r="G30" s="22">
        <v>0</v>
      </c>
      <c r="H30" s="21">
        <v>150</v>
      </c>
      <c r="I30" s="21">
        <v>8786928</v>
      </c>
      <c r="J30" s="21"/>
      <c r="K30" s="21"/>
      <c r="L30" s="21">
        <f t="shared" si="2"/>
        <v>0</v>
      </c>
      <c r="M30" s="21"/>
      <c r="N30" s="21"/>
      <c r="O30" s="21">
        <v>0</v>
      </c>
      <c r="P30" s="21">
        <f t="shared" si="3"/>
        <v>0</v>
      </c>
      <c r="Q30" s="23"/>
      <c r="R30" s="9">
        <f t="shared" si="5"/>
        <v>0</v>
      </c>
      <c r="S30" s="23"/>
      <c r="T30" s="21"/>
      <c r="U30" s="1" t="e">
        <f t="shared" si="6"/>
        <v>#DIV/0!</v>
      </c>
      <c r="V30" s="21" t="e">
        <f t="shared" si="4"/>
        <v>#DIV/0!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 t="s">
        <v>35</v>
      </c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2" t="s">
        <v>70</v>
      </c>
      <c r="B31" s="13" t="s">
        <v>34</v>
      </c>
      <c r="C31" s="13"/>
      <c r="D31" s="13"/>
      <c r="E31" s="13"/>
      <c r="F31" s="14"/>
      <c r="G31" s="7">
        <v>0.2</v>
      </c>
      <c r="H31" s="1">
        <v>120</v>
      </c>
      <c r="I31" s="1" t="s">
        <v>71</v>
      </c>
      <c r="J31" s="1"/>
      <c r="K31" s="1"/>
      <c r="L31" s="1">
        <f t="shared" si="2"/>
        <v>0</v>
      </c>
      <c r="M31" s="1"/>
      <c r="N31" s="1"/>
      <c r="O31" s="1">
        <v>160</v>
      </c>
      <c r="P31" s="1">
        <f t="shared" si="3"/>
        <v>0</v>
      </c>
      <c r="Q31" s="9"/>
      <c r="R31" s="9">
        <f t="shared" si="5"/>
        <v>0</v>
      </c>
      <c r="S31" s="9"/>
      <c r="T31" s="1"/>
      <c r="U31" s="1" t="e">
        <f t="shared" si="6"/>
        <v>#DIV/0!</v>
      </c>
      <c r="V31" s="1" t="e">
        <f t="shared" si="4"/>
        <v>#DIV/0!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-0.2</v>
      </c>
      <c r="AC31" s="1">
        <v>0</v>
      </c>
      <c r="AD31" s="1">
        <v>0</v>
      </c>
      <c r="AE31" s="1" t="s">
        <v>72</v>
      </c>
      <c r="AF31" s="1">
        <f t="shared" si="7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5.75" thickBot="1" x14ac:dyDescent="0.3">
      <c r="A32" s="15" t="s">
        <v>73</v>
      </c>
      <c r="B32" s="16" t="s">
        <v>34</v>
      </c>
      <c r="C32" s="16">
        <v>275</v>
      </c>
      <c r="D32" s="16"/>
      <c r="E32" s="16">
        <v>43</v>
      </c>
      <c r="F32" s="17">
        <v>232</v>
      </c>
      <c r="G32" s="18">
        <v>0</v>
      </c>
      <c r="H32" s="19" t="e">
        <v>#N/A</v>
      </c>
      <c r="I32" s="19" t="s">
        <v>57</v>
      </c>
      <c r="J32" s="19" t="s">
        <v>70</v>
      </c>
      <c r="K32" s="19">
        <v>48</v>
      </c>
      <c r="L32" s="19">
        <f t="shared" si="2"/>
        <v>-5</v>
      </c>
      <c r="M32" s="19"/>
      <c r="N32" s="19"/>
      <c r="O32" s="19">
        <v>0</v>
      </c>
      <c r="P32" s="19">
        <f t="shared" si="3"/>
        <v>8.6</v>
      </c>
      <c r="Q32" s="20"/>
      <c r="R32" s="9">
        <f t="shared" si="5"/>
        <v>0</v>
      </c>
      <c r="S32" s="20"/>
      <c r="T32" s="19"/>
      <c r="U32" s="1">
        <f t="shared" si="6"/>
        <v>26.976744186046513</v>
      </c>
      <c r="V32" s="19">
        <f t="shared" si="4"/>
        <v>26.976744186046513</v>
      </c>
      <c r="W32" s="19">
        <v>23.8</v>
      </c>
      <c r="X32" s="19">
        <v>20.2</v>
      </c>
      <c r="Y32" s="19">
        <v>24.6</v>
      </c>
      <c r="Z32" s="19">
        <v>13.2</v>
      </c>
      <c r="AA32" s="19">
        <v>19.399999999999999</v>
      </c>
      <c r="AB32" s="19">
        <v>12.2</v>
      </c>
      <c r="AC32" s="19">
        <v>17.2</v>
      </c>
      <c r="AD32" s="19">
        <v>14.6</v>
      </c>
      <c r="AE32" s="24" t="s">
        <v>38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2" t="s">
        <v>74</v>
      </c>
      <c r="B33" s="13" t="s">
        <v>55</v>
      </c>
      <c r="C33" s="13"/>
      <c r="D33" s="13"/>
      <c r="E33" s="13"/>
      <c r="F33" s="14"/>
      <c r="G33" s="7">
        <v>1</v>
      </c>
      <c r="H33" s="1">
        <v>120</v>
      </c>
      <c r="I33" s="1" t="s">
        <v>75</v>
      </c>
      <c r="J33" s="1"/>
      <c r="K33" s="1"/>
      <c r="L33" s="1">
        <f t="shared" si="2"/>
        <v>0</v>
      </c>
      <c r="M33" s="1"/>
      <c r="N33" s="1"/>
      <c r="O33" s="1">
        <v>75</v>
      </c>
      <c r="P33" s="1">
        <f t="shared" si="3"/>
        <v>0</v>
      </c>
      <c r="Q33" s="9"/>
      <c r="R33" s="9">
        <f t="shared" si="5"/>
        <v>0</v>
      </c>
      <c r="S33" s="9"/>
      <c r="T33" s="1"/>
      <c r="U33" s="1" t="e">
        <f t="shared" si="6"/>
        <v>#DIV/0!</v>
      </c>
      <c r="V33" s="1" t="e">
        <f t="shared" si="4"/>
        <v>#DIV/0!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 t="s">
        <v>76</v>
      </c>
      <c r="AF33" s="1">
        <f t="shared" si="7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5.75" thickBot="1" x14ac:dyDescent="0.3">
      <c r="A34" s="15" t="s">
        <v>77</v>
      </c>
      <c r="B34" s="16" t="s">
        <v>55</v>
      </c>
      <c r="C34" s="16">
        <v>45.311999999999998</v>
      </c>
      <c r="D34" s="16"/>
      <c r="E34" s="16">
        <v>19.873999999999999</v>
      </c>
      <c r="F34" s="17">
        <v>25.437999999999999</v>
      </c>
      <c r="G34" s="18">
        <v>0</v>
      </c>
      <c r="H34" s="19" t="e">
        <v>#N/A</v>
      </c>
      <c r="I34" s="19" t="s">
        <v>57</v>
      </c>
      <c r="J34" s="19" t="s">
        <v>74</v>
      </c>
      <c r="K34" s="19">
        <v>20.7</v>
      </c>
      <c r="L34" s="19">
        <f t="shared" si="2"/>
        <v>-0.82600000000000051</v>
      </c>
      <c r="M34" s="19"/>
      <c r="N34" s="19"/>
      <c r="O34" s="19">
        <v>0</v>
      </c>
      <c r="P34" s="19">
        <f t="shared" si="3"/>
        <v>3.9747999999999997</v>
      </c>
      <c r="Q34" s="20"/>
      <c r="R34" s="9">
        <f t="shared" si="5"/>
        <v>0</v>
      </c>
      <c r="S34" s="20"/>
      <c r="T34" s="19"/>
      <c r="U34" s="1">
        <f t="shared" si="6"/>
        <v>6.3998188588105061</v>
      </c>
      <c r="V34" s="19">
        <f t="shared" si="4"/>
        <v>6.3998188588105061</v>
      </c>
      <c r="W34" s="19">
        <v>6.4563999999999986</v>
      </c>
      <c r="X34" s="19">
        <v>3.8504</v>
      </c>
      <c r="Y34" s="19">
        <v>2.6360000000000001</v>
      </c>
      <c r="Z34" s="19">
        <v>5.1280000000000001</v>
      </c>
      <c r="AA34" s="19">
        <v>0</v>
      </c>
      <c r="AB34" s="19">
        <v>1.2889999999999999</v>
      </c>
      <c r="AC34" s="19">
        <v>3.0950000000000002</v>
      </c>
      <c r="AD34" s="19">
        <v>3.0209999999999999</v>
      </c>
      <c r="AE34" s="19"/>
      <c r="AF34" s="1">
        <f t="shared" si="7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2" t="s">
        <v>78</v>
      </c>
      <c r="B35" s="13" t="s">
        <v>34</v>
      </c>
      <c r="C35" s="13"/>
      <c r="D35" s="13"/>
      <c r="E35" s="13"/>
      <c r="F35" s="14"/>
      <c r="G35" s="7">
        <v>0.2</v>
      </c>
      <c r="H35" s="1">
        <v>120</v>
      </c>
      <c r="I35" s="1" t="s">
        <v>79</v>
      </c>
      <c r="J35" s="1"/>
      <c r="K35" s="1"/>
      <c r="L35" s="1">
        <f t="shared" si="2"/>
        <v>0</v>
      </c>
      <c r="M35" s="1"/>
      <c r="N35" s="1"/>
      <c r="O35" s="1">
        <v>120</v>
      </c>
      <c r="P35" s="1">
        <f t="shared" si="3"/>
        <v>0</v>
      </c>
      <c r="Q35" s="9"/>
      <c r="R35" s="9">
        <f t="shared" si="5"/>
        <v>0</v>
      </c>
      <c r="S35" s="9"/>
      <c r="T35" s="1"/>
      <c r="U35" s="1" t="e">
        <f t="shared" si="6"/>
        <v>#DIV/0!</v>
      </c>
      <c r="V35" s="1" t="e">
        <f t="shared" si="4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80</v>
      </c>
      <c r="AF35" s="1">
        <f t="shared" si="7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5.75" thickBot="1" x14ac:dyDescent="0.3">
      <c r="A36" s="15" t="s">
        <v>81</v>
      </c>
      <c r="B36" s="16" t="s">
        <v>34</v>
      </c>
      <c r="C36" s="16">
        <v>191</v>
      </c>
      <c r="D36" s="16"/>
      <c r="E36" s="16">
        <v>31</v>
      </c>
      <c r="F36" s="17">
        <v>160</v>
      </c>
      <c r="G36" s="18">
        <v>0</v>
      </c>
      <c r="H36" s="19" t="e">
        <v>#N/A</v>
      </c>
      <c r="I36" s="19" t="s">
        <v>57</v>
      </c>
      <c r="J36" s="19" t="s">
        <v>78</v>
      </c>
      <c r="K36" s="19">
        <v>37</v>
      </c>
      <c r="L36" s="19">
        <f t="shared" si="2"/>
        <v>-6</v>
      </c>
      <c r="M36" s="19"/>
      <c r="N36" s="19"/>
      <c r="O36" s="19">
        <v>0</v>
      </c>
      <c r="P36" s="19">
        <f t="shared" si="3"/>
        <v>6.2</v>
      </c>
      <c r="Q36" s="20"/>
      <c r="R36" s="9">
        <f t="shared" si="5"/>
        <v>0</v>
      </c>
      <c r="S36" s="20"/>
      <c r="T36" s="19"/>
      <c r="U36" s="1">
        <f t="shared" si="6"/>
        <v>25.806451612903224</v>
      </c>
      <c r="V36" s="19">
        <f t="shared" si="4"/>
        <v>25.806451612903224</v>
      </c>
      <c r="W36" s="19">
        <v>15.8</v>
      </c>
      <c r="X36" s="19">
        <v>14.8</v>
      </c>
      <c r="Y36" s="19">
        <v>17</v>
      </c>
      <c r="Z36" s="19">
        <v>14</v>
      </c>
      <c r="AA36" s="19">
        <v>11.6</v>
      </c>
      <c r="AB36" s="19">
        <v>11.2</v>
      </c>
      <c r="AC36" s="19">
        <v>11.8</v>
      </c>
      <c r="AD36" s="19">
        <v>8.4</v>
      </c>
      <c r="AE36" s="24" t="s">
        <v>38</v>
      </c>
      <c r="AF36" s="1">
        <f t="shared" si="7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82</v>
      </c>
      <c r="B37" s="13" t="s">
        <v>55</v>
      </c>
      <c r="C37" s="13"/>
      <c r="D37" s="13"/>
      <c r="E37" s="13"/>
      <c r="F37" s="14"/>
      <c r="G37" s="7">
        <v>1</v>
      </c>
      <c r="H37" s="1">
        <v>120</v>
      </c>
      <c r="I37" s="1" t="s">
        <v>83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/>
      <c r="R37" s="9">
        <f t="shared" si="5"/>
        <v>0</v>
      </c>
      <c r="S37" s="9"/>
      <c r="T37" s="1"/>
      <c r="U37" s="1" t="e">
        <f t="shared" si="6"/>
        <v>#DIV/0!</v>
      </c>
      <c r="V37" s="1" t="e">
        <f t="shared" si="4"/>
        <v>#DIV/0!</v>
      </c>
      <c r="W37" s="1">
        <v>0</v>
      </c>
      <c r="X37" s="1">
        <v>0</v>
      </c>
      <c r="Y37" s="1">
        <v>0</v>
      </c>
      <c r="Z37" s="1">
        <v>0</v>
      </c>
      <c r="AA37" s="1">
        <v>0.71440000000000003</v>
      </c>
      <c r="AB37" s="1">
        <v>0.72240000000000004</v>
      </c>
      <c r="AC37" s="1">
        <v>2.2132000000000001</v>
      </c>
      <c r="AD37" s="1">
        <v>4.3284000000000002</v>
      </c>
      <c r="AE37" s="1" t="s">
        <v>84</v>
      </c>
      <c r="AF37" s="1">
        <f t="shared" si="7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thickBot="1" x14ac:dyDescent="0.3">
      <c r="A38" s="15" t="s">
        <v>85</v>
      </c>
      <c r="B38" s="16" t="s">
        <v>55</v>
      </c>
      <c r="C38" s="16"/>
      <c r="D38" s="16">
        <v>30</v>
      </c>
      <c r="E38" s="16"/>
      <c r="F38" s="17">
        <v>30</v>
      </c>
      <c r="G38" s="18">
        <v>0</v>
      </c>
      <c r="H38" s="19" t="e">
        <v>#N/A</v>
      </c>
      <c r="I38" s="19" t="s">
        <v>57</v>
      </c>
      <c r="J38" s="19" t="s">
        <v>82</v>
      </c>
      <c r="K38" s="19"/>
      <c r="L38" s="19">
        <f t="shared" si="2"/>
        <v>0</v>
      </c>
      <c r="M38" s="19"/>
      <c r="N38" s="19"/>
      <c r="O38" s="19">
        <v>0</v>
      </c>
      <c r="P38" s="19">
        <f t="shared" si="3"/>
        <v>0</v>
      </c>
      <c r="Q38" s="20"/>
      <c r="R38" s="9">
        <f t="shared" si="5"/>
        <v>0</v>
      </c>
      <c r="S38" s="20"/>
      <c r="T38" s="19"/>
      <c r="U38" s="1" t="e">
        <f t="shared" si="6"/>
        <v>#DIV/0!</v>
      </c>
      <c r="V38" s="19" t="e">
        <f t="shared" si="4"/>
        <v>#DIV/0!</v>
      </c>
      <c r="W38" s="19">
        <v>2.0851999999999999</v>
      </c>
      <c r="X38" s="19">
        <v>2.0992000000000002</v>
      </c>
      <c r="Y38" s="19">
        <v>0</v>
      </c>
      <c r="Z38" s="19">
        <v>4.1436000000000002</v>
      </c>
      <c r="AA38" s="19">
        <v>1.3952</v>
      </c>
      <c r="AB38" s="19">
        <v>1.4543999999999999</v>
      </c>
      <c r="AC38" s="19">
        <v>0.71560000000000001</v>
      </c>
      <c r="AD38" s="19">
        <v>0</v>
      </c>
      <c r="AE38" s="19"/>
      <c r="AF38" s="1">
        <f t="shared" si="7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21" t="s">
        <v>86</v>
      </c>
      <c r="B39" s="21" t="s">
        <v>34</v>
      </c>
      <c r="C39" s="21"/>
      <c r="D39" s="21"/>
      <c r="E39" s="21"/>
      <c r="F39" s="21"/>
      <c r="G39" s="22">
        <v>0</v>
      </c>
      <c r="H39" s="21">
        <v>180</v>
      </c>
      <c r="I39" s="21">
        <v>9988377</v>
      </c>
      <c r="J39" s="21"/>
      <c r="K39" s="21"/>
      <c r="L39" s="21">
        <f t="shared" si="2"/>
        <v>0</v>
      </c>
      <c r="M39" s="21"/>
      <c r="N39" s="21"/>
      <c r="O39" s="21">
        <v>0</v>
      </c>
      <c r="P39" s="21">
        <f t="shared" si="3"/>
        <v>0</v>
      </c>
      <c r="Q39" s="23"/>
      <c r="R39" s="9">
        <f t="shared" si="5"/>
        <v>0</v>
      </c>
      <c r="S39" s="23"/>
      <c r="T39" s="21"/>
      <c r="U39" s="1" t="e">
        <f t="shared" si="6"/>
        <v>#DIV/0!</v>
      </c>
      <c r="V39" s="21" t="e">
        <f t="shared" si="4"/>
        <v>#DIV/0!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 t="s">
        <v>35</v>
      </c>
      <c r="AF39" s="1">
        <f t="shared" si="7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0"/>
      <c r="B40" s="10"/>
      <c r="C40" s="10"/>
      <c r="D40" s="10"/>
      <c r="E40" s="10"/>
      <c r="F40" s="10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40</v>
      </c>
      <c r="B41" s="1" t="s">
        <v>34</v>
      </c>
      <c r="C41" s="1">
        <v>97</v>
      </c>
      <c r="D41" s="1"/>
      <c r="E41" s="1">
        <v>12</v>
      </c>
      <c r="F41" s="1">
        <v>85</v>
      </c>
      <c r="G41" s="7">
        <v>0.18</v>
      </c>
      <c r="H41" s="1">
        <v>120</v>
      </c>
      <c r="I41" s="1"/>
      <c r="J41" s="1"/>
      <c r="K41" s="1">
        <v>12</v>
      </c>
      <c r="L41" s="1">
        <f>E41-K41</f>
        <v>0</v>
      </c>
      <c r="M41" s="1"/>
      <c r="N41" s="1"/>
      <c r="O41" s="1"/>
      <c r="P41" s="1">
        <f>E41/5</f>
        <v>2.4</v>
      </c>
      <c r="Q41" s="9"/>
      <c r="R41" s="9">
        <f t="shared" si="5"/>
        <v>0</v>
      </c>
      <c r="S41" s="9"/>
      <c r="T41" s="1"/>
      <c r="U41" s="1">
        <f t="shared" si="6"/>
        <v>35.416666666666671</v>
      </c>
      <c r="V41" s="1">
        <f>(F41+O41)/P41</f>
        <v>35.416666666666671</v>
      </c>
      <c r="W41" s="1">
        <v>1.6</v>
      </c>
      <c r="X41" s="1">
        <v>2.8</v>
      </c>
      <c r="Y41" s="1">
        <v>7.8</v>
      </c>
      <c r="Z41" s="1">
        <v>1.4</v>
      </c>
      <c r="AA41" s="1">
        <v>1.4</v>
      </c>
      <c r="AB41" s="1">
        <v>5.6</v>
      </c>
      <c r="AC41" s="1">
        <v>1.2</v>
      </c>
      <c r="AD41" s="1">
        <v>2.8</v>
      </c>
      <c r="AE41" s="25" t="s">
        <v>87</v>
      </c>
      <c r="AF41" s="1">
        <f t="shared" si="7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41</v>
      </c>
      <c r="B42" s="1" t="s">
        <v>34</v>
      </c>
      <c r="C42" s="1">
        <v>51</v>
      </c>
      <c r="D42" s="1">
        <v>20</v>
      </c>
      <c r="E42" s="1">
        <v>18</v>
      </c>
      <c r="F42" s="1">
        <v>53</v>
      </c>
      <c r="G42" s="7">
        <v>0.18</v>
      </c>
      <c r="H42" s="1">
        <v>120</v>
      </c>
      <c r="I42" s="1"/>
      <c r="J42" s="1"/>
      <c r="K42" s="1">
        <v>18</v>
      </c>
      <c r="L42" s="1">
        <f>E42-K42</f>
        <v>0</v>
      </c>
      <c r="M42" s="1"/>
      <c r="N42" s="1"/>
      <c r="O42" s="1"/>
      <c r="P42" s="1">
        <f>E42/5</f>
        <v>3.6</v>
      </c>
      <c r="Q42" s="9">
        <f t="shared" ref="Q42" si="11">20*P42-O42-F42</f>
        <v>19</v>
      </c>
      <c r="R42" s="9">
        <v>20</v>
      </c>
      <c r="S42" s="9"/>
      <c r="T42" s="1"/>
      <c r="U42" s="1">
        <f t="shared" si="6"/>
        <v>20.277777777777779</v>
      </c>
      <c r="V42" s="1">
        <f>(F42+O42)/P42</f>
        <v>14.722222222222221</v>
      </c>
      <c r="W42" s="1">
        <v>1.4</v>
      </c>
      <c r="X42" s="1">
        <v>3.6</v>
      </c>
      <c r="Y42" s="1">
        <v>4.4000000000000004</v>
      </c>
      <c r="Z42" s="1">
        <v>0.8</v>
      </c>
      <c r="AA42" s="1">
        <v>0.8</v>
      </c>
      <c r="AB42" s="1">
        <v>4</v>
      </c>
      <c r="AC42" s="1">
        <v>2.6</v>
      </c>
      <c r="AD42" s="1">
        <v>3.8</v>
      </c>
      <c r="AE42" s="26" t="s">
        <v>88</v>
      </c>
      <c r="AF42" s="1">
        <f t="shared" si="7"/>
        <v>3.5999999999999996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1" t="s">
        <v>33</v>
      </c>
      <c r="B43" s="21" t="s">
        <v>34</v>
      </c>
      <c r="C43" s="21"/>
      <c r="D43" s="21"/>
      <c r="E43" s="21"/>
      <c r="F43" s="21"/>
      <c r="G43" s="22">
        <v>0</v>
      </c>
      <c r="H43" s="21"/>
      <c r="I43" s="21">
        <v>4421577</v>
      </c>
      <c r="J43" s="21"/>
      <c r="K43" s="21"/>
      <c r="L43" s="21">
        <f>E43-K43</f>
        <v>0</v>
      </c>
      <c r="M43" s="21"/>
      <c r="N43" s="21"/>
      <c r="O43" s="21"/>
      <c r="P43" s="21">
        <f>E43/5</f>
        <v>0</v>
      </c>
      <c r="Q43" s="23"/>
      <c r="R43" s="23"/>
      <c r="S43" s="23"/>
      <c r="T43" s="21"/>
      <c r="U43" s="21" t="e">
        <f>(F43+O43+Q43)/P43</f>
        <v>#DIV/0!</v>
      </c>
      <c r="V43" s="21" t="e">
        <f>(F43+O43)/P43</f>
        <v>#DIV/0!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 t="s">
        <v>35</v>
      </c>
      <c r="AF43" s="2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1" t="s">
        <v>36</v>
      </c>
      <c r="B44" s="21" t="s">
        <v>34</v>
      </c>
      <c r="C44" s="21"/>
      <c r="D44" s="21"/>
      <c r="E44" s="21"/>
      <c r="F44" s="21"/>
      <c r="G44" s="22">
        <v>0</v>
      </c>
      <c r="H44" s="21"/>
      <c r="I44" s="21">
        <v>4421584</v>
      </c>
      <c r="J44" s="21"/>
      <c r="K44" s="21"/>
      <c r="L44" s="21">
        <f>E44-K44</f>
        <v>0</v>
      </c>
      <c r="M44" s="21"/>
      <c r="N44" s="21"/>
      <c r="O44" s="21"/>
      <c r="P44" s="21">
        <f>E44/5</f>
        <v>0</v>
      </c>
      <c r="Q44" s="23"/>
      <c r="R44" s="23"/>
      <c r="S44" s="23"/>
      <c r="T44" s="21"/>
      <c r="U44" s="21" t="e">
        <f>(F44+O44+Q44)/P44</f>
        <v>#DIV/0!</v>
      </c>
      <c r="V44" s="21" t="e">
        <f>(F44+O44)/P44</f>
        <v>#DIV/0!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 t="s">
        <v>35</v>
      </c>
      <c r="AF44" s="2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</sheetData>
  <autoFilter ref="A3:AF39" xr:uid="{EB4336F4-44A2-498C-BADC-88AF522AE57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2025-12-08T10:44:17Z</dcterms:created>
  <dcterms:modified xsi:type="dcterms:W3CDTF">2025-12-10T11:19:38Z</dcterms:modified>
</cp:coreProperties>
</file>