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D2FF7306-7E0C-4353-88C6-7321F8BA42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3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6" i="1"/>
  <c r="R5" i="1" l="1"/>
  <c r="Q39" i="1"/>
  <c r="Q33" i="1"/>
  <c r="Q19" i="1"/>
  <c r="Q17" i="1"/>
  <c r="Q14" i="1"/>
  <c r="Q13" i="1"/>
  <c r="AF11" i="1"/>
  <c r="P11" i="1"/>
  <c r="U11" i="1" s="1"/>
  <c r="V11" i="1" l="1"/>
  <c r="V45" i="1" l="1"/>
  <c r="U45" i="1"/>
  <c r="V44" i="1"/>
  <c r="U44" i="1"/>
  <c r="V43" i="1"/>
  <c r="U43" i="1"/>
  <c r="V42" i="1"/>
  <c r="U42" i="1"/>
  <c r="P45" i="1"/>
  <c r="P44" i="1"/>
  <c r="P43" i="1"/>
  <c r="P42" i="1"/>
  <c r="P7" i="1"/>
  <c r="U7" i="1" s="1"/>
  <c r="P8" i="1"/>
  <c r="U8" i="1" s="1"/>
  <c r="P9" i="1"/>
  <c r="U9" i="1" s="1"/>
  <c r="P10" i="1"/>
  <c r="U10" i="1" s="1"/>
  <c r="P12" i="1"/>
  <c r="U12" i="1" s="1"/>
  <c r="P13" i="1"/>
  <c r="U13" i="1" s="1"/>
  <c r="P14" i="1"/>
  <c r="U14" i="1" s="1"/>
  <c r="P15" i="1"/>
  <c r="U15" i="1" s="1"/>
  <c r="P16" i="1"/>
  <c r="U16" i="1" s="1"/>
  <c r="P17" i="1"/>
  <c r="U17" i="1" s="1"/>
  <c r="P18" i="1"/>
  <c r="U18" i="1" s="1"/>
  <c r="P19" i="1"/>
  <c r="U19" i="1" s="1"/>
  <c r="P20" i="1"/>
  <c r="U20" i="1" s="1"/>
  <c r="P21" i="1"/>
  <c r="U21" i="1" s="1"/>
  <c r="P22" i="1"/>
  <c r="U22" i="1" s="1"/>
  <c r="P23" i="1"/>
  <c r="U23" i="1" s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U31" i="1" s="1"/>
  <c r="P32" i="1"/>
  <c r="U32" i="1" s="1"/>
  <c r="P33" i="1"/>
  <c r="U33" i="1" s="1"/>
  <c r="P34" i="1"/>
  <c r="U34" i="1" s="1"/>
  <c r="P35" i="1"/>
  <c r="U35" i="1" s="1"/>
  <c r="P36" i="1"/>
  <c r="U36" i="1" s="1"/>
  <c r="P37" i="1"/>
  <c r="U37" i="1" s="1"/>
  <c r="P38" i="1"/>
  <c r="U38" i="1" s="1"/>
  <c r="P39" i="1"/>
  <c r="U39" i="1" s="1"/>
  <c r="P40" i="1"/>
  <c r="U40" i="1" s="1"/>
  <c r="P6" i="1"/>
  <c r="V6" i="1" s="1"/>
  <c r="L40" i="1"/>
  <c r="AF39" i="1"/>
  <c r="L39" i="1"/>
  <c r="L38" i="1"/>
  <c r="AF37" i="1"/>
  <c r="L37" i="1"/>
  <c r="L36" i="1"/>
  <c r="AF35" i="1"/>
  <c r="L35" i="1"/>
  <c r="L34" i="1"/>
  <c r="AF33" i="1"/>
  <c r="L33" i="1"/>
  <c r="L32" i="1"/>
  <c r="L31" i="1"/>
  <c r="L30" i="1"/>
  <c r="L29" i="1"/>
  <c r="L28" i="1"/>
  <c r="L27" i="1"/>
  <c r="L26" i="1"/>
  <c r="L25" i="1"/>
  <c r="AF24" i="1"/>
  <c r="L24" i="1"/>
  <c r="L23" i="1"/>
  <c r="AF22" i="1"/>
  <c r="L22" i="1"/>
  <c r="L21" i="1"/>
  <c r="AF20" i="1"/>
  <c r="L20" i="1"/>
  <c r="AF19" i="1"/>
  <c r="L19" i="1"/>
  <c r="L18" i="1"/>
  <c r="AF17" i="1"/>
  <c r="L17" i="1"/>
  <c r="L16" i="1"/>
  <c r="L15" i="1"/>
  <c r="AF14" i="1"/>
  <c r="L14" i="1"/>
  <c r="AF13" i="1"/>
  <c r="L13" i="1"/>
  <c r="L12" i="1"/>
  <c r="L10" i="1"/>
  <c r="AF9" i="1"/>
  <c r="L9" i="1"/>
  <c r="L8" i="1"/>
  <c r="AF43" i="1"/>
  <c r="L43" i="1"/>
  <c r="AF42" i="1"/>
  <c r="L42" i="1"/>
  <c r="AF7" i="1"/>
  <c r="L7" i="1"/>
  <c r="AF6" i="1"/>
  <c r="L6" i="1"/>
  <c r="L45" i="1"/>
  <c r="L44" i="1"/>
  <c r="AD5" i="1"/>
  <c r="AC5" i="1"/>
  <c r="AB5" i="1"/>
  <c r="AA5" i="1"/>
  <c r="Z5" i="1"/>
  <c r="Y5" i="1"/>
  <c r="X5" i="1"/>
  <c r="W5" i="1"/>
  <c r="S5" i="1"/>
  <c r="Q5" i="1"/>
  <c r="O5" i="1"/>
  <c r="N5" i="1"/>
  <c r="M5" i="1"/>
  <c r="K5" i="1"/>
  <c r="F5" i="1"/>
  <c r="E5" i="1"/>
  <c r="V38" i="1" l="1"/>
  <c r="V34" i="1"/>
  <c r="V30" i="1"/>
  <c r="V26" i="1"/>
  <c r="V22" i="1"/>
  <c r="V18" i="1"/>
  <c r="V14" i="1"/>
  <c r="V9" i="1"/>
  <c r="V40" i="1"/>
  <c r="V36" i="1"/>
  <c r="V32" i="1"/>
  <c r="V28" i="1"/>
  <c r="V24" i="1"/>
  <c r="V20" i="1"/>
  <c r="V16" i="1"/>
  <c r="V12" i="1"/>
  <c r="V7" i="1"/>
  <c r="U6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0" i="1"/>
  <c r="V8" i="1"/>
  <c r="L5" i="1"/>
  <c r="AF5" i="1"/>
  <c r="P5" i="1"/>
</calcChain>
</file>

<file path=xl/sharedStrings.xml><?xml version="1.0" encoding="utf-8"?>
<sst xmlns="http://schemas.openxmlformats.org/spreadsheetml/2006/main" count="174" uniqueCount="93">
  <si>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</si>
  <si>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</si>
  <si>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</si>
  <si>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</si>
  <si>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</si>
  <si>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</si>
  <si>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</si>
  <si>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</si>
  <si>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</si>
  <si>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</si>
  <si>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</si>
  <si>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</si>
  <si>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</si>
  <si>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</si>
  <si>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</si>
  <si>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</si>
  <si>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</si>
  <si>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</si>
  <si>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</si>
  <si>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</si>
  <si>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</si>
  <si>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</si>
  <si>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</si>
  <si>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</si>
  <si>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24,11,</t>
  </si>
  <si>
    <t>10,11,</t>
  </si>
  <si>
    <t>03,11,</t>
  </si>
  <si>
    <t>27,10,</t>
  </si>
  <si>
    <t>20,10,</t>
  </si>
  <si>
    <t>13,10,</t>
  </si>
  <si>
    <t>06,10,</t>
  </si>
  <si>
    <t>29,09,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</si>
  <si>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</si>
  <si>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</si>
  <si>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</si>
  <si>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</si>
  <si>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</si>
  <si>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</si>
  <si>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</si>
  <si>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</si>
  <si>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с 13,08,25 заказываем для ОП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</si>
  <si>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</si>
  <si>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</si>
  <si>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</si>
  <si>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</si>
  <si>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</si>
  <si>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</si>
  <si>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</si>
  <si>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</si>
  <si>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</si>
  <si>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</si>
  <si>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</si>
  <si>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</si>
  <si>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ж. 45% газ среда, 400 гр (8 шт)  Останкино</t>
  </si>
  <si>
    <t>не в матрице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</si>
  <si>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</si>
  <si>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</si>
  <si>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</si>
  <si>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</si>
  <si>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</si>
  <si>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</si>
  <si>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</si>
  <si>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</si>
  <si>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</si>
  <si>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</si>
  <si>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</si>
  <si>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</si>
  <si>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</si>
  <si>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</si>
  <si>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</si>
  <si>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</si>
  <si>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</si>
  <si>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</si>
  <si>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</si>
  <si>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</si>
  <si>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</si>
  <si>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</si>
  <si>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</si>
  <si>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</si>
  <si>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</si>
  <si>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</si>
  <si>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</si>
  <si>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</si>
  <si>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</si>
  <si>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</si>
  <si>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</si>
  <si>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(30кг)</t>
  </si>
  <si>
    <t>Сыч/Прод Коровино Тильзитер Оригин 50% ВЕС НОВАЯ (5 кг брус) СЗМЖ  ОСТАНКИНО</t>
  </si>
  <si>
    <t>Творожный Сыр 60% Сливочный  СТМ "ПапаМожет" 140гр.</t>
  </si>
  <si>
    <t>новинка</t>
  </si>
  <si>
    <t>итого</t>
  </si>
  <si>
    <t>заказ</t>
  </si>
  <si>
    <t>01,12,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</si>
</sst>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164" fontId="4" fillId="7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0" fontId="0" fillId="0" borderId="1" xfId="0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2" sqref="T4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7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8" width="7" style="30" customWidth="1"/>
    <col min="19" max="19" width="7" customWidth="1"/>
    <col min="20" max="20" width="21" customWidth="1"/>
    <col min="21" max="22" width="5" customWidth="1"/>
    <col min="23" max="30" width="6" customWidth="1"/>
    <col min="31" max="31" width="47.7109375" customWidth="1"/>
    <col min="32" max="32" width="7" customWidth="1"/>
    <col min="33" max="51" width="5" customWidth="1"/>
  </cols>
  <sheetData>
    <row r="1" spans="1:51" x14ac:dyDescent="0.25">
      <c r="A1" s="1"/>
      <c r="B1" s="1"/>
      <c r="C1" s="1"/>
      <c r="D1" s="1"/>
      <c r="E1" s="1"/>
      <c r="F1" s="1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6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90</v>
      </c>
      <c r="R3" s="3" t="s">
        <v>91</v>
      </c>
      <c r="S3" s="8" t="s">
        <v>16</v>
      </c>
      <c r="T3" s="8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5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 t="s">
        <v>92</v>
      </c>
      <c r="S4" s="1"/>
      <c r="T4" s="1"/>
      <c r="U4" s="1"/>
      <c r="V4" s="1"/>
      <c r="W4" s="1" t="s">
        <v>23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SUM(E6:E497)</f>
        <v>786.17599999999993</v>
      </c>
      <c r="F5" s="4">
        <f>SUM(F6:F497)</f>
        <v>1092.9110000000001</v>
      </c>
      <c r="G5" s="5"/>
      <c r="H5" s="1"/>
      <c r="I5" s="1"/>
      <c r="J5" s="1"/>
      <c r="K5" s="4">
        <f t="shared" ref="K5:S5" si="0">SUM(K6:K497)</f>
        <v>844</v>
      </c>
      <c r="L5" s="4">
        <f t="shared" si="0"/>
        <v>-57.824000000000005</v>
      </c>
      <c r="M5" s="4">
        <f t="shared" si="0"/>
        <v>0</v>
      </c>
      <c r="N5" s="4">
        <f t="shared" si="0"/>
        <v>0</v>
      </c>
      <c r="O5" s="4">
        <f t="shared" si="0"/>
        <v>1444</v>
      </c>
      <c r="P5" s="4">
        <f t="shared" si="0"/>
        <v>157.23520000000002</v>
      </c>
      <c r="Q5" s="4">
        <f t="shared" si="0"/>
        <v>1006.558</v>
      </c>
      <c r="R5" s="4">
        <f t="shared" si="0"/>
        <v>1020</v>
      </c>
      <c r="S5" s="4">
        <f t="shared" si="0"/>
        <v>0</v>
      </c>
      <c r="T5" s="1"/>
      <c r="U5" s="1"/>
      <c r="V5" s="1"/>
      <c r="W5" s="4">
        <f t="shared" ref="W5:AD5" si="1">SUM(W6:W497)</f>
        <v>148.61800000000002</v>
      </c>
      <c r="X5" s="4">
        <f t="shared" si="1"/>
        <v>100.97140000000002</v>
      </c>
      <c r="Y5" s="4">
        <f t="shared" si="1"/>
        <v>111.83159999999999</v>
      </c>
      <c r="Z5" s="4">
        <f t="shared" si="1"/>
        <v>122.2042</v>
      </c>
      <c r="AA5" s="4">
        <f t="shared" si="1"/>
        <v>102.42359999999999</v>
      </c>
      <c r="AB5" s="4">
        <f t="shared" si="1"/>
        <v>75.769400000000005</v>
      </c>
      <c r="AC5" s="4">
        <f t="shared" si="1"/>
        <v>129.31459999999998</v>
      </c>
      <c r="AD5" s="4">
        <f t="shared" si="1"/>
        <v>61.685200000000002</v>
      </c>
      <c r="AE5" s="1"/>
      <c r="AF5" s="4">
        <f>SUM(AF6:AF497)</f>
        <v>207.77799999999999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33</v>
      </c>
      <c r="C6" s="1">
        <v>190</v>
      </c>
      <c r="D6" s="1"/>
      <c r="E6" s="1">
        <v>21</v>
      </c>
      <c r="F6" s="1">
        <v>169</v>
      </c>
      <c r="G6" s="5">
        <v>0.18</v>
      </c>
      <c r="H6" s="1">
        <v>270</v>
      </c>
      <c r="I6" s="1">
        <v>9988438</v>
      </c>
      <c r="J6" s="1"/>
      <c r="K6" s="1">
        <v>21</v>
      </c>
      <c r="L6" s="1">
        <f t="shared" ref="L6:L40" si="2">E6-K6</f>
        <v>0</v>
      </c>
      <c r="M6" s="1"/>
      <c r="N6" s="1"/>
      <c r="O6" s="1">
        <v>0</v>
      </c>
      <c r="P6" s="1">
        <f>E6/5</f>
        <v>4.2</v>
      </c>
      <c r="Q6" s="9"/>
      <c r="R6" s="9">
        <f>IFERROR(VLOOKUP(A6,заказ!A:B,2,0),0)</f>
        <v>0</v>
      </c>
      <c r="S6" s="9"/>
      <c r="T6" s="1"/>
      <c r="U6" s="1">
        <f>(F6+O6+Q6)/P6</f>
        <v>40.238095238095234</v>
      </c>
      <c r="V6" s="1">
        <f>(F6+O6)/P6</f>
        <v>40.238095238095234</v>
      </c>
      <c r="W6" s="1">
        <v>1.4</v>
      </c>
      <c r="X6" s="1">
        <v>2.2000000000000002</v>
      </c>
      <c r="Y6" s="1">
        <v>11.4</v>
      </c>
      <c r="Z6" s="1">
        <v>0.8</v>
      </c>
      <c r="AA6" s="1">
        <v>3.8</v>
      </c>
      <c r="AB6" s="1">
        <v>0</v>
      </c>
      <c r="AC6" s="1">
        <v>10.199999999999999</v>
      </c>
      <c r="AD6" s="1">
        <v>2.8</v>
      </c>
      <c r="AE6" s="29" t="s">
        <v>37</v>
      </c>
      <c r="AF6" s="1">
        <f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33</v>
      </c>
      <c r="C7" s="1">
        <v>223</v>
      </c>
      <c r="D7" s="1"/>
      <c r="E7" s="1">
        <v>19</v>
      </c>
      <c r="F7" s="1">
        <v>204</v>
      </c>
      <c r="G7" s="5">
        <v>0.18</v>
      </c>
      <c r="H7" s="1">
        <v>270</v>
      </c>
      <c r="I7" s="1">
        <v>9988445</v>
      </c>
      <c r="J7" s="1"/>
      <c r="K7" s="1">
        <v>19</v>
      </c>
      <c r="L7" s="1">
        <f t="shared" si="2"/>
        <v>0</v>
      </c>
      <c r="M7" s="1"/>
      <c r="N7" s="1"/>
      <c r="O7" s="1">
        <v>0</v>
      </c>
      <c r="P7" s="1">
        <f t="shared" ref="P7:P45" si="3">E7/5</f>
        <v>3.8</v>
      </c>
      <c r="Q7" s="9"/>
      <c r="R7" s="9">
        <f>IFERROR(VLOOKUP(A7,заказ!A:B,2,0),0)</f>
        <v>0</v>
      </c>
      <c r="S7" s="9"/>
      <c r="T7" s="1"/>
      <c r="U7" s="1">
        <f t="shared" ref="U7:U40" si="4">(F7+O7+Q7)/P7</f>
        <v>53.684210526315795</v>
      </c>
      <c r="V7" s="1">
        <f t="shared" ref="V7:V40" si="5">(F7+O7)/P7</f>
        <v>53.684210526315795</v>
      </c>
      <c r="W7" s="1">
        <v>1.4</v>
      </c>
      <c r="X7" s="1">
        <v>2.2000000000000002</v>
      </c>
      <c r="Y7" s="1">
        <v>4.8</v>
      </c>
      <c r="Z7" s="1">
        <v>7.4</v>
      </c>
      <c r="AA7" s="1">
        <v>16</v>
      </c>
      <c r="AB7" s="1">
        <v>0.4</v>
      </c>
      <c r="AC7" s="1">
        <v>7.6</v>
      </c>
      <c r="AD7" s="1">
        <v>3.2</v>
      </c>
      <c r="AE7" s="29" t="s">
        <v>37</v>
      </c>
      <c r="AF7" s="1">
        <f>G7*Q7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26" t="s">
        <v>42</v>
      </c>
      <c r="B8" s="26" t="s">
        <v>33</v>
      </c>
      <c r="C8" s="26"/>
      <c r="D8" s="26"/>
      <c r="E8" s="26"/>
      <c r="F8" s="26"/>
      <c r="G8" s="27">
        <v>0</v>
      </c>
      <c r="H8" s="26">
        <v>270</v>
      </c>
      <c r="I8" s="26">
        <v>9988452</v>
      </c>
      <c r="J8" s="26"/>
      <c r="K8" s="26"/>
      <c r="L8" s="26">
        <f t="shared" si="2"/>
        <v>0</v>
      </c>
      <c r="M8" s="26"/>
      <c r="N8" s="26"/>
      <c r="O8" s="26">
        <v>0</v>
      </c>
      <c r="P8" s="26">
        <f t="shared" si="3"/>
        <v>0</v>
      </c>
      <c r="Q8" s="28"/>
      <c r="R8" s="9">
        <f>IFERROR(VLOOKUP(A8,заказ!A:B,2,0),0)</f>
        <v>0</v>
      </c>
      <c r="S8" s="28"/>
      <c r="T8" s="26"/>
      <c r="U8" s="26" t="e">
        <f t="shared" si="4"/>
        <v>#DIV/0!</v>
      </c>
      <c r="V8" s="26" t="e">
        <f t="shared" si="5"/>
        <v>#DIV/0!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 t="s">
        <v>43</v>
      </c>
      <c r="AF8" s="26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44</v>
      </c>
      <c r="B9" s="1" t="s">
        <v>33</v>
      </c>
      <c r="C9" s="1">
        <v>10</v>
      </c>
      <c r="D9" s="1"/>
      <c r="E9" s="1">
        <v>9</v>
      </c>
      <c r="F9" s="1">
        <v>1</v>
      </c>
      <c r="G9" s="5">
        <v>0.4</v>
      </c>
      <c r="H9" s="1">
        <v>270</v>
      </c>
      <c r="I9" s="1">
        <v>9988476</v>
      </c>
      <c r="J9" s="1"/>
      <c r="K9" s="1">
        <v>27</v>
      </c>
      <c r="L9" s="1">
        <f t="shared" si="2"/>
        <v>-18</v>
      </c>
      <c r="M9" s="1"/>
      <c r="N9" s="1"/>
      <c r="O9" s="1">
        <v>84</v>
      </c>
      <c r="P9" s="1">
        <f t="shared" si="3"/>
        <v>1.8</v>
      </c>
      <c r="Q9" s="9"/>
      <c r="R9" s="9">
        <f>IFERROR(VLOOKUP(A9,заказ!A:B,2,0),0)</f>
        <v>0</v>
      </c>
      <c r="S9" s="9"/>
      <c r="T9" s="1"/>
      <c r="U9" s="1">
        <f t="shared" si="4"/>
        <v>47.222222222222221</v>
      </c>
      <c r="V9" s="1">
        <f t="shared" si="5"/>
        <v>47.222222222222221</v>
      </c>
      <c r="W9" s="1">
        <v>5</v>
      </c>
      <c r="X9" s="1">
        <v>2</v>
      </c>
      <c r="Y9" s="1">
        <v>2.2000000000000002</v>
      </c>
      <c r="Z9" s="1">
        <v>0.4</v>
      </c>
      <c r="AA9" s="1">
        <v>1.8</v>
      </c>
      <c r="AB9" s="1">
        <v>2.4</v>
      </c>
      <c r="AC9" s="1">
        <v>0.8</v>
      </c>
      <c r="AD9" s="1">
        <v>0</v>
      </c>
      <c r="AE9" s="1" t="s">
        <v>45</v>
      </c>
      <c r="AF9" s="1">
        <f>G9*Q9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26" t="s">
        <v>46</v>
      </c>
      <c r="B10" s="26" t="s">
        <v>33</v>
      </c>
      <c r="C10" s="26"/>
      <c r="D10" s="26"/>
      <c r="E10" s="26"/>
      <c r="F10" s="26"/>
      <c r="G10" s="27">
        <v>0</v>
      </c>
      <c r="H10" s="26">
        <v>150</v>
      </c>
      <c r="I10" s="26">
        <v>5034819</v>
      </c>
      <c r="J10" s="26"/>
      <c r="K10" s="26"/>
      <c r="L10" s="26">
        <f t="shared" si="2"/>
        <v>0</v>
      </c>
      <c r="M10" s="26"/>
      <c r="N10" s="26"/>
      <c r="O10" s="26">
        <v>0</v>
      </c>
      <c r="P10" s="26">
        <f t="shared" si="3"/>
        <v>0</v>
      </c>
      <c r="Q10" s="28"/>
      <c r="R10" s="9">
        <f>IFERROR(VLOOKUP(A10,заказ!A:B,2,0),0)</f>
        <v>0</v>
      </c>
      <c r="S10" s="28"/>
      <c r="T10" s="26"/>
      <c r="U10" s="26" t="e">
        <f t="shared" si="4"/>
        <v>#DIV/0!</v>
      </c>
      <c r="V10" s="26" t="e">
        <f t="shared" si="5"/>
        <v>#DIV/0!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>
        <v>0</v>
      </c>
      <c r="AE10" s="26" t="s">
        <v>34</v>
      </c>
      <c r="AF10" s="26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s="25" customFormat="1" x14ac:dyDescent="0.25">
      <c r="A11" s="21" t="s">
        <v>88</v>
      </c>
      <c r="B11" s="22" t="s">
        <v>33</v>
      </c>
      <c r="C11" s="22"/>
      <c r="D11" s="22"/>
      <c r="E11" s="22"/>
      <c r="F11" s="22"/>
      <c r="G11" s="23">
        <v>0.14000000000000001</v>
      </c>
      <c r="H11" s="21">
        <v>180</v>
      </c>
      <c r="I11" s="22">
        <v>9988377</v>
      </c>
      <c r="J11" s="22"/>
      <c r="K11" s="22"/>
      <c r="L11" s="22"/>
      <c r="M11" s="22"/>
      <c r="N11" s="22"/>
      <c r="O11" s="22"/>
      <c r="P11" s="22">
        <f t="shared" si="3"/>
        <v>0</v>
      </c>
      <c r="Q11" s="24"/>
      <c r="R11" s="9">
        <f>IFERROR(VLOOKUP(A11,заказ!A:B,2,0),0)</f>
        <v>0</v>
      </c>
      <c r="S11" s="24"/>
      <c r="T11" s="22"/>
      <c r="U11" s="22" t="e">
        <f t="shared" si="4"/>
        <v>#DIV/0!</v>
      </c>
      <c r="V11" s="22" t="e">
        <f t="shared" si="5"/>
        <v>#DIV/0!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1" t="s">
        <v>89</v>
      </c>
      <c r="AF11" s="22">
        <f t="shared" ref="AF11" si="6">G11*Q11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26" t="s">
        <v>47</v>
      </c>
      <c r="B12" s="26" t="s">
        <v>33</v>
      </c>
      <c r="C12" s="26"/>
      <c r="D12" s="26"/>
      <c r="E12" s="26"/>
      <c r="F12" s="26"/>
      <c r="G12" s="27">
        <v>0</v>
      </c>
      <c r="H12" s="26">
        <v>90</v>
      </c>
      <c r="I12" s="26">
        <v>8444163</v>
      </c>
      <c r="J12" s="26"/>
      <c r="K12" s="26"/>
      <c r="L12" s="26">
        <f t="shared" si="2"/>
        <v>0</v>
      </c>
      <c r="M12" s="26"/>
      <c r="N12" s="26"/>
      <c r="O12" s="26">
        <v>0</v>
      </c>
      <c r="P12" s="26">
        <f t="shared" si="3"/>
        <v>0</v>
      </c>
      <c r="Q12" s="28"/>
      <c r="R12" s="9">
        <f>IFERROR(VLOOKUP(A12,заказ!A:B,2,0),0)</f>
        <v>0</v>
      </c>
      <c r="S12" s="28"/>
      <c r="T12" s="26"/>
      <c r="U12" s="26" t="e">
        <f t="shared" si="4"/>
        <v>#DIV/0!</v>
      </c>
      <c r="V12" s="26" t="e">
        <f t="shared" si="5"/>
        <v>#DIV/0!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6">
        <v>0</v>
      </c>
      <c r="AC12" s="26">
        <v>0</v>
      </c>
      <c r="AD12" s="26">
        <v>0</v>
      </c>
      <c r="AE12" s="26" t="s">
        <v>34</v>
      </c>
      <c r="AF12" s="26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33</v>
      </c>
      <c r="C13" s="1">
        <v>102</v>
      </c>
      <c r="D13" s="1">
        <v>30</v>
      </c>
      <c r="E13" s="1">
        <v>120</v>
      </c>
      <c r="F13" s="1">
        <v>5</v>
      </c>
      <c r="G13" s="5">
        <v>0.18</v>
      </c>
      <c r="H13" s="1">
        <v>150</v>
      </c>
      <c r="I13" s="1">
        <v>5038411</v>
      </c>
      <c r="J13" s="1"/>
      <c r="K13" s="1">
        <v>128</v>
      </c>
      <c r="L13" s="1">
        <f t="shared" si="2"/>
        <v>-8</v>
      </c>
      <c r="M13" s="1"/>
      <c r="N13" s="1"/>
      <c r="O13" s="1">
        <v>200</v>
      </c>
      <c r="P13" s="1">
        <f t="shared" si="3"/>
        <v>24</v>
      </c>
      <c r="Q13" s="9">
        <f t="shared" ref="Q13:Q14" si="7">20*P13-O13-F13</f>
        <v>275</v>
      </c>
      <c r="R13" s="9">
        <f>IFERROR(VLOOKUP(A13,заказ!A:B,2,0),0)</f>
        <v>280</v>
      </c>
      <c r="S13" s="9"/>
      <c r="T13" s="1"/>
      <c r="U13" s="1">
        <f t="shared" si="4"/>
        <v>20</v>
      </c>
      <c r="V13" s="1">
        <f t="shared" si="5"/>
        <v>8.5416666666666661</v>
      </c>
      <c r="W13" s="1">
        <v>16.399999999999999</v>
      </c>
      <c r="X13" s="1">
        <v>10.8</v>
      </c>
      <c r="Y13" s="1">
        <v>12</v>
      </c>
      <c r="Z13" s="1">
        <v>14</v>
      </c>
      <c r="AA13" s="1">
        <v>7.8</v>
      </c>
      <c r="AB13" s="1">
        <v>7.2</v>
      </c>
      <c r="AC13" s="1">
        <v>10.199999999999999</v>
      </c>
      <c r="AD13" s="1">
        <v>2.6</v>
      </c>
      <c r="AE13" s="1"/>
      <c r="AF13" s="1">
        <f>G13*Q13</f>
        <v>49.5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33</v>
      </c>
      <c r="C14" s="1">
        <v>207</v>
      </c>
      <c r="D14" s="1"/>
      <c r="E14" s="1">
        <v>109</v>
      </c>
      <c r="F14" s="1">
        <v>68</v>
      </c>
      <c r="G14" s="5">
        <v>0.18</v>
      </c>
      <c r="H14" s="1">
        <v>150</v>
      </c>
      <c r="I14" s="1">
        <v>5038459</v>
      </c>
      <c r="J14" s="1"/>
      <c r="K14" s="1">
        <v>131</v>
      </c>
      <c r="L14" s="1">
        <f t="shared" si="2"/>
        <v>-22</v>
      </c>
      <c r="M14" s="1"/>
      <c r="N14" s="1"/>
      <c r="O14" s="1">
        <v>150</v>
      </c>
      <c r="P14" s="1">
        <f t="shared" si="3"/>
        <v>21.8</v>
      </c>
      <c r="Q14" s="9">
        <f t="shared" si="7"/>
        <v>218</v>
      </c>
      <c r="R14" s="9">
        <f>IFERROR(VLOOKUP(A14,заказ!A:B,2,0),0)</f>
        <v>220</v>
      </c>
      <c r="S14" s="9"/>
      <c r="T14" s="1"/>
      <c r="U14" s="1">
        <f t="shared" si="4"/>
        <v>20</v>
      </c>
      <c r="V14" s="1">
        <f t="shared" si="5"/>
        <v>10</v>
      </c>
      <c r="W14" s="1">
        <v>18</v>
      </c>
      <c r="X14" s="1">
        <v>12.6</v>
      </c>
      <c r="Y14" s="1">
        <v>17.8</v>
      </c>
      <c r="Z14" s="1">
        <v>18.399999999999999</v>
      </c>
      <c r="AA14" s="1">
        <v>8.8000000000000007</v>
      </c>
      <c r="AB14" s="1">
        <v>9.6</v>
      </c>
      <c r="AC14" s="1">
        <v>14.4</v>
      </c>
      <c r="AD14" s="1">
        <v>7.4</v>
      </c>
      <c r="AE14" s="1"/>
      <c r="AF14" s="1">
        <f>G14*Q14</f>
        <v>39.24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6" t="s">
        <v>50</v>
      </c>
      <c r="B15" s="26" t="s">
        <v>33</v>
      </c>
      <c r="C15" s="26"/>
      <c r="D15" s="26"/>
      <c r="E15" s="26"/>
      <c r="F15" s="26"/>
      <c r="G15" s="27">
        <v>0</v>
      </c>
      <c r="H15" s="26">
        <v>150</v>
      </c>
      <c r="I15" s="26">
        <v>5038831</v>
      </c>
      <c r="J15" s="26"/>
      <c r="K15" s="26"/>
      <c r="L15" s="26">
        <f t="shared" si="2"/>
        <v>0</v>
      </c>
      <c r="M15" s="26"/>
      <c r="N15" s="26"/>
      <c r="O15" s="26">
        <v>0</v>
      </c>
      <c r="P15" s="26">
        <f t="shared" si="3"/>
        <v>0</v>
      </c>
      <c r="Q15" s="28"/>
      <c r="R15" s="9">
        <f>IFERROR(VLOOKUP(A15,заказ!A:B,2,0),0)</f>
        <v>0</v>
      </c>
      <c r="S15" s="28"/>
      <c r="T15" s="26"/>
      <c r="U15" s="26" t="e">
        <f t="shared" si="4"/>
        <v>#DIV/0!</v>
      </c>
      <c r="V15" s="26" t="e">
        <f t="shared" si="5"/>
        <v>#DIV/0!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v>0</v>
      </c>
      <c r="AD15" s="26">
        <v>0</v>
      </c>
      <c r="AE15" s="26" t="s">
        <v>34</v>
      </c>
      <c r="AF15" s="2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26" t="s">
        <v>51</v>
      </c>
      <c r="B16" s="26" t="s">
        <v>33</v>
      </c>
      <c r="C16" s="26"/>
      <c r="D16" s="26"/>
      <c r="E16" s="26"/>
      <c r="F16" s="26"/>
      <c r="G16" s="27">
        <v>0</v>
      </c>
      <c r="H16" s="26">
        <v>120</v>
      </c>
      <c r="I16" s="26">
        <v>5038855</v>
      </c>
      <c r="J16" s="26"/>
      <c r="K16" s="26"/>
      <c r="L16" s="26">
        <f t="shared" si="2"/>
        <v>0</v>
      </c>
      <c r="M16" s="26"/>
      <c r="N16" s="26"/>
      <c r="O16" s="26">
        <v>0</v>
      </c>
      <c r="P16" s="26">
        <f t="shared" si="3"/>
        <v>0</v>
      </c>
      <c r="Q16" s="28"/>
      <c r="R16" s="9">
        <f>IFERROR(VLOOKUP(A16,заказ!A:B,2,0),0)</f>
        <v>0</v>
      </c>
      <c r="S16" s="28"/>
      <c r="T16" s="26"/>
      <c r="U16" s="26" t="e">
        <f t="shared" si="4"/>
        <v>#DIV/0!</v>
      </c>
      <c r="V16" s="26" t="e">
        <f t="shared" si="5"/>
        <v>#DIV/0!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0</v>
      </c>
      <c r="AE16" s="26" t="s">
        <v>34</v>
      </c>
      <c r="AF16" s="26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33</v>
      </c>
      <c r="C17" s="1">
        <v>127</v>
      </c>
      <c r="D17" s="1">
        <v>60</v>
      </c>
      <c r="E17" s="1">
        <v>181</v>
      </c>
      <c r="F17" s="1">
        <v>5</v>
      </c>
      <c r="G17" s="5">
        <v>0.18</v>
      </c>
      <c r="H17" s="1">
        <v>150</v>
      </c>
      <c r="I17" s="1">
        <v>5038435</v>
      </c>
      <c r="J17" s="1"/>
      <c r="K17" s="1">
        <v>182</v>
      </c>
      <c r="L17" s="1">
        <f t="shared" si="2"/>
        <v>-1</v>
      </c>
      <c r="M17" s="1"/>
      <c r="N17" s="1"/>
      <c r="O17" s="1">
        <v>320</v>
      </c>
      <c r="P17" s="1">
        <f t="shared" si="3"/>
        <v>36.200000000000003</v>
      </c>
      <c r="Q17" s="9">
        <f>20*P17-O17-F17</f>
        <v>399</v>
      </c>
      <c r="R17" s="9">
        <f>IFERROR(VLOOKUP(A17,заказ!A:B,2,0),0)</f>
        <v>400</v>
      </c>
      <c r="S17" s="9"/>
      <c r="T17" s="1"/>
      <c r="U17" s="1">
        <f t="shared" si="4"/>
        <v>20</v>
      </c>
      <c r="V17" s="1">
        <f t="shared" si="5"/>
        <v>8.9779005524861866</v>
      </c>
      <c r="W17" s="1">
        <v>25.4</v>
      </c>
      <c r="X17" s="1">
        <v>15.6</v>
      </c>
      <c r="Y17" s="1">
        <v>15</v>
      </c>
      <c r="Z17" s="1">
        <v>20.399999999999999</v>
      </c>
      <c r="AA17" s="1">
        <v>11</v>
      </c>
      <c r="AB17" s="1">
        <v>7.4</v>
      </c>
      <c r="AC17" s="1">
        <v>7</v>
      </c>
      <c r="AD17" s="1">
        <v>6.4</v>
      </c>
      <c r="AE17" s="1"/>
      <c r="AF17" s="1">
        <f>G17*Q17</f>
        <v>71.819999999999993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5" t="s">
        <v>53</v>
      </c>
      <c r="B18" s="15" t="s">
        <v>33</v>
      </c>
      <c r="C18" s="15"/>
      <c r="D18" s="15"/>
      <c r="E18" s="15">
        <v>2</v>
      </c>
      <c r="F18" s="15">
        <v>-2</v>
      </c>
      <c r="G18" s="16">
        <v>0</v>
      </c>
      <c r="H18" s="15"/>
      <c r="I18" s="15" t="s">
        <v>54</v>
      </c>
      <c r="J18" s="15"/>
      <c r="K18" s="15">
        <v>2</v>
      </c>
      <c r="L18" s="15">
        <f t="shared" si="2"/>
        <v>0</v>
      </c>
      <c r="M18" s="15"/>
      <c r="N18" s="15"/>
      <c r="O18" s="15"/>
      <c r="P18" s="15">
        <f t="shared" si="3"/>
        <v>0.4</v>
      </c>
      <c r="Q18" s="17"/>
      <c r="R18" s="9">
        <f>IFERROR(VLOOKUP(A18,заказ!A:B,2,0),0)</f>
        <v>0</v>
      </c>
      <c r="S18" s="17"/>
      <c r="T18" s="15"/>
      <c r="U18" s="15">
        <f t="shared" si="4"/>
        <v>-5</v>
      </c>
      <c r="V18" s="15">
        <f t="shared" si="5"/>
        <v>-5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/>
      <c r="AF18" s="15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t="15.75" thickBot="1" x14ac:dyDescent="0.3">
      <c r="A19" s="1" t="s">
        <v>55</v>
      </c>
      <c r="B19" s="1" t="s">
        <v>33</v>
      </c>
      <c r="C19" s="1">
        <v>172</v>
      </c>
      <c r="D19" s="1"/>
      <c r="E19" s="1">
        <v>82</v>
      </c>
      <c r="F19" s="1">
        <v>81</v>
      </c>
      <c r="G19" s="5">
        <v>0.18</v>
      </c>
      <c r="H19" s="1">
        <v>120</v>
      </c>
      <c r="I19" s="1">
        <v>5038398</v>
      </c>
      <c r="J19" s="1"/>
      <c r="K19" s="1">
        <v>90</v>
      </c>
      <c r="L19" s="1">
        <f t="shared" si="2"/>
        <v>-8</v>
      </c>
      <c r="M19" s="1"/>
      <c r="N19" s="1"/>
      <c r="O19" s="1">
        <v>220</v>
      </c>
      <c r="P19" s="1">
        <f t="shared" si="3"/>
        <v>16.399999999999999</v>
      </c>
      <c r="Q19" s="9">
        <f>20*P19-O19-F19</f>
        <v>27</v>
      </c>
      <c r="R19" s="9">
        <f>IFERROR(VLOOKUP(A19,заказ!A:B,2,0),0)</f>
        <v>30</v>
      </c>
      <c r="S19" s="9"/>
      <c r="T19" s="1"/>
      <c r="U19" s="1">
        <f t="shared" si="4"/>
        <v>20</v>
      </c>
      <c r="V19" s="1">
        <f t="shared" si="5"/>
        <v>18.353658536585368</v>
      </c>
      <c r="W19" s="1">
        <v>19.8</v>
      </c>
      <c r="X19" s="1">
        <v>14.2</v>
      </c>
      <c r="Y19" s="1">
        <v>12.6</v>
      </c>
      <c r="Z19" s="1">
        <v>21.2</v>
      </c>
      <c r="AA19" s="1">
        <v>11.8</v>
      </c>
      <c r="AB19" s="1">
        <v>7.8</v>
      </c>
      <c r="AC19" s="1">
        <v>17.2</v>
      </c>
      <c r="AD19" s="1">
        <v>0.8</v>
      </c>
      <c r="AE19" s="1"/>
      <c r="AF19" s="1">
        <f>G19*Q19</f>
        <v>4.8599999999999994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2" t="s">
        <v>56</v>
      </c>
      <c r="B20" s="13" t="s">
        <v>57</v>
      </c>
      <c r="C20" s="13"/>
      <c r="D20" s="13"/>
      <c r="E20" s="13"/>
      <c r="F20" s="14"/>
      <c r="G20" s="5">
        <v>1</v>
      </c>
      <c r="H20" s="1">
        <v>150</v>
      </c>
      <c r="I20" s="1">
        <v>8785242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f t="shared" si="3"/>
        <v>0</v>
      </c>
      <c r="Q20" s="9"/>
      <c r="R20" s="9">
        <f>IFERROR(VLOOKUP(A20,заказ!A:B,2,0),0)</f>
        <v>0</v>
      </c>
      <c r="S20" s="9"/>
      <c r="T20" s="1"/>
      <c r="U20" s="1" t="e">
        <f t="shared" si="4"/>
        <v>#DIV/0!</v>
      </c>
      <c r="V20" s="1" t="e">
        <f t="shared" si="5"/>
        <v>#DIV/0!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/>
      <c r="AF20" s="1">
        <f>G20*Q20</f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ht="15.75" thickBot="1" x14ac:dyDescent="0.3">
      <c r="A21" s="18" t="s">
        <v>58</v>
      </c>
      <c r="B21" s="19" t="s">
        <v>57</v>
      </c>
      <c r="C21" s="19">
        <v>32.247999999999998</v>
      </c>
      <c r="D21" s="19"/>
      <c r="E21" s="19"/>
      <c r="F21" s="20">
        <v>32.247999999999998</v>
      </c>
      <c r="G21" s="16">
        <v>0</v>
      </c>
      <c r="H21" s="15" t="e">
        <v>#N/A</v>
      </c>
      <c r="I21" s="15" t="s">
        <v>59</v>
      </c>
      <c r="J21" s="15" t="s">
        <v>56</v>
      </c>
      <c r="K21" s="15"/>
      <c r="L21" s="15">
        <f t="shared" si="2"/>
        <v>0</v>
      </c>
      <c r="M21" s="15"/>
      <c r="N21" s="15"/>
      <c r="O21" s="15">
        <v>0</v>
      </c>
      <c r="P21" s="15">
        <f t="shared" si="3"/>
        <v>0</v>
      </c>
      <c r="Q21" s="17"/>
      <c r="R21" s="9">
        <f>IFERROR(VLOOKUP(A21,заказ!A:B,2,0),0)</f>
        <v>0</v>
      </c>
      <c r="S21" s="17"/>
      <c r="T21" s="15"/>
      <c r="U21" s="15" t="e">
        <f t="shared" si="4"/>
        <v>#DIV/0!</v>
      </c>
      <c r="V21" s="15" t="e">
        <f t="shared" si="5"/>
        <v>#DIV/0!</v>
      </c>
      <c r="W21" s="15">
        <v>1.3512</v>
      </c>
      <c r="X21" s="15">
        <v>0.67720000000000002</v>
      </c>
      <c r="Y21" s="15">
        <v>0</v>
      </c>
      <c r="Z21" s="15">
        <v>0</v>
      </c>
      <c r="AA21" s="15">
        <v>1.3088</v>
      </c>
      <c r="AB21" s="15">
        <v>0</v>
      </c>
      <c r="AC21" s="15">
        <v>3.4451999999999998</v>
      </c>
      <c r="AD21" s="15">
        <v>1.3460000000000001</v>
      </c>
      <c r="AE21" s="29" t="s">
        <v>37</v>
      </c>
      <c r="AF21" s="15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2" t="s">
        <v>60</v>
      </c>
      <c r="B22" s="13" t="s">
        <v>57</v>
      </c>
      <c r="C22" s="13"/>
      <c r="D22" s="13"/>
      <c r="E22" s="13"/>
      <c r="F22" s="14"/>
      <c r="G22" s="5">
        <v>1</v>
      </c>
      <c r="H22" s="1">
        <v>150</v>
      </c>
      <c r="I22" s="1">
        <v>8785235</v>
      </c>
      <c r="J22" s="1"/>
      <c r="K22" s="1"/>
      <c r="L22" s="1">
        <f t="shared" si="2"/>
        <v>0</v>
      </c>
      <c r="M22" s="1"/>
      <c r="N22" s="1"/>
      <c r="O22" s="1">
        <v>0</v>
      </c>
      <c r="P22" s="1">
        <f t="shared" si="3"/>
        <v>0</v>
      </c>
      <c r="Q22" s="9"/>
      <c r="R22" s="9">
        <f>IFERROR(VLOOKUP(A22,заказ!A:B,2,0),0)</f>
        <v>0</v>
      </c>
      <c r="S22" s="9"/>
      <c r="T22" s="1"/>
      <c r="U22" s="1" t="e">
        <f t="shared" si="4"/>
        <v>#DIV/0!</v>
      </c>
      <c r="V22" s="1" t="e">
        <f t="shared" si="5"/>
        <v>#DIV/0!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>G22*Q22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t="15.75" thickBot="1" x14ac:dyDescent="0.3">
      <c r="A23" s="18" t="s">
        <v>61</v>
      </c>
      <c r="B23" s="19" t="s">
        <v>57</v>
      </c>
      <c r="C23" s="19">
        <v>33.965000000000003</v>
      </c>
      <c r="D23" s="19"/>
      <c r="E23" s="19"/>
      <c r="F23" s="20">
        <v>33.965000000000003</v>
      </c>
      <c r="G23" s="16">
        <v>0</v>
      </c>
      <c r="H23" s="15" t="e">
        <v>#N/A</v>
      </c>
      <c r="I23" s="15" t="s">
        <v>59</v>
      </c>
      <c r="J23" s="15" t="s">
        <v>60</v>
      </c>
      <c r="K23" s="15"/>
      <c r="L23" s="15">
        <f t="shared" si="2"/>
        <v>0</v>
      </c>
      <c r="M23" s="15"/>
      <c r="N23" s="15"/>
      <c r="O23" s="15">
        <v>0</v>
      </c>
      <c r="P23" s="15">
        <f t="shared" si="3"/>
        <v>0</v>
      </c>
      <c r="Q23" s="17"/>
      <c r="R23" s="9">
        <f>IFERROR(VLOOKUP(A23,заказ!A:B,2,0),0)</f>
        <v>0</v>
      </c>
      <c r="S23" s="17"/>
      <c r="T23" s="15"/>
      <c r="U23" s="15" t="e">
        <f t="shared" si="4"/>
        <v>#DIV/0!</v>
      </c>
      <c r="V23" s="15" t="e">
        <f t="shared" si="5"/>
        <v>#DIV/0!</v>
      </c>
      <c r="W23" s="15">
        <v>1.3939999999999999</v>
      </c>
      <c r="X23" s="15">
        <v>0.68899999999999995</v>
      </c>
      <c r="Y23" s="15">
        <v>0.72199999999999998</v>
      </c>
      <c r="Z23" s="15">
        <v>0.68499999999999994</v>
      </c>
      <c r="AA23" s="15">
        <v>0.64900000000000002</v>
      </c>
      <c r="AB23" s="15">
        <v>2.78</v>
      </c>
      <c r="AC23" s="15">
        <v>4.0991999999999997</v>
      </c>
      <c r="AD23" s="15">
        <v>2.0716000000000001</v>
      </c>
      <c r="AE23" s="29" t="s">
        <v>37</v>
      </c>
      <c r="AF23" s="15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2" t="s">
        <v>62</v>
      </c>
      <c r="B24" s="13" t="s">
        <v>57</v>
      </c>
      <c r="C24" s="13"/>
      <c r="D24" s="13"/>
      <c r="E24" s="13"/>
      <c r="F24" s="14"/>
      <c r="G24" s="5">
        <v>1</v>
      </c>
      <c r="H24" s="1">
        <v>120</v>
      </c>
      <c r="I24" s="1">
        <v>8785204</v>
      </c>
      <c r="J24" s="1"/>
      <c r="K24" s="1"/>
      <c r="L24" s="1">
        <f t="shared" si="2"/>
        <v>0</v>
      </c>
      <c r="M24" s="1"/>
      <c r="N24" s="1"/>
      <c r="O24" s="1">
        <v>0</v>
      </c>
      <c r="P24" s="1">
        <f t="shared" si="3"/>
        <v>0</v>
      </c>
      <c r="Q24" s="9"/>
      <c r="R24" s="9">
        <f>IFERROR(VLOOKUP(A24,заказ!A:B,2,0),0)</f>
        <v>0</v>
      </c>
      <c r="S24" s="9"/>
      <c r="T24" s="1"/>
      <c r="U24" s="1" t="e">
        <f t="shared" si="4"/>
        <v>#DIV/0!</v>
      </c>
      <c r="V24" s="1" t="e">
        <f t="shared" si="5"/>
        <v>#DIV/0!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/>
      <c r="AF24" s="1">
        <f>G24*Q24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t="15.75" thickBot="1" x14ac:dyDescent="0.3">
      <c r="A25" s="18" t="s">
        <v>63</v>
      </c>
      <c r="B25" s="19" t="s">
        <v>57</v>
      </c>
      <c r="C25" s="19">
        <v>52.106000000000002</v>
      </c>
      <c r="D25" s="19"/>
      <c r="E25" s="19">
        <v>6.4279999999999999</v>
      </c>
      <c r="F25" s="20">
        <v>45.677999999999997</v>
      </c>
      <c r="G25" s="16">
        <v>0</v>
      </c>
      <c r="H25" s="15" t="e">
        <v>#N/A</v>
      </c>
      <c r="I25" s="15" t="s">
        <v>59</v>
      </c>
      <c r="J25" s="15" t="s">
        <v>62</v>
      </c>
      <c r="K25" s="15">
        <v>6.5</v>
      </c>
      <c r="L25" s="15">
        <f t="shared" si="2"/>
        <v>-7.2000000000000064E-2</v>
      </c>
      <c r="M25" s="15"/>
      <c r="N25" s="15"/>
      <c r="O25" s="15">
        <v>0</v>
      </c>
      <c r="P25" s="15">
        <f t="shared" si="3"/>
        <v>1.2856000000000001</v>
      </c>
      <c r="Q25" s="17"/>
      <c r="R25" s="9">
        <f>IFERROR(VLOOKUP(A25,заказ!A:B,2,0),0)</f>
        <v>0</v>
      </c>
      <c r="S25" s="17"/>
      <c r="T25" s="15"/>
      <c r="U25" s="15">
        <f t="shared" si="4"/>
        <v>35.53049159925326</v>
      </c>
      <c r="V25" s="15">
        <f t="shared" si="5"/>
        <v>35.53049159925326</v>
      </c>
      <c r="W25" s="15">
        <v>2.0367999999999999</v>
      </c>
      <c r="X25" s="15">
        <v>1.3335999999999999</v>
      </c>
      <c r="Y25" s="15">
        <v>0</v>
      </c>
      <c r="Z25" s="15">
        <v>2.6534</v>
      </c>
      <c r="AA25" s="15">
        <v>0.64200000000000002</v>
      </c>
      <c r="AB25" s="15">
        <v>1.24</v>
      </c>
      <c r="AC25" s="15">
        <v>4.3559999999999999</v>
      </c>
      <c r="AD25" s="15">
        <v>0</v>
      </c>
      <c r="AE25" s="29" t="s">
        <v>37</v>
      </c>
      <c r="AF25" s="15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26" t="s">
        <v>64</v>
      </c>
      <c r="B26" s="26" t="s">
        <v>33</v>
      </c>
      <c r="C26" s="26"/>
      <c r="D26" s="26"/>
      <c r="E26" s="26"/>
      <c r="F26" s="26"/>
      <c r="G26" s="27">
        <v>0</v>
      </c>
      <c r="H26" s="26">
        <v>60</v>
      </c>
      <c r="I26" s="26">
        <v>8444170</v>
      </c>
      <c r="J26" s="26"/>
      <c r="K26" s="26"/>
      <c r="L26" s="26">
        <f t="shared" si="2"/>
        <v>0</v>
      </c>
      <c r="M26" s="26"/>
      <c r="N26" s="26"/>
      <c r="O26" s="26">
        <v>0</v>
      </c>
      <c r="P26" s="26">
        <f t="shared" si="3"/>
        <v>0</v>
      </c>
      <c r="Q26" s="28"/>
      <c r="R26" s="9">
        <f>IFERROR(VLOOKUP(A26,заказ!A:B,2,0),0)</f>
        <v>0</v>
      </c>
      <c r="S26" s="28"/>
      <c r="T26" s="26"/>
      <c r="U26" s="26" t="e">
        <f t="shared" si="4"/>
        <v>#DIV/0!</v>
      </c>
      <c r="V26" s="26" t="e">
        <f t="shared" si="5"/>
        <v>#DIV/0!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 t="s">
        <v>65</v>
      </c>
      <c r="AF26" s="26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6" t="s">
        <v>66</v>
      </c>
      <c r="B27" s="26" t="s">
        <v>33</v>
      </c>
      <c r="C27" s="26"/>
      <c r="D27" s="26"/>
      <c r="E27" s="26"/>
      <c r="F27" s="26"/>
      <c r="G27" s="27">
        <v>0</v>
      </c>
      <c r="H27" s="26">
        <v>180</v>
      </c>
      <c r="I27" s="26">
        <v>9988391</v>
      </c>
      <c r="J27" s="26"/>
      <c r="K27" s="26"/>
      <c r="L27" s="26">
        <f t="shared" si="2"/>
        <v>0</v>
      </c>
      <c r="M27" s="26"/>
      <c r="N27" s="26"/>
      <c r="O27" s="26">
        <v>0</v>
      </c>
      <c r="P27" s="26">
        <f t="shared" si="3"/>
        <v>0</v>
      </c>
      <c r="Q27" s="28"/>
      <c r="R27" s="9">
        <f>IFERROR(VLOOKUP(A27,заказ!A:B,2,0),0)</f>
        <v>0</v>
      </c>
      <c r="S27" s="28"/>
      <c r="T27" s="26"/>
      <c r="U27" s="26" t="e">
        <f t="shared" si="4"/>
        <v>#DIV/0!</v>
      </c>
      <c r="V27" s="26" t="e">
        <f t="shared" si="5"/>
        <v>#DIV/0!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 t="s">
        <v>34</v>
      </c>
      <c r="AF27" s="26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26" t="s">
        <v>67</v>
      </c>
      <c r="B28" s="26" t="s">
        <v>33</v>
      </c>
      <c r="C28" s="26"/>
      <c r="D28" s="26"/>
      <c r="E28" s="26"/>
      <c r="F28" s="26"/>
      <c r="G28" s="27">
        <v>0</v>
      </c>
      <c r="H28" s="26">
        <v>270</v>
      </c>
      <c r="I28" s="26">
        <v>9988681</v>
      </c>
      <c r="J28" s="26"/>
      <c r="K28" s="26"/>
      <c r="L28" s="26">
        <f t="shared" si="2"/>
        <v>0</v>
      </c>
      <c r="M28" s="26"/>
      <c r="N28" s="26"/>
      <c r="O28" s="26">
        <v>0</v>
      </c>
      <c r="P28" s="26">
        <f t="shared" si="3"/>
        <v>0</v>
      </c>
      <c r="Q28" s="28"/>
      <c r="R28" s="9">
        <f>IFERROR(VLOOKUP(A28,заказ!A:B,2,0),0)</f>
        <v>0</v>
      </c>
      <c r="S28" s="28"/>
      <c r="T28" s="26"/>
      <c r="U28" s="26" t="e">
        <f t="shared" si="4"/>
        <v>#DIV/0!</v>
      </c>
      <c r="V28" s="26" t="e">
        <f t="shared" si="5"/>
        <v>#DIV/0!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 t="s">
        <v>34</v>
      </c>
      <c r="AF28" s="26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26" t="s">
        <v>68</v>
      </c>
      <c r="B29" s="26" t="s">
        <v>57</v>
      </c>
      <c r="C29" s="26"/>
      <c r="D29" s="26"/>
      <c r="E29" s="26"/>
      <c r="F29" s="26"/>
      <c r="G29" s="27">
        <v>0</v>
      </c>
      <c r="H29" s="26">
        <v>120</v>
      </c>
      <c r="I29" s="26">
        <v>8785198</v>
      </c>
      <c r="J29" s="26"/>
      <c r="K29" s="26"/>
      <c r="L29" s="26">
        <f t="shared" si="2"/>
        <v>0</v>
      </c>
      <c r="M29" s="26"/>
      <c r="N29" s="26"/>
      <c r="O29" s="26">
        <v>0</v>
      </c>
      <c r="P29" s="26">
        <f t="shared" si="3"/>
        <v>0</v>
      </c>
      <c r="Q29" s="28"/>
      <c r="R29" s="9">
        <f>IFERROR(VLOOKUP(A29,заказ!A:B,2,0),0)</f>
        <v>0</v>
      </c>
      <c r="S29" s="28"/>
      <c r="T29" s="26"/>
      <c r="U29" s="26" t="e">
        <f t="shared" si="4"/>
        <v>#DIV/0!</v>
      </c>
      <c r="V29" s="26" t="e">
        <f t="shared" si="5"/>
        <v>#DIV/0!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>
        <v>0</v>
      </c>
      <c r="AE29" s="26" t="s">
        <v>34</v>
      </c>
      <c r="AF29" s="26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26" t="s">
        <v>69</v>
      </c>
      <c r="B30" s="26" t="s">
        <v>33</v>
      </c>
      <c r="C30" s="26"/>
      <c r="D30" s="26"/>
      <c r="E30" s="26"/>
      <c r="F30" s="26"/>
      <c r="G30" s="27">
        <v>0</v>
      </c>
      <c r="H30" s="26">
        <v>60</v>
      </c>
      <c r="I30" s="26">
        <v>8444187</v>
      </c>
      <c r="J30" s="26"/>
      <c r="K30" s="26"/>
      <c r="L30" s="26">
        <f t="shared" si="2"/>
        <v>0</v>
      </c>
      <c r="M30" s="26"/>
      <c r="N30" s="26"/>
      <c r="O30" s="26">
        <v>0</v>
      </c>
      <c r="P30" s="26">
        <f t="shared" si="3"/>
        <v>0</v>
      </c>
      <c r="Q30" s="28"/>
      <c r="R30" s="9">
        <f>IFERROR(VLOOKUP(A30,заказ!A:B,2,0),0)</f>
        <v>0</v>
      </c>
      <c r="S30" s="28"/>
      <c r="T30" s="26"/>
      <c r="U30" s="26" t="e">
        <f t="shared" si="4"/>
        <v>#DIV/0!</v>
      </c>
      <c r="V30" s="26" t="e">
        <f t="shared" si="5"/>
        <v>#DIV/0!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 t="s">
        <v>34</v>
      </c>
      <c r="AF30" s="26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26" t="s">
        <v>70</v>
      </c>
      <c r="B31" s="26" t="s">
        <v>33</v>
      </c>
      <c r="C31" s="26"/>
      <c r="D31" s="26"/>
      <c r="E31" s="26"/>
      <c r="F31" s="26"/>
      <c r="G31" s="27">
        <v>0</v>
      </c>
      <c r="H31" s="26">
        <v>90</v>
      </c>
      <c r="I31" s="26">
        <v>8444194</v>
      </c>
      <c r="J31" s="26"/>
      <c r="K31" s="26"/>
      <c r="L31" s="26">
        <f t="shared" si="2"/>
        <v>0</v>
      </c>
      <c r="M31" s="26"/>
      <c r="N31" s="26"/>
      <c r="O31" s="26">
        <v>0</v>
      </c>
      <c r="P31" s="26">
        <f t="shared" si="3"/>
        <v>0</v>
      </c>
      <c r="Q31" s="28"/>
      <c r="R31" s="9">
        <f>IFERROR(VLOOKUP(A31,заказ!A:B,2,0),0)</f>
        <v>0</v>
      </c>
      <c r="S31" s="28"/>
      <c r="T31" s="26"/>
      <c r="U31" s="26" t="e">
        <f t="shared" si="4"/>
        <v>#DIV/0!</v>
      </c>
      <c r="V31" s="26" t="e">
        <f t="shared" si="5"/>
        <v>#DIV/0!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 t="s">
        <v>34</v>
      </c>
      <c r="AF31" s="26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5.75" thickBot="1" x14ac:dyDescent="0.3">
      <c r="A32" s="26" t="s">
        <v>71</v>
      </c>
      <c r="B32" s="26" t="s">
        <v>57</v>
      </c>
      <c r="C32" s="26"/>
      <c r="D32" s="26"/>
      <c r="E32" s="26"/>
      <c r="F32" s="26"/>
      <c r="G32" s="27">
        <v>0</v>
      </c>
      <c r="H32" s="26">
        <v>150</v>
      </c>
      <c r="I32" s="26">
        <v>8786928</v>
      </c>
      <c r="J32" s="26"/>
      <c r="K32" s="26"/>
      <c r="L32" s="26">
        <f t="shared" si="2"/>
        <v>0</v>
      </c>
      <c r="M32" s="26"/>
      <c r="N32" s="26"/>
      <c r="O32" s="26">
        <v>0</v>
      </c>
      <c r="P32" s="26">
        <f t="shared" si="3"/>
        <v>0</v>
      </c>
      <c r="Q32" s="28"/>
      <c r="R32" s="9">
        <f>IFERROR(VLOOKUP(A32,заказ!A:B,2,0),0)</f>
        <v>0</v>
      </c>
      <c r="S32" s="28"/>
      <c r="T32" s="26"/>
      <c r="U32" s="26" t="e">
        <f t="shared" si="4"/>
        <v>#DIV/0!</v>
      </c>
      <c r="V32" s="26" t="e">
        <f t="shared" si="5"/>
        <v>#DIV/0!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>
        <v>0</v>
      </c>
      <c r="AE32" s="26" t="s">
        <v>34</v>
      </c>
      <c r="AF32" s="26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2" t="s">
        <v>72</v>
      </c>
      <c r="B33" s="13" t="s">
        <v>33</v>
      </c>
      <c r="C33" s="13"/>
      <c r="D33" s="13"/>
      <c r="E33" s="13"/>
      <c r="F33" s="14"/>
      <c r="G33" s="5">
        <v>0.2</v>
      </c>
      <c r="H33" s="1">
        <v>120</v>
      </c>
      <c r="I33" s="1" t="s">
        <v>73</v>
      </c>
      <c r="J33" s="1"/>
      <c r="K33" s="1"/>
      <c r="L33" s="1">
        <f t="shared" si="2"/>
        <v>0</v>
      </c>
      <c r="M33" s="1"/>
      <c r="N33" s="1"/>
      <c r="O33" s="1">
        <v>280</v>
      </c>
      <c r="P33" s="1">
        <f t="shared" si="3"/>
        <v>0</v>
      </c>
      <c r="Q33" s="9">
        <f>20*(P33+P34)-O33-O34-F33-F34</f>
        <v>36</v>
      </c>
      <c r="R33" s="9">
        <f>IFERROR(VLOOKUP(A33,заказ!A:B,2,0),0)</f>
        <v>40</v>
      </c>
      <c r="S33" s="9"/>
      <c r="T33" s="1"/>
      <c r="U33" s="1" t="e">
        <f t="shared" si="4"/>
        <v>#DIV/0!</v>
      </c>
      <c r="V33" s="1" t="e">
        <f t="shared" si="5"/>
        <v>#DIV/0!</v>
      </c>
      <c r="W33" s="1">
        <v>0</v>
      </c>
      <c r="X33" s="1">
        <v>0</v>
      </c>
      <c r="Y33" s="1">
        <v>0</v>
      </c>
      <c r="Z33" s="1">
        <v>-0.2</v>
      </c>
      <c r="AA33" s="1">
        <v>0</v>
      </c>
      <c r="AB33" s="1">
        <v>0</v>
      </c>
      <c r="AC33" s="1">
        <v>0</v>
      </c>
      <c r="AD33" s="1">
        <v>0</v>
      </c>
      <c r="AE33" s="1" t="s">
        <v>74</v>
      </c>
      <c r="AF33" s="1">
        <f>G33*Q33</f>
        <v>7.2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5.75" thickBot="1" x14ac:dyDescent="0.3">
      <c r="A34" s="18" t="s">
        <v>75</v>
      </c>
      <c r="B34" s="19" t="s">
        <v>33</v>
      </c>
      <c r="C34" s="19">
        <v>165</v>
      </c>
      <c r="D34" s="19">
        <v>24</v>
      </c>
      <c r="E34" s="19">
        <v>101</v>
      </c>
      <c r="F34" s="20">
        <v>88</v>
      </c>
      <c r="G34" s="16">
        <v>0</v>
      </c>
      <c r="H34" s="15" t="e">
        <v>#N/A</v>
      </c>
      <c r="I34" s="15" t="s">
        <v>59</v>
      </c>
      <c r="J34" s="15" t="s">
        <v>72</v>
      </c>
      <c r="K34" s="15">
        <v>101</v>
      </c>
      <c r="L34" s="15">
        <f t="shared" si="2"/>
        <v>0</v>
      </c>
      <c r="M34" s="15"/>
      <c r="N34" s="15"/>
      <c r="O34" s="15">
        <v>0</v>
      </c>
      <c r="P34" s="15">
        <f t="shared" si="3"/>
        <v>20.2</v>
      </c>
      <c r="Q34" s="17"/>
      <c r="R34" s="9">
        <f>IFERROR(VLOOKUP(A34,заказ!A:B,2,0),0)</f>
        <v>0</v>
      </c>
      <c r="S34" s="17"/>
      <c r="T34" s="15"/>
      <c r="U34" s="15">
        <f t="shared" si="4"/>
        <v>4.3564356435643568</v>
      </c>
      <c r="V34" s="15">
        <f t="shared" si="5"/>
        <v>4.3564356435643568</v>
      </c>
      <c r="W34" s="15">
        <v>24.6</v>
      </c>
      <c r="X34" s="15">
        <v>13.2</v>
      </c>
      <c r="Y34" s="15">
        <v>19.399999999999999</v>
      </c>
      <c r="Z34" s="15">
        <v>12.2</v>
      </c>
      <c r="AA34" s="15">
        <v>17.2</v>
      </c>
      <c r="AB34" s="15">
        <v>14.6</v>
      </c>
      <c r="AC34" s="15">
        <v>17</v>
      </c>
      <c r="AD34" s="15">
        <v>14.6</v>
      </c>
      <c r="AE34" s="15"/>
      <c r="AF34" s="15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2" t="s">
        <v>76</v>
      </c>
      <c r="B35" s="13" t="s">
        <v>57</v>
      </c>
      <c r="C35" s="13"/>
      <c r="D35" s="13"/>
      <c r="E35" s="13"/>
      <c r="F35" s="14"/>
      <c r="G35" s="5">
        <v>1</v>
      </c>
      <c r="H35" s="1">
        <v>120</v>
      </c>
      <c r="I35" s="1" t="s">
        <v>77</v>
      </c>
      <c r="J35" s="1"/>
      <c r="K35" s="1"/>
      <c r="L35" s="1">
        <f t="shared" si="2"/>
        <v>0</v>
      </c>
      <c r="M35" s="1"/>
      <c r="N35" s="1"/>
      <c r="O35" s="1">
        <v>0</v>
      </c>
      <c r="P35" s="1">
        <f t="shared" si="3"/>
        <v>0</v>
      </c>
      <c r="Q35" s="9"/>
      <c r="R35" s="9">
        <f>IFERROR(VLOOKUP(A35,заказ!A:B,2,0),0)</f>
        <v>0</v>
      </c>
      <c r="S35" s="9"/>
      <c r="T35" s="1"/>
      <c r="U35" s="1" t="e">
        <f t="shared" si="4"/>
        <v>#DIV/0!</v>
      </c>
      <c r="V35" s="1" t="e">
        <f t="shared" si="5"/>
        <v>#DIV/0!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 t="s">
        <v>78</v>
      </c>
      <c r="AF35" s="1">
        <f>G35*Q35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5.75" thickBot="1" x14ac:dyDescent="0.3">
      <c r="A36" s="18" t="s">
        <v>79</v>
      </c>
      <c r="B36" s="19" t="s">
        <v>57</v>
      </c>
      <c r="C36" s="19">
        <v>15.76</v>
      </c>
      <c r="D36" s="19">
        <v>81.085999999999999</v>
      </c>
      <c r="E36" s="19">
        <v>19.251999999999999</v>
      </c>
      <c r="F36" s="20">
        <v>77.593999999999994</v>
      </c>
      <c r="G36" s="16">
        <v>0</v>
      </c>
      <c r="H36" s="15" t="e">
        <v>#N/A</v>
      </c>
      <c r="I36" s="15" t="s">
        <v>59</v>
      </c>
      <c r="J36" s="15" t="s">
        <v>76</v>
      </c>
      <c r="K36" s="15">
        <v>16.5</v>
      </c>
      <c r="L36" s="15">
        <f t="shared" si="2"/>
        <v>2.7519999999999989</v>
      </c>
      <c r="M36" s="15"/>
      <c r="N36" s="15"/>
      <c r="O36" s="15">
        <v>0</v>
      </c>
      <c r="P36" s="15">
        <f t="shared" si="3"/>
        <v>3.8503999999999996</v>
      </c>
      <c r="Q36" s="17"/>
      <c r="R36" s="9">
        <f>IFERROR(VLOOKUP(A36,заказ!A:B,2,0),0)</f>
        <v>0</v>
      </c>
      <c r="S36" s="17"/>
      <c r="T36" s="15"/>
      <c r="U36" s="15">
        <f t="shared" si="4"/>
        <v>20.15219198005402</v>
      </c>
      <c r="V36" s="15">
        <f t="shared" si="5"/>
        <v>20.15219198005402</v>
      </c>
      <c r="W36" s="15">
        <v>2.6360000000000001</v>
      </c>
      <c r="X36" s="15">
        <v>5.1280000000000001</v>
      </c>
      <c r="Y36" s="15">
        <v>0</v>
      </c>
      <c r="Z36" s="15">
        <v>1.2889999999999999</v>
      </c>
      <c r="AA36" s="15">
        <v>3.0950000000000002</v>
      </c>
      <c r="AB36" s="15">
        <v>3.0209999999999999</v>
      </c>
      <c r="AC36" s="15">
        <v>3.681</v>
      </c>
      <c r="AD36" s="15">
        <v>1.2</v>
      </c>
      <c r="AE36" s="15"/>
      <c r="AF36" s="15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2" t="s">
        <v>80</v>
      </c>
      <c r="B37" s="13" t="s">
        <v>33</v>
      </c>
      <c r="C37" s="13"/>
      <c r="D37" s="13"/>
      <c r="E37" s="13"/>
      <c r="F37" s="14"/>
      <c r="G37" s="5">
        <v>0.2</v>
      </c>
      <c r="H37" s="1">
        <v>120</v>
      </c>
      <c r="I37" s="1" t="s">
        <v>81</v>
      </c>
      <c r="J37" s="1"/>
      <c r="K37" s="1"/>
      <c r="L37" s="1">
        <f t="shared" si="2"/>
        <v>0</v>
      </c>
      <c r="M37" s="1"/>
      <c r="N37" s="1"/>
      <c r="O37" s="1">
        <v>140</v>
      </c>
      <c r="P37" s="1">
        <f t="shared" si="3"/>
        <v>0</v>
      </c>
      <c r="Q37" s="9"/>
      <c r="R37" s="9">
        <f>IFERROR(VLOOKUP(A37,заказ!A:B,2,0),0)</f>
        <v>0</v>
      </c>
      <c r="S37" s="9"/>
      <c r="T37" s="1"/>
      <c r="U37" s="1" t="e">
        <f t="shared" si="4"/>
        <v>#DIV/0!</v>
      </c>
      <c r="V37" s="1" t="e">
        <f t="shared" si="5"/>
        <v>#DIV/0!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 t="s">
        <v>82</v>
      </c>
      <c r="AF37" s="1">
        <f>G37*Q37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5.75" thickBot="1" x14ac:dyDescent="0.3">
      <c r="A38" s="18" t="s">
        <v>83</v>
      </c>
      <c r="B38" s="19" t="s">
        <v>33</v>
      </c>
      <c r="C38" s="19">
        <v>79</v>
      </c>
      <c r="D38" s="19">
        <v>153</v>
      </c>
      <c r="E38" s="19">
        <v>74</v>
      </c>
      <c r="F38" s="20">
        <v>156</v>
      </c>
      <c r="G38" s="16">
        <v>0</v>
      </c>
      <c r="H38" s="15" t="e">
        <v>#N/A</v>
      </c>
      <c r="I38" s="15" t="s">
        <v>59</v>
      </c>
      <c r="J38" s="15" t="s">
        <v>80</v>
      </c>
      <c r="K38" s="15">
        <v>78</v>
      </c>
      <c r="L38" s="15">
        <f t="shared" si="2"/>
        <v>-4</v>
      </c>
      <c r="M38" s="15"/>
      <c r="N38" s="15"/>
      <c r="O38" s="15">
        <v>0</v>
      </c>
      <c r="P38" s="15">
        <f t="shared" si="3"/>
        <v>14.8</v>
      </c>
      <c r="Q38" s="17"/>
      <c r="R38" s="9">
        <f>IFERROR(VLOOKUP(A38,заказ!A:B,2,0),0)</f>
        <v>0</v>
      </c>
      <c r="S38" s="17"/>
      <c r="T38" s="15"/>
      <c r="U38" s="15">
        <f t="shared" si="4"/>
        <v>10.54054054054054</v>
      </c>
      <c r="V38" s="15">
        <f t="shared" si="5"/>
        <v>10.54054054054054</v>
      </c>
      <c r="W38" s="15">
        <v>17</v>
      </c>
      <c r="X38" s="15">
        <v>14</v>
      </c>
      <c r="Y38" s="15">
        <v>11.6</v>
      </c>
      <c r="Z38" s="15">
        <v>11.2</v>
      </c>
      <c r="AA38" s="15">
        <v>11.8</v>
      </c>
      <c r="AB38" s="15">
        <v>8.4</v>
      </c>
      <c r="AC38" s="15">
        <v>15.6</v>
      </c>
      <c r="AD38" s="15">
        <v>12.6</v>
      </c>
      <c r="AE38" s="15"/>
      <c r="AF38" s="15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2" t="s">
        <v>84</v>
      </c>
      <c r="B39" s="13" t="s">
        <v>57</v>
      </c>
      <c r="C39" s="13"/>
      <c r="D39" s="13"/>
      <c r="E39" s="13"/>
      <c r="F39" s="14"/>
      <c r="G39" s="5">
        <v>1</v>
      </c>
      <c r="H39" s="1">
        <v>120</v>
      </c>
      <c r="I39" s="1" t="s">
        <v>85</v>
      </c>
      <c r="J39" s="1"/>
      <c r="K39" s="1"/>
      <c r="L39" s="1">
        <f t="shared" si="2"/>
        <v>0</v>
      </c>
      <c r="M39" s="1"/>
      <c r="N39" s="1"/>
      <c r="O39" s="1">
        <v>0</v>
      </c>
      <c r="P39" s="1">
        <f t="shared" si="3"/>
        <v>0</v>
      </c>
      <c r="Q39" s="9">
        <f>20*(P39+P40)-O39-O40-F39-F40</f>
        <v>31.558</v>
      </c>
      <c r="R39" s="9">
        <f>IFERROR(VLOOKUP(A39,заказ!A:B,2,0),0)</f>
        <v>30</v>
      </c>
      <c r="S39" s="9"/>
      <c r="T39" s="1"/>
      <c r="U39" s="1" t="e">
        <f t="shared" si="4"/>
        <v>#DIV/0!</v>
      </c>
      <c r="V39" s="1" t="e">
        <f t="shared" si="5"/>
        <v>#DIV/0!</v>
      </c>
      <c r="W39" s="1">
        <v>0</v>
      </c>
      <c r="X39" s="1">
        <v>0</v>
      </c>
      <c r="Y39" s="1">
        <v>0.71440000000000003</v>
      </c>
      <c r="Z39" s="1">
        <v>0.72240000000000004</v>
      </c>
      <c r="AA39" s="1">
        <v>2.2132000000000001</v>
      </c>
      <c r="AB39" s="1">
        <v>4.3284000000000002</v>
      </c>
      <c r="AC39" s="1">
        <v>0</v>
      </c>
      <c r="AD39" s="1">
        <v>3.4676</v>
      </c>
      <c r="AE39" s="1" t="s">
        <v>86</v>
      </c>
      <c r="AF39" s="1">
        <f>G39*Q39</f>
        <v>31.558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5.75" thickBot="1" x14ac:dyDescent="0.3">
      <c r="A40" s="18" t="s">
        <v>87</v>
      </c>
      <c r="B40" s="19" t="s">
        <v>57</v>
      </c>
      <c r="C40" s="19">
        <v>20.922000000000001</v>
      </c>
      <c r="D40" s="19"/>
      <c r="E40" s="19">
        <v>10.496</v>
      </c>
      <c r="F40" s="20">
        <v>10.426</v>
      </c>
      <c r="G40" s="16">
        <v>0</v>
      </c>
      <c r="H40" s="15" t="e">
        <v>#N/A</v>
      </c>
      <c r="I40" s="15" t="s">
        <v>59</v>
      </c>
      <c r="J40" s="15" t="s">
        <v>84</v>
      </c>
      <c r="K40" s="15">
        <v>10</v>
      </c>
      <c r="L40" s="15">
        <f t="shared" si="2"/>
        <v>0.49600000000000044</v>
      </c>
      <c r="M40" s="15"/>
      <c r="N40" s="15"/>
      <c r="O40" s="15">
        <v>0</v>
      </c>
      <c r="P40" s="15">
        <f t="shared" si="3"/>
        <v>2.0992000000000002</v>
      </c>
      <c r="Q40" s="17"/>
      <c r="R40" s="9">
        <f>IFERROR(VLOOKUP(A40,заказ!A:B,2,0),0)</f>
        <v>0</v>
      </c>
      <c r="S40" s="17"/>
      <c r="T40" s="15"/>
      <c r="U40" s="15">
        <f t="shared" si="4"/>
        <v>4.9666539634146334</v>
      </c>
      <c r="V40" s="15">
        <f t="shared" si="5"/>
        <v>4.9666539634146334</v>
      </c>
      <c r="W40" s="15">
        <v>0</v>
      </c>
      <c r="X40" s="15">
        <v>4.1436000000000002</v>
      </c>
      <c r="Y40" s="15">
        <v>1.3952</v>
      </c>
      <c r="Z40" s="15">
        <v>1.4543999999999999</v>
      </c>
      <c r="AA40" s="15">
        <v>0.71560000000000001</v>
      </c>
      <c r="AB40" s="15">
        <v>0</v>
      </c>
      <c r="AC40" s="15">
        <v>0.73319999999999996</v>
      </c>
      <c r="AD40" s="15">
        <v>0</v>
      </c>
      <c r="AE40" s="15" t="s">
        <v>37</v>
      </c>
      <c r="AF40" s="15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0"/>
      <c r="B41" s="10"/>
      <c r="C41" s="10"/>
      <c r="D41" s="10"/>
      <c r="E41" s="10"/>
      <c r="F41" s="10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39</v>
      </c>
      <c r="B42" s="1" t="s">
        <v>33</v>
      </c>
      <c r="C42" s="1">
        <v>74</v>
      </c>
      <c r="D42" s="1"/>
      <c r="E42" s="1">
        <v>14</v>
      </c>
      <c r="F42" s="1">
        <v>60</v>
      </c>
      <c r="G42" s="5">
        <v>0.18</v>
      </c>
      <c r="H42" s="1">
        <v>120</v>
      </c>
      <c r="I42" s="1"/>
      <c r="J42" s="1"/>
      <c r="K42" s="1">
        <v>14</v>
      </c>
      <c r="L42" s="1">
        <f>E42-K42</f>
        <v>0</v>
      </c>
      <c r="M42" s="1"/>
      <c r="N42" s="1"/>
      <c r="O42" s="1">
        <v>50</v>
      </c>
      <c r="P42" s="1">
        <f t="shared" si="3"/>
        <v>2.8</v>
      </c>
      <c r="Q42" s="9"/>
      <c r="R42" s="9"/>
      <c r="S42" s="9"/>
      <c r="T42" s="1"/>
      <c r="U42" s="1">
        <f t="shared" ref="U42:U45" si="8">(F42+O42+Q42)/P42</f>
        <v>39.285714285714285</v>
      </c>
      <c r="V42" s="1">
        <f t="shared" ref="V42:V45" si="9">(F42+O42)/P42</f>
        <v>39.285714285714285</v>
      </c>
      <c r="W42" s="1">
        <v>7.8</v>
      </c>
      <c r="X42" s="1">
        <v>1.4</v>
      </c>
      <c r="Y42" s="1">
        <v>1.4</v>
      </c>
      <c r="Z42" s="1">
        <v>5.6</v>
      </c>
      <c r="AA42" s="1">
        <v>1.2</v>
      </c>
      <c r="AB42" s="1">
        <v>2.8</v>
      </c>
      <c r="AC42" s="1">
        <v>5.2</v>
      </c>
      <c r="AD42" s="1">
        <v>1.6</v>
      </c>
      <c r="AE42" s="1" t="s">
        <v>40</v>
      </c>
      <c r="AF42" s="1">
        <f>G42*Q42</f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41</v>
      </c>
      <c r="B43" s="1" t="s">
        <v>33</v>
      </c>
      <c r="C43" s="1">
        <v>76</v>
      </c>
      <c r="D43" s="1"/>
      <c r="E43" s="1">
        <v>18</v>
      </c>
      <c r="F43" s="1">
        <v>58</v>
      </c>
      <c r="G43" s="5">
        <v>0.18</v>
      </c>
      <c r="H43" s="1">
        <v>120</v>
      </c>
      <c r="I43" s="1"/>
      <c r="J43" s="1"/>
      <c r="K43" s="1">
        <v>18</v>
      </c>
      <c r="L43" s="1">
        <f>E43-K43</f>
        <v>0</v>
      </c>
      <c r="M43" s="1"/>
      <c r="N43" s="1"/>
      <c r="O43" s="1"/>
      <c r="P43" s="1">
        <f t="shared" si="3"/>
        <v>3.6</v>
      </c>
      <c r="Q43" s="9">
        <v>20</v>
      </c>
      <c r="R43" s="9">
        <f>Q43</f>
        <v>20</v>
      </c>
      <c r="S43" s="9"/>
      <c r="T43" s="1"/>
      <c r="U43" s="1">
        <f t="shared" si="8"/>
        <v>21.666666666666668</v>
      </c>
      <c r="V43" s="1">
        <f t="shared" si="9"/>
        <v>16.111111111111111</v>
      </c>
      <c r="W43" s="1">
        <v>4.4000000000000004</v>
      </c>
      <c r="X43" s="1">
        <v>0.8</v>
      </c>
      <c r="Y43" s="1">
        <v>0.8</v>
      </c>
      <c r="Z43" s="1">
        <v>4</v>
      </c>
      <c r="AA43" s="1">
        <v>2.6</v>
      </c>
      <c r="AB43" s="1">
        <v>3.8</v>
      </c>
      <c r="AC43" s="1">
        <v>7.8</v>
      </c>
      <c r="AD43" s="1">
        <v>1.6</v>
      </c>
      <c r="AE43" s="1" t="s">
        <v>40</v>
      </c>
      <c r="AF43" s="1">
        <f>G43*Q43</f>
        <v>3.5999999999999996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26" t="s">
        <v>32</v>
      </c>
      <c r="B44" s="26" t="s">
        <v>33</v>
      </c>
      <c r="C44" s="26"/>
      <c r="D44" s="26"/>
      <c r="E44" s="26"/>
      <c r="F44" s="26"/>
      <c r="G44" s="27">
        <v>0</v>
      </c>
      <c r="H44" s="26"/>
      <c r="I44" s="26">
        <v>4421577</v>
      </c>
      <c r="J44" s="26"/>
      <c r="K44" s="26"/>
      <c r="L44" s="26">
        <f>E44-K44</f>
        <v>0</v>
      </c>
      <c r="M44" s="26"/>
      <c r="N44" s="26"/>
      <c r="O44" s="26"/>
      <c r="P44" s="26">
        <f t="shared" si="3"/>
        <v>0</v>
      </c>
      <c r="Q44" s="28"/>
      <c r="R44" s="28"/>
      <c r="S44" s="28"/>
      <c r="T44" s="26"/>
      <c r="U44" s="26" t="e">
        <f t="shared" si="8"/>
        <v>#DIV/0!</v>
      </c>
      <c r="V44" s="26" t="e">
        <f t="shared" si="9"/>
        <v>#DIV/0!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  <c r="AD44" s="26">
        <v>0</v>
      </c>
      <c r="AE44" s="26" t="s">
        <v>34</v>
      </c>
      <c r="AF44" s="26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26" t="s">
        <v>35</v>
      </c>
      <c r="B45" s="26" t="s">
        <v>33</v>
      </c>
      <c r="C45" s="26"/>
      <c r="D45" s="26"/>
      <c r="E45" s="26"/>
      <c r="F45" s="26"/>
      <c r="G45" s="27">
        <v>0</v>
      </c>
      <c r="H45" s="26"/>
      <c r="I45" s="26">
        <v>4421584</v>
      </c>
      <c r="J45" s="26"/>
      <c r="K45" s="26"/>
      <c r="L45" s="26">
        <f>E45-K45</f>
        <v>0</v>
      </c>
      <c r="M45" s="26"/>
      <c r="N45" s="26"/>
      <c r="O45" s="26"/>
      <c r="P45" s="26">
        <f t="shared" si="3"/>
        <v>0</v>
      </c>
      <c r="Q45" s="28"/>
      <c r="R45" s="28"/>
      <c r="S45" s="28"/>
      <c r="T45" s="26"/>
      <c r="U45" s="26" t="e">
        <f t="shared" si="8"/>
        <v>#DIV/0!</v>
      </c>
      <c r="V45" s="26" t="e">
        <f t="shared" si="9"/>
        <v>#DIV/0!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>
        <v>0</v>
      </c>
      <c r="AE45" s="26" t="s">
        <v>34</v>
      </c>
      <c r="AF45" s="26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</sheetData>
  <autoFilter ref="A3:AF40" xr:uid="{40CDB88C-6334-4DBA-80CF-E86A1FABB45F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07D8-9194-4E35-9A02-8655C909321D}">
  <dimension ref="A1:B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48</v>
      </c>
      <c r="B1">
        <v>280</v>
      </c>
    </row>
    <row r="2" spans="1:2" x14ac:dyDescent="0.25">
      <c r="A2" t="s">
        <v>49</v>
      </c>
      <c r="B2">
        <v>220</v>
      </c>
    </row>
    <row r="3" spans="1:2" x14ac:dyDescent="0.25">
      <c r="A3" t="s">
        <v>52</v>
      </c>
      <c r="B3">
        <v>400</v>
      </c>
    </row>
    <row r="4" spans="1:2" x14ac:dyDescent="0.25">
      <c r="A4" t="s">
        <v>55</v>
      </c>
      <c r="B4">
        <v>30</v>
      </c>
    </row>
    <row r="5" spans="1:2" x14ac:dyDescent="0.25">
      <c r="A5" t="s">
        <v>72</v>
      </c>
      <c r="B5">
        <v>40</v>
      </c>
    </row>
    <row r="6" spans="1:2" x14ac:dyDescent="0.25">
      <c r="A6" t="s">
        <v>84</v>
      </c>
      <c r="B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2025-11-24T11:57:54Z</dcterms:created>
  <dcterms:modified xsi:type="dcterms:W3CDTF">2025-11-26T09:41:35Z</dcterms:modified>
</cp:coreProperties>
</file>