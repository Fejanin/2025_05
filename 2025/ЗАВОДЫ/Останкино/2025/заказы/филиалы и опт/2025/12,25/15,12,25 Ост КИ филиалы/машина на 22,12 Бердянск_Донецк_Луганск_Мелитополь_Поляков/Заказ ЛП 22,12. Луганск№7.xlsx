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7B1BB16C-3678-4E23-8AEC-BC17F095B0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<sst xmlns="http://schemas.openxmlformats.org/spreadsheetml/2006/main" count="256" uniqueCount="146">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</sst>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Q5" sqref="Q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46013</v>
      </c>
      <c r="E3" s="7" t="s">
        <v>3</v>
      </c>
      <c r="F3" s="83">
        <f>D3+3</f>
        <v>46016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224</v>
      </c>
      <c r="F12" s="23">
        <v>1.3340000000000001</v>
      </c>
      <c r="G12" s="23">
        <f>E12</f>
        <v>224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114</v>
      </c>
      <c r="F22" s="23">
        <v>1.35</v>
      </c>
      <c r="G22" s="23">
        <f>E22</f>
        <v>114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81</v>
      </c>
      <c r="F24" s="23">
        <v>1.3540000000000001</v>
      </c>
      <c r="G24" s="23">
        <f>E24</f>
        <v>81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21</v>
      </c>
      <c r="F28" s="23">
        <v>0.3</v>
      </c>
      <c r="G28" s="23">
        <f>E28*F28</f>
        <v>6.3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29</v>
      </c>
      <c r="F38" s="23">
        <v>1.05</v>
      </c>
      <c r="G38" s="23">
        <f>E38</f>
        <v>29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>
        <v>55</v>
      </c>
      <c r="F41" s="23">
        <v>0.36</v>
      </c>
      <c r="G41" s="23">
        <f>E41*F41</f>
        <v>19.8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146</v>
      </c>
      <c r="F43" s="23">
        <v>0.3</v>
      </c>
      <c r="G43" s="23">
        <f>E43*F43</f>
        <v>43.8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151</v>
      </c>
      <c r="F46" s="23"/>
      <c r="G46" s="23">
        <f>E46</f>
        <v>151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167</v>
      </c>
      <c r="F47" s="23">
        <v>1</v>
      </c>
      <c r="G47" s="23">
        <f>E47</f>
        <v>167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120</v>
      </c>
      <c r="F53" s="23">
        <v>1.0249999999999999</v>
      </c>
      <c r="G53" s="23">
        <f>E53</f>
        <v>120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>
        <v>60</v>
      </c>
      <c r="F54" s="23"/>
      <c r="G54" s="23">
        <f>E54</f>
        <v>60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>
        <v>121</v>
      </c>
      <c r="F55" s="23">
        <v>0.35</v>
      </c>
      <c r="G55" s="23">
        <f>E55*F55</f>
        <v>42.349999999999994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125</v>
      </c>
      <c r="F58" s="23">
        <v>0.41</v>
      </c>
      <c r="G58" s="23">
        <f>E58*F58</f>
        <v>51.25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>
        <v>84</v>
      </c>
      <c r="F59" s="23">
        <v>0.3</v>
      </c>
      <c r="G59" s="23">
        <f>E59*F59</f>
        <v>25.2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213</v>
      </c>
      <c r="F60" s="23">
        <v>0.41</v>
      </c>
      <c r="G60" s="23">
        <f>E60*F60</f>
        <v>87.33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>
        <v>47</v>
      </c>
      <c r="F65" s="23">
        <v>0.99</v>
      </c>
      <c r="G65" s="23">
        <f>E65</f>
        <v>47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/>
      <c r="F68" s="23">
        <v>0.1</v>
      </c>
      <c r="G68" s="23">
        <f t="shared" si="3"/>
        <v>0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3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21</v>
      </c>
      <c r="F71" s="23">
        <v>0.28000000000000003</v>
      </c>
      <c r="G71" s="23">
        <f t="shared" si="3"/>
        <v>5.8800000000000008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70</v>
      </c>
      <c r="F72" s="23">
        <v>0.35</v>
      </c>
      <c r="G72" s="23">
        <f t="shared" si="3"/>
        <v>24.5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/>
      <c r="F73" s="75">
        <v>0.33</v>
      </c>
      <c r="G73" s="23">
        <f t="shared" si="3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74</v>
      </c>
      <c r="F74" s="23">
        <v>0.35</v>
      </c>
      <c r="G74" s="23">
        <f t="shared" si="3"/>
        <v>25.9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120</v>
      </c>
      <c r="F75" s="23">
        <v>0.28000000000000003</v>
      </c>
      <c r="G75" s="23">
        <f t="shared" si="3"/>
        <v>33.6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>
        <v>122</v>
      </c>
      <c r="F76" s="23">
        <v>0.28000000000000003</v>
      </c>
      <c r="G76" s="23">
        <f t="shared" si="3"/>
        <v>34.160000000000004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/>
      <c r="F78" s="23">
        <v>0.35</v>
      </c>
      <c r="G78" s="23">
        <f t="shared" si="3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124</v>
      </c>
      <c r="F80" s="23">
        <v>0.83399999999999996</v>
      </c>
      <c r="G80" s="23">
        <f>E80</f>
        <v>124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6832</v>
      </c>
      <c r="B99" s="80" t="s">
        <v>113</v>
      </c>
      <c r="C99" s="73" t="s">
        <v>24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4"/>
        <v>7299</v>
      </c>
      <c r="B100" s="80" t="s">
        <v>114</v>
      </c>
      <c r="C100" s="73" t="s">
        <v>24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4"/>
        <v>4993</v>
      </c>
      <c r="B101" s="80" t="s">
        <v>115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5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4"/>
        <v>6967</v>
      </c>
      <c r="B102" s="80" t="s">
        <v>116</v>
      </c>
      <c r="C102" s="73" t="s">
        <v>33</v>
      </c>
      <c r="D102" s="74">
        <v>1001063656967</v>
      </c>
      <c r="E102" s="24"/>
      <c r="F102" s="23">
        <v>0.25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7382</v>
      </c>
      <c r="B103" s="80" t="s">
        <v>117</v>
      </c>
      <c r="C103" s="73" t="s">
        <v>22</v>
      </c>
      <c r="D103" s="74">
        <v>1001203117382</v>
      </c>
      <c r="E103" s="24">
        <v>29</v>
      </c>
      <c r="F103" s="23">
        <v>0.12</v>
      </c>
      <c r="G103" s="23">
        <f t="shared" si="5"/>
        <v>3.48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4"/>
        <v>7147</v>
      </c>
      <c r="B104" s="80" t="s">
        <v>118</v>
      </c>
      <c r="C104" s="73" t="s">
        <v>22</v>
      </c>
      <c r="D104" s="74">
        <v>1001063237147</v>
      </c>
      <c r="E104" s="24"/>
      <c r="F104" s="23">
        <v>0.22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7229</v>
      </c>
      <c r="B105" s="80" t="s">
        <v>119</v>
      </c>
      <c r="C105" s="73" t="s">
        <v>22</v>
      </c>
      <c r="D105" s="74">
        <v>1001063237229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7150</v>
      </c>
      <c r="B106" s="80" t="s">
        <v>120</v>
      </c>
      <c r="C106" s="73" t="s">
        <v>24</v>
      </c>
      <c r="D106" s="74">
        <v>1001063237150</v>
      </c>
      <c r="E106" s="24"/>
      <c r="F106" s="23">
        <v>1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7227</v>
      </c>
      <c r="B107" s="80" t="s">
        <v>121</v>
      </c>
      <c r="C107" s="73" t="s">
        <v>22</v>
      </c>
      <c r="D107" s="74">
        <v>1001063097227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7225</v>
      </c>
      <c r="B108" s="80" t="s">
        <v>122</v>
      </c>
      <c r="C108" s="73" t="s">
        <v>22</v>
      </c>
      <c r="D108" s="74">
        <v>1001066537225</v>
      </c>
      <c r="E108" s="24"/>
      <c r="F108" s="23">
        <v>0.18</v>
      </c>
      <c r="G108" s="23">
        <f t="shared" si="5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7228</v>
      </c>
      <c r="B109" s="80" t="s">
        <v>123</v>
      </c>
      <c r="C109" s="73" t="s">
        <v>22</v>
      </c>
      <c r="D109" s="74">
        <v>1001066547228</v>
      </c>
      <c r="E109" s="24"/>
      <c r="F109" s="23">
        <v>0.18</v>
      </c>
      <c r="G109" s="23">
        <f t="shared" si="5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6221</v>
      </c>
      <c r="B110" s="80" t="s">
        <v>124</v>
      </c>
      <c r="C110" s="73" t="s">
        <v>22</v>
      </c>
      <c r="D110" s="74">
        <v>1001205376221</v>
      </c>
      <c r="E110" s="24">
        <v>150</v>
      </c>
      <c r="F110" s="23">
        <v>0.09</v>
      </c>
      <c r="G110" s="23">
        <f t="shared" si="5"/>
        <v>13.5</v>
      </c>
      <c r="H110" s="14"/>
      <c r="I110" s="14"/>
      <c r="J110" s="29"/>
    </row>
    <row r="111" spans="1:10" ht="16.5" customHeight="1" x14ac:dyDescent="0.25">
      <c r="A111" s="60" t="str">
        <f t="shared" si="4"/>
        <v>4117</v>
      </c>
      <c r="B111" s="80" t="s">
        <v>125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4"/>
        <v>5483</v>
      </c>
      <c r="B112" s="80" t="s">
        <v>126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4"/>
        <v>6453</v>
      </c>
      <c r="B113" s="80" t="s">
        <v>127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4"/>
        <v>6228</v>
      </c>
      <c r="B114" s="80" t="s">
        <v>128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4"/>
        <v>3287</v>
      </c>
      <c r="B115" s="80" t="s">
        <v>129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4"/>
        <v/>
      </c>
      <c r="B116" s="47" t="s">
        <v>130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4"/>
        <v>6866</v>
      </c>
      <c r="B117" s="77" t="s">
        <v>131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4"/>
        <v>3215</v>
      </c>
      <c r="B118" s="80" t="s">
        <v>132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4"/>
        <v>5452</v>
      </c>
      <c r="B119" s="51" t="s">
        <v>133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4"/>
        <v>5495</v>
      </c>
      <c r="B120" s="51" t="s">
        <v>134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4"/>
        <v>6495</v>
      </c>
      <c r="B121" s="51" t="s">
        <v>135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4"/>
        <v/>
      </c>
      <c r="B122" s="47" t="s">
        <v>136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6">RIGHT(D123,4)</f>
        <v>6448</v>
      </c>
      <c r="B123" s="37" t="s">
        <v>137</v>
      </c>
      <c r="C123" s="73" t="s">
        <v>33</v>
      </c>
      <c r="D123" s="74">
        <v>1001234146448</v>
      </c>
      <c r="E123" s="24">
        <v>81</v>
      </c>
      <c r="F123" s="23">
        <v>0.1</v>
      </c>
      <c r="G123" s="23">
        <f>E123*F123</f>
        <v>8.1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6"/>
        <v>6620</v>
      </c>
      <c r="B124" s="37" t="s">
        <v>138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6"/>
        <v>6279</v>
      </c>
      <c r="B125" s="37" t="s">
        <v>139</v>
      </c>
      <c r="C125" s="73" t="s">
        <v>22</v>
      </c>
      <c r="D125" s="74">
        <v>1001220286279</v>
      </c>
      <c r="E125" s="24">
        <v>79</v>
      </c>
      <c r="F125" s="23">
        <v>0.15</v>
      </c>
      <c r="G125" s="23">
        <f>F125*E125</f>
        <v>11.85</v>
      </c>
      <c r="H125" s="14"/>
      <c r="I125" s="14"/>
      <c r="J125" s="29"/>
    </row>
    <row r="126" spans="1:10" ht="16.5" customHeight="1" x14ac:dyDescent="0.25">
      <c r="A126" s="60" t="str">
        <f t="shared" si="6"/>
        <v>6208</v>
      </c>
      <c r="B126" s="37" t="s">
        <v>140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7090</v>
      </c>
      <c r="B127" s="37" t="s">
        <v>141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6"/>
        <v>7187</v>
      </c>
      <c r="B128" s="37" t="s">
        <v>142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6"/>
        <v>7103</v>
      </c>
      <c r="B129" s="59" t="s">
        <v>143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6"/>
        <v>6872</v>
      </c>
      <c r="B130" s="37" t="s">
        <v>144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145</v>
      </c>
      <c r="C131" s="16"/>
      <c r="D131" s="38"/>
      <c r="E131" s="17">
        <f>SUM(E10:E130)</f>
        <v>2628</v>
      </c>
      <c r="F131" s="17"/>
      <c r="G131" s="17">
        <f>SUM(G11:G130)</f>
        <v>1554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2025-12-16T11:22:38Z</dcterms:modified>
</cp:coreProperties>
</file>