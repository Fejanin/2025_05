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1 машина на 28,12 Бердянск_Донецк_Луганск_Мелитополь_Поляков\"/>
    </mc:Choice>
  </mc:AlternateContent>
  <xr:revisionPtr revIDLastSave="0" documentId="13_ncr:1_{CD2E68B5-F9B6-4978-8C5E-D6E7C6261D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<sst xmlns="http://schemas.openxmlformats.org/spreadsheetml/2006/main" count="257" uniqueCount="146">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</sst>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F4" sqref="F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46019</v>
      </c>
      <c r="E3" s="7" t="s">
        <v>3</v>
      </c>
      <c r="F3" s="83">
        <v>46021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120</v>
      </c>
      <c r="F12" s="23">
        <v>1.3340000000000001</v>
      </c>
      <c r="G12" s="23">
        <f>E12</f>
        <v>120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57</v>
      </c>
      <c r="F15" s="23">
        <v>1.35</v>
      </c>
      <c r="G15" s="23">
        <f>E15</f>
        <v>57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120</v>
      </c>
      <c r="F23" s="23">
        <v>0.4</v>
      </c>
      <c r="G23" s="23">
        <f>E23*F23</f>
        <v>48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40</v>
      </c>
      <c r="F24" s="23">
        <v>1.3540000000000001</v>
      </c>
      <c r="G24" s="23">
        <f>E24</f>
        <v>40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253</v>
      </c>
      <c r="F25" s="23">
        <v>0.4</v>
      </c>
      <c r="G25" s="23">
        <f>E25*F25</f>
        <v>101.2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20</v>
      </c>
      <c r="F26" s="23">
        <v>0.4</v>
      </c>
      <c r="G26" s="23">
        <f>E26*F26</f>
        <v>8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>
        <v>55</v>
      </c>
      <c r="F27" s="23">
        <v>0.4</v>
      </c>
      <c r="G27" s="23">
        <f>E27*F27</f>
        <v>22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38</v>
      </c>
      <c r="F28" s="23">
        <v>0.3</v>
      </c>
      <c r="G28" s="23">
        <f>E28*F28</f>
        <v>11.4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72</v>
      </c>
      <c r="F29" s="23">
        <v>0.4</v>
      </c>
      <c r="G29" s="23">
        <f>E29*F29</f>
        <v>28.8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133</v>
      </c>
      <c r="F30" s="23">
        <v>1</v>
      </c>
      <c r="G30" s="23">
        <f>E30</f>
        <v>133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7255</v>
      </c>
      <c r="B36" s="64" t="s">
        <v>49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50</v>
      </c>
      <c r="C37" s="73" t="s">
        <v>32</v>
      </c>
      <c r="D37" s="74">
        <v>1001021966602</v>
      </c>
      <c r="E37" s="24">
        <v>28</v>
      </c>
      <c r="F37" s="23">
        <v>0.35</v>
      </c>
      <c r="G37" s="23">
        <f>E37*F37</f>
        <v>9.7999999999999989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52</v>
      </c>
      <c r="C39" s="73" t="s">
        <v>21</v>
      </c>
      <c r="D39" s="74">
        <v>1001022725819</v>
      </c>
      <c r="E39" s="24">
        <v>156</v>
      </c>
      <c r="F39" s="23">
        <v>0.4</v>
      </c>
      <c r="G39" s="23">
        <f t="shared" ref="G39:G44" si="2">E39*F39</f>
        <v>62.400000000000006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6837</v>
      </c>
      <c r="B40" s="36" t="s">
        <v>53</v>
      </c>
      <c r="C40" s="73" t="s">
        <v>21</v>
      </c>
      <c r="D40" s="74">
        <v>1001022556837</v>
      </c>
      <c r="E40" s="24">
        <v>127</v>
      </c>
      <c r="F40" s="23">
        <v>0.4</v>
      </c>
      <c r="G40" s="23">
        <f t="shared" si="2"/>
        <v>50.800000000000004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6765</v>
      </c>
      <c r="B42" s="36" t="s">
        <v>55</v>
      </c>
      <c r="C42" s="73" t="s">
        <v>21</v>
      </c>
      <c r="D42" s="74">
        <v>1001023696765</v>
      </c>
      <c r="E42" s="24">
        <v>48</v>
      </c>
      <c r="F42" s="23">
        <v>0.36</v>
      </c>
      <c r="G42" s="23">
        <f t="shared" si="2"/>
        <v>17.28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1"/>
        <v>6616</v>
      </c>
      <c r="B44" s="36" t="s">
        <v>57</v>
      </c>
      <c r="C44" s="73" t="s">
        <v>21</v>
      </c>
      <c r="D44" s="74">
        <v>1001024976616</v>
      </c>
      <c r="E44" s="24">
        <v>230</v>
      </c>
      <c r="F44" s="23">
        <v>0.3</v>
      </c>
      <c r="G44" s="23">
        <f t="shared" si="2"/>
        <v>69</v>
      </c>
      <c r="H44" s="14"/>
      <c r="I44" s="14"/>
      <c r="J44" s="29"/>
      <c r="K44" s="27"/>
    </row>
    <row r="45" spans="1:11" ht="16.5" customHeight="1" x14ac:dyDescent="0.25">
      <c r="A45" s="60" t="str">
        <f t="shared" si="1"/>
        <v>7082</v>
      </c>
      <c r="B45" s="35" t="s">
        <v>58</v>
      </c>
      <c r="C45" s="73" t="s">
        <v>23</v>
      </c>
      <c r="D45" s="74">
        <v>1001022467082</v>
      </c>
      <c r="E45" s="24">
        <v>51</v>
      </c>
      <c r="F45" s="23">
        <v>2.125</v>
      </c>
      <c r="G45" s="23">
        <f>E45</f>
        <v>51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1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1"/>
        <v>7070</v>
      </c>
      <c r="B47" s="35" t="s">
        <v>60</v>
      </c>
      <c r="C47" s="73" t="s">
        <v>23</v>
      </c>
      <c r="D47" s="74">
        <v>1001022377070</v>
      </c>
      <c r="E47" s="24">
        <v>143</v>
      </c>
      <c r="F47" s="23"/>
      <c r="G47" s="23">
        <f>E47</f>
        <v>143</v>
      </c>
      <c r="H47" s="14"/>
      <c r="I47" s="14"/>
      <c r="J47" s="29"/>
    </row>
    <row r="48" spans="1:11" s="15" customFormat="1" ht="16.5" customHeight="1" x14ac:dyDescent="0.25">
      <c r="A48" s="60" t="str">
        <f t="shared" si="1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1"/>
        <v>6475</v>
      </c>
      <c r="B49" s="80" t="s">
        <v>62</v>
      </c>
      <c r="C49" s="73" t="s">
        <v>21</v>
      </c>
      <c r="D49" s="74">
        <v>1001025176475</v>
      </c>
      <c r="E49" s="24">
        <v>169</v>
      </c>
      <c r="F49" s="23">
        <v>0.4</v>
      </c>
      <c r="G49" s="23">
        <f>E49*F49</f>
        <v>67.600000000000009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1"/>
        <v>6713</v>
      </c>
      <c r="B50" s="57" t="s">
        <v>63</v>
      </c>
      <c r="C50" s="54" t="s">
        <v>21</v>
      </c>
      <c r="D50" s="55">
        <v>1001022246713</v>
      </c>
      <c r="E50" s="24">
        <v>84</v>
      </c>
      <c r="F50" s="23">
        <v>0.41</v>
      </c>
      <c r="G50" s="23">
        <f>E50*F50</f>
        <v>34.44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1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1"/>
        <v>7284</v>
      </c>
      <c r="B52" s="82" t="s">
        <v>65</v>
      </c>
      <c r="C52" s="73" t="s">
        <v>21</v>
      </c>
      <c r="D52" s="74">
        <v>1001025767284</v>
      </c>
      <c r="E52" s="24">
        <v>6</v>
      </c>
      <c r="F52" s="23">
        <v>0.33</v>
      </c>
      <c r="G52" s="23">
        <f>E52*F52</f>
        <v>1.98</v>
      </c>
      <c r="H52" s="14"/>
      <c r="I52" s="14"/>
      <c r="J52" s="29"/>
    </row>
    <row r="53" spans="1:11" ht="16.5" customHeight="1" x14ac:dyDescent="0.25">
      <c r="A53" s="60" t="str">
        <f t="shared" si="1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1"/>
        <v>6829</v>
      </c>
      <c r="B54" s="57" t="s">
        <v>67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1"/>
        <v>7075</v>
      </c>
      <c r="B55" s="82" t="s">
        <v>68</v>
      </c>
      <c r="C55" s="73" t="s">
        <v>23</v>
      </c>
      <c r="D55" s="74">
        <v>1001022657075</v>
      </c>
      <c r="E55" s="24">
        <v>56</v>
      </c>
      <c r="F55" s="23"/>
      <c r="G55" s="23">
        <f>E55</f>
        <v>56</v>
      </c>
      <c r="H55" s="14"/>
      <c r="I55" s="14"/>
      <c r="J55" s="29"/>
    </row>
    <row r="56" spans="1:11" ht="16.5" customHeight="1" x14ac:dyDescent="0.25">
      <c r="A56" s="60" t="str">
        <f t="shared" si="1"/>
        <v>7073</v>
      </c>
      <c r="B56" s="82" t="s">
        <v>69</v>
      </c>
      <c r="C56" s="73" t="s">
        <v>21</v>
      </c>
      <c r="D56" s="74">
        <v>1001022657073</v>
      </c>
      <c r="E56" s="24">
        <v>59</v>
      </c>
      <c r="F56" s="23">
        <v>0.35</v>
      </c>
      <c r="G56" s="23">
        <f>E56*F56</f>
        <v>20.65</v>
      </c>
      <c r="H56" s="14"/>
      <c r="I56" s="14"/>
      <c r="J56" s="29"/>
    </row>
    <row r="57" spans="1:11" ht="16.5" customHeight="1" x14ac:dyDescent="0.25">
      <c r="A57" s="60" t="str">
        <f t="shared" si="1"/>
        <v>6724</v>
      </c>
      <c r="B57" s="82" t="s">
        <v>70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1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ref="A59:A90" si="3">RIGHT(D59,4)</f>
        <v>7080</v>
      </c>
      <c r="B59" s="57" t="s">
        <v>72</v>
      </c>
      <c r="C59" s="54" t="s">
        <v>21</v>
      </c>
      <c r="D59" s="55">
        <v>1001022467080</v>
      </c>
      <c r="E59" s="24">
        <v>348</v>
      </c>
      <c r="F59" s="23">
        <v>0.41</v>
      </c>
      <c r="G59" s="23">
        <f>E59*F59</f>
        <v>142.67999999999998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74</v>
      </c>
      <c r="C61" s="54" t="s">
        <v>21</v>
      </c>
      <c r="D61" s="55">
        <v>1001022377066</v>
      </c>
      <c r="E61" s="24">
        <v>168</v>
      </c>
      <c r="F61" s="23">
        <v>0.41</v>
      </c>
      <c r="G61" s="23">
        <f>E61*F61</f>
        <v>68.88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77</v>
      </c>
      <c r="C64" s="73" t="s">
        <v>37</v>
      </c>
      <c r="D64" s="74">
        <v>1001031076527</v>
      </c>
      <c r="E64" s="24">
        <v>131</v>
      </c>
      <c r="F64" s="23">
        <v>1</v>
      </c>
      <c r="G64" s="23">
        <f>E64</f>
        <v>131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78</v>
      </c>
      <c r="C65" s="73" t="s">
        <v>23</v>
      </c>
      <c r="D65" s="74">
        <v>1001032736550</v>
      </c>
      <c r="E65" s="24">
        <v>37</v>
      </c>
      <c r="F65" s="23">
        <v>1</v>
      </c>
      <c r="G65" s="23">
        <f>E65</f>
        <v>37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82</v>
      </c>
      <c r="C69" s="73" t="s">
        <v>21</v>
      </c>
      <c r="D69" s="74">
        <v>1001214196459</v>
      </c>
      <c r="E69" s="24">
        <v>20</v>
      </c>
      <c r="F69" s="23">
        <v>0.1</v>
      </c>
      <c r="G69" s="23">
        <f t="shared" si="4"/>
        <v>2</v>
      </c>
      <c r="H69" s="14"/>
      <c r="I69" s="14"/>
      <c r="J69" s="29"/>
    </row>
    <row r="70" spans="1:10" ht="16.5" customHeight="1" x14ac:dyDescent="0.25">
      <c r="A70" s="60" t="str">
        <f t="shared" si="3"/>
        <v>7232</v>
      </c>
      <c r="B70" s="51" t="s">
        <v>83</v>
      </c>
      <c r="C70" s="73" t="s">
        <v>21</v>
      </c>
      <c r="D70" s="74">
        <v>1001302277232</v>
      </c>
      <c r="E70" s="24">
        <v>120</v>
      </c>
      <c r="F70" s="23">
        <v>0.28000000000000003</v>
      </c>
      <c r="G70" s="23">
        <f t="shared" si="4"/>
        <v>33.6</v>
      </c>
      <c r="H70" s="14"/>
      <c r="I70" s="14">
        <v>50</v>
      </c>
      <c r="J70" s="29"/>
    </row>
    <row r="71" spans="1:10" ht="16.5" customHeight="1" x14ac:dyDescent="0.25">
      <c r="A71" s="60" t="str">
        <f t="shared" si="3"/>
        <v>7332</v>
      </c>
      <c r="B71" s="51" t="s">
        <v>84</v>
      </c>
      <c r="C71" s="73" t="s">
        <v>21</v>
      </c>
      <c r="D71" s="74">
        <v>1001301777332</v>
      </c>
      <c r="E71" s="24">
        <v>38</v>
      </c>
      <c r="F71" s="23">
        <v>0.28000000000000003</v>
      </c>
      <c r="G71" s="23">
        <f t="shared" si="4"/>
        <v>10.64</v>
      </c>
      <c r="H71" s="14"/>
      <c r="I71" s="14"/>
      <c r="J71" s="29"/>
    </row>
    <row r="72" spans="1:10" ht="16.5" customHeight="1" x14ac:dyDescent="0.25">
      <c r="A72" s="60" t="str">
        <f t="shared" si="3"/>
        <v>7241</v>
      </c>
      <c r="B72" s="51" t="s">
        <v>85</v>
      </c>
      <c r="C72" s="73" t="s">
        <v>21</v>
      </c>
      <c r="D72" s="74">
        <v>1001303107241</v>
      </c>
      <c r="E72" s="24">
        <v>300</v>
      </c>
      <c r="F72" s="23">
        <v>0.28000000000000003</v>
      </c>
      <c r="G72" s="23">
        <f t="shared" si="4"/>
        <v>84.000000000000014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3"/>
        <v>7154</v>
      </c>
      <c r="B73" s="51" t="s">
        <v>86</v>
      </c>
      <c r="C73" s="73" t="s">
        <v>21</v>
      </c>
      <c r="D73" s="74">
        <v>1001300387154</v>
      </c>
      <c r="E73" s="24">
        <v>220</v>
      </c>
      <c r="F73" s="23">
        <v>0.35</v>
      </c>
      <c r="G73" s="23">
        <f t="shared" si="4"/>
        <v>77</v>
      </c>
      <c r="H73" s="14"/>
      <c r="I73" s="14">
        <v>50</v>
      </c>
      <c r="J73" s="29"/>
    </row>
    <row r="74" spans="1:10" ht="16.5" customHeight="1" x14ac:dyDescent="0.25">
      <c r="A74" s="60" t="str">
        <f t="shared" si="3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3"/>
        <v>6697</v>
      </c>
      <c r="B75" s="51" t="s">
        <v>88</v>
      </c>
      <c r="C75" s="73" t="s">
        <v>21</v>
      </c>
      <c r="D75" s="74">
        <v>1001301876697</v>
      </c>
      <c r="E75" s="24">
        <v>208</v>
      </c>
      <c r="F75" s="23">
        <v>0.35</v>
      </c>
      <c r="G75" s="23">
        <f t="shared" si="4"/>
        <v>72.8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3"/>
        <v>7237</v>
      </c>
      <c r="B76" s="51" t="s">
        <v>89</v>
      </c>
      <c r="C76" s="73" t="s">
        <v>21</v>
      </c>
      <c r="D76" s="74">
        <v>1001304497237</v>
      </c>
      <c r="E76" s="24">
        <v>24</v>
      </c>
      <c r="F76" s="23">
        <v>0.28000000000000003</v>
      </c>
      <c r="G76" s="23">
        <f t="shared" si="4"/>
        <v>6.7200000000000006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7236</v>
      </c>
      <c r="B77" s="53" t="s">
        <v>90</v>
      </c>
      <c r="C77" s="54" t="s">
        <v>21</v>
      </c>
      <c r="D77" s="55">
        <v>1001304507236</v>
      </c>
      <c r="E77" s="24">
        <v>160</v>
      </c>
      <c r="F77" s="23">
        <v>0.28000000000000003</v>
      </c>
      <c r="G77" s="23">
        <f t="shared" si="4"/>
        <v>44.800000000000004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3"/>
        <v>7333</v>
      </c>
      <c r="B78" s="53" t="s">
        <v>91</v>
      </c>
      <c r="C78" s="54" t="s">
        <v>21</v>
      </c>
      <c r="D78" s="55">
        <v>1001303987333</v>
      </c>
      <c r="E78" s="24">
        <v>65</v>
      </c>
      <c r="F78" s="23">
        <v>0.28000000000000003</v>
      </c>
      <c r="G78" s="23">
        <f t="shared" si="4"/>
        <v>18.200000000000003</v>
      </c>
      <c r="H78" s="14"/>
      <c r="I78" s="14"/>
      <c r="J78" s="29"/>
    </row>
    <row r="79" spans="1:10" ht="16.5" customHeight="1" x14ac:dyDescent="0.25">
      <c r="A79" s="60" t="str">
        <f t="shared" si="3"/>
        <v>7169</v>
      </c>
      <c r="B79" s="58" t="s">
        <v>92</v>
      </c>
      <c r="C79" s="54" t="s">
        <v>32</v>
      </c>
      <c r="D79" s="55">
        <v>1001303987169</v>
      </c>
      <c r="E79" s="24">
        <v>140</v>
      </c>
      <c r="F79" s="23">
        <v>0.35</v>
      </c>
      <c r="G79" s="23">
        <f t="shared" si="4"/>
        <v>49</v>
      </c>
      <c r="H79" s="14"/>
      <c r="I79" s="14">
        <v>50</v>
      </c>
      <c r="J79" s="29"/>
    </row>
    <row r="80" spans="1:10" ht="16.5" customHeight="1" x14ac:dyDescent="0.25">
      <c r="A80" s="60" t="str">
        <f t="shared" si="3"/>
        <v>7166</v>
      </c>
      <c r="B80" s="45" t="s">
        <v>93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3"/>
        <v>5544</v>
      </c>
      <c r="B81" s="80" t="s">
        <v>94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3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3"/>
        <v>7157</v>
      </c>
      <c r="B85" s="80" t="s">
        <v>98</v>
      </c>
      <c r="C85" s="73" t="s">
        <v>23</v>
      </c>
      <c r="D85" s="74">
        <v>1001300387157</v>
      </c>
      <c r="E85" s="24">
        <v>80</v>
      </c>
      <c r="F85" s="23">
        <v>1</v>
      </c>
      <c r="G85" s="23">
        <f>E85</f>
        <v>80</v>
      </c>
      <c r="H85" s="14"/>
      <c r="I85" s="14"/>
      <c r="J85" s="72"/>
    </row>
    <row r="86" spans="1:11" ht="15.75" customHeight="1" x14ac:dyDescent="0.25">
      <c r="A86" s="60" t="str">
        <f t="shared" si="3"/>
        <v>6793</v>
      </c>
      <c r="B86" s="80" t="s">
        <v>99</v>
      </c>
      <c r="C86" s="73" t="s">
        <v>21</v>
      </c>
      <c r="D86" s="74">
        <v>1001303636793</v>
      </c>
      <c r="E86" s="24">
        <v>175</v>
      </c>
      <c r="F86" s="23">
        <v>0.33</v>
      </c>
      <c r="G86" s="23">
        <f>E86*F86</f>
        <v>57.75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7131</v>
      </c>
      <c r="B87" s="80" t="s">
        <v>100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3"/>
        <v>7135</v>
      </c>
      <c r="B90" s="80" t="s">
        <v>103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ref="A91:A122" si="5">RIGHT(D91,4)</f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>
        <v>16</v>
      </c>
      <c r="F92" s="23">
        <v>0.33</v>
      </c>
      <c r="G92" s="23">
        <f>E92*F92</f>
        <v>5.28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>
        <v>40</v>
      </c>
      <c r="F95" s="75">
        <v>0.1</v>
      </c>
      <c r="G95" s="23">
        <f>E95*F95</f>
        <v>4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250</v>
      </c>
      <c r="F98" s="23">
        <v>0.25</v>
      </c>
      <c r="G98" s="23">
        <f>E98*F98</f>
        <v>62.5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115</v>
      </c>
      <c r="C102" s="73" t="s">
        <v>32</v>
      </c>
      <c r="D102" s="74">
        <v>1001060764993</v>
      </c>
      <c r="E102" s="24">
        <v>40</v>
      </c>
      <c r="F102" s="23">
        <v>0.25</v>
      </c>
      <c r="G102" s="23">
        <f t="shared" ref="G102:G111" si="6">E102*F102</f>
        <v>10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116</v>
      </c>
      <c r="C103" s="73" t="s">
        <v>32</v>
      </c>
      <c r="D103" s="74">
        <v>1001063656967</v>
      </c>
      <c r="E103" s="24"/>
      <c r="F103" s="23">
        <v>0.25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5"/>
        <v>7382</v>
      </c>
      <c r="B104" s="80" t="s">
        <v>117</v>
      </c>
      <c r="C104" s="73" t="s">
        <v>21</v>
      </c>
      <c r="D104" s="74">
        <v>1001203117382</v>
      </c>
      <c r="E104" s="24">
        <v>40</v>
      </c>
      <c r="F104" s="23">
        <v>0.12</v>
      </c>
      <c r="G104" s="23">
        <f t="shared" si="6"/>
        <v>4.8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5"/>
        <v>7147</v>
      </c>
      <c r="B105" s="80" t="s">
        <v>118</v>
      </c>
      <c r="C105" s="73" t="s">
        <v>21</v>
      </c>
      <c r="D105" s="74">
        <v>1001063237147</v>
      </c>
      <c r="E105" s="24">
        <v>25</v>
      </c>
      <c r="F105" s="23">
        <v>0.22</v>
      </c>
      <c r="G105" s="23">
        <f t="shared" si="6"/>
        <v>5.5</v>
      </c>
      <c r="H105" s="14"/>
      <c r="I105" s="14"/>
      <c r="J105" s="29"/>
    </row>
    <row r="106" spans="1:10" ht="16.5" customHeight="1" x14ac:dyDescent="0.25">
      <c r="A106" s="60" t="str">
        <f t="shared" si="5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6221</v>
      </c>
      <c r="B111" s="80" t="s">
        <v>124</v>
      </c>
      <c r="C111" s="73" t="s">
        <v>21</v>
      </c>
      <c r="D111" s="74">
        <v>1001205376221</v>
      </c>
      <c r="E111" s="24">
        <v>40</v>
      </c>
      <c r="F111" s="23">
        <v>0.09</v>
      </c>
      <c r="G111" s="23">
        <f t="shared" si="6"/>
        <v>3.5999999999999996</v>
      </c>
      <c r="H111" s="14"/>
      <c r="I111" s="14"/>
      <c r="J111" s="29"/>
    </row>
    <row r="112" spans="1:10" ht="16.5" customHeight="1" x14ac:dyDescent="0.25">
      <c r="A112" s="60" t="str">
        <f t="shared" si="5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5"/>
        <v>5483</v>
      </c>
      <c r="B113" s="80" t="s">
        <v>126</v>
      </c>
      <c r="C113" s="73" t="s">
        <v>21</v>
      </c>
      <c r="D113" s="74">
        <v>1001062505483</v>
      </c>
      <c r="E113" s="24">
        <v>225</v>
      </c>
      <c r="F113" s="23">
        <v>0.25</v>
      </c>
      <c r="G113" s="23">
        <f>E113*F113</f>
        <v>56.25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5"/>
        <v>6453</v>
      </c>
      <c r="B114" s="80" t="s">
        <v>127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5"/>
        <v>6228</v>
      </c>
      <c r="B115" s="80" t="s">
        <v>128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5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5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5"/>
        <v>6866</v>
      </c>
      <c r="B118" s="77" t="s">
        <v>131</v>
      </c>
      <c r="C118" s="73" t="s">
        <v>37</v>
      </c>
      <c r="D118" s="79">
        <v>1001095716866</v>
      </c>
      <c r="E118" s="24">
        <v>60</v>
      </c>
      <c r="F118" s="23"/>
      <c r="G118" s="23">
        <f>E118</f>
        <v>60</v>
      </c>
      <c r="H118" s="14"/>
      <c r="I118" s="14"/>
      <c r="J118" s="29"/>
    </row>
    <row r="119" spans="1:10" ht="16.5" customHeight="1" x14ac:dyDescent="0.25">
      <c r="A119" s="60" t="str">
        <f t="shared" si="5"/>
        <v>3215</v>
      </c>
      <c r="B119" s="80" t="s">
        <v>132</v>
      </c>
      <c r="C119" s="73" t="s">
        <v>32</v>
      </c>
      <c r="D119" s="42">
        <v>1001094053215</v>
      </c>
      <c r="E119" s="24">
        <v>225</v>
      </c>
      <c r="F119" s="23">
        <v>0.4</v>
      </c>
      <c r="G119" s="23">
        <f>E119*F119</f>
        <v>90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5"/>
        <v>5452</v>
      </c>
      <c r="B120" s="51" t="s">
        <v>133</v>
      </c>
      <c r="C120" s="73" t="s">
        <v>23</v>
      </c>
      <c r="D120" s="42">
        <v>1001092485452</v>
      </c>
      <c r="E120" s="24">
        <v>40</v>
      </c>
      <c r="F120" s="23">
        <v>1.367</v>
      </c>
      <c r="G120" s="23">
        <f>E120</f>
        <v>40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5"/>
        <v>5495</v>
      </c>
      <c r="B121" s="51" t="s">
        <v>134</v>
      </c>
      <c r="C121" s="73" t="s">
        <v>21</v>
      </c>
      <c r="D121" s="42">
        <v>1001093345495</v>
      </c>
      <c r="E121" s="24">
        <v>80</v>
      </c>
      <c r="F121" s="23">
        <v>0.4</v>
      </c>
      <c r="G121" s="23">
        <f>E121*F121</f>
        <v>32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5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ref="A123:A131" si="7">RIGHT(D123,4)</f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7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7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6279</v>
      </c>
      <c r="B126" s="37" t="s">
        <v>139</v>
      </c>
      <c r="C126" s="73" t="s">
        <v>21</v>
      </c>
      <c r="D126" s="74">
        <v>1001220286279</v>
      </c>
      <c r="E126" s="24">
        <v>50</v>
      </c>
      <c r="F126" s="23">
        <v>0.15</v>
      </c>
      <c r="G126" s="23">
        <f>F126*E126</f>
        <v>7.5</v>
      </c>
      <c r="H126" s="14"/>
      <c r="I126" s="14"/>
      <c r="J126" s="29"/>
    </row>
    <row r="127" spans="1:10" ht="16.5" customHeight="1" x14ac:dyDescent="0.25">
      <c r="A127" s="60" t="str">
        <f t="shared" si="7"/>
        <v>6208</v>
      </c>
      <c r="B127" s="37" t="s">
        <v>140</v>
      </c>
      <c r="C127" s="73" t="s">
        <v>21</v>
      </c>
      <c r="D127" s="74">
        <v>1001220226208</v>
      </c>
      <c r="E127" s="24">
        <v>20</v>
      </c>
      <c r="F127" s="23">
        <v>0.15</v>
      </c>
      <c r="G127" s="23">
        <f>F127*E127</f>
        <v>3</v>
      </c>
      <c r="H127" s="14"/>
      <c r="I127" s="14"/>
      <c r="J127" s="29"/>
    </row>
    <row r="128" spans="1:10" ht="16.5" customHeight="1" x14ac:dyDescent="0.25">
      <c r="A128" s="60" t="str">
        <f t="shared" si="7"/>
        <v>7090</v>
      </c>
      <c r="B128" s="37" t="s">
        <v>141</v>
      </c>
      <c r="C128" s="73" t="s">
        <v>32</v>
      </c>
      <c r="D128" s="74">
        <v>1001084217090</v>
      </c>
      <c r="E128" s="24">
        <v>100</v>
      </c>
      <c r="F128" s="23">
        <v>0.3</v>
      </c>
      <c r="G128" s="23">
        <f>E128*F128</f>
        <v>30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7"/>
        <v>7187</v>
      </c>
      <c r="B129" s="37" t="s">
        <v>142</v>
      </c>
      <c r="C129" s="73" t="s">
        <v>32</v>
      </c>
      <c r="D129" s="74">
        <v>1001085637187</v>
      </c>
      <c r="E129" s="24">
        <v>60</v>
      </c>
      <c r="F129" s="23">
        <v>0.3</v>
      </c>
      <c r="G129" s="23">
        <f>E129*F129</f>
        <v>18</v>
      </c>
      <c r="H129" s="14"/>
      <c r="I129" s="14"/>
      <c r="J129" s="29"/>
    </row>
    <row r="130" spans="1:11" s="71" customFormat="1" ht="16.5" customHeight="1" x14ac:dyDescent="0.25">
      <c r="A130" s="60" t="str">
        <f t="shared" si="7"/>
        <v>7103</v>
      </c>
      <c r="B130" s="59" t="s">
        <v>143</v>
      </c>
      <c r="C130" s="54" t="s">
        <v>32</v>
      </c>
      <c r="D130" s="55">
        <v>1001223297103</v>
      </c>
      <c r="E130" s="24">
        <v>129</v>
      </c>
      <c r="F130" s="75">
        <v>0.18</v>
      </c>
      <c r="G130" s="23">
        <f>E130*F130</f>
        <v>23.22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7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5739</v>
      </c>
      <c r="F132" s="17"/>
      <c r="G132" s="17">
        <f>SUM(G11:G131)</f>
        <v>2525.0700000000002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2025-12-23T11:27:40Z</dcterms:modified>
</cp:coreProperties>
</file>