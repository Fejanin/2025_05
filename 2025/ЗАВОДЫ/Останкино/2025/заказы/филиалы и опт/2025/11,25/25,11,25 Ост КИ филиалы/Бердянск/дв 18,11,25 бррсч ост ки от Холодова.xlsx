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ADAAC33A-36DD-4598-A101-89CC1FF5EB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10" i="1"/>
  <c r="AJ11" i="1"/>
  <c r="AJ15" i="1"/>
  <c r="AJ16" i="1"/>
  <c r="AJ19" i="1"/>
  <c r="AJ20" i="1"/>
  <c r="AJ21" i="1"/>
  <c r="AJ23" i="1"/>
  <c r="AJ24" i="1"/>
  <c r="AJ25" i="1"/>
  <c r="AJ26" i="1"/>
  <c r="AJ30" i="1"/>
  <c r="AJ32" i="1"/>
  <c r="AJ33" i="1"/>
  <c r="AJ37" i="1"/>
  <c r="AJ40" i="1"/>
  <c r="AJ43" i="1"/>
  <c r="AJ44" i="1"/>
  <c r="AJ45" i="1"/>
  <c r="AJ48" i="1"/>
  <c r="AJ51" i="1"/>
  <c r="AJ52" i="1"/>
  <c r="AJ54" i="1"/>
  <c r="AJ55" i="1"/>
  <c r="AJ57" i="1"/>
  <c r="AJ58" i="1"/>
  <c r="AJ59" i="1"/>
  <c r="AJ60" i="1"/>
  <c r="AJ61" i="1"/>
  <c r="AJ62" i="1"/>
  <c r="AJ63" i="1"/>
  <c r="AJ64" i="1"/>
  <c r="AJ65" i="1"/>
  <c r="AJ68" i="1"/>
  <c r="AJ69" i="1"/>
  <c r="AJ70" i="1"/>
  <c r="AJ73" i="1"/>
  <c r="AJ74" i="1"/>
  <c r="AJ76" i="1"/>
  <c r="AJ77" i="1"/>
  <c r="AJ78" i="1"/>
  <c r="AJ80" i="1"/>
  <c r="AJ83" i="1"/>
  <c r="AJ84" i="1"/>
  <c r="AJ89" i="1"/>
  <c r="AJ90" i="1"/>
  <c r="AJ91" i="1"/>
  <c r="AJ92" i="1"/>
  <c r="AJ93" i="1"/>
  <c r="AJ94" i="1"/>
  <c r="S88" i="1" l="1"/>
  <c r="S82" i="1"/>
  <c r="S71" i="1"/>
  <c r="S66" i="1"/>
  <c r="S36" i="1"/>
  <c r="S29" i="1"/>
  <c r="S22" i="1"/>
  <c r="S14" i="1"/>
  <c r="S12" i="1"/>
  <c r="S8" i="1"/>
  <c r="S6" i="1"/>
  <c r="S11" i="1"/>
  <c r="T11" i="1" s="1"/>
  <c r="AI11" i="1" s="1"/>
  <c r="S15" i="1"/>
  <c r="T15" i="1" s="1"/>
  <c r="AI15" i="1" s="1"/>
  <c r="S19" i="1"/>
  <c r="T19" i="1" s="1"/>
  <c r="AI19" i="1" s="1"/>
  <c r="S21" i="1"/>
  <c r="T21" i="1" s="1"/>
  <c r="AI21" i="1" s="1"/>
  <c r="S24" i="1"/>
  <c r="T24" i="1" s="1"/>
  <c r="AI24" i="1" s="1"/>
  <c r="S25" i="1"/>
  <c r="T25" i="1" s="1"/>
  <c r="AI25" i="1" s="1"/>
  <c r="S30" i="1"/>
  <c r="T30" i="1" s="1"/>
  <c r="AI30" i="1" s="1"/>
  <c r="S32" i="1"/>
  <c r="T32" i="1" s="1"/>
  <c r="AI32" i="1" s="1"/>
  <c r="S37" i="1"/>
  <c r="T37" i="1" s="1"/>
  <c r="AI37" i="1" s="1"/>
  <c r="S40" i="1"/>
  <c r="T40" i="1" s="1"/>
  <c r="AI40" i="1" s="1"/>
  <c r="S44" i="1"/>
  <c r="T44" i="1" s="1"/>
  <c r="AI44" i="1" s="1"/>
  <c r="S45" i="1"/>
  <c r="T45" i="1" s="1"/>
  <c r="AI45" i="1" s="1"/>
  <c r="S52" i="1"/>
  <c r="T52" i="1" s="1"/>
  <c r="AI52" i="1" s="1"/>
  <c r="S55" i="1"/>
  <c r="T55" i="1" s="1"/>
  <c r="AI55" i="1" s="1"/>
  <c r="S57" i="1"/>
  <c r="T57" i="1" s="1"/>
  <c r="AI57" i="1" s="1"/>
  <c r="S59" i="1"/>
  <c r="T59" i="1" s="1"/>
  <c r="AI59" i="1" s="1"/>
  <c r="S62" i="1"/>
  <c r="T62" i="1" s="1"/>
  <c r="AI62" i="1" s="1"/>
  <c r="S63" i="1"/>
  <c r="T63" i="1" s="1"/>
  <c r="AI63" i="1" s="1"/>
  <c r="S65" i="1"/>
  <c r="T65" i="1" s="1"/>
  <c r="AI65" i="1" s="1"/>
  <c r="S68" i="1"/>
  <c r="T68" i="1" s="1"/>
  <c r="AI68" i="1" s="1"/>
  <c r="S69" i="1"/>
  <c r="T69" i="1" s="1"/>
  <c r="AI69" i="1" s="1"/>
  <c r="S70" i="1"/>
  <c r="T70" i="1" s="1"/>
  <c r="AI70" i="1" s="1"/>
  <c r="S73" i="1"/>
  <c r="T73" i="1" s="1"/>
  <c r="AI73" i="1" s="1"/>
  <c r="S74" i="1"/>
  <c r="T74" i="1" s="1"/>
  <c r="AI74" i="1" s="1"/>
  <c r="S77" i="1"/>
  <c r="T77" i="1" s="1"/>
  <c r="AI77" i="1" s="1"/>
  <c r="S78" i="1"/>
  <c r="T78" i="1" s="1"/>
  <c r="AI78" i="1" s="1"/>
  <c r="S80" i="1"/>
  <c r="T80" i="1" s="1"/>
  <c r="AI80" i="1" s="1"/>
  <c r="S84" i="1"/>
  <c r="T84" i="1" s="1"/>
  <c r="AI84" i="1" s="1"/>
  <c r="S89" i="1"/>
  <c r="T89" i="1" s="1"/>
  <c r="AI89" i="1" s="1"/>
  <c r="S90" i="1"/>
  <c r="T90" i="1" s="1"/>
  <c r="AI90" i="1" s="1"/>
  <c r="S94" i="1"/>
  <c r="T94" i="1" s="1"/>
  <c r="AI94" i="1" s="1"/>
  <c r="S7" i="1"/>
  <c r="T7" i="1" s="1"/>
  <c r="AI7" i="1" s="1"/>
  <c r="T8" i="1" l="1"/>
  <c r="AI8" i="1" s="1"/>
  <c r="U8" i="1"/>
  <c r="AJ8" i="1" s="1"/>
  <c r="T14" i="1"/>
  <c r="AI14" i="1" s="1"/>
  <c r="AJ14" i="1"/>
  <c r="T29" i="1"/>
  <c r="AI29" i="1" s="1"/>
  <c r="AJ29" i="1"/>
  <c r="T66" i="1"/>
  <c r="AI66" i="1" s="1"/>
  <c r="U66" i="1"/>
  <c r="AJ66" i="1" s="1"/>
  <c r="T82" i="1"/>
  <c r="AI82" i="1" s="1"/>
  <c r="U82" i="1"/>
  <c r="AJ82" i="1" s="1"/>
  <c r="T6" i="1"/>
  <c r="AI6" i="1" s="1"/>
  <c r="AJ6" i="1"/>
  <c r="T12" i="1"/>
  <c r="AI12" i="1" s="1"/>
  <c r="U12" i="1"/>
  <c r="AJ12" i="1" s="1"/>
  <c r="T22" i="1"/>
  <c r="AI22" i="1" s="1"/>
  <c r="AJ22" i="1"/>
  <c r="T36" i="1"/>
  <c r="AI36" i="1" s="1"/>
  <c r="U36" i="1"/>
  <c r="AJ36" i="1" s="1"/>
  <c r="T71" i="1"/>
  <c r="AI71" i="1" s="1"/>
  <c r="AJ71" i="1"/>
  <c r="T88" i="1"/>
  <c r="AI88" i="1" s="1"/>
  <c r="U88" i="1"/>
  <c r="AJ88" i="1" s="1"/>
  <c r="Q94" i="1" l="1"/>
  <c r="L94" i="1"/>
  <c r="Q93" i="1"/>
  <c r="L93" i="1"/>
  <c r="Q92" i="1"/>
  <c r="Y92" i="1" s="1"/>
  <c r="L92" i="1"/>
  <c r="Q91" i="1"/>
  <c r="L91" i="1"/>
  <c r="Q90" i="1"/>
  <c r="X90" i="1" s="1"/>
  <c r="L90" i="1"/>
  <c r="Q89" i="1"/>
  <c r="X89" i="1" s="1"/>
  <c r="L89" i="1"/>
  <c r="Q88" i="1"/>
  <c r="R88" i="1" s="1"/>
  <c r="L88" i="1"/>
  <c r="Q87" i="1"/>
  <c r="L87" i="1"/>
  <c r="Q86" i="1"/>
  <c r="R86" i="1" s="1"/>
  <c r="S86" i="1" s="1"/>
  <c r="L86" i="1"/>
  <c r="Q85" i="1"/>
  <c r="L85" i="1"/>
  <c r="Q84" i="1"/>
  <c r="X84" i="1" s="1"/>
  <c r="L84" i="1"/>
  <c r="Q83" i="1"/>
  <c r="R83" i="1" s="1"/>
  <c r="S83" i="1" s="1"/>
  <c r="T83" i="1" s="1"/>
  <c r="AI83" i="1" s="1"/>
  <c r="L83" i="1"/>
  <c r="Q82" i="1"/>
  <c r="L82" i="1"/>
  <c r="Q81" i="1"/>
  <c r="R81" i="1" s="1"/>
  <c r="S81" i="1" s="1"/>
  <c r="L81" i="1"/>
  <c r="Q80" i="1"/>
  <c r="Y80" i="1" s="1"/>
  <c r="L80" i="1"/>
  <c r="Q79" i="1"/>
  <c r="L79" i="1"/>
  <c r="Q78" i="1"/>
  <c r="X78" i="1" s="1"/>
  <c r="L78" i="1"/>
  <c r="Q77" i="1"/>
  <c r="X77" i="1" s="1"/>
  <c r="L77" i="1"/>
  <c r="Q76" i="1"/>
  <c r="R76" i="1" s="1"/>
  <c r="S76" i="1" s="1"/>
  <c r="T76" i="1" s="1"/>
  <c r="AI76" i="1" s="1"/>
  <c r="L76" i="1"/>
  <c r="Q75" i="1"/>
  <c r="L75" i="1"/>
  <c r="Q74" i="1"/>
  <c r="X74" i="1" s="1"/>
  <c r="L74" i="1"/>
  <c r="Q73" i="1"/>
  <c r="X73" i="1" s="1"/>
  <c r="L73" i="1"/>
  <c r="Q72" i="1"/>
  <c r="Y72" i="1" s="1"/>
  <c r="L72" i="1"/>
  <c r="Q71" i="1"/>
  <c r="L71" i="1"/>
  <c r="Q70" i="1"/>
  <c r="X70" i="1" s="1"/>
  <c r="L70" i="1"/>
  <c r="Q69" i="1"/>
  <c r="X69" i="1" s="1"/>
  <c r="L69" i="1"/>
  <c r="Q68" i="1"/>
  <c r="X68" i="1" s="1"/>
  <c r="L68" i="1"/>
  <c r="Q67" i="1"/>
  <c r="R67" i="1" s="1"/>
  <c r="S67" i="1" s="1"/>
  <c r="L67" i="1"/>
  <c r="Q66" i="1"/>
  <c r="L66" i="1"/>
  <c r="Q65" i="1"/>
  <c r="X65" i="1" s="1"/>
  <c r="L65" i="1"/>
  <c r="Q64" i="1"/>
  <c r="R64" i="1" s="1"/>
  <c r="S64" i="1" s="1"/>
  <c r="T64" i="1" s="1"/>
  <c r="AI64" i="1" s="1"/>
  <c r="L64" i="1"/>
  <c r="Q63" i="1"/>
  <c r="Y63" i="1" s="1"/>
  <c r="L63" i="1"/>
  <c r="Q62" i="1"/>
  <c r="Y62" i="1" s="1"/>
  <c r="L62" i="1"/>
  <c r="Q61" i="1"/>
  <c r="L61" i="1"/>
  <c r="Q60" i="1"/>
  <c r="R60" i="1" s="1"/>
  <c r="S60" i="1" s="1"/>
  <c r="T60" i="1" s="1"/>
  <c r="AI60" i="1" s="1"/>
  <c r="L60" i="1"/>
  <c r="Q59" i="1"/>
  <c r="Y59" i="1" s="1"/>
  <c r="L59" i="1"/>
  <c r="Q58" i="1"/>
  <c r="L58" i="1"/>
  <c r="Q57" i="1"/>
  <c r="X57" i="1" s="1"/>
  <c r="L57" i="1"/>
  <c r="Q56" i="1"/>
  <c r="Y56" i="1" s="1"/>
  <c r="L56" i="1"/>
  <c r="Q55" i="1"/>
  <c r="Y55" i="1" s="1"/>
  <c r="L55" i="1"/>
  <c r="Q54" i="1"/>
  <c r="L54" i="1"/>
  <c r="Q53" i="1"/>
  <c r="R53" i="1" s="1"/>
  <c r="S53" i="1" s="1"/>
  <c r="L53" i="1"/>
  <c r="Q52" i="1"/>
  <c r="Y52" i="1" s="1"/>
  <c r="L52" i="1"/>
  <c r="Q51" i="1"/>
  <c r="L51" i="1"/>
  <c r="Q50" i="1"/>
  <c r="Y50" i="1" s="1"/>
  <c r="L50" i="1"/>
  <c r="Q49" i="1"/>
  <c r="L49" i="1"/>
  <c r="Q48" i="1"/>
  <c r="Y48" i="1" s="1"/>
  <c r="L48" i="1"/>
  <c r="Q47" i="1"/>
  <c r="L47" i="1"/>
  <c r="Q46" i="1"/>
  <c r="Y46" i="1" s="1"/>
  <c r="L46" i="1"/>
  <c r="Q45" i="1"/>
  <c r="Y45" i="1" s="1"/>
  <c r="L45" i="1"/>
  <c r="Q44" i="1"/>
  <c r="Y44" i="1" s="1"/>
  <c r="L44" i="1"/>
  <c r="Q43" i="1"/>
  <c r="L43" i="1"/>
  <c r="Q42" i="1"/>
  <c r="Y42" i="1" s="1"/>
  <c r="L42" i="1"/>
  <c r="Q41" i="1"/>
  <c r="L41" i="1"/>
  <c r="Q40" i="1"/>
  <c r="X40" i="1" s="1"/>
  <c r="L40" i="1"/>
  <c r="Q39" i="1"/>
  <c r="R39" i="1" s="1"/>
  <c r="S39" i="1" s="1"/>
  <c r="L39" i="1"/>
  <c r="Q38" i="1"/>
  <c r="L38" i="1"/>
  <c r="Q37" i="1"/>
  <c r="Y37" i="1" s="1"/>
  <c r="L37" i="1"/>
  <c r="Q36" i="1"/>
  <c r="Y36" i="1" s="1"/>
  <c r="L36" i="1"/>
  <c r="Q35" i="1"/>
  <c r="L35" i="1"/>
  <c r="Q34" i="1"/>
  <c r="Y34" i="1" s="1"/>
  <c r="L34" i="1"/>
  <c r="Q33" i="1"/>
  <c r="L33" i="1"/>
  <c r="Q32" i="1"/>
  <c r="X32" i="1" s="1"/>
  <c r="L32" i="1"/>
  <c r="Q31" i="1"/>
  <c r="Y31" i="1" s="1"/>
  <c r="L31" i="1"/>
  <c r="Q30" i="1"/>
  <c r="Y30" i="1" s="1"/>
  <c r="L30" i="1"/>
  <c r="Q29" i="1"/>
  <c r="Y29" i="1" s="1"/>
  <c r="L29" i="1"/>
  <c r="Q28" i="1"/>
  <c r="R28" i="1" s="1"/>
  <c r="S28" i="1" s="1"/>
  <c r="L28" i="1"/>
  <c r="Q27" i="1"/>
  <c r="Y27" i="1" s="1"/>
  <c r="L27" i="1"/>
  <c r="Q26" i="1"/>
  <c r="R26" i="1" s="1"/>
  <c r="S26" i="1" s="1"/>
  <c r="T26" i="1" s="1"/>
  <c r="AI26" i="1" s="1"/>
  <c r="L26" i="1"/>
  <c r="Q25" i="1"/>
  <c r="Y25" i="1" s="1"/>
  <c r="L25" i="1"/>
  <c r="Q24" i="1"/>
  <c r="Y24" i="1" s="1"/>
  <c r="L24" i="1"/>
  <c r="Q23" i="1"/>
  <c r="Y23" i="1" s="1"/>
  <c r="L23" i="1"/>
  <c r="Q22" i="1"/>
  <c r="R22" i="1" s="1"/>
  <c r="L22" i="1"/>
  <c r="Q21" i="1"/>
  <c r="Y21" i="1" s="1"/>
  <c r="L21" i="1"/>
  <c r="Q20" i="1"/>
  <c r="Y20" i="1" s="1"/>
  <c r="L20" i="1"/>
  <c r="Q19" i="1"/>
  <c r="X19" i="1" s="1"/>
  <c r="L19" i="1"/>
  <c r="Q18" i="1"/>
  <c r="Y18" i="1" s="1"/>
  <c r="L18" i="1"/>
  <c r="Q17" i="1"/>
  <c r="Y17" i="1" s="1"/>
  <c r="L17" i="1"/>
  <c r="Q16" i="1"/>
  <c r="Y16" i="1" s="1"/>
  <c r="L16" i="1"/>
  <c r="Q15" i="1"/>
  <c r="Y15" i="1" s="1"/>
  <c r="L15" i="1"/>
  <c r="Q14" i="1"/>
  <c r="L14" i="1"/>
  <c r="Q13" i="1"/>
  <c r="R13" i="1" s="1"/>
  <c r="S13" i="1" s="1"/>
  <c r="L13" i="1"/>
  <c r="Q12" i="1"/>
  <c r="Y12" i="1" s="1"/>
  <c r="L12" i="1"/>
  <c r="Q11" i="1"/>
  <c r="X11" i="1" s="1"/>
  <c r="L11" i="1"/>
  <c r="Q10" i="1"/>
  <c r="R10" i="1" s="1"/>
  <c r="S10" i="1" s="1"/>
  <c r="T10" i="1" s="1"/>
  <c r="AI10" i="1" s="1"/>
  <c r="L10" i="1"/>
  <c r="Q9" i="1"/>
  <c r="L9" i="1"/>
  <c r="Q8" i="1"/>
  <c r="L8" i="1"/>
  <c r="Q7" i="1"/>
  <c r="Y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F5" i="1"/>
  <c r="E5" i="1"/>
  <c r="T13" i="1" l="1"/>
  <c r="AI13" i="1" s="1"/>
  <c r="U13" i="1"/>
  <c r="AJ13" i="1" s="1"/>
  <c r="T28" i="1"/>
  <c r="AI28" i="1" s="1"/>
  <c r="U28" i="1"/>
  <c r="AJ28" i="1" s="1"/>
  <c r="T39" i="1"/>
  <c r="AI39" i="1" s="1"/>
  <c r="U39" i="1"/>
  <c r="AJ39" i="1" s="1"/>
  <c r="T53" i="1"/>
  <c r="AI53" i="1" s="1"/>
  <c r="U53" i="1"/>
  <c r="AJ53" i="1" s="1"/>
  <c r="T67" i="1"/>
  <c r="AI67" i="1" s="1"/>
  <c r="U67" i="1"/>
  <c r="AJ67" i="1" s="1"/>
  <c r="T81" i="1"/>
  <c r="AI81" i="1" s="1"/>
  <c r="U81" i="1"/>
  <c r="AJ81" i="1" s="1"/>
  <c r="T86" i="1"/>
  <c r="AI86" i="1" s="1"/>
  <c r="AJ86" i="1"/>
  <c r="R56" i="1"/>
  <c r="S56" i="1" s="1"/>
  <c r="R31" i="1"/>
  <c r="S31" i="1" s="1"/>
  <c r="X24" i="1"/>
  <c r="X30" i="1"/>
  <c r="X66" i="1"/>
  <c r="X82" i="1"/>
  <c r="R42" i="1"/>
  <c r="S42" i="1" s="1"/>
  <c r="X25" i="1"/>
  <c r="X7" i="1"/>
  <c r="R16" i="1"/>
  <c r="S16" i="1" s="1"/>
  <c r="R36" i="1"/>
  <c r="R48" i="1"/>
  <c r="S48" i="1" s="1"/>
  <c r="T48" i="1" s="1"/>
  <c r="AI48" i="1" s="1"/>
  <c r="Y74" i="1"/>
  <c r="X36" i="1"/>
  <c r="X21" i="1"/>
  <c r="X63" i="1"/>
  <c r="X37" i="1"/>
  <c r="X62" i="1"/>
  <c r="X80" i="1"/>
  <c r="X59" i="1"/>
  <c r="R8" i="1"/>
  <c r="X8" i="1"/>
  <c r="X13" i="1"/>
  <c r="Y14" i="1"/>
  <c r="X14" i="1"/>
  <c r="R18" i="1"/>
  <c r="S18" i="1" s="1"/>
  <c r="X26" i="1"/>
  <c r="X28" i="1"/>
  <c r="R34" i="1"/>
  <c r="S34" i="1" s="1"/>
  <c r="R46" i="1"/>
  <c r="S46" i="1" s="1"/>
  <c r="R50" i="1"/>
  <c r="S50" i="1" s="1"/>
  <c r="R72" i="1"/>
  <c r="S72" i="1" s="1"/>
  <c r="R92" i="1"/>
  <c r="S92" i="1" s="1"/>
  <c r="T92" i="1" s="1"/>
  <c r="AI92" i="1" s="1"/>
  <c r="Y94" i="1"/>
  <c r="X94" i="1"/>
  <c r="X45" i="1"/>
  <c r="X22" i="1"/>
  <c r="X44" i="1"/>
  <c r="X52" i="1"/>
  <c r="X15" i="1"/>
  <c r="X55" i="1"/>
  <c r="X88" i="1"/>
  <c r="L5" i="1"/>
  <c r="Y8" i="1"/>
  <c r="Y10" i="1"/>
  <c r="Y13" i="1"/>
  <c r="Y22" i="1"/>
  <c r="Y26" i="1"/>
  <c r="Y28" i="1"/>
  <c r="Y39" i="1"/>
  <c r="Y53" i="1"/>
  <c r="Y60" i="1"/>
  <c r="Y64" i="1"/>
  <c r="Y67" i="1"/>
  <c r="Y76" i="1"/>
  <c r="Y81" i="1"/>
  <c r="Y83" i="1"/>
  <c r="Y86" i="1"/>
  <c r="Y88" i="1"/>
  <c r="Y40" i="1"/>
  <c r="Y69" i="1"/>
  <c r="Y77" i="1"/>
  <c r="Y89" i="1"/>
  <c r="Y6" i="1"/>
  <c r="R6" i="1"/>
  <c r="X6" i="1" s="1"/>
  <c r="Q5" i="1"/>
  <c r="Y9" i="1"/>
  <c r="R9" i="1"/>
  <c r="S9" i="1" s="1"/>
  <c r="Y11" i="1"/>
  <c r="Y19" i="1"/>
  <c r="Y35" i="1"/>
  <c r="R35" i="1"/>
  <c r="S35" i="1" s="1"/>
  <c r="Y38" i="1"/>
  <c r="R38" i="1"/>
  <c r="S38" i="1" s="1"/>
  <c r="Y41" i="1"/>
  <c r="R41" i="1"/>
  <c r="S41" i="1" s="1"/>
  <c r="Y47" i="1"/>
  <c r="R47" i="1"/>
  <c r="S47" i="1" s="1"/>
  <c r="Y51" i="1"/>
  <c r="R51" i="1"/>
  <c r="S51" i="1" s="1"/>
  <c r="T51" i="1" s="1"/>
  <c r="AI51" i="1" s="1"/>
  <c r="Y54" i="1"/>
  <c r="R54" i="1"/>
  <c r="S54" i="1" s="1"/>
  <c r="T54" i="1" s="1"/>
  <c r="AI54" i="1" s="1"/>
  <c r="Y75" i="1"/>
  <c r="R75" i="1"/>
  <c r="S75" i="1" s="1"/>
  <c r="Y87" i="1"/>
  <c r="R87" i="1"/>
  <c r="S87" i="1" s="1"/>
  <c r="Y93" i="1"/>
  <c r="R93" i="1"/>
  <c r="S93" i="1" s="1"/>
  <c r="T93" i="1" s="1"/>
  <c r="AI93" i="1" s="1"/>
  <c r="R12" i="1"/>
  <c r="X12" i="1" s="1"/>
  <c r="R14" i="1"/>
  <c r="R17" i="1"/>
  <c r="S17" i="1" s="1"/>
  <c r="R20" i="1"/>
  <c r="S20" i="1" s="1"/>
  <c r="T20" i="1" s="1"/>
  <c r="AI20" i="1" s="1"/>
  <c r="R23" i="1"/>
  <c r="S23" i="1" s="1"/>
  <c r="T23" i="1" s="1"/>
  <c r="AI23" i="1" s="1"/>
  <c r="R27" i="1"/>
  <c r="S27" i="1" s="1"/>
  <c r="R29" i="1"/>
  <c r="X29" i="1" s="1"/>
  <c r="Y32" i="1"/>
  <c r="Y33" i="1"/>
  <c r="R33" i="1"/>
  <c r="S33" i="1" s="1"/>
  <c r="T33" i="1" s="1"/>
  <c r="AI33" i="1" s="1"/>
  <c r="Y43" i="1"/>
  <c r="R43" i="1"/>
  <c r="S43" i="1" s="1"/>
  <c r="T43" i="1" s="1"/>
  <c r="AI43" i="1" s="1"/>
  <c r="Y49" i="1"/>
  <c r="R49" i="1"/>
  <c r="S49" i="1" s="1"/>
  <c r="Y57" i="1"/>
  <c r="Y58" i="1"/>
  <c r="R58" i="1"/>
  <c r="S58" i="1" s="1"/>
  <c r="T58" i="1" s="1"/>
  <c r="AI58" i="1" s="1"/>
  <c r="Y61" i="1"/>
  <c r="R61" i="1"/>
  <c r="S61" i="1" s="1"/>
  <c r="T61" i="1" s="1"/>
  <c r="AI61" i="1" s="1"/>
  <c r="Y65" i="1"/>
  <c r="Y66" i="1"/>
  <c r="R66" i="1"/>
  <c r="Y68" i="1"/>
  <c r="Y70" i="1"/>
  <c r="Y71" i="1"/>
  <c r="R71" i="1"/>
  <c r="X71" i="1" s="1"/>
  <c r="Y73" i="1"/>
  <c r="Y78" i="1"/>
  <c r="Y79" i="1"/>
  <c r="R79" i="1"/>
  <c r="S79" i="1" s="1"/>
  <c r="Y82" i="1"/>
  <c r="R82" i="1"/>
  <c r="Y84" i="1"/>
  <c r="Y85" i="1"/>
  <c r="R85" i="1"/>
  <c r="S85" i="1" s="1"/>
  <c r="Y90" i="1"/>
  <c r="Y91" i="1"/>
  <c r="R91" i="1"/>
  <c r="S91" i="1" s="1"/>
  <c r="T91" i="1" s="1"/>
  <c r="AI91" i="1" s="1"/>
  <c r="U85" i="1" l="1"/>
  <c r="AJ85" i="1" s="1"/>
  <c r="AJ17" i="1"/>
  <c r="U50" i="1"/>
  <c r="AJ50" i="1" s="1"/>
  <c r="AJ34" i="1"/>
  <c r="AJ42" i="1"/>
  <c r="U56" i="1"/>
  <c r="AJ56" i="1" s="1"/>
  <c r="AJ79" i="1"/>
  <c r="U49" i="1"/>
  <c r="AJ49" i="1" s="1"/>
  <c r="U27" i="1"/>
  <c r="AJ27" i="1" s="1"/>
  <c r="U87" i="1"/>
  <c r="AJ87" i="1" s="1"/>
  <c r="U75" i="1"/>
  <c r="AJ75" i="1" s="1"/>
  <c r="U47" i="1"/>
  <c r="AJ47" i="1" s="1"/>
  <c r="U41" i="1"/>
  <c r="AJ41" i="1" s="1"/>
  <c r="AJ38" i="1"/>
  <c r="AJ35" i="1"/>
  <c r="U9" i="1"/>
  <c r="U72" i="1"/>
  <c r="AJ72" i="1" s="1"/>
  <c r="U46" i="1"/>
  <c r="AJ46" i="1" s="1"/>
  <c r="U18" i="1"/>
  <c r="AJ18" i="1" s="1"/>
  <c r="AJ31" i="1"/>
  <c r="X16" i="1"/>
  <c r="T16" i="1"/>
  <c r="AI16" i="1" s="1"/>
  <c r="X72" i="1"/>
  <c r="X53" i="1"/>
  <c r="X46" i="1"/>
  <c r="X81" i="1"/>
  <c r="X60" i="1"/>
  <c r="X42" i="1"/>
  <c r="X10" i="1"/>
  <c r="X18" i="1"/>
  <c r="X92" i="1"/>
  <c r="X86" i="1"/>
  <c r="X83" i="1"/>
  <c r="X67" i="1"/>
  <c r="X64" i="1"/>
  <c r="X56" i="1"/>
  <c r="X50" i="1"/>
  <c r="X34" i="1"/>
  <c r="X31" i="1"/>
  <c r="X76" i="1"/>
  <c r="X48" i="1"/>
  <c r="X39" i="1"/>
  <c r="R5" i="1"/>
  <c r="AJ9" i="1" l="1"/>
  <c r="AJ5" i="1" s="1"/>
  <c r="U5" i="1"/>
  <c r="T31" i="1"/>
  <c r="AI31" i="1" s="1"/>
  <c r="T18" i="1"/>
  <c r="AI18" i="1" s="1"/>
  <c r="T46" i="1"/>
  <c r="AI46" i="1" s="1"/>
  <c r="T72" i="1"/>
  <c r="AI72" i="1" s="1"/>
  <c r="T9" i="1"/>
  <c r="AI9" i="1" s="1"/>
  <c r="T35" i="1"/>
  <c r="AI35" i="1" s="1"/>
  <c r="T38" i="1"/>
  <c r="AI38" i="1" s="1"/>
  <c r="T41" i="1"/>
  <c r="AI41" i="1" s="1"/>
  <c r="T47" i="1"/>
  <c r="AI47" i="1" s="1"/>
  <c r="T75" i="1"/>
  <c r="AI75" i="1" s="1"/>
  <c r="T87" i="1"/>
  <c r="AI87" i="1" s="1"/>
  <c r="T27" i="1"/>
  <c r="AI27" i="1" s="1"/>
  <c r="T49" i="1"/>
  <c r="AI49" i="1" s="1"/>
  <c r="T79" i="1"/>
  <c r="AI79" i="1" s="1"/>
  <c r="T56" i="1"/>
  <c r="AI56" i="1" s="1"/>
  <c r="T42" i="1"/>
  <c r="AI42" i="1" s="1"/>
  <c r="T34" i="1"/>
  <c r="AI34" i="1" s="1"/>
  <c r="T50" i="1"/>
  <c r="AI50" i="1" s="1"/>
  <c r="T17" i="1"/>
  <c r="AI17" i="1" s="1"/>
  <c r="T85" i="1"/>
  <c r="AI85" i="1" s="1"/>
  <c r="X9" i="1"/>
  <c r="X20" i="1"/>
  <c r="X27" i="1"/>
  <c r="X58" i="1"/>
  <c r="X85" i="1"/>
  <c r="X35" i="1"/>
  <c r="X41" i="1"/>
  <c r="X51" i="1"/>
  <c r="X75" i="1"/>
  <c r="X93" i="1"/>
  <c r="X43" i="1"/>
  <c r="X79" i="1"/>
  <c r="X91" i="1"/>
  <c r="X17" i="1"/>
  <c r="X23" i="1"/>
  <c r="X61" i="1"/>
  <c r="X38" i="1"/>
  <c r="X47" i="1"/>
  <c r="X54" i="1"/>
  <c r="X87" i="1"/>
  <c r="X33" i="1"/>
  <c r="X49" i="1"/>
  <c r="AI5" i="1"/>
  <c r="S5" i="1"/>
  <c r="T5" i="1" l="1"/>
</calcChain>
</file>

<file path=xl/sharedStrings.xml><?xml version="1.0" encoding="utf-8"?>
<sst xmlns="http://schemas.openxmlformats.org/spreadsheetml/2006/main" count="356" uniqueCount="156">
  <si>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</si>
  <si>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</si>
  <si>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</si>
  <si>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</si>
  <si>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</si>
  <si>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</si>
  <si>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</si>
  <si>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</si>
  <si>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</si>
  <si>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</si>
  <si>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</si>
  <si>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</si>
  <si>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</si>
  <si>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</si>
  <si>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</si>
  <si>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</si>
  <si>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</si>
  <si>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</si>
  <si>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</si>
  <si>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</si>
  <si>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</si>
  <si>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</si>
  <si>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</si>
  <si>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</si>
  <si>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</si>
  <si>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</si>
  <si>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</si>
  <si>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</si>
  <si>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</si>
  <si>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</si>
  <si>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</si>
  <si>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</si>
  <si>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</si>
  <si>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</si>
  <si>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</si>
  <si>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</si>
  <si>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</si>
  <si>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</si>
  <si>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</si>
  <si>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</si>
  <si>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нужно увеличить продажи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</si>
  <si>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</si>
  <si>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</si>
  <si>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</si>
  <si>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</si>
  <si>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</si>
  <si>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</si>
  <si>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</si>
  <si>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</si>
  <si>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</si>
  <si>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</si>
  <si>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</si>
  <si>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</si>
  <si>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</si>
  <si>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</si>
  <si>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</si>
  <si>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</si>
  <si>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</si>
  <si>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</si>
  <si>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</si>
  <si>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</si>
  <si>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</si>
  <si>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</si>
  <si>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</si>
  <si>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ротация - 1001016747343 СЕЙЧАС СЕЗОН ПМ вар п/о 0.4кг</t>
    </r>
  </si>
  <si>
    <t>6208 ДЫМОВИЦА ИЗ ЛОПАТКИ ПМ к/в с/н в/у 1/150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</si>
  <si>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новинка</t>
    </r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</si>
  <si>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</si>
  <si>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</si>
  <si>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</si>
  <si>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</si>
  <si>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</si>
  <si>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</si>
  <si>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</si>
  <si>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</si>
  <si>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</si>
  <si>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</si>
  <si>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</si>
  <si>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</si>
  <si>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</si>
  <si>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</si>
  <si>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</si>
  <si>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</si>
  <si>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</si>
  <si>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</si>
  <si>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</si>
  <si>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</si>
  <si>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</si>
  <si>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</si>
  <si>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</si>
  <si>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</si>
  <si>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</si>
  <si>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</si>
  <si>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</si>
  <si>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</si>
  <si>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</si>
  <si>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</si>
  <si>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</si>
  <si>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не в матрице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</si>
  <si>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вывод</t>
    </r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</si>
  <si>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</si>
  <si>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</si>
  <si>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</si>
  <si>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</si>
  <si>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</si>
  <si>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</si>
  <si>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r>
      <rPr>
        <b/>
        <sz val="10"/>
        <color rgb="FFFF0000"/>
        <rFont val="Arial"/>
        <charset val="204"/>
      </rPr>
      <t xml:space="preserve">нужно увеличить продажи!!! </t>
    </r>
    <r>
      <rPr>
        <sz val="10"/>
        <rFont val="Arial"/>
        <charset val="204"/>
      </rPr>
      <t>/ Мкд Трейд</t>
    </r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</si>
  <si>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</si>
  <si>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</si>
  <si>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</si>
  <si>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</si>
  <si>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</si>
  <si>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</si>
  <si>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6872 ШАШЛЫК ИЗ СВИНИНЫ зам.  Останкино</t>
  </si>
  <si>
    <t>вывод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</si>
  <si>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</si>
  <si>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</si>
  <si>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</si>
  <si>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</si>
  <si>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</si>
  <si>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</si>
  <si>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</si>
  <si>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</si>
  <si>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</si>
  <si>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</si>
  <si>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</si>
  <si>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</si>
  <si>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</si>
  <si>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</si>
  <si>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</si>
  <si>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</si>
  <si>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</si>
  <si>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30,08,25 списание 41 шт. (пересчет)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</si>
  <si>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</si>
  <si>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</si>
  <si>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</si>
  <si>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</si>
  <si>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</si>
  <si>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</si>
  <si>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</si>
  <si>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</si>
  <si>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</si>
  <si>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</si>
  <si>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</si>
  <si>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нужно увеличить продажи / 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</si>
  <si>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</si>
  <si>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</si>
  <si>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</si>
  <si>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</si>
  <si>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</si>
  <si>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</si>
  <si>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</si>
  <si>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 учетом ТК</t>
  </si>
  <si>
    <t>заказ</t>
  </si>
  <si>
    <t>24,11,</t>
  </si>
  <si>
    <t>23,11,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</si>
</sst>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2" fontId="0" fillId="0" borderId="0" xfId="0" applyNumberFormat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164" fontId="3" fillId="4" borderId="0" xfId="1" applyNumberFormat="1" applyFont="1" applyFill="1"/>
    <xf numFmtId="164" fontId="4" fillId="2" borderId="0" xfId="1" applyNumberFormat="1" applyFont="1" applyFill="1"/>
    <xf numFmtId="164" fontId="2" fillId="7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3" fillId="5" borderId="0" xfId="1" applyNumberFormat="1" applyFont="1" applyFill="1"/>
    <xf numFmtId="164" fontId="3" fillId="0" borderId="0" xfId="1" applyNumberFormat="1" applyFont="1"/>
    <xf numFmtId="164" fontId="5" fillId="5" borderId="0" xfId="1" applyNumberFormat="1" applyFont="1" applyFill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5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4" customWidth="1"/>
    <col min="24" max="25" width="5" customWidth="1"/>
    <col min="26" max="33" width="6" customWidth="1"/>
    <col min="34" max="34" width="40.140625" customWidth="1"/>
    <col min="35" max="36" width="7" customWidth="1"/>
    <col min="37" max="52" width="8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152</v>
      </c>
      <c r="T3" s="13" t="s">
        <v>153</v>
      </c>
      <c r="U3" s="13" t="s">
        <v>153</v>
      </c>
      <c r="V3" s="14" t="s">
        <v>17</v>
      </c>
      <c r="W3" s="1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155</v>
      </c>
      <c r="U4" s="2" t="s">
        <v>154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155</v>
      </c>
      <c r="AJ4" s="2" t="s">
        <v>154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SUM(E6:E495)</f>
        <v>9736.007999999998</v>
      </c>
      <c r="F5" s="6">
        <f>SUM(F6:F495)</f>
        <v>10587.130000000001</v>
      </c>
      <c r="G5" s="3"/>
      <c r="H5" s="2"/>
      <c r="I5" s="2"/>
      <c r="J5" s="2"/>
      <c r="K5" s="6">
        <f t="shared" ref="K5:V5" si="0">SUM(K6:K495)</f>
        <v>10148.956000000002</v>
      </c>
      <c r="L5" s="6">
        <f t="shared" si="0"/>
        <v>-412.94800000000009</v>
      </c>
      <c r="M5" s="6">
        <f t="shared" si="0"/>
        <v>0</v>
      </c>
      <c r="N5" s="6">
        <f t="shared" si="0"/>
        <v>0</v>
      </c>
      <c r="O5" s="6">
        <f t="shared" si="0"/>
        <v>4451</v>
      </c>
      <c r="P5" s="6">
        <f t="shared" si="0"/>
        <v>2853</v>
      </c>
      <c r="Q5" s="6">
        <f t="shared" si="0"/>
        <v>1947.201600000001</v>
      </c>
      <c r="R5" s="6">
        <f t="shared" si="0"/>
        <v>9514.1065999999973</v>
      </c>
      <c r="S5" s="6">
        <f t="shared" si="0"/>
        <v>10120</v>
      </c>
      <c r="T5" s="6">
        <f t="shared" si="0"/>
        <v>5023</v>
      </c>
      <c r="U5" s="6">
        <f t="shared" ref="U5" si="1">SUM(U6:U495)</f>
        <v>5097</v>
      </c>
      <c r="V5" s="6">
        <f t="shared" si="0"/>
        <v>4525</v>
      </c>
      <c r="W5" s="2"/>
      <c r="X5" s="2"/>
      <c r="Y5" s="2"/>
      <c r="Z5" s="6">
        <f t="shared" ref="Z5:AG5" si="2">SUM(Z6:Z495)</f>
        <v>1844.9844000000001</v>
      </c>
      <c r="AA5" s="6">
        <f t="shared" si="2"/>
        <v>1767.0598000000007</v>
      </c>
      <c r="AB5" s="6">
        <f t="shared" si="2"/>
        <v>2208.4368000000004</v>
      </c>
      <c r="AC5" s="6">
        <f t="shared" si="2"/>
        <v>2105.3669999999997</v>
      </c>
      <c r="AD5" s="6">
        <f t="shared" si="2"/>
        <v>1738.4793999999999</v>
      </c>
      <c r="AE5" s="6">
        <f t="shared" si="2"/>
        <v>2217.2184000000007</v>
      </c>
      <c r="AF5" s="6">
        <f t="shared" si="2"/>
        <v>1747.6758000000002</v>
      </c>
      <c r="AG5" s="6">
        <f t="shared" si="2"/>
        <v>1997.4044000000004</v>
      </c>
      <c r="AH5" s="2"/>
      <c r="AI5" s="6">
        <f>SUM(AI6:AI495)</f>
        <v>2427.0799999999995</v>
      </c>
      <c r="AJ5" s="6">
        <f>SUM(AJ6:AJ495)</f>
        <v>2402.9799999999996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443</v>
      </c>
      <c r="D6" s="2">
        <v>366</v>
      </c>
      <c r="E6" s="2">
        <v>269</v>
      </c>
      <c r="F6" s="2">
        <v>265</v>
      </c>
      <c r="G6" s="3">
        <v>0.4</v>
      </c>
      <c r="H6" s="2">
        <v>60</v>
      </c>
      <c r="I6" s="2" t="s">
        <v>37</v>
      </c>
      <c r="J6" s="2"/>
      <c r="K6" s="2">
        <v>270</v>
      </c>
      <c r="L6" s="2">
        <f t="shared" ref="L6:L36" si="3">E6-K6</f>
        <v>-1</v>
      </c>
      <c r="M6" s="2"/>
      <c r="N6" s="2"/>
      <c r="O6" s="2">
        <v>120</v>
      </c>
      <c r="P6" s="2">
        <v>80</v>
      </c>
      <c r="Q6" s="2">
        <f>E6/5</f>
        <v>53.8</v>
      </c>
      <c r="R6" s="15">
        <f>14*Q6-P6-O6-F6</f>
        <v>288.19999999999993</v>
      </c>
      <c r="S6" s="15">
        <f>V6</f>
        <v>300</v>
      </c>
      <c r="T6" s="15">
        <f>S6-U6</f>
        <v>120</v>
      </c>
      <c r="U6" s="15">
        <v>180</v>
      </c>
      <c r="V6" s="15">
        <v>300</v>
      </c>
      <c r="W6" s="2"/>
      <c r="X6" s="2">
        <f>(F6+O6+P6+S6)/Q6</f>
        <v>14.219330855018589</v>
      </c>
      <c r="Y6" s="2">
        <f>(F6+O6+P6)/Q6</f>
        <v>8.6431226765799263</v>
      </c>
      <c r="Z6" s="2">
        <v>51.4</v>
      </c>
      <c r="AA6" s="2">
        <v>50.8</v>
      </c>
      <c r="AB6" s="2">
        <v>59</v>
      </c>
      <c r="AC6" s="2">
        <v>52.2</v>
      </c>
      <c r="AD6" s="2">
        <v>39.799999999999997</v>
      </c>
      <c r="AE6" s="2">
        <v>62</v>
      </c>
      <c r="AF6" s="2">
        <v>47.2</v>
      </c>
      <c r="AG6" s="2">
        <v>48.2</v>
      </c>
      <c r="AH6" s="2"/>
      <c r="AI6" s="2">
        <f>G6*T6</f>
        <v>48</v>
      </c>
      <c r="AJ6" s="2">
        <f>G6*U6</f>
        <v>72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63.991</v>
      </c>
      <c r="D7" s="2">
        <v>4.415</v>
      </c>
      <c r="E7" s="2">
        <v>11.832000000000001</v>
      </c>
      <c r="F7" s="2">
        <v>46.712000000000003</v>
      </c>
      <c r="G7" s="3">
        <v>1</v>
      </c>
      <c r="H7" s="2">
        <v>120</v>
      </c>
      <c r="I7" s="2" t="s">
        <v>37</v>
      </c>
      <c r="J7" s="2"/>
      <c r="K7" s="2">
        <v>11</v>
      </c>
      <c r="L7" s="2">
        <f t="shared" si="3"/>
        <v>0.83200000000000074</v>
      </c>
      <c r="M7" s="2"/>
      <c r="N7" s="2"/>
      <c r="O7" s="2">
        <v>0</v>
      </c>
      <c r="P7" s="2"/>
      <c r="Q7" s="2">
        <f t="shared" ref="Q7:Q67" si="4">E7/5</f>
        <v>2.3664000000000001</v>
      </c>
      <c r="R7" s="15"/>
      <c r="S7" s="15">
        <f>ROUND(R7,0)</f>
        <v>0</v>
      </c>
      <c r="T7" s="15">
        <f t="shared" ref="T7:T70" si="5">S7-U7</f>
        <v>0</v>
      </c>
      <c r="U7" s="15"/>
      <c r="V7" s="15"/>
      <c r="W7" s="2"/>
      <c r="X7" s="2">
        <f t="shared" ref="X7:X70" si="6">(F7+O7+P7+S7)/Q7</f>
        <v>19.739688979039894</v>
      </c>
      <c r="Y7" s="2">
        <f t="shared" ref="Y7:Y67" si="7">(F7+O7+P7)/Q7</f>
        <v>19.739688979039894</v>
      </c>
      <c r="Z7" s="2">
        <v>2.1724000000000001</v>
      </c>
      <c r="AA7" s="2">
        <v>1.843</v>
      </c>
      <c r="AB7" s="2">
        <v>6.2092000000000001</v>
      </c>
      <c r="AC7" s="2">
        <v>3.1107999999999998</v>
      </c>
      <c r="AD7" s="2">
        <v>4.1124000000000001</v>
      </c>
      <c r="AE7" s="2">
        <v>3.3555999999999999</v>
      </c>
      <c r="AF7" s="2">
        <v>2.0735999999999999</v>
      </c>
      <c r="AG7" s="2">
        <v>3.5623999999999998</v>
      </c>
      <c r="AH7" s="17" t="s">
        <v>40</v>
      </c>
      <c r="AI7" s="2">
        <f t="shared" ref="AI7:AI70" si="8">G7*T7</f>
        <v>0</v>
      </c>
      <c r="AJ7" s="2">
        <f t="shared" ref="AJ7:AJ70" si="9">G7*U7</f>
        <v>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7" t="s">
        <v>41</v>
      </c>
      <c r="B8" s="2" t="s">
        <v>36</v>
      </c>
      <c r="C8" s="2"/>
      <c r="D8" s="2">
        <v>109</v>
      </c>
      <c r="E8" s="2">
        <v>59</v>
      </c>
      <c r="F8" s="2">
        <v>34</v>
      </c>
      <c r="G8" s="3">
        <v>0.25</v>
      </c>
      <c r="H8" s="2">
        <v>120</v>
      </c>
      <c r="I8" s="2" t="s">
        <v>37</v>
      </c>
      <c r="J8" s="2"/>
      <c r="K8" s="2">
        <v>69</v>
      </c>
      <c r="L8" s="2">
        <f t="shared" si="3"/>
        <v>-10</v>
      </c>
      <c r="M8" s="2"/>
      <c r="N8" s="2"/>
      <c r="O8" s="2"/>
      <c r="P8" s="10">
        <v>48</v>
      </c>
      <c r="Q8" s="2">
        <f t="shared" si="4"/>
        <v>11.8</v>
      </c>
      <c r="R8" s="15">
        <f t="shared" ref="R8:R18" si="10">14*Q8-P8-O8-F8</f>
        <v>83.200000000000017</v>
      </c>
      <c r="S8" s="15">
        <f>V8</f>
        <v>100</v>
      </c>
      <c r="T8" s="15">
        <f t="shared" si="5"/>
        <v>50</v>
      </c>
      <c r="U8" s="15">
        <f t="shared" ref="U8:U9" si="11">ROUND(S8/2,0)</f>
        <v>50</v>
      </c>
      <c r="V8" s="15">
        <v>100</v>
      </c>
      <c r="W8" s="2"/>
      <c r="X8" s="2">
        <f t="shared" si="6"/>
        <v>15.423728813559322</v>
      </c>
      <c r="Y8" s="2">
        <f t="shared" si="7"/>
        <v>6.9491525423728806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18" t="s">
        <v>42</v>
      </c>
      <c r="AI8" s="2">
        <f t="shared" si="8"/>
        <v>12.5</v>
      </c>
      <c r="AJ8" s="2">
        <f t="shared" si="9"/>
        <v>12.5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43</v>
      </c>
      <c r="B9" s="2" t="s">
        <v>39</v>
      </c>
      <c r="C9" s="2">
        <v>323.983</v>
      </c>
      <c r="D9" s="2">
        <v>315.84800000000001</v>
      </c>
      <c r="E9" s="2">
        <v>214.666</v>
      </c>
      <c r="F9" s="2">
        <v>290.31299999999999</v>
      </c>
      <c r="G9" s="3">
        <v>1</v>
      </c>
      <c r="H9" s="2">
        <v>60</v>
      </c>
      <c r="I9" s="2" t="s">
        <v>37</v>
      </c>
      <c r="J9" s="2"/>
      <c r="K9" s="2">
        <v>209.6</v>
      </c>
      <c r="L9" s="2">
        <f t="shared" si="3"/>
        <v>5.0660000000000025</v>
      </c>
      <c r="M9" s="2"/>
      <c r="N9" s="2"/>
      <c r="O9" s="2">
        <v>0</v>
      </c>
      <c r="P9" s="2">
        <v>70</v>
      </c>
      <c r="Q9" s="2">
        <f t="shared" si="4"/>
        <v>42.933199999999999</v>
      </c>
      <c r="R9" s="15">
        <f t="shared" si="10"/>
        <v>240.7518</v>
      </c>
      <c r="S9" s="15">
        <f t="shared" ref="S9:S70" si="12">ROUND(R9,0)</f>
        <v>241</v>
      </c>
      <c r="T9" s="15">
        <f t="shared" si="5"/>
        <v>120</v>
      </c>
      <c r="U9" s="15">
        <f t="shared" si="11"/>
        <v>121</v>
      </c>
      <c r="V9" s="15"/>
      <c r="W9" s="2"/>
      <c r="X9" s="2">
        <f t="shared" si="6"/>
        <v>14.005781073854267</v>
      </c>
      <c r="Y9" s="2">
        <f t="shared" si="7"/>
        <v>8.3924096037565334</v>
      </c>
      <c r="Z9" s="2">
        <v>37.126800000000003</v>
      </c>
      <c r="AA9" s="2">
        <v>39.812199999999997</v>
      </c>
      <c r="AB9" s="2">
        <v>44.874400000000001</v>
      </c>
      <c r="AC9" s="2">
        <v>51.76</v>
      </c>
      <c r="AD9" s="2">
        <v>39.495800000000003</v>
      </c>
      <c r="AE9" s="2">
        <v>48.458199999999998</v>
      </c>
      <c r="AF9" s="2">
        <v>42.053199999999997</v>
      </c>
      <c r="AG9" s="2">
        <v>47.837800000000001</v>
      </c>
      <c r="AH9" s="2"/>
      <c r="AI9" s="2">
        <f t="shared" si="8"/>
        <v>120</v>
      </c>
      <c r="AJ9" s="2">
        <f t="shared" si="9"/>
        <v>121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44</v>
      </c>
      <c r="B10" s="2" t="s">
        <v>39</v>
      </c>
      <c r="C10" s="2">
        <v>29.346</v>
      </c>
      <c r="D10" s="2">
        <v>17.067</v>
      </c>
      <c r="E10" s="2">
        <v>15.478</v>
      </c>
      <c r="F10" s="2">
        <v>18.437999999999999</v>
      </c>
      <c r="G10" s="3">
        <v>1</v>
      </c>
      <c r="H10" s="2">
        <v>120</v>
      </c>
      <c r="I10" s="2" t="s">
        <v>37</v>
      </c>
      <c r="J10" s="2"/>
      <c r="K10" s="2">
        <v>23.8</v>
      </c>
      <c r="L10" s="2">
        <f t="shared" si="3"/>
        <v>-8.322000000000001</v>
      </c>
      <c r="M10" s="2"/>
      <c r="N10" s="2"/>
      <c r="O10" s="2">
        <v>4</v>
      </c>
      <c r="P10" s="2"/>
      <c r="Q10" s="2">
        <f t="shared" si="4"/>
        <v>3.0956000000000001</v>
      </c>
      <c r="R10" s="15">
        <f t="shared" si="10"/>
        <v>20.900400000000001</v>
      </c>
      <c r="S10" s="15">
        <f t="shared" si="12"/>
        <v>21</v>
      </c>
      <c r="T10" s="15">
        <f t="shared" si="5"/>
        <v>16</v>
      </c>
      <c r="U10" s="15">
        <v>5</v>
      </c>
      <c r="V10" s="15"/>
      <c r="W10" s="2"/>
      <c r="X10" s="2">
        <f t="shared" si="6"/>
        <v>14.032174699573588</v>
      </c>
      <c r="Y10" s="2">
        <f t="shared" si="7"/>
        <v>7.2483525003230387</v>
      </c>
      <c r="Z10" s="2">
        <v>2.4108000000000001</v>
      </c>
      <c r="AA10" s="2">
        <v>2.7</v>
      </c>
      <c r="AB10" s="2">
        <v>0.79400000000000004</v>
      </c>
      <c r="AC10" s="2">
        <v>4.6791999999999998</v>
      </c>
      <c r="AD10" s="2">
        <v>1.5808</v>
      </c>
      <c r="AE10" s="2">
        <v>1.9561999999999999</v>
      </c>
      <c r="AF10" s="2">
        <v>1.6894</v>
      </c>
      <c r="AG10" s="2">
        <v>2.2951999999999999</v>
      </c>
      <c r="AH10" s="2"/>
      <c r="AI10" s="2">
        <f t="shared" si="8"/>
        <v>16</v>
      </c>
      <c r="AJ10" s="2">
        <f t="shared" si="9"/>
        <v>5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45</v>
      </c>
      <c r="B11" s="2" t="s">
        <v>39</v>
      </c>
      <c r="C11" s="2">
        <v>50.904000000000003</v>
      </c>
      <c r="D11" s="2">
        <v>40.247</v>
      </c>
      <c r="E11" s="2">
        <v>40.091000000000001</v>
      </c>
      <c r="F11" s="2">
        <v>32.164000000000001</v>
      </c>
      <c r="G11" s="3">
        <v>1</v>
      </c>
      <c r="H11" s="2">
        <v>60</v>
      </c>
      <c r="I11" s="11" t="s">
        <v>46</v>
      </c>
      <c r="J11" s="2"/>
      <c r="K11" s="2">
        <v>37.6</v>
      </c>
      <c r="L11" s="2">
        <f t="shared" si="3"/>
        <v>2.4909999999999997</v>
      </c>
      <c r="M11" s="2"/>
      <c r="N11" s="2"/>
      <c r="O11" s="2">
        <v>70</v>
      </c>
      <c r="P11" s="2">
        <v>50</v>
      </c>
      <c r="Q11" s="2">
        <f t="shared" si="4"/>
        <v>8.0182000000000002</v>
      </c>
      <c r="R11" s="15"/>
      <c r="S11" s="15">
        <f t="shared" si="12"/>
        <v>0</v>
      </c>
      <c r="T11" s="15">
        <f t="shared" si="5"/>
        <v>0</v>
      </c>
      <c r="U11" s="15"/>
      <c r="V11" s="15"/>
      <c r="W11" s="2"/>
      <c r="X11" s="2">
        <f t="shared" si="6"/>
        <v>18.977326582025889</v>
      </c>
      <c r="Y11" s="2">
        <f t="shared" si="7"/>
        <v>18.977326582025889</v>
      </c>
      <c r="Z11" s="2">
        <v>10.991199999999999</v>
      </c>
      <c r="AA11" s="2">
        <v>10.7874</v>
      </c>
      <c r="AB11" s="2">
        <v>4.8311999999999999</v>
      </c>
      <c r="AC11" s="2">
        <v>8.6864000000000008</v>
      </c>
      <c r="AD11" s="2">
        <v>1.3555999999999999</v>
      </c>
      <c r="AE11" s="2">
        <v>3.9807999999999999</v>
      </c>
      <c r="AF11" s="2">
        <v>5.9454000000000002</v>
      </c>
      <c r="AG11" s="2">
        <v>3.1059999999999999</v>
      </c>
      <c r="AH11" s="2"/>
      <c r="AI11" s="2">
        <f t="shared" si="8"/>
        <v>0</v>
      </c>
      <c r="AJ11" s="2">
        <f t="shared" si="9"/>
        <v>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47</v>
      </c>
      <c r="B12" s="2" t="s">
        <v>39</v>
      </c>
      <c r="C12" s="2">
        <v>409.87299999999999</v>
      </c>
      <c r="D12" s="2">
        <v>186.31</v>
      </c>
      <c r="E12" s="2">
        <v>273.375</v>
      </c>
      <c r="F12" s="2">
        <v>211.267</v>
      </c>
      <c r="G12" s="3">
        <v>1</v>
      </c>
      <c r="H12" s="2">
        <v>60</v>
      </c>
      <c r="I12" s="2" t="s">
        <v>37</v>
      </c>
      <c r="J12" s="2"/>
      <c r="K12" s="2">
        <v>265.8</v>
      </c>
      <c r="L12" s="2">
        <f t="shared" si="3"/>
        <v>7.5749999999999886</v>
      </c>
      <c r="M12" s="2"/>
      <c r="N12" s="2"/>
      <c r="O12" s="2">
        <v>0</v>
      </c>
      <c r="P12" s="2">
        <v>17</v>
      </c>
      <c r="Q12" s="2">
        <f t="shared" si="4"/>
        <v>54.674999999999997</v>
      </c>
      <c r="R12" s="15">
        <f>13*Q12-P12-O12-F12</f>
        <v>482.50799999999998</v>
      </c>
      <c r="S12" s="15">
        <f>V12</f>
        <v>520</v>
      </c>
      <c r="T12" s="15">
        <f t="shared" si="5"/>
        <v>260</v>
      </c>
      <c r="U12" s="15">
        <f t="shared" ref="U12:U13" si="13">ROUND(S12/2,0)</f>
        <v>260</v>
      </c>
      <c r="V12" s="15">
        <v>520</v>
      </c>
      <c r="W12" s="2"/>
      <c r="X12" s="2">
        <f t="shared" si="6"/>
        <v>13.685724737082763</v>
      </c>
      <c r="Y12" s="2">
        <f t="shared" si="7"/>
        <v>4.1749794238683133</v>
      </c>
      <c r="Z12" s="2">
        <v>36.8538</v>
      </c>
      <c r="AA12" s="2">
        <v>40.513800000000003</v>
      </c>
      <c r="AB12" s="2">
        <v>52.1188</v>
      </c>
      <c r="AC12" s="2">
        <v>36.526600000000002</v>
      </c>
      <c r="AD12" s="2">
        <v>40.3538</v>
      </c>
      <c r="AE12" s="2">
        <v>57.832999999999998</v>
      </c>
      <c r="AF12" s="2">
        <v>39.202399999999997</v>
      </c>
      <c r="AG12" s="2">
        <v>46.278799999999997</v>
      </c>
      <c r="AH12" s="2"/>
      <c r="AI12" s="2">
        <f t="shared" si="8"/>
        <v>260</v>
      </c>
      <c r="AJ12" s="2">
        <f t="shared" si="9"/>
        <v>260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48</v>
      </c>
      <c r="B13" s="2" t="s">
        <v>36</v>
      </c>
      <c r="C13" s="2">
        <v>205</v>
      </c>
      <c r="D13" s="2">
        <v>180</v>
      </c>
      <c r="E13" s="2">
        <v>131</v>
      </c>
      <c r="F13" s="2">
        <v>145</v>
      </c>
      <c r="G13" s="3">
        <v>0.25</v>
      </c>
      <c r="H13" s="2">
        <v>120</v>
      </c>
      <c r="I13" s="2" t="s">
        <v>37</v>
      </c>
      <c r="J13" s="2"/>
      <c r="K13" s="2">
        <v>135</v>
      </c>
      <c r="L13" s="2">
        <f t="shared" si="3"/>
        <v>-4</v>
      </c>
      <c r="M13" s="2"/>
      <c r="N13" s="2"/>
      <c r="O13" s="2">
        <v>30</v>
      </c>
      <c r="P13" s="2">
        <v>30</v>
      </c>
      <c r="Q13" s="2">
        <f t="shared" si="4"/>
        <v>26.2</v>
      </c>
      <c r="R13" s="15">
        <f t="shared" si="10"/>
        <v>161.80000000000001</v>
      </c>
      <c r="S13" s="15">
        <f t="shared" si="12"/>
        <v>162</v>
      </c>
      <c r="T13" s="15">
        <f t="shared" si="5"/>
        <v>81</v>
      </c>
      <c r="U13" s="15">
        <f t="shared" si="13"/>
        <v>81</v>
      </c>
      <c r="V13" s="15"/>
      <c r="W13" s="2"/>
      <c r="X13" s="2">
        <f t="shared" si="6"/>
        <v>14.007633587786261</v>
      </c>
      <c r="Y13" s="2">
        <f t="shared" si="7"/>
        <v>7.8244274809160306</v>
      </c>
      <c r="Z13" s="2">
        <v>22.8</v>
      </c>
      <c r="AA13" s="2">
        <v>22</v>
      </c>
      <c r="AB13" s="2">
        <v>27.199000000000002</v>
      </c>
      <c r="AC13" s="2">
        <v>19</v>
      </c>
      <c r="AD13" s="2">
        <v>20</v>
      </c>
      <c r="AE13" s="2">
        <v>21.6</v>
      </c>
      <c r="AF13" s="2">
        <v>17.2</v>
      </c>
      <c r="AG13" s="2">
        <v>23.4</v>
      </c>
      <c r="AH13" s="2"/>
      <c r="AI13" s="2">
        <f t="shared" si="8"/>
        <v>20.25</v>
      </c>
      <c r="AJ13" s="2">
        <f t="shared" si="9"/>
        <v>20.25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49</v>
      </c>
      <c r="B14" s="2" t="s">
        <v>39</v>
      </c>
      <c r="C14" s="2">
        <v>257.39</v>
      </c>
      <c r="D14" s="2">
        <v>49.917999999999999</v>
      </c>
      <c r="E14" s="2">
        <v>93.953999999999994</v>
      </c>
      <c r="F14" s="2">
        <v>163.80000000000001</v>
      </c>
      <c r="G14" s="3">
        <v>1</v>
      </c>
      <c r="H14" s="2">
        <v>60</v>
      </c>
      <c r="I14" s="2" t="s">
        <v>37</v>
      </c>
      <c r="J14" s="2"/>
      <c r="K14" s="2">
        <v>87.9</v>
      </c>
      <c r="L14" s="2">
        <f t="shared" si="3"/>
        <v>6.0539999999999878</v>
      </c>
      <c r="M14" s="2"/>
      <c r="N14" s="2"/>
      <c r="O14" s="2">
        <v>0</v>
      </c>
      <c r="P14" s="2">
        <v>30</v>
      </c>
      <c r="Q14" s="2">
        <f t="shared" si="4"/>
        <v>18.790799999999997</v>
      </c>
      <c r="R14" s="15">
        <f t="shared" si="10"/>
        <v>69.271199999999965</v>
      </c>
      <c r="S14" s="15">
        <f>V14</f>
        <v>85</v>
      </c>
      <c r="T14" s="15">
        <f t="shared" si="5"/>
        <v>25</v>
      </c>
      <c r="U14" s="15">
        <v>60</v>
      </c>
      <c r="V14" s="15">
        <v>85</v>
      </c>
      <c r="W14" s="2"/>
      <c r="X14" s="2">
        <f t="shared" si="6"/>
        <v>14.837047917065801</v>
      </c>
      <c r="Y14" s="2">
        <f t="shared" si="7"/>
        <v>10.313557698448179</v>
      </c>
      <c r="Z14" s="2">
        <v>20.5336</v>
      </c>
      <c r="AA14" s="2">
        <v>13.9848</v>
      </c>
      <c r="AB14" s="2">
        <v>29.025600000000001</v>
      </c>
      <c r="AC14" s="2">
        <v>23.8262</v>
      </c>
      <c r="AD14" s="2">
        <v>16.108799999999999</v>
      </c>
      <c r="AE14" s="2">
        <v>23.488800000000001</v>
      </c>
      <c r="AF14" s="2">
        <v>12.8104</v>
      </c>
      <c r="AG14" s="2">
        <v>20.187200000000001</v>
      </c>
      <c r="AH14" s="2"/>
      <c r="AI14" s="2">
        <f t="shared" si="8"/>
        <v>25</v>
      </c>
      <c r="AJ14" s="2">
        <f t="shared" si="9"/>
        <v>60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50</v>
      </c>
      <c r="B15" s="2" t="s">
        <v>36</v>
      </c>
      <c r="C15" s="2">
        <v>284</v>
      </c>
      <c r="D15" s="2">
        <v>164</v>
      </c>
      <c r="E15" s="2">
        <v>147</v>
      </c>
      <c r="F15" s="2">
        <v>102</v>
      </c>
      <c r="G15" s="3">
        <v>0.25</v>
      </c>
      <c r="H15" s="2">
        <v>120</v>
      </c>
      <c r="I15" s="2" t="s">
        <v>37</v>
      </c>
      <c r="J15" s="2"/>
      <c r="K15" s="2">
        <v>165</v>
      </c>
      <c r="L15" s="2">
        <f t="shared" si="3"/>
        <v>-18</v>
      </c>
      <c r="M15" s="2"/>
      <c r="N15" s="2"/>
      <c r="O15" s="2">
        <v>220</v>
      </c>
      <c r="P15" s="2">
        <v>160</v>
      </c>
      <c r="Q15" s="2">
        <f t="shared" si="4"/>
        <v>29.4</v>
      </c>
      <c r="R15" s="15"/>
      <c r="S15" s="15">
        <f t="shared" si="12"/>
        <v>0</v>
      </c>
      <c r="T15" s="15">
        <f t="shared" si="5"/>
        <v>0</v>
      </c>
      <c r="U15" s="15"/>
      <c r="V15" s="15"/>
      <c r="W15" s="2"/>
      <c r="X15" s="2">
        <f t="shared" si="6"/>
        <v>16.394557823129251</v>
      </c>
      <c r="Y15" s="2">
        <f t="shared" si="7"/>
        <v>16.394557823129251</v>
      </c>
      <c r="Z15" s="2">
        <v>42.8</v>
      </c>
      <c r="AA15" s="2">
        <v>25.8</v>
      </c>
      <c r="AB15" s="2">
        <v>38.200000000000003</v>
      </c>
      <c r="AC15" s="2">
        <v>30</v>
      </c>
      <c r="AD15" s="2">
        <v>22.2</v>
      </c>
      <c r="AE15" s="2">
        <v>33.799999999999997</v>
      </c>
      <c r="AF15" s="2">
        <v>24.8</v>
      </c>
      <c r="AG15" s="2">
        <v>30</v>
      </c>
      <c r="AH15" s="2"/>
      <c r="AI15" s="2">
        <f t="shared" si="8"/>
        <v>0</v>
      </c>
      <c r="AJ15" s="2">
        <f t="shared" si="9"/>
        <v>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51</v>
      </c>
      <c r="B16" s="2" t="s">
        <v>36</v>
      </c>
      <c r="C16" s="2">
        <v>296</v>
      </c>
      <c r="D16" s="2">
        <v>158</v>
      </c>
      <c r="E16" s="2">
        <v>80</v>
      </c>
      <c r="F16" s="2">
        <v>212</v>
      </c>
      <c r="G16" s="3">
        <v>0.4</v>
      </c>
      <c r="H16" s="2">
        <v>60</v>
      </c>
      <c r="I16" s="2" t="s">
        <v>37</v>
      </c>
      <c r="J16" s="2"/>
      <c r="K16" s="2">
        <v>81</v>
      </c>
      <c r="L16" s="2">
        <f t="shared" si="3"/>
        <v>-1</v>
      </c>
      <c r="M16" s="2"/>
      <c r="N16" s="2"/>
      <c r="O16" s="2">
        <v>0</v>
      </c>
      <c r="P16" s="2"/>
      <c r="Q16" s="2">
        <f t="shared" si="4"/>
        <v>16</v>
      </c>
      <c r="R16" s="15">
        <f t="shared" si="10"/>
        <v>12</v>
      </c>
      <c r="S16" s="15">
        <f t="shared" si="12"/>
        <v>12</v>
      </c>
      <c r="T16" s="15">
        <f t="shared" si="5"/>
        <v>12</v>
      </c>
      <c r="U16" s="15"/>
      <c r="V16" s="15"/>
      <c r="W16" s="2"/>
      <c r="X16" s="2">
        <f t="shared" si="6"/>
        <v>14</v>
      </c>
      <c r="Y16" s="2">
        <f t="shared" si="7"/>
        <v>13.25</v>
      </c>
      <c r="Z16" s="2">
        <v>6.6</v>
      </c>
      <c r="AA16" s="2">
        <v>-0.4</v>
      </c>
      <c r="AB16" s="2">
        <v>34</v>
      </c>
      <c r="AC16" s="2">
        <v>15.4</v>
      </c>
      <c r="AD16" s="2">
        <v>7.8</v>
      </c>
      <c r="AE16" s="2">
        <v>20.399999999999999</v>
      </c>
      <c r="AF16" s="2">
        <v>13.8</v>
      </c>
      <c r="AG16" s="2">
        <v>30.4</v>
      </c>
      <c r="AH16" s="2"/>
      <c r="AI16" s="2">
        <f t="shared" si="8"/>
        <v>4.8000000000000007</v>
      </c>
      <c r="AJ16" s="2">
        <f t="shared" si="9"/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52</v>
      </c>
      <c r="B17" s="2" t="s">
        <v>39</v>
      </c>
      <c r="C17" s="2">
        <v>231.49299999999999</v>
      </c>
      <c r="D17" s="2">
        <v>550.22500000000002</v>
      </c>
      <c r="E17" s="2">
        <v>185.054</v>
      </c>
      <c r="F17" s="2">
        <v>341.46699999999998</v>
      </c>
      <c r="G17" s="3">
        <v>1</v>
      </c>
      <c r="H17" s="2">
        <v>45</v>
      </c>
      <c r="I17" s="2" t="s">
        <v>37</v>
      </c>
      <c r="J17" s="2"/>
      <c r="K17" s="2">
        <v>172.1</v>
      </c>
      <c r="L17" s="2">
        <f t="shared" si="3"/>
        <v>12.954000000000008</v>
      </c>
      <c r="M17" s="2"/>
      <c r="N17" s="2"/>
      <c r="O17" s="2">
        <v>0</v>
      </c>
      <c r="P17" s="2"/>
      <c r="Q17" s="2">
        <f t="shared" si="4"/>
        <v>37.010800000000003</v>
      </c>
      <c r="R17" s="15">
        <f t="shared" si="10"/>
        <v>176.68420000000003</v>
      </c>
      <c r="S17" s="15">
        <f t="shared" si="12"/>
        <v>177</v>
      </c>
      <c r="T17" s="15">
        <f t="shared" si="5"/>
        <v>77</v>
      </c>
      <c r="U17" s="15">
        <v>100</v>
      </c>
      <c r="V17" s="15"/>
      <c r="W17" s="2"/>
      <c r="X17" s="2">
        <f t="shared" si="6"/>
        <v>14.008532644525379</v>
      </c>
      <c r="Y17" s="2">
        <f t="shared" si="7"/>
        <v>9.2261448009770106</v>
      </c>
      <c r="Z17" s="2">
        <v>18.934000000000001</v>
      </c>
      <c r="AA17" s="2">
        <v>39.348999999999997</v>
      </c>
      <c r="AB17" s="2">
        <v>38.210999999999999</v>
      </c>
      <c r="AC17" s="2">
        <v>32.492400000000004</v>
      </c>
      <c r="AD17" s="2">
        <v>29.880199999999999</v>
      </c>
      <c r="AE17" s="2">
        <v>42.694200000000002</v>
      </c>
      <c r="AF17" s="2">
        <v>21.826000000000001</v>
      </c>
      <c r="AG17" s="2">
        <v>36.973199999999999</v>
      </c>
      <c r="AH17" s="2" t="s">
        <v>53</v>
      </c>
      <c r="AI17" s="2">
        <f t="shared" si="8"/>
        <v>77</v>
      </c>
      <c r="AJ17" s="2">
        <f t="shared" si="9"/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54</v>
      </c>
      <c r="B18" s="2" t="s">
        <v>36</v>
      </c>
      <c r="C18" s="2">
        <v>375</v>
      </c>
      <c r="D18" s="2">
        <v>173</v>
      </c>
      <c r="E18" s="2">
        <v>148</v>
      </c>
      <c r="F18" s="2">
        <v>213</v>
      </c>
      <c r="G18" s="3">
        <v>0.12</v>
      </c>
      <c r="H18" s="2">
        <v>60</v>
      </c>
      <c r="I18" s="2" t="s">
        <v>37</v>
      </c>
      <c r="J18" s="2"/>
      <c r="K18" s="2">
        <v>152</v>
      </c>
      <c r="L18" s="2">
        <f t="shared" si="3"/>
        <v>-4</v>
      </c>
      <c r="M18" s="2"/>
      <c r="N18" s="2"/>
      <c r="O18" s="2">
        <v>0</v>
      </c>
      <c r="P18" s="2"/>
      <c r="Q18" s="2">
        <f t="shared" si="4"/>
        <v>29.6</v>
      </c>
      <c r="R18" s="15">
        <f t="shared" si="10"/>
        <v>201.40000000000003</v>
      </c>
      <c r="S18" s="15">
        <f t="shared" si="12"/>
        <v>201</v>
      </c>
      <c r="T18" s="15">
        <f t="shared" si="5"/>
        <v>100</v>
      </c>
      <c r="U18" s="15">
        <f t="shared" ref="U18" si="14">ROUND(S18/2,0)</f>
        <v>101</v>
      </c>
      <c r="V18" s="15"/>
      <c r="W18" s="2"/>
      <c r="X18" s="2">
        <f t="shared" si="6"/>
        <v>13.986486486486486</v>
      </c>
      <c r="Y18" s="2">
        <f t="shared" si="7"/>
        <v>7.1959459459459456</v>
      </c>
      <c r="Z18" s="2">
        <v>24.8</v>
      </c>
      <c r="AA18" s="2">
        <v>31.8</v>
      </c>
      <c r="AB18" s="2">
        <v>41.2</v>
      </c>
      <c r="AC18" s="2">
        <v>31</v>
      </c>
      <c r="AD18" s="2">
        <v>29.8</v>
      </c>
      <c r="AE18" s="2">
        <v>32.4</v>
      </c>
      <c r="AF18" s="2">
        <v>13.8</v>
      </c>
      <c r="AG18" s="2">
        <v>32</v>
      </c>
      <c r="AH18" s="2" t="s">
        <v>55</v>
      </c>
      <c r="AI18" s="2">
        <f t="shared" si="8"/>
        <v>12</v>
      </c>
      <c r="AJ18" s="2">
        <f t="shared" si="9"/>
        <v>12.12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8" t="s">
        <v>56</v>
      </c>
      <c r="B19" s="8" t="s">
        <v>36</v>
      </c>
      <c r="C19" s="8"/>
      <c r="D19" s="8">
        <v>2</v>
      </c>
      <c r="E19" s="8">
        <v>2</v>
      </c>
      <c r="F19" s="8"/>
      <c r="G19" s="9">
        <v>0</v>
      </c>
      <c r="H19" s="8">
        <v>120</v>
      </c>
      <c r="I19" s="12" t="s">
        <v>57</v>
      </c>
      <c r="J19" s="8"/>
      <c r="K19" s="8">
        <v>33</v>
      </c>
      <c r="L19" s="8">
        <f t="shared" si="3"/>
        <v>-31</v>
      </c>
      <c r="M19" s="8"/>
      <c r="N19" s="8"/>
      <c r="O19" s="8">
        <v>0</v>
      </c>
      <c r="P19" s="10">
        <v>48</v>
      </c>
      <c r="Q19" s="8">
        <f t="shared" si="4"/>
        <v>0.4</v>
      </c>
      <c r="R19" s="16"/>
      <c r="S19" s="15">
        <f t="shared" si="12"/>
        <v>0</v>
      </c>
      <c r="T19" s="15">
        <f t="shared" si="5"/>
        <v>0</v>
      </c>
      <c r="U19" s="16"/>
      <c r="V19" s="16"/>
      <c r="W19" s="8"/>
      <c r="X19" s="2">
        <f t="shared" si="6"/>
        <v>120</v>
      </c>
      <c r="Y19" s="8">
        <f t="shared" si="7"/>
        <v>120</v>
      </c>
      <c r="Z19" s="8">
        <v>-0.2</v>
      </c>
      <c r="AA19" s="8">
        <v>-0.4</v>
      </c>
      <c r="AB19" s="8">
        <v>29</v>
      </c>
      <c r="AC19" s="8">
        <v>37.200000000000003</v>
      </c>
      <c r="AD19" s="8">
        <v>32.200000000000003</v>
      </c>
      <c r="AE19" s="8">
        <v>48.4</v>
      </c>
      <c r="AF19" s="8">
        <v>27.4</v>
      </c>
      <c r="AG19" s="8">
        <v>52.6</v>
      </c>
      <c r="AH19" s="12" t="s">
        <v>58</v>
      </c>
      <c r="AI19" s="2">
        <f t="shared" si="8"/>
        <v>0</v>
      </c>
      <c r="AJ19" s="2">
        <f t="shared" si="9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59</v>
      </c>
      <c r="B20" s="2" t="s">
        <v>39</v>
      </c>
      <c r="C20" s="2">
        <v>14.904999999999999</v>
      </c>
      <c r="D20" s="2">
        <v>0.499</v>
      </c>
      <c r="E20" s="2">
        <v>13.912000000000001</v>
      </c>
      <c r="F20" s="2">
        <v>-0.495</v>
      </c>
      <c r="G20" s="3">
        <v>1</v>
      </c>
      <c r="H20" s="2">
        <v>120</v>
      </c>
      <c r="I20" s="2" t="s">
        <v>37</v>
      </c>
      <c r="J20" s="2"/>
      <c r="K20" s="2">
        <v>13.5</v>
      </c>
      <c r="L20" s="2">
        <f t="shared" si="3"/>
        <v>0.41200000000000081</v>
      </c>
      <c r="M20" s="2"/>
      <c r="N20" s="2"/>
      <c r="O20" s="2">
        <v>0</v>
      </c>
      <c r="P20" s="2"/>
      <c r="Q20" s="2">
        <f t="shared" si="4"/>
        <v>2.7824</v>
      </c>
      <c r="R20" s="15">
        <f>10*Q20-P20-O20-F20</f>
        <v>28.318999999999999</v>
      </c>
      <c r="S20" s="15">
        <f t="shared" si="12"/>
        <v>28</v>
      </c>
      <c r="T20" s="15">
        <f t="shared" si="5"/>
        <v>28</v>
      </c>
      <c r="U20" s="15"/>
      <c r="V20" s="15"/>
      <c r="W20" s="2"/>
      <c r="X20" s="2">
        <f t="shared" si="6"/>
        <v>9.885350776308222</v>
      </c>
      <c r="Y20" s="2">
        <f t="shared" si="7"/>
        <v>-0.17790396779758483</v>
      </c>
      <c r="Z20" s="2">
        <v>0.995</v>
      </c>
      <c r="AA20" s="2">
        <v>0</v>
      </c>
      <c r="AB20" s="2">
        <v>2.3534000000000002</v>
      </c>
      <c r="AC20" s="2">
        <v>1.1252</v>
      </c>
      <c r="AD20" s="2">
        <v>1.0216000000000001</v>
      </c>
      <c r="AE20" s="2">
        <v>1.1272</v>
      </c>
      <c r="AF20" s="2">
        <v>1.3086</v>
      </c>
      <c r="AG20" s="2">
        <v>0.996</v>
      </c>
      <c r="AH20" s="2"/>
      <c r="AI20" s="2">
        <f t="shared" si="8"/>
        <v>28</v>
      </c>
      <c r="AJ20" s="2">
        <f t="shared" si="9"/>
        <v>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60</v>
      </c>
      <c r="B21" s="2" t="s">
        <v>36</v>
      </c>
      <c r="C21" s="2">
        <v>84</v>
      </c>
      <c r="D21" s="2">
        <v>70</v>
      </c>
      <c r="E21" s="2">
        <v>73</v>
      </c>
      <c r="F21" s="2">
        <v>12</v>
      </c>
      <c r="G21" s="3">
        <v>0.4</v>
      </c>
      <c r="H21" s="2">
        <v>45</v>
      </c>
      <c r="I21" s="2" t="s">
        <v>37</v>
      </c>
      <c r="J21" s="2"/>
      <c r="K21" s="2">
        <v>95</v>
      </c>
      <c r="L21" s="2">
        <f t="shared" si="3"/>
        <v>-22</v>
      </c>
      <c r="M21" s="2"/>
      <c r="N21" s="2"/>
      <c r="O21" s="2">
        <v>220</v>
      </c>
      <c r="P21" s="2">
        <v>150</v>
      </c>
      <c r="Q21" s="2">
        <f t="shared" si="4"/>
        <v>14.6</v>
      </c>
      <c r="R21" s="15"/>
      <c r="S21" s="15">
        <f t="shared" si="12"/>
        <v>0</v>
      </c>
      <c r="T21" s="15">
        <f t="shared" si="5"/>
        <v>0</v>
      </c>
      <c r="U21" s="15"/>
      <c r="V21" s="15"/>
      <c r="W21" s="2"/>
      <c r="X21" s="2">
        <f t="shared" si="6"/>
        <v>26.164383561643834</v>
      </c>
      <c r="Y21" s="2">
        <f t="shared" si="7"/>
        <v>26.164383561643834</v>
      </c>
      <c r="Z21" s="2">
        <v>38.200000000000003</v>
      </c>
      <c r="AA21" s="2">
        <v>18.8</v>
      </c>
      <c r="AB21" s="2">
        <v>26.6</v>
      </c>
      <c r="AC21" s="2">
        <v>26.8</v>
      </c>
      <c r="AD21" s="2">
        <v>16.2</v>
      </c>
      <c r="AE21" s="2">
        <v>20.8</v>
      </c>
      <c r="AF21" s="2">
        <v>29.8</v>
      </c>
      <c r="AG21" s="2">
        <v>26.8</v>
      </c>
      <c r="AH21" s="2" t="s">
        <v>53</v>
      </c>
      <c r="AI21" s="2">
        <f t="shared" si="8"/>
        <v>0</v>
      </c>
      <c r="AJ21" s="2">
        <f t="shared" si="9"/>
        <v>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61</v>
      </c>
      <c r="B22" s="2" t="s">
        <v>39</v>
      </c>
      <c r="C22" s="2">
        <v>187.50299999999999</v>
      </c>
      <c r="D22" s="2">
        <v>106.166</v>
      </c>
      <c r="E22" s="2">
        <v>127.21599999999999</v>
      </c>
      <c r="F22" s="2">
        <v>104.639</v>
      </c>
      <c r="G22" s="3">
        <v>1</v>
      </c>
      <c r="H22" s="2">
        <v>60</v>
      </c>
      <c r="I22" s="2" t="s">
        <v>37</v>
      </c>
      <c r="J22" s="2"/>
      <c r="K22" s="2">
        <v>121.6</v>
      </c>
      <c r="L22" s="2">
        <f t="shared" si="3"/>
        <v>5.6159999999999997</v>
      </c>
      <c r="M22" s="2"/>
      <c r="N22" s="2"/>
      <c r="O22" s="2">
        <v>103</v>
      </c>
      <c r="P22" s="2">
        <v>60</v>
      </c>
      <c r="Q22" s="2">
        <f t="shared" si="4"/>
        <v>25.443199999999997</v>
      </c>
      <c r="R22" s="15">
        <f t="shared" ref="R22:R51" si="15">14*Q22-P22-O22-F22</f>
        <v>88.565799999999982</v>
      </c>
      <c r="S22" s="15">
        <f>V22</f>
        <v>120</v>
      </c>
      <c r="T22" s="15">
        <f t="shared" si="5"/>
        <v>40</v>
      </c>
      <c r="U22" s="15">
        <v>80</v>
      </c>
      <c r="V22" s="15">
        <v>120</v>
      </c>
      <c r="W22" s="2"/>
      <c r="X22" s="2">
        <f t="shared" si="6"/>
        <v>15.235465664696267</v>
      </c>
      <c r="Y22" s="2">
        <f t="shared" si="7"/>
        <v>10.519077788957365</v>
      </c>
      <c r="Z22" s="2">
        <v>28.674199999999999</v>
      </c>
      <c r="AA22" s="2">
        <v>23.243400000000001</v>
      </c>
      <c r="AB22" s="2">
        <v>28.889800000000001</v>
      </c>
      <c r="AC22" s="2">
        <v>28.033000000000001</v>
      </c>
      <c r="AD22" s="2">
        <v>24.1966</v>
      </c>
      <c r="AE22" s="2">
        <v>24.975000000000001</v>
      </c>
      <c r="AF22" s="2">
        <v>22.484400000000001</v>
      </c>
      <c r="AG22" s="2">
        <v>11.678599999999999</v>
      </c>
      <c r="AH22" s="2"/>
      <c r="AI22" s="2">
        <f t="shared" si="8"/>
        <v>40</v>
      </c>
      <c r="AJ22" s="2">
        <f t="shared" si="9"/>
        <v>80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62</v>
      </c>
      <c r="B23" s="2" t="s">
        <v>36</v>
      </c>
      <c r="C23" s="2">
        <v>226</v>
      </c>
      <c r="D23" s="2">
        <v>119</v>
      </c>
      <c r="E23" s="2">
        <v>121</v>
      </c>
      <c r="F23" s="2">
        <v>93</v>
      </c>
      <c r="G23" s="3">
        <v>0.22</v>
      </c>
      <c r="H23" s="2">
        <v>120</v>
      </c>
      <c r="I23" s="2" t="s">
        <v>37</v>
      </c>
      <c r="J23" s="2"/>
      <c r="K23" s="2">
        <v>122</v>
      </c>
      <c r="L23" s="2">
        <f t="shared" si="3"/>
        <v>-1</v>
      </c>
      <c r="M23" s="2"/>
      <c r="N23" s="2"/>
      <c r="O23" s="2">
        <v>140</v>
      </c>
      <c r="P23" s="2">
        <v>80</v>
      </c>
      <c r="Q23" s="2">
        <f t="shared" si="4"/>
        <v>24.2</v>
      </c>
      <c r="R23" s="15">
        <f t="shared" si="15"/>
        <v>25.800000000000011</v>
      </c>
      <c r="S23" s="15">
        <f t="shared" si="12"/>
        <v>26</v>
      </c>
      <c r="T23" s="15">
        <f t="shared" si="5"/>
        <v>26</v>
      </c>
      <c r="U23" s="15"/>
      <c r="V23" s="15"/>
      <c r="W23" s="2"/>
      <c r="X23" s="2">
        <f t="shared" si="6"/>
        <v>14.008264462809917</v>
      </c>
      <c r="Y23" s="2">
        <f t="shared" si="7"/>
        <v>12.933884297520661</v>
      </c>
      <c r="Z23" s="2">
        <v>28.6</v>
      </c>
      <c r="AA23" s="2">
        <v>17.600000000000001</v>
      </c>
      <c r="AB23" s="2">
        <v>27.8</v>
      </c>
      <c r="AC23" s="2">
        <v>25.8</v>
      </c>
      <c r="AD23" s="2">
        <v>10.8</v>
      </c>
      <c r="AE23" s="2">
        <v>26</v>
      </c>
      <c r="AF23" s="2">
        <v>24.6</v>
      </c>
      <c r="AG23" s="2">
        <v>24.6</v>
      </c>
      <c r="AH23" s="2"/>
      <c r="AI23" s="2">
        <f t="shared" si="8"/>
        <v>5.72</v>
      </c>
      <c r="AJ23" s="2">
        <f t="shared" si="9"/>
        <v>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63</v>
      </c>
      <c r="B24" s="2" t="s">
        <v>36</v>
      </c>
      <c r="C24" s="2">
        <v>27</v>
      </c>
      <c r="D24" s="2"/>
      <c r="E24" s="2">
        <v>6</v>
      </c>
      <c r="F24" s="2">
        <v>19</v>
      </c>
      <c r="G24" s="3">
        <v>0.4</v>
      </c>
      <c r="H24" s="2">
        <v>60</v>
      </c>
      <c r="I24" s="2" t="s">
        <v>37</v>
      </c>
      <c r="J24" s="2"/>
      <c r="K24" s="2">
        <v>6</v>
      </c>
      <c r="L24" s="2">
        <f t="shared" si="3"/>
        <v>0</v>
      </c>
      <c r="M24" s="2"/>
      <c r="N24" s="2"/>
      <c r="O24" s="2">
        <v>0</v>
      </c>
      <c r="P24" s="2"/>
      <c r="Q24" s="2">
        <f t="shared" si="4"/>
        <v>1.2</v>
      </c>
      <c r="R24" s="15"/>
      <c r="S24" s="15">
        <f t="shared" si="12"/>
        <v>0</v>
      </c>
      <c r="T24" s="15">
        <f t="shared" si="5"/>
        <v>0</v>
      </c>
      <c r="U24" s="15"/>
      <c r="V24" s="15"/>
      <c r="W24" s="2"/>
      <c r="X24" s="2">
        <f t="shared" si="6"/>
        <v>15.833333333333334</v>
      </c>
      <c r="Y24" s="2">
        <f t="shared" si="7"/>
        <v>15.833333333333334</v>
      </c>
      <c r="Z24" s="2">
        <v>0.2</v>
      </c>
      <c r="AA24" s="2">
        <v>0</v>
      </c>
      <c r="AB24" s="2">
        <v>0.2</v>
      </c>
      <c r="AC24" s="2">
        <v>0.2</v>
      </c>
      <c r="AD24" s="2">
        <v>0.6</v>
      </c>
      <c r="AE24" s="2">
        <v>0</v>
      </c>
      <c r="AF24" s="2">
        <v>-0.6</v>
      </c>
      <c r="AG24" s="2">
        <v>4.2</v>
      </c>
      <c r="AH24" s="17" t="s">
        <v>64</v>
      </c>
      <c r="AI24" s="2">
        <f t="shared" si="8"/>
        <v>0</v>
      </c>
      <c r="AJ24" s="2">
        <f t="shared" si="9"/>
        <v>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65</v>
      </c>
      <c r="B25" s="2" t="s">
        <v>36</v>
      </c>
      <c r="C25" s="2">
        <v>83</v>
      </c>
      <c r="D25" s="2">
        <v>63</v>
      </c>
      <c r="E25" s="2">
        <v>3</v>
      </c>
      <c r="F25" s="2">
        <v>80</v>
      </c>
      <c r="G25" s="3">
        <v>0.15</v>
      </c>
      <c r="H25" s="2">
        <v>45</v>
      </c>
      <c r="I25" s="2" t="s">
        <v>37</v>
      </c>
      <c r="J25" s="2"/>
      <c r="K25" s="2">
        <v>3</v>
      </c>
      <c r="L25" s="2">
        <f t="shared" si="3"/>
        <v>0</v>
      </c>
      <c r="M25" s="2"/>
      <c r="N25" s="2"/>
      <c r="O25" s="2">
        <v>0</v>
      </c>
      <c r="P25" s="2"/>
      <c r="Q25" s="2">
        <f t="shared" si="4"/>
        <v>0.6</v>
      </c>
      <c r="R25" s="15"/>
      <c r="S25" s="15">
        <f t="shared" si="12"/>
        <v>0</v>
      </c>
      <c r="T25" s="15">
        <f t="shared" si="5"/>
        <v>0</v>
      </c>
      <c r="U25" s="15"/>
      <c r="V25" s="15"/>
      <c r="W25" s="2"/>
      <c r="X25" s="2">
        <f t="shared" si="6"/>
        <v>133.33333333333334</v>
      </c>
      <c r="Y25" s="2">
        <f t="shared" si="7"/>
        <v>133.33333333333334</v>
      </c>
      <c r="Z25" s="2">
        <v>1.6</v>
      </c>
      <c r="AA25" s="2">
        <v>2</v>
      </c>
      <c r="AB25" s="2">
        <v>1.4</v>
      </c>
      <c r="AC25" s="2">
        <v>12.2</v>
      </c>
      <c r="AD25" s="2">
        <v>0</v>
      </c>
      <c r="AE25" s="2">
        <v>0</v>
      </c>
      <c r="AF25" s="2">
        <v>0</v>
      </c>
      <c r="AG25" s="2">
        <v>0</v>
      </c>
      <c r="AH25" s="17" t="s">
        <v>66</v>
      </c>
      <c r="AI25" s="2">
        <f t="shared" si="8"/>
        <v>0</v>
      </c>
      <c r="AJ25" s="2">
        <f t="shared" si="9"/>
        <v>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67</v>
      </c>
      <c r="B26" s="2" t="s">
        <v>39</v>
      </c>
      <c r="C26" s="2">
        <v>5.46</v>
      </c>
      <c r="D26" s="2">
        <v>41.859000000000002</v>
      </c>
      <c r="E26" s="2">
        <v>20.315000000000001</v>
      </c>
      <c r="F26" s="2">
        <v>24.344000000000001</v>
      </c>
      <c r="G26" s="3">
        <v>1</v>
      </c>
      <c r="H26" s="2">
        <v>60</v>
      </c>
      <c r="I26" s="2" t="s">
        <v>37</v>
      </c>
      <c r="J26" s="2"/>
      <c r="K26" s="2">
        <v>20.399999999999999</v>
      </c>
      <c r="L26" s="2">
        <f t="shared" si="3"/>
        <v>-8.49999999999973E-2</v>
      </c>
      <c r="M26" s="2"/>
      <c r="N26" s="2"/>
      <c r="O26" s="2">
        <v>0</v>
      </c>
      <c r="P26" s="2"/>
      <c r="Q26" s="2">
        <f t="shared" si="4"/>
        <v>4.0630000000000006</v>
      </c>
      <c r="R26" s="15">
        <f t="shared" si="15"/>
        <v>32.538000000000004</v>
      </c>
      <c r="S26" s="15">
        <f t="shared" si="12"/>
        <v>33</v>
      </c>
      <c r="T26" s="15">
        <f t="shared" si="5"/>
        <v>33</v>
      </c>
      <c r="U26" s="15"/>
      <c r="V26" s="15"/>
      <c r="W26" s="2"/>
      <c r="X26" s="2">
        <f t="shared" si="6"/>
        <v>14.113709081959142</v>
      </c>
      <c r="Y26" s="2">
        <f t="shared" si="7"/>
        <v>5.9916317991631791</v>
      </c>
      <c r="Z26" s="2">
        <v>1.3675999999999999</v>
      </c>
      <c r="AA26" s="2">
        <v>0</v>
      </c>
      <c r="AB26" s="2">
        <v>0</v>
      </c>
      <c r="AC26" s="2">
        <v>10.441800000000001</v>
      </c>
      <c r="AD26" s="2">
        <v>0</v>
      </c>
      <c r="AE26" s="2">
        <v>0</v>
      </c>
      <c r="AF26" s="2">
        <v>0</v>
      </c>
      <c r="AG26" s="2">
        <v>0</v>
      </c>
      <c r="AH26" s="2" t="s">
        <v>68</v>
      </c>
      <c r="AI26" s="2">
        <f t="shared" si="8"/>
        <v>33</v>
      </c>
      <c r="AJ26" s="2">
        <f t="shared" si="9"/>
        <v>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69</v>
      </c>
      <c r="B27" s="2" t="s">
        <v>36</v>
      </c>
      <c r="C27" s="2">
        <v>110</v>
      </c>
      <c r="D27" s="2">
        <v>127</v>
      </c>
      <c r="E27" s="2">
        <v>47</v>
      </c>
      <c r="F27" s="2">
        <v>78</v>
      </c>
      <c r="G27" s="3">
        <v>0.09</v>
      </c>
      <c r="H27" s="2">
        <v>60</v>
      </c>
      <c r="I27" s="2" t="s">
        <v>37</v>
      </c>
      <c r="J27" s="2"/>
      <c r="K27" s="2">
        <v>47</v>
      </c>
      <c r="L27" s="2">
        <f t="shared" si="3"/>
        <v>0</v>
      </c>
      <c r="M27" s="2"/>
      <c r="N27" s="2"/>
      <c r="O27" s="2">
        <v>0</v>
      </c>
      <c r="P27" s="2"/>
      <c r="Q27" s="2">
        <f t="shared" si="4"/>
        <v>9.4</v>
      </c>
      <c r="R27" s="15">
        <f t="shared" si="15"/>
        <v>53.599999999999994</v>
      </c>
      <c r="S27" s="15">
        <f t="shared" si="12"/>
        <v>54</v>
      </c>
      <c r="T27" s="15">
        <f t="shared" si="5"/>
        <v>27</v>
      </c>
      <c r="U27" s="15">
        <f t="shared" ref="U27:U28" si="16">ROUND(S27/2,0)</f>
        <v>27</v>
      </c>
      <c r="V27" s="15"/>
      <c r="W27" s="2"/>
      <c r="X27" s="2">
        <f t="shared" si="6"/>
        <v>14.042553191489361</v>
      </c>
      <c r="Y27" s="2">
        <f t="shared" si="7"/>
        <v>8.2978723404255312</v>
      </c>
      <c r="Z27" s="2">
        <v>9</v>
      </c>
      <c r="AA27" s="2">
        <v>12.2</v>
      </c>
      <c r="AB27" s="2">
        <v>16.8</v>
      </c>
      <c r="AC27" s="2">
        <v>12</v>
      </c>
      <c r="AD27" s="2">
        <v>14.6</v>
      </c>
      <c r="AE27" s="2">
        <v>5.2</v>
      </c>
      <c r="AF27" s="2">
        <v>11</v>
      </c>
      <c r="AG27" s="2">
        <v>12.4</v>
      </c>
      <c r="AH27" s="2"/>
      <c r="AI27" s="2">
        <f t="shared" si="8"/>
        <v>2.4299999999999997</v>
      </c>
      <c r="AJ27" s="2">
        <f t="shared" si="9"/>
        <v>2.4299999999999997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70</v>
      </c>
      <c r="B28" s="2" t="s">
        <v>36</v>
      </c>
      <c r="C28" s="2">
        <v>101</v>
      </c>
      <c r="D28" s="2">
        <v>65</v>
      </c>
      <c r="E28" s="2">
        <v>59</v>
      </c>
      <c r="F28" s="2">
        <v>54</v>
      </c>
      <c r="G28" s="3">
        <v>0.09</v>
      </c>
      <c r="H28" s="2">
        <v>45</v>
      </c>
      <c r="I28" s="2" t="s">
        <v>37</v>
      </c>
      <c r="J28" s="2"/>
      <c r="K28" s="2">
        <v>65</v>
      </c>
      <c r="L28" s="2">
        <f t="shared" si="3"/>
        <v>-6</v>
      </c>
      <c r="M28" s="2"/>
      <c r="N28" s="2"/>
      <c r="O28" s="2">
        <v>25</v>
      </c>
      <c r="P28" s="2">
        <v>20</v>
      </c>
      <c r="Q28" s="2">
        <f t="shared" si="4"/>
        <v>11.8</v>
      </c>
      <c r="R28" s="15">
        <f t="shared" si="15"/>
        <v>66.200000000000017</v>
      </c>
      <c r="S28" s="15">
        <f t="shared" si="12"/>
        <v>66</v>
      </c>
      <c r="T28" s="15">
        <f t="shared" si="5"/>
        <v>33</v>
      </c>
      <c r="U28" s="15">
        <f t="shared" si="16"/>
        <v>33</v>
      </c>
      <c r="V28" s="15"/>
      <c r="W28" s="2"/>
      <c r="X28" s="2">
        <f t="shared" si="6"/>
        <v>13.983050847457626</v>
      </c>
      <c r="Y28" s="2">
        <f t="shared" si="7"/>
        <v>8.3898305084745761</v>
      </c>
      <c r="Z28" s="2">
        <v>12.2</v>
      </c>
      <c r="AA28" s="2">
        <v>13.4</v>
      </c>
      <c r="AB28" s="2">
        <v>15.2</v>
      </c>
      <c r="AC28" s="2">
        <v>13.8</v>
      </c>
      <c r="AD28" s="2">
        <v>10.4</v>
      </c>
      <c r="AE28" s="2">
        <v>13.6</v>
      </c>
      <c r="AF28" s="2">
        <v>7.6</v>
      </c>
      <c r="AG28" s="2">
        <v>18.8</v>
      </c>
      <c r="AH28" s="2"/>
      <c r="AI28" s="2">
        <f t="shared" si="8"/>
        <v>2.9699999999999998</v>
      </c>
      <c r="AJ28" s="2">
        <f t="shared" si="9"/>
        <v>2.9699999999999998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71</v>
      </c>
      <c r="B29" s="2" t="s">
        <v>36</v>
      </c>
      <c r="C29" s="2">
        <v>98</v>
      </c>
      <c r="D29" s="2">
        <v>78</v>
      </c>
      <c r="E29" s="2">
        <v>143</v>
      </c>
      <c r="F29" s="2">
        <v>-2</v>
      </c>
      <c r="G29" s="3">
        <v>0.4</v>
      </c>
      <c r="H29" s="2">
        <v>60</v>
      </c>
      <c r="I29" s="2" t="s">
        <v>37</v>
      </c>
      <c r="J29" s="2"/>
      <c r="K29" s="2">
        <v>150</v>
      </c>
      <c r="L29" s="2">
        <f t="shared" si="3"/>
        <v>-7</v>
      </c>
      <c r="M29" s="2"/>
      <c r="N29" s="2"/>
      <c r="O29" s="2">
        <v>230</v>
      </c>
      <c r="P29" s="2">
        <v>100</v>
      </c>
      <c r="Q29" s="2">
        <f t="shared" si="4"/>
        <v>28.6</v>
      </c>
      <c r="R29" s="15">
        <f t="shared" si="15"/>
        <v>72.400000000000034</v>
      </c>
      <c r="S29" s="15">
        <f>V29</f>
        <v>100</v>
      </c>
      <c r="T29" s="15">
        <f t="shared" si="5"/>
        <v>40</v>
      </c>
      <c r="U29" s="15">
        <v>60</v>
      </c>
      <c r="V29" s="15">
        <v>100</v>
      </c>
      <c r="W29" s="2"/>
      <c r="X29" s="2">
        <f t="shared" si="6"/>
        <v>14.965034965034965</v>
      </c>
      <c r="Y29" s="2">
        <f t="shared" si="7"/>
        <v>11.468531468531468</v>
      </c>
      <c r="Z29" s="2">
        <v>30.8</v>
      </c>
      <c r="AA29" s="2">
        <v>21.6</v>
      </c>
      <c r="AB29" s="2">
        <v>25</v>
      </c>
      <c r="AC29" s="2">
        <v>30.4</v>
      </c>
      <c r="AD29" s="2">
        <v>26.4</v>
      </c>
      <c r="AE29" s="2">
        <v>32.799999999999997</v>
      </c>
      <c r="AF29" s="2">
        <v>32</v>
      </c>
      <c r="AG29" s="2">
        <v>30.2</v>
      </c>
      <c r="AH29" s="2"/>
      <c r="AI29" s="2">
        <f t="shared" si="8"/>
        <v>16</v>
      </c>
      <c r="AJ29" s="2">
        <f t="shared" si="9"/>
        <v>24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72</v>
      </c>
      <c r="B30" s="2" t="s">
        <v>36</v>
      </c>
      <c r="C30" s="2">
        <v>72</v>
      </c>
      <c r="D30" s="2">
        <v>15</v>
      </c>
      <c r="E30" s="2">
        <v>18</v>
      </c>
      <c r="F30" s="2">
        <v>60</v>
      </c>
      <c r="G30" s="3">
        <v>0.15</v>
      </c>
      <c r="H30" s="2">
        <v>45</v>
      </c>
      <c r="I30" s="2" t="s">
        <v>37</v>
      </c>
      <c r="J30" s="2"/>
      <c r="K30" s="2">
        <v>19</v>
      </c>
      <c r="L30" s="2">
        <f t="shared" si="3"/>
        <v>-1</v>
      </c>
      <c r="M30" s="2"/>
      <c r="N30" s="2"/>
      <c r="O30" s="2">
        <v>0</v>
      </c>
      <c r="P30" s="2"/>
      <c r="Q30" s="2">
        <f t="shared" si="4"/>
        <v>3.6</v>
      </c>
      <c r="R30" s="15"/>
      <c r="S30" s="15">
        <f t="shared" si="12"/>
        <v>0</v>
      </c>
      <c r="T30" s="15">
        <f t="shared" si="5"/>
        <v>0</v>
      </c>
      <c r="U30" s="15"/>
      <c r="V30" s="15"/>
      <c r="W30" s="2"/>
      <c r="X30" s="2">
        <f t="shared" si="6"/>
        <v>16.666666666666668</v>
      </c>
      <c r="Y30" s="2">
        <f t="shared" si="7"/>
        <v>16.666666666666668</v>
      </c>
      <c r="Z30" s="2">
        <v>2</v>
      </c>
      <c r="AA30" s="2">
        <v>3.4</v>
      </c>
      <c r="AB30" s="2">
        <v>7</v>
      </c>
      <c r="AC30" s="2">
        <v>0.6</v>
      </c>
      <c r="AD30" s="2">
        <v>7</v>
      </c>
      <c r="AE30" s="2">
        <v>4.5999999999999996</v>
      </c>
      <c r="AF30" s="2">
        <v>8.4</v>
      </c>
      <c r="AG30" s="2">
        <v>10.8</v>
      </c>
      <c r="AH30" s="2"/>
      <c r="AI30" s="2">
        <f t="shared" si="8"/>
        <v>0</v>
      </c>
      <c r="AJ30" s="2">
        <f t="shared" si="9"/>
        <v>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73</v>
      </c>
      <c r="B31" s="2" t="s">
        <v>39</v>
      </c>
      <c r="C31" s="2">
        <v>45.459000000000003</v>
      </c>
      <c r="D31" s="2">
        <v>196.392</v>
      </c>
      <c r="E31" s="2">
        <v>102.04600000000001</v>
      </c>
      <c r="F31" s="2">
        <v>89.697000000000003</v>
      </c>
      <c r="G31" s="3">
        <v>1</v>
      </c>
      <c r="H31" s="2">
        <v>45</v>
      </c>
      <c r="I31" s="2" t="s">
        <v>37</v>
      </c>
      <c r="J31" s="2"/>
      <c r="K31" s="2">
        <v>95.438999999999993</v>
      </c>
      <c r="L31" s="2">
        <f t="shared" si="3"/>
        <v>6.6070000000000135</v>
      </c>
      <c r="M31" s="2"/>
      <c r="N31" s="2"/>
      <c r="O31" s="2">
        <v>70</v>
      </c>
      <c r="P31" s="2">
        <v>50</v>
      </c>
      <c r="Q31" s="2">
        <f t="shared" si="4"/>
        <v>20.409200000000002</v>
      </c>
      <c r="R31" s="15">
        <f t="shared" si="15"/>
        <v>76.031800000000032</v>
      </c>
      <c r="S31" s="15">
        <f t="shared" si="12"/>
        <v>76</v>
      </c>
      <c r="T31" s="15">
        <f t="shared" si="5"/>
        <v>31</v>
      </c>
      <c r="U31" s="15">
        <v>45</v>
      </c>
      <c r="V31" s="15"/>
      <c r="W31" s="2"/>
      <c r="X31" s="2">
        <f t="shared" si="6"/>
        <v>13.998441879152537</v>
      </c>
      <c r="Y31" s="2">
        <f t="shared" si="7"/>
        <v>10.274631048742723</v>
      </c>
      <c r="Z31" s="2">
        <v>20.378799999999998</v>
      </c>
      <c r="AA31" s="2">
        <v>19.767800000000001</v>
      </c>
      <c r="AB31" s="2">
        <v>16.5824</v>
      </c>
      <c r="AC31" s="2">
        <v>17.223400000000002</v>
      </c>
      <c r="AD31" s="2">
        <v>4.9034000000000004</v>
      </c>
      <c r="AE31" s="2">
        <v>22.237200000000001</v>
      </c>
      <c r="AF31" s="2">
        <v>21.609000000000002</v>
      </c>
      <c r="AG31" s="2">
        <v>3.7684000000000002</v>
      </c>
      <c r="AH31" s="2"/>
      <c r="AI31" s="2">
        <f t="shared" si="8"/>
        <v>31</v>
      </c>
      <c r="AJ31" s="2">
        <f t="shared" si="9"/>
        <v>45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74</v>
      </c>
      <c r="B32" s="2" t="s">
        <v>36</v>
      </c>
      <c r="C32" s="2">
        <v>56</v>
      </c>
      <c r="D32" s="2">
        <v>145</v>
      </c>
      <c r="E32" s="2">
        <v>52</v>
      </c>
      <c r="F32" s="2">
        <v>133</v>
      </c>
      <c r="G32" s="3">
        <v>0.4</v>
      </c>
      <c r="H32" s="2">
        <v>60</v>
      </c>
      <c r="I32" s="2" t="s">
        <v>37</v>
      </c>
      <c r="J32" s="2"/>
      <c r="K32" s="2">
        <v>52</v>
      </c>
      <c r="L32" s="2">
        <f t="shared" si="3"/>
        <v>0</v>
      </c>
      <c r="M32" s="2"/>
      <c r="N32" s="2"/>
      <c r="O32" s="2">
        <v>0</v>
      </c>
      <c r="P32" s="2">
        <v>10</v>
      </c>
      <c r="Q32" s="2">
        <f t="shared" si="4"/>
        <v>10.4</v>
      </c>
      <c r="R32" s="15"/>
      <c r="S32" s="15">
        <f t="shared" si="12"/>
        <v>0</v>
      </c>
      <c r="T32" s="15">
        <f t="shared" si="5"/>
        <v>0</v>
      </c>
      <c r="U32" s="15"/>
      <c r="V32" s="15"/>
      <c r="W32" s="2"/>
      <c r="X32" s="2">
        <f t="shared" si="6"/>
        <v>13.75</v>
      </c>
      <c r="Y32" s="2">
        <f t="shared" si="7"/>
        <v>13.75</v>
      </c>
      <c r="Z32" s="2">
        <v>4</v>
      </c>
      <c r="AA32" s="2">
        <v>15.2</v>
      </c>
      <c r="AB32" s="2">
        <v>4.8</v>
      </c>
      <c r="AC32" s="2">
        <v>10.199999999999999</v>
      </c>
      <c r="AD32" s="2">
        <v>14.4</v>
      </c>
      <c r="AE32" s="2">
        <v>10.199999999999999</v>
      </c>
      <c r="AF32" s="2">
        <v>5.6</v>
      </c>
      <c r="AG32" s="2">
        <v>16.2</v>
      </c>
      <c r="AH32" s="2" t="s">
        <v>53</v>
      </c>
      <c r="AI32" s="2">
        <f t="shared" si="8"/>
        <v>0</v>
      </c>
      <c r="AJ32" s="2">
        <f t="shared" si="9"/>
        <v>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75</v>
      </c>
      <c r="B33" s="2" t="s">
        <v>36</v>
      </c>
      <c r="C33" s="2">
        <v>41</v>
      </c>
      <c r="D33" s="2">
        <v>17</v>
      </c>
      <c r="E33" s="2">
        <v>45</v>
      </c>
      <c r="F33" s="2">
        <v>10</v>
      </c>
      <c r="G33" s="3">
        <v>0.4</v>
      </c>
      <c r="H33" s="2">
        <v>60</v>
      </c>
      <c r="I33" s="2" t="s">
        <v>37</v>
      </c>
      <c r="J33" s="2"/>
      <c r="K33" s="2">
        <v>46</v>
      </c>
      <c r="L33" s="2">
        <f t="shared" si="3"/>
        <v>-1</v>
      </c>
      <c r="M33" s="2"/>
      <c r="N33" s="2"/>
      <c r="O33" s="2">
        <v>65</v>
      </c>
      <c r="P33" s="2">
        <v>32</v>
      </c>
      <c r="Q33" s="2">
        <f t="shared" si="4"/>
        <v>9</v>
      </c>
      <c r="R33" s="15">
        <f t="shared" si="15"/>
        <v>19</v>
      </c>
      <c r="S33" s="15">
        <f t="shared" si="12"/>
        <v>19</v>
      </c>
      <c r="T33" s="15">
        <f t="shared" si="5"/>
        <v>19</v>
      </c>
      <c r="U33" s="15"/>
      <c r="V33" s="15"/>
      <c r="W33" s="2"/>
      <c r="X33" s="2">
        <f t="shared" si="6"/>
        <v>14</v>
      </c>
      <c r="Y33" s="2">
        <f t="shared" si="7"/>
        <v>11.888888888888889</v>
      </c>
      <c r="Z33" s="2">
        <v>11</v>
      </c>
      <c r="AA33" s="2">
        <v>8</v>
      </c>
      <c r="AB33" s="2">
        <v>9.8000000000000007</v>
      </c>
      <c r="AC33" s="2">
        <v>9.6</v>
      </c>
      <c r="AD33" s="2">
        <v>2.6</v>
      </c>
      <c r="AE33" s="2">
        <v>6.8</v>
      </c>
      <c r="AF33" s="2">
        <v>13.2</v>
      </c>
      <c r="AG33" s="2">
        <v>0.6</v>
      </c>
      <c r="AH33" s="2"/>
      <c r="AI33" s="2">
        <f t="shared" si="8"/>
        <v>7.6000000000000005</v>
      </c>
      <c r="AJ33" s="2">
        <f t="shared" si="9"/>
        <v>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76</v>
      </c>
      <c r="B34" s="2" t="s">
        <v>36</v>
      </c>
      <c r="C34" s="2">
        <v>345</v>
      </c>
      <c r="D34" s="2">
        <v>446</v>
      </c>
      <c r="E34" s="2">
        <v>300</v>
      </c>
      <c r="F34" s="2">
        <v>196</v>
      </c>
      <c r="G34" s="3">
        <v>0.4</v>
      </c>
      <c r="H34" s="2">
        <v>60</v>
      </c>
      <c r="I34" s="2" t="s">
        <v>37</v>
      </c>
      <c r="J34" s="2"/>
      <c r="K34" s="2">
        <v>304</v>
      </c>
      <c r="L34" s="2">
        <f t="shared" si="3"/>
        <v>-4</v>
      </c>
      <c r="M34" s="2"/>
      <c r="N34" s="2"/>
      <c r="O34" s="2">
        <v>200</v>
      </c>
      <c r="P34" s="2">
        <v>150</v>
      </c>
      <c r="Q34" s="2">
        <f t="shared" si="4"/>
        <v>60</v>
      </c>
      <c r="R34" s="15">
        <f t="shared" si="15"/>
        <v>294</v>
      </c>
      <c r="S34" s="15">
        <f t="shared" si="12"/>
        <v>294</v>
      </c>
      <c r="T34" s="15">
        <f t="shared" si="5"/>
        <v>114</v>
      </c>
      <c r="U34" s="15">
        <v>180</v>
      </c>
      <c r="V34" s="15"/>
      <c r="W34" s="2"/>
      <c r="X34" s="2">
        <f t="shared" si="6"/>
        <v>14</v>
      </c>
      <c r="Y34" s="2">
        <f t="shared" si="7"/>
        <v>9.1</v>
      </c>
      <c r="Z34" s="2">
        <v>58</v>
      </c>
      <c r="AA34" s="2">
        <v>50</v>
      </c>
      <c r="AB34" s="2">
        <v>58.2</v>
      </c>
      <c r="AC34" s="2">
        <v>70.599999999999994</v>
      </c>
      <c r="AD34" s="2">
        <v>60.6</v>
      </c>
      <c r="AE34" s="2">
        <v>57.2</v>
      </c>
      <c r="AF34" s="2">
        <v>58</v>
      </c>
      <c r="AG34" s="2">
        <v>60</v>
      </c>
      <c r="AH34" s="2"/>
      <c r="AI34" s="2">
        <f t="shared" si="8"/>
        <v>45.6</v>
      </c>
      <c r="AJ34" s="2">
        <f t="shared" si="9"/>
        <v>72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77</v>
      </c>
      <c r="B35" s="2" t="s">
        <v>36</v>
      </c>
      <c r="C35" s="2">
        <v>385</v>
      </c>
      <c r="D35" s="2">
        <v>266</v>
      </c>
      <c r="E35" s="2">
        <v>193</v>
      </c>
      <c r="F35" s="2">
        <v>267</v>
      </c>
      <c r="G35" s="3">
        <v>0.4</v>
      </c>
      <c r="H35" s="2">
        <v>60</v>
      </c>
      <c r="I35" s="2" t="s">
        <v>37</v>
      </c>
      <c r="J35" s="2"/>
      <c r="K35" s="2">
        <v>196</v>
      </c>
      <c r="L35" s="2">
        <f t="shared" si="3"/>
        <v>-3</v>
      </c>
      <c r="M35" s="2"/>
      <c r="N35" s="2"/>
      <c r="O35" s="2">
        <v>96</v>
      </c>
      <c r="P35" s="2">
        <v>40</v>
      </c>
      <c r="Q35" s="2">
        <f t="shared" si="4"/>
        <v>38.6</v>
      </c>
      <c r="R35" s="15">
        <f t="shared" si="15"/>
        <v>137.39999999999998</v>
      </c>
      <c r="S35" s="15">
        <f t="shared" si="12"/>
        <v>137</v>
      </c>
      <c r="T35" s="15">
        <f t="shared" si="5"/>
        <v>57</v>
      </c>
      <c r="U35" s="15">
        <v>80</v>
      </c>
      <c r="V35" s="15"/>
      <c r="W35" s="2"/>
      <c r="X35" s="2">
        <f t="shared" si="6"/>
        <v>13.989637305699482</v>
      </c>
      <c r="Y35" s="2">
        <f t="shared" si="7"/>
        <v>10.440414507772021</v>
      </c>
      <c r="Z35" s="2">
        <v>43.4</v>
      </c>
      <c r="AA35" s="2">
        <v>39.799999999999997</v>
      </c>
      <c r="AB35" s="2">
        <v>53</v>
      </c>
      <c r="AC35" s="2">
        <v>39.799999999999997</v>
      </c>
      <c r="AD35" s="2">
        <v>43.6</v>
      </c>
      <c r="AE35" s="2">
        <v>22</v>
      </c>
      <c r="AF35" s="2">
        <v>41.6</v>
      </c>
      <c r="AG35" s="2">
        <v>35.6</v>
      </c>
      <c r="AH35" s="2" t="s">
        <v>53</v>
      </c>
      <c r="AI35" s="2">
        <f t="shared" si="8"/>
        <v>22.8</v>
      </c>
      <c r="AJ35" s="2">
        <f t="shared" si="9"/>
        <v>32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78</v>
      </c>
      <c r="B36" s="2" t="s">
        <v>36</v>
      </c>
      <c r="C36" s="2">
        <v>304</v>
      </c>
      <c r="D36" s="2">
        <v>592</v>
      </c>
      <c r="E36" s="2">
        <v>364</v>
      </c>
      <c r="F36" s="2">
        <v>324</v>
      </c>
      <c r="G36" s="3">
        <v>0.4</v>
      </c>
      <c r="H36" s="2">
        <v>60</v>
      </c>
      <c r="I36" s="2" t="s">
        <v>37</v>
      </c>
      <c r="J36" s="2"/>
      <c r="K36" s="2">
        <v>369</v>
      </c>
      <c r="L36" s="2">
        <f t="shared" si="3"/>
        <v>-5</v>
      </c>
      <c r="M36" s="2"/>
      <c r="N36" s="2"/>
      <c r="O36" s="2">
        <v>194</v>
      </c>
      <c r="P36" s="2">
        <v>100</v>
      </c>
      <c r="Q36" s="2">
        <f t="shared" si="4"/>
        <v>72.8</v>
      </c>
      <c r="R36" s="15">
        <f t="shared" si="15"/>
        <v>401.19999999999993</v>
      </c>
      <c r="S36" s="15">
        <f>V36</f>
        <v>450</v>
      </c>
      <c r="T36" s="15">
        <f t="shared" si="5"/>
        <v>225</v>
      </c>
      <c r="U36" s="15">
        <f t="shared" ref="U36" si="17">ROUND(S36/2,0)</f>
        <v>225</v>
      </c>
      <c r="V36" s="15">
        <v>450</v>
      </c>
      <c r="W36" s="2"/>
      <c r="X36" s="2">
        <f t="shared" si="6"/>
        <v>14.670329670329672</v>
      </c>
      <c r="Y36" s="2">
        <f t="shared" si="7"/>
        <v>8.4890109890109891</v>
      </c>
      <c r="Z36" s="2">
        <v>71.8</v>
      </c>
      <c r="AA36" s="2">
        <v>66.2</v>
      </c>
      <c r="AB36" s="2">
        <v>81.2</v>
      </c>
      <c r="AC36" s="2">
        <v>78.599999999999994</v>
      </c>
      <c r="AD36" s="2">
        <v>62.2</v>
      </c>
      <c r="AE36" s="2">
        <v>80.2</v>
      </c>
      <c r="AF36" s="2">
        <v>61.8</v>
      </c>
      <c r="AG36" s="2">
        <v>77.599999999999994</v>
      </c>
      <c r="AH36" s="2" t="s">
        <v>53</v>
      </c>
      <c r="AI36" s="2">
        <f t="shared" si="8"/>
        <v>90</v>
      </c>
      <c r="AJ36" s="2">
        <f t="shared" si="9"/>
        <v>90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79</v>
      </c>
      <c r="B37" s="2" t="s">
        <v>36</v>
      </c>
      <c r="C37" s="2">
        <v>43</v>
      </c>
      <c r="D37" s="2">
        <v>40</v>
      </c>
      <c r="E37" s="2">
        <v>26</v>
      </c>
      <c r="F37" s="2">
        <v>54</v>
      </c>
      <c r="G37" s="3">
        <v>0.1</v>
      </c>
      <c r="H37" s="2">
        <v>45</v>
      </c>
      <c r="I37" s="2" t="s">
        <v>37</v>
      </c>
      <c r="J37" s="2"/>
      <c r="K37" s="2">
        <v>28</v>
      </c>
      <c r="L37" s="2">
        <f t="shared" ref="L37:L66" si="18">E37-K37</f>
        <v>-2</v>
      </c>
      <c r="M37" s="2"/>
      <c r="N37" s="2"/>
      <c r="O37" s="2">
        <v>95</v>
      </c>
      <c r="P37" s="2">
        <v>40</v>
      </c>
      <c r="Q37" s="2">
        <f t="shared" si="4"/>
        <v>5.2</v>
      </c>
      <c r="R37" s="15"/>
      <c r="S37" s="15">
        <f t="shared" si="12"/>
        <v>0</v>
      </c>
      <c r="T37" s="15">
        <f t="shared" si="5"/>
        <v>0</v>
      </c>
      <c r="U37" s="15"/>
      <c r="V37" s="15"/>
      <c r="W37" s="2"/>
      <c r="X37" s="2">
        <f t="shared" si="6"/>
        <v>36.346153846153847</v>
      </c>
      <c r="Y37" s="2">
        <f t="shared" si="7"/>
        <v>36.346153846153847</v>
      </c>
      <c r="Z37" s="2">
        <v>15.8</v>
      </c>
      <c r="AA37" s="2">
        <v>15</v>
      </c>
      <c r="AB37" s="2">
        <v>5.4</v>
      </c>
      <c r="AC37" s="2">
        <v>16.8</v>
      </c>
      <c r="AD37" s="2">
        <v>8</v>
      </c>
      <c r="AE37" s="2">
        <v>9.6</v>
      </c>
      <c r="AF37" s="2">
        <v>1.8</v>
      </c>
      <c r="AG37" s="2">
        <v>5.4</v>
      </c>
      <c r="AH37" s="19" t="s">
        <v>80</v>
      </c>
      <c r="AI37" s="2">
        <f t="shared" si="8"/>
        <v>0</v>
      </c>
      <c r="AJ37" s="2">
        <f t="shared" si="9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81</v>
      </c>
      <c r="B38" s="2" t="s">
        <v>36</v>
      </c>
      <c r="C38" s="2">
        <v>124</v>
      </c>
      <c r="D38" s="2">
        <v>64</v>
      </c>
      <c r="E38" s="2">
        <v>107</v>
      </c>
      <c r="F38" s="2">
        <v>10</v>
      </c>
      <c r="G38" s="3">
        <v>0.1</v>
      </c>
      <c r="H38" s="2">
        <v>60</v>
      </c>
      <c r="I38" s="2" t="s">
        <v>37</v>
      </c>
      <c r="J38" s="2"/>
      <c r="K38" s="2">
        <v>121</v>
      </c>
      <c r="L38" s="2">
        <f t="shared" si="18"/>
        <v>-14</v>
      </c>
      <c r="M38" s="2"/>
      <c r="N38" s="2"/>
      <c r="O38" s="2">
        <v>100</v>
      </c>
      <c r="P38" s="2">
        <v>80</v>
      </c>
      <c r="Q38" s="2">
        <f t="shared" si="4"/>
        <v>21.4</v>
      </c>
      <c r="R38" s="15">
        <f t="shared" si="15"/>
        <v>109.59999999999997</v>
      </c>
      <c r="S38" s="15">
        <f t="shared" si="12"/>
        <v>110</v>
      </c>
      <c r="T38" s="15">
        <f t="shared" si="5"/>
        <v>50</v>
      </c>
      <c r="U38" s="15">
        <v>60</v>
      </c>
      <c r="V38" s="15"/>
      <c r="W38" s="2"/>
      <c r="X38" s="2">
        <f t="shared" si="6"/>
        <v>14.018691588785048</v>
      </c>
      <c r="Y38" s="2">
        <f t="shared" si="7"/>
        <v>8.878504672897197</v>
      </c>
      <c r="Z38" s="2">
        <v>19.399999999999999</v>
      </c>
      <c r="AA38" s="2">
        <v>13.6</v>
      </c>
      <c r="AB38" s="2">
        <v>16.399999999999999</v>
      </c>
      <c r="AC38" s="2">
        <v>23.2</v>
      </c>
      <c r="AD38" s="2">
        <v>3.4</v>
      </c>
      <c r="AE38" s="2">
        <v>9.1999999999999993</v>
      </c>
      <c r="AF38" s="2">
        <v>10.199999999999999</v>
      </c>
      <c r="AG38" s="2">
        <v>7</v>
      </c>
      <c r="AH38" s="2" t="s">
        <v>53</v>
      </c>
      <c r="AI38" s="2">
        <f t="shared" si="8"/>
        <v>5</v>
      </c>
      <c r="AJ38" s="2">
        <f t="shared" si="9"/>
        <v>6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82</v>
      </c>
      <c r="B39" s="2" t="s">
        <v>36</v>
      </c>
      <c r="C39" s="2">
        <v>512</v>
      </c>
      <c r="D39" s="2">
        <v>263</v>
      </c>
      <c r="E39" s="2">
        <v>188</v>
      </c>
      <c r="F39" s="2">
        <v>315</v>
      </c>
      <c r="G39" s="3">
        <v>0.1</v>
      </c>
      <c r="H39" s="2">
        <v>60</v>
      </c>
      <c r="I39" s="2" t="s">
        <v>37</v>
      </c>
      <c r="J39" s="2"/>
      <c r="K39" s="2">
        <v>190</v>
      </c>
      <c r="L39" s="2">
        <f t="shared" si="18"/>
        <v>-2</v>
      </c>
      <c r="M39" s="2"/>
      <c r="N39" s="2"/>
      <c r="O39" s="2">
        <v>0</v>
      </c>
      <c r="P39" s="2"/>
      <c r="Q39" s="2">
        <f t="shared" si="4"/>
        <v>37.6</v>
      </c>
      <c r="R39" s="15">
        <f t="shared" si="15"/>
        <v>211.39999999999998</v>
      </c>
      <c r="S39" s="15">
        <f t="shared" si="12"/>
        <v>211</v>
      </c>
      <c r="T39" s="15">
        <f t="shared" si="5"/>
        <v>105</v>
      </c>
      <c r="U39" s="15">
        <f t="shared" ref="U39" si="19">ROUND(S39/2,0)</f>
        <v>106</v>
      </c>
      <c r="V39" s="15"/>
      <c r="W39" s="2"/>
      <c r="X39" s="2">
        <f t="shared" si="6"/>
        <v>13.98936170212766</v>
      </c>
      <c r="Y39" s="2">
        <f t="shared" si="7"/>
        <v>8.3776595744680851</v>
      </c>
      <c r="Z39" s="2">
        <v>21.8</v>
      </c>
      <c r="AA39" s="2">
        <v>37.4</v>
      </c>
      <c r="AB39" s="2">
        <v>48</v>
      </c>
      <c r="AC39" s="2">
        <v>18.8</v>
      </c>
      <c r="AD39" s="2">
        <v>37.799999999999997</v>
      </c>
      <c r="AE39" s="2">
        <v>51.8</v>
      </c>
      <c r="AF39" s="2">
        <v>20.399999999999999</v>
      </c>
      <c r="AG39" s="2">
        <v>35</v>
      </c>
      <c r="AH39" s="2"/>
      <c r="AI39" s="2">
        <f t="shared" si="8"/>
        <v>10.5</v>
      </c>
      <c r="AJ39" s="2">
        <f t="shared" si="9"/>
        <v>10.600000000000001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83</v>
      </c>
      <c r="B40" s="2" t="s">
        <v>36</v>
      </c>
      <c r="C40" s="2">
        <v>167</v>
      </c>
      <c r="D40" s="2">
        <v>9</v>
      </c>
      <c r="E40" s="2">
        <v>40</v>
      </c>
      <c r="F40" s="2">
        <v>123</v>
      </c>
      <c r="G40" s="3">
        <v>0.1</v>
      </c>
      <c r="H40" s="2">
        <v>45</v>
      </c>
      <c r="I40" s="2" t="s">
        <v>37</v>
      </c>
      <c r="J40" s="2"/>
      <c r="K40" s="2">
        <v>43</v>
      </c>
      <c r="L40" s="2">
        <f t="shared" si="18"/>
        <v>-3</v>
      </c>
      <c r="M40" s="2"/>
      <c r="N40" s="2"/>
      <c r="O40" s="2">
        <v>0</v>
      </c>
      <c r="P40" s="2"/>
      <c r="Q40" s="2">
        <f t="shared" si="4"/>
        <v>8</v>
      </c>
      <c r="R40" s="15"/>
      <c r="S40" s="15">
        <f t="shared" si="12"/>
        <v>0</v>
      </c>
      <c r="T40" s="15">
        <f t="shared" si="5"/>
        <v>0</v>
      </c>
      <c r="U40" s="15"/>
      <c r="V40" s="15"/>
      <c r="W40" s="2"/>
      <c r="X40" s="2">
        <f t="shared" si="6"/>
        <v>15.375</v>
      </c>
      <c r="Y40" s="2">
        <f t="shared" si="7"/>
        <v>15.375</v>
      </c>
      <c r="Z40" s="2">
        <v>8</v>
      </c>
      <c r="AA40" s="2">
        <v>1.6</v>
      </c>
      <c r="AB40" s="2">
        <v>12</v>
      </c>
      <c r="AC40" s="2">
        <v>9</v>
      </c>
      <c r="AD40" s="2">
        <v>4.2</v>
      </c>
      <c r="AE40" s="2">
        <v>10</v>
      </c>
      <c r="AF40" s="2">
        <v>7.4</v>
      </c>
      <c r="AG40" s="2">
        <v>7.4</v>
      </c>
      <c r="AH40" s="2"/>
      <c r="AI40" s="2">
        <f t="shared" si="8"/>
        <v>0</v>
      </c>
      <c r="AJ40" s="2">
        <f t="shared" si="9"/>
        <v>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84</v>
      </c>
      <c r="B41" s="2" t="s">
        <v>36</v>
      </c>
      <c r="C41" s="2">
        <v>150</v>
      </c>
      <c r="D41" s="2">
        <v>394</v>
      </c>
      <c r="E41" s="2">
        <v>209</v>
      </c>
      <c r="F41" s="2">
        <v>235</v>
      </c>
      <c r="G41" s="3">
        <v>0.4</v>
      </c>
      <c r="H41" s="2">
        <v>45</v>
      </c>
      <c r="I41" s="2" t="s">
        <v>37</v>
      </c>
      <c r="J41" s="2"/>
      <c r="K41" s="2">
        <v>214</v>
      </c>
      <c r="L41" s="2">
        <f t="shared" si="18"/>
        <v>-5</v>
      </c>
      <c r="M41" s="2"/>
      <c r="N41" s="2"/>
      <c r="O41" s="2">
        <v>0</v>
      </c>
      <c r="P41" s="2"/>
      <c r="Q41" s="2">
        <f t="shared" si="4"/>
        <v>41.8</v>
      </c>
      <c r="R41" s="15">
        <f t="shared" si="15"/>
        <v>350.19999999999993</v>
      </c>
      <c r="S41" s="15">
        <f t="shared" si="12"/>
        <v>350</v>
      </c>
      <c r="T41" s="15">
        <f t="shared" si="5"/>
        <v>175</v>
      </c>
      <c r="U41" s="15">
        <f t="shared" ref="U41" si="20">ROUND(S41/2,0)</f>
        <v>175</v>
      </c>
      <c r="V41" s="15"/>
      <c r="W41" s="2"/>
      <c r="X41" s="2">
        <f t="shared" si="6"/>
        <v>13.995215311004786</v>
      </c>
      <c r="Y41" s="2">
        <f t="shared" si="7"/>
        <v>5.6220095693779912</v>
      </c>
      <c r="Z41" s="2">
        <v>28.6</v>
      </c>
      <c r="AA41" s="2">
        <v>37.799999999999997</v>
      </c>
      <c r="AB41" s="2">
        <v>43.4</v>
      </c>
      <c r="AC41" s="2">
        <v>37.4</v>
      </c>
      <c r="AD41" s="2">
        <v>39.4</v>
      </c>
      <c r="AE41" s="2">
        <v>45.6</v>
      </c>
      <c r="AF41" s="2">
        <v>45.2</v>
      </c>
      <c r="AG41" s="2">
        <v>42.4</v>
      </c>
      <c r="AH41" s="2"/>
      <c r="AI41" s="2">
        <f t="shared" si="8"/>
        <v>70</v>
      </c>
      <c r="AJ41" s="2">
        <f t="shared" si="9"/>
        <v>70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85</v>
      </c>
      <c r="B42" s="2" t="s">
        <v>39</v>
      </c>
      <c r="C42" s="2">
        <v>211.80199999999999</v>
      </c>
      <c r="D42" s="2">
        <v>73.498000000000005</v>
      </c>
      <c r="E42" s="2">
        <v>113.935</v>
      </c>
      <c r="F42" s="2">
        <v>93.444000000000003</v>
      </c>
      <c r="G42" s="3">
        <v>1</v>
      </c>
      <c r="H42" s="2">
        <v>60</v>
      </c>
      <c r="I42" s="2" t="s">
        <v>37</v>
      </c>
      <c r="J42" s="2"/>
      <c r="K42" s="2">
        <v>112.917</v>
      </c>
      <c r="L42" s="2">
        <f t="shared" si="18"/>
        <v>1.0180000000000007</v>
      </c>
      <c r="M42" s="2"/>
      <c r="N42" s="2"/>
      <c r="O42" s="2">
        <v>82</v>
      </c>
      <c r="P42" s="2">
        <v>60</v>
      </c>
      <c r="Q42" s="2">
        <f t="shared" si="4"/>
        <v>22.786999999999999</v>
      </c>
      <c r="R42" s="15">
        <f t="shared" si="15"/>
        <v>83.57399999999997</v>
      </c>
      <c r="S42" s="15">
        <f t="shared" si="12"/>
        <v>84</v>
      </c>
      <c r="T42" s="15">
        <f t="shared" si="5"/>
        <v>34</v>
      </c>
      <c r="U42" s="15">
        <v>50</v>
      </c>
      <c r="V42" s="15"/>
      <c r="W42" s="2"/>
      <c r="X42" s="2">
        <f t="shared" si="6"/>
        <v>14.018694869881951</v>
      </c>
      <c r="Y42" s="2">
        <f t="shared" si="7"/>
        <v>10.332382498793173</v>
      </c>
      <c r="Z42" s="2">
        <v>25.272400000000001</v>
      </c>
      <c r="AA42" s="2">
        <v>15.946400000000001</v>
      </c>
      <c r="AB42" s="2">
        <v>25.775600000000001</v>
      </c>
      <c r="AC42" s="2">
        <v>26.381</v>
      </c>
      <c r="AD42" s="2">
        <v>23.5336</v>
      </c>
      <c r="AE42" s="2">
        <v>20.29</v>
      </c>
      <c r="AF42" s="2">
        <v>25.679400000000001</v>
      </c>
      <c r="AG42" s="2">
        <v>23.441400000000002</v>
      </c>
      <c r="AH42" s="2"/>
      <c r="AI42" s="2">
        <f t="shared" si="8"/>
        <v>34</v>
      </c>
      <c r="AJ42" s="2">
        <f t="shared" si="9"/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86</v>
      </c>
      <c r="B43" s="2" t="s">
        <v>39</v>
      </c>
      <c r="C43" s="2">
        <v>154.649</v>
      </c>
      <c r="D43" s="2">
        <v>25.876000000000001</v>
      </c>
      <c r="E43" s="2">
        <v>69.468999999999994</v>
      </c>
      <c r="F43" s="2">
        <v>73.378</v>
      </c>
      <c r="G43" s="3">
        <v>1</v>
      </c>
      <c r="H43" s="2">
        <v>45</v>
      </c>
      <c r="I43" s="2" t="s">
        <v>37</v>
      </c>
      <c r="J43" s="2"/>
      <c r="K43" s="2">
        <v>80</v>
      </c>
      <c r="L43" s="2">
        <f t="shared" si="18"/>
        <v>-10.531000000000006</v>
      </c>
      <c r="M43" s="2"/>
      <c r="N43" s="2"/>
      <c r="O43" s="2">
        <v>63</v>
      </c>
      <c r="P43" s="2">
        <v>30</v>
      </c>
      <c r="Q43" s="2">
        <f t="shared" si="4"/>
        <v>13.893799999999999</v>
      </c>
      <c r="R43" s="15">
        <f t="shared" si="15"/>
        <v>28.135199999999983</v>
      </c>
      <c r="S43" s="15">
        <f t="shared" si="12"/>
        <v>28</v>
      </c>
      <c r="T43" s="15">
        <f t="shared" si="5"/>
        <v>28</v>
      </c>
      <c r="U43" s="15"/>
      <c r="V43" s="15"/>
      <c r="W43" s="2"/>
      <c r="X43" s="2">
        <f t="shared" si="6"/>
        <v>13.990269040867149</v>
      </c>
      <c r="Y43" s="2">
        <f t="shared" si="7"/>
        <v>11.974981646489802</v>
      </c>
      <c r="Z43" s="2">
        <v>17.712599999999998</v>
      </c>
      <c r="AA43" s="2">
        <v>13.060600000000001</v>
      </c>
      <c r="AB43" s="2">
        <v>22.100200000000001</v>
      </c>
      <c r="AC43" s="2">
        <v>13.937200000000001</v>
      </c>
      <c r="AD43" s="2">
        <v>16.47</v>
      </c>
      <c r="AE43" s="2">
        <v>17.4876</v>
      </c>
      <c r="AF43" s="2">
        <v>10.4306</v>
      </c>
      <c r="AG43" s="2">
        <v>18.0502</v>
      </c>
      <c r="AH43" s="2"/>
      <c r="AI43" s="2">
        <f t="shared" si="8"/>
        <v>28</v>
      </c>
      <c r="AJ43" s="2">
        <f t="shared" si="9"/>
        <v>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87</v>
      </c>
      <c r="B44" s="2" t="s">
        <v>39</v>
      </c>
      <c r="C44" s="2">
        <v>4.0000000000000001E-3</v>
      </c>
      <c r="D44" s="2">
        <v>97.995000000000005</v>
      </c>
      <c r="E44" s="2">
        <v>8.6050000000000004</v>
      </c>
      <c r="F44" s="2">
        <v>53.725000000000001</v>
      </c>
      <c r="G44" s="3">
        <v>1</v>
      </c>
      <c r="H44" s="2">
        <v>45</v>
      </c>
      <c r="I44" s="2" t="s">
        <v>37</v>
      </c>
      <c r="J44" s="2"/>
      <c r="K44" s="2">
        <v>9</v>
      </c>
      <c r="L44" s="2">
        <f t="shared" si="18"/>
        <v>-0.39499999999999957</v>
      </c>
      <c r="M44" s="2"/>
      <c r="N44" s="2"/>
      <c r="O44" s="2">
        <v>0</v>
      </c>
      <c r="P44" s="2"/>
      <c r="Q44" s="2">
        <f t="shared" si="4"/>
        <v>1.7210000000000001</v>
      </c>
      <c r="R44" s="15">
        <v>20</v>
      </c>
      <c r="S44" s="15">
        <f t="shared" si="12"/>
        <v>20</v>
      </c>
      <c r="T44" s="15">
        <f t="shared" si="5"/>
        <v>20</v>
      </c>
      <c r="U44" s="15"/>
      <c r="V44" s="15"/>
      <c r="W44" s="2"/>
      <c r="X44" s="2">
        <f t="shared" si="6"/>
        <v>42.838466008134802</v>
      </c>
      <c r="Y44" s="2">
        <f t="shared" si="7"/>
        <v>31.21731551423591</v>
      </c>
      <c r="Z44" s="2">
        <v>2.6888000000000001</v>
      </c>
      <c r="AA44" s="2">
        <v>7.0826000000000002</v>
      </c>
      <c r="AB44" s="2">
        <v>1.7756000000000001</v>
      </c>
      <c r="AC44" s="2">
        <v>7.7679999999999998</v>
      </c>
      <c r="AD44" s="2">
        <v>6.891</v>
      </c>
      <c r="AE44" s="2">
        <v>6.8150000000000004</v>
      </c>
      <c r="AF44" s="2">
        <v>7.7458</v>
      </c>
      <c r="AG44" s="2">
        <v>7.734</v>
      </c>
      <c r="AH44" s="2"/>
      <c r="AI44" s="2">
        <f t="shared" si="8"/>
        <v>20</v>
      </c>
      <c r="AJ44" s="2">
        <f t="shared" si="9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7" t="s">
        <v>88</v>
      </c>
      <c r="B45" s="2" t="s">
        <v>36</v>
      </c>
      <c r="C45" s="2"/>
      <c r="D45" s="2"/>
      <c r="E45" s="2">
        <v>-2</v>
      </c>
      <c r="F45" s="2"/>
      <c r="G45" s="3">
        <v>0.35</v>
      </c>
      <c r="H45" s="2">
        <v>45</v>
      </c>
      <c r="I45" s="2" t="s">
        <v>37</v>
      </c>
      <c r="J45" s="2"/>
      <c r="K45" s="2">
        <v>16</v>
      </c>
      <c r="L45" s="2">
        <f t="shared" si="18"/>
        <v>-18</v>
      </c>
      <c r="M45" s="2"/>
      <c r="N45" s="2"/>
      <c r="O45" s="2">
        <v>16</v>
      </c>
      <c r="P45" s="2"/>
      <c r="Q45" s="2">
        <f t="shared" si="4"/>
        <v>-0.4</v>
      </c>
      <c r="R45" s="15">
        <v>24</v>
      </c>
      <c r="S45" s="15">
        <f t="shared" si="12"/>
        <v>24</v>
      </c>
      <c r="T45" s="15">
        <f t="shared" si="5"/>
        <v>24</v>
      </c>
      <c r="U45" s="15"/>
      <c r="V45" s="15"/>
      <c r="W45" s="2"/>
      <c r="X45" s="2">
        <f t="shared" si="6"/>
        <v>-100</v>
      </c>
      <c r="Y45" s="2">
        <f t="shared" si="7"/>
        <v>-40</v>
      </c>
      <c r="Z45" s="2">
        <v>-2</v>
      </c>
      <c r="AA45" s="2">
        <v>-1.6</v>
      </c>
      <c r="AB45" s="2">
        <v>-3.6</v>
      </c>
      <c r="AC45" s="2">
        <v>2.2000000000000002</v>
      </c>
      <c r="AD45" s="2">
        <v>33</v>
      </c>
      <c r="AE45" s="2">
        <v>2.6</v>
      </c>
      <c r="AF45" s="2">
        <v>5.8</v>
      </c>
      <c r="AG45" s="2">
        <v>5</v>
      </c>
      <c r="AH45" s="2" t="s">
        <v>89</v>
      </c>
      <c r="AI45" s="2">
        <f t="shared" si="8"/>
        <v>8.3999999999999986</v>
      </c>
      <c r="AJ45" s="2">
        <f t="shared" si="9"/>
        <v>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90</v>
      </c>
      <c r="B46" s="2" t="s">
        <v>39</v>
      </c>
      <c r="C46" s="2">
        <v>171.726</v>
      </c>
      <c r="D46" s="2">
        <v>24.562999999999999</v>
      </c>
      <c r="E46" s="2">
        <v>87.046999999999997</v>
      </c>
      <c r="F46" s="2">
        <v>76.144999999999996</v>
      </c>
      <c r="G46" s="3">
        <v>1</v>
      </c>
      <c r="H46" s="2">
        <v>45</v>
      </c>
      <c r="I46" s="2" t="s">
        <v>37</v>
      </c>
      <c r="J46" s="2"/>
      <c r="K46" s="2">
        <v>83</v>
      </c>
      <c r="L46" s="2">
        <f t="shared" si="18"/>
        <v>4.046999999999997</v>
      </c>
      <c r="M46" s="2"/>
      <c r="N46" s="2"/>
      <c r="O46" s="2">
        <v>19</v>
      </c>
      <c r="P46" s="2">
        <v>30</v>
      </c>
      <c r="Q46" s="2">
        <f t="shared" si="4"/>
        <v>17.409399999999998</v>
      </c>
      <c r="R46" s="15">
        <f t="shared" si="15"/>
        <v>118.58659999999996</v>
      </c>
      <c r="S46" s="15">
        <f t="shared" si="12"/>
        <v>119</v>
      </c>
      <c r="T46" s="15">
        <f t="shared" si="5"/>
        <v>59</v>
      </c>
      <c r="U46" s="15">
        <f t="shared" ref="U46:U47" si="21">ROUND(S46/2,0)</f>
        <v>60</v>
      </c>
      <c r="V46" s="15"/>
      <c r="W46" s="2"/>
      <c r="X46" s="2">
        <f t="shared" si="6"/>
        <v>14.023745792502901</v>
      </c>
      <c r="Y46" s="2">
        <f t="shared" si="7"/>
        <v>7.1883580134869671</v>
      </c>
      <c r="Z46" s="2">
        <v>15.7852</v>
      </c>
      <c r="AA46" s="2">
        <v>15.443</v>
      </c>
      <c r="AB46" s="2">
        <v>24.122599999999998</v>
      </c>
      <c r="AC46" s="2">
        <v>6.5064000000000002</v>
      </c>
      <c r="AD46" s="2">
        <v>4.9715999999999996</v>
      </c>
      <c r="AE46" s="2">
        <v>14.5192</v>
      </c>
      <c r="AF46" s="2">
        <v>6.1082000000000001</v>
      </c>
      <c r="AG46" s="2">
        <v>8.9916</v>
      </c>
      <c r="AH46" s="2" t="s">
        <v>53</v>
      </c>
      <c r="AI46" s="2">
        <f t="shared" si="8"/>
        <v>59</v>
      </c>
      <c r="AJ46" s="2">
        <f t="shared" si="9"/>
        <v>60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91</v>
      </c>
      <c r="B47" s="2" t="s">
        <v>36</v>
      </c>
      <c r="C47" s="2">
        <v>362</v>
      </c>
      <c r="D47" s="2">
        <v>198</v>
      </c>
      <c r="E47" s="2">
        <v>204</v>
      </c>
      <c r="F47" s="2">
        <v>137</v>
      </c>
      <c r="G47" s="3">
        <v>0.3</v>
      </c>
      <c r="H47" s="2">
        <v>45</v>
      </c>
      <c r="I47" s="2" t="s">
        <v>37</v>
      </c>
      <c r="J47" s="2"/>
      <c r="K47" s="2">
        <v>204</v>
      </c>
      <c r="L47" s="2">
        <f t="shared" si="18"/>
        <v>0</v>
      </c>
      <c r="M47" s="2"/>
      <c r="N47" s="2"/>
      <c r="O47" s="2">
        <v>102</v>
      </c>
      <c r="P47" s="2">
        <v>48</v>
      </c>
      <c r="Q47" s="2">
        <f t="shared" si="4"/>
        <v>40.799999999999997</v>
      </c>
      <c r="R47" s="15">
        <f t="shared" si="15"/>
        <v>284.19999999999993</v>
      </c>
      <c r="S47" s="15">
        <f t="shared" si="12"/>
        <v>284</v>
      </c>
      <c r="T47" s="15">
        <f t="shared" si="5"/>
        <v>142</v>
      </c>
      <c r="U47" s="15">
        <f t="shared" si="21"/>
        <v>142</v>
      </c>
      <c r="V47" s="15"/>
      <c r="W47" s="2"/>
      <c r="X47" s="2">
        <f t="shared" si="6"/>
        <v>13.995098039215687</v>
      </c>
      <c r="Y47" s="2">
        <f t="shared" si="7"/>
        <v>7.0343137254901968</v>
      </c>
      <c r="Z47" s="2">
        <v>33.4</v>
      </c>
      <c r="AA47" s="2">
        <v>15.2</v>
      </c>
      <c r="AB47" s="2">
        <v>43.4</v>
      </c>
      <c r="AC47" s="2">
        <v>36</v>
      </c>
      <c r="AD47" s="2">
        <v>7.8</v>
      </c>
      <c r="AE47" s="2">
        <v>42.2</v>
      </c>
      <c r="AF47" s="2">
        <v>38.799999999999997</v>
      </c>
      <c r="AG47" s="2">
        <v>23</v>
      </c>
      <c r="AH47" s="2"/>
      <c r="AI47" s="2">
        <f t="shared" si="8"/>
        <v>42.6</v>
      </c>
      <c r="AJ47" s="2">
        <f t="shared" si="9"/>
        <v>42.6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92</v>
      </c>
      <c r="B48" s="2" t="s">
        <v>39</v>
      </c>
      <c r="C48" s="2">
        <v>32.573999999999998</v>
      </c>
      <c r="D48" s="2">
        <v>4.4370000000000003</v>
      </c>
      <c r="E48" s="2">
        <v>17.927</v>
      </c>
      <c r="F48" s="2">
        <v>12.474</v>
      </c>
      <c r="G48" s="3">
        <v>1</v>
      </c>
      <c r="H48" s="2">
        <v>45</v>
      </c>
      <c r="I48" s="2" t="s">
        <v>37</v>
      </c>
      <c r="J48" s="2"/>
      <c r="K48" s="2">
        <v>18</v>
      </c>
      <c r="L48" s="2">
        <f t="shared" si="18"/>
        <v>-7.3000000000000398E-2</v>
      </c>
      <c r="M48" s="2"/>
      <c r="N48" s="2"/>
      <c r="O48" s="2">
        <v>0</v>
      </c>
      <c r="P48" s="2">
        <v>4</v>
      </c>
      <c r="Q48" s="2">
        <f t="shared" si="4"/>
        <v>3.5853999999999999</v>
      </c>
      <c r="R48" s="15">
        <f t="shared" si="15"/>
        <v>33.721599999999995</v>
      </c>
      <c r="S48" s="15">
        <f t="shared" si="12"/>
        <v>34</v>
      </c>
      <c r="T48" s="15">
        <f t="shared" si="5"/>
        <v>34</v>
      </c>
      <c r="U48" s="15"/>
      <c r="V48" s="15"/>
      <c r="W48" s="2"/>
      <c r="X48" s="2">
        <f t="shared" si="6"/>
        <v>14.077648240084789</v>
      </c>
      <c r="Y48" s="2">
        <f t="shared" si="7"/>
        <v>4.5947453561666762</v>
      </c>
      <c r="Z48" s="2">
        <v>2.3755999999999999</v>
      </c>
      <c r="AA48" s="2">
        <v>2.8252000000000002</v>
      </c>
      <c r="AB48" s="2">
        <v>5.2755999999999998</v>
      </c>
      <c r="AC48" s="2">
        <v>1.2165999999999999</v>
      </c>
      <c r="AD48" s="2">
        <v>2.4748000000000001</v>
      </c>
      <c r="AE48" s="2">
        <v>4.5792000000000002</v>
      </c>
      <c r="AF48" s="2">
        <v>3.2469999999999999</v>
      </c>
      <c r="AG48" s="2">
        <v>5.3906000000000001</v>
      </c>
      <c r="AH48" s="2"/>
      <c r="AI48" s="2">
        <f t="shared" si="8"/>
        <v>34</v>
      </c>
      <c r="AJ48" s="2">
        <f t="shared" si="9"/>
        <v>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93</v>
      </c>
      <c r="B49" s="2" t="s">
        <v>36</v>
      </c>
      <c r="C49" s="2">
        <v>311</v>
      </c>
      <c r="D49" s="2">
        <v>574</v>
      </c>
      <c r="E49" s="2">
        <v>419</v>
      </c>
      <c r="F49" s="2">
        <v>319</v>
      </c>
      <c r="G49" s="3">
        <v>0.35</v>
      </c>
      <c r="H49" s="2">
        <v>45</v>
      </c>
      <c r="I49" s="2" t="s">
        <v>37</v>
      </c>
      <c r="J49" s="2"/>
      <c r="K49" s="2">
        <v>436</v>
      </c>
      <c r="L49" s="2">
        <f t="shared" si="18"/>
        <v>-17</v>
      </c>
      <c r="M49" s="2"/>
      <c r="N49" s="2"/>
      <c r="O49" s="2">
        <v>360</v>
      </c>
      <c r="P49" s="2">
        <v>240</v>
      </c>
      <c r="Q49" s="2">
        <f t="shared" si="4"/>
        <v>83.8</v>
      </c>
      <c r="R49" s="15">
        <f t="shared" si="15"/>
        <v>254.20000000000005</v>
      </c>
      <c r="S49" s="15">
        <f t="shared" si="12"/>
        <v>254</v>
      </c>
      <c r="T49" s="15">
        <f t="shared" si="5"/>
        <v>127</v>
      </c>
      <c r="U49" s="15">
        <f t="shared" ref="U49:U50" si="22">ROUND(S49/2,0)</f>
        <v>127</v>
      </c>
      <c r="V49" s="15"/>
      <c r="W49" s="2"/>
      <c r="X49" s="2">
        <f t="shared" si="6"/>
        <v>13.997613365155132</v>
      </c>
      <c r="Y49" s="2">
        <f t="shared" si="7"/>
        <v>10.966587112171839</v>
      </c>
      <c r="Z49" s="2">
        <v>92</v>
      </c>
      <c r="AA49" s="2">
        <v>77.2</v>
      </c>
      <c r="AB49" s="2">
        <v>83.2</v>
      </c>
      <c r="AC49" s="2">
        <v>77.8</v>
      </c>
      <c r="AD49" s="2">
        <v>67.400000000000006</v>
      </c>
      <c r="AE49" s="2">
        <v>90</v>
      </c>
      <c r="AF49" s="2">
        <v>65.8</v>
      </c>
      <c r="AG49" s="2">
        <v>82.6</v>
      </c>
      <c r="AH49" s="2" t="s">
        <v>94</v>
      </c>
      <c r="AI49" s="2">
        <f t="shared" si="8"/>
        <v>44.449999999999996</v>
      </c>
      <c r="AJ49" s="2">
        <f t="shared" si="9"/>
        <v>44.449999999999996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95</v>
      </c>
      <c r="B50" s="2" t="s">
        <v>36</v>
      </c>
      <c r="C50" s="2">
        <v>4</v>
      </c>
      <c r="D50" s="2">
        <v>621</v>
      </c>
      <c r="E50" s="2">
        <v>234</v>
      </c>
      <c r="F50" s="2">
        <v>348</v>
      </c>
      <c r="G50" s="3">
        <v>0.41</v>
      </c>
      <c r="H50" s="2">
        <v>45</v>
      </c>
      <c r="I50" s="2" t="s">
        <v>37</v>
      </c>
      <c r="J50" s="2"/>
      <c r="K50" s="2">
        <v>279</v>
      </c>
      <c r="L50" s="2">
        <f t="shared" si="18"/>
        <v>-45</v>
      </c>
      <c r="M50" s="2"/>
      <c r="N50" s="2"/>
      <c r="O50" s="2">
        <v>0</v>
      </c>
      <c r="P50" s="2"/>
      <c r="Q50" s="2">
        <f t="shared" si="4"/>
        <v>46.8</v>
      </c>
      <c r="R50" s="15">
        <f t="shared" si="15"/>
        <v>307.19999999999993</v>
      </c>
      <c r="S50" s="15">
        <f t="shared" si="12"/>
        <v>307</v>
      </c>
      <c r="T50" s="15">
        <f t="shared" si="5"/>
        <v>153</v>
      </c>
      <c r="U50" s="15">
        <f t="shared" si="22"/>
        <v>154</v>
      </c>
      <c r="V50" s="15"/>
      <c r="W50" s="2"/>
      <c r="X50" s="2">
        <f t="shared" si="6"/>
        <v>13.995726495726496</v>
      </c>
      <c r="Y50" s="2">
        <f t="shared" si="7"/>
        <v>7.4358974358974361</v>
      </c>
      <c r="Z50" s="2">
        <v>41.8</v>
      </c>
      <c r="AA50" s="2">
        <v>69.599999999999994</v>
      </c>
      <c r="AB50" s="2">
        <v>36.4</v>
      </c>
      <c r="AC50" s="2">
        <v>49.6</v>
      </c>
      <c r="AD50" s="2">
        <v>46.6</v>
      </c>
      <c r="AE50" s="2">
        <v>90</v>
      </c>
      <c r="AF50" s="2">
        <v>50.4</v>
      </c>
      <c r="AG50" s="2">
        <v>25.2</v>
      </c>
      <c r="AH50" s="2"/>
      <c r="AI50" s="2">
        <f t="shared" si="8"/>
        <v>62.73</v>
      </c>
      <c r="AJ50" s="2">
        <f t="shared" si="9"/>
        <v>63.139999999999993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 t="s">
        <v>96</v>
      </c>
      <c r="B51" s="2" t="s">
        <v>36</v>
      </c>
      <c r="C51" s="2">
        <v>134</v>
      </c>
      <c r="D51" s="2">
        <v>2</v>
      </c>
      <c r="E51" s="2">
        <v>95</v>
      </c>
      <c r="F51" s="2">
        <v>33</v>
      </c>
      <c r="G51" s="3">
        <v>0.41</v>
      </c>
      <c r="H51" s="2">
        <v>45</v>
      </c>
      <c r="I51" s="2" t="s">
        <v>37</v>
      </c>
      <c r="J51" s="2"/>
      <c r="K51" s="2">
        <v>95</v>
      </c>
      <c r="L51" s="2">
        <f t="shared" si="18"/>
        <v>0</v>
      </c>
      <c r="M51" s="2"/>
      <c r="N51" s="2"/>
      <c r="O51" s="2">
        <v>132</v>
      </c>
      <c r="P51" s="2">
        <v>90</v>
      </c>
      <c r="Q51" s="2">
        <f t="shared" si="4"/>
        <v>19</v>
      </c>
      <c r="R51" s="15">
        <f t="shared" si="15"/>
        <v>11</v>
      </c>
      <c r="S51" s="15">
        <f t="shared" si="12"/>
        <v>11</v>
      </c>
      <c r="T51" s="15">
        <f t="shared" si="5"/>
        <v>11</v>
      </c>
      <c r="U51" s="15"/>
      <c r="V51" s="15"/>
      <c r="W51" s="2"/>
      <c r="X51" s="2">
        <f t="shared" si="6"/>
        <v>14</v>
      </c>
      <c r="Y51" s="2">
        <f t="shared" si="7"/>
        <v>13.421052631578947</v>
      </c>
      <c r="Z51" s="2">
        <v>25.4</v>
      </c>
      <c r="AA51" s="2">
        <v>4.4000000000000004</v>
      </c>
      <c r="AB51" s="2">
        <v>3</v>
      </c>
      <c r="AC51" s="2">
        <v>31.4</v>
      </c>
      <c r="AD51" s="2">
        <v>1.4</v>
      </c>
      <c r="AE51" s="2">
        <v>9.8000000000000007</v>
      </c>
      <c r="AF51" s="2">
        <v>20</v>
      </c>
      <c r="AG51" s="2">
        <v>0.4</v>
      </c>
      <c r="AH51" s="2"/>
      <c r="AI51" s="2">
        <f t="shared" si="8"/>
        <v>4.51</v>
      </c>
      <c r="AJ51" s="2">
        <f t="shared" si="9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8" t="s">
        <v>97</v>
      </c>
      <c r="B52" s="8" t="s">
        <v>39</v>
      </c>
      <c r="C52" s="8">
        <v>16.449000000000002</v>
      </c>
      <c r="D52" s="8"/>
      <c r="E52" s="8"/>
      <c r="F52" s="8">
        <v>16.449000000000002</v>
      </c>
      <c r="G52" s="9">
        <v>0</v>
      </c>
      <c r="H52" s="8">
        <v>30</v>
      </c>
      <c r="I52" s="8" t="s">
        <v>98</v>
      </c>
      <c r="J52" s="8"/>
      <c r="K52" s="8">
        <v>3</v>
      </c>
      <c r="L52" s="8">
        <f t="shared" si="18"/>
        <v>-3</v>
      </c>
      <c r="M52" s="8"/>
      <c r="N52" s="8"/>
      <c r="O52" s="8">
        <v>0</v>
      </c>
      <c r="P52" s="8"/>
      <c r="Q52" s="8">
        <f t="shared" si="4"/>
        <v>0</v>
      </c>
      <c r="R52" s="16"/>
      <c r="S52" s="15">
        <f t="shared" si="12"/>
        <v>0</v>
      </c>
      <c r="T52" s="15">
        <f t="shared" si="5"/>
        <v>0</v>
      </c>
      <c r="U52" s="16"/>
      <c r="V52" s="16"/>
      <c r="W52" s="8"/>
      <c r="X52" s="2" t="e">
        <f t="shared" si="6"/>
        <v>#DIV/0!</v>
      </c>
      <c r="Y52" s="8" t="e">
        <f t="shared" si="7"/>
        <v>#DIV/0!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17" t="s">
        <v>99</v>
      </c>
      <c r="AI52" s="2">
        <f t="shared" si="8"/>
        <v>0</v>
      </c>
      <c r="AJ52" s="2">
        <f t="shared" si="9"/>
        <v>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100</v>
      </c>
      <c r="B53" s="2" t="s">
        <v>36</v>
      </c>
      <c r="C53" s="2">
        <v>239</v>
      </c>
      <c r="D53" s="2">
        <v>119</v>
      </c>
      <c r="E53" s="2">
        <v>133</v>
      </c>
      <c r="F53" s="2">
        <v>101</v>
      </c>
      <c r="G53" s="3">
        <v>0.36</v>
      </c>
      <c r="H53" s="2">
        <v>45</v>
      </c>
      <c r="I53" s="2" t="s">
        <v>37</v>
      </c>
      <c r="J53" s="2"/>
      <c r="K53" s="2">
        <v>136</v>
      </c>
      <c r="L53" s="2">
        <f t="shared" si="18"/>
        <v>-3</v>
      </c>
      <c r="M53" s="2"/>
      <c r="N53" s="2"/>
      <c r="O53" s="2">
        <v>31</v>
      </c>
      <c r="P53" s="2">
        <v>30</v>
      </c>
      <c r="Q53" s="2">
        <f t="shared" si="4"/>
        <v>26.6</v>
      </c>
      <c r="R53" s="15">
        <f t="shared" ref="R53:R61" si="23">14*Q53-P53-O53-F53</f>
        <v>210.40000000000003</v>
      </c>
      <c r="S53" s="15">
        <f t="shared" si="12"/>
        <v>210</v>
      </c>
      <c r="T53" s="15">
        <f t="shared" si="5"/>
        <v>105</v>
      </c>
      <c r="U53" s="15">
        <f>ROUND(S53/2,0)</f>
        <v>105</v>
      </c>
      <c r="V53" s="15"/>
      <c r="W53" s="2"/>
      <c r="X53" s="2">
        <f t="shared" si="6"/>
        <v>13.984962406015036</v>
      </c>
      <c r="Y53" s="2">
        <f t="shared" si="7"/>
        <v>6.0902255639097742</v>
      </c>
      <c r="Z53" s="2">
        <v>21.6</v>
      </c>
      <c r="AA53" s="2">
        <v>20</v>
      </c>
      <c r="AB53" s="2">
        <v>38.200000000000003</v>
      </c>
      <c r="AC53" s="2">
        <v>16</v>
      </c>
      <c r="AD53" s="2">
        <v>27.4</v>
      </c>
      <c r="AE53" s="2">
        <v>32.6</v>
      </c>
      <c r="AF53" s="2">
        <v>23.6</v>
      </c>
      <c r="AG53" s="2">
        <v>30.6</v>
      </c>
      <c r="AH53" s="2" t="s">
        <v>53</v>
      </c>
      <c r="AI53" s="2">
        <f t="shared" si="8"/>
        <v>37.799999999999997</v>
      </c>
      <c r="AJ53" s="2">
        <f t="shared" si="9"/>
        <v>37.799999999999997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101</v>
      </c>
      <c r="B54" s="2" t="s">
        <v>36</v>
      </c>
      <c r="C54" s="2">
        <v>29</v>
      </c>
      <c r="D54" s="2"/>
      <c r="E54" s="2">
        <v>9</v>
      </c>
      <c r="F54" s="2">
        <v>17</v>
      </c>
      <c r="G54" s="3">
        <v>0.33</v>
      </c>
      <c r="H54" s="2">
        <v>45</v>
      </c>
      <c r="I54" s="2" t="s">
        <v>37</v>
      </c>
      <c r="J54" s="2"/>
      <c r="K54" s="2">
        <v>28</v>
      </c>
      <c r="L54" s="2">
        <f t="shared" si="18"/>
        <v>-19</v>
      </c>
      <c r="M54" s="2"/>
      <c r="N54" s="2"/>
      <c r="O54" s="2">
        <v>0</v>
      </c>
      <c r="P54" s="2"/>
      <c r="Q54" s="2">
        <f t="shared" si="4"/>
        <v>1.8</v>
      </c>
      <c r="R54" s="15">
        <f t="shared" si="23"/>
        <v>8.1999999999999993</v>
      </c>
      <c r="S54" s="15">
        <f t="shared" si="12"/>
        <v>8</v>
      </c>
      <c r="T54" s="15">
        <f t="shared" si="5"/>
        <v>8</v>
      </c>
      <c r="U54" s="15"/>
      <c r="V54" s="15"/>
      <c r="W54" s="2"/>
      <c r="X54" s="2">
        <f t="shared" si="6"/>
        <v>13.888888888888889</v>
      </c>
      <c r="Y54" s="2">
        <f t="shared" si="7"/>
        <v>9.4444444444444446</v>
      </c>
      <c r="Z54" s="2">
        <v>0.4</v>
      </c>
      <c r="AA54" s="2">
        <v>0.8</v>
      </c>
      <c r="AB54" s="2">
        <v>3.6</v>
      </c>
      <c r="AC54" s="2">
        <v>1.2</v>
      </c>
      <c r="AD54" s="2">
        <v>2</v>
      </c>
      <c r="AE54" s="2">
        <v>3.4</v>
      </c>
      <c r="AF54" s="2">
        <v>5.6</v>
      </c>
      <c r="AG54" s="2">
        <v>6</v>
      </c>
      <c r="AH54" s="2"/>
      <c r="AI54" s="2">
        <f t="shared" si="8"/>
        <v>2.64</v>
      </c>
      <c r="AJ54" s="2">
        <f t="shared" si="9"/>
        <v>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102</v>
      </c>
      <c r="B55" s="2" t="s">
        <v>36</v>
      </c>
      <c r="C55" s="2">
        <v>17</v>
      </c>
      <c r="D55" s="2"/>
      <c r="E55" s="2">
        <v>2</v>
      </c>
      <c r="F55" s="2">
        <v>15</v>
      </c>
      <c r="G55" s="3">
        <v>0.33</v>
      </c>
      <c r="H55" s="2">
        <v>45</v>
      </c>
      <c r="I55" s="2" t="s">
        <v>37</v>
      </c>
      <c r="J55" s="2"/>
      <c r="K55" s="2">
        <v>18</v>
      </c>
      <c r="L55" s="2">
        <f t="shared" si="18"/>
        <v>-16</v>
      </c>
      <c r="M55" s="2"/>
      <c r="N55" s="2"/>
      <c r="O55" s="2">
        <v>0</v>
      </c>
      <c r="P55" s="2"/>
      <c r="Q55" s="2">
        <f t="shared" si="4"/>
        <v>0.4</v>
      </c>
      <c r="R55" s="15"/>
      <c r="S55" s="15">
        <f t="shared" si="12"/>
        <v>0</v>
      </c>
      <c r="T55" s="15">
        <f t="shared" si="5"/>
        <v>0</v>
      </c>
      <c r="U55" s="15"/>
      <c r="V55" s="15"/>
      <c r="W55" s="2"/>
      <c r="X55" s="2">
        <f t="shared" si="6"/>
        <v>37.5</v>
      </c>
      <c r="Y55" s="2">
        <f t="shared" si="7"/>
        <v>37.5</v>
      </c>
      <c r="Z55" s="2">
        <v>0.6</v>
      </c>
      <c r="AA55" s="2">
        <v>0.8</v>
      </c>
      <c r="AB55" s="2">
        <v>0</v>
      </c>
      <c r="AC55" s="2">
        <v>0</v>
      </c>
      <c r="AD55" s="2">
        <v>0</v>
      </c>
      <c r="AE55" s="2">
        <v>-0.2</v>
      </c>
      <c r="AF55" s="2">
        <v>0.2</v>
      </c>
      <c r="AG55" s="2">
        <v>0.4</v>
      </c>
      <c r="AH55" s="17" t="s">
        <v>103</v>
      </c>
      <c r="AI55" s="2">
        <f t="shared" si="8"/>
        <v>0</v>
      </c>
      <c r="AJ55" s="2">
        <f t="shared" si="9"/>
        <v>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104</v>
      </c>
      <c r="B56" s="2" t="s">
        <v>36</v>
      </c>
      <c r="C56" s="2">
        <v>142</v>
      </c>
      <c r="D56" s="2">
        <v>84</v>
      </c>
      <c r="E56" s="2">
        <v>62</v>
      </c>
      <c r="F56" s="2">
        <v>71</v>
      </c>
      <c r="G56" s="3">
        <v>0.33</v>
      </c>
      <c r="H56" s="2">
        <v>45</v>
      </c>
      <c r="I56" s="2" t="s">
        <v>37</v>
      </c>
      <c r="J56" s="2"/>
      <c r="K56" s="2">
        <v>69</v>
      </c>
      <c r="L56" s="2">
        <f t="shared" si="18"/>
        <v>-7</v>
      </c>
      <c r="M56" s="2"/>
      <c r="N56" s="2"/>
      <c r="O56" s="2">
        <v>0</v>
      </c>
      <c r="P56" s="2"/>
      <c r="Q56" s="2">
        <f t="shared" si="4"/>
        <v>12.4</v>
      </c>
      <c r="R56" s="15">
        <f t="shared" si="23"/>
        <v>102.6</v>
      </c>
      <c r="S56" s="15">
        <f t="shared" si="12"/>
        <v>103</v>
      </c>
      <c r="T56" s="15">
        <f t="shared" si="5"/>
        <v>51</v>
      </c>
      <c r="U56" s="15">
        <f>ROUND(S56/2,0)</f>
        <v>52</v>
      </c>
      <c r="V56" s="15"/>
      <c r="W56" s="2"/>
      <c r="X56" s="2">
        <f t="shared" si="6"/>
        <v>14.032258064516128</v>
      </c>
      <c r="Y56" s="2">
        <f t="shared" si="7"/>
        <v>5.725806451612903</v>
      </c>
      <c r="Z56" s="2">
        <v>4.4000000000000004</v>
      </c>
      <c r="AA56" s="2">
        <v>1.6</v>
      </c>
      <c r="AB56" s="2">
        <v>19.600000000000001</v>
      </c>
      <c r="AC56" s="2">
        <v>13.4</v>
      </c>
      <c r="AD56" s="2">
        <v>14</v>
      </c>
      <c r="AE56" s="2">
        <v>27.4</v>
      </c>
      <c r="AF56" s="2">
        <v>13.2</v>
      </c>
      <c r="AG56" s="2">
        <v>24</v>
      </c>
      <c r="AH56" s="2"/>
      <c r="AI56" s="2">
        <f t="shared" si="8"/>
        <v>16.830000000000002</v>
      </c>
      <c r="AJ56" s="2">
        <f t="shared" si="9"/>
        <v>17.16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105</v>
      </c>
      <c r="B57" s="2" t="s">
        <v>36</v>
      </c>
      <c r="C57" s="2">
        <v>23</v>
      </c>
      <c r="D57" s="2">
        <v>16</v>
      </c>
      <c r="E57" s="2">
        <v>2</v>
      </c>
      <c r="F57" s="2">
        <v>20</v>
      </c>
      <c r="G57" s="3">
        <v>0.33</v>
      </c>
      <c r="H57" s="2">
        <v>45</v>
      </c>
      <c r="I57" s="2" t="s">
        <v>37</v>
      </c>
      <c r="J57" s="2"/>
      <c r="K57" s="2">
        <v>18</v>
      </c>
      <c r="L57" s="2">
        <f t="shared" si="18"/>
        <v>-16</v>
      </c>
      <c r="M57" s="2"/>
      <c r="N57" s="2"/>
      <c r="O57" s="2">
        <v>14</v>
      </c>
      <c r="P57" s="2"/>
      <c r="Q57" s="2">
        <f t="shared" si="4"/>
        <v>0.4</v>
      </c>
      <c r="R57" s="15"/>
      <c r="S57" s="15">
        <f t="shared" si="12"/>
        <v>0</v>
      </c>
      <c r="T57" s="15">
        <f t="shared" si="5"/>
        <v>0</v>
      </c>
      <c r="U57" s="15"/>
      <c r="V57" s="15"/>
      <c r="W57" s="2"/>
      <c r="X57" s="2">
        <f t="shared" si="6"/>
        <v>85</v>
      </c>
      <c r="Y57" s="2">
        <f t="shared" si="7"/>
        <v>85</v>
      </c>
      <c r="Z57" s="2">
        <v>2.6</v>
      </c>
      <c r="AA57" s="2">
        <v>1.4</v>
      </c>
      <c r="AB57" s="2">
        <v>2.8</v>
      </c>
      <c r="AC57" s="2">
        <v>1.4</v>
      </c>
      <c r="AD57" s="2">
        <v>2.8</v>
      </c>
      <c r="AE57" s="2">
        <v>2.6</v>
      </c>
      <c r="AF57" s="2">
        <v>2</v>
      </c>
      <c r="AG57" s="2">
        <v>6.6</v>
      </c>
      <c r="AH57" s="17" t="s">
        <v>106</v>
      </c>
      <c r="AI57" s="2">
        <f t="shared" si="8"/>
        <v>0</v>
      </c>
      <c r="AJ57" s="2">
        <f t="shared" si="9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107</v>
      </c>
      <c r="B58" s="2" t="s">
        <v>39</v>
      </c>
      <c r="C58" s="2">
        <v>206.095</v>
      </c>
      <c r="D58" s="2">
        <v>143.834</v>
      </c>
      <c r="E58" s="2">
        <v>150.19200000000001</v>
      </c>
      <c r="F58" s="2">
        <v>113.39</v>
      </c>
      <c r="G58" s="3">
        <v>1</v>
      </c>
      <c r="H58" s="2">
        <v>45</v>
      </c>
      <c r="I58" s="2" t="s">
        <v>37</v>
      </c>
      <c r="J58" s="2"/>
      <c r="K58" s="2">
        <v>146</v>
      </c>
      <c r="L58" s="2">
        <f t="shared" si="18"/>
        <v>4.1920000000000073</v>
      </c>
      <c r="M58" s="2"/>
      <c r="N58" s="2"/>
      <c r="O58" s="2">
        <v>172</v>
      </c>
      <c r="P58" s="2">
        <v>120</v>
      </c>
      <c r="Q58" s="2">
        <f t="shared" si="4"/>
        <v>30.038400000000003</v>
      </c>
      <c r="R58" s="15">
        <f t="shared" si="23"/>
        <v>15.147600000000054</v>
      </c>
      <c r="S58" s="15">
        <f t="shared" si="12"/>
        <v>15</v>
      </c>
      <c r="T58" s="15">
        <f t="shared" si="5"/>
        <v>15</v>
      </c>
      <c r="U58" s="15"/>
      <c r="V58" s="15"/>
      <c r="W58" s="2"/>
      <c r="X58" s="2">
        <f t="shared" si="6"/>
        <v>13.995086289549375</v>
      </c>
      <c r="Y58" s="2">
        <f t="shared" si="7"/>
        <v>13.495725471396611</v>
      </c>
      <c r="Z58" s="2">
        <v>40.593800000000002</v>
      </c>
      <c r="AA58" s="2">
        <v>28.529599999999999</v>
      </c>
      <c r="AB58" s="2">
        <v>38.642800000000001</v>
      </c>
      <c r="AC58" s="2">
        <v>30.709800000000001</v>
      </c>
      <c r="AD58" s="2">
        <v>39.011000000000003</v>
      </c>
      <c r="AE58" s="2">
        <v>40.2378</v>
      </c>
      <c r="AF58" s="2">
        <v>37.677399999999999</v>
      </c>
      <c r="AG58" s="2">
        <v>43.3904</v>
      </c>
      <c r="AH58" s="2"/>
      <c r="AI58" s="2">
        <f t="shared" si="8"/>
        <v>15</v>
      </c>
      <c r="AJ58" s="2">
        <f t="shared" si="9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108</v>
      </c>
      <c r="B59" s="2" t="s">
        <v>39</v>
      </c>
      <c r="C59" s="2">
        <v>30.614000000000001</v>
      </c>
      <c r="D59" s="2"/>
      <c r="E59" s="2"/>
      <c r="F59" s="2">
        <v>30.614000000000001</v>
      </c>
      <c r="G59" s="3">
        <v>1</v>
      </c>
      <c r="H59" s="2">
        <v>30</v>
      </c>
      <c r="I59" s="2" t="s">
        <v>37</v>
      </c>
      <c r="J59" s="2"/>
      <c r="K59" s="2"/>
      <c r="L59" s="2">
        <f t="shared" si="18"/>
        <v>0</v>
      </c>
      <c r="M59" s="2"/>
      <c r="N59" s="2"/>
      <c r="O59" s="2">
        <v>0</v>
      </c>
      <c r="P59" s="2"/>
      <c r="Q59" s="2">
        <f t="shared" si="4"/>
        <v>0</v>
      </c>
      <c r="R59" s="15"/>
      <c r="S59" s="15">
        <f t="shared" si="12"/>
        <v>0</v>
      </c>
      <c r="T59" s="15">
        <f t="shared" si="5"/>
        <v>0</v>
      </c>
      <c r="U59" s="15"/>
      <c r="V59" s="15"/>
      <c r="W59" s="2"/>
      <c r="X59" s="2" t="e">
        <f t="shared" si="6"/>
        <v>#DIV/0!</v>
      </c>
      <c r="Y59" s="2" t="e">
        <f t="shared" si="7"/>
        <v>#DIV/0!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17" t="s">
        <v>66</v>
      </c>
      <c r="AI59" s="2">
        <f t="shared" si="8"/>
        <v>0</v>
      </c>
      <c r="AJ59" s="2">
        <f t="shared" si="9"/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109</v>
      </c>
      <c r="B60" s="2" t="s">
        <v>36</v>
      </c>
      <c r="C60" s="2">
        <v>57</v>
      </c>
      <c r="D60" s="2"/>
      <c r="E60" s="2">
        <v>18</v>
      </c>
      <c r="F60" s="2">
        <v>33</v>
      </c>
      <c r="G60" s="3">
        <v>0.1</v>
      </c>
      <c r="H60" s="2">
        <v>60</v>
      </c>
      <c r="I60" s="2" t="s">
        <v>37</v>
      </c>
      <c r="J60" s="2"/>
      <c r="K60" s="2">
        <v>21</v>
      </c>
      <c r="L60" s="2">
        <f t="shared" si="18"/>
        <v>-3</v>
      </c>
      <c r="M60" s="2"/>
      <c r="N60" s="2"/>
      <c r="O60" s="2">
        <v>0</v>
      </c>
      <c r="P60" s="2"/>
      <c r="Q60" s="2">
        <f t="shared" si="4"/>
        <v>3.6</v>
      </c>
      <c r="R60" s="15">
        <f t="shared" si="23"/>
        <v>17.399999999999999</v>
      </c>
      <c r="S60" s="15">
        <f t="shared" si="12"/>
        <v>17</v>
      </c>
      <c r="T60" s="15">
        <f t="shared" si="5"/>
        <v>17</v>
      </c>
      <c r="U60" s="15"/>
      <c r="V60" s="15"/>
      <c r="W60" s="2"/>
      <c r="X60" s="2">
        <f t="shared" si="6"/>
        <v>13.888888888888889</v>
      </c>
      <c r="Y60" s="2">
        <f t="shared" si="7"/>
        <v>9.1666666666666661</v>
      </c>
      <c r="Z60" s="2">
        <v>0.4</v>
      </c>
      <c r="AA60" s="2">
        <v>2.8</v>
      </c>
      <c r="AB60" s="2">
        <v>1</v>
      </c>
      <c r="AC60" s="2">
        <v>6.8</v>
      </c>
      <c r="AD60" s="2">
        <v>3</v>
      </c>
      <c r="AE60" s="2">
        <v>1</v>
      </c>
      <c r="AF60" s="2">
        <v>1</v>
      </c>
      <c r="AG60" s="2">
        <v>8.1999999999999993</v>
      </c>
      <c r="AH60" s="2"/>
      <c r="AI60" s="2">
        <f t="shared" si="8"/>
        <v>1.7000000000000002</v>
      </c>
      <c r="AJ60" s="2">
        <f t="shared" si="9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110</v>
      </c>
      <c r="B61" s="2" t="s">
        <v>36</v>
      </c>
      <c r="C61" s="2">
        <v>37</v>
      </c>
      <c r="D61" s="2">
        <v>118</v>
      </c>
      <c r="E61" s="2">
        <v>37</v>
      </c>
      <c r="F61" s="2">
        <v>88</v>
      </c>
      <c r="G61" s="3">
        <v>0.4</v>
      </c>
      <c r="H61" s="2">
        <v>45</v>
      </c>
      <c r="I61" s="2" t="s">
        <v>37</v>
      </c>
      <c r="J61" s="2"/>
      <c r="K61" s="2">
        <v>46</v>
      </c>
      <c r="L61" s="2">
        <f t="shared" si="18"/>
        <v>-9</v>
      </c>
      <c r="M61" s="2"/>
      <c r="N61" s="2"/>
      <c r="O61" s="2">
        <v>0</v>
      </c>
      <c r="P61" s="2"/>
      <c r="Q61" s="2">
        <f t="shared" si="4"/>
        <v>7.4</v>
      </c>
      <c r="R61" s="15">
        <f t="shared" si="23"/>
        <v>15.600000000000009</v>
      </c>
      <c r="S61" s="15">
        <f t="shared" si="12"/>
        <v>16</v>
      </c>
      <c r="T61" s="15">
        <f t="shared" si="5"/>
        <v>16</v>
      </c>
      <c r="U61" s="15"/>
      <c r="V61" s="15"/>
      <c r="W61" s="2"/>
      <c r="X61" s="2">
        <f t="shared" si="6"/>
        <v>14.054054054054053</v>
      </c>
      <c r="Y61" s="2">
        <f t="shared" si="7"/>
        <v>11.891891891891891</v>
      </c>
      <c r="Z61" s="2">
        <v>8.4</v>
      </c>
      <c r="AA61" s="2">
        <v>12.4</v>
      </c>
      <c r="AB61" s="2">
        <v>9.8000000000000007</v>
      </c>
      <c r="AC61" s="2">
        <v>5.6</v>
      </c>
      <c r="AD61" s="2">
        <v>13.4</v>
      </c>
      <c r="AE61" s="2">
        <v>4.8</v>
      </c>
      <c r="AF61" s="2">
        <v>7</v>
      </c>
      <c r="AG61" s="2">
        <v>13</v>
      </c>
      <c r="AH61" s="2"/>
      <c r="AI61" s="2">
        <f t="shared" si="8"/>
        <v>6.4</v>
      </c>
      <c r="AJ61" s="2">
        <f t="shared" si="9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111</v>
      </c>
      <c r="B62" s="2" t="s">
        <v>39</v>
      </c>
      <c r="C62" s="2">
        <v>40.417000000000002</v>
      </c>
      <c r="D62" s="2"/>
      <c r="E62" s="2">
        <v>12.709</v>
      </c>
      <c r="F62" s="2">
        <v>23.876999999999999</v>
      </c>
      <c r="G62" s="3">
        <v>1</v>
      </c>
      <c r="H62" s="2">
        <v>60</v>
      </c>
      <c r="I62" s="2" t="s">
        <v>37</v>
      </c>
      <c r="J62" s="2"/>
      <c r="K62" s="2">
        <v>15</v>
      </c>
      <c r="L62" s="2">
        <f t="shared" si="18"/>
        <v>-2.2910000000000004</v>
      </c>
      <c r="M62" s="2"/>
      <c r="N62" s="2"/>
      <c r="O62" s="2">
        <v>18</v>
      </c>
      <c r="P62" s="2"/>
      <c r="Q62" s="2">
        <f t="shared" si="4"/>
        <v>2.5417999999999998</v>
      </c>
      <c r="R62" s="15"/>
      <c r="S62" s="15">
        <f t="shared" si="12"/>
        <v>0</v>
      </c>
      <c r="T62" s="15">
        <f t="shared" si="5"/>
        <v>0</v>
      </c>
      <c r="U62" s="15"/>
      <c r="V62" s="15"/>
      <c r="W62" s="2"/>
      <c r="X62" s="2">
        <f t="shared" si="6"/>
        <v>16.475332441576835</v>
      </c>
      <c r="Y62" s="2">
        <f t="shared" si="7"/>
        <v>16.475332441576835</v>
      </c>
      <c r="Z62" s="2">
        <v>4.1840000000000002</v>
      </c>
      <c r="AA62" s="2">
        <v>2.6591999999999998</v>
      </c>
      <c r="AB62" s="2">
        <v>3.8010000000000002</v>
      </c>
      <c r="AC62" s="2">
        <v>6.5679999999999996</v>
      </c>
      <c r="AD62" s="2">
        <v>1.212</v>
      </c>
      <c r="AE62" s="2">
        <v>5.819</v>
      </c>
      <c r="AF62" s="2">
        <v>4.9130000000000003</v>
      </c>
      <c r="AG62" s="2">
        <v>4.2949999999999999</v>
      </c>
      <c r="AH62" s="18" t="s">
        <v>112</v>
      </c>
      <c r="AI62" s="2">
        <f t="shared" si="8"/>
        <v>0</v>
      </c>
      <c r="AJ62" s="2">
        <f t="shared" si="9"/>
        <v>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8" t="s">
        <v>113</v>
      </c>
      <c r="B63" s="8" t="s">
        <v>39</v>
      </c>
      <c r="C63" s="8">
        <v>4.2409999999999997</v>
      </c>
      <c r="D63" s="8"/>
      <c r="E63" s="8"/>
      <c r="F63" s="8">
        <v>4.2409999999999997</v>
      </c>
      <c r="G63" s="9">
        <v>0</v>
      </c>
      <c r="H63" s="8">
        <v>90</v>
      </c>
      <c r="I63" s="8" t="s">
        <v>98</v>
      </c>
      <c r="J63" s="8"/>
      <c r="K63" s="8"/>
      <c r="L63" s="8">
        <f t="shared" si="18"/>
        <v>0</v>
      </c>
      <c r="M63" s="8"/>
      <c r="N63" s="8"/>
      <c r="O63" s="8">
        <v>0</v>
      </c>
      <c r="P63" s="8"/>
      <c r="Q63" s="8">
        <f t="shared" si="4"/>
        <v>0</v>
      </c>
      <c r="R63" s="16"/>
      <c r="S63" s="15">
        <f t="shared" si="12"/>
        <v>0</v>
      </c>
      <c r="T63" s="15">
        <f t="shared" si="5"/>
        <v>0</v>
      </c>
      <c r="U63" s="16"/>
      <c r="V63" s="16"/>
      <c r="W63" s="8"/>
      <c r="X63" s="2" t="e">
        <f t="shared" si="6"/>
        <v>#DIV/0!</v>
      </c>
      <c r="Y63" s="8" t="e">
        <f t="shared" si="7"/>
        <v>#DIV/0!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 t="s">
        <v>114</v>
      </c>
      <c r="AI63" s="2">
        <f t="shared" si="8"/>
        <v>0</v>
      </c>
      <c r="AJ63" s="2">
        <f t="shared" si="9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 t="s">
        <v>115</v>
      </c>
      <c r="B64" s="2" t="s">
        <v>36</v>
      </c>
      <c r="C64" s="2">
        <v>48</v>
      </c>
      <c r="D64" s="2">
        <v>70</v>
      </c>
      <c r="E64" s="2">
        <v>71</v>
      </c>
      <c r="F64" s="2">
        <v>38</v>
      </c>
      <c r="G64" s="3">
        <v>0.25</v>
      </c>
      <c r="H64" s="2">
        <v>120</v>
      </c>
      <c r="I64" s="2" t="s">
        <v>37</v>
      </c>
      <c r="J64" s="2"/>
      <c r="K64" s="2">
        <v>71</v>
      </c>
      <c r="L64" s="2">
        <f t="shared" si="18"/>
        <v>0</v>
      </c>
      <c r="M64" s="2"/>
      <c r="N64" s="2"/>
      <c r="O64" s="2">
        <v>84</v>
      </c>
      <c r="P64" s="2">
        <v>56</v>
      </c>
      <c r="Q64" s="2">
        <f t="shared" si="4"/>
        <v>14.2</v>
      </c>
      <c r="R64" s="15">
        <f t="shared" ref="R64:R67" si="24">14*Q64-P64-O64-F64</f>
        <v>20.799999999999983</v>
      </c>
      <c r="S64" s="15">
        <f t="shared" si="12"/>
        <v>21</v>
      </c>
      <c r="T64" s="15">
        <f t="shared" si="5"/>
        <v>21</v>
      </c>
      <c r="U64" s="15"/>
      <c r="V64" s="15"/>
      <c r="W64" s="2"/>
      <c r="X64" s="2">
        <f t="shared" si="6"/>
        <v>14.014084507042254</v>
      </c>
      <c r="Y64" s="2">
        <f t="shared" si="7"/>
        <v>12.535211267605634</v>
      </c>
      <c r="Z64" s="2">
        <v>18.2</v>
      </c>
      <c r="AA64" s="2">
        <v>14.4</v>
      </c>
      <c r="AB64" s="2">
        <v>13.2</v>
      </c>
      <c r="AC64" s="2">
        <v>18.600000000000001</v>
      </c>
      <c r="AD64" s="2">
        <v>11</v>
      </c>
      <c r="AE64" s="2">
        <v>3</v>
      </c>
      <c r="AF64" s="2">
        <v>0</v>
      </c>
      <c r="AG64" s="2">
        <v>0</v>
      </c>
      <c r="AH64" s="2" t="s">
        <v>68</v>
      </c>
      <c r="AI64" s="2">
        <f t="shared" si="8"/>
        <v>5.25</v>
      </c>
      <c r="AJ64" s="2">
        <f t="shared" si="9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116</v>
      </c>
      <c r="B65" s="2" t="s">
        <v>39</v>
      </c>
      <c r="C65" s="2">
        <v>6.2080000000000002</v>
      </c>
      <c r="D65" s="2">
        <v>0.98699999999999999</v>
      </c>
      <c r="E65" s="2">
        <v>3.8170000000000002</v>
      </c>
      <c r="F65" s="2"/>
      <c r="G65" s="3">
        <v>1</v>
      </c>
      <c r="H65" s="2">
        <v>45</v>
      </c>
      <c r="I65" s="2" t="s">
        <v>37</v>
      </c>
      <c r="J65" s="2"/>
      <c r="K65" s="2">
        <v>9</v>
      </c>
      <c r="L65" s="2">
        <f t="shared" si="18"/>
        <v>-5.1829999999999998</v>
      </c>
      <c r="M65" s="2"/>
      <c r="N65" s="2"/>
      <c r="O65" s="2">
        <v>42</v>
      </c>
      <c r="P65" s="2"/>
      <c r="Q65" s="2">
        <f t="shared" si="4"/>
        <v>0.76340000000000008</v>
      </c>
      <c r="R65" s="15"/>
      <c r="S65" s="15">
        <f t="shared" si="12"/>
        <v>0</v>
      </c>
      <c r="T65" s="15">
        <f t="shared" si="5"/>
        <v>0</v>
      </c>
      <c r="U65" s="15"/>
      <c r="V65" s="15"/>
      <c r="W65" s="2"/>
      <c r="X65" s="2">
        <f t="shared" si="6"/>
        <v>55.017029080429651</v>
      </c>
      <c r="Y65" s="2">
        <f t="shared" si="7"/>
        <v>55.017029080429651</v>
      </c>
      <c r="Z65" s="2">
        <v>4.7972000000000001</v>
      </c>
      <c r="AA65" s="2">
        <v>1.4456</v>
      </c>
      <c r="AB65" s="2">
        <v>2.1696</v>
      </c>
      <c r="AC65" s="2">
        <v>2.21</v>
      </c>
      <c r="AD65" s="2">
        <v>2.3235999999999999</v>
      </c>
      <c r="AE65" s="2">
        <v>1.9046000000000001</v>
      </c>
      <c r="AF65" s="2">
        <v>2.927</v>
      </c>
      <c r="AG65" s="2">
        <v>2.3157999999999999</v>
      </c>
      <c r="AH65" s="2"/>
      <c r="AI65" s="2">
        <f t="shared" si="8"/>
        <v>0</v>
      </c>
      <c r="AJ65" s="2">
        <f t="shared" si="9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117</v>
      </c>
      <c r="B66" s="2" t="s">
        <v>36</v>
      </c>
      <c r="C66" s="2">
        <v>784</v>
      </c>
      <c r="D66" s="2">
        <v>993</v>
      </c>
      <c r="E66" s="2">
        <v>575</v>
      </c>
      <c r="F66" s="2">
        <v>652</v>
      </c>
      <c r="G66" s="3">
        <v>0.41</v>
      </c>
      <c r="H66" s="2">
        <v>50</v>
      </c>
      <c r="I66" s="2" t="s">
        <v>37</v>
      </c>
      <c r="J66" s="2"/>
      <c r="K66" s="2">
        <v>573</v>
      </c>
      <c r="L66" s="2">
        <f t="shared" si="18"/>
        <v>2</v>
      </c>
      <c r="M66" s="2"/>
      <c r="N66" s="2"/>
      <c r="O66" s="2">
        <v>104</v>
      </c>
      <c r="P66" s="2">
        <v>50</v>
      </c>
      <c r="Q66" s="2">
        <f t="shared" si="4"/>
        <v>115</v>
      </c>
      <c r="R66" s="15">
        <f t="shared" si="24"/>
        <v>804</v>
      </c>
      <c r="S66" s="15">
        <f>V66</f>
        <v>900</v>
      </c>
      <c r="T66" s="15">
        <f t="shared" si="5"/>
        <v>450</v>
      </c>
      <c r="U66" s="15">
        <f t="shared" ref="U66:U67" si="25">ROUND(S66/2,0)</f>
        <v>450</v>
      </c>
      <c r="V66" s="15">
        <v>900</v>
      </c>
      <c r="W66" s="2"/>
      <c r="X66" s="2">
        <f t="shared" si="6"/>
        <v>14.834782608695653</v>
      </c>
      <c r="Y66" s="2">
        <f t="shared" si="7"/>
        <v>7.0086956521739134</v>
      </c>
      <c r="Z66" s="2">
        <v>101</v>
      </c>
      <c r="AA66" s="2">
        <v>108</v>
      </c>
      <c r="AB66" s="2">
        <v>130.4</v>
      </c>
      <c r="AC66" s="2">
        <v>128</v>
      </c>
      <c r="AD66" s="2">
        <v>126.2</v>
      </c>
      <c r="AE66" s="2">
        <v>122</v>
      </c>
      <c r="AF66" s="2">
        <v>106.4</v>
      </c>
      <c r="AG66" s="2">
        <v>157.6</v>
      </c>
      <c r="AH66" s="2"/>
      <c r="AI66" s="2">
        <f t="shared" si="8"/>
        <v>184.5</v>
      </c>
      <c r="AJ66" s="2">
        <f t="shared" si="9"/>
        <v>184.5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 t="s">
        <v>118</v>
      </c>
      <c r="B67" s="2" t="s">
        <v>39</v>
      </c>
      <c r="C67" s="2">
        <v>159.93299999999999</v>
      </c>
      <c r="D67" s="2">
        <v>55.402999999999999</v>
      </c>
      <c r="E67" s="2">
        <v>111.59699999999999</v>
      </c>
      <c r="F67" s="2">
        <v>59.110999999999997</v>
      </c>
      <c r="G67" s="3">
        <v>1</v>
      </c>
      <c r="H67" s="2">
        <v>50</v>
      </c>
      <c r="I67" s="2" t="s">
        <v>37</v>
      </c>
      <c r="J67" s="2"/>
      <c r="K67" s="2">
        <v>112.5</v>
      </c>
      <c r="L67" s="2">
        <f t="shared" ref="L67:L94" si="26">E67-K67</f>
        <v>-0.9030000000000058</v>
      </c>
      <c r="M67" s="2"/>
      <c r="N67" s="2"/>
      <c r="O67" s="2">
        <v>84</v>
      </c>
      <c r="P67" s="2">
        <v>40</v>
      </c>
      <c r="Q67" s="2">
        <f t="shared" si="4"/>
        <v>22.319399999999998</v>
      </c>
      <c r="R67" s="15">
        <f t="shared" si="24"/>
        <v>129.36059999999998</v>
      </c>
      <c r="S67" s="15">
        <f t="shared" si="12"/>
        <v>129</v>
      </c>
      <c r="T67" s="15">
        <f t="shared" si="5"/>
        <v>64</v>
      </c>
      <c r="U67" s="15">
        <f t="shared" si="25"/>
        <v>65</v>
      </c>
      <c r="V67" s="15"/>
      <c r="W67" s="2"/>
      <c r="X67" s="2">
        <f t="shared" si="6"/>
        <v>13.983843651711068</v>
      </c>
      <c r="Y67" s="2">
        <f t="shared" si="7"/>
        <v>8.2041183902793087</v>
      </c>
      <c r="Z67" s="2">
        <v>21.602599999999999</v>
      </c>
      <c r="AA67" s="2">
        <v>19.901</v>
      </c>
      <c r="AB67" s="2">
        <v>22.6404</v>
      </c>
      <c r="AC67" s="2">
        <v>21.871200000000002</v>
      </c>
      <c r="AD67" s="2">
        <v>21.9284</v>
      </c>
      <c r="AE67" s="2">
        <v>24.188800000000001</v>
      </c>
      <c r="AF67" s="2">
        <v>14.865399999999999</v>
      </c>
      <c r="AG67" s="2">
        <v>27.009</v>
      </c>
      <c r="AH67" s="2"/>
      <c r="AI67" s="2">
        <f t="shared" si="8"/>
        <v>64</v>
      </c>
      <c r="AJ67" s="2">
        <f t="shared" si="9"/>
        <v>65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119</v>
      </c>
      <c r="B68" s="2" t="s">
        <v>36</v>
      </c>
      <c r="C68" s="2">
        <v>406</v>
      </c>
      <c r="D68" s="2">
        <v>16</v>
      </c>
      <c r="E68" s="2">
        <v>131</v>
      </c>
      <c r="F68" s="2">
        <v>265</v>
      </c>
      <c r="G68" s="3">
        <v>0.35</v>
      </c>
      <c r="H68" s="2">
        <v>50</v>
      </c>
      <c r="I68" s="2" t="s">
        <v>37</v>
      </c>
      <c r="J68" s="2"/>
      <c r="K68" s="2">
        <v>132</v>
      </c>
      <c r="L68" s="2">
        <f t="shared" si="26"/>
        <v>-1</v>
      </c>
      <c r="M68" s="2"/>
      <c r="N68" s="2"/>
      <c r="O68" s="2">
        <v>96</v>
      </c>
      <c r="P68" s="2">
        <v>50</v>
      </c>
      <c r="Q68" s="2">
        <f t="shared" ref="Q68:Q94" si="27">E68/5</f>
        <v>26.2</v>
      </c>
      <c r="R68" s="15"/>
      <c r="S68" s="15">
        <f t="shared" si="12"/>
        <v>0</v>
      </c>
      <c r="T68" s="15">
        <f t="shared" si="5"/>
        <v>0</v>
      </c>
      <c r="U68" s="15"/>
      <c r="V68" s="15"/>
      <c r="W68" s="2"/>
      <c r="X68" s="2">
        <f t="shared" si="6"/>
        <v>15.68702290076336</v>
      </c>
      <c r="Y68" s="2">
        <f t="shared" ref="Y68:Y94" si="28">(F68+O68+P68)/Q68</f>
        <v>15.68702290076336</v>
      </c>
      <c r="Z68" s="2">
        <v>39.4</v>
      </c>
      <c r="AA68" s="2">
        <v>27.8</v>
      </c>
      <c r="AB68" s="2">
        <v>49.8</v>
      </c>
      <c r="AC68" s="2">
        <v>27.6</v>
      </c>
      <c r="AD68" s="2">
        <v>41.6</v>
      </c>
      <c r="AE68" s="2">
        <v>42.2</v>
      </c>
      <c r="AF68" s="2">
        <v>21.8</v>
      </c>
      <c r="AG68" s="2">
        <v>42.8</v>
      </c>
      <c r="AH68" s="2"/>
      <c r="AI68" s="2">
        <f t="shared" si="8"/>
        <v>0</v>
      </c>
      <c r="AJ68" s="2">
        <f t="shared" si="9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120</v>
      </c>
      <c r="B69" s="2" t="s">
        <v>39</v>
      </c>
      <c r="C69" s="2">
        <v>27.748999999999999</v>
      </c>
      <c r="D69" s="2"/>
      <c r="E69" s="2">
        <v>7.6879999999999997</v>
      </c>
      <c r="F69" s="2">
        <v>20.061</v>
      </c>
      <c r="G69" s="3">
        <v>1</v>
      </c>
      <c r="H69" s="2">
        <v>50</v>
      </c>
      <c r="I69" s="2" t="s">
        <v>37</v>
      </c>
      <c r="J69" s="2"/>
      <c r="K69" s="2">
        <v>7.5</v>
      </c>
      <c r="L69" s="2">
        <f t="shared" si="26"/>
        <v>0.18799999999999972</v>
      </c>
      <c r="M69" s="2"/>
      <c r="N69" s="2"/>
      <c r="O69" s="2">
        <v>0</v>
      </c>
      <c r="P69" s="2"/>
      <c r="Q69" s="2">
        <f t="shared" si="27"/>
        <v>1.5375999999999999</v>
      </c>
      <c r="R69" s="15"/>
      <c r="S69" s="15">
        <f t="shared" si="12"/>
        <v>0</v>
      </c>
      <c r="T69" s="15">
        <f t="shared" si="5"/>
        <v>0</v>
      </c>
      <c r="U69" s="15"/>
      <c r="V69" s="15"/>
      <c r="W69" s="2"/>
      <c r="X69" s="2">
        <f t="shared" si="6"/>
        <v>13.046956295525495</v>
      </c>
      <c r="Y69" s="2">
        <f t="shared" si="28"/>
        <v>13.046956295525495</v>
      </c>
      <c r="Z69" s="2">
        <v>0.30819999999999997</v>
      </c>
      <c r="AA69" s="2">
        <v>0.93479999999999996</v>
      </c>
      <c r="AB69" s="2">
        <v>0</v>
      </c>
      <c r="AC69" s="2">
        <v>0.31459999999999999</v>
      </c>
      <c r="AD69" s="2">
        <v>3.1534</v>
      </c>
      <c r="AE69" s="2">
        <v>1.2587999999999999</v>
      </c>
      <c r="AF69" s="2">
        <v>0.62360000000000004</v>
      </c>
      <c r="AG69" s="2">
        <v>0.93240000000000001</v>
      </c>
      <c r="AH69" s="17" t="s">
        <v>40</v>
      </c>
      <c r="AI69" s="2">
        <f t="shared" si="8"/>
        <v>0</v>
      </c>
      <c r="AJ69" s="2">
        <f t="shared" si="9"/>
        <v>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8" t="s">
        <v>121</v>
      </c>
      <c r="B70" s="8" t="s">
        <v>36</v>
      </c>
      <c r="C70" s="8">
        <v>418</v>
      </c>
      <c r="D70" s="8">
        <v>40</v>
      </c>
      <c r="E70" s="8">
        <v>367</v>
      </c>
      <c r="F70" s="8">
        <v>40</v>
      </c>
      <c r="G70" s="9">
        <v>0</v>
      </c>
      <c r="H70" s="8">
        <v>50</v>
      </c>
      <c r="I70" s="8" t="s">
        <v>57</v>
      </c>
      <c r="J70" s="8"/>
      <c r="K70" s="8">
        <v>405</v>
      </c>
      <c r="L70" s="8">
        <f t="shared" si="26"/>
        <v>-38</v>
      </c>
      <c r="M70" s="8"/>
      <c r="N70" s="8"/>
      <c r="O70" s="8">
        <v>0</v>
      </c>
      <c r="P70" s="8"/>
      <c r="Q70" s="8">
        <f t="shared" si="27"/>
        <v>73.400000000000006</v>
      </c>
      <c r="R70" s="16"/>
      <c r="S70" s="15">
        <f t="shared" si="12"/>
        <v>0</v>
      </c>
      <c r="T70" s="15">
        <f t="shared" si="5"/>
        <v>0</v>
      </c>
      <c r="U70" s="16"/>
      <c r="V70" s="16"/>
      <c r="W70" s="8"/>
      <c r="X70" s="2">
        <f t="shared" si="6"/>
        <v>0.54495912806539504</v>
      </c>
      <c r="Y70" s="8">
        <f t="shared" si="28"/>
        <v>0.54495912806539504</v>
      </c>
      <c r="Z70" s="8">
        <v>85.4</v>
      </c>
      <c r="AA70" s="8">
        <v>94.6</v>
      </c>
      <c r="AB70" s="8">
        <v>116.2</v>
      </c>
      <c r="AC70" s="8">
        <v>93.6</v>
      </c>
      <c r="AD70" s="8">
        <v>72.2</v>
      </c>
      <c r="AE70" s="8">
        <v>112.6</v>
      </c>
      <c r="AF70" s="8">
        <v>96.2</v>
      </c>
      <c r="AG70" s="8">
        <v>85.2</v>
      </c>
      <c r="AH70" s="8" t="s">
        <v>122</v>
      </c>
      <c r="AI70" s="2">
        <f t="shared" si="8"/>
        <v>0</v>
      </c>
      <c r="AJ70" s="2">
        <f t="shared" si="9"/>
        <v>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123</v>
      </c>
      <c r="B71" s="2" t="s">
        <v>36</v>
      </c>
      <c r="C71" s="2">
        <v>809</v>
      </c>
      <c r="D71" s="2">
        <v>1082</v>
      </c>
      <c r="E71" s="2">
        <v>528</v>
      </c>
      <c r="F71" s="2">
        <v>737</v>
      </c>
      <c r="G71" s="3">
        <v>0.41</v>
      </c>
      <c r="H71" s="2">
        <v>50</v>
      </c>
      <c r="I71" s="2" t="s">
        <v>37</v>
      </c>
      <c r="J71" s="2"/>
      <c r="K71" s="2">
        <v>541</v>
      </c>
      <c r="L71" s="2">
        <f t="shared" si="26"/>
        <v>-13</v>
      </c>
      <c r="M71" s="2"/>
      <c r="N71" s="2"/>
      <c r="O71" s="2">
        <v>100</v>
      </c>
      <c r="P71" s="2">
        <v>120</v>
      </c>
      <c r="Q71" s="2">
        <f t="shared" si="27"/>
        <v>105.6</v>
      </c>
      <c r="R71" s="15">
        <f t="shared" ref="R71:R93" si="29">14*Q71-P71-O71-F71</f>
        <v>521.39999999999986</v>
      </c>
      <c r="S71" s="15">
        <f>V71</f>
        <v>720</v>
      </c>
      <c r="T71" s="15">
        <f t="shared" ref="T71:T94" si="30">S71-U71</f>
        <v>300</v>
      </c>
      <c r="U71" s="15">
        <v>420</v>
      </c>
      <c r="V71" s="15">
        <v>720</v>
      </c>
      <c r="W71" s="2"/>
      <c r="X71" s="2">
        <f t="shared" ref="X71:X94" si="31">(F71+O71+P71+S71)/Q71</f>
        <v>15.880681818181818</v>
      </c>
      <c r="Y71" s="2">
        <f t="shared" si="28"/>
        <v>9.0625</v>
      </c>
      <c r="Z71" s="2">
        <v>106.6</v>
      </c>
      <c r="AA71" s="2">
        <v>113</v>
      </c>
      <c r="AB71" s="2">
        <v>118</v>
      </c>
      <c r="AC71" s="2">
        <v>129</v>
      </c>
      <c r="AD71" s="2">
        <v>101.8</v>
      </c>
      <c r="AE71" s="2">
        <v>142.19999999999999</v>
      </c>
      <c r="AF71" s="2">
        <v>103.4</v>
      </c>
      <c r="AG71" s="2">
        <v>101</v>
      </c>
      <c r="AH71" s="2"/>
      <c r="AI71" s="2">
        <f t="shared" ref="AI71:AI94" si="32">G71*T71</f>
        <v>122.99999999999999</v>
      </c>
      <c r="AJ71" s="2">
        <f t="shared" ref="AJ71:AJ94" si="33">G71*U71</f>
        <v>172.2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124</v>
      </c>
      <c r="B72" s="2" t="s">
        <v>39</v>
      </c>
      <c r="C72" s="2">
        <v>98.052000000000007</v>
      </c>
      <c r="D72" s="2">
        <v>12.61</v>
      </c>
      <c r="E72" s="2">
        <v>71.668999999999997</v>
      </c>
      <c r="F72" s="2">
        <v>29.591999999999999</v>
      </c>
      <c r="G72" s="3">
        <v>1</v>
      </c>
      <c r="H72" s="2">
        <v>50</v>
      </c>
      <c r="I72" s="2" t="s">
        <v>37</v>
      </c>
      <c r="J72" s="2"/>
      <c r="K72" s="2">
        <v>69</v>
      </c>
      <c r="L72" s="2">
        <f t="shared" si="26"/>
        <v>2.6689999999999969</v>
      </c>
      <c r="M72" s="2"/>
      <c r="N72" s="2"/>
      <c r="O72" s="2">
        <v>0</v>
      </c>
      <c r="P72" s="2"/>
      <c r="Q72" s="2">
        <f t="shared" si="27"/>
        <v>14.3338</v>
      </c>
      <c r="R72" s="15">
        <f>11*Q72-P72-O72-F72</f>
        <v>128.07979999999998</v>
      </c>
      <c r="S72" s="15">
        <f t="shared" ref="S72:S94" si="34">ROUND(R72,0)</f>
        <v>128</v>
      </c>
      <c r="T72" s="15">
        <f t="shared" si="30"/>
        <v>64</v>
      </c>
      <c r="U72" s="15">
        <f t="shared" ref="U72" si="35">ROUND(S72/2,0)</f>
        <v>64</v>
      </c>
      <c r="V72" s="15"/>
      <c r="W72" s="2"/>
      <c r="X72" s="2">
        <f t="shared" si="31"/>
        <v>10.994432739399182</v>
      </c>
      <c r="Y72" s="2">
        <f t="shared" si="28"/>
        <v>2.0644909235513262</v>
      </c>
      <c r="Z72" s="2">
        <v>5.3175999999999997</v>
      </c>
      <c r="AA72" s="2">
        <v>9.1166</v>
      </c>
      <c r="AB72" s="2">
        <v>13.212199999999999</v>
      </c>
      <c r="AC72" s="2">
        <v>6.9032</v>
      </c>
      <c r="AD72" s="2">
        <v>9.7669999999999995</v>
      </c>
      <c r="AE72" s="2">
        <v>14.1866</v>
      </c>
      <c r="AF72" s="2">
        <v>10.6784</v>
      </c>
      <c r="AG72" s="2">
        <v>12.555999999999999</v>
      </c>
      <c r="AH72" s="2"/>
      <c r="AI72" s="2">
        <f t="shared" si="32"/>
        <v>64</v>
      </c>
      <c r="AJ72" s="2">
        <f t="shared" si="33"/>
        <v>64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125</v>
      </c>
      <c r="B73" s="2" t="s">
        <v>36</v>
      </c>
      <c r="C73" s="2">
        <v>30</v>
      </c>
      <c r="D73" s="2">
        <v>99</v>
      </c>
      <c r="E73" s="2">
        <v>30</v>
      </c>
      <c r="F73" s="2">
        <v>94</v>
      </c>
      <c r="G73" s="3">
        <v>0.3</v>
      </c>
      <c r="H73" s="2">
        <v>50</v>
      </c>
      <c r="I73" s="2" t="s">
        <v>37</v>
      </c>
      <c r="J73" s="2"/>
      <c r="K73" s="2">
        <v>39</v>
      </c>
      <c r="L73" s="2">
        <f t="shared" si="26"/>
        <v>-9</v>
      </c>
      <c r="M73" s="2"/>
      <c r="N73" s="2"/>
      <c r="O73" s="2">
        <v>0</v>
      </c>
      <c r="P73" s="2"/>
      <c r="Q73" s="2">
        <f t="shared" si="27"/>
        <v>6</v>
      </c>
      <c r="R73" s="15"/>
      <c r="S73" s="15">
        <f t="shared" si="34"/>
        <v>0</v>
      </c>
      <c r="T73" s="15">
        <f t="shared" si="30"/>
        <v>0</v>
      </c>
      <c r="U73" s="15"/>
      <c r="V73" s="15"/>
      <c r="W73" s="2"/>
      <c r="X73" s="2">
        <f t="shared" si="31"/>
        <v>15.666666666666666</v>
      </c>
      <c r="Y73" s="2">
        <f t="shared" si="28"/>
        <v>15.666666666666666</v>
      </c>
      <c r="Z73" s="2">
        <v>8.8000000000000007</v>
      </c>
      <c r="AA73" s="2">
        <v>12.4</v>
      </c>
      <c r="AB73" s="2">
        <v>8.1999999999999993</v>
      </c>
      <c r="AC73" s="2">
        <v>13.2</v>
      </c>
      <c r="AD73" s="2">
        <v>12.4</v>
      </c>
      <c r="AE73" s="2">
        <v>8.6</v>
      </c>
      <c r="AF73" s="2">
        <v>-0.6</v>
      </c>
      <c r="AG73" s="2">
        <v>16</v>
      </c>
      <c r="AH73" s="2" t="s">
        <v>126</v>
      </c>
      <c r="AI73" s="2">
        <f t="shared" si="32"/>
        <v>0</v>
      </c>
      <c r="AJ73" s="2">
        <f t="shared" si="33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127</v>
      </c>
      <c r="B74" s="2" t="s">
        <v>36</v>
      </c>
      <c r="C74" s="2">
        <v>26</v>
      </c>
      <c r="D74" s="2">
        <v>3</v>
      </c>
      <c r="E74" s="2">
        <v>-1</v>
      </c>
      <c r="F74" s="2">
        <v>18</v>
      </c>
      <c r="G74" s="3">
        <v>0.14000000000000001</v>
      </c>
      <c r="H74" s="2">
        <v>50</v>
      </c>
      <c r="I74" s="2" t="s">
        <v>37</v>
      </c>
      <c r="J74" s="2"/>
      <c r="K74" s="2">
        <v>9</v>
      </c>
      <c r="L74" s="2">
        <f t="shared" si="26"/>
        <v>-10</v>
      </c>
      <c r="M74" s="2"/>
      <c r="N74" s="2"/>
      <c r="O74" s="2">
        <v>65</v>
      </c>
      <c r="P74" s="2"/>
      <c r="Q74" s="2">
        <f t="shared" si="27"/>
        <v>-0.2</v>
      </c>
      <c r="R74" s="15"/>
      <c r="S74" s="15">
        <f t="shared" si="34"/>
        <v>0</v>
      </c>
      <c r="T74" s="15">
        <f t="shared" si="30"/>
        <v>0</v>
      </c>
      <c r="U74" s="15"/>
      <c r="V74" s="15"/>
      <c r="W74" s="2"/>
      <c r="X74" s="2">
        <f t="shared" si="31"/>
        <v>-415</v>
      </c>
      <c r="Y74" s="2">
        <f t="shared" si="28"/>
        <v>-415</v>
      </c>
      <c r="Z74" s="2">
        <v>5.8</v>
      </c>
      <c r="AA74" s="2">
        <v>2.4</v>
      </c>
      <c r="AB74" s="2">
        <v>5.8</v>
      </c>
      <c r="AC74" s="2">
        <v>8.4</v>
      </c>
      <c r="AD74" s="2">
        <v>6.8</v>
      </c>
      <c r="AE74" s="2">
        <v>4.4000000000000004</v>
      </c>
      <c r="AF74" s="2">
        <v>6.8</v>
      </c>
      <c r="AG74" s="2">
        <v>11.6</v>
      </c>
      <c r="AH74" s="19" t="s">
        <v>80</v>
      </c>
      <c r="AI74" s="2">
        <f t="shared" si="32"/>
        <v>0</v>
      </c>
      <c r="AJ74" s="2">
        <f t="shared" si="33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128</v>
      </c>
      <c r="B75" s="2" t="s">
        <v>36</v>
      </c>
      <c r="C75" s="2">
        <v>110</v>
      </c>
      <c r="D75" s="2">
        <v>94</v>
      </c>
      <c r="E75" s="2">
        <v>71</v>
      </c>
      <c r="F75" s="2">
        <v>62</v>
      </c>
      <c r="G75" s="3">
        <v>0.18</v>
      </c>
      <c r="H75" s="2">
        <v>50</v>
      </c>
      <c r="I75" s="2" t="s">
        <v>37</v>
      </c>
      <c r="J75" s="2"/>
      <c r="K75" s="2">
        <v>82</v>
      </c>
      <c r="L75" s="2">
        <f t="shared" si="26"/>
        <v>-11</v>
      </c>
      <c r="M75" s="2"/>
      <c r="N75" s="2"/>
      <c r="O75" s="2">
        <v>3</v>
      </c>
      <c r="P75" s="2"/>
      <c r="Q75" s="2">
        <f t="shared" si="27"/>
        <v>14.2</v>
      </c>
      <c r="R75" s="15">
        <f t="shared" si="29"/>
        <v>133.79999999999998</v>
      </c>
      <c r="S75" s="15">
        <f t="shared" si="34"/>
        <v>134</v>
      </c>
      <c r="T75" s="15">
        <f t="shared" si="30"/>
        <v>67</v>
      </c>
      <c r="U75" s="15">
        <f>ROUND(S75/2,0)</f>
        <v>67</v>
      </c>
      <c r="V75" s="15"/>
      <c r="W75" s="2"/>
      <c r="X75" s="2">
        <f t="shared" si="31"/>
        <v>14.014084507042254</v>
      </c>
      <c r="Y75" s="2">
        <f t="shared" si="28"/>
        <v>4.5774647887323949</v>
      </c>
      <c r="Z75" s="2">
        <v>11</v>
      </c>
      <c r="AA75" s="2">
        <v>15.2</v>
      </c>
      <c r="AB75" s="2">
        <v>18.8</v>
      </c>
      <c r="AC75" s="2">
        <v>22.6</v>
      </c>
      <c r="AD75" s="2">
        <v>8</v>
      </c>
      <c r="AE75" s="2">
        <v>23.2</v>
      </c>
      <c r="AF75" s="2">
        <v>12.8</v>
      </c>
      <c r="AG75" s="2">
        <v>25</v>
      </c>
      <c r="AH75" s="2"/>
      <c r="AI75" s="2">
        <f t="shared" si="32"/>
        <v>12.059999999999999</v>
      </c>
      <c r="AJ75" s="2">
        <f t="shared" si="33"/>
        <v>12.059999999999999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129</v>
      </c>
      <c r="B76" s="2" t="s">
        <v>39</v>
      </c>
      <c r="C76" s="2">
        <v>30.366</v>
      </c>
      <c r="D76" s="2">
        <v>38.984000000000002</v>
      </c>
      <c r="E76" s="2">
        <v>27.001000000000001</v>
      </c>
      <c r="F76" s="2">
        <v>25.547000000000001</v>
      </c>
      <c r="G76" s="3">
        <v>1</v>
      </c>
      <c r="H76" s="2">
        <v>45</v>
      </c>
      <c r="I76" s="2" t="s">
        <v>37</v>
      </c>
      <c r="J76" s="2"/>
      <c r="K76" s="2">
        <v>25.9</v>
      </c>
      <c r="L76" s="2">
        <f t="shared" si="26"/>
        <v>1.1010000000000026</v>
      </c>
      <c r="M76" s="2"/>
      <c r="N76" s="2"/>
      <c r="O76" s="2">
        <v>0</v>
      </c>
      <c r="P76" s="2"/>
      <c r="Q76" s="2">
        <f t="shared" si="27"/>
        <v>5.4001999999999999</v>
      </c>
      <c r="R76" s="15">
        <f t="shared" si="29"/>
        <v>50.055800000000005</v>
      </c>
      <c r="S76" s="15">
        <f t="shared" si="34"/>
        <v>50</v>
      </c>
      <c r="T76" s="15">
        <f t="shared" si="30"/>
        <v>50</v>
      </c>
      <c r="U76" s="15"/>
      <c r="V76" s="15"/>
      <c r="W76" s="2"/>
      <c r="X76" s="2">
        <f t="shared" si="31"/>
        <v>13.989667049368542</v>
      </c>
      <c r="Y76" s="2">
        <f t="shared" si="28"/>
        <v>4.7307507129365582</v>
      </c>
      <c r="Z76" s="2">
        <v>3.7056</v>
      </c>
      <c r="AA76" s="2">
        <v>5.2458</v>
      </c>
      <c r="AB76" s="2">
        <v>5.1138000000000003</v>
      </c>
      <c r="AC76" s="2">
        <v>0.16800000000000001</v>
      </c>
      <c r="AD76" s="2">
        <v>3.0457999999999998</v>
      </c>
      <c r="AE76" s="2">
        <v>4.7384000000000004</v>
      </c>
      <c r="AF76" s="2">
        <v>1.3360000000000001</v>
      </c>
      <c r="AG76" s="2">
        <v>2.5169999999999999</v>
      </c>
      <c r="AH76" s="2"/>
      <c r="AI76" s="2">
        <f t="shared" si="32"/>
        <v>50</v>
      </c>
      <c r="AJ76" s="2">
        <f t="shared" si="33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130</v>
      </c>
      <c r="B77" s="2" t="s">
        <v>36</v>
      </c>
      <c r="C77" s="2">
        <v>22</v>
      </c>
      <c r="D77" s="2">
        <v>6</v>
      </c>
      <c r="E77" s="2">
        <v>2</v>
      </c>
      <c r="F77" s="2">
        <v>19</v>
      </c>
      <c r="G77" s="3">
        <v>0.22</v>
      </c>
      <c r="H77" s="2">
        <v>120</v>
      </c>
      <c r="I77" s="2" t="s">
        <v>37</v>
      </c>
      <c r="J77" s="2"/>
      <c r="K77" s="2">
        <v>3</v>
      </c>
      <c r="L77" s="2">
        <f t="shared" si="26"/>
        <v>-1</v>
      </c>
      <c r="M77" s="2"/>
      <c r="N77" s="2"/>
      <c r="O77" s="2">
        <v>6</v>
      </c>
      <c r="P77" s="2"/>
      <c r="Q77" s="2">
        <f t="shared" si="27"/>
        <v>0.4</v>
      </c>
      <c r="R77" s="15"/>
      <c r="S77" s="15">
        <f t="shared" si="34"/>
        <v>0</v>
      </c>
      <c r="T77" s="15">
        <f t="shared" si="30"/>
        <v>0</v>
      </c>
      <c r="U77" s="15"/>
      <c r="V77" s="15"/>
      <c r="W77" s="2"/>
      <c r="X77" s="2">
        <f t="shared" si="31"/>
        <v>62.5</v>
      </c>
      <c r="Y77" s="2">
        <f t="shared" si="28"/>
        <v>62.5</v>
      </c>
      <c r="Z77" s="2">
        <v>2</v>
      </c>
      <c r="AA77" s="2">
        <v>0</v>
      </c>
      <c r="AB77" s="2">
        <v>0</v>
      </c>
      <c r="AC77" s="2">
        <v>0</v>
      </c>
      <c r="AD77" s="2">
        <v>0</v>
      </c>
      <c r="AE77" s="2">
        <v>-0.6</v>
      </c>
      <c r="AF77" s="2">
        <v>0</v>
      </c>
      <c r="AG77" s="2">
        <v>1.4</v>
      </c>
      <c r="AH77" s="19" t="s">
        <v>80</v>
      </c>
      <c r="AI77" s="2">
        <f t="shared" si="32"/>
        <v>0</v>
      </c>
      <c r="AJ77" s="2">
        <f t="shared" si="33"/>
        <v>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131</v>
      </c>
      <c r="B78" s="2" t="s">
        <v>36</v>
      </c>
      <c r="C78" s="2">
        <v>1</v>
      </c>
      <c r="D78" s="2"/>
      <c r="E78" s="2"/>
      <c r="F78" s="2">
        <v>1</v>
      </c>
      <c r="G78" s="3">
        <v>0.84</v>
      </c>
      <c r="H78" s="2">
        <v>50</v>
      </c>
      <c r="I78" s="2" t="s">
        <v>37</v>
      </c>
      <c r="J78" s="2"/>
      <c r="K78" s="2"/>
      <c r="L78" s="2">
        <f t="shared" si="26"/>
        <v>0</v>
      </c>
      <c r="M78" s="2"/>
      <c r="N78" s="2"/>
      <c r="O78" s="2">
        <v>8</v>
      </c>
      <c r="P78" s="2"/>
      <c r="Q78" s="2">
        <f t="shared" si="27"/>
        <v>0</v>
      </c>
      <c r="R78" s="15">
        <v>8</v>
      </c>
      <c r="S78" s="15">
        <f t="shared" si="34"/>
        <v>8</v>
      </c>
      <c r="T78" s="15">
        <f t="shared" si="30"/>
        <v>8</v>
      </c>
      <c r="U78" s="15"/>
      <c r="V78" s="15"/>
      <c r="W78" s="2"/>
      <c r="X78" s="2" t="e">
        <f t="shared" si="31"/>
        <v>#DIV/0!</v>
      </c>
      <c r="Y78" s="2" t="e">
        <f t="shared" si="28"/>
        <v>#DIV/0!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 t="s">
        <v>132</v>
      </c>
      <c r="AI78" s="2">
        <f t="shared" si="32"/>
        <v>6.72</v>
      </c>
      <c r="AJ78" s="2">
        <f t="shared" si="33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133</v>
      </c>
      <c r="B79" s="2" t="s">
        <v>36</v>
      </c>
      <c r="C79" s="2">
        <v>581</v>
      </c>
      <c r="D79" s="2">
        <v>354</v>
      </c>
      <c r="E79" s="2">
        <v>376</v>
      </c>
      <c r="F79" s="2">
        <v>186</v>
      </c>
      <c r="G79" s="3">
        <v>0.35</v>
      </c>
      <c r="H79" s="2">
        <v>50</v>
      </c>
      <c r="I79" s="2" t="s">
        <v>37</v>
      </c>
      <c r="J79" s="2"/>
      <c r="K79" s="2">
        <v>378</v>
      </c>
      <c r="L79" s="2">
        <f t="shared" si="26"/>
        <v>-2</v>
      </c>
      <c r="M79" s="2"/>
      <c r="N79" s="2"/>
      <c r="O79" s="2">
        <v>270</v>
      </c>
      <c r="P79" s="2">
        <v>200</v>
      </c>
      <c r="Q79" s="2">
        <f t="shared" si="27"/>
        <v>75.2</v>
      </c>
      <c r="R79" s="15">
        <f t="shared" si="29"/>
        <v>396.79999999999995</v>
      </c>
      <c r="S79" s="15">
        <f t="shared" si="34"/>
        <v>397</v>
      </c>
      <c r="T79" s="15">
        <f t="shared" si="30"/>
        <v>177</v>
      </c>
      <c r="U79" s="15">
        <v>220</v>
      </c>
      <c r="V79" s="15"/>
      <c r="W79" s="2"/>
      <c r="X79" s="2">
        <f t="shared" si="31"/>
        <v>14.002659574468085</v>
      </c>
      <c r="Y79" s="2">
        <f t="shared" si="28"/>
        <v>8.7234042553191493</v>
      </c>
      <c r="Z79" s="2">
        <v>69.599999999999994</v>
      </c>
      <c r="AA79" s="2">
        <v>60.2</v>
      </c>
      <c r="AB79" s="2">
        <v>80.599999999999994</v>
      </c>
      <c r="AC79" s="2">
        <v>76.8</v>
      </c>
      <c r="AD79" s="2">
        <v>31.6</v>
      </c>
      <c r="AE79" s="2">
        <v>68.400000000000006</v>
      </c>
      <c r="AF79" s="2">
        <v>63.2</v>
      </c>
      <c r="AG79" s="2">
        <v>47.4</v>
      </c>
      <c r="AH79" s="2"/>
      <c r="AI79" s="2">
        <f t="shared" si="32"/>
        <v>61.949999999999996</v>
      </c>
      <c r="AJ79" s="2">
        <f t="shared" si="33"/>
        <v>77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134</v>
      </c>
      <c r="B80" s="2" t="s">
        <v>39</v>
      </c>
      <c r="C80" s="2">
        <v>1.345</v>
      </c>
      <c r="D80" s="2">
        <v>6.4000000000000001E-2</v>
      </c>
      <c r="E80" s="2">
        <v>1.409</v>
      </c>
      <c r="F80" s="2"/>
      <c r="G80" s="3">
        <v>1</v>
      </c>
      <c r="H80" s="2">
        <v>50</v>
      </c>
      <c r="I80" s="2" t="s">
        <v>37</v>
      </c>
      <c r="J80" s="2"/>
      <c r="K80" s="2">
        <v>5</v>
      </c>
      <c r="L80" s="2">
        <f t="shared" si="26"/>
        <v>-3.5910000000000002</v>
      </c>
      <c r="M80" s="2"/>
      <c r="N80" s="2"/>
      <c r="O80" s="2">
        <v>18</v>
      </c>
      <c r="P80" s="2"/>
      <c r="Q80" s="2">
        <f t="shared" si="27"/>
        <v>0.28179999999999999</v>
      </c>
      <c r="R80" s="15">
        <v>8</v>
      </c>
      <c r="S80" s="15">
        <f t="shared" si="34"/>
        <v>8</v>
      </c>
      <c r="T80" s="15">
        <f t="shared" si="30"/>
        <v>8</v>
      </c>
      <c r="U80" s="15"/>
      <c r="V80" s="15"/>
      <c r="W80" s="2"/>
      <c r="X80" s="2">
        <f t="shared" si="31"/>
        <v>92.264017033356993</v>
      </c>
      <c r="Y80" s="2">
        <f t="shared" si="28"/>
        <v>63.875088715400992</v>
      </c>
      <c r="Z80" s="2">
        <v>1.9588000000000001</v>
      </c>
      <c r="AA80" s="2">
        <v>0</v>
      </c>
      <c r="AB80" s="2">
        <v>0</v>
      </c>
      <c r="AC80" s="2">
        <v>11.215</v>
      </c>
      <c r="AD80" s="2">
        <v>0</v>
      </c>
      <c r="AE80" s="2">
        <v>0</v>
      </c>
      <c r="AF80" s="2">
        <v>0</v>
      </c>
      <c r="AG80" s="2">
        <v>0</v>
      </c>
      <c r="AH80" s="2" t="s">
        <v>68</v>
      </c>
      <c r="AI80" s="2">
        <f t="shared" si="32"/>
        <v>8</v>
      </c>
      <c r="AJ80" s="2">
        <f t="shared" si="33"/>
        <v>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135</v>
      </c>
      <c r="B81" s="2" t="s">
        <v>39</v>
      </c>
      <c r="C81" s="2">
        <v>187.042</v>
      </c>
      <c r="D81" s="2">
        <v>273.089</v>
      </c>
      <c r="E81" s="2">
        <v>204.684</v>
      </c>
      <c r="F81" s="2">
        <v>237.321</v>
      </c>
      <c r="G81" s="3">
        <v>1</v>
      </c>
      <c r="H81" s="2">
        <v>50</v>
      </c>
      <c r="I81" s="2" t="s">
        <v>37</v>
      </c>
      <c r="J81" s="2"/>
      <c r="K81" s="2">
        <v>192.7</v>
      </c>
      <c r="L81" s="2">
        <f t="shared" si="26"/>
        <v>11.984000000000009</v>
      </c>
      <c r="M81" s="2"/>
      <c r="N81" s="2"/>
      <c r="O81" s="2">
        <v>63</v>
      </c>
      <c r="P81" s="2">
        <v>40</v>
      </c>
      <c r="Q81" s="2">
        <f t="shared" si="27"/>
        <v>40.936799999999998</v>
      </c>
      <c r="R81" s="15">
        <f t="shared" si="29"/>
        <v>232.79419999999996</v>
      </c>
      <c r="S81" s="15">
        <f t="shared" si="34"/>
        <v>233</v>
      </c>
      <c r="T81" s="15">
        <f t="shared" si="30"/>
        <v>116</v>
      </c>
      <c r="U81" s="15">
        <f t="shared" ref="U81:U82" si="36">ROUND(S81/2,0)</f>
        <v>117</v>
      </c>
      <c r="V81" s="15"/>
      <c r="W81" s="2"/>
      <c r="X81" s="2">
        <f t="shared" si="31"/>
        <v>14.005027261534854</v>
      </c>
      <c r="Y81" s="2">
        <f t="shared" si="28"/>
        <v>8.3133268843681005</v>
      </c>
      <c r="Z81" s="2">
        <v>39.648600000000002</v>
      </c>
      <c r="AA81" s="2">
        <v>38.468000000000004</v>
      </c>
      <c r="AB81" s="2">
        <v>36.918599999999998</v>
      </c>
      <c r="AC81" s="2">
        <v>47.893000000000001</v>
      </c>
      <c r="AD81" s="2">
        <v>32.088200000000001</v>
      </c>
      <c r="AE81" s="2">
        <v>49.487200000000001</v>
      </c>
      <c r="AF81" s="2">
        <v>37.441600000000001</v>
      </c>
      <c r="AG81" s="2">
        <v>33.0974</v>
      </c>
      <c r="AH81" s="2"/>
      <c r="AI81" s="2">
        <f t="shared" si="32"/>
        <v>116</v>
      </c>
      <c r="AJ81" s="2">
        <f t="shared" si="33"/>
        <v>117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136</v>
      </c>
      <c r="B82" s="2" t="s">
        <v>36</v>
      </c>
      <c r="C82" s="2">
        <v>645</v>
      </c>
      <c r="D82" s="2">
        <v>681</v>
      </c>
      <c r="E82" s="2">
        <v>451</v>
      </c>
      <c r="F82" s="2">
        <v>582</v>
      </c>
      <c r="G82" s="3">
        <v>0.35</v>
      </c>
      <c r="H82" s="2">
        <v>50</v>
      </c>
      <c r="I82" s="2" t="s">
        <v>37</v>
      </c>
      <c r="J82" s="2"/>
      <c r="K82" s="2">
        <v>472</v>
      </c>
      <c r="L82" s="2">
        <f t="shared" si="26"/>
        <v>-21</v>
      </c>
      <c r="M82" s="2"/>
      <c r="N82" s="2"/>
      <c r="O82" s="2">
        <v>20</v>
      </c>
      <c r="P82" s="2"/>
      <c r="Q82" s="2">
        <f t="shared" si="27"/>
        <v>90.2</v>
      </c>
      <c r="R82" s="15">
        <f t="shared" si="29"/>
        <v>660.8</v>
      </c>
      <c r="S82" s="15">
        <f>V82</f>
        <v>720</v>
      </c>
      <c r="T82" s="15">
        <f t="shared" si="30"/>
        <v>360</v>
      </c>
      <c r="U82" s="15">
        <f t="shared" si="36"/>
        <v>360</v>
      </c>
      <c r="V82" s="15">
        <v>720</v>
      </c>
      <c r="W82" s="2"/>
      <c r="X82" s="2">
        <f t="shared" si="31"/>
        <v>14.656319290465632</v>
      </c>
      <c r="Y82" s="2">
        <f t="shared" si="28"/>
        <v>6.6740576496674056</v>
      </c>
      <c r="Z82" s="2">
        <v>77.400000000000006</v>
      </c>
      <c r="AA82" s="2">
        <v>90.8</v>
      </c>
      <c r="AB82" s="2">
        <v>96.2</v>
      </c>
      <c r="AC82" s="2">
        <v>81</v>
      </c>
      <c r="AD82" s="2">
        <v>80.400000000000006</v>
      </c>
      <c r="AE82" s="2">
        <v>120.2</v>
      </c>
      <c r="AF82" s="2">
        <v>68.599999999999994</v>
      </c>
      <c r="AG82" s="2">
        <v>85.8</v>
      </c>
      <c r="AH82" s="2"/>
      <c r="AI82" s="2">
        <f t="shared" si="32"/>
        <v>125.99999999999999</v>
      </c>
      <c r="AJ82" s="2">
        <f t="shared" si="33"/>
        <v>125.99999999999999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137</v>
      </c>
      <c r="B83" s="2" t="s">
        <v>36</v>
      </c>
      <c r="C83" s="2">
        <v>36</v>
      </c>
      <c r="D83" s="2">
        <v>17</v>
      </c>
      <c r="E83" s="2">
        <v>36</v>
      </c>
      <c r="F83" s="2">
        <v>6</v>
      </c>
      <c r="G83" s="3">
        <v>0.3</v>
      </c>
      <c r="H83" s="2">
        <v>50</v>
      </c>
      <c r="I83" s="2" t="s">
        <v>37</v>
      </c>
      <c r="J83" s="2"/>
      <c r="K83" s="2">
        <v>36</v>
      </c>
      <c r="L83" s="2">
        <f t="shared" si="26"/>
        <v>0</v>
      </c>
      <c r="M83" s="2"/>
      <c r="N83" s="2"/>
      <c r="O83" s="2">
        <v>64</v>
      </c>
      <c r="P83" s="2"/>
      <c r="Q83" s="2">
        <f t="shared" si="27"/>
        <v>7.2</v>
      </c>
      <c r="R83" s="15">
        <f t="shared" si="29"/>
        <v>30.799999999999997</v>
      </c>
      <c r="S83" s="15">
        <f t="shared" si="34"/>
        <v>31</v>
      </c>
      <c r="T83" s="15">
        <f t="shared" si="30"/>
        <v>31</v>
      </c>
      <c r="U83" s="15"/>
      <c r="V83" s="15"/>
      <c r="W83" s="2"/>
      <c r="X83" s="2">
        <f t="shared" si="31"/>
        <v>14.027777777777777</v>
      </c>
      <c r="Y83" s="2">
        <f t="shared" si="28"/>
        <v>9.7222222222222214</v>
      </c>
      <c r="Z83" s="2">
        <v>7.8</v>
      </c>
      <c r="AA83" s="2">
        <v>6.4</v>
      </c>
      <c r="AB83" s="2">
        <v>7.6</v>
      </c>
      <c r="AC83" s="2">
        <v>7.4</v>
      </c>
      <c r="AD83" s="2">
        <v>2.2000000000000002</v>
      </c>
      <c r="AE83" s="2">
        <v>8.6</v>
      </c>
      <c r="AF83" s="2">
        <v>10</v>
      </c>
      <c r="AG83" s="2">
        <v>1.4</v>
      </c>
      <c r="AH83" s="2"/>
      <c r="AI83" s="2">
        <f t="shared" si="32"/>
        <v>9.2999999999999989</v>
      </c>
      <c r="AJ83" s="2">
        <f t="shared" si="33"/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138</v>
      </c>
      <c r="B84" s="2" t="s">
        <v>36</v>
      </c>
      <c r="C84" s="2">
        <v>15</v>
      </c>
      <c r="D84" s="2">
        <v>6</v>
      </c>
      <c r="E84" s="2">
        <v>15</v>
      </c>
      <c r="F84" s="2">
        <v>7</v>
      </c>
      <c r="G84" s="3">
        <v>0.3</v>
      </c>
      <c r="H84" s="2">
        <v>60</v>
      </c>
      <c r="I84" s="2" t="s">
        <v>37</v>
      </c>
      <c r="J84" s="2"/>
      <c r="K84" s="2">
        <v>15</v>
      </c>
      <c r="L84" s="2">
        <f t="shared" si="26"/>
        <v>0</v>
      </c>
      <c r="M84" s="2"/>
      <c r="N84" s="2"/>
      <c r="O84" s="2">
        <v>38</v>
      </c>
      <c r="P84" s="2"/>
      <c r="Q84" s="2">
        <f t="shared" si="27"/>
        <v>3</v>
      </c>
      <c r="R84" s="15"/>
      <c r="S84" s="15">
        <f t="shared" si="34"/>
        <v>0</v>
      </c>
      <c r="T84" s="15">
        <f t="shared" si="30"/>
        <v>0</v>
      </c>
      <c r="U84" s="15"/>
      <c r="V84" s="15"/>
      <c r="W84" s="2"/>
      <c r="X84" s="2">
        <f t="shared" si="31"/>
        <v>15</v>
      </c>
      <c r="Y84" s="2">
        <f t="shared" si="28"/>
        <v>15</v>
      </c>
      <c r="Z84" s="2">
        <v>4.2</v>
      </c>
      <c r="AA84" s="2">
        <v>2.8</v>
      </c>
      <c r="AB84" s="2">
        <v>4.4000000000000004</v>
      </c>
      <c r="AC84" s="2">
        <v>4.8</v>
      </c>
      <c r="AD84" s="2">
        <v>3</v>
      </c>
      <c r="AE84" s="2">
        <v>5</v>
      </c>
      <c r="AF84" s="2">
        <v>7</v>
      </c>
      <c r="AG84" s="2">
        <v>9.4</v>
      </c>
      <c r="AH84" s="2"/>
      <c r="AI84" s="2">
        <f t="shared" si="32"/>
        <v>0</v>
      </c>
      <c r="AJ84" s="2">
        <f t="shared" si="33"/>
        <v>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139</v>
      </c>
      <c r="B85" s="2" t="s">
        <v>36</v>
      </c>
      <c r="C85" s="2">
        <v>301</v>
      </c>
      <c r="D85" s="2">
        <v>325</v>
      </c>
      <c r="E85" s="2">
        <v>196</v>
      </c>
      <c r="F85" s="2">
        <v>278</v>
      </c>
      <c r="G85" s="3">
        <v>0.28000000000000003</v>
      </c>
      <c r="H85" s="2">
        <v>50</v>
      </c>
      <c r="I85" s="2" t="s">
        <v>37</v>
      </c>
      <c r="J85" s="2"/>
      <c r="K85" s="2">
        <v>205</v>
      </c>
      <c r="L85" s="2">
        <f t="shared" si="26"/>
        <v>-9</v>
      </c>
      <c r="M85" s="2"/>
      <c r="N85" s="2"/>
      <c r="O85" s="2">
        <v>27</v>
      </c>
      <c r="P85" s="2"/>
      <c r="Q85" s="2">
        <f t="shared" si="27"/>
        <v>39.200000000000003</v>
      </c>
      <c r="R85" s="15">
        <f t="shared" si="29"/>
        <v>243.80000000000007</v>
      </c>
      <c r="S85" s="15">
        <f t="shared" si="34"/>
        <v>244</v>
      </c>
      <c r="T85" s="15">
        <f t="shared" si="30"/>
        <v>122</v>
      </c>
      <c r="U85" s="15">
        <f t="shared" ref="U85:U88" si="37">ROUND(S85/2,0)</f>
        <v>122</v>
      </c>
      <c r="V85" s="15"/>
      <c r="W85" s="2"/>
      <c r="X85" s="2">
        <f t="shared" si="31"/>
        <v>14.005102040816325</v>
      </c>
      <c r="Y85" s="2">
        <f t="shared" si="28"/>
        <v>7.7806122448979584</v>
      </c>
      <c r="Z85" s="2">
        <v>36.799999999999997</v>
      </c>
      <c r="AA85" s="2">
        <v>43.2</v>
      </c>
      <c r="AB85" s="2">
        <v>51</v>
      </c>
      <c r="AC85" s="2">
        <v>52.4</v>
      </c>
      <c r="AD85" s="2">
        <v>52</v>
      </c>
      <c r="AE85" s="2">
        <v>54.4</v>
      </c>
      <c r="AF85" s="2">
        <v>46.4</v>
      </c>
      <c r="AG85" s="2">
        <v>50.6</v>
      </c>
      <c r="AH85" s="2"/>
      <c r="AI85" s="2">
        <f t="shared" si="32"/>
        <v>34.160000000000004</v>
      </c>
      <c r="AJ85" s="2">
        <f t="shared" si="33"/>
        <v>34.160000000000004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140</v>
      </c>
      <c r="B86" s="2" t="s">
        <v>36</v>
      </c>
      <c r="C86" s="2">
        <v>532</v>
      </c>
      <c r="D86" s="2">
        <v>449</v>
      </c>
      <c r="E86" s="2">
        <v>372</v>
      </c>
      <c r="F86" s="2">
        <v>254</v>
      </c>
      <c r="G86" s="3">
        <v>0.28000000000000003</v>
      </c>
      <c r="H86" s="2">
        <v>45</v>
      </c>
      <c r="I86" s="2" t="s">
        <v>37</v>
      </c>
      <c r="J86" s="2"/>
      <c r="K86" s="2">
        <v>391</v>
      </c>
      <c r="L86" s="2">
        <f t="shared" si="26"/>
        <v>-19</v>
      </c>
      <c r="M86" s="2"/>
      <c r="N86" s="2"/>
      <c r="O86" s="2">
        <v>300</v>
      </c>
      <c r="P86" s="2">
        <v>200</v>
      </c>
      <c r="Q86" s="2">
        <f t="shared" si="27"/>
        <v>74.400000000000006</v>
      </c>
      <c r="R86" s="15">
        <f t="shared" si="29"/>
        <v>287.60000000000014</v>
      </c>
      <c r="S86" s="15">
        <f t="shared" si="34"/>
        <v>288</v>
      </c>
      <c r="T86" s="15">
        <f t="shared" si="30"/>
        <v>108</v>
      </c>
      <c r="U86" s="15">
        <v>180</v>
      </c>
      <c r="V86" s="15"/>
      <c r="W86" s="2"/>
      <c r="X86" s="2">
        <f t="shared" si="31"/>
        <v>14.00537634408602</v>
      </c>
      <c r="Y86" s="2">
        <f t="shared" si="28"/>
        <v>10.134408602150536</v>
      </c>
      <c r="Z86" s="2">
        <v>76.599999999999994</v>
      </c>
      <c r="AA86" s="2">
        <v>61.2</v>
      </c>
      <c r="AB86" s="2">
        <v>85.8</v>
      </c>
      <c r="AC86" s="2">
        <v>78.2</v>
      </c>
      <c r="AD86" s="2">
        <v>68.8</v>
      </c>
      <c r="AE86" s="2">
        <v>77.400000000000006</v>
      </c>
      <c r="AF86" s="2">
        <v>50.2</v>
      </c>
      <c r="AG86" s="2">
        <v>64.8</v>
      </c>
      <c r="AH86" s="2"/>
      <c r="AI86" s="2">
        <f t="shared" si="32"/>
        <v>30.240000000000002</v>
      </c>
      <c r="AJ86" s="2">
        <f t="shared" si="33"/>
        <v>50.400000000000006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141</v>
      </c>
      <c r="B87" s="2" t="s">
        <v>36</v>
      </c>
      <c r="C87" s="2">
        <v>63</v>
      </c>
      <c r="D87" s="2">
        <v>58</v>
      </c>
      <c r="E87" s="2">
        <v>67</v>
      </c>
      <c r="F87" s="2">
        <v>46</v>
      </c>
      <c r="G87" s="3">
        <v>0.28000000000000003</v>
      </c>
      <c r="H87" s="2">
        <v>45</v>
      </c>
      <c r="I87" s="2" t="s">
        <v>37</v>
      </c>
      <c r="J87" s="2"/>
      <c r="K87" s="2">
        <v>79</v>
      </c>
      <c r="L87" s="2">
        <f t="shared" si="26"/>
        <v>-12</v>
      </c>
      <c r="M87" s="2"/>
      <c r="N87" s="2"/>
      <c r="O87" s="2">
        <v>0</v>
      </c>
      <c r="P87" s="2"/>
      <c r="Q87" s="2">
        <f t="shared" si="27"/>
        <v>13.4</v>
      </c>
      <c r="R87" s="15">
        <f>12*Q87-P87-O87-F87</f>
        <v>114.80000000000001</v>
      </c>
      <c r="S87" s="15">
        <f t="shared" si="34"/>
        <v>115</v>
      </c>
      <c r="T87" s="15">
        <f t="shared" si="30"/>
        <v>57</v>
      </c>
      <c r="U87" s="15">
        <f t="shared" si="37"/>
        <v>58</v>
      </c>
      <c r="V87" s="15"/>
      <c r="W87" s="2"/>
      <c r="X87" s="2">
        <f t="shared" si="31"/>
        <v>12.014925373134329</v>
      </c>
      <c r="Y87" s="2">
        <f t="shared" si="28"/>
        <v>3.4328358208955221</v>
      </c>
      <c r="Z87" s="2">
        <v>5</v>
      </c>
      <c r="AA87" s="2">
        <v>7.4</v>
      </c>
      <c r="AB87" s="2">
        <v>19.600000000000001</v>
      </c>
      <c r="AC87" s="2">
        <v>21</v>
      </c>
      <c r="AD87" s="2">
        <v>17.399999999999999</v>
      </c>
      <c r="AE87" s="2">
        <v>18.399999999999999</v>
      </c>
      <c r="AF87" s="2">
        <v>14.2</v>
      </c>
      <c r="AG87" s="2">
        <v>28.8</v>
      </c>
      <c r="AH87" s="2"/>
      <c r="AI87" s="2">
        <f t="shared" si="32"/>
        <v>15.96</v>
      </c>
      <c r="AJ87" s="2">
        <f t="shared" si="33"/>
        <v>16.240000000000002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142</v>
      </c>
      <c r="B88" s="2" t="s">
        <v>36</v>
      </c>
      <c r="C88" s="2">
        <v>223</v>
      </c>
      <c r="D88" s="2">
        <v>400</v>
      </c>
      <c r="E88" s="2">
        <v>252</v>
      </c>
      <c r="F88" s="2">
        <v>256</v>
      </c>
      <c r="G88" s="3">
        <v>0.28000000000000003</v>
      </c>
      <c r="H88" s="2">
        <v>45</v>
      </c>
      <c r="I88" s="2" t="s">
        <v>37</v>
      </c>
      <c r="J88" s="2"/>
      <c r="K88" s="2">
        <v>262</v>
      </c>
      <c r="L88" s="2">
        <f t="shared" si="26"/>
        <v>-10</v>
      </c>
      <c r="M88" s="2"/>
      <c r="N88" s="2"/>
      <c r="O88" s="2">
        <v>0</v>
      </c>
      <c r="P88" s="2"/>
      <c r="Q88" s="2">
        <f t="shared" si="27"/>
        <v>50.4</v>
      </c>
      <c r="R88" s="15">
        <f t="shared" si="29"/>
        <v>449.6</v>
      </c>
      <c r="S88" s="15">
        <f>V88</f>
        <v>510</v>
      </c>
      <c r="T88" s="15">
        <f t="shared" si="30"/>
        <v>255</v>
      </c>
      <c r="U88" s="15">
        <f t="shared" si="37"/>
        <v>255</v>
      </c>
      <c r="V88" s="15">
        <v>510</v>
      </c>
      <c r="W88" s="2"/>
      <c r="X88" s="2">
        <f t="shared" si="31"/>
        <v>15.198412698412699</v>
      </c>
      <c r="Y88" s="2">
        <f t="shared" si="28"/>
        <v>5.0793650793650791</v>
      </c>
      <c r="Z88" s="2">
        <v>29.4</v>
      </c>
      <c r="AA88" s="2">
        <v>44</v>
      </c>
      <c r="AB88" s="2">
        <v>53.8</v>
      </c>
      <c r="AC88" s="2">
        <v>53</v>
      </c>
      <c r="AD88" s="2">
        <v>40</v>
      </c>
      <c r="AE88" s="2">
        <v>42.4</v>
      </c>
      <c r="AF88" s="2">
        <v>49.2</v>
      </c>
      <c r="AG88" s="2">
        <v>42.6</v>
      </c>
      <c r="AH88" s="2"/>
      <c r="AI88" s="2">
        <f t="shared" si="32"/>
        <v>71.400000000000006</v>
      </c>
      <c r="AJ88" s="2">
        <f t="shared" si="33"/>
        <v>71.400000000000006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143</v>
      </c>
      <c r="B89" s="2" t="s">
        <v>36</v>
      </c>
      <c r="C89" s="2">
        <v>550</v>
      </c>
      <c r="D89" s="2">
        <v>146</v>
      </c>
      <c r="E89" s="2">
        <v>107</v>
      </c>
      <c r="F89" s="2">
        <v>572</v>
      </c>
      <c r="G89" s="3">
        <v>0.4</v>
      </c>
      <c r="H89" s="2">
        <v>50</v>
      </c>
      <c r="I89" s="2" t="s">
        <v>37</v>
      </c>
      <c r="J89" s="2"/>
      <c r="K89" s="2">
        <v>107</v>
      </c>
      <c r="L89" s="2">
        <f t="shared" si="26"/>
        <v>0</v>
      </c>
      <c r="M89" s="2"/>
      <c r="N89" s="2"/>
      <c r="O89" s="2">
        <v>0</v>
      </c>
      <c r="P89" s="2"/>
      <c r="Q89" s="2">
        <f t="shared" si="27"/>
        <v>21.4</v>
      </c>
      <c r="R89" s="15"/>
      <c r="S89" s="15">
        <f t="shared" si="34"/>
        <v>0</v>
      </c>
      <c r="T89" s="15">
        <f t="shared" si="30"/>
        <v>0</v>
      </c>
      <c r="U89" s="15"/>
      <c r="V89" s="15"/>
      <c r="W89" s="2"/>
      <c r="X89" s="2">
        <f t="shared" si="31"/>
        <v>26.728971962616825</v>
      </c>
      <c r="Y89" s="2">
        <f t="shared" si="28"/>
        <v>26.728971962616825</v>
      </c>
      <c r="Z89" s="2">
        <v>0.4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17" t="s">
        <v>144</v>
      </c>
      <c r="AI89" s="2">
        <f t="shared" si="32"/>
        <v>0</v>
      </c>
      <c r="AJ89" s="2">
        <f t="shared" si="33"/>
        <v>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145</v>
      </c>
      <c r="B90" s="2" t="s">
        <v>36</v>
      </c>
      <c r="C90" s="2">
        <v>11</v>
      </c>
      <c r="D90" s="2">
        <v>13</v>
      </c>
      <c r="E90" s="2">
        <v>2</v>
      </c>
      <c r="F90" s="2">
        <v>15</v>
      </c>
      <c r="G90" s="3">
        <v>0.3</v>
      </c>
      <c r="H90" s="2">
        <v>50</v>
      </c>
      <c r="I90" s="2" t="s">
        <v>37</v>
      </c>
      <c r="J90" s="2"/>
      <c r="K90" s="2">
        <v>2</v>
      </c>
      <c r="L90" s="2">
        <f t="shared" si="26"/>
        <v>0</v>
      </c>
      <c r="M90" s="2"/>
      <c r="N90" s="2"/>
      <c r="O90" s="2">
        <v>8</v>
      </c>
      <c r="P90" s="2"/>
      <c r="Q90" s="2">
        <f t="shared" si="27"/>
        <v>0.4</v>
      </c>
      <c r="R90" s="15"/>
      <c r="S90" s="15">
        <f t="shared" si="34"/>
        <v>0</v>
      </c>
      <c r="T90" s="15">
        <f t="shared" si="30"/>
        <v>0</v>
      </c>
      <c r="U90" s="15"/>
      <c r="V90" s="15"/>
      <c r="W90" s="2"/>
      <c r="X90" s="2">
        <f t="shared" si="31"/>
        <v>57.5</v>
      </c>
      <c r="Y90" s="2">
        <f t="shared" si="28"/>
        <v>57.5</v>
      </c>
      <c r="Z90" s="2">
        <v>1.8</v>
      </c>
      <c r="AA90" s="2">
        <v>1</v>
      </c>
      <c r="AB90" s="2">
        <v>1.4</v>
      </c>
      <c r="AC90" s="2">
        <v>1.6</v>
      </c>
      <c r="AD90" s="2">
        <v>1</v>
      </c>
      <c r="AE90" s="2">
        <v>0.6</v>
      </c>
      <c r="AF90" s="2">
        <v>-0.8</v>
      </c>
      <c r="AG90" s="2">
        <v>-0.4</v>
      </c>
      <c r="AH90" s="2" t="s">
        <v>146</v>
      </c>
      <c r="AI90" s="2">
        <f t="shared" si="32"/>
        <v>0</v>
      </c>
      <c r="AJ90" s="2">
        <f t="shared" si="33"/>
        <v>0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147</v>
      </c>
      <c r="B91" s="2" t="s">
        <v>36</v>
      </c>
      <c r="C91" s="2">
        <v>15</v>
      </c>
      <c r="D91" s="2">
        <v>9</v>
      </c>
      <c r="E91" s="2">
        <v>8</v>
      </c>
      <c r="F91" s="2">
        <v>6</v>
      </c>
      <c r="G91" s="3">
        <v>0.33</v>
      </c>
      <c r="H91" s="2">
        <v>30</v>
      </c>
      <c r="I91" s="2" t="s">
        <v>37</v>
      </c>
      <c r="J91" s="2"/>
      <c r="K91" s="2">
        <v>8</v>
      </c>
      <c r="L91" s="2">
        <f t="shared" si="26"/>
        <v>0</v>
      </c>
      <c r="M91" s="2"/>
      <c r="N91" s="2"/>
      <c r="O91" s="2">
        <v>0</v>
      </c>
      <c r="P91" s="2"/>
      <c r="Q91" s="2">
        <f t="shared" si="27"/>
        <v>1.6</v>
      </c>
      <c r="R91" s="15">
        <f>13*Q91-P91-O91-F91</f>
        <v>14.8</v>
      </c>
      <c r="S91" s="15">
        <f t="shared" si="34"/>
        <v>15</v>
      </c>
      <c r="T91" s="15">
        <f t="shared" si="30"/>
        <v>15</v>
      </c>
      <c r="U91" s="15"/>
      <c r="V91" s="15"/>
      <c r="W91" s="2"/>
      <c r="X91" s="2">
        <f t="shared" si="31"/>
        <v>13.125</v>
      </c>
      <c r="Y91" s="2">
        <f t="shared" si="28"/>
        <v>3.75</v>
      </c>
      <c r="Z91" s="2">
        <v>0</v>
      </c>
      <c r="AA91" s="2">
        <v>0.4</v>
      </c>
      <c r="AB91" s="2">
        <v>1</v>
      </c>
      <c r="AC91" s="2">
        <v>-0.2</v>
      </c>
      <c r="AD91" s="2">
        <v>-0.6</v>
      </c>
      <c r="AE91" s="2">
        <v>-1.8</v>
      </c>
      <c r="AF91" s="2">
        <v>2.6</v>
      </c>
      <c r="AG91" s="2">
        <v>3.4</v>
      </c>
      <c r="AH91" s="18" t="s">
        <v>148</v>
      </c>
      <c r="AI91" s="2">
        <f t="shared" si="32"/>
        <v>4.95</v>
      </c>
      <c r="AJ91" s="2">
        <f t="shared" si="3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149</v>
      </c>
      <c r="B92" s="2" t="s">
        <v>39</v>
      </c>
      <c r="C92" s="2">
        <v>26.378</v>
      </c>
      <c r="D92" s="2">
        <v>0.35699999999999998</v>
      </c>
      <c r="E92" s="2">
        <v>8.32</v>
      </c>
      <c r="F92" s="2">
        <v>18.414999999999999</v>
      </c>
      <c r="G92" s="3">
        <v>1</v>
      </c>
      <c r="H92" s="2">
        <v>30</v>
      </c>
      <c r="I92" s="2" t="s">
        <v>37</v>
      </c>
      <c r="J92" s="2"/>
      <c r="K92" s="2">
        <v>7.7</v>
      </c>
      <c r="L92" s="2">
        <f t="shared" si="26"/>
        <v>0.62000000000000011</v>
      </c>
      <c r="M92" s="2"/>
      <c r="N92" s="2"/>
      <c r="O92" s="2">
        <v>0</v>
      </c>
      <c r="P92" s="2"/>
      <c r="Q92" s="2">
        <f t="shared" si="27"/>
        <v>1.6640000000000001</v>
      </c>
      <c r="R92" s="15">
        <f t="shared" si="29"/>
        <v>4.8810000000000038</v>
      </c>
      <c r="S92" s="15">
        <f t="shared" si="34"/>
        <v>5</v>
      </c>
      <c r="T92" s="15">
        <f t="shared" si="30"/>
        <v>5</v>
      </c>
      <c r="U92" s="15"/>
      <c r="V92" s="15"/>
      <c r="W92" s="2"/>
      <c r="X92" s="2">
        <f t="shared" si="31"/>
        <v>14.071514423076922</v>
      </c>
      <c r="Y92" s="2">
        <f t="shared" si="28"/>
        <v>11.06670673076923</v>
      </c>
      <c r="Z92" s="2">
        <v>0.79520000000000002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 t="s">
        <v>68</v>
      </c>
      <c r="AI92" s="2">
        <f t="shared" si="32"/>
        <v>5</v>
      </c>
      <c r="AJ92" s="2">
        <f t="shared" si="3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150</v>
      </c>
      <c r="B93" s="2" t="s">
        <v>36</v>
      </c>
      <c r="C93" s="2">
        <v>61</v>
      </c>
      <c r="D93" s="2">
        <v>3</v>
      </c>
      <c r="E93" s="2">
        <v>40</v>
      </c>
      <c r="F93" s="2">
        <v>23</v>
      </c>
      <c r="G93" s="3">
        <v>0.28000000000000003</v>
      </c>
      <c r="H93" s="2">
        <v>50</v>
      </c>
      <c r="I93" s="2" t="s">
        <v>37</v>
      </c>
      <c r="J93" s="2"/>
      <c r="K93" s="2">
        <v>40</v>
      </c>
      <c r="L93" s="2">
        <f t="shared" si="26"/>
        <v>0</v>
      </c>
      <c r="M93" s="2"/>
      <c r="N93" s="2"/>
      <c r="O93" s="2">
        <v>60</v>
      </c>
      <c r="P93" s="2"/>
      <c r="Q93" s="2">
        <f t="shared" si="27"/>
        <v>8</v>
      </c>
      <c r="R93" s="15">
        <f t="shared" si="29"/>
        <v>29</v>
      </c>
      <c r="S93" s="15">
        <f t="shared" si="34"/>
        <v>29</v>
      </c>
      <c r="T93" s="15">
        <f t="shared" si="30"/>
        <v>29</v>
      </c>
      <c r="U93" s="15"/>
      <c r="V93" s="15"/>
      <c r="W93" s="2"/>
      <c r="X93" s="2">
        <f t="shared" si="31"/>
        <v>14</v>
      </c>
      <c r="Y93" s="2">
        <f t="shared" si="28"/>
        <v>10.375</v>
      </c>
      <c r="Z93" s="2">
        <v>8.8000000000000007</v>
      </c>
      <c r="AA93" s="2">
        <v>1</v>
      </c>
      <c r="AB93" s="2">
        <v>2</v>
      </c>
      <c r="AC93" s="2">
        <v>12.2</v>
      </c>
      <c r="AD93" s="2">
        <v>0</v>
      </c>
      <c r="AE93" s="2">
        <v>0</v>
      </c>
      <c r="AF93" s="2">
        <v>0</v>
      </c>
      <c r="AG93" s="2">
        <v>0</v>
      </c>
      <c r="AH93" s="2" t="s">
        <v>68</v>
      </c>
      <c r="AI93" s="2">
        <f t="shared" si="32"/>
        <v>8.120000000000001</v>
      </c>
      <c r="AJ93" s="2">
        <f t="shared" si="3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151</v>
      </c>
      <c r="B94" s="2" t="s">
        <v>36</v>
      </c>
      <c r="C94" s="2">
        <v>9</v>
      </c>
      <c r="D94" s="2"/>
      <c r="E94" s="2">
        <v>3</v>
      </c>
      <c r="F94" s="2">
        <v>6</v>
      </c>
      <c r="G94" s="3">
        <v>0.28000000000000003</v>
      </c>
      <c r="H94" s="2">
        <v>50</v>
      </c>
      <c r="I94" s="2" t="s">
        <v>37</v>
      </c>
      <c r="J94" s="2"/>
      <c r="K94" s="2">
        <v>3</v>
      </c>
      <c r="L94" s="2">
        <f t="shared" si="26"/>
        <v>0</v>
      </c>
      <c r="M94" s="2"/>
      <c r="N94" s="2"/>
      <c r="O94" s="2">
        <v>0</v>
      </c>
      <c r="P94" s="2"/>
      <c r="Q94" s="2">
        <f t="shared" si="27"/>
        <v>0.6</v>
      </c>
      <c r="R94" s="15">
        <v>8</v>
      </c>
      <c r="S94" s="15">
        <f t="shared" si="34"/>
        <v>8</v>
      </c>
      <c r="T94" s="15">
        <f t="shared" si="30"/>
        <v>8</v>
      </c>
      <c r="U94" s="15"/>
      <c r="V94" s="15"/>
      <c r="W94" s="2"/>
      <c r="X94" s="2">
        <f t="shared" si="31"/>
        <v>23.333333333333336</v>
      </c>
      <c r="Y94" s="2">
        <f t="shared" si="28"/>
        <v>10</v>
      </c>
      <c r="Z94" s="2">
        <v>0.2</v>
      </c>
      <c r="AA94" s="2">
        <v>0.4</v>
      </c>
      <c r="AB94" s="2">
        <v>1</v>
      </c>
      <c r="AC94" s="2">
        <v>12.6</v>
      </c>
      <c r="AD94" s="2">
        <v>0</v>
      </c>
      <c r="AE94" s="2">
        <v>0</v>
      </c>
      <c r="AF94" s="2">
        <v>0</v>
      </c>
      <c r="AG94" s="2">
        <v>0</v>
      </c>
      <c r="AH94" s="2" t="s">
        <v>68</v>
      </c>
      <c r="AI94" s="2">
        <f t="shared" si="32"/>
        <v>2.2400000000000002</v>
      </c>
      <c r="AJ94" s="2">
        <f t="shared" si="3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</sheetData>
  <autoFilter ref="A3:AI94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2025-11-18T11:55:00Z</dcterms:created>
  <dcterms:modified xsi:type="dcterms:W3CDTF">2025-11-19T09:45:44Z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3D65B13E33F9466F8CF24CA4973AF914_12</vt:lpwstr>
  </property>
  <property fmtid="{D5CDD505-2E9C-101B-9397-08002B2CF9AE}" pid="3" name="KSOProductBuildVer">
    <vt:lpwstr>1049-12.2.0.23155</vt:lpwstr>
  </property>
</Properties>
</file>