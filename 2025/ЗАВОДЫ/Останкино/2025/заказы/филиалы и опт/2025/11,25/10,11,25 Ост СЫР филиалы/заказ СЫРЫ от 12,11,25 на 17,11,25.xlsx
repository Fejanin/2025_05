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52F71D45-1BFF-4F93-8C76-5E41C96052B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Бердянск!$A$3:$I$3</definedName>
    <definedName name="_xlnm._FilterDatabase" localSheetId="2" hidden="1">Донецк!$A$3:$I$3</definedName>
    <definedName name="_xlnm._FilterDatabase" localSheetId="3" hidden="1">Луганск!$A$3:$I$3</definedName>
    <definedName name="_xlnm._FilterDatabase" localSheetId="0" hidden="1">Мелитополь!$A$3:$I$49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8" i="4" l="1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49" i="4" s="1"/>
  <c r="F4" i="4"/>
  <c r="H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49" i="2" s="1"/>
  <c r="F4" i="2"/>
  <c r="H49" i="1"/>
  <c r="A51" i="1" s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</calcChain>
</file>

<file path=xl/sharedStrings.xml><?xml version="1.0" encoding="utf-8"?>
<sst xmlns="http://schemas.openxmlformats.org/spreadsheetml/2006/main" count="284" uniqueCount="69">
  <si>
    <t>пример заполнения</t>
  </si>
  <si>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</si>
  <si>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</si>
  <si>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</si>
  <si>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</si>
  <si>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</si>
  <si>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</si>
  <si>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</si>
  <si>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</si>
  <si>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</si>
  <si>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</si>
  <si>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</si>
  <si>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</si>
  <si>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</si>
  <si>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</si>
  <si>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</si>
  <si>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</si>
  <si>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 xml:space="preserve">Сыр полутвердый "Голландский" с массовой долей жира в пересчете на сухое 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</si>
  <si>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</si>
  <si>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</si>
  <si>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</si>
  <si>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</si>
  <si>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</si>
  <si>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</si>
  <si>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</si>
  <si>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</si>
  <si>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</si>
  <si>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</si>
  <si>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Сыр Сливочный со вкусом топленого молока 45% тм Папа Может, брус (2 шт)</t>
  </si>
  <si>
    <t>Средний вес короба 7( вес 1 бруса 3,5кг)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</si>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</sst>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3" topLeftCell="A22" activePane="bottomLeft" state="frozen"/>
      <selection pane="bottomLeft" activeCell="E50" sqref="E5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297</v>
      </c>
      <c r="F5" s="11">
        <f>E5/16.5</f>
        <v>18</v>
      </c>
      <c r="G5" s="15">
        <v>3.2</v>
      </c>
      <c r="H5" s="11">
        <f>E5</f>
        <v>297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250</v>
      </c>
      <c r="E6" s="20"/>
      <c r="F6" s="11">
        <f>D6/C6</f>
        <v>25</v>
      </c>
      <c r="G6" s="15">
        <v>0.18</v>
      </c>
      <c r="H6" s="11">
        <f>G6*D6</f>
        <v>45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120</v>
      </c>
      <c r="E8" s="20"/>
      <c r="F8" s="11">
        <f>D8/C8</f>
        <v>12</v>
      </c>
      <c r="G8" s="15">
        <v>0.18</v>
      </c>
      <c r="H8" s="11">
        <f>G8*D8</f>
        <v>21.599999999999998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200</v>
      </c>
      <c r="E13" s="20"/>
      <c r="F13" s="11">
        <f>D13/C13</f>
        <v>20</v>
      </c>
      <c r="G13" s="15">
        <v>0.2</v>
      </c>
      <c r="H13" s="11">
        <f>G13*D13</f>
        <v>40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>D14/C14</f>
        <v>0</v>
      </c>
      <c r="G14" s="15">
        <v>0.4</v>
      </c>
      <c r="H14" s="11">
        <f>G14*D14</f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>D15/C15</f>
        <v>0</v>
      </c>
      <c r="G15" s="15">
        <v>0.18</v>
      </c>
      <c r="H15" s="11">
        <f>G15*D15</f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>D16/C16</f>
        <v>0</v>
      </c>
      <c r="G16" s="15">
        <v>0.4</v>
      </c>
      <c r="H16" s="11">
        <f>G16*D16</f>
        <v>0</v>
      </c>
      <c r="I16" s="11"/>
    </row>
    <row r="17" spans="1:9">
      <c r="A17" s="2">
        <v>5522704</v>
      </c>
      <c r="B17" s="15" t="s">
        <v>28</v>
      </c>
      <c r="C17" s="9">
        <v>2</v>
      </c>
      <c r="D17" s="20"/>
      <c r="E17" s="20"/>
      <c r="F17" s="11">
        <f>E17/7</f>
        <v>0</v>
      </c>
      <c r="G17" s="15">
        <v>3.5</v>
      </c>
      <c r="H17" s="11">
        <f>E17</f>
        <v>0</v>
      </c>
      <c r="I17" s="11" t="s">
        <v>29</v>
      </c>
    </row>
    <row r="18" spans="1:9">
      <c r="A18" s="2">
        <v>1018950</v>
      </c>
      <c r="B18" s="15" t="s">
        <v>30</v>
      </c>
      <c r="C18" s="9">
        <v>10</v>
      </c>
      <c r="D18" s="20"/>
      <c r="E18" s="20"/>
      <c r="F18" s="11">
        <f>D18/C18</f>
        <v>0</v>
      </c>
      <c r="G18" s="15">
        <v>0.18</v>
      </c>
      <c r="H18" s="11">
        <f>G18*D18</f>
        <v>0</v>
      </c>
      <c r="I18" s="11"/>
    </row>
    <row r="19" spans="1:9">
      <c r="A19" s="2">
        <v>1018967</v>
      </c>
      <c r="B19" s="15" t="s">
        <v>31</v>
      </c>
      <c r="C19" s="9">
        <v>10</v>
      </c>
      <c r="D19" s="20"/>
      <c r="E19" s="20"/>
      <c r="F19" s="11">
        <f>D19/C19</f>
        <v>0</v>
      </c>
      <c r="G19" s="15">
        <v>0.18</v>
      </c>
      <c r="H19" s="11">
        <f>G19*D19</f>
        <v>0</v>
      </c>
      <c r="I19" s="11"/>
    </row>
    <row r="20" spans="1:9">
      <c r="A20" s="2" t="s">
        <v>32</v>
      </c>
      <c r="B20" s="15" t="s">
        <v>33</v>
      </c>
      <c r="C20" s="9">
        <v>10</v>
      </c>
      <c r="D20" s="20">
        <v>50</v>
      </c>
      <c r="E20" s="20"/>
      <c r="F20" s="11">
        <f>D20/C20</f>
        <v>5</v>
      </c>
      <c r="G20" s="15">
        <v>0.2</v>
      </c>
      <c r="H20" s="11">
        <f>G20*D20</f>
        <v>10</v>
      </c>
      <c r="I20" s="11"/>
    </row>
    <row r="21" spans="1:9">
      <c r="A21" s="2" t="s">
        <v>34</v>
      </c>
      <c r="B21" s="15" t="s">
        <v>35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36</v>
      </c>
    </row>
    <row r="22" spans="1:9">
      <c r="A22" s="2" t="s">
        <v>37</v>
      </c>
      <c r="B22" s="15" t="s">
        <v>38</v>
      </c>
      <c r="C22" s="9">
        <v>10</v>
      </c>
      <c r="D22" s="20"/>
      <c r="E22" s="20"/>
      <c r="F22" s="11">
        <f>D22/C22</f>
        <v>0</v>
      </c>
      <c r="G22" s="15">
        <v>0.2</v>
      </c>
      <c r="H22" s="11">
        <f>G22*D22</f>
        <v>0</v>
      </c>
      <c r="I22" s="11"/>
    </row>
    <row r="23" spans="1:9">
      <c r="A23" s="2" t="s">
        <v>39</v>
      </c>
      <c r="B23" s="15" t="s">
        <v>40</v>
      </c>
      <c r="C23" s="9">
        <v>4</v>
      </c>
      <c r="D23" s="20"/>
      <c r="E23" s="20"/>
      <c r="F23" s="11">
        <f>E23/15</f>
        <v>0</v>
      </c>
      <c r="G23" s="15">
        <v>3.5</v>
      </c>
      <c r="H23" s="11">
        <f>E23</f>
        <v>0</v>
      </c>
      <c r="I23" s="11" t="s">
        <v>36</v>
      </c>
    </row>
    <row r="24" spans="1:9">
      <c r="A24" s="2">
        <v>8444194</v>
      </c>
      <c r="B24" s="3" t="s">
        <v>41</v>
      </c>
      <c r="C24" s="9">
        <v>6</v>
      </c>
      <c r="D24" s="20">
        <v>180</v>
      </c>
      <c r="E24" s="20"/>
      <c r="F24" s="11">
        <f t="shared" ref="F24:F30" si="0">D24/C24</f>
        <v>30</v>
      </c>
      <c r="G24" s="15">
        <v>0.1</v>
      </c>
      <c r="H24" s="11">
        <f t="shared" ref="H24:H30" si="1">G24*D24</f>
        <v>18</v>
      </c>
      <c r="I24" s="11"/>
    </row>
    <row r="25" spans="1:9">
      <c r="A25" s="2">
        <v>8444187</v>
      </c>
      <c r="B25" s="3" t="s">
        <v>42</v>
      </c>
      <c r="C25" s="9">
        <v>6</v>
      </c>
      <c r="D25" s="20"/>
      <c r="E25" s="20"/>
      <c r="F25" s="11">
        <f t="shared" si="0"/>
        <v>0</v>
      </c>
      <c r="G25" s="15">
        <v>0.1</v>
      </c>
      <c r="H25" s="11">
        <f t="shared" si="1"/>
        <v>0</v>
      </c>
      <c r="I25" s="11"/>
    </row>
    <row r="26" spans="1:9">
      <c r="A26" s="2">
        <v>8444163</v>
      </c>
      <c r="B26" s="3" t="s">
        <v>43</v>
      </c>
      <c r="C26" s="9">
        <v>8</v>
      </c>
      <c r="D26" s="20">
        <v>120</v>
      </c>
      <c r="E26" s="20"/>
      <c r="F26" s="11">
        <f t="shared" si="0"/>
        <v>15</v>
      </c>
      <c r="G26" s="15">
        <v>0.1</v>
      </c>
      <c r="H26" s="11">
        <f t="shared" si="1"/>
        <v>12</v>
      </c>
      <c r="I26" s="11"/>
    </row>
    <row r="27" spans="1:9">
      <c r="A27" s="2">
        <v>8444170</v>
      </c>
      <c r="B27" s="3" t="s">
        <v>44</v>
      </c>
      <c r="C27" s="9">
        <v>8</v>
      </c>
      <c r="D27" s="20"/>
      <c r="E27" s="20"/>
      <c r="F27" s="11">
        <f t="shared" si="0"/>
        <v>0</v>
      </c>
      <c r="G27" s="15">
        <v>0.1</v>
      </c>
      <c r="H27" s="11">
        <f t="shared" si="1"/>
        <v>0</v>
      </c>
      <c r="I27" s="11"/>
    </row>
    <row r="28" spans="1:9">
      <c r="A28" s="2">
        <v>9988377</v>
      </c>
      <c r="B28" s="3" t="s">
        <v>45</v>
      </c>
      <c r="C28" s="9">
        <v>16</v>
      </c>
      <c r="D28" s="20"/>
      <c r="E28" s="20"/>
      <c r="F28" s="11">
        <f t="shared" si="0"/>
        <v>0</v>
      </c>
      <c r="G28" s="15">
        <v>0.14000000000000001</v>
      </c>
      <c r="H28" s="11">
        <f t="shared" si="1"/>
        <v>0</v>
      </c>
      <c r="I28" s="11"/>
    </row>
    <row r="29" spans="1:9">
      <c r="A29" s="2">
        <v>9988391</v>
      </c>
      <c r="B29" s="3" t="s">
        <v>46</v>
      </c>
      <c r="C29" s="9">
        <v>16</v>
      </c>
      <c r="D29" s="20"/>
      <c r="E29" s="20"/>
      <c r="F29" s="11">
        <f t="shared" si="0"/>
        <v>0</v>
      </c>
      <c r="G29" s="15">
        <v>0.14000000000000001</v>
      </c>
      <c r="H29" s="11">
        <f t="shared" si="1"/>
        <v>0</v>
      </c>
      <c r="I29" s="11"/>
    </row>
    <row r="30" spans="1:9">
      <c r="A30" s="2">
        <v>5034819</v>
      </c>
      <c r="B30" s="3" t="s">
        <v>47</v>
      </c>
      <c r="C30" s="9">
        <v>6</v>
      </c>
      <c r="D30" s="20">
        <v>150</v>
      </c>
      <c r="E30" s="20"/>
      <c r="F30" s="11">
        <f t="shared" si="0"/>
        <v>25</v>
      </c>
      <c r="G30" s="15">
        <v>0.18</v>
      </c>
      <c r="H30" s="11">
        <f t="shared" si="1"/>
        <v>27</v>
      </c>
      <c r="I30" s="11"/>
    </row>
    <row r="31" spans="1:9">
      <c r="A31" s="2">
        <v>2981244</v>
      </c>
      <c r="B31" s="3" t="s">
        <v>48</v>
      </c>
      <c r="C31" s="9">
        <v>6</v>
      </c>
      <c r="D31" s="20"/>
      <c r="E31" s="20"/>
      <c r="F31" s="11">
        <f>E31/7.8</f>
        <v>0</v>
      </c>
      <c r="G31" s="15">
        <v>1.3</v>
      </c>
      <c r="H31" s="11">
        <f>E31</f>
        <v>0</v>
      </c>
      <c r="I31" s="11" t="s">
        <v>49</v>
      </c>
    </row>
    <row r="32" spans="1:9">
      <c r="A32" s="2">
        <v>8785198</v>
      </c>
      <c r="B32" s="3" t="s">
        <v>50</v>
      </c>
      <c r="C32" s="9">
        <v>5</v>
      </c>
      <c r="D32" s="20"/>
      <c r="E32" s="20">
        <v>214.5</v>
      </c>
      <c r="F32" s="11">
        <f>E32/16.5</f>
        <v>13</v>
      </c>
      <c r="G32" s="15">
        <v>3.2</v>
      </c>
      <c r="H32" s="11">
        <f>E32</f>
        <v>214.5</v>
      </c>
      <c r="I32" s="11" t="s">
        <v>20</v>
      </c>
    </row>
    <row r="33" spans="1:9">
      <c r="A33" s="2">
        <v>9988452</v>
      </c>
      <c r="B33" s="3" t="s">
        <v>51</v>
      </c>
      <c r="C33" s="9">
        <v>8</v>
      </c>
      <c r="D33" s="20"/>
      <c r="E33" s="20"/>
      <c r="F33" s="11">
        <f t="shared" ref="F33:F47" si="2">D33/C33</f>
        <v>0</v>
      </c>
      <c r="G33" s="15">
        <v>0.4</v>
      </c>
      <c r="H33" s="11">
        <f t="shared" ref="H33:H38" si="3">G33*D33</f>
        <v>0</v>
      </c>
      <c r="I33" s="11"/>
    </row>
    <row r="34" spans="1:9">
      <c r="A34" s="2">
        <v>9988476</v>
      </c>
      <c r="B34" s="3" t="s">
        <v>52</v>
      </c>
      <c r="C34" s="9">
        <v>28</v>
      </c>
      <c r="D34" s="20"/>
      <c r="E34" s="20"/>
      <c r="F34" s="11">
        <f t="shared" si="2"/>
        <v>0</v>
      </c>
      <c r="G34" s="15">
        <v>0.4</v>
      </c>
      <c r="H34" s="11">
        <f t="shared" si="3"/>
        <v>0</v>
      </c>
      <c r="I34" s="11"/>
    </row>
    <row r="35" spans="1:9">
      <c r="A35" s="2">
        <v>9988681</v>
      </c>
      <c r="B35" s="3" t="s">
        <v>53</v>
      </c>
      <c r="C35" s="9">
        <v>16</v>
      </c>
      <c r="D35" s="20"/>
      <c r="E35" s="20"/>
      <c r="F35" s="11">
        <f t="shared" si="2"/>
        <v>0</v>
      </c>
      <c r="G35" s="15">
        <v>0.18</v>
      </c>
      <c r="H35" s="11">
        <f t="shared" si="3"/>
        <v>0</v>
      </c>
      <c r="I35" s="11"/>
    </row>
    <row r="36" spans="1:9">
      <c r="A36" s="2">
        <v>9988438</v>
      </c>
      <c r="B36" s="3" t="s">
        <v>54</v>
      </c>
      <c r="C36" s="9">
        <v>16</v>
      </c>
      <c r="D36" s="20">
        <v>144</v>
      </c>
      <c r="E36" s="20"/>
      <c r="F36" s="11">
        <f t="shared" si="2"/>
        <v>9</v>
      </c>
      <c r="G36" s="15">
        <v>0.18</v>
      </c>
      <c r="H36" s="11">
        <f t="shared" si="3"/>
        <v>25.919999999999998</v>
      </c>
      <c r="I36" s="11"/>
    </row>
    <row r="37" spans="1:9">
      <c r="A37" s="2">
        <v>9988445</v>
      </c>
      <c r="B37" s="3" t="s">
        <v>55</v>
      </c>
      <c r="C37" s="9">
        <v>16</v>
      </c>
      <c r="D37" s="20">
        <v>128</v>
      </c>
      <c r="E37" s="20"/>
      <c r="F37" s="11">
        <f t="shared" si="2"/>
        <v>8</v>
      </c>
      <c r="G37" s="15">
        <v>0.18</v>
      </c>
      <c r="H37" s="11">
        <f t="shared" si="3"/>
        <v>23.04</v>
      </c>
      <c r="I37" s="11"/>
    </row>
    <row r="38" spans="1:9">
      <c r="A38" s="2">
        <v>9988421</v>
      </c>
      <c r="B38" s="3" t="s">
        <v>56</v>
      </c>
      <c r="C38" s="9">
        <v>16</v>
      </c>
      <c r="D38" s="20"/>
      <c r="E38" s="20"/>
      <c r="F38" s="11">
        <f t="shared" si="2"/>
        <v>0</v>
      </c>
      <c r="G38" s="15">
        <v>0.14000000000000001</v>
      </c>
      <c r="H38" s="11">
        <f t="shared" si="3"/>
        <v>0</v>
      </c>
      <c r="I38" s="11"/>
    </row>
    <row r="39" spans="1:9">
      <c r="A39" s="2">
        <v>9988674</v>
      </c>
      <c r="B39" s="3" t="s">
        <v>57</v>
      </c>
      <c r="C39" s="9">
        <v>16</v>
      </c>
      <c r="D39" s="20"/>
      <c r="E39" s="20"/>
      <c r="F39" s="11">
        <f t="shared" si="2"/>
        <v>0</v>
      </c>
      <c r="G39" s="15">
        <v>0.18</v>
      </c>
      <c r="H39" s="11">
        <f t="shared" ref="H39:H44" si="4">D39*G39</f>
        <v>0</v>
      </c>
      <c r="I39" s="11"/>
    </row>
    <row r="40" spans="1:9">
      <c r="A40" s="22">
        <v>8444903</v>
      </c>
      <c r="B40" s="23" t="s">
        <v>58</v>
      </c>
      <c r="C40" s="9">
        <v>8</v>
      </c>
      <c r="D40" s="20"/>
      <c r="E40" s="20"/>
      <c r="F40" s="11">
        <f t="shared" si="2"/>
        <v>0</v>
      </c>
      <c r="G40" s="15">
        <v>0.1</v>
      </c>
      <c r="H40" s="11">
        <f t="shared" si="4"/>
        <v>0</v>
      </c>
      <c r="I40" s="11"/>
    </row>
    <row r="41" spans="1:9">
      <c r="A41" s="22">
        <v>8444910</v>
      </c>
      <c r="B41" s="23" t="s">
        <v>59</v>
      </c>
      <c r="C41" s="9">
        <v>8</v>
      </c>
      <c r="D41" s="20"/>
      <c r="E41" s="20"/>
      <c r="F41" s="11">
        <f t="shared" si="2"/>
        <v>0</v>
      </c>
      <c r="G41" s="15">
        <v>0.1</v>
      </c>
      <c r="H41" s="11">
        <f t="shared" si="4"/>
        <v>0</v>
      </c>
      <c r="I41" s="11"/>
    </row>
    <row r="42" spans="1:9">
      <c r="A42" s="22">
        <v>8444927</v>
      </c>
      <c r="B42" s="23" t="s">
        <v>60</v>
      </c>
      <c r="C42" s="9">
        <v>8</v>
      </c>
      <c r="D42" s="20"/>
      <c r="E42" s="20"/>
      <c r="F42" s="11">
        <f t="shared" si="2"/>
        <v>0</v>
      </c>
      <c r="G42" s="15">
        <v>0.1</v>
      </c>
      <c r="H42" s="11">
        <f t="shared" si="4"/>
        <v>0</v>
      </c>
      <c r="I42" s="11"/>
    </row>
    <row r="43" spans="1:9">
      <c r="A43" s="22">
        <v>6600454</v>
      </c>
      <c r="B43" s="23" t="s">
        <v>61</v>
      </c>
      <c r="C43" s="9">
        <v>12</v>
      </c>
      <c r="D43" s="20"/>
      <c r="E43" s="20"/>
      <c r="F43" s="11">
        <f t="shared" si="2"/>
        <v>0</v>
      </c>
      <c r="G43" s="15">
        <v>0.125</v>
      </c>
      <c r="H43" s="11">
        <f t="shared" si="4"/>
        <v>0</v>
      </c>
      <c r="I43" s="11"/>
    </row>
    <row r="44" spans="1:9">
      <c r="A44" s="22">
        <v>6600447</v>
      </c>
      <c r="B44" s="23" t="s">
        <v>62</v>
      </c>
      <c r="C44" s="9">
        <v>12</v>
      </c>
      <c r="D44" s="20"/>
      <c r="E44" s="20"/>
      <c r="F44" s="11">
        <f t="shared" si="2"/>
        <v>0</v>
      </c>
      <c r="G44" s="15">
        <v>0.125</v>
      </c>
      <c r="H44" s="11">
        <f t="shared" si="4"/>
        <v>0</v>
      </c>
      <c r="I44" s="11"/>
    </row>
    <row r="45" spans="1:9">
      <c r="A45" s="18">
        <v>4421584</v>
      </c>
      <c r="B45" s="19" t="s">
        <v>63</v>
      </c>
      <c r="C45" s="9">
        <v>12</v>
      </c>
      <c r="D45" s="20"/>
      <c r="E45" s="20"/>
      <c r="F45" s="11">
        <f t="shared" si="2"/>
        <v>0</v>
      </c>
      <c r="G45" s="15">
        <v>0.18</v>
      </c>
      <c r="H45" s="11">
        <f>G45*D45</f>
        <v>0</v>
      </c>
      <c r="I45" s="11"/>
    </row>
    <row r="46" spans="1:9">
      <c r="A46" s="18">
        <v>4421577</v>
      </c>
      <c r="B46" s="19" t="s">
        <v>64</v>
      </c>
      <c r="C46" s="9">
        <v>12</v>
      </c>
      <c r="D46" s="20"/>
      <c r="E46" s="20"/>
      <c r="F46" s="11">
        <f t="shared" si="2"/>
        <v>0</v>
      </c>
      <c r="G46" s="15">
        <v>0.18</v>
      </c>
      <c r="H46" s="11">
        <f>G46*D46</f>
        <v>0</v>
      </c>
      <c r="I46" s="11"/>
    </row>
    <row r="47" spans="1:9">
      <c r="A47" s="18">
        <v>9985949</v>
      </c>
      <c r="B47" s="19" t="s">
        <v>65</v>
      </c>
      <c r="C47" s="9">
        <v>10</v>
      </c>
      <c r="D47" s="20"/>
      <c r="E47" s="20"/>
      <c r="F47" s="11">
        <f t="shared" si="2"/>
        <v>0</v>
      </c>
      <c r="G47" s="21">
        <v>1</v>
      </c>
      <c r="H47" s="11">
        <f>G47*D47</f>
        <v>0</v>
      </c>
      <c r="I47" s="11"/>
    </row>
    <row r="48" spans="1:9">
      <c r="A48" s="18">
        <v>8786928</v>
      </c>
      <c r="B48" s="19" t="s">
        <v>66</v>
      </c>
      <c r="C48" s="9">
        <v>4</v>
      </c>
      <c r="D48" s="20"/>
      <c r="E48" s="20"/>
      <c r="F48" s="11">
        <f>E48/6</f>
        <v>0</v>
      </c>
      <c r="G48" s="15">
        <v>1.5</v>
      </c>
      <c r="H48" s="11">
        <f>E48</f>
        <v>0</v>
      </c>
      <c r="I48" s="11" t="s">
        <v>67</v>
      </c>
    </row>
    <row r="49" spans="1:9">
      <c r="A49" s="11"/>
      <c r="B49" s="15" t="s">
        <v>68</v>
      </c>
      <c r="C49" s="11"/>
      <c r="D49" s="20"/>
      <c r="E49" s="20"/>
      <c r="F49" s="11"/>
      <c r="G49" s="11"/>
      <c r="H49" s="3">
        <f>SUM(H4:H48)</f>
        <v>734.06</v>
      </c>
      <c r="I49" s="11"/>
    </row>
    <row r="51" spans="1:9">
      <c r="A51" s="10">
        <f>H49+Бердянск!H49+Донецк!H49+Луганск!H49</f>
        <v>1896.5200000000002</v>
      </c>
    </row>
  </sheetData>
  <autoFilter ref="A3:I49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>
      <pane ySplit="3" topLeftCell="A19" activePane="bottomLeft" state="frozen"/>
      <selection pane="bottomLeft" activeCell="D10" sqref="D1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132</v>
      </c>
      <c r="F5" s="11">
        <f>E5/16.5</f>
        <v>8</v>
      </c>
      <c r="G5" s="15">
        <v>3.2</v>
      </c>
      <c r="H5" s="11">
        <f>E5</f>
        <v>132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400</v>
      </c>
      <c r="E8" s="20"/>
      <c r="F8" s="11">
        <f>D8/C8</f>
        <v>40</v>
      </c>
      <c r="G8" s="15">
        <v>0.18</v>
      </c>
      <c r="H8" s="11">
        <f>G8*D8</f>
        <v>72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60</v>
      </c>
      <c r="E13" s="20"/>
      <c r="F13" s="11">
        <f>D13/C13</f>
        <v>6</v>
      </c>
      <c r="G13" s="15">
        <v>0.2</v>
      </c>
      <c r="H13" s="11">
        <f>G13*D13</f>
        <v>12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>D14/C14</f>
        <v>0</v>
      </c>
      <c r="G14" s="15">
        <v>0.4</v>
      </c>
      <c r="H14" s="11">
        <f>G14*D14</f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>D15/C15</f>
        <v>0</v>
      </c>
      <c r="G15" s="15">
        <v>0.18</v>
      </c>
      <c r="H15" s="11">
        <f>G15*D15</f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>D16/C16</f>
        <v>0</v>
      </c>
      <c r="G16" s="15">
        <v>0.4</v>
      </c>
      <c r="H16" s="11">
        <f>G16*D16</f>
        <v>0</v>
      </c>
      <c r="I16" s="11"/>
    </row>
    <row r="17" spans="1:9">
      <c r="A17" s="2">
        <v>5522704</v>
      </c>
      <c r="B17" s="15" t="s">
        <v>28</v>
      </c>
      <c r="C17" s="9">
        <v>2</v>
      </c>
      <c r="D17" s="20"/>
      <c r="E17" s="20"/>
      <c r="F17" s="11">
        <f>E17/7</f>
        <v>0</v>
      </c>
      <c r="G17" s="15">
        <v>3.5</v>
      </c>
      <c r="H17" s="11">
        <f>E17</f>
        <v>0</v>
      </c>
      <c r="I17" s="11" t="s">
        <v>29</v>
      </c>
    </row>
    <row r="18" spans="1:9">
      <c r="A18" s="2">
        <v>1018950</v>
      </c>
      <c r="B18" s="15" t="s">
        <v>30</v>
      </c>
      <c r="C18" s="9">
        <v>10</v>
      </c>
      <c r="D18" s="20"/>
      <c r="E18" s="20"/>
      <c r="F18" s="11">
        <f>D18/C18</f>
        <v>0</v>
      </c>
      <c r="G18" s="15">
        <v>0.18</v>
      </c>
      <c r="H18" s="11">
        <f>G18*D18</f>
        <v>0</v>
      </c>
      <c r="I18" s="11"/>
    </row>
    <row r="19" spans="1:9">
      <c r="A19" s="2">
        <v>1018967</v>
      </c>
      <c r="B19" s="15" t="s">
        <v>31</v>
      </c>
      <c r="C19" s="9">
        <v>10</v>
      </c>
      <c r="D19" s="20"/>
      <c r="E19" s="20"/>
      <c r="F19" s="11">
        <f>D19/C19</f>
        <v>0</v>
      </c>
      <c r="G19" s="15">
        <v>0.18</v>
      </c>
      <c r="H19" s="11">
        <f>G19*D19</f>
        <v>0</v>
      </c>
      <c r="I19" s="11"/>
    </row>
    <row r="20" spans="1:9">
      <c r="A20" s="2" t="s">
        <v>32</v>
      </c>
      <c r="B20" s="15" t="s">
        <v>33</v>
      </c>
      <c r="C20" s="9">
        <v>10</v>
      </c>
      <c r="D20" s="20">
        <v>60</v>
      </c>
      <c r="E20" s="20"/>
      <c r="F20" s="11">
        <f>D20/C20</f>
        <v>6</v>
      </c>
      <c r="G20" s="15">
        <v>0.2</v>
      </c>
      <c r="H20" s="11">
        <f>G20*D20</f>
        <v>12</v>
      </c>
      <c r="I20" s="11"/>
    </row>
    <row r="21" spans="1:9">
      <c r="A21" s="2" t="s">
        <v>34</v>
      </c>
      <c r="B21" s="15" t="s">
        <v>35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36</v>
      </c>
    </row>
    <row r="22" spans="1:9">
      <c r="A22" s="2" t="s">
        <v>37</v>
      </c>
      <c r="B22" s="15" t="s">
        <v>38</v>
      </c>
      <c r="C22" s="9">
        <v>10</v>
      </c>
      <c r="D22" s="20">
        <v>90</v>
      </c>
      <c r="E22" s="20"/>
      <c r="F22" s="11">
        <f>D22/C22</f>
        <v>9</v>
      </c>
      <c r="G22" s="15">
        <v>0.2</v>
      </c>
      <c r="H22" s="11">
        <f>G22*D22</f>
        <v>18</v>
      </c>
      <c r="I22" s="11"/>
    </row>
    <row r="23" spans="1:9">
      <c r="A23" s="2" t="s">
        <v>39</v>
      </c>
      <c r="B23" s="15" t="s">
        <v>40</v>
      </c>
      <c r="C23" s="9">
        <v>4</v>
      </c>
      <c r="D23" s="20"/>
      <c r="E23" s="20">
        <v>165</v>
      </c>
      <c r="F23" s="11">
        <f>E23/15</f>
        <v>11</v>
      </c>
      <c r="G23" s="15">
        <v>3.5</v>
      </c>
      <c r="H23" s="11">
        <f>E23</f>
        <v>165</v>
      </c>
      <c r="I23" s="11" t="s">
        <v>36</v>
      </c>
    </row>
    <row r="24" spans="1:9">
      <c r="A24" s="2">
        <v>8444194</v>
      </c>
      <c r="B24" s="3" t="s">
        <v>41</v>
      </c>
      <c r="C24" s="9">
        <v>6</v>
      </c>
      <c r="D24" s="20"/>
      <c r="E24" s="20"/>
      <c r="F24" s="11">
        <f t="shared" ref="F24:F30" si="0">D24/C24</f>
        <v>0</v>
      </c>
      <c r="G24" s="15">
        <v>0.1</v>
      </c>
      <c r="H24" s="11">
        <f t="shared" ref="H24:H30" si="1">G24*D24</f>
        <v>0</v>
      </c>
      <c r="I24" s="11"/>
    </row>
    <row r="25" spans="1:9">
      <c r="A25" s="2">
        <v>8444187</v>
      </c>
      <c r="B25" s="3" t="s">
        <v>42</v>
      </c>
      <c r="C25" s="9">
        <v>6</v>
      </c>
      <c r="D25" s="20"/>
      <c r="E25" s="20"/>
      <c r="F25" s="11">
        <f t="shared" si="0"/>
        <v>0</v>
      </c>
      <c r="G25" s="15">
        <v>0.1</v>
      </c>
      <c r="H25" s="11">
        <f t="shared" si="1"/>
        <v>0</v>
      </c>
      <c r="I25" s="11"/>
    </row>
    <row r="26" spans="1:9">
      <c r="A26" s="2">
        <v>8444163</v>
      </c>
      <c r="B26" s="3" t="s">
        <v>43</v>
      </c>
      <c r="C26" s="9">
        <v>8</v>
      </c>
      <c r="D26" s="20">
        <v>48</v>
      </c>
      <c r="E26" s="20"/>
      <c r="F26" s="11">
        <f t="shared" si="0"/>
        <v>6</v>
      </c>
      <c r="G26" s="15">
        <v>0.1</v>
      </c>
      <c r="H26" s="11">
        <f t="shared" si="1"/>
        <v>4.8000000000000007</v>
      </c>
      <c r="I26" s="11"/>
    </row>
    <row r="27" spans="1:9">
      <c r="A27" s="2">
        <v>8444170</v>
      </c>
      <c r="B27" s="3" t="s">
        <v>44</v>
      </c>
      <c r="C27" s="9">
        <v>8</v>
      </c>
      <c r="D27" s="20"/>
      <c r="E27" s="20"/>
      <c r="F27" s="11">
        <f t="shared" si="0"/>
        <v>0</v>
      </c>
      <c r="G27" s="15">
        <v>0.1</v>
      </c>
      <c r="H27" s="11">
        <f t="shared" si="1"/>
        <v>0</v>
      </c>
      <c r="I27" s="11"/>
    </row>
    <row r="28" spans="1:9">
      <c r="A28" s="2">
        <v>9988377</v>
      </c>
      <c r="B28" s="3" t="s">
        <v>45</v>
      </c>
      <c r="C28" s="9">
        <v>16</v>
      </c>
      <c r="D28" s="20"/>
      <c r="E28" s="20"/>
      <c r="F28" s="11">
        <f t="shared" si="0"/>
        <v>0</v>
      </c>
      <c r="G28" s="15">
        <v>0.14000000000000001</v>
      </c>
      <c r="H28" s="11">
        <f t="shared" si="1"/>
        <v>0</v>
      </c>
      <c r="I28" s="11"/>
    </row>
    <row r="29" spans="1:9">
      <c r="A29" s="2">
        <v>9988391</v>
      </c>
      <c r="B29" s="3" t="s">
        <v>46</v>
      </c>
      <c r="C29" s="9">
        <v>16</v>
      </c>
      <c r="D29" s="20"/>
      <c r="E29" s="20"/>
      <c r="F29" s="11">
        <f t="shared" si="0"/>
        <v>0</v>
      </c>
      <c r="G29" s="15">
        <v>0.14000000000000001</v>
      </c>
      <c r="H29" s="11">
        <f t="shared" si="1"/>
        <v>0</v>
      </c>
      <c r="I29" s="11"/>
    </row>
    <row r="30" spans="1:9">
      <c r="A30" s="2">
        <v>5034819</v>
      </c>
      <c r="B30" s="3" t="s">
        <v>47</v>
      </c>
      <c r="C30" s="9">
        <v>6</v>
      </c>
      <c r="D30" s="20"/>
      <c r="E30" s="20"/>
      <c r="F30" s="11">
        <f t="shared" si="0"/>
        <v>0</v>
      </c>
      <c r="G30" s="15">
        <v>0.18</v>
      </c>
      <c r="H30" s="11">
        <f t="shared" si="1"/>
        <v>0</v>
      </c>
      <c r="I30" s="11"/>
    </row>
    <row r="31" spans="1:9">
      <c r="A31" s="2">
        <v>2981244</v>
      </c>
      <c r="B31" s="3" t="s">
        <v>48</v>
      </c>
      <c r="C31" s="9">
        <v>6</v>
      </c>
      <c r="D31" s="20"/>
      <c r="E31" s="20"/>
      <c r="F31" s="11">
        <f>E31/7.8</f>
        <v>0</v>
      </c>
      <c r="G31" s="15">
        <v>1.3</v>
      </c>
      <c r="H31" s="11">
        <f>E31</f>
        <v>0</v>
      </c>
      <c r="I31" s="11" t="s">
        <v>49</v>
      </c>
    </row>
    <row r="32" spans="1:9">
      <c r="A32" s="2">
        <v>8785198</v>
      </c>
      <c r="B32" s="3" t="s">
        <v>50</v>
      </c>
      <c r="C32" s="9">
        <v>5</v>
      </c>
      <c r="D32" s="20"/>
      <c r="E32" s="20"/>
      <c r="F32" s="11">
        <f>E32/16.5</f>
        <v>0</v>
      </c>
      <c r="G32" s="15">
        <v>3.2</v>
      </c>
      <c r="H32" s="11">
        <f>E32</f>
        <v>0</v>
      </c>
      <c r="I32" s="11" t="s">
        <v>20</v>
      </c>
    </row>
    <row r="33" spans="1:9">
      <c r="A33" s="2">
        <v>9988452</v>
      </c>
      <c r="B33" s="3" t="s">
        <v>51</v>
      </c>
      <c r="C33" s="9">
        <v>8</v>
      </c>
      <c r="D33" s="20"/>
      <c r="E33" s="20"/>
      <c r="F33" s="11">
        <f t="shared" ref="F33:F47" si="2">D33/C33</f>
        <v>0</v>
      </c>
      <c r="G33" s="15">
        <v>0.4</v>
      </c>
      <c r="H33" s="11">
        <f t="shared" ref="H33:H38" si="3">G33*D33</f>
        <v>0</v>
      </c>
      <c r="I33" s="11"/>
    </row>
    <row r="34" spans="1:9">
      <c r="A34" s="2">
        <v>9988476</v>
      </c>
      <c r="B34" s="3" t="s">
        <v>52</v>
      </c>
      <c r="C34" s="9">
        <v>28</v>
      </c>
      <c r="D34" s="20"/>
      <c r="E34" s="20"/>
      <c r="F34" s="11">
        <f t="shared" si="2"/>
        <v>0</v>
      </c>
      <c r="G34" s="15">
        <v>0.4</v>
      </c>
      <c r="H34" s="11">
        <f t="shared" si="3"/>
        <v>0</v>
      </c>
      <c r="I34" s="11"/>
    </row>
    <row r="35" spans="1:9">
      <c r="A35" s="2">
        <v>9988681</v>
      </c>
      <c r="B35" s="3" t="s">
        <v>53</v>
      </c>
      <c r="C35" s="9">
        <v>16</v>
      </c>
      <c r="D35" s="20">
        <v>80</v>
      </c>
      <c r="E35" s="20"/>
      <c r="F35" s="11">
        <f t="shared" si="2"/>
        <v>5</v>
      </c>
      <c r="G35" s="15">
        <v>0.18</v>
      </c>
      <c r="H35" s="11">
        <f t="shared" si="3"/>
        <v>14.399999999999999</v>
      </c>
      <c r="I35" s="11"/>
    </row>
    <row r="36" spans="1:9">
      <c r="A36" s="2">
        <v>9988438</v>
      </c>
      <c r="B36" s="3" t="s">
        <v>54</v>
      </c>
      <c r="C36" s="9">
        <v>16</v>
      </c>
      <c r="D36" s="20"/>
      <c r="E36" s="20"/>
      <c r="F36" s="11">
        <f t="shared" si="2"/>
        <v>0</v>
      </c>
      <c r="G36" s="15">
        <v>0.18</v>
      </c>
      <c r="H36" s="11">
        <f t="shared" si="3"/>
        <v>0</v>
      </c>
      <c r="I36" s="11"/>
    </row>
    <row r="37" spans="1:9">
      <c r="A37" s="2">
        <v>9988445</v>
      </c>
      <c r="B37" s="3" t="s">
        <v>55</v>
      </c>
      <c r="C37" s="9">
        <v>16</v>
      </c>
      <c r="D37" s="20"/>
      <c r="E37" s="20"/>
      <c r="F37" s="11">
        <f t="shared" si="2"/>
        <v>0</v>
      </c>
      <c r="G37" s="15">
        <v>0.18</v>
      </c>
      <c r="H37" s="11">
        <f t="shared" si="3"/>
        <v>0</v>
      </c>
      <c r="I37" s="11"/>
    </row>
    <row r="38" spans="1:9">
      <c r="A38" s="2">
        <v>9988421</v>
      </c>
      <c r="B38" s="3" t="s">
        <v>56</v>
      </c>
      <c r="C38" s="9">
        <v>16</v>
      </c>
      <c r="D38" s="20"/>
      <c r="E38" s="20"/>
      <c r="F38" s="11">
        <f t="shared" si="2"/>
        <v>0</v>
      </c>
      <c r="G38" s="15">
        <v>0.14000000000000001</v>
      </c>
      <c r="H38" s="11">
        <f t="shared" si="3"/>
        <v>0</v>
      </c>
      <c r="I38" s="11"/>
    </row>
    <row r="39" spans="1:9">
      <c r="A39" s="2">
        <v>9988674</v>
      </c>
      <c r="B39" s="3" t="s">
        <v>57</v>
      </c>
      <c r="C39" s="9">
        <v>16</v>
      </c>
      <c r="D39" s="20"/>
      <c r="E39" s="20"/>
      <c r="F39" s="11">
        <f t="shared" si="2"/>
        <v>0</v>
      </c>
      <c r="G39" s="15">
        <v>0.18</v>
      </c>
      <c r="H39" s="11">
        <f t="shared" ref="H39:H44" si="4">D39*G39</f>
        <v>0</v>
      </c>
      <c r="I39" s="11"/>
    </row>
    <row r="40" spans="1:9">
      <c r="A40" s="22">
        <v>8444903</v>
      </c>
      <c r="B40" s="23" t="s">
        <v>58</v>
      </c>
      <c r="C40" s="9">
        <v>8</v>
      </c>
      <c r="D40" s="20"/>
      <c r="E40" s="20"/>
      <c r="F40" s="11">
        <f t="shared" si="2"/>
        <v>0</v>
      </c>
      <c r="G40" s="15">
        <v>0.1</v>
      </c>
      <c r="H40" s="11">
        <f t="shared" si="4"/>
        <v>0</v>
      </c>
      <c r="I40" s="11"/>
    </row>
    <row r="41" spans="1:9">
      <c r="A41" s="22">
        <v>8444910</v>
      </c>
      <c r="B41" s="23" t="s">
        <v>59</v>
      </c>
      <c r="C41" s="9">
        <v>8</v>
      </c>
      <c r="D41" s="20"/>
      <c r="E41" s="20"/>
      <c r="F41" s="11">
        <f t="shared" si="2"/>
        <v>0</v>
      </c>
      <c r="G41" s="15">
        <v>0.1</v>
      </c>
      <c r="H41" s="11">
        <f t="shared" si="4"/>
        <v>0</v>
      </c>
      <c r="I41" s="11"/>
    </row>
    <row r="42" spans="1:9">
      <c r="A42" s="22">
        <v>8444927</v>
      </c>
      <c r="B42" s="23" t="s">
        <v>60</v>
      </c>
      <c r="C42" s="9">
        <v>8</v>
      </c>
      <c r="D42" s="20"/>
      <c r="E42" s="20"/>
      <c r="F42" s="11">
        <f t="shared" si="2"/>
        <v>0</v>
      </c>
      <c r="G42" s="15">
        <v>0.1</v>
      </c>
      <c r="H42" s="11">
        <f t="shared" si="4"/>
        <v>0</v>
      </c>
      <c r="I42" s="11"/>
    </row>
    <row r="43" spans="1:9">
      <c r="A43" s="22">
        <v>6600454</v>
      </c>
      <c r="B43" s="23" t="s">
        <v>61</v>
      </c>
      <c r="C43" s="9">
        <v>12</v>
      </c>
      <c r="D43" s="20"/>
      <c r="E43" s="20"/>
      <c r="F43" s="11">
        <f t="shared" si="2"/>
        <v>0</v>
      </c>
      <c r="G43" s="15">
        <v>0.125</v>
      </c>
      <c r="H43" s="11">
        <f t="shared" si="4"/>
        <v>0</v>
      </c>
      <c r="I43" s="11"/>
    </row>
    <row r="44" spans="1:9">
      <c r="A44" s="22">
        <v>6600447</v>
      </c>
      <c r="B44" s="23" t="s">
        <v>62</v>
      </c>
      <c r="C44" s="9">
        <v>12</v>
      </c>
      <c r="D44" s="20"/>
      <c r="E44" s="20"/>
      <c r="F44" s="11">
        <f t="shared" si="2"/>
        <v>0</v>
      </c>
      <c r="G44" s="15">
        <v>0.125</v>
      </c>
      <c r="H44" s="11">
        <f t="shared" si="4"/>
        <v>0</v>
      </c>
      <c r="I44" s="11"/>
    </row>
    <row r="45" spans="1:9">
      <c r="A45" s="18">
        <v>4421584</v>
      </c>
      <c r="B45" s="19" t="s">
        <v>63</v>
      </c>
      <c r="C45" s="9">
        <v>12</v>
      </c>
      <c r="D45" s="20"/>
      <c r="E45" s="20"/>
      <c r="F45" s="11">
        <f t="shared" si="2"/>
        <v>0</v>
      </c>
      <c r="G45" s="15">
        <v>0.18</v>
      </c>
      <c r="H45" s="11">
        <f>G45*D45</f>
        <v>0</v>
      </c>
      <c r="I45" s="11"/>
    </row>
    <row r="46" spans="1:9">
      <c r="A46" s="18">
        <v>4421577</v>
      </c>
      <c r="B46" s="19" t="s">
        <v>64</v>
      </c>
      <c r="C46" s="9">
        <v>12</v>
      </c>
      <c r="D46" s="20"/>
      <c r="E46" s="20"/>
      <c r="F46" s="11">
        <f t="shared" si="2"/>
        <v>0</v>
      </c>
      <c r="G46" s="15">
        <v>0.18</v>
      </c>
      <c r="H46" s="11">
        <f>G46*D46</f>
        <v>0</v>
      </c>
      <c r="I46" s="11"/>
    </row>
    <row r="47" spans="1:9">
      <c r="A47" s="18">
        <v>9985949</v>
      </c>
      <c r="B47" s="19" t="s">
        <v>65</v>
      </c>
      <c r="C47" s="9">
        <v>10</v>
      </c>
      <c r="D47" s="20"/>
      <c r="E47" s="20"/>
      <c r="F47" s="11">
        <f t="shared" si="2"/>
        <v>0</v>
      </c>
      <c r="G47" s="21">
        <v>1</v>
      </c>
      <c r="H47" s="11">
        <f>G47*D47</f>
        <v>0</v>
      </c>
      <c r="I47" s="11"/>
    </row>
    <row r="48" spans="1:9">
      <c r="A48" s="18">
        <v>8786928</v>
      </c>
      <c r="B48" s="19" t="s">
        <v>66</v>
      </c>
      <c r="C48" s="9">
        <v>4</v>
      </c>
      <c r="D48" s="20"/>
      <c r="E48" s="20"/>
      <c r="F48" s="11">
        <f>E48/6</f>
        <v>0</v>
      </c>
      <c r="G48" s="15">
        <v>1.5</v>
      </c>
      <c r="H48" s="11">
        <f>E48</f>
        <v>0</v>
      </c>
      <c r="I48" s="11" t="s">
        <v>67</v>
      </c>
    </row>
    <row r="49" spans="1:9">
      <c r="A49" s="11"/>
      <c r="B49" s="15" t="s">
        <v>68</v>
      </c>
      <c r="C49" s="11"/>
      <c r="D49" s="20"/>
      <c r="E49" s="20"/>
      <c r="F49" s="11"/>
      <c r="G49" s="11"/>
      <c r="H49" s="3">
        <f>SUM(H4:H48)</f>
        <v>430.2</v>
      </c>
      <c r="I49" s="11"/>
    </row>
  </sheetData>
  <autoFilter ref="A3:I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workbookViewId="0">
      <pane ySplit="3" topLeftCell="A19" activePane="bottomLeft" state="frozen"/>
      <selection pane="bottomLeft" activeCell="E8" sqref="E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100</v>
      </c>
      <c r="E4" s="20"/>
      <c r="F4" s="11">
        <f>D4/C4</f>
        <v>10</v>
      </c>
      <c r="G4" s="15">
        <v>0.18</v>
      </c>
      <c r="H4" s="11">
        <f>G4*D4</f>
        <v>18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33</v>
      </c>
      <c r="F5" s="11">
        <f>E5/16.5</f>
        <v>2</v>
      </c>
      <c r="G5" s="15">
        <v>3.2</v>
      </c>
      <c r="H5" s="11">
        <f>E5</f>
        <v>33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30</v>
      </c>
      <c r="E6" s="20"/>
      <c r="F6" s="11">
        <f>D6/C6</f>
        <v>3</v>
      </c>
      <c r="G6" s="15">
        <v>0.18</v>
      </c>
      <c r="H6" s="11">
        <f>G6*D6</f>
        <v>5.3999999999999995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>
        <v>16.5</v>
      </c>
      <c r="F7" s="11">
        <f>E7/16.5</f>
        <v>1</v>
      </c>
      <c r="G7" s="11">
        <v>3.5</v>
      </c>
      <c r="H7" s="11">
        <f>E7</f>
        <v>16.5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100</v>
      </c>
      <c r="E8" s="20"/>
      <c r="F8" s="11">
        <f>D8/C8</f>
        <v>10</v>
      </c>
      <c r="G8" s="15">
        <v>0.18</v>
      </c>
      <c r="H8" s="11">
        <f>G8*D8</f>
        <v>18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80</v>
      </c>
      <c r="E10" s="20"/>
      <c r="F10" s="11">
        <f>D10/C10</f>
        <v>8</v>
      </c>
      <c r="G10" s="15">
        <v>0.18</v>
      </c>
      <c r="H10" s="11">
        <f>G10*D10</f>
        <v>14.399999999999999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70</v>
      </c>
      <c r="E13" s="20"/>
      <c r="F13" s="11">
        <f>D13/C13</f>
        <v>7</v>
      </c>
      <c r="G13" s="15">
        <v>0.2</v>
      </c>
      <c r="H13" s="11">
        <f>G13*D13</f>
        <v>14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>D14/C14</f>
        <v>0</v>
      </c>
      <c r="G14" s="15">
        <v>0.4</v>
      </c>
      <c r="H14" s="11">
        <f>G14*D14</f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40</v>
      </c>
      <c r="E15" s="20"/>
      <c r="F15" s="11">
        <f>D15/C15</f>
        <v>4</v>
      </c>
      <c r="G15" s="15">
        <v>0.18</v>
      </c>
      <c r="H15" s="11">
        <f>G15*D15</f>
        <v>7.1999999999999993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>D16/C16</f>
        <v>0</v>
      </c>
      <c r="G16" s="15">
        <v>0.4</v>
      </c>
      <c r="H16" s="11">
        <f>G16*D16</f>
        <v>0</v>
      </c>
      <c r="I16" s="11"/>
    </row>
    <row r="17" spans="1:9">
      <c r="A17" s="2">
        <v>5522704</v>
      </c>
      <c r="B17" s="15" t="s">
        <v>28</v>
      </c>
      <c r="C17" s="9">
        <v>2</v>
      </c>
      <c r="D17" s="20"/>
      <c r="E17" s="20">
        <v>49</v>
      </c>
      <c r="F17" s="11">
        <f>E17/7</f>
        <v>7</v>
      </c>
      <c r="G17" s="15">
        <v>3.5</v>
      </c>
      <c r="H17" s="11">
        <f>E17</f>
        <v>49</v>
      </c>
      <c r="I17" s="11" t="s">
        <v>29</v>
      </c>
    </row>
    <row r="18" spans="1:9">
      <c r="A18" s="2">
        <v>1018950</v>
      </c>
      <c r="B18" s="15" t="s">
        <v>30</v>
      </c>
      <c r="C18" s="9">
        <v>10</v>
      </c>
      <c r="D18" s="20"/>
      <c r="E18" s="20"/>
      <c r="F18" s="11">
        <f>D18/C18</f>
        <v>0</v>
      </c>
      <c r="G18" s="15">
        <v>0.18</v>
      </c>
      <c r="H18" s="11">
        <f>G18*D18</f>
        <v>0</v>
      </c>
      <c r="I18" s="11"/>
    </row>
    <row r="19" spans="1:9">
      <c r="A19" s="2">
        <v>1018967</v>
      </c>
      <c r="B19" s="15" t="s">
        <v>31</v>
      </c>
      <c r="C19" s="9">
        <v>10</v>
      </c>
      <c r="D19" s="20"/>
      <c r="E19" s="20"/>
      <c r="F19" s="11">
        <f>D19/C19</f>
        <v>0</v>
      </c>
      <c r="G19" s="15">
        <v>0.18</v>
      </c>
      <c r="H19" s="11">
        <f>G19*D19</f>
        <v>0</v>
      </c>
      <c r="I19" s="11"/>
    </row>
    <row r="20" spans="1:9">
      <c r="A20" s="2" t="s">
        <v>32</v>
      </c>
      <c r="B20" s="15" t="s">
        <v>33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34</v>
      </c>
      <c r="B21" s="15" t="s">
        <v>35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36</v>
      </c>
    </row>
    <row r="22" spans="1:9">
      <c r="A22" s="2" t="s">
        <v>37</v>
      </c>
      <c r="B22" s="15" t="s">
        <v>38</v>
      </c>
      <c r="C22" s="9">
        <v>10</v>
      </c>
      <c r="D22" s="20">
        <v>10</v>
      </c>
      <c r="E22" s="20"/>
      <c r="F22" s="11">
        <f>D22/C22</f>
        <v>1</v>
      </c>
      <c r="G22" s="15">
        <v>0.2</v>
      </c>
      <c r="H22" s="11">
        <f>G22*D22</f>
        <v>2</v>
      </c>
      <c r="I22" s="11"/>
    </row>
    <row r="23" spans="1:9">
      <c r="A23" s="2" t="s">
        <v>39</v>
      </c>
      <c r="B23" s="15" t="s">
        <v>40</v>
      </c>
      <c r="C23" s="9">
        <v>4</v>
      </c>
      <c r="D23" s="20"/>
      <c r="E23" s="20">
        <v>345</v>
      </c>
      <c r="F23" s="11">
        <f>E23/15</f>
        <v>23</v>
      </c>
      <c r="G23" s="15">
        <v>3.5</v>
      </c>
      <c r="H23" s="11">
        <f>E23</f>
        <v>345</v>
      </c>
      <c r="I23" s="11" t="s">
        <v>36</v>
      </c>
    </row>
    <row r="24" spans="1:9">
      <c r="A24" s="2">
        <v>8444194</v>
      </c>
      <c r="B24" s="3" t="s">
        <v>41</v>
      </c>
      <c r="C24" s="9">
        <v>6</v>
      </c>
      <c r="D24" s="20">
        <v>132</v>
      </c>
      <c r="E24" s="20"/>
      <c r="F24" s="11">
        <f t="shared" ref="F24:F30" si="0">D24/C24</f>
        <v>22</v>
      </c>
      <c r="G24" s="15">
        <v>0.1</v>
      </c>
      <c r="H24" s="11">
        <f t="shared" ref="H24:H30" si="1">G24*D24</f>
        <v>13.200000000000001</v>
      </c>
      <c r="I24" s="11"/>
    </row>
    <row r="25" spans="1:9">
      <c r="A25" s="2">
        <v>8444187</v>
      </c>
      <c r="B25" s="3" t="s">
        <v>42</v>
      </c>
      <c r="C25" s="9">
        <v>6</v>
      </c>
      <c r="D25" s="20">
        <v>144</v>
      </c>
      <c r="E25" s="20"/>
      <c r="F25" s="11">
        <f t="shared" si="0"/>
        <v>24</v>
      </c>
      <c r="G25" s="15">
        <v>0.1</v>
      </c>
      <c r="H25" s="11">
        <f t="shared" si="1"/>
        <v>14.4</v>
      </c>
      <c r="I25" s="11"/>
    </row>
    <row r="26" spans="1:9">
      <c r="A26" s="2">
        <v>8444163</v>
      </c>
      <c r="B26" s="3" t="s">
        <v>43</v>
      </c>
      <c r="C26" s="9">
        <v>8</v>
      </c>
      <c r="D26" s="20">
        <v>16</v>
      </c>
      <c r="E26" s="20"/>
      <c r="F26" s="11">
        <f t="shared" si="0"/>
        <v>2</v>
      </c>
      <c r="G26" s="15">
        <v>0.1</v>
      </c>
      <c r="H26" s="11">
        <f t="shared" si="1"/>
        <v>1.6</v>
      </c>
      <c r="I26" s="11"/>
    </row>
    <row r="27" spans="1:9">
      <c r="A27" s="2">
        <v>8444170</v>
      </c>
      <c r="B27" s="3" t="s">
        <v>44</v>
      </c>
      <c r="C27" s="9">
        <v>8</v>
      </c>
      <c r="D27" s="20"/>
      <c r="E27" s="20"/>
      <c r="F27" s="11">
        <f t="shared" si="0"/>
        <v>0</v>
      </c>
      <c r="G27" s="15">
        <v>0.1</v>
      </c>
      <c r="H27" s="11">
        <f t="shared" si="1"/>
        <v>0</v>
      </c>
      <c r="I27" s="11"/>
    </row>
    <row r="28" spans="1:9">
      <c r="A28" s="2">
        <v>9988377</v>
      </c>
      <c r="B28" s="3" t="s">
        <v>45</v>
      </c>
      <c r="C28" s="9">
        <v>16</v>
      </c>
      <c r="D28" s="20"/>
      <c r="E28" s="20"/>
      <c r="F28" s="11">
        <f t="shared" si="0"/>
        <v>0</v>
      </c>
      <c r="G28" s="15">
        <v>0.14000000000000001</v>
      </c>
      <c r="H28" s="11">
        <f t="shared" si="1"/>
        <v>0</v>
      </c>
      <c r="I28" s="11"/>
    </row>
    <row r="29" spans="1:9">
      <c r="A29" s="2">
        <v>9988391</v>
      </c>
      <c r="B29" s="3" t="s">
        <v>46</v>
      </c>
      <c r="C29" s="9">
        <v>16</v>
      </c>
      <c r="D29" s="20"/>
      <c r="E29" s="20"/>
      <c r="F29" s="11">
        <f t="shared" si="0"/>
        <v>0</v>
      </c>
      <c r="G29" s="15">
        <v>0.14000000000000001</v>
      </c>
      <c r="H29" s="11">
        <f t="shared" si="1"/>
        <v>0</v>
      </c>
      <c r="I29" s="11"/>
    </row>
    <row r="30" spans="1:9">
      <c r="A30" s="2">
        <v>5034819</v>
      </c>
      <c r="B30" s="3" t="s">
        <v>47</v>
      </c>
      <c r="C30" s="9">
        <v>6</v>
      </c>
      <c r="D30" s="20">
        <v>12</v>
      </c>
      <c r="E30" s="20"/>
      <c r="F30" s="11">
        <f t="shared" si="0"/>
        <v>2</v>
      </c>
      <c r="G30" s="15">
        <v>0.18</v>
      </c>
      <c r="H30" s="11">
        <f t="shared" si="1"/>
        <v>2.16</v>
      </c>
      <c r="I30" s="11"/>
    </row>
    <row r="31" spans="1:9">
      <c r="A31" s="2">
        <v>2981244</v>
      </c>
      <c r="B31" s="3" t="s">
        <v>48</v>
      </c>
      <c r="C31" s="9">
        <v>6</v>
      </c>
      <c r="D31" s="20"/>
      <c r="E31" s="20"/>
      <c r="F31" s="11">
        <f>E31/7.8</f>
        <v>0</v>
      </c>
      <c r="G31" s="15">
        <v>1.3</v>
      </c>
      <c r="H31" s="11">
        <f>E31</f>
        <v>0</v>
      </c>
      <c r="I31" s="11" t="s">
        <v>49</v>
      </c>
    </row>
    <row r="32" spans="1:9">
      <c r="A32" s="2">
        <v>8785198</v>
      </c>
      <c r="B32" s="3" t="s">
        <v>50</v>
      </c>
      <c r="C32" s="9">
        <v>5</v>
      </c>
      <c r="D32" s="20"/>
      <c r="E32" s="20"/>
      <c r="F32" s="11">
        <f>E32/16.5</f>
        <v>0</v>
      </c>
      <c r="G32" s="15">
        <v>3.2</v>
      </c>
      <c r="H32" s="11">
        <f>E32</f>
        <v>0</v>
      </c>
      <c r="I32" s="11" t="s">
        <v>20</v>
      </c>
    </row>
    <row r="33" spans="1:9">
      <c r="A33" s="2">
        <v>9988452</v>
      </c>
      <c r="B33" s="3" t="s">
        <v>51</v>
      </c>
      <c r="C33" s="9">
        <v>8</v>
      </c>
      <c r="D33" s="20">
        <v>8</v>
      </c>
      <c r="E33" s="20"/>
      <c r="F33" s="11">
        <f t="shared" ref="F33:F47" si="2">D33/C33</f>
        <v>1</v>
      </c>
      <c r="G33" s="15">
        <v>0.4</v>
      </c>
      <c r="H33" s="11">
        <f t="shared" ref="H33:H38" si="3">G33*D33</f>
        <v>3.2</v>
      </c>
      <c r="I33" s="11"/>
    </row>
    <row r="34" spans="1:9">
      <c r="A34" s="2">
        <v>9988476</v>
      </c>
      <c r="B34" s="3" t="s">
        <v>52</v>
      </c>
      <c r="C34" s="9">
        <v>28</v>
      </c>
      <c r="D34" s="20"/>
      <c r="E34" s="20"/>
      <c r="F34" s="11">
        <f t="shared" si="2"/>
        <v>0</v>
      </c>
      <c r="G34" s="15">
        <v>0.4</v>
      </c>
      <c r="H34" s="11">
        <f t="shared" si="3"/>
        <v>0</v>
      </c>
      <c r="I34" s="11"/>
    </row>
    <row r="35" spans="1:9">
      <c r="A35" s="2">
        <v>9988681</v>
      </c>
      <c r="B35" s="3" t="s">
        <v>53</v>
      </c>
      <c r="C35" s="9">
        <v>16</v>
      </c>
      <c r="D35" s="20"/>
      <c r="E35" s="20"/>
      <c r="F35" s="11">
        <f t="shared" si="2"/>
        <v>0</v>
      </c>
      <c r="G35" s="15">
        <v>0.18</v>
      </c>
      <c r="H35" s="11">
        <f t="shared" si="3"/>
        <v>0</v>
      </c>
      <c r="I35" s="11"/>
    </row>
    <row r="36" spans="1:9">
      <c r="A36" s="2">
        <v>9988438</v>
      </c>
      <c r="B36" s="3" t="s">
        <v>54</v>
      </c>
      <c r="C36" s="9">
        <v>16</v>
      </c>
      <c r="D36" s="20"/>
      <c r="E36" s="20"/>
      <c r="F36" s="11">
        <f t="shared" si="2"/>
        <v>0</v>
      </c>
      <c r="G36" s="15">
        <v>0.18</v>
      </c>
      <c r="H36" s="11">
        <f t="shared" si="3"/>
        <v>0</v>
      </c>
      <c r="I36" s="11"/>
    </row>
    <row r="37" spans="1:9">
      <c r="A37" s="2">
        <v>9988445</v>
      </c>
      <c r="B37" s="3" t="s">
        <v>55</v>
      </c>
      <c r="C37" s="9">
        <v>16</v>
      </c>
      <c r="D37" s="20"/>
      <c r="E37" s="20"/>
      <c r="F37" s="11">
        <f t="shared" si="2"/>
        <v>0</v>
      </c>
      <c r="G37" s="15">
        <v>0.18</v>
      </c>
      <c r="H37" s="11">
        <f t="shared" si="3"/>
        <v>0</v>
      </c>
      <c r="I37" s="11"/>
    </row>
    <row r="38" spans="1:9">
      <c r="A38" s="2">
        <v>9988421</v>
      </c>
      <c r="B38" s="3" t="s">
        <v>56</v>
      </c>
      <c r="C38" s="9">
        <v>16</v>
      </c>
      <c r="D38" s="20"/>
      <c r="E38" s="20"/>
      <c r="F38" s="11">
        <f t="shared" si="2"/>
        <v>0</v>
      </c>
      <c r="G38" s="15">
        <v>0.14000000000000001</v>
      </c>
      <c r="H38" s="11">
        <f t="shared" si="3"/>
        <v>0</v>
      </c>
      <c r="I38" s="11"/>
    </row>
    <row r="39" spans="1:9">
      <c r="A39" s="2">
        <v>9988674</v>
      </c>
      <c r="B39" s="3" t="s">
        <v>57</v>
      </c>
      <c r="C39" s="9">
        <v>16</v>
      </c>
      <c r="D39" s="20"/>
      <c r="E39" s="20"/>
      <c r="F39" s="11">
        <f t="shared" si="2"/>
        <v>0</v>
      </c>
      <c r="G39" s="15">
        <v>0.18</v>
      </c>
      <c r="H39" s="11">
        <f t="shared" ref="H39:H44" si="4">D39*G39</f>
        <v>0</v>
      </c>
      <c r="I39" s="11"/>
    </row>
    <row r="40" spans="1:9">
      <c r="A40" s="22">
        <v>8444903</v>
      </c>
      <c r="B40" s="23" t="s">
        <v>58</v>
      </c>
      <c r="C40" s="9">
        <v>8</v>
      </c>
      <c r="D40" s="20"/>
      <c r="E40" s="20"/>
      <c r="F40" s="11">
        <f t="shared" si="2"/>
        <v>0</v>
      </c>
      <c r="G40" s="15">
        <v>0.1</v>
      </c>
      <c r="H40" s="11">
        <f t="shared" si="4"/>
        <v>0</v>
      </c>
      <c r="I40" s="11"/>
    </row>
    <row r="41" spans="1:9">
      <c r="A41" s="22">
        <v>8444910</v>
      </c>
      <c r="B41" s="23" t="s">
        <v>59</v>
      </c>
      <c r="C41" s="9">
        <v>8</v>
      </c>
      <c r="D41" s="20"/>
      <c r="E41" s="20"/>
      <c r="F41" s="11">
        <f t="shared" si="2"/>
        <v>0</v>
      </c>
      <c r="G41" s="15">
        <v>0.1</v>
      </c>
      <c r="H41" s="11">
        <f t="shared" si="4"/>
        <v>0</v>
      </c>
      <c r="I41" s="11"/>
    </row>
    <row r="42" spans="1:9">
      <c r="A42" s="22">
        <v>8444927</v>
      </c>
      <c r="B42" s="23" t="s">
        <v>60</v>
      </c>
      <c r="C42" s="9">
        <v>8</v>
      </c>
      <c r="D42" s="20"/>
      <c r="E42" s="20"/>
      <c r="F42" s="11">
        <f t="shared" si="2"/>
        <v>0</v>
      </c>
      <c r="G42" s="15">
        <v>0.1</v>
      </c>
      <c r="H42" s="11">
        <f t="shared" si="4"/>
        <v>0</v>
      </c>
      <c r="I42" s="11"/>
    </row>
    <row r="43" spans="1:9">
      <c r="A43" s="22">
        <v>6600454</v>
      </c>
      <c r="B43" s="23" t="s">
        <v>61</v>
      </c>
      <c r="C43" s="9">
        <v>12</v>
      </c>
      <c r="D43" s="20"/>
      <c r="E43" s="20"/>
      <c r="F43" s="11">
        <f t="shared" si="2"/>
        <v>0</v>
      </c>
      <c r="G43" s="15">
        <v>0.125</v>
      </c>
      <c r="H43" s="11">
        <f t="shared" si="4"/>
        <v>0</v>
      </c>
      <c r="I43" s="11"/>
    </row>
    <row r="44" spans="1:9">
      <c r="A44" s="22">
        <v>6600447</v>
      </c>
      <c r="B44" s="23" t="s">
        <v>62</v>
      </c>
      <c r="C44" s="9">
        <v>12</v>
      </c>
      <c r="D44" s="20"/>
      <c r="E44" s="20"/>
      <c r="F44" s="11">
        <f t="shared" si="2"/>
        <v>0</v>
      </c>
      <c r="G44" s="15">
        <v>0.125</v>
      </c>
      <c r="H44" s="11">
        <f t="shared" si="4"/>
        <v>0</v>
      </c>
      <c r="I44" s="11"/>
    </row>
    <row r="45" spans="1:9">
      <c r="A45" s="18">
        <v>4421584</v>
      </c>
      <c r="B45" s="19" t="s">
        <v>63</v>
      </c>
      <c r="C45" s="9">
        <v>12</v>
      </c>
      <c r="D45" s="20"/>
      <c r="E45" s="20"/>
      <c r="F45" s="11">
        <f t="shared" si="2"/>
        <v>0</v>
      </c>
      <c r="G45" s="15">
        <v>0.18</v>
      </c>
      <c r="H45" s="11">
        <f>G45*D45</f>
        <v>0</v>
      </c>
      <c r="I45" s="11"/>
    </row>
    <row r="46" spans="1:9">
      <c r="A46" s="18">
        <v>4421577</v>
      </c>
      <c r="B46" s="19" t="s">
        <v>64</v>
      </c>
      <c r="C46" s="9">
        <v>12</v>
      </c>
      <c r="D46" s="20"/>
      <c r="E46" s="20"/>
      <c r="F46" s="11">
        <f t="shared" si="2"/>
        <v>0</v>
      </c>
      <c r="G46" s="15">
        <v>0.18</v>
      </c>
      <c r="H46" s="11">
        <f>G46*D46</f>
        <v>0</v>
      </c>
      <c r="I46" s="11"/>
    </row>
    <row r="47" spans="1:9">
      <c r="A47" s="18">
        <v>9985949</v>
      </c>
      <c r="B47" s="19" t="s">
        <v>65</v>
      </c>
      <c r="C47" s="9">
        <v>10</v>
      </c>
      <c r="D47" s="20"/>
      <c r="E47" s="20"/>
      <c r="F47" s="11">
        <f t="shared" si="2"/>
        <v>0</v>
      </c>
      <c r="G47" s="21">
        <v>1</v>
      </c>
      <c r="H47" s="11">
        <f>G47*D47</f>
        <v>0</v>
      </c>
      <c r="I47" s="11"/>
    </row>
    <row r="48" spans="1:9">
      <c r="A48" s="18">
        <v>8786928</v>
      </c>
      <c r="B48" s="19" t="s">
        <v>66</v>
      </c>
      <c r="C48" s="9">
        <v>4</v>
      </c>
      <c r="D48" s="20"/>
      <c r="E48" s="20"/>
      <c r="F48" s="11">
        <f>E48/6</f>
        <v>0</v>
      </c>
      <c r="G48" s="15">
        <v>1.5</v>
      </c>
      <c r="H48" s="11">
        <f>E48</f>
        <v>0</v>
      </c>
      <c r="I48" s="11" t="s">
        <v>67</v>
      </c>
    </row>
    <row r="49" spans="1:9">
      <c r="A49" s="11"/>
      <c r="B49" s="15" t="s">
        <v>68</v>
      </c>
      <c r="C49" s="11"/>
      <c r="D49" s="20"/>
      <c r="E49" s="20"/>
      <c r="F49" s="11"/>
      <c r="G49" s="11"/>
      <c r="H49" s="3">
        <f>SUM(H4:H48)</f>
        <v>557.06000000000006</v>
      </c>
      <c r="I49" s="11"/>
    </row>
  </sheetData>
  <autoFilter ref="A3:I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workbookViewId="0">
      <pane ySplit="3" topLeftCell="A22" activePane="bottomLeft" state="frozen"/>
      <selection pane="bottomLeft" activeCell="D7" sqref="D7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60</v>
      </c>
      <c r="E4" s="20"/>
      <c r="F4" s="11">
        <f>D4/C4</f>
        <v>6</v>
      </c>
      <c r="G4" s="15">
        <v>0.18</v>
      </c>
      <c r="H4" s="11">
        <f>G4*D4</f>
        <v>10.799999999999999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30</v>
      </c>
      <c r="E8" s="20"/>
      <c r="F8" s="11">
        <f>D8/C8</f>
        <v>3</v>
      </c>
      <c r="G8" s="15">
        <v>0.18</v>
      </c>
      <c r="H8" s="11">
        <f>G8*D8</f>
        <v>5.3999999999999995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>D13/C13</f>
        <v>0</v>
      </c>
      <c r="G13" s="15">
        <v>0.2</v>
      </c>
      <c r="H13" s="11">
        <f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>D14/C14</f>
        <v>0</v>
      </c>
      <c r="G14" s="15">
        <v>0.4</v>
      </c>
      <c r="H14" s="11">
        <f>G14*D14</f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>D15/C15</f>
        <v>0</v>
      </c>
      <c r="G15" s="15">
        <v>0.18</v>
      </c>
      <c r="H15" s="11">
        <f>G15*D15</f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>D16/C16</f>
        <v>0</v>
      </c>
      <c r="G16" s="15">
        <v>0.4</v>
      </c>
      <c r="H16" s="11">
        <f>G16*D16</f>
        <v>0</v>
      </c>
      <c r="I16" s="11"/>
    </row>
    <row r="17" spans="1:9">
      <c r="A17" s="2">
        <v>5522704</v>
      </c>
      <c r="B17" s="15" t="s">
        <v>28</v>
      </c>
      <c r="C17" s="9">
        <v>2</v>
      </c>
      <c r="D17" s="20"/>
      <c r="E17" s="20"/>
      <c r="F17" s="11">
        <f>E17/7</f>
        <v>0</v>
      </c>
      <c r="G17" s="15">
        <v>3.5</v>
      </c>
      <c r="H17" s="11">
        <f>E17</f>
        <v>0</v>
      </c>
      <c r="I17" s="11" t="s">
        <v>29</v>
      </c>
    </row>
    <row r="18" spans="1:9">
      <c r="A18" s="2">
        <v>1018950</v>
      </c>
      <c r="B18" s="15" t="s">
        <v>30</v>
      </c>
      <c r="C18" s="9">
        <v>10</v>
      </c>
      <c r="D18" s="20"/>
      <c r="E18" s="20"/>
      <c r="F18" s="11">
        <f>D18/C18</f>
        <v>0</v>
      </c>
      <c r="G18" s="15">
        <v>0.18</v>
      </c>
      <c r="H18" s="11">
        <f>G18*D18</f>
        <v>0</v>
      </c>
      <c r="I18" s="11"/>
    </row>
    <row r="19" spans="1:9">
      <c r="A19" s="2">
        <v>1018967</v>
      </c>
      <c r="B19" s="15" t="s">
        <v>31</v>
      </c>
      <c r="C19" s="9">
        <v>10</v>
      </c>
      <c r="D19" s="20"/>
      <c r="E19" s="20"/>
      <c r="F19" s="11">
        <f>D19/C19</f>
        <v>0</v>
      </c>
      <c r="G19" s="15">
        <v>0.18</v>
      </c>
      <c r="H19" s="11">
        <f>G19*D19</f>
        <v>0</v>
      </c>
      <c r="I19" s="11"/>
    </row>
    <row r="20" spans="1:9">
      <c r="A20" s="2" t="s">
        <v>32</v>
      </c>
      <c r="B20" s="15" t="s">
        <v>33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34</v>
      </c>
      <c r="B21" s="15" t="s">
        <v>35</v>
      </c>
      <c r="C21" s="9">
        <v>4</v>
      </c>
      <c r="D21" s="20"/>
      <c r="E21" s="20">
        <v>75</v>
      </c>
      <c r="F21" s="11">
        <f>E21/15</f>
        <v>5</v>
      </c>
      <c r="G21" s="15">
        <v>3.5</v>
      </c>
      <c r="H21" s="11">
        <f>E21</f>
        <v>75</v>
      </c>
      <c r="I21" s="11" t="s">
        <v>36</v>
      </c>
    </row>
    <row r="22" spans="1:9">
      <c r="A22" s="2" t="s">
        <v>37</v>
      </c>
      <c r="B22" s="15" t="s">
        <v>38</v>
      </c>
      <c r="C22" s="9">
        <v>10</v>
      </c>
      <c r="D22" s="20">
        <v>120</v>
      </c>
      <c r="E22" s="20"/>
      <c r="F22" s="11">
        <f>D22/C22</f>
        <v>12</v>
      </c>
      <c r="G22" s="15">
        <v>0.2</v>
      </c>
      <c r="H22" s="11">
        <f>G22*D22</f>
        <v>24</v>
      </c>
      <c r="I22" s="11"/>
    </row>
    <row r="23" spans="1:9">
      <c r="A23" s="2" t="s">
        <v>39</v>
      </c>
      <c r="B23" s="15" t="s">
        <v>40</v>
      </c>
      <c r="C23" s="9">
        <v>4</v>
      </c>
      <c r="D23" s="20"/>
      <c r="E23" s="20">
        <v>60</v>
      </c>
      <c r="F23" s="11">
        <f>E23/15</f>
        <v>4</v>
      </c>
      <c r="G23" s="15">
        <v>3.5</v>
      </c>
      <c r="H23" s="11">
        <f>E23</f>
        <v>60</v>
      </c>
      <c r="I23" s="11" t="s">
        <v>36</v>
      </c>
    </row>
    <row r="24" spans="1:9">
      <c r="A24" s="2">
        <v>8444194</v>
      </c>
      <c r="B24" s="3" t="s">
        <v>41</v>
      </c>
      <c r="C24" s="9">
        <v>6</v>
      </c>
      <c r="D24" s="20"/>
      <c r="E24" s="20"/>
      <c r="F24" s="11">
        <f t="shared" ref="F24:F30" si="0">D24/C24</f>
        <v>0</v>
      </c>
      <c r="G24" s="15">
        <v>0.1</v>
      </c>
      <c r="H24" s="11">
        <f t="shared" ref="H24:H30" si="1">G24*D24</f>
        <v>0</v>
      </c>
      <c r="I24" s="11"/>
    </row>
    <row r="25" spans="1:9">
      <c r="A25" s="2">
        <v>8444187</v>
      </c>
      <c r="B25" s="3" t="s">
        <v>42</v>
      </c>
      <c r="C25" s="9">
        <v>6</v>
      </c>
      <c r="D25" s="20"/>
      <c r="E25" s="20"/>
      <c r="F25" s="11">
        <f t="shared" si="0"/>
        <v>0</v>
      </c>
      <c r="G25" s="15">
        <v>0.1</v>
      </c>
      <c r="H25" s="11">
        <f t="shared" si="1"/>
        <v>0</v>
      </c>
      <c r="I25" s="11"/>
    </row>
    <row r="26" spans="1:9">
      <c r="A26" s="2">
        <v>8444163</v>
      </c>
      <c r="B26" s="3" t="s">
        <v>43</v>
      </c>
      <c r="C26" s="9">
        <v>8</v>
      </c>
      <c r="D26" s="20"/>
      <c r="E26" s="20"/>
      <c r="F26" s="11">
        <f t="shared" si="0"/>
        <v>0</v>
      </c>
      <c r="G26" s="15">
        <v>0.1</v>
      </c>
      <c r="H26" s="11">
        <f t="shared" si="1"/>
        <v>0</v>
      </c>
      <c r="I26" s="11"/>
    </row>
    <row r="27" spans="1:9">
      <c r="A27" s="2">
        <v>8444170</v>
      </c>
      <c r="B27" s="3" t="s">
        <v>44</v>
      </c>
      <c r="C27" s="9">
        <v>8</v>
      </c>
      <c r="D27" s="20"/>
      <c r="E27" s="20"/>
      <c r="F27" s="11">
        <f t="shared" si="0"/>
        <v>0</v>
      </c>
      <c r="G27" s="15">
        <v>0.1</v>
      </c>
      <c r="H27" s="11">
        <f t="shared" si="1"/>
        <v>0</v>
      </c>
      <c r="I27" s="11"/>
    </row>
    <row r="28" spans="1:9">
      <c r="A28" s="2">
        <v>9988377</v>
      </c>
      <c r="B28" s="3" t="s">
        <v>45</v>
      </c>
      <c r="C28" s="9">
        <v>16</v>
      </c>
      <c r="D28" s="20"/>
      <c r="E28" s="20"/>
      <c r="F28" s="11">
        <f t="shared" si="0"/>
        <v>0</v>
      </c>
      <c r="G28" s="15">
        <v>0.14000000000000001</v>
      </c>
      <c r="H28" s="11">
        <f t="shared" si="1"/>
        <v>0</v>
      </c>
      <c r="I28" s="11"/>
    </row>
    <row r="29" spans="1:9">
      <c r="A29" s="2">
        <v>9988391</v>
      </c>
      <c r="B29" s="3" t="s">
        <v>46</v>
      </c>
      <c r="C29" s="9">
        <v>16</v>
      </c>
      <c r="D29" s="20"/>
      <c r="E29" s="20"/>
      <c r="F29" s="11">
        <f t="shared" si="0"/>
        <v>0</v>
      </c>
      <c r="G29" s="15">
        <v>0.14000000000000001</v>
      </c>
      <c r="H29" s="11">
        <f t="shared" si="1"/>
        <v>0</v>
      </c>
      <c r="I29" s="11"/>
    </row>
    <row r="30" spans="1:9">
      <c r="A30" s="2">
        <v>5034819</v>
      </c>
      <c r="B30" s="3" t="s">
        <v>47</v>
      </c>
      <c r="C30" s="9">
        <v>6</v>
      </c>
      <c r="D30" s="20"/>
      <c r="E30" s="20"/>
      <c r="F30" s="11">
        <f t="shared" si="0"/>
        <v>0</v>
      </c>
      <c r="G30" s="15">
        <v>0.18</v>
      </c>
      <c r="H30" s="11">
        <f t="shared" si="1"/>
        <v>0</v>
      </c>
      <c r="I30" s="11"/>
    </row>
    <row r="31" spans="1:9">
      <c r="A31" s="2">
        <v>2981244</v>
      </c>
      <c r="B31" s="3" t="s">
        <v>48</v>
      </c>
      <c r="C31" s="9">
        <v>6</v>
      </c>
      <c r="D31" s="20"/>
      <c r="E31" s="20"/>
      <c r="F31" s="11">
        <f>E31/7.8</f>
        <v>0</v>
      </c>
      <c r="G31" s="15">
        <v>1.3</v>
      </c>
      <c r="H31" s="11">
        <f>E31</f>
        <v>0</v>
      </c>
      <c r="I31" s="11" t="s">
        <v>49</v>
      </c>
    </row>
    <row r="32" spans="1:9">
      <c r="A32" s="2">
        <v>8785198</v>
      </c>
      <c r="B32" s="3" t="s">
        <v>50</v>
      </c>
      <c r="C32" s="9">
        <v>5</v>
      </c>
      <c r="D32" s="20"/>
      <c r="E32" s="20"/>
      <c r="F32" s="11">
        <f>E32/16.5</f>
        <v>0</v>
      </c>
      <c r="G32" s="15">
        <v>3.2</v>
      </c>
      <c r="H32" s="11">
        <f>E32</f>
        <v>0</v>
      </c>
      <c r="I32" s="11" t="s">
        <v>20</v>
      </c>
    </row>
    <row r="33" spans="1:9">
      <c r="A33" s="2">
        <v>9988452</v>
      </c>
      <c r="B33" s="3" t="s">
        <v>51</v>
      </c>
      <c r="C33" s="9">
        <v>8</v>
      </c>
      <c r="D33" s="20"/>
      <c r="E33" s="20"/>
      <c r="F33" s="11">
        <f t="shared" ref="F33:F47" si="2">D33/C33</f>
        <v>0</v>
      </c>
      <c r="G33" s="15">
        <v>0.4</v>
      </c>
      <c r="H33" s="11">
        <f t="shared" ref="H33:H38" si="3">G33*D33</f>
        <v>0</v>
      </c>
      <c r="I33" s="11"/>
    </row>
    <row r="34" spans="1:9">
      <c r="A34" s="2">
        <v>9988476</v>
      </c>
      <c r="B34" s="3" t="s">
        <v>52</v>
      </c>
      <c r="C34" s="9">
        <v>28</v>
      </c>
      <c r="D34" s="20"/>
      <c r="E34" s="20"/>
      <c r="F34" s="11">
        <f t="shared" si="2"/>
        <v>0</v>
      </c>
      <c r="G34" s="15">
        <v>0.4</v>
      </c>
      <c r="H34" s="11">
        <f t="shared" si="3"/>
        <v>0</v>
      </c>
      <c r="I34" s="11"/>
    </row>
    <row r="35" spans="1:9">
      <c r="A35" s="2">
        <v>9988681</v>
      </c>
      <c r="B35" s="3" t="s">
        <v>53</v>
      </c>
      <c r="C35" s="9">
        <v>16</v>
      </c>
      <c r="D35" s="20"/>
      <c r="E35" s="20"/>
      <c r="F35" s="11">
        <f t="shared" si="2"/>
        <v>0</v>
      </c>
      <c r="G35" s="15">
        <v>0.18</v>
      </c>
      <c r="H35" s="11">
        <f t="shared" si="3"/>
        <v>0</v>
      </c>
      <c r="I35" s="11"/>
    </row>
    <row r="36" spans="1:9">
      <c r="A36" s="2">
        <v>9988438</v>
      </c>
      <c r="B36" s="3" t="s">
        <v>54</v>
      </c>
      <c r="C36" s="9">
        <v>16</v>
      </c>
      <c r="D36" s="20"/>
      <c r="E36" s="20"/>
      <c r="F36" s="11">
        <f t="shared" si="2"/>
        <v>0</v>
      </c>
      <c r="G36" s="15">
        <v>0.18</v>
      </c>
      <c r="H36" s="11">
        <f t="shared" si="3"/>
        <v>0</v>
      </c>
      <c r="I36" s="11"/>
    </row>
    <row r="37" spans="1:9">
      <c r="A37" s="2">
        <v>9988445</v>
      </c>
      <c r="B37" s="3" t="s">
        <v>55</v>
      </c>
      <c r="C37" s="9">
        <v>16</v>
      </c>
      <c r="D37" s="20"/>
      <c r="E37" s="20"/>
      <c r="F37" s="11">
        <f t="shared" si="2"/>
        <v>0</v>
      </c>
      <c r="G37" s="15">
        <v>0.18</v>
      </c>
      <c r="H37" s="11">
        <f t="shared" si="3"/>
        <v>0</v>
      </c>
      <c r="I37" s="11"/>
    </row>
    <row r="38" spans="1:9">
      <c r="A38" s="2">
        <v>9988421</v>
      </c>
      <c r="B38" s="3" t="s">
        <v>56</v>
      </c>
      <c r="C38" s="9">
        <v>16</v>
      </c>
      <c r="D38" s="20"/>
      <c r="E38" s="20"/>
      <c r="F38" s="11">
        <f t="shared" si="2"/>
        <v>0</v>
      </c>
      <c r="G38" s="15">
        <v>0.14000000000000001</v>
      </c>
      <c r="H38" s="11">
        <f t="shared" si="3"/>
        <v>0</v>
      </c>
      <c r="I38" s="11"/>
    </row>
    <row r="39" spans="1:9">
      <c r="A39" s="2">
        <v>9988674</v>
      </c>
      <c r="B39" s="3" t="s">
        <v>57</v>
      </c>
      <c r="C39" s="9">
        <v>16</v>
      </c>
      <c r="D39" s="20"/>
      <c r="E39" s="20"/>
      <c r="F39" s="11">
        <f t="shared" si="2"/>
        <v>0</v>
      </c>
      <c r="G39" s="15">
        <v>0.18</v>
      </c>
      <c r="H39" s="11">
        <f t="shared" ref="H39:H44" si="4">D39*G39</f>
        <v>0</v>
      </c>
      <c r="I39" s="11"/>
    </row>
    <row r="40" spans="1:9">
      <c r="A40" s="22">
        <v>8444903</v>
      </c>
      <c r="B40" s="23" t="s">
        <v>58</v>
      </c>
      <c r="C40" s="9">
        <v>8</v>
      </c>
      <c r="D40" s="20"/>
      <c r="E40" s="20"/>
      <c r="F40" s="11">
        <f t="shared" si="2"/>
        <v>0</v>
      </c>
      <c r="G40" s="15">
        <v>0.1</v>
      </c>
      <c r="H40" s="11">
        <f t="shared" si="4"/>
        <v>0</v>
      </c>
      <c r="I40" s="11"/>
    </row>
    <row r="41" spans="1:9">
      <c r="A41" s="22">
        <v>8444910</v>
      </c>
      <c r="B41" s="23" t="s">
        <v>59</v>
      </c>
      <c r="C41" s="9">
        <v>8</v>
      </c>
      <c r="D41" s="20"/>
      <c r="E41" s="20"/>
      <c r="F41" s="11">
        <f t="shared" si="2"/>
        <v>0</v>
      </c>
      <c r="G41" s="15">
        <v>0.1</v>
      </c>
      <c r="H41" s="11">
        <f t="shared" si="4"/>
        <v>0</v>
      </c>
      <c r="I41" s="11"/>
    </row>
    <row r="42" spans="1:9">
      <c r="A42" s="22">
        <v>8444927</v>
      </c>
      <c r="B42" s="23" t="s">
        <v>60</v>
      </c>
      <c r="C42" s="9">
        <v>8</v>
      </c>
      <c r="D42" s="20"/>
      <c r="E42" s="20"/>
      <c r="F42" s="11">
        <f t="shared" si="2"/>
        <v>0</v>
      </c>
      <c r="G42" s="15">
        <v>0.1</v>
      </c>
      <c r="H42" s="11">
        <f t="shared" si="4"/>
        <v>0</v>
      </c>
      <c r="I42" s="11"/>
    </row>
    <row r="43" spans="1:9">
      <c r="A43" s="22">
        <v>6600454</v>
      </c>
      <c r="B43" s="23" t="s">
        <v>61</v>
      </c>
      <c r="C43" s="9">
        <v>12</v>
      </c>
      <c r="D43" s="20"/>
      <c r="E43" s="20"/>
      <c r="F43" s="11">
        <f t="shared" si="2"/>
        <v>0</v>
      </c>
      <c r="G43" s="15">
        <v>0.125</v>
      </c>
      <c r="H43" s="11">
        <f t="shared" si="4"/>
        <v>0</v>
      </c>
      <c r="I43" s="11"/>
    </row>
    <row r="44" spans="1:9">
      <c r="A44" s="22">
        <v>6600447</v>
      </c>
      <c r="B44" s="23" t="s">
        <v>62</v>
      </c>
      <c r="C44" s="9">
        <v>12</v>
      </c>
      <c r="D44" s="20"/>
      <c r="E44" s="20"/>
      <c r="F44" s="11">
        <f t="shared" si="2"/>
        <v>0</v>
      </c>
      <c r="G44" s="15">
        <v>0.125</v>
      </c>
      <c r="H44" s="11">
        <f t="shared" si="4"/>
        <v>0</v>
      </c>
      <c r="I44" s="11"/>
    </row>
    <row r="45" spans="1:9">
      <c r="A45" s="18">
        <v>4421584</v>
      </c>
      <c r="B45" s="19" t="s">
        <v>63</v>
      </c>
      <c r="C45" s="9">
        <v>12</v>
      </c>
      <c r="D45" s="20"/>
      <c r="E45" s="20"/>
      <c r="F45" s="11">
        <f t="shared" si="2"/>
        <v>0</v>
      </c>
      <c r="G45" s="15">
        <v>0.18</v>
      </c>
      <c r="H45" s="11">
        <f>G45*D45</f>
        <v>0</v>
      </c>
      <c r="I45" s="11"/>
    </row>
    <row r="46" spans="1:9">
      <c r="A46" s="18">
        <v>4421577</v>
      </c>
      <c r="B46" s="19" t="s">
        <v>64</v>
      </c>
      <c r="C46" s="9">
        <v>12</v>
      </c>
      <c r="D46" s="20"/>
      <c r="E46" s="20"/>
      <c r="F46" s="11">
        <f t="shared" si="2"/>
        <v>0</v>
      </c>
      <c r="G46" s="15">
        <v>0.18</v>
      </c>
      <c r="H46" s="11">
        <f>G46*D46</f>
        <v>0</v>
      </c>
      <c r="I46" s="11"/>
    </row>
    <row r="47" spans="1:9">
      <c r="A47" s="18">
        <v>9985949</v>
      </c>
      <c r="B47" s="19" t="s">
        <v>65</v>
      </c>
      <c r="C47" s="9">
        <v>10</v>
      </c>
      <c r="D47" s="20"/>
      <c r="E47" s="20"/>
      <c r="F47" s="11">
        <f t="shared" si="2"/>
        <v>0</v>
      </c>
      <c r="G47" s="21">
        <v>1</v>
      </c>
      <c r="H47" s="11">
        <f>G47*D47</f>
        <v>0</v>
      </c>
      <c r="I47" s="11"/>
    </row>
    <row r="48" spans="1:9">
      <c r="A48" s="18">
        <v>8786928</v>
      </c>
      <c r="B48" s="19" t="s">
        <v>66</v>
      </c>
      <c r="C48" s="9">
        <v>4</v>
      </c>
      <c r="D48" s="20"/>
      <c r="E48" s="20"/>
      <c r="F48" s="11">
        <f>E48/6</f>
        <v>0</v>
      </c>
      <c r="G48" s="15">
        <v>1.5</v>
      </c>
      <c r="H48" s="11">
        <f>E48</f>
        <v>0</v>
      </c>
      <c r="I48" s="11" t="s">
        <v>67</v>
      </c>
    </row>
    <row r="49" spans="1:9">
      <c r="A49" s="11"/>
      <c r="B49" s="15" t="s">
        <v>68</v>
      </c>
      <c r="C49" s="11"/>
      <c r="D49" s="20"/>
      <c r="E49" s="20"/>
      <c r="F49" s="11"/>
      <c r="G49" s="11"/>
      <c r="H49" s="3">
        <f>SUM(H4:H48)</f>
        <v>175.2</v>
      </c>
      <c r="I49" s="11"/>
    </row>
  </sheetData>
  <autoFilter ref="A3:I3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2025-11-12T11:49:38Z</dcterms:modified>
</cp:coreProperties>
</file>