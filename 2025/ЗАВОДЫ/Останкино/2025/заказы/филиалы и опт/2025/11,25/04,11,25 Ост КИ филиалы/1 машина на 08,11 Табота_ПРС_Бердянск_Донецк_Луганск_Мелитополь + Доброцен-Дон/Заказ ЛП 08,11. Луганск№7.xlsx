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FDEA85A7-E390-4470-8267-7EA5EE7C3F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Бланк!$A$9:$J$129</definedName>
    <definedName name="кол_во_инд.__упак_к">Бланк!$AC$3:$AC$565</definedName>
    <definedName name="номин.вес_нетто__кг">Бланк!$W$3:$W$565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9" i="1" l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A120" i="1"/>
  <c r="G119" i="1"/>
  <c r="A119" i="1"/>
  <c r="G118" i="1"/>
  <c r="A118" i="1"/>
  <c r="G117" i="1"/>
  <c r="A117" i="1"/>
  <c r="G116" i="1"/>
  <c r="A116" i="1"/>
  <c r="G115" i="1"/>
  <c r="A115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29" i="1" s="1"/>
  <c r="A11" i="1"/>
  <c r="F3" i="1"/>
</calcChain>
</file>

<file path=xl/sharedStrings.xml><?xml version="1.0" encoding="utf-8"?>
<sst xmlns="http://schemas.openxmlformats.org/spreadsheetml/2006/main" count="252" uniqueCount="144">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</sst>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3"/>
  <sheetViews>
    <sheetView tabSelected="1" zoomScale="87" zoomScaleNormal="87" workbookViewId="0">
      <pane ySplit="9" topLeftCell="A124" activePane="bottomLeft" state="frozen"/>
      <selection pane="bottomLeft" activeCell="K135" sqref="K13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45969</v>
      </c>
      <c r="E3" s="7" t="s">
        <v>3</v>
      </c>
      <c r="F3" s="83">
        <f>D3+3</f>
        <v>45972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236</v>
      </c>
      <c r="F12" s="23">
        <v>1.3340000000000001</v>
      </c>
      <c r="G12" s="23">
        <f>E12</f>
        <v>236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82</v>
      </c>
      <c r="F13" s="23">
        <v>0.4</v>
      </c>
      <c r="G13" s="23">
        <f>E13*F13</f>
        <v>32.800000000000004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>
        <v>163</v>
      </c>
      <c r="F15" s="23">
        <v>1.35</v>
      </c>
      <c r="G15" s="23">
        <f>E15</f>
        <v>163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148</v>
      </c>
      <c r="F22" s="23">
        <v>1.35</v>
      </c>
      <c r="G22" s="23">
        <f>E22</f>
        <v>148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16</v>
      </c>
      <c r="F23" s="23">
        <v>0.4</v>
      </c>
      <c r="G23" s="23">
        <f>E23*F23</f>
        <v>6.4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>
        <v>79</v>
      </c>
      <c r="F25" s="23">
        <v>0.4</v>
      </c>
      <c r="G25" s="23">
        <f>E25*F25</f>
        <v>31.6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>
        <v>64</v>
      </c>
      <c r="F28" s="23">
        <v>0.3</v>
      </c>
      <c r="G28" s="23">
        <f>E28*F28</f>
        <v>19.2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>
        <v>64</v>
      </c>
      <c r="F30" s="23">
        <v>1</v>
      </c>
      <c r="G30" s="23">
        <f>E30</f>
        <v>64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>
        <v>61</v>
      </c>
      <c r="F38" s="23">
        <v>1.05</v>
      </c>
      <c r="G38" s="23">
        <f>E38</f>
        <v>61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>
        <v>49</v>
      </c>
      <c r="F39" s="23">
        <v>0.4</v>
      </c>
      <c r="G39" s="23">
        <f>E39*F39</f>
        <v>19.600000000000001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>
        <v>24</v>
      </c>
      <c r="F41" s="23">
        <v>0.36</v>
      </c>
      <c r="G41" s="23">
        <f>E41*F41</f>
        <v>8.64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>
        <v>34</v>
      </c>
      <c r="F43" s="23">
        <v>0.3</v>
      </c>
      <c r="G43" s="23">
        <f>E43*F43</f>
        <v>10.199999999999999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>
        <v>125</v>
      </c>
      <c r="F44" s="23">
        <v>2.125</v>
      </c>
      <c r="G44" s="23">
        <f>E44</f>
        <v>125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84</v>
      </c>
      <c r="F47" s="23">
        <v>1</v>
      </c>
      <c r="G47" s="23">
        <f>E47</f>
        <v>84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>
        <v>45</v>
      </c>
      <c r="F50" s="23">
        <v>0.4</v>
      </c>
      <c r="G50" s="23">
        <f>E50*F50</f>
        <v>18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>
        <v>197</v>
      </c>
      <c r="F53" s="23">
        <v>1.0249999999999999</v>
      </c>
      <c r="G53" s="23">
        <f>E53</f>
        <v>197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80</v>
      </c>
      <c r="F58" s="23">
        <v>0.41</v>
      </c>
      <c r="G58" s="23">
        <f>E58*F58</f>
        <v>32.799999999999997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>
        <v>83</v>
      </c>
      <c r="F59" s="23">
        <v>0.3</v>
      </c>
      <c r="G59" s="23">
        <f>E59*F59</f>
        <v>24.9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>
        <v>127</v>
      </c>
      <c r="F60" s="23">
        <v>0.41</v>
      </c>
      <c r="G60" s="23">
        <f>E60*F60</f>
        <v>52.07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>
        <v>30</v>
      </c>
      <c r="F62" s="75">
        <v>0.98699999999999999</v>
      </c>
      <c r="G62" s="23">
        <f>E62</f>
        <v>30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26</v>
      </c>
      <c r="F63" s="23">
        <v>1</v>
      </c>
      <c r="G63" s="23">
        <f>E63</f>
        <v>26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27</v>
      </c>
      <c r="F64" s="23">
        <v>1</v>
      </c>
      <c r="G64" s="23">
        <f>E64</f>
        <v>27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/>
      <c r="F68" s="23">
        <v>0.1</v>
      </c>
      <c r="G68" s="23">
        <f t="shared" si="3"/>
        <v>0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>
        <v>75</v>
      </c>
      <c r="F69" s="23">
        <v>0.28000000000000003</v>
      </c>
      <c r="G69" s="23">
        <f t="shared" si="3"/>
        <v>21.000000000000004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>
        <v>144</v>
      </c>
      <c r="F71" s="23">
        <v>0.28000000000000003</v>
      </c>
      <c r="G71" s="23">
        <f t="shared" si="3"/>
        <v>40.320000000000007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>
        <v>142</v>
      </c>
      <c r="F72" s="23">
        <v>0.35</v>
      </c>
      <c r="G72" s="23">
        <f t="shared" si="3"/>
        <v>49.699999999999996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>
        <v>43</v>
      </c>
      <c r="F73" s="75">
        <v>0.33</v>
      </c>
      <c r="G73" s="23">
        <f t="shared" si="3"/>
        <v>14.190000000000001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151</v>
      </c>
      <c r="F74" s="23">
        <v>0.35</v>
      </c>
      <c r="G74" s="23">
        <f t="shared" si="3"/>
        <v>52.849999999999994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>
        <v>74</v>
      </c>
      <c r="F75" s="23">
        <v>0.28000000000000003</v>
      </c>
      <c r="G75" s="23">
        <f t="shared" si="3"/>
        <v>20.720000000000002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>
        <v>228</v>
      </c>
      <c r="F76" s="23">
        <v>0.28000000000000003</v>
      </c>
      <c r="G76" s="23">
        <f t="shared" si="3"/>
        <v>63.84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171</v>
      </c>
      <c r="F78" s="23">
        <v>0.35</v>
      </c>
      <c r="G78" s="23">
        <f t="shared" si="3"/>
        <v>59.849999999999994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>
        <v>144</v>
      </c>
      <c r="F79" s="23">
        <v>1</v>
      </c>
      <c r="G79" s="23">
        <f>E79</f>
        <v>144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>
        <v>72</v>
      </c>
      <c r="F80" s="23">
        <v>0.83399999999999996</v>
      </c>
      <c r="G80" s="23">
        <f>E80</f>
        <v>72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>
        <v>8</v>
      </c>
      <c r="F93" s="67">
        <v>0.22</v>
      </c>
      <c r="G93" s="23">
        <f>E93*F93</f>
        <v>1.76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93</v>
      </c>
      <c r="F96" s="23">
        <v>0.1</v>
      </c>
      <c r="G96" s="23">
        <f>E96*F96</f>
        <v>9.3000000000000007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>
        <v>16</v>
      </c>
      <c r="F97" s="23">
        <v>0.25</v>
      </c>
      <c r="G97" s="23">
        <f>E97*F97</f>
        <v>4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4993</v>
      </c>
      <c r="B99" s="80" t="s">
        <v>113</v>
      </c>
      <c r="C99" s="73" t="s">
        <v>33</v>
      </c>
      <c r="D99" s="74">
        <v>1001060764993</v>
      </c>
      <c r="E99" s="24">
        <v>30</v>
      </c>
      <c r="F99" s="23">
        <v>0.25</v>
      </c>
      <c r="G99" s="23">
        <f t="shared" ref="G99:G108" si="5">E99*F99</f>
        <v>7.5</v>
      </c>
      <c r="H99" s="14">
        <v>2</v>
      </c>
      <c r="I99" s="14">
        <v>120</v>
      </c>
      <c r="J99" s="29"/>
    </row>
    <row r="100" spans="1:10" ht="16.5" customHeight="1" x14ac:dyDescent="0.25">
      <c r="A100" s="60" t="str">
        <f t="shared" si="4"/>
        <v>6967</v>
      </c>
      <c r="B100" s="80" t="s">
        <v>114</v>
      </c>
      <c r="C100" s="73" t="s">
        <v>33</v>
      </c>
      <c r="D100" s="74">
        <v>1001063656967</v>
      </c>
      <c r="E100" s="24"/>
      <c r="F100" s="23">
        <v>0.25</v>
      </c>
      <c r="G100" s="23">
        <f t="shared" si="5"/>
        <v>0</v>
      </c>
      <c r="H100" s="14"/>
      <c r="I100" s="14"/>
      <c r="J100" s="29"/>
    </row>
    <row r="101" spans="1:10" ht="16.5" customHeight="1" x14ac:dyDescent="0.25">
      <c r="A101" s="60" t="str">
        <f t="shared" si="4"/>
        <v>5682</v>
      </c>
      <c r="B101" s="80" t="s">
        <v>115</v>
      </c>
      <c r="C101" s="73" t="s">
        <v>22</v>
      </c>
      <c r="D101" s="74">
        <v>1001193115682</v>
      </c>
      <c r="E101" s="24">
        <v>43</v>
      </c>
      <c r="F101" s="23">
        <v>0.12</v>
      </c>
      <c r="G101" s="23">
        <f t="shared" si="5"/>
        <v>5.16</v>
      </c>
      <c r="H101" s="14">
        <v>0.96</v>
      </c>
      <c r="I101" s="14">
        <v>60</v>
      </c>
      <c r="J101" s="29"/>
    </row>
    <row r="102" spans="1:10" ht="16.5" customHeight="1" x14ac:dyDescent="0.25">
      <c r="A102" s="60" t="str">
        <f t="shared" si="4"/>
        <v>7147</v>
      </c>
      <c r="B102" s="80" t="s">
        <v>116</v>
      </c>
      <c r="C102" s="73" t="s">
        <v>22</v>
      </c>
      <c r="D102" s="74">
        <v>1001063237147</v>
      </c>
      <c r="E102" s="24"/>
      <c r="F102" s="23">
        <v>0.22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7229</v>
      </c>
      <c r="B103" s="80" t="s">
        <v>117</v>
      </c>
      <c r="C103" s="73" t="s">
        <v>22</v>
      </c>
      <c r="D103" s="74">
        <v>1001063237229</v>
      </c>
      <c r="E103" s="24"/>
      <c r="F103" s="23">
        <v>0.18</v>
      </c>
      <c r="G103" s="23">
        <f t="shared" si="5"/>
        <v>0</v>
      </c>
      <c r="H103" s="14"/>
      <c r="I103" s="14"/>
      <c r="J103" s="29"/>
    </row>
    <row r="104" spans="1:10" ht="16.5" customHeight="1" x14ac:dyDescent="0.25">
      <c r="A104" s="60" t="str">
        <f t="shared" si="4"/>
        <v>7150</v>
      </c>
      <c r="B104" s="80" t="s">
        <v>118</v>
      </c>
      <c r="C104" s="73" t="s">
        <v>24</v>
      </c>
      <c r="D104" s="74">
        <v>1001063237150</v>
      </c>
      <c r="E104" s="24"/>
      <c r="F104" s="23">
        <v>1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7227</v>
      </c>
      <c r="B105" s="80" t="s">
        <v>119</v>
      </c>
      <c r="C105" s="73" t="s">
        <v>22</v>
      </c>
      <c r="D105" s="74">
        <v>1001063097227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7225</v>
      </c>
      <c r="B106" s="80" t="s">
        <v>120</v>
      </c>
      <c r="C106" s="73" t="s">
        <v>22</v>
      </c>
      <c r="D106" s="74">
        <v>1001066537225</v>
      </c>
      <c r="E106" s="24"/>
      <c r="F106" s="23">
        <v>0.18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7228</v>
      </c>
      <c r="B107" s="80" t="s">
        <v>121</v>
      </c>
      <c r="C107" s="73" t="s">
        <v>22</v>
      </c>
      <c r="D107" s="74">
        <v>1001066547228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6221</v>
      </c>
      <c r="B108" s="80" t="s">
        <v>122</v>
      </c>
      <c r="C108" s="73" t="s">
        <v>22</v>
      </c>
      <c r="D108" s="74">
        <v>1001205376221</v>
      </c>
      <c r="E108" s="24">
        <v>109</v>
      </c>
      <c r="F108" s="23">
        <v>0.09</v>
      </c>
      <c r="G108" s="23">
        <f t="shared" si="5"/>
        <v>9.81</v>
      </c>
      <c r="H108" s="14"/>
      <c r="I108" s="14"/>
      <c r="J108" s="29"/>
    </row>
    <row r="109" spans="1:10" ht="16.5" customHeight="1" x14ac:dyDescent="0.25">
      <c r="A109" s="60" t="str">
        <f t="shared" si="4"/>
        <v>4117</v>
      </c>
      <c r="B109" s="80" t="s">
        <v>123</v>
      </c>
      <c r="C109" s="73" t="s">
        <v>24</v>
      </c>
      <c r="D109" s="74">
        <v>1001062504117</v>
      </c>
      <c r="E109" s="24"/>
      <c r="F109" s="23">
        <v>0.50700000000000001</v>
      </c>
      <c r="G109" s="23">
        <f>E109</f>
        <v>0</v>
      </c>
      <c r="H109" s="14">
        <v>4.05</v>
      </c>
      <c r="I109" s="14">
        <v>120</v>
      </c>
      <c r="J109" s="29"/>
    </row>
    <row r="110" spans="1:10" ht="16.5" customHeight="1" x14ac:dyDescent="0.25">
      <c r="A110" s="60" t="str">
        <f t="shared" si="4"/>
        <v>5483</v>
      </c>
      <c r="B110" s="80" t="s">
        <v>124</v>
      </c>
      <c r="C110" s="73" t="s">
        <v>22</v>
      </c>
      <c r="D110" s="74">
        <v>1001062505483</v>
      </c>
      <c r="E110" s="24"/>
      <c r="F110" s="23">
        <v>0.25</v>
      </c>
      <c r="G110" s="23">
        <f>E110*F110</f>
        <v>0</v>
      </c>
      <c r="H110" s="14">
        <v>2</v>
      </c>
      <c r="I110" s="14">
        <v>120</v>
      </c>
      <c r="J110" s="29"/>
    </row>
    <row r="111" spans="1:10" ht="16.5" customHeight="1" x14ac:dyDescent="0.25">
      <c r="A111" s="60" t="str">
        <f t="shared" si="4"/>
        <v>6453</v>
      </c>
      <c r="B111" s="80" t="s">
        <v>125</v>
      </c>
      <c r="C111" s="73" t="s">
        <v>33</v>
      </c>
      <c r="D111" s="74">
        <v>1001202506453</v>
      </c>
      <c r="E111" s="24"/>
      <c r="F111" s="23">
        <v>0.1</v>
      </c>
      <c r="G111" s="23">
        <f>E111*F111</f>
        <v>0</v>
      </c>
      <c r="H111" s="14">
        <v>1.4</v>
      </c>
      <c r="I111" s="14">
        <v>60</v>
      </c>
      <c r="J111" s="29"/>
    </row>
    <row r="112" spans="1:10" ht="16.5" customHeight="1" x14ac:dyDescent="0.25">
      <c r="A112" s="60" t="str">
        <f t="shared" si="4"/>
        <v>6228</v>
      </c>
      <c r="B112" s="80" t="s">
        <v>126</v>
      </c>
      <c r="C112" s="73" t="s">
        <v>33</v>
      </c>
      <c r="D112" s="74">
        <v>1001225416228</v>
      </c>
      <c r="E112" s="24">
        <v>69</v>
      </c>
      <c r="F112" s="23">
        <v>0.09</v>
      </c>
      <c r="G112" s="23">
        <f>E112*F112</f>
        <v>6.21</v>
      </c>
      <c r="H112" s="14"/>
      <c r="I112" s="14"/>
      <c r="J112" s="29"/>
    </row>
    <row r="113" spans="1:11" ht="16.5" customHeight="1" thickBot="1" x14ac:dyDescent="0.3">
      <c r="A113" s="60" t="str">
        <f t="shared" si="4"/>
        <v>3287</v>
      </c>
      <c r="B113" s="80" t="s">
        <v>127</v>
      </c>
      <c r="C113" s="73" t="s">
        <v>24</v>
      </c>
      <c r="D113" s="74">
        <v>1001060763287</v>
      </c>
      <c r="E113" s="24">
        <v>29</v>
      </c>
      <c r="F113" s="23">
        <v>0.51300000000000001</v>
      </c>
      <c r="G113" s="23">
        <f>E113</f>
        <v>29</v>
      </c>
      <c r="H113" s="14">
        <v>4.0999999999999996</v>
      </c>
      <c r="I113" s="14">
        <v>120</v>
      </c>
      <c r="J113" s="29"/>
    </row>
    <row r="114" spans="1:11" ht="16.5" customHeight="1" thickTop="1" thickBot="1" x14ac:dyDescent="0.3">
      <c r="A114" s="60" t="str">
        <f t="shared" si="4"/>
        <v/>
      </c>
      <c r="B114" s="47" t="s">
        <v>128</v>
      </c>
      <c r="C114" s="47"/>
      <c r="D114" s="47"/>
      <c r="E114" s="47"/>
      <c r="F114" s="47"/>
      <c r="G114" s="23"/>
      <c r="H114" s="47"/>
      <c r="I114" s="47"/>
      <c r="J114" s="48"/>
    </row>
    <row r="115" spans="1:11" ht="16.5" customHeight="1" thickTop="1" x14ac:dyDescent="0.25">
      <c r="A115" s="60" t="str">
        <f t="shared" si="4"/>
        <v>6866</v>
      </c>
      <c r="B115" s="77" t="s">
        <v>129</v>
      </c>
      <c r="C115" s="73" t="s">
        <v>38</v>
      </c>
      <c r="D115" s="79">
        <v>1001095716866</v>
      </c>
      <c r="E115" s="24">
        <v>18</v>
      </c>
      <c r="F115" s="23"/>
      <c r="G115" s="23">
        <f>E115</f>
        <v>18</v>
      </c>
      <c r="H115" s="14"/>
      <c r="I115" s="14"/>
      <c r="J115" s="29"/>
    </row>
    <row r="116" spans="1:11" ht="16.5" customHeight="1" x14ac:dyDescent="0.25">
      <c r="A116" s="60" t="str">
        <f t="shared" si="4"/>
        <v>3215</v>
      </c>
      <c r="B116" s="80" t="s">
        <v>130</v>
      </c>
      <c r="C116" s="73" t="s">
        <v>33</v>
      </c>
      <c r="D116" s="42">
        <v>1001094053215</v>
      </c>
      <c r="E116" s="24"/>
      <c r="F116" s="23">
        <v>0.4</v>
      </c>
      <c r="G116" s="23">
        <f>E116*F116</f>
        <v>0</v>
      </c>
      <c r="H116" s="14">
        <v>3.2</v>
      </c>
      <c r="I116" s="14">
        <v>60</v>
      </c>
      <c r="J116" s="29"/>
    </row>
    <row r="117" spans="1:11" ht="16.5" customHeight="1" x14ac:dyDescent="0.25">
      <c r="A117" s="60" t="str">
        <f t="shared" si="4"/>
        <v>5452</v>
      </c>
      <c r="B117" s="51" t="s">
        <v>131</v>
      </c>
      <c r="C117" s="73" t="s">
        <v>24</v>
      </c>
      <c r="D117" s="42">
        <v>1001092485452</v>
      </c>
      <c r="E117" s="24">
        <v>142</v>
      </c>
      <c r="F117" s="23">
        <v>1.367</v>
      </c>
      <c r="G117" s="23">
        <f>E117</f>
        <v>142</v>
      </c>
      <c r="H117" s="14">
        <v>4.0999999999999996</v>
      </c>
      <c r="I117" s="14">
        <v>60</v>
      </c>
      <c r="J117" s="29"/>
    </row>
    <row r="118" spans="1:11" ht="16.5" customHeight="1" x14ac:dyDescent="0.25">
      <c r="A118" s="60" t="str">
        <f t="shared" si="4"/>
        <v>5495</v>
      </c>
      <c r="B118" s="51" t="s">
        <v>132</v>
      </c>
      <c r="C118" s="73" t="s">
        <v>22</v>
      </c>
      <c r="D118" s="42">
        <v>1001093345495</v>
      </c>
      <c r="E118" s="24"/>
      <c r="F118" s="23">
        <v>0.4</v>
      </c>
      <c r="G118" s="23">
        <f>E118*F118</f>
        <v>0</v>
      </c>
      <c r="H118" s="14">
        <v>2.4</v>
      </c>
      <c r="I118" s="14">
        <v>60</v>
      </c>
      <c r="J118" s="29"/>
    </row>
    <row r="119" spans="1:11" ht="15.75" customHeight="1" thickBot="1" x14ac:dyDescent="0.3">
      <c r="A119" s="60" t="str">
        <f t="shared" si="4"/>
        <v>6495</v>
      </c>
      <c r="B119" s="51" t="s">
        <v>133</v>
      </c>
      <c r="C119" s="73" t="s">
        <v>22</v>
      </c>
      <c r="D119" s="42">
        <v>1001092436495</v>
      </c>
      <c r="E119" s="24"/>
      <c r="F119" s="23">
        <v>0.3</v>
      </c>
      <c r="G119" s="23">
        <f>E119*F119</f>
        <v>0</v>
      </c>
      <c r="H119" s="14">
        <v>1.8</v>
      </c>
      <c r="I119" s="14">
        <v>45</v>
      </c>
      <c r="J119" s="29"/>
    </row>
    <row r="120" spans="1:11" ht="16.5" customHeight="1" thickTop="1" thickBot="1" x14ac:dyDescent="0.3">
      <c r="A120" s="60" t="str">
        <f t="shared" si="4"/>
        <v/>
      </c>
      <c r="B120" s="47" t="s">
        <v>134</v>
      </c>
      <c r="C120" s="47"/>
      <c r="D120" s="47"/>
      <c r="E120" s="47"/>
      <c r="F120" s="47"/>
      <c r="G120" s="23"/>
      <c r="H120" s="47"/>
      <c r="I120" s="47"/>
      <c r="J120" s="48"/>
    </row>
    <row r="121" spans="1:11" ht="16.5" customHeight="1" thickTop="1" x14ac:dyDescent="0.25">
      <c r="A121" s="60" t="str">
        <f t="shared" si="4"/>
        <v>6448</v>
      </c>
      <c r="B121" s="37" t="s">
        <v>135</v>
      </c>
      <c r="C121" s="73" t="s">
        <v>33</v>
      </c>
      <c r="D121" s="74">
        <v>1001234146448</v>
      </c>
      <c r="E121" s="24"/>
      <c r="F121" s="23">
        <v>0.1</v>
      </c>
      <c r="G121" s="23">
        <f>E121*F121</f>
        <v>0</v>
      </c>
      <c r="H121" s="14">
        <v>1</v>
      </c>
      <c r="I121" s="14">
        <v>45</v>
      </c>
      <c r="J121" s="29"/>
    </row>
    <row r="122" spans="1:11" ht="16.5" customHeight="1" x14ac:dyDescent="0.25">
      <c r="A122" s="60" t="str">
        <f t="shared" si="4"/>
        <v>6620</v>
      </c>
      <c r="B122" s="37" t="s">
        <v>136</v>
      </c>
      <c r="C122" s="73" t="s">
        <v>24</v>
      </c>
      <c r="D122" s="74">
        <v>1001081596620</v>
      </c>
      <c r="E122" s="24"/>
      <c r="F122" s="23"/>
      <c r="G122" s="23">
        <f>E122</f>
        <v>0</v>
      </c>
      <c r="H122" s="14"/>
      <c r="I122" s="14"/>
      <c r="J122" s="29"/>
    </row>
    <row r="123" spans="1:11" ht="16.5" customHeight="1" x14ac:dyDescent="0.25">
      <c r="A123" s="60" t="str">
        <f t="shared" ref="A123:A128" si="6">RIGHT(D123,4)</f>
        <v>6279</v>
      </c>
      <c r="B123" s="37" t="s">
        <v>137</v>
      </c>
      <c r="C123" s="73" t="s">
        <v>22</v>
      </c>
      <c r="D123" s="74">
        <v>1001220286279</v>
      </c>
      <c r="E123" s="24"/>
      <c r="F123" s="23">
        <v>0.15</v>
      </c>
      <c r="G123" s="23">
        <f>F123*E123</f>
        <v>0</v>
      </c>
      <c r="H123" s="14"/>
      <c r="I123" s="14"/>
      <c r="J123" s="29"/>
    </row>
    <row r="124" spans="1:11" ht="16.5" customHeight="1" x14ac:dyDescent="0.25">
      <c r="A124" s="60" t="str">
        <f t="shared" si="6"/>
        <v>6208</v>
      </c>
      <c r="B124" s="37" t="s">
        <v>138</v>
      </c>
      <c r="C124" s="73" t="s">
        <v>22</v>
      </c>
      <c r="D124" s="74">
        <v>1001220226208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6"/>
        <v>7090</v>
      </c>
      <c r="B125" s="37" t="s">
        <v>139</v>
      </c>
      <c r="C125" s="73" t="s">
        <v>33</v>
      </c>
      <c r="D125" s="74">
        <v>1001084217090</v>
      </c>
      <c r="E125" s="24"/>
      <c r="F125" s="23">
        <v>0.3</v>
      </c>
      <c r="G125" s="23">
        <f>E125*F125</f>
        <v>0</v>
      </c>
      <c r="H125" s="14">
        <v>1.8</v>
      </c>
      <c r="I125" s="14">
        <v>45</v>
      </c>
      <c r="J125" s="29"/>
    </row>
    <row r="126" spans="1:11" ht="16.5" customHeight="1" x14ac:dyDescent="0.25">
      <c r="A126" s="60" t="str">
        <f t="shared" si="6"/>
        <v>7187</v>
      </c>
      <c r="B126" s="37" t="s">
        <v>140</v>
      </c>
      <c r="C126" s="73" t="s">
        <v>33</v>
      </c>
      <c r="D126" s="74">
        <v>1001085637187</v>
      </c>
      <c r="E126" s="24"/>
      <c r="F126" s="23">
        <v>0.3</v>
      </c>
      <c r="G126" s="23">
        <f>E126*F126</f>
        <v>0</v>
      </c>
      <c r="H126" s="14"/>
      <c r="I126" s="14"/>
      <c r="J126" s="29"/>
    </row>
    <row r="127" spans="1:11" s="71" customFormat="1" ht="16.5" customHeight="1" x14ac:dyDescent="0.25">
      <c r="A127" s="60" t="str">
        <f t="shared" si="6"/>
        <v>7103</v>
      </c>
      <c r="B127" s="59" t="s">
        <v>141</v>
      </c>
      <c r="C127" s="54" t="s">
        <v>33</v>
      </c>
      <c r="D127" s="55">
        <v>1001223297103</v>
      </c>
      <c r="E127" s="24">
        <v>67</v>
      </c>
      <c r="F127" s="75">
        <v>0.18</v>
      </c>
      <c r="G127" s="23">
        <f>E127*F127</f>
        <v>12.059999999999999</v>
      </c>
      <c r="H127" s="76">
        <v>1.8</v>
      </c>
      <c r="I127" s="76">
        <v>45</v>
      </c>
      <c r="J127" s="76"/>
      <c r="K127" s="27"/>
    </row>
    <row r="128" spans="1:11" ht="16.5" customHeight="1" thickBot="1" x14ac:dyDescent="0.3">
      <c r="A128" s="60" t="str">
        <f t="shared" si="6"/>
        <v>6872</v>
      </c>
      <c r="B128" s="37" t="s">
        <v>142</v>
      </c>
      <c r="C128" s="73" t="s">
        <v>24</v>
      </c>
      <c r="D128" s="74">
        <v>1002162216872</v>
      </c>
      <c r="E128" s="24"/>
      <c r="F128" s="23"/>
      <c r="G128" s="23">
        <f>E128</f>
        <v>0</v>
      </c>
      <c r="H128" s="14"/>
      <c r="I128" s="14">
        <v>90</v>
      </c>
      <c r="J128" s="29"/>
    </row>
    <row r="129" spans="1:10" ht="16.5" customHeight="1" thickTop="1" thickBot="1" x14ac:dyDescent="0.3">
      <c r="A129" s="63"/>
      <c r="B129" s="50" t="s">
        <v>143</v>
      </c>
      <c r="C129" s="16"/>
      <c r="D129" s="38"/>
      <c r="E129" s="17">
        <f>SUM(E10:E128)</f>
        <v>3712</v>
      </c>
      <c r="F129" s="17"/>
      <c r="G129" s="17">
        <f>SUM(G11:G128)</f>
        <v>2200.48</v>
      </c>
      <c r="H129" s="17"/>
      <c r="I129" s="17"/>
      <c r="J129" s="17"/>
    </row>
    <row r="130" spans="1:10" ht="15.75" customHeight="1" thickTop="1" x14ac:dyDescent="0.25">
      <c r="B130" s="39"/>
      <c r="C130" s="18"/>
      <c r="D130" s="43"/>
      <c r="F130" s="19"/>
      <c r="G130" s="19"/>
      <c r="H130" s="20"/>
      <c r="I130" s="20"/>
      <c r="J130" s="21"/>
    </row>
    <row r="131" spans="1:10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</sheetData>
  <autoFilter ref="A9:J129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2025-11-05T12:34:34Z</dcterms:modified>
</cp:coreProperties>
</file>