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EE25B847-D083-4F17-97D7-042374134D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Sheet!$A$3:$AK$94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6" i="1"/>
  <c r="W5" i="1"/>
  <c r="AL5" i="1" l="1"/>
  <c r="S91" i="1"/>
  <c r="S90" i="1"/>
  <c r="S81" i="1"/>
  <c r="S80" i="1"/>
  <c r="S79" i="1"/>
  <c r="S78" i="1"/>
  <c r="S77" i="1"/>
  <c r="S76" i="1"/>
  <c r="S75" i="1"/>
  <c r="U75" i="1" s="1"/>
  <c r="V75" i="1" s="1"/>
  <c r="AK75" i="1" s="1"/>
  <c r="S73" i="1"/>
  <c r="U73" i="1" s="1"/>
  <c r="V73" i="1" s="1"/>
  <c r="AK73" i="1" s="1"/>
  <c r="S72" i="1"/>
  <c r="U72" i="1" s="1"/>
  <c r="V72" i="1" s="1"/>
  <c r="AK72" i="1" s="1"/>
  <c r="S69" i="1"/>
  <c r="S68" i="1"/>
  <c r="S66" i="1"/>
  <c r="S65" i="1"/>
  <c r="S64" i="1"/>
  <c r="S63" i="1"/>
  <c r="S60" i="1"/>
  <c r="S59" i="1"/>
  <c r="S56" i="1"/>
  <c r="S51" i="1"/>
  <c r="S49" i="1"/>
  <c r="S48" i="1"/>
  <c r="S47" i="1"/>
  <c r="S46" i="1"/>
  <c r="S44" i="1"/>
  <c r="S42" i="1"/>
  <c r="S41" i="1"/>
  <c r="S40" i="1"/>
  <c r="S38" i="1"/>
  <c r="U38" i="1" s="1"/>
  <c r="V38" i="1" s="1"/>
  <c r="AK38" i="1" s="1"/>
  <c r="S33" i="1"/>
  <c r="S30" i="1"/>
  <c r="S29" i="1"/>
  <c r="S28" i="1"/>
  <c r="S27" i="1"/>
  <c r="S26" i="1"/>
  <c r="S25" i="1"/>
  <c r="S24" i="1"/>
  <c r="S22" i="1"/>
  <c r="S19" i="1"/>
  <c r="S18" i="1"/>
  <c r="S17" i="1"/>
  <c r="S16" i="1"/>
  <c r="S14" i="1"/>
  <c r="S13" i="1"/>
  <c r="S12" i="1"/>
  <c r="S11" i="1"/>
  <c r="S10" i="1"/>
  <c r="S9" i="1"/>
  <c r="S8" i="1"/>
  <c r="S7" i="1"/>
  <c r="S15" i="1"/>
  <c r="U15" i="1" s="1"/>
  <c r="V15" i="1" s="1"/>
  <c r="AK15" i="1" s="1"/>
  <c r="U18" i="1"/>
  <c r="V18" i="1" s="1"/>
  <c r="AK18" i="1" s="1"/>
  <c r="S20" i="1"/>
  <c r="U20" i="1" s="1"/>
  <c r="V20" i="1" s="1"/>
  <c r="AK20" i="1" s="1"/>
  <c r="S21" i="1"/>
  <c r="U21" i="1" s="1"/>
  <c r="V21" i="1" s="1"/>
  <c r="AK21" i="1" s="1"/>
  <c r="S23" i="1"/>
  <c r="U23" i="1" s="1"/>
  <c r="V23" i="1" s="1"/>
  <c r="AK23" i="1" s="1"/>
  <c r="S31" i="1"/>
  <c r="U31" i="1" s="1"/>
  <c r="V31" i="1" s="1"/>
  <c r="AK31" i="1" s="1"/>
  <c r="S32" i="1"/>
  <c r="U32" i="1" s="1"/>
  <c r="V32" i="1" s="1"/>
  <c r="AK32" i="1" s="1"/>
  <c r="S34" i="1"/>
  <c r="U34" i="1" s="1"/>
  <c r="V34" i="1" s="1"/>
  <c r="AK34" i="1" s="1"/>
  <c r="S35" i="1"/>
  <c r="U35" i="1" s="1"/>
  <c r="V35" i="1" s="1"/>
  <c r="AK35" i="1" s="1"/>
  <c r="S36" i="1"/>
  <c r="U36" i="1" s="1"/>
  <c r="V36" i="1" s="1"/>
  <c r="AK36" i="1" s="1"/>
  <c r="S37" i="1"/>
  <c r="S39" i="1"/>
  <c r="U39" i="1" s="1"/>
  <c r="V39" i="1" s="1"/>
  <c r="AK39" i="1" s="1"/>
  <c r="S43" i="1"/>
  <c r="U43" i="1" s="1"/>
  <c r="V43" i="1" s="1"/>
  <c r="AK43" i="1" s="1"/>
  <c r="S45" i="1"/>
  <c r="U45" i="1" s="1"/>
  <c r="V45" i="1" s="1"/>
  <c r="AK45" i="1" s="1"/>
  <c r="S50" i="1"/>
  <c r="U50" i="1" s="1"/>
  <c r="V50" i="1" s="1"/>
  <c r="AK50" i="1" s="1"/>
  <c r="S52" i="1"/>
  <c r="U52" i="1" s="1"/>
  <c r="V52" i="1" s="1"/>
  <c r="AK52" i="1" s="1"/>
  <c r="S54" i="1"/>
  <c r="U54" i="1" s="1"/>
  <c r="V54" i="1" s="1"/>
  <c r="AK54" i="1" s="1"/>
  <c r="S55" i="1"/>
  <c r="U55" i="1" s="1"/>
  <c r="V55" i="1" s="1"/>
  <c r="AK55" i="1" s="1"/>
  <c r="S57" i="1"/>
  <c r="U57" i="1" s="1"/>
  <c r="V57" i="1" s="1"/>
  <c r="AK57" i="1" s="1"/>
  <c r="S58" i="1"/>
  <c r="U58" i="1" s="1"/>
  <c r="V58" i="1" s="1"/>
  <c r="AK58" i="1" s="1"/>
  <c r="S61" i="1"/>
  <c r="U61" i="1" s="1"/>
  <c r="V61" i="1" s="1"/>
  <c r="AK61" i="1" s="1"/>
  <c r="S62" i="1"/>
  <c r="U62" i="1" s="1"/>
  <c r="V62" i="1" s="1"/>
  <c r="AK62" i="1" s="1"/>
  <c r="S67" i="1"/>
  <c r="U67" i="1" s="1"/>
  <c r="V67" i="1" s="1"/>
  <c r="AK67" i="1" s="1"/>
  <c r="S70" i="1"/>
  <c r="U70" i="1" s="1"/>
  <c r="V70" i="1" s="1"/>
  <c r="AK70" i="1" s="1"/>
  <c r="S71" i="1"/>
  <c r="U71" i="1" s="1"/>
  <c r="V71" i="1" s="1"/>
  <c r="AK71" i="1" s="1"/>
  <c r="S74" i="1"/>
  <c r="U74" i="1" s="1"/>
  <c r="V74" i="1" s="1"/>
  <c r="AK74" i="1" s="1"/>
  <c r="S82" i="1"/>
  <c r="U82" i="1" s="1"/>
  <c r="V82" i="1" s="1"/>
  <c r="AK82" i="1" s="1"/>
  <c r="S83" i="1"/>
  <c r="U83" i="1" s="1"/>
  <c r="V83" i="1" s="1"/>
  <c r="AK83" i="1" s="1"/>
  <c r="S84" i="1"/>
  <c r="U84" i="1" s="1"/>
  <c r="V84" i="1" s="1"/>
  <c r="AK84" i="1" s="1"/>
  <c r="S85" i="1"/>
  <c r="U85" i="1" s="1"/>
  <c r="V85" i="1" s="1"/>
  <c r="AK85" i="1" s="1"/>
  <c r="S86" i="1"/>
  <c r="U86" i="1" s="1"/>
  <c r="V86" i="1" s="1"/>
  <c r="AK86" i="1" s="1"/>
  <c r="S87" i="1"/>
  <c r="U87" i="1" s="1"/>
  <c r="V87" i="1" s="1"/>
  <c r="AK87" i="1" s="1"/>
  <c r="S88" i="1"/>
  <c r="U88" i="1" s="1"/>
  <c r="V88" i="1" s="1"/>
  <c r="AK88" i="1" s="1"/>
  <c r="S89" i="1"/>
  <c r="U89" i="1" s="1"/>
  <c r="V89" i="1" s="1"/>
  <c r="AK89" i="1" s="1"/>
  <c r="S93" i="1"/>
  <c r="U93" i="1" s="1"/>
  <c r="V93" i="1" s="1"/>
  <c r="AK93" i="1" s="1"/>
  <c r="S94" i="1"/>
  <c r="U94" i="1" s="1"/>
  <c r="V94" i="1" s="1"/>
  <c r="AK94" i="1" s="1"/>
  <c r="S6" i="1"/>
  <c r="U6" i="1" s="1"/>
  <c r="V6" i="1" s="1"/>
  <c r="AK6" i="1" s="1"/>
  <c r="U13" i="1"/>
  <c r="V13" i="1" s="1"/>
  <c r="AK13" i="1" s="1"/>
  <c r="U37" i="1"/>
  <c r="V37" i="1" s="1"/>
  <c r="AK37" i="1" s="1"/>
  <c r="U53" i="1"/>
  <c r="V53" i="1" s="1"/>
  <c r="AK53" i="1" s="1"/>
  <c r="T5" i="1"/>
  <c r="M94" i="1" l="1"/>
  <c r="Q94" i="1" s="1"/>
  <c r="AA94" i="1" s="1"/>
  <c r="L94" i="1"/>
  <c r="H94" i="1"/>
  <c r="M93" i="1"/>
  <c r="Q93" i="1" s="1"/>
  <c r="AA93" i="1" s="1"/>
  <c r="L93" i="1"/>
  <c r="H93" i="1"/>
  <c r="M92" i="1"/>
  <c r="Q92" i="1" s="1"/>
  <c r="L92" i="1"/>
  <c r="H92" i="1"/>
  <c r="M91" i="1"/>
  <c r="Q91" i="1" s="1"/>
  <c r="AA91" i="1" s="1"/>
  <c r="L91" i="1"/>
  <c r="H91" i="1"/>
  <c r="M90" i="1"/>
  <c r="Q90" i="1" s="1"/>
  <c r="R90" i="1" s="1"/>
  <c r="U90" i="1" s="1"/>
  <c r="V90" i="1" s="1"/>
  <c r="AK90" i="1" s="1"/>
  <c r="L90" i="1"/>
  <c r="H90" i="1"/>
  <c r="M89" i="1"/>
  <c r="Q89" i="1" s="1"/>
  <c r="AA89" i="1" s="1"/>
  <c r="L89" i="1"/>
  <c r="H89" i="1"/>
  <c r="M88" i="1"/>
  <c r="Q88" i="1" s="1"/>
  <c r="Z88" i="1" s="1"/>
  <c r="L88" i="1"/>
  <c r="H88" i="1"/>
  <c r="M87" i="1"/>
  <c r="Q87" i="1" s="1"/>
  <c r="AA87" i="1" s="1"/>
  <c r="L87" i="1"/>
  <c r="H87" i="1"/>
  <c r="M86" i="1"/>
  <c r="Q86" i="1" s="1"/>
  <c r="Z86" i="1" s="1"/>
  <c r="L86" i="1"/>
  <c r="H86" i="1"/>
  <c r="M85" i="1"/>
  <c r="Q85" i="1" s="1"/>
  <c r="AA85" i="1" s="1"/>
  <c r="L85" i="1"/>
  <c r="H85" i="1"/>
  <c r="M84" i="1"/>
  <c r="Q84" i="1" s="1"/>
  <c r="Z84" i="1" s="1"/>
  <c r="L84" i="1"/>
  <c r="H84" i="1"/>
  <c r="M83" i="1"/>
  <c r="Q83" i="1" s="1"/>
  <c r="AA83" i="1" s="1"/>
  <c r="L83" i="1"/>
  <c r="H83" i="1"/>
  <c r="M82" i="1"/>
  <c r="Q82" i="1" s="1"/>
  <c r="Z82" i="1" s="1"/>
  <c r="L82" i="1"/>
  <c r="H82" i="1"/>
  <c r="M81" i="1"/>
  <c r="Q81" i="1" s="1"/>
  <c r="AA81" i="1" s="1"/>
  <c r="L81" i="1"/>
  <c r="H81" i="1"/>
  <c r="M80" i="1"/>
  <c r="Q80" i="1" s="1"/>
  <c r="L80" i="1"/>
  <c r="H80" i="1"/>
  <c r="M79" i="1"/>
  <c r="Q79" i="1" s="1"/>
  <c r="AA79" i="1" s="1"/>
  <c r="L79" i="1"/>
  <c r="H79" i="1"/>
  <c r="M78" i="1"/>
  <c r="Q78" i="1" s="1"/>
  <c r="L78" i="1"/>
  <c r="H78" i="1"/>
  <c r="M77" i="1"/>
  <c r="Q77" i="1" s="1"/>
  <c r="AA77" i="1" s="1"/>
  <c r="L77" i="1"/>
  <c r="H77" i="1"/>
  <c r="M76" i="1"/>
  <c r="Q76" i="1" s="1"/>
  <c r="L76" i="1"/>
  <c r="H76" i="1"/>
  <c r="M75" i="1"/>
  <c r="Q75" i="1" s="1"/>
  <c r="AA75" i="1" s="1"/>
  <c r="L75" i="1"/>
  <c r="H75" i="1"/>
  <c r="M74" i="1"/>
  <c r="Q74" i="1" s="1"/>
  <c r="Z74" i="1" s="1"/>
  <c r="L74" i="1"/>
  <c r="H74" i="1"/>
  <c r="M73" i="1"/>
  <c r="Q73" i="1" s="1"/>
  <c r="AA73" i="1" s="1"/>
  <c r="L73" i="1"/>
  <c r="H73" i="1"/>
  <c r="M72" i="1"/>
  <c r="Q72" i="1" s="1"/>
  <c r="Z72" i="1" s="1"/>
  <c r="L72" i="1"/>
  <c r="H72" i="1"/>
  <c r="M71" i="1"/>
  <c r="Q71" i="1" s="1"/>
  <c r="AA71" i="1" s="1"/>
  <c r="L71" i="1"/>
  <c r="H71" i="1"/>
  <c r="M70" i="1"/>
  <c r="Q70" i="1" s="1"/>
  <c r="Z70" i="1" s="1"/>
  <c r="L70" i="1"/>
  <c r="H70" i="1"/>
  <c r="M69" i="1"/>
  <c r="Q69" i="1" s="1"/>
  <c r="AA69" i="1" s="1"/>
  <c r="L69" i="1"/>
  <c r="H69" i="1"/>
  <c r="M68" i="1"/>
  <c r="Q68" i="1" s="1"/>
  <c r="L68" i="1"/>
  <c r="H68" i="1"/>
  <c r="M67" i="1"/>
  <c r="Q67" i="1" s="1"/>
  <c r="Z67" i="1" s="1"/>
  <c r="L67" i="1"/>
  <c r="H67" i="1"/>
  <c r="M66" i="1"/>
  <c r="Q66" i="1" s="1"/>
  <c r="AA66" i="1" s="1"/>
  <c r="L66" i="1"/>
  <c r="H66" i="1"/>
  <c r="M65" i="1"/>
  <c r="Q65" i="1" s="1"/>
  <c r="L65" i="1"/>
  <c r="H65" i="1"/>
  <c r="H64" i="1"/>
  <c r="F64" i="1"/>
  <c r="F5" i="1" s="1"/>
  <c r="E64" i="1"/>
  <c r="L64" i="1" s="1"/>
  <c r="H63" i="1"/>
  <c r="E63" i="1"/>
  <c r="M63" i="1" s="1"/>
  <c r="Q63" i="1" s="1"/>
  <c r="M62" i="1"/>
  <c r="Q62" i="1" s="1"/>
  <c r="Z62" i="1" s="1"/>
  <c r="L62" i="1"/>
  <c r="H62" i="1"/>
  <c r="M61" i="1"/>
  <c r="Q61" i="1" s="1"/>
  <c r="Z61" i="1" s="1"/>
  <c r="L61" i="1"/>
  <c r="H61" i="1"/>
  <c r="M60" i="1"/>
  <c r="Q60" i="1" s="1"/>
  <c r="R60" i="1" s="1"/>
  <c r="U60" i="1" s="1"/>
  <c r="V60" i="1" s="1"/>
  <c r="AK60" i="1" s="1"/>
  <c r="L60" i="1"/>
  <c r="H60" i="1"/>
  <c r="M59" i="1"/>
  <c r="Q59" i="1" s="1"/>
  <c r="L59" i="1"/>
  <c r="H59" i="1"/>
  <c r="M58" i="1"/>
  <c r="Q58" i="1" s="1"/>
  <c r="Z58" i="1" s="1"/>
  <c r="L58" i="1"/>
  <c r="H58" i="1"/>
  <c r="M57" i="1"/>
  <c r="Q57" i="1" s="1"/>
  <c r="Z57" i="1" s="1"/>
  <c r="L57" i="1"/>
  <c r="H57" i="1"/>
  <c r="M56" i="1"/>
  <c r="Q56" i="1" s="1"/>
  <c r="R56" i="1" s="1"/>
  <c r="U56" i="1" s="1"/>
  <c r="V56" i="1" s="1"/>
  <c r="AK56" i="1" s="1"/>
  <c r="L56" i="1"/>
  <c r="H56" i="1"/>
  <c r="M55" i="1"/>
  <c r="Q55" i="1" s="1"/>
  <c r="AA55" i="1" s="1"/>
  <c r="L55" i="1"/>
  <c r="H55" i="1"/>
  <c r="M54" i="1"/>
  <c r="Q54" i="1" s="1"/>
  <c r="Z54" i="1" s="1"/>
  <c r="L54" i="1"/>
  <c r="H54" i="1"/>
  <c r="M53" i="1"/>
  <c r="Q53" i="1" s="1"/>
  <c r="Z53" i="1" s="1"/>
  <c r="L53" i="1"/>
  <c r="H53" i="1"/>
  <c r="M52" i="1"/>
  <c r="Q52" i="1" s="1"/>
  <c r="Z52" i="1" s="1"/>
  <c r="L52" i="1"/>
  <c r="H52" i="1"/>
  <c r="M51" i="1"/>
  <c r="Q51" i="1" s="1"/>
  <c r="AA51" i="1" s="1"/>
  <c r="L51" i="1"/>
  <c r="H51" i="1"/>
  <c r="M50" i="1"/>
  <c r="Q50" i="1" s="1"/>
  <c r="Z50" i="1" s="1"/>
  <c r="L50" i="1"/>
  <c r="H50" i="1"/>
  <c r="M49" i="1"/>
  <c r="Q49" i="1" s="1"/>
  <c r="L49" i="1"/>
  <c r="H49" i="1"/>
  <c r="M48" i="1"/>
  <c r="Q48" i="1" s="1"/>
  <c r="R48" i="1" s="1"/>
  <c r="U48" i="1" s="1"/>
  <c r="V48" i="1" s="1"/>
  <c r="AK48" i="1" s="1"/>
  <c r="L48" i="1"/>
  <c r="H48" i="1"/>
  <c r="M47" i="1"/>
  <c r="Q47" i="1" s="1"/>
  <c r="L47" i="1"/>
  <c r="H47" i="1"/>
  <c r="M46" i="1"/>
  <c r="Q46" i="1" s="1"/>
  <c r="R46" i="1" s="1"/>
  <c r="U46" i="1" s="1"/>
  <c r="V46" i="1" s="1"/>
  <c r="AK46" i="1" s="1"/>
  <c r="L46" i="1"/>
  <c r="H46" i="1"/>
  <c r="M45" i="1"/>
  <c r="Q45" i="1" s="1"/>
  <c r="Z45" i="1" s="1"/>
  <c r="L45" i="1"/>
  <c r="H45" i="1"/>
  <c r="M44" i="1"/>
  <c r="Q44" i="1" s="1"/>
  <c r="L44" i="1"/>
  <c r="H44" i="1"/>
  <c r="M43" i="1"/>
  <c r="Q43" i="1" s="1"/>
  <c r="Z43" i="1" s="1"/>
  <c r="L43" i="1"/>
  <c r="H43" i="1"/>
  <c r="M42" i="1"/>
  <c r="Q42" i="1" s="1"/>
  <c r="L42" i="1"/>
  <c r="H42" i="1"/>
  <c r="M41" i="1"/>
  <c r="Q41" i="1" s="1"/>
  <c r="R41" i="1" s="1"/>
  <c r="U41" i="1" s="1"/>
  <c r="V41" i="1" s="1"/>
  <c r="AK41" i="1" s="1"/>
  <c r="L41" i="1"/>
  <c r="H41" i="1"/>
  <c r="M40" i="1"/>
  <c r="Q40" i="1" s="1"/>
  <c r="AA40" i="1" s="1"/>
  <c r="L40" i="1"/>
  <c r="H40" i="1"/>
  <c r="M39" i="1"/>
  <c r="Q39" i="1" s="1"/>
  <c r="Z39" i="1" s="1"/>
  <c r="L39" i="1"/>
  <c r="H39" i="1"/>
  <c r="M38" i="1"/>
  <c r="L38" i="1"/>
  <c r="H38" i="1"/>
  <c r="M37" i="1"/>
  <c r="Q37" i="1" s="1"/>
  <c r="Z37" i="1" s="1"/>
  <c r="L37" i="1"/>
  <c r="H37" i="1"/>
  <c r="M36" i="1"/>
  <c r="Q36" i="1" s="1"/>
  <c r="Z36" i="1" s="1"/>
  <c r="L36" i="1"/>
  <c r="H36" i="1"/>
  <c r="M35" i="1"/>
  <c r="Q35" i="1" s="1"/>
  <c r="Z35" i="1" s="1"/>
  <c r="L35" i="1"/>
  <c r="H35" i="1"/>
  <c r="M34" i="1"/>
  <c r="Q34" i="1" s="1"/>
  <c r="AA34" i="1" s="1"/>
  <c r="L34" i="1"/>
  <c r="H34" i="1"/>
  <c r="M33" i="1"/>
  <c r="Q33" i="1" s="1"/>
  <c r="R33" i="1" s="1"/>
  <c r="U33" i="1" s="1"/>
  <c r="V33" i="1" s="1"/>
  <c r="AK33" i="1" s="1"/>
  <c r="L33" i="1"/>
  <c r="H33" i="1"/>
  <c r="M32" i="1"/>
  <c r="Q32" i="1" s="1"/>
  <c r="AA32" i="1" s="1"/>
  <c r="L32" i="1"/>
  <c r="H32" i="1"/>
  <c r="M31" i="1"/>
  <c r="Q31" i="1" s="1"/>
  <c r="Z31" i="1" s="1"/>
  <c r="L31" i="1"/>
  <c r="H31" i="1"/>
  <c r="M30" i="1"/>
  <c r="Q30" i="1" s="1"/>
  <c r="L30" i="1"/>
  <c r="H30" i="1"/>
  <c r="M29" i="1"/>
  <c r="Q29" i="1" s="1"/>
  <c r="R29" i="1" s="1"/>
  <c r="U29" i="1" s="1"/>
  <c r="V29" i="1" s="1"/>
  <c r="AK29" i="1" s="1"/>
  <c r="L29" i="1"/>
  <c r="H29" i="1"/>
  <c r="M28" i="1"/>
  <c r="Q28" i="1" s="1"/>
  <c r="L28" i="1"/>
  <c r="H28" i="1"/>
  <c r="M27" i="1"/>
  <c r="Q27" i="1" s="1"/>
  <c r="L27" i="1"/>
  <c r="H27" i="1"/>
  <c r="M26" i="1"/>
  <c r="Q26" i="1" s="1"/>
  <c r="L26" i="1"/>
  <c r="H26" i="1"/>
  <c r="M25" i="1"/>
  <c r="Q25" i="1" s="1"/>
  <c r="R25" i="1" s="1"/>
  <c r="U25" i="1" s="1"/>
  <c r="V25" i="1" s="1"/>
  <c r="AK25" i="1" s="1"/>
  <c r="L25" i="1"/>
  <c r="H25" i="1"/>
  <c r="M24" i="1"/>
  <c r="Q24" i="1" s="1"/>
  <c r="L24" i="1"/>
  <c r="H24" i="1"/>
  <c r="M23" i="1"/>
  <c r="Q23" i="1" s="1"/>
  <c r="Z23" i="1" s="1"/>
  <c r="L23" i="1"/>
  <c r="H23" i="1"/>
  <c r="M22" i="1"/>
  <c r="Q22" i="1" s="1"/>
  <c r="L22" i="1"/>
  <c r="H22" i="1"/>
  <c r="M21" i="1"/>
  <c r="Q21" i="1" s="1"/>
  <c r="Z21" i="1" s="1"/>
  <c r="L21" i="1"/>
  <c r="H21" i="1"/>
  <c r="M20" i="1"/>
  <c r="Q20" i="1" s="1"/>
  <c r="Z20" i="1" s="1"/>
  <c r="L20" i="1"/>
  <c r="H20" i="1"/>
  <c r="M19" i="1"/>
  <c r="Q19" i="1" s="1"/>
  <c r="L19" i="1"/>
  <c r="H19" i="1"/>
  <c r="M18" i="1"/>
  <c r="Q18" i="1" s="1"/>
  <c r="AA18" i="1" s="1"/>
  <c r="L18" i="1"/>
  <c r="H18" i="1"/>
  <c r="M17" i="1"/>
  <c r="Q17" i="1" s="1"/>
  <c r="R17" i="1" s="1"/>
  <c r="U17" i="1" s="1"/>
  <c r="V17" i="1" s="1"/>
  <c r="AK17" i="1" s="1"/>
  <c r="L17" i="1"/>
  <c r="H17" i="1"/>
  <c r="M16" i="1"/>
  <c r="Q16" i="1" s="1"/>
  <c r="AA16" i="1" s="1"/>
  <c r="L16" i="1"/>
  <c r="H16" i="1"/>
  <c r="M15" i="1"/>
  <c r="Q15" i="1" s="1"/>
  <c r="Z15" i="1" s="1"/>
  <c r="L15" i="1"/>
  <c r="H15" i="1"/>
  <c r="M14" i="1"/>
  <c r="Q14" i="1" s="1"/>
  <c r="AA14" i="1" s="1"/>
  <c r="L14" i="1"/>
  <c r="H14" i="1"/>
  <c r="M13" i="1"/>
  <c r="Q13" i="1" s="1"/>
  <c r="Z13" i="1" s="1"/>
  <c r="L13" i="1"/>
  <c r="H13" i="1"/>
  <c r="M12" i="1"/>
  <c r="Q12" i="1" s="1"/>
  <c r="AA12" i="1" s="1"/>
  <c r="L12" i="1"/>
  <c r="H12" i="1"/>
  <c r="M11" i="1"/>
  <c r="Q11" i="1" s="1"/>
  <c r="L11" i="1"/>
  <c r="H11" i="1"/>
  <c r="M10" i="1"/>
  <c r="Q10" i="1" s="1"/>
  <c r="AA10" i="1" s="1"/>
  <c r="L10" i="1"/>
  <c r="H10" i="1"/>
  <c r="M9" i="1"/>
  <c r="Q9" i="1" s="1"/>
  <c r="R9" i="1" s="1"/>
  <c r="U9" i="1" s="1"/>
  <c r="V9" i="1" s="1"/>
  <c r="AK9" i="1" s="1"/>
  <c r="L9" i="1"/>
  <c r="H9" i="1"/>
  <c r="M8" i="1"/>
  <c r="Q8" i="1" s="1"/>
  <c r="AA8" i="1" s="1"/>
  <c r="L8" i="1"/>
  <c r="H8" i="1"/>
  <c r="M7" i="1"/>
  <c r="Q7" i="1" s="1"/>
  <c r="R7" i="1" s="1"/>
  <c r="L7" i="1"/>
  <c r="H7" i="1"/>
  <c r="M6" i="1"/>
  <c r="Q6" i="1" s="1"/>
  <c r="AA6" i="1" s="1"/>
  <c r="L6" i="1"/>
  <c r="H6" i="1"/>
  <c r="AI5" i="1"/>
  <c r="AH5" i="1"/>
  <c r="AG5" i="1"/>
  <c r="AF5" i="1"/>
  <c r="AE5" i="1"/>
  <c r="AD5" i="1"/>
  <c r="AC5" i="1"/>
  <c r="AB5" i="1"/>
  <c r="X5" i="1"/>
  <c r="P5" i="1"/>
  <c r="O5" i="1"/>
  <c r="N5" i="1"/>
  <c r="K5" i="1"/>
  <c r="Z55" i="1" l="1"/>
  <c r="Q38" i="1"/>
  <c r="Z38" i="1" s="1"/>
  <c r="Z25" i="1"/>
  <c r="Z9" i="1"/>
  <c r="Z41" i="1"/>
  <c r="Z17" i="1"/>
  <c r="Z18" i="1"/>
  <c r="Z32" i="1"/>
  <c r="Z34" i="1"/>
  <c r="Z46" i="1"/>
  <c r="Z48" i="1"/>
  <c r="Z56" i="1"/>
  <c r="Z60" i="1"/>
  <c r="Z73" i="1"/>
  <c r="Z89" i="1"/>
  <c r="Z85" i="1"/>
  <c r="Z71" i="1"/>
  <c r="Z75" i="1"/>
  <c r="Z83" i="1"/>
  <c r="Z87" i="1"/>
  <c r="U7" i="1"/>
  <c r="V7" i="1" s="1"/>
  <c r="Z6" i="1"/>
  <c r="Z90" i="1"/>
  <c r="Z94" i="1"/>
  <c r="Z33" i="1"/>
  <c r="Z93" i="1"/>
  <c r="Z29" i="1"/>
  <c r="R77" i="1"/>
  <c r="U77" i="1" s="1"/>
  <c r="V77" i="1" s="1"/>
  <c r="AK77" i="1" s="1"/>
  <c r="R81" i="1"/>
  <c r="U81" i="1" s="1"/>
  <c r="V81" i="1" s="1"/>
  <c r="AK81" i="1" s="1"/>
  <c r="R91" i="1"/>
  <c r="U91" i="1" s="1"/>
  <c r="V91" i="1" s="1"/>
  <c r="AK91" i="1" s="1"/>
  <c r="R14" i="1"/>
  <c r="U14" i="1" s="1"/>
  <c r="V14" i="1" s="1"/>
  <c r="AK14" i="1" s="1"/>
  <c r="R11" i="1"/>
  <c r="U11" i="1" s="1"/>
  <c r="V11" i="1" s="1"/>
  <c r="AK11" i="1" s="1"/>
  <c r="R27" i="1"/>
  <c r="U27" i="1" s="1"/>
  <c r="V27" i="1" s="1"/>
  <c r="AK27" i="1" s="1"/>
  <c r="R19" i="1"/>
  <c r="U19" i="1" s="1"/>
  <c r="V19" i="1" s="1"/>
  <c r="AK19" i="1" s="1"/>
  <c r="AA20" i="1"/>
  <c r="AA24" i="1"/>
  <c r="R24" i="1"/>
  <c r="U24" i="1" s="1"/>
  <c r="V24" i="1" s="1"/>
  <c r="AK24" i="1" s="1"/>
  <c r="AA26" i="1"/>
  <c r="R26" i="1"/>
  <c r="U26" i="1" s="1"/>
  <c r="V26" i="1" s="1"/>
  <c r="AK26" i="1" s="1"/>
  <c r="AA28" i="1"/>
  <c r="R28" i="1"/>
  <c r="U28" i="1" s="1"/>
  <c r="V28" i="1" s="1"/>
  <c r="AK28" i="1" s="1"/>
  <c r="AA47" i="1"/>
  <c r="R47" i="1"/>
  <c r="U47" i="1" s="1"/>
  <c r="V47" i="1" s="1"/>
  <c r="AK47" i="1" s="1"/>
  <c r="AA53" i="1"/>
  <c r="R10" i="1"/>
  <c r="U10" i="1" s="1"/>
  <c r="V10" i="1" s="1"/>
  <c r="AK10" i="1" s="1"/>
  <c r="R69" i="1"/>
  <c r="U69" i="1" s="1"/>
  <c r="V69" i="1" s="1"/>
  <c r="AK69" i="1" s="1"/>
  <c r="AA22" i="1"/>
  <c r="R22" i="1"/>
  <c r="U22" i="1" s="1"/>
  <c r="V22" i="1" s="1"/>
  <c r="AK22" i="1" s="1"/>
  <c r="AA30" i="1"/>
  <c r="R30" i="1"/>
  <c r="U30" i="1" s="1"/>
  <c r="V30" i="1" s="1"/>
  <c r="AK30" i="1" s="1"/>
  <c r="AA42" i="1"/>
  <c r="R42" i="1"/>
  <c r="U42" i="1" s="1"/>
  <c r="V42" i="1" s="1"/>
  <c r="AK42" i="1" s="1"/>
  <c r="AA44" i="1"/>
  <c r="R44" i="1"/>
  <c r="U44" i="1" s="1"/>
  <c r="V44" i="1" s="1"/>
  <c r="AK44" i="1" s="1"/>
  <c r="AA49" i="1"/>
  <c r="R49" i="1"/>
  <c r="U49" i="1" s="1"/>
  <c r="V49" i="1" s="1"/>
  <c r="AK49" i="1" s="1"/>
  <c r="AA57" i="1"/>
  <c r="AA59" i="1"/>
  <c r="R59" i="1"/>
  <c r="U59" i="1" s="1"/>
  <c r="V59" i="1" s="1"/>
  <c r="AK59" i="1" s="1"/>
  <c r="AA61" i="1"/>
  <c r="R63" i="1"/>
  <c r="U63" i="1" s="1"/>
  <c r="V63" i="1" s="1"/>
  <c r="AK63" i="1" s="1"/>
  <c r="R65" i="1"/>
  <c r="U65" i="1" s="1"/>
  <c r="V65" i="1" s="1"/>
  <c r="AK65" i="1" s="1"/>
  <c r="R68" i="1"/>
  <c r="U68" i="1" s="1"/>
  <c r="V68" i="1" s="1"/>
  <c r="AK68" i="1" s="1"/>
  <c r="R76" i="1"/>
  <c r="U76" i="1" s="1"/>
  <c r="V76" i="1" s="1"/>
  <c r="AK76" i="1" s="1"/>
  <c r="R78" i="1"/>
  <c r="U78" i="1" s="1"/>
  <c r="V78" i="1" s="1"/>
  <c r="AK78" i="1" s="1"/>
  <c r="R80" i="1"/>
  <c r="U80" i="1" s="1"/>
  <c r="V80" i="1" s="1"/>
  <c r="AK80" i="1" s="1"/>
  <c r="R92" i="1"/>
  <c r="S92" i="1" s="1"/>
  <c r="U92" i="1" s="1"/>
  <c r="V92" i="1" s="1"/>
  <c r="AK92" i="1" s="1"/>
  <c r="R8" i="1"/>
  <c r="U8" i="1" s="1"/>
  <c r="V8" i="1" s="1"/>
  <c r="AK8" i="1" s="1"/>
  <c r="R12" i="1"/>
  <c r="U12" i="1" s="1"/>
  <c r="V12" i="1" s="1"/>
  <c r="AK12" i="1" s="1"/>
  <c r="R16" i="1"/>
  <c r="U16" i="1" s="1"/>
  <c r="V16" i="1" s="1"/>
  <c r="AK16" i="1" s="1"/>
  <c r="R66" i="1"/>
  <c r="U66" i="1" s="1"/>
  <c r="V66" i="1" s="1"/>
  <c r="AK66" i="1" s="1"/>
  <c r="R79" i="1"/>
  <c r="U79" i="1" s="1"/>
  <c r="V79" i="1" s="1"/>
  <c r="AK79" i="1" s="1"/>
  <c r="R40" i="1"/>
  <c r="U40" i="1" s="1"/>
  <c r="V40" i="1" s="1"/>
  <c r="AK40" i="1" s="1"/>
  <c r="R51" i="1"/>
  <c r="U51" i="1" s="1"/>
  <c r="V51" i="1" s="1"/>
  <c r="AK51" i="1" s="1"/>
  <c r="E5" i="1"/>
  <c r="M64" i="1"/>
  <c r="Q64" i="1" s="1"/>
  <c r="AA48" i="1"/>
  <c r="AA56" i="1"/>
  <c r="AA67" i="1"/>
  <c r="AA52" i="1"/>
  <c r="AA60" i="1"/>
  <c r="AA9" i="1"/>
  <c r="AA13" i="1"/>
  <c r="AA17" i="1"/>
  <c r="AA21" i="1"/>
  <c r="AA25" i="1"/>
  <c r="AA29" i="1"/>
  <c r="AA33" i="1"/>
  <c r="AA41" i="1"/>
  <c r="AA45" i="1"/>
  <c r="AA70" i="1"/>
  <c r="AA74" i="1"/>
  <c r="AA78" i="1"/>
  <c r="AA82" i="1"/>
  <c r="AA86" i="1"/>
  <c r="AA90" i="1"/>
  <c r="AA35" i="1"/>
  <c r="AA36" i="1"/>
  <c r="AA7" i="1"/>
  <c r="AA11" i="1"/>
  <c r="AA15" i="1"/>
  <c r="AA19" i="1"/>
  <c r="AA23" i="1"/>
  <c r="AA27" i="1"/>
  <c r="AA31" i="1"/>
  <c r="AA38" i="1"/>
  <c r="AA37" i="1"/>
  <c r="AA39" i="1"/>
  <c r="AA43" i="1"/>
  <c r="AA46" i="1"/>
  <c r="AA50" i="1"/>
  <c r="AA54" i="1"/>
  <c r="AA58" i="1"/>
  <c r="AA62" i="1"/>
  <c r="L63" i="1"/>
  <c r="L5" i="1" s="1"/>
  <c r="AA63" i="1"/>
  <c r="AA65" i="1"/>
  <c r="AA68" i="1"/>
  <c r="AA72" i="1"/>
  <c r="AA76" i="1"/>
  <c r="AA80" i="1"/>
  <c r="AA84" i="1"/>
  <c r="AA88" i="1"/>
  <c r="AA92" i="1"/>
  <c r="AK7" i="1" l="1"/>
  <c r="Z51" i="1"/>
  <c r="Z79" i="1"/>
  <c r="Z16" i="1"/>
  <c r="Z8" i="1"/>
  <c r="Z80" i="1"/>
  <c r="Z76" i="1"/>
  <c r="Z65" i="1"/>
  <c r="Z49" i="1"/>
  <c r="Z44" i="1"/>
  <c r="Z42" i="1"/>
  <c r="Z30" i="1"/>
  <c r="Z22" i="1"/>
  <c r="Z69" i="1"/>
  <c r="Z19" i="1"/>
  <c r="Z11" i="1"/>
  <c r="Z91" i="1"/>
  <c r="Z77" i="1"/>
  <c r="Z7" i="1"/>
  <c r="Z40" i="1"/>
  <c r="Z66" i="1"/>
  <c r="Z12" i="1"/>
  <c r="Z92" i="1"/>
  <c r="Z78" i="1"/>
  <c r="Z68" i="1"/>
  <c r="Z63" i="1"/>
  <c r="Z59" i="1"/>
  <c r="Z10" i="1"/>
  <c r="Z47" i="1"/>
  <c r="Z28" i="1"/>
  <c r="Z26" i="1"/>
  <c r="Z24" i="1"/>
  <c r="Z27" i="1"/>
  <c r="Z14" i="1"/>
  <c r="Z81" i="1"/>
  <c r="AA64" i="1"/>
  <c r="R64" i="1"/>
  <c r="U64" i="1" s="1"/>
  <c r="V64" i="1" s="1"/>
  <c r="AK64" i="1" s="1"/>
  <c r="M5" i="1"/>
  <c r="Q5" i="1"/>
  <c r="V5" i="1" l="1"/>
  <c r="Z64" i="1"/>
  <c r="S5" i="1"/>
  <c r="U5" i="1"/>
  <c r="AK5" i="1"/>
  <c r="R5" i="1"/>
</calcChain>
</file>

<file path=xl/sharedStrings.xml><?xml version="1.0" encoding="utf-8"?>
<sst xmlns="http://schemas.openxmlformats.org/spreadsheetml/2006/main" count="340" uniqueCount="146">
  <si>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</si>
  <si>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</si>
  <si>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</si>
  <si>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</si>
  <si>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</si>
  <si>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</si>
  <si>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</si>
  <si>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</si>
  <si>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</si>
  <si>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</si>
  <si>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</si>
  <si>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</si>
  <si>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</si>
  <si>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</si>
  <si>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</si>
  <si>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</si>
  <si>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</si>
  <si>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</si>
  <si>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</si>
  <si>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</si>
  <si>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</si>
  <si>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</si>
  <si>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</si>
  <si>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</si>
  <si>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08,11,</t>
  </si>
  <si>
    <t>10,11,</t>
  </si>
  <si>
    <t>11,11,</t>
  </si>
  <si>
    <t>04,11,</t>
  </si>
  <si>
    <t>29,10,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</si>
  <si>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</si>
  <si>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</si>
  <si>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</si>
  <si>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</si>
  <si>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</si>
  <si>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</si>
  <si>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</si>
  <si>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</si>
  <si>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</si>
  <si>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</si>
  <si>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</si>
  <si>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</si>
  <si>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</si>
  <si>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</si>
  <si>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</si>
  <si>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</si>
  <si>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</si>
  <si>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</si>
  <si>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</si>
  <si>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</si>
  <si>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</si>
  <si>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</si>
  <si>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</si>
  <si>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</si>
  <si>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</si>
  <si>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</si>
  <si>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</si>
  <si>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</si>
  <si>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</si>
  <si>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</si>
  <si>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</si>
  <si>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</si>
  <si>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</si>
  <si>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</si>
  <si>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</si>
  <si>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</si>
  <si>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</si>
  <si>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</si>
  <si>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</si>
  <si>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</si>
  <si>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</si>
  <si>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</si>
  <si>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</si>
  <si>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</si>
  <si>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</si>
  <si>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</si>
  <si>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</si>
  <si>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</si>
  <si>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</si>
  <si>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с 25,06,25 заказываем</t>
  </si>
  <si>
    <t>6608 С ГОВЯДИНОЙ ОРИГИН. сар б/о мгс 1*3_45с  ОСТАНКИНО</t>
  </si>
  <si>
    <t>6609 С ГОВЯДИНОЙ ПМ сар б/о мгс 0,4 кг_45с</t>
  </si>
  <si>
    <t>вывод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</si>
  <si>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</si>
  <si>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</si>
  <si>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</si>
  <si>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</si>
  <si>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</si>
  <si>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</si>
  <si>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</si>
  <si>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</si>
  <si>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</si>
  <si>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</si>
  <si>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</si>
  <si>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</si>
  <si>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</si>
  <si>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</si>
  <si>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</si>
  <si>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</si>
  <si>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</si>
  <si>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</si>
  <si>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</si>
  <si>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</si>
  <si>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</si>
  <si>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</si>
  <si>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</si>
  <si>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</si>
  <si>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</si>
  <si>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</si>
  <si>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</si>
  <si>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</si>
  <si>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</si>
  <si>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</si>
  <si>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</si>
  <si>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</si>
  <si>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</si>
  <si>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</si>
  <si>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</si>
  <si>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</si>
  <si>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</si>
  <si>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</si>
  <si>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</si>
  <si>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</si>
  <si>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</si>
  <si>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</si>
  <si>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</si>
  <si>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</si>
  <si>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</si>
  <si>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</si>
  <si>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</si>
  <si>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</si>
  <si>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</si>
  <si>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</si>
  <si>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</si>
  <si>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</si>
  <si>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</si>
  <si>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</si>
  <si>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</si>
  <si>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06,03,25 в уценку 85шт.</t>
  </si>
  <si>
    <t>ммл 2</t>
  </si>
  <si>
    <t>ммл 3</t>
  </si>
  <si>
    <t>с учетом ТК</t>
  </si>
  <si>
    <t>до машины</t>
  </si>
  <si>
    <t>итого</t>
  </si>
  <si>
    <t>заказ</t>
  </si>
  <si>
    <t>15,11,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</si>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</sst>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1,11,25%20&#1076;&#108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</row>
        <row r="2">
          <cell r="A2"/>
          <cell r="B2"/>
          <cell r="C2"/>
          <cell r="D2"/>
          <cell r="E2"/>
          <cell r="F2"/>
          <cell r="G2"/>
          <cell r="H2"/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</row>
        <row r="4">
          <cell r="A4"/>
          <cell r="B4"/>
          <cell r="C4"/>
          <cell r="D4"/>
          <cell r="E4"/>
          <cell r="F4"/>
          <cell r="G4"/>
          <cell r="H4"/>
        </row>
        <row r="5">
          <cell r="A5"/>
          <cell r="B5"/>
          <cell r="C5"/>
          <cell r="D5"/>
          <cell r="E5">
            <v>15050.26</v>
          </cell>
          <cell r="F5">
            <v>22754.472000000005</v>
          </cell>
          <cell r="G5"/>
          <cell r="H5"/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248</v>
          </cell>
          <cell r="D6">
            <v>315</v>
          </cell>
          <cell r="E6">
            <v>213</v>
          </cell>
          <cell r="F6">
            <v>342</v>
          </cell>
          <cell r="G6">
            <v>0.4</v>
          </cell>
          <cell r="H6">
            <v>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15.853</v>
          </cell>
          <cell r="D7">
            <v>27.855</v>
          </cell>
          <cell r="E7">
            <v>14.492000000000001</v>
          </cell>
          <cell r="F7">
            <v>29.216000000000001</v>
          </cell>
          <cell r="G7">
            <v>1</v>
          </cell>
          <cell r="H7">
            <v>120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/>
          <cell r="D8">
            <v>24</v>
          </cell>
          <cell r="E8"/>
          <cell r="F8">
            <v>24</v>
          </cell>
          <cell r="G8">
            <v>0.25</v>
          </cell>
          <cell r="H8">
            <v>120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999.17</v>
          </cell>
          <cell r="D9">
            <v>1310.5340000000001</v>
          </cell>
          <cell r="E9">
            <v>1110.346</v>
          </cell>
          <cell r="F9">
            <v>1142.319</v>
          </cell>
          <cell r="G9">
            <v>1</v>
          </cell>
          <cell r="H9">
            <v>60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56.91</v>
          </cell>
          <cell r="D10">
            <v>142.55699999999999</v>
          </cell>
          <cell r="E10">
            <v>11.544</v>
          </cell>
          <cell r="F10">
            <v>174.97499999999999</v>
          </cell>
          <cell r="G10">
            <v>1</v>
          </cell>
          <cell r="H10">
            <v>120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197.517</v>
          </cell>
          <cell r="D11">
            <v>106.18300000000001</v>
          </cell>
          <cell r="E11">
            <v>97.799000000000007</v>
          </cell>
          <cell r="F11">
            <v>166.79</v>
          </cell>
          <cell r="G11">
            <v>1</v>
          </cell>
          <cell r="H11">
            <v>60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401.69200000000001</v>
          </cell>
          <cell r="D12">
            <v>1166.3340000000001</v>
          </cell>
          <cell r="E12">
            <v>623.52099999999996</v>
          </cell>
          <cell r="F12">
            <v>862.56399999999996</v>
          </cell>
          <cell r="G12">
            <v>1</v>
          </cell>
          <cell r="H12">
            <v>60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59</v>
          </cell>
          <cell r="D13">
            <v>241</v>
          </cell>
          <cell r="E13">
            <v>81</v>
          </cell>
          <cell r="F13">
            <v>210</v>
          </cell>
          <cell r="G13">
            <v>0.25</v>
          </cell>
          <cell r="H13">
            <v>120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73.251999999999995</v>
          </cell>
          <cell r="D14">
            <v>85.146000000000001</v>
          </cell>
          <cell r="E14">
            <v>75.421999999999997</v>
          </cell>
          <cell r="F14">
            <v>79.41</v>
          </cell>
          <cell r="G14">
            <v>1</v>
          </cell>
          <cell r="H14">
            <v>60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</v>
          </cell>
          <cell r="D15">
            <v>121</v>
          </cell>
          <cell r="E15">
            <v>80</v>
          </cell>
          <cell r="F15">
            <v>81</v>
          </cell>
          <cell r="G15">
            <v>0.25</v>
          </cell>
          <cell r="H15">
            <v>120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26</v>
          </cell>
          <cell r="D16">
            <v>543</v>
          </cell>
          <cell r="E16">
            <v>202</v>
          </cell>
          <cell r="F16">
            <v>354</v>
          </cell>
          <cell r="G16">
            <v>0.4</v>
          </cell>
          <cell r="H16">
            <v>60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284.78100000000001</v>
          </cell>
          <cell r="D17">
            <v>601.44600000000003</v>
          </cell>
          <cell r="E17">
            <v>335.791</v>
          </cell>
          <cell r="F17">
            <v>525.55999999999995</v>
          </cell>
          <cell r="G17">
            <v>1</v>
          </cell>
          <cell r="H17">
            <v>45</v>
          </cell>
        </row>
        <row r="18">
          <cell r="A18" t="str">
            <v>5682 САЛЯМИ МЕЛКОЗЕРНЕНАЯ с/к в/у 1/120_60с   ОСТАНКИНО</v>
          </cell>
          <cell r="B18" t="str">
            <v>шт</v>
          </cell>
          <cell r="C18">
            <v>103</v>
          </cell>
          <cell r="D18">
            <v>363</v>
          </cell>
          <cell r="E18">
            <v>155</v>
          </cell>
          <cell r="F18">
            <v>306</v>
          </cell>
          <cell r="G18">
            <v>0.12</v>
          </cell>
          <cell r="H18">
            <v>60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/>
          <cell r="D19">
            <v>8</v>
          </cell>
          <cell r="E19"/>
          <cell r="F19"/>
          <cell r="G19">
            <v>0</v>
          </cell>
          <cell r="H19">
            <v>120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39.491999999999997</v>
          </cell>
          <cell r="D20">
            <v>83.632999999999996</v>
          </cell>
          <cell r="E20">
            <v>20.478000000000002</v>
          </cell>
          <cell r="F20">
            <v>92.680999999999997</v>
          </cell>
          <cell r="G20">
            <v>1</v>
          </cell>
          <cell r="H20">
            <v>120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113</v>
          </cell>
          <cell r="D21">
            <v>283</v>
          </cell>
          <cell r="E21">
            <v>220</v>
          </cell>
          <cell r="F21">
            <v>170</v>
          </cell>
          <cell r="G21">
            <v>0.4</v>
          </cell>
          <cell r="H21">
            <v>45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208.14099999999999</v>
          </cell>
          <cell r="D22">
            <v>464.12799999999999</v>
          </cell>
          <cell r="E22">
            <v>249.15100000000001</v>
          </cell>
          <cell r="F22">
            <v>397.53300000000002</v>
          </cell>
          <cell r="G22">
            <v>1</v>
          </cell>
          <cell r="H22">
            <v>60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29</v>
          </cell>
          <cell r="D23">
            <v>121</v>
          </cell>
          <cell r="E23">
            <v>65</v>
          </cell>
          <cell r="F23">
            <v>80</v>
          </cell>
          <cell r="G23">
            <v>0.22</v>
          </cell>
          <cell r="H23">
            <v>120</v>
          </cell>
        </row>
        <row r="24">
          <cell r="A24" t="str">
            <v>5992 ВРЕМЯ ОКРОШКИ Папа может вар п/о 0.4кг   ОСТАНКИНО</v>
          </cell>
          <cell r="B24" t="str">
            <v>шт</v>
          </cell>
          <cell r="C24">
            <v>6</v>
          </cell>
          <cell r="D24"/>
          <cell r="E24">
            <v>-1</v>
          </cell>
          <cell r="F24">
            <v>-2</v>
          </cell>
          <cell r="G24">
            <v>0</v>
          </cell>
          <cell r="H24">
            <v>60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/>
          <cell r="D25">
            <v>140</v>
          </cell>
          <cell r="E25">
            <v>26</v>
          </cell>
          <cell r="F25">
            <v>96</v>
          </cell>
          <cell r="G25">
            <v>0.15</v>
          </cell>
          <cell r="H25">
            <v>45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/>
          <cell r="D26">
            <v>248.958</v>
          </cell>
          <cell r="E26">
            <v>147.608</v>
          </cell>
          <cell r="F26">
            <v>99.981999999999999</v>
          </cell>
          <cell r="G26">
            <v>1</v>
          </cell>
          <cell r="H26">
            <v>60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/>
          <cell r="D27">
            <v>180</v>
          </cell>
          <cell r="E27">
            <v>127</v>
          </cell>
          <cell r="F27">
            <v>44</v>
          </cell>
          <cell r="G27">
            <v>0.09</v>
          </cell>
          <cell r="H27">
            <v>60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106</v>
          </cell>
          <cell r="D28">
            <v>201</v>
          </cell>
          <cell r="E28">
            <v>121</v>
          </cell>
          <cell r="F28">
            <v>169</v>
          </cell>
          <cell r="G28">
            <v>0.09</v>
          </cell>
          <cell r="H28">
            <v>45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152</v>
          </cell>
          <cell r="D29">
            <v>211</v>
          </cell>
          <cell r="E29">
            <v>167</v>
          </cell>
          <cell r="F29">
            <v>176</v>
          </cell>
          <cell r="G29">
            <v>0.4</v>
          </cell>
          <cell r="H29">
            <v>60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2</v>
          </cell>
          <cell r="D30">
            <v>48</v>
          </cell>
          <cell r="E30"/>
          <cell r="F30">
            <v>46</v>
          </cell>
          <cell r="G30">
            <v>0.15</v>
          </cell>
          <cell r="H30">
            <v>45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502.74599999999998</v>
          </cell>
          <cell r="D31">
            <v>223.96100000000001</v>
          </cell>
          <cell r="E31">
            <v>222.971</v>
          </cell>
          <cell r="F31">
            <v>482.41500000000002</v>
          </cell>
          <cell r="G31">
            <v>1</v>
          </cell>
          <cell r="H31">
            <v>45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111</v>
          </cell>
          <cell r="D32">
            <v>184</v>
          </cell>
          <cell r="E32">
            <v>132</v>
          </cell>
          <cell r="F32">
            <v>154</v>
          </cell>
          <cell r="G32">
            <v>0.4</v>
          </cell>
          <cell r="H32">
            <v>60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</v>
          </cell>
          <cell r="D33">
            <v>64</v>
          </cell>
          <cell r="E33">
            <v>24</v>
          </cell>
          <cell r="F33">
            <v>49</v>
          </cell>
          <cell r="G33">
            <v>0.4</v>
          </cell>
          <cell r="H33">
            <v>60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471</v>
          </cell>
          <cell r="D34">
            <v>217</v>
          </cell>
          <cell r="E34">
            <v>372</v>
          </cell>
          <cell r="F34">
            <v>282</v>
          </cell>
          <cell r="G34">
            <v>0.4</v>
          </cell>
          <cell r="H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174</v>
          </cell>
          <cell r="D35">
            <v>328</v>
          </cell>
          <cell r="E35">
            <v>217</v>
          </cell>
          <cell r="F35">
            <v>252</v>
          </cell>
          <cell r="G35">
            <v>0.4</v>
          </cell>
          <cell r="H35">
            <v>60</v>
          </cell>
        </row>
        <row r="36">
          <cell r="A36" t="str">
            <v>6392 ФИЛЕЙНАЯ Папа может вар п/о 0,4кг  ОСТАНКИНО</v>
          </cell>
          <cell r="B36" t="str">
            <v>шт</v>
          </cell>
          <cell r="C36">
            <v>704</v>
          </cell>
          <cell r="D36">
            <v>906</v>
          </cell>
          <cell r="E36">
            <v>501</v>
          </cell>
          <cell r="F36">
            <v>1095</v>
          </cell>
          <cell r="G36">
            <v>0.4</v>
          </cell>
          <cell r="H36">
            <v>60</v>
          </cell>
        </row>
        <row r="37">
          <cell r="A37" t="str">
            <v>6448 Свинина Останкино 100г Мадера с/к в/у нарезка  ОСТАНКИНО</v>
          </cell>
          <cell r="B37" t="str">
            <v>шт</v>
          </cell>
          <cell r="C37">
            <v>11</v>
          </cell>
          <cell r="D37">
            <v>82</v>
          </cell>
          <cell r="E37">
            <v>35</v>
          </cell>
          <cell r="F37">
            <v>56</v>
          </cell>
          <cell r="G37">
            <v>0.1</v>
          </cell>
          <cell r="H37">
            <v>45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81</v>
          </cell>
          <cell r="D38">
            <v>381</v>
          </cell>
          <cell r="E38">
            <v>224</v>
          </cell>
          <cell r="F38">
            <v>219</v>
          </cell>
          <cell r="G38">
            <v>0.1</v>
          </cell>
          <cell r="H38">
            <v>60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335</v>
          </cell>
          <cell r="D39">
            <v>193</v>
          </cell>
          <cell r="E39">
            <v>187</v>
          </cell>
          <cell r="F39">
            <v>331</v>
          </cell>
          <cell r="G39">
            <v>0.1</v>
          </cell>
          <cell r="H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77</v>
          </cell>
          <cell r="D40">
            <v>51</v>
          </cell>
          <cell r="E40">
            <v>65</v>
          </cell>
          <cell r="F40">
            <v>60</v>
          </cell>
          <cell r="G40">
            <v>0.1</v>
          </cell>
          <cell r="H40">
            <v>45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30</v>
          </cell>
          <cell r="D41">
            <v>343</v>
          </cell>
          <cell r="E41">
            <v>146</v>
          </cell>
          <cell r="F41">
            <v>223</v>
          </cell>
          <cell r="G41">
            <v>0.4</v>
          </cell>
          <cell r="H41">
            <v>45</v>
          </cell>
        </row>
        <row r="42">
          <cell r="A42" t="str">
            <v>6498 МОЛОЧНАЯ Папа может вар п/о  ОСТАНКИНО</v>
          </cell>
          <cell r="B42" t="str">
            <v>кг</v>
          </cell>
          <cell r="C42">
            <v>71.935000000000002</v>
          </cell>
          <cell r="D42">
            <v>382.02499999999998</v>
          </cell>
          <cell r="E42">
            <v>182.41200000000001</v>
          </cell>
          <cell r="F42">
            <v>268.51799999999997</v>
          </cell>
          <cell r="G42">
            <v>1</v>
          </cell>
          <cell r="H42">
            <v>60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58.436</v>
          </cell>
          <cell r="D43">
            <v>180.83099999999999</v>
          </cell>
          <cell r="E43">
            <v>65.728999999999999</v>
          </cell>
          <cell r="F43">
            <v>161.37899999999999</v>
          </cell>
          <cell r="G43">
            <v>1</v>
          </cell>
          <cell r="H43">
            <v>45</v>
          </cell>
        </row>
        <row r="44">
          <cell r="A44" t="str">
            <v>6550 МЯСНЫЕ Папа может сар б/о мгс 1*3 О 45с  Останкино</v>
          </cell>
          <cell r="B44" t="str">
            <v>кг</v>
          </cell>
          <cell r="C44">
            <v>114.82899999999999</v>
          </cell>
          <cell r="D44">
            <v>96.418999999999997</v>
          </cell>
          <cell r="E44">
            <v>70.676000000000002</v>
          </cell>
          <cell r="F44">
            <v>132.542</v>
          </cell>
          <cell r="G44">
            <v>1</v>
          </cell>
          <cell r="H44">
            <v>45</v>
          </cell>
        </row>
        <row r="45">
          <cell r="A45" t="str">
            <v>6602 БАВАРСКИЕ ПМ сос ц/о мгс 0,35кг 8шт  Останкино</v>
          </cell>
          <cell r="B45" t="str">
            <v>шт</v>
          </cell>
          <cell r="C45">
            <v>1</v>
          </cell>
          <cell r="D45">
            <v>188</v>
          </cell>
          <cell r="E45">
            <v>31</v>
          </cell>
          <cell r="F45">
            <v>148</v>
          </cell>
          <cell r="G45">
            <v>0.35</v>
          </cell>
          <cell r="H45">
            <v>45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75.037000000000006</v>
          </cell>
          <cell r="D46">
            <v>362.25799999999998</v>
          </cell>
          <cell r="E46">
            <v>134.922</v>
          </cell>
          <cell r="F46">
            <v>260.23099999999999</v>
          </cell>
          <cell r="G46">
            <v>1</v>
          </cell>
          <cell r="H46">
            <v>45</v>
          </cell>
        </row>
        <row r="47">
          <cell r="A47" t="str">
            <v>6609 С ГОВЯДИНОЙ ПМ сар б/о мгс 0,4 кг_45с</v>
          </cell>
          <cell r="B47" t="str">
            <v>шт</v>
          </cell>
          <cell r="C47">
            <v>26</v>
          </cell>
          <cell r="D47"/>
          <cell r="E47">
            <v>23</v>
          </cell>
          <cell r="F47"/>
          <cell r="G47">
            <v>0</v>
          </cell>
          <cell r="H47">
            <v>45</v>
          </cell>
        </row>
        <row r="48">
          <cell r="A48" t="str">
            <v>6616 МОЛОЧНЫЕ КЛАССИЧЕСКИЕ сос п/о в/у 0,3 кг  Останкино</v>
          </cell>
          <cell r="B48" t="str">
            <v>шт</v>
          </cell>
          <cell r="C48">
            <v>265</v>
          </cell>
          <cell r="D48">
            <v>515</v>
          </cell>
          <cell r="E48">
            <v>445</v>
          </cell>
          <cell r="F48">
            <v>313</v>
          </cell>
          <cell r="G48">
            <v>0.3</v>
          </cell>
          <cell r="H48">
            <v>45</v>
          </cell>
        </row>
        <row r="49">
          <cell r="A49" t="str">
            <v>6661 СОЧНЫЙ ГРИЛЬ ПМ сос п/о мгс 1,5*4_Маяк Останкино</v>
          </cell>
          <cell r="B49" t="str">
            <v>кг</v>
          </cell>
          <cell r="C49">
            <v>1.5549999999999999</v>
          </cell>
          <cell r="D49">
            <v>31.042000000000002</v>
          </cell>
          <cell r="E49">
            <v>10.839</v>
          </cell>
          <cell r="F49">
            <v>18.661000000000001</v>
          </cell>
          <cell r="G49">
            <v>1</v>
          </cell>
          <cell r="H49">
            <v>45</v>
          </cell>
        </row>
        <row r="50">
          <cell r="A50" t="str">
            <v>6697 СЕРВЕЛАТ ФИНСКИЙ ПМ в/к в/у 0,35кг 8шт  ОСТАНКИНО</v>
          </cell>
          <cell r="B50" t="str">
            <v>шт</v>
          </cell>
          <cell r="C50">
            <v>1743</v>
          </cell>
          <cell r="D50">
            <v>1502</v>
          </cell>
          <cell r="E50">
            <v>1135</v>
          </cell>
          <cell r="F50">
            <v>2047</v>
          </cell>
          <cell r="G50">
            <v>0.35</v>
          </cell>
          <cell r="H50">
            <v>45</v>
          </cell>
        </row>
        <row r="51">
          <cell r="A51" t="str">
            <v>6713 СОЧНЫЙ ГРИЛЬ ПМ сос п/о мгс 0,41кг 8 шт.  ОСТАНКИНО</v>
          </cell>
          <cell r="B51" t="str">
            <v>шт</v>
          </cell>
          <cell r="C51">
            <v>270</v>
          </cell>
          <cell r="D51">
            <v>736</v>
          </cell>
          <cell r="E51">
            <v>292</v>
          </cell>
          <cell r="F51">
            <v>698</v>
          </cell>
          <cell r="G51">
            <v>0.41</v>
          </cell>
          <cell r="H51">
            <v>45</v>
          </cell>
        </row>
        <row r="52">
          <cell r="A52" t="str">
            <v>6724 МОЛОЧНЫЕ ПМ сос п/о мгс 0,41кг 10шт  Останкино</v>
          </cell>
          <cell r="B52" t="str">
            <v>шт</v>
          </cell>
          <cell r="C52">
            <v>1</v>
          </cell>
          <cell r="D52">
            <v>70</v>
          </cell>
          <cell r="E52">
            <v>38</v>
          </cell>
          <cell r="F52">
            <v>36</v>
          </cell>
          <cell r="G52">
            <v>0.41</v>
          </cell>
          <cell r="H52">
            <v>45</v>
          </cell>
        </row>
        <row r="53">
          <cell r="A53" t="str">
            <v>6765 РУБЛЕНЫЕ сос ц/о мгс 0,36кг 6шт  Останкино</v>
          </cell>
          <cell r="B53" t="str">
            <v>шт</v>
          </cell>
          <cell r="C53">
            <v>357</v>
          </cell>
          <cell r="D53">
            <v>206</v>
          </cell>
          <cell r="E53">
            <v>286</v>
          </cell>
          <cell r="F53">
            <v>251</v>
          </cell>
          <cell r="G53">
            <v>0.36</v>
          </cell>
          <cell r="H53">
            <v>45</v>
          </cell>
        </row>
        <row r="54">
          <cell r="A54" t="str">
            <v>6768 С СЫРОМ сос ц/о мгс 0,41кг 6шт  Останкино</v>
          </cell>
          <cell r="B54" t="str">
            <v>шт</v>
          </cell>
          <cell r="C54">
            <v>-6</v>
          </cell>
          <cell r="D54">
            <v>7</v>
          </cell>
          <cell r="E54">
            <v>-1</v>
          </cell>
          <cell r="F54">
            <v>1</v>
          </cell>
          <cell r="G54">
            <v>0</v>
          </cell>
          <cell r="H54">
            <v>45</v>
          </cell>
        </row>
        <row r="55">
          <cell r="A55" t="str">
            <v>6787 СЕРВЕЛАТ КРЕМЛЕВСКИЙ в/к в/у 0,33кг 8шт  Останкино</v>
          </cell>
          <cell r="B55" t="str">
            <v>шт</v>
          </cell>
          <cell r="C55">
            <v>86</v>
          </cell>
          <cell r="D55">
            <v>33</v>
          </cell>
          <cell r="E55">
            <v>28</v>
          </cell>
          <cell r="F55">
            <v>85</v>
          </cell>
          <cell r="G55">
            <v>0.33</v>
          </cell>
          <cell r="H55">
            <v>45</v>
          </cell>
        </row>
        <row r="56">
          <cell r="A56" t="str">
            <v>6791 СЕРВЕЛАТ ПРЕМИУМ в/к в/у 0,33кг 8шт  Останкино</v>
          </cell>
          <cell r="B56" t="str">
            <v>шт</v>
          </cell>
          <cell r="C56"/>
          <cell r="D56">
            <v>40</v>
          </cell>
          <cell r="E56">
            <v>14</v>
          </cell>
          <cell r="F56">
            <v>25</v>
          </cell>
          <cell r="G56">
            <v>0.33</v>
          </cell>
          <cell r="H56">
            <v>45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17</v>
          </cell>
          <cell r="D57">
            <v>475</v>
          </cell>
          <cell r="E57">
            <v>129</v>
          </cell>
          <cell r="F57">
            <v>350</v>
          </cell>
          <cell r="G57">
            <v>0.33</v>
          </cell>
          <cell r="H57">
            <v>45</v>
          </cell>
        </row>
        <row r="58">
          <cell r="A58" t="str">
            <v>6807 СЕРВЕЛАТ ЕВРОПЕЙСКИЙ в/к в/у 0,33кг 8шт  Останкино</v>
          </cell>
          <cell r="B58" t="str">
            <v>шт</v>
          </cell>
          <cell r="C58"/>
          <cell r="D58">
            <v>80</v>
          </cell>
          <cell r="E58">
            <v>25</v>
          </cell>
          <cell r="F58">
            <v>53</v>
          </cell>
          <cell r="G58">
            <v>0.33</v>
          </cell>
          <cell r="H58">
            <v>45</v>
          </cell>
        </row>
        <row r="59">
          <cell r="A59" t="str">
            <v>6829  МОЛОЧНЫЕ КЛАССИЧЕСКИЕ сос п/о мгс 2*4 С  Останккино</v>
          </cell>
          <cell r="B59" t="str">
            <v>кг</v>
          </cell>
          <cell r="C59">
            <v>524.76700000000005</v>
          </cell>
          <cell r="D59">
            <v>635.74800000000005</v>
          </cell>
          <cell r="E59">
            <v>499.19499999999999</v>
          </cell>
          <cell r="F59">
            <v>596.36300000000006</v>
          </cell>
          <cell r="G59">
            <v>1</v>
          </cell>
          <cell r="H59">
            <v>45</v>
          </cell>
        </row>
        <row r="60">
          <cell r="A60" t="str">
            <v>6832 АССОРТИ СЫРОКОПЧЕНЫХ КОЛБАС Коровино в/у  ОСТАНКИНО</v>
          </cell>
          <cell r="B60" t="str">
            <v>кг</v>
          </cell>
          <cell r="C60"/>
          <cell r="D60">
            <v>49.972000000000001</v>
          </cell>
          <cell r="E60">
            <v>32.335999999999999</v>
          </cell>
          <cell r="F60">
            <v>-2.11</v>
          </cell>
          <cell r="G60">
            <v>1</v>
          </cell>
          <cell r="H60">
            <v>30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31</v>
          </cell>
          <cell r="D61">
            <v>45</v>
          </cell>
          <cell r="E61">
            <v>27</v>
          </cell>
          <cell r="F61">
            <v>46</v>
          </cell>
          <cell r="G61">
            <v>0.1</v>
          </cell>
          <cell r="H61">
            <v>60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46</v>
          </cell>
          <cell r="D62">
            <v>85</v>
          </cell>
          <cell r="E62">
            <v>36</v>
          </cell>
          <cell r="F62">
            <v>93</v>
          </cell>
          <cell r="G62">
            <v>0.4</v>
          </cell>
          <cell r="H62">
            <v>45</v>
          </cell>
        </row>
        <row r="63">
          <cell r="A63" t="str">
            <v>6866 ВЕТЧ.НЕЖНАЯ Коровино п/о_Маяк  Останкино</v>
          </cell>
          <cell r="B63" t="str">
            <v>кг</v>
          </cell>
          <cell r="C63"/>
          <cell r="D63">
            <v>54.347000000000001</v>
          </cell>
          <cell r="E63">
            <v>16.704999999999998</v>
          </cell>
          <cell r="F63">
            <v>34.601999999999997</v>
          </cell>
          <cell r="G63">
            <v>1</v>
          </cell>
          <cell r="H63">
            <v>60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5</v>
          </cell>
          <cell r="D64">
            <v>96</v>
          </cell>
          <cell r="E64">
            <v>38</v>
          </cell>
          <cell r="F64">
            <v>59</v>
          </cell>
          <cell r="G64">
            <v>0.25</v>
          </cell>
          <cell r="H64">
            <v>120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39.67</v>
          </cell>
          <cell r="D65">
            <v>27.846</v>
          </cell>
          <cell r="E65">
            <v>22.260999999999999</v>
          </cell>
          <cell r="F65">
            <v>40.396999999999998</v>
          </cell>
          <cell r="G65">
            <v>1</v>
          </cell>
          <cell r="H65">
            <v>45</v>
          </cell>
        </row>
        <row r="66">
          <cell r="A66" t="str">
            <v>7066 СОЧНЫЕ ПМ сос п/о мгс 0,41кг 10шт 50с  Останкино</v>
          </cell>
          <cell r="B66" t="str">
            <v>шт</v>
          </cell>
          <cell r="C66">
            <v>552</v>
          </cell>
          <cell r="D66">
            <v>1699</v>
          </cell>
          <cell r="E66">
            <v>888</v>
          </cell>
          <cell r="F66">
            <v>1029</v>
          </cell>
          <cell r="G66">
            <v>0.41</v>
          </cell>
          <cell r="H66">
            <v>50</v>
          </cell>
        </row>
        <row r="67">
          <cell r="A67" t="str">
            <v>7070 СОЧНЫЕ ПМ сос п/о 1,5*4_А_50с  Останкино</v>
          </cell>
          <cell r="B67" t="str">
            <v>кг</v>
          </cell>
          <cell r="C67">
            <v>236.29</v>
          </cell>
          <cell r="D67">
            <v>679.30700000000002</v>
          </cell>
          <cell r="E67">
            <v>359.14099999999996</v>
          </cell>
          <cell r="F67">
            <v>434.62600000000003</v>
          </cell>
          <cell r="G67">
            <v>1</v>
          </cell>
          <cell r="H67">
            <v>50</v>
          </cell>
        </row>
        <row r="68">
          <cell r="A68" t="str">
            <v>7073 МОЛОЧ.ПРЕМИУМ ПМ сос п/о в/у 1/350_50с  Останкино</v>
          </cell>
          <cell r="B68" t="str">
            <v>шт</v>
          </cell>
          <cell r="C68">
            <v>138</v>
          </cell>
          <cell r="D68">
            <v>183</v>
          </cell>
          <cell r="E68">
            <v>84</v>
          </cell>
          <cell r="F68">
            <v>196</v>
          </cell>
          <cell r="G68">
            <v>0.35</v>
          </cell>
          <cell r="H68">
            <v>50</v>
          </cell>
        </row>
        <row r="69">
          <cell r="A69" t="str">
            <v>7075 МОЛОЧ.ПРЕМИУМ ПМ сос п/о мгс 1,5*4_О_50с  Останкино</v>
          </cell>
          <cell r="B69" t="str">
            <v>кг</v>
          </cell>
          <cell r="C69">
            <v>6.1680000000000001</v>
          </cell>
          <cell r="D69">
            <v>18.574000000000002</v>
          </cell>
          <cell r="E69">
            <v>9.2829999999999995</v>
          </cell>
          <cell r="F69">
            <v>10.839</v>
          </cell>
          <cell r="G69">
            <v>1</v>
          </cell>
          <cell r="H69">
            <v>50</v>
          </cell>
        </row>
        <row r="70">
          <cell r="A70" t="str">
            <v>7077 МЯСНЫЕ С ГОВЯД. ПМ сос п/о мгс 0,4кг_50с  Останкино</v>
          </cell>
          <cell r="B70" t="str">
            <v>шт</v>
          </cell>
          <cell r="C70">
            <v>225</v>
          </cell>
          <cell r="D70">
            <v>6</v>
          </cell>
          <cell r="E70">
            <v>244</v>
          </cell>
          <cell r="F70">
            <v>-14</v>
          </cell>
          <cell r="G70">
            <v>0</v>
          </cell>
          <cell r="H70">
            <v>50</v>
          </cell>
        </row>
        <row r="71">
          <cell r="A71" t="str">
            <v>7080 СЛИВОЧНЫЕ ПМ сос п/о мгс 0,41кг 10шт 50с  Останкино</v>
          </cell>
          <cell r="B71" t="str">
            <v>шт</v>
          </cell>
          <cell r="C71">
            <v>130</v>
          </cell>
          <cell r="D71">
            <v>1858</v>
          </cell>
          <cell r="E71">
            <v>584</v>
          </cell>
          <cell r="F71">
            <v>1149</v>
          </cell>
          <cell r="G71">
            <v>0.41</v>
          </cell>
          <cell r="H71">
            <v>50</v>
          </cell>
        </row>
        <row r="72">
          <cell r="A72" t="str">
            <v>7082 СЛИВОЧНЫЕ ПМ сос п/о мгс 1,5*4_50с  Останкино</v>
          </cell>
          <cell r="B72" t="str">
            <v>кг</v>
          </cell>
          <cell r="C72">
            <v>148.49700000000001</v>
          </cell>
          <cell r="D72">
            <v>354.30099999999999</v>
          </cell>
          <cell r="E72">
            <v>170.1</v>
          </cell>
          <cell r="F72">
            <v>316.50400000000002</v>
          </cell>
          <cell r="G72">
            <v>1</v>
          </cell>
          <cell r="H72">
            <v>50</v>
          </cell>
        </row>
        <row r="73">
          <cell r="A73" t="str">
            <v>7090 СВИНИНА ПО-ДОМ.к/в мл/к в/у 0,3кг_50с  Останкино</v>
          </cell>
          <cell r="B73" t="str">
            <v>шт</v>
          </cell>
          <cell r="C73"/>
          <cell r="D73">
            <v>330</v>
          </cell>
          <cell r="E73">
            <v>78</v>
          </cell>
          <cell r="F73">
            <v>243</v>
          </cell>
          <cell r="G73">
            <v>0.3</v>
          </cell>
          <cell r="H73">
            <v>50</v>
          </cell>
        </row>
        <row r="74">
          <cell r="A74" t="str">
            <v>7092 БЕКОН Папа может с/к с/н в/у 1/140_50с  Останкино</v>
          </cell>
          <cell r="B74" t="str">
            <v>шт</v>
          </cell>
          <cell r="C74">
            <v>23</v>
          </cell>
          <cell r="D74">
            <v>87</v>
          </cell>
          <cell r="E74">
            <v>26</v>
          </cell>
          <cell r="F74">
            <v>56</v>
          </cell>
          <cell r="G74">
            <v>0.14000000000000001</v>
          </cell>
          <cell r="H74">
            <v>50</v>
          </cell>
        </row>
        <row r="75">
          <cell r="A75" t="str">
            <v>7103 БЕКОН Останкино с/к с/н в/у 1/180_50с  Останкино</v>
          </cell>
          <cell r="B75" t="str">
            <v>шт</v>
          </cell>
          <cell r="C75">
            <v>185</v>
          </cell>
          <cell r="D75">
            <v>582</v>
          </cell>
          <cell r="E75">
            <v>165</v>
          </cell>
          <cell r="F75">
            <v>381</v>
          </cell>
          <cell r="G75">
            <v>0.18</v>
          </cell>
          <cell r="H75">
            <v>50</v>
          </cell>
        </row>
        <row r="76">
          <cell r="A76" t="str">
            <v>7131 БАЛЫКОВАЯ в/к в/у 0,84кг  Останкино</v>
          </cell>
          <cell r="B76" t="str">
            <v>кг</v>
          </cell>
          <cell r="C76"/>
          <cell r="D76">
            <v>10.254</v>
          </cell>
          <cell r="E76"/>
          <cell r="F76">
            <v>10.254</v>
          </cell>
          <cell r="G76">
            <v>1</v>
          </cell>
          <cell r="H76">
            <v>45</v>
          </cell>
        </row>
        <row r="77">
          <cell r="A77" t="str">
            <v>7147 САЛЬЧИЧОН Останкино с/к в/у 1/220 8 шт  Останкино</v>
          </cell>
          <cell r="B77" t="str">
            <v>шт</v>
          </cell>
          <cell r="C77">
            <v>5</v>
          </cell>
          <cell r="D77">
            <v>16</v>
          </cell>
          <cell r="E77">
            <v>5</v>
          </cell>
          <cell r="F77">
            <v>15</v>
          </cell>
          <cell r="G77">
            <v>0.22</v>
          </cell>
          <cell r="H77">
            <v>120</v>
          </cell>
        </row>
        <row r="78">
          <cell r="A78" t="str">
            <v>7149 БАЛЫКОВАЯ Коровино п/к в/у 0,84кг_50с  Останкино</v>
          </cell>
          <cell r="B78" t="str">
            <v>шт</v>
          </cell>
          <cell r="C78"/>
          <cell r="D78"/>
          <cell r="E78"/>
          <cell r="F78"/>
          <cell r="G78">
            <v>0</v>
          </cell>
          <cell r="H78">
            <v>50</v>
          </cell>
        </row>
        <row r="79">
          <cell r="A79" t="str">
            <v>7154 СЕРВЕЛАТ ЗЕРНИСТЫЙ ПМ в/к в/у 0,35кг_50с  Останкино</v>
          </cell>
          <cell r="B79" t="str">
            <v>шт</v>
          </cell>
          <cell r="C79">
            <v>232</v>
          </cell>
          <cell r="D79">
            <v>1617</v>
          </cell>
          <cell r="E79">
            <v>332</v>
          </cell>
          <cell r="F79">
            <v>981</v>
          </cell>
          <cell r="G79">
            <v>0.35</v>
          </cell>
          <cell r="H79">
            <v>50</v>
          </cell>
        </row>
        <row r="80">
          <cell r="A80" t="str">
            <v>7157 СЕРВЕЛАТ ЗЕРНИСТЫЙ ПМ в/к в/у_50с  Останкино</v>
          </cell>
          <cell r="B80" t="str">
            <v>кг</v>
          </cell>
          <cell r="C80"/>
          <cell r="D80">
            <v>44.456000000000003</v>
          </cell>
          <cell r="E80">
            <v>29.741</v>
          </cell>
          <cell r="F80">
            <v>12.698</v>
          </cell>
          <cell r="G80">
            <v>1</v>
          </cell>
          <cell r="H80">
            <v>50</v>
          </cell>
        </row>
        <row r="81">
          <cell r="A81" t="str">
            <v>7163 СЕРВЕЛАТ КЛАССИЧ.ПМ в/к в/у 0,62кг_50с  Останкино</v>
          </cell>
          <cell r="B81" t="str">
            <v>шт</v>
          </cell>
          <cell r="C81">
            <v>14</v>
          </cell>
          <cell r="D81"/>
          <cell r="E81"/>
          <cell r="F81">
            <v>14</v>
          </cell>
          <cell r="G81">
            <v>0</v>
          </cell>
          <cell r="H81" t="e">
            <v>#N/A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232.83</v>
          </cell>
          <cell r="D82">
            <v>640.68700000000001</v>
          </cell>
          <cell r="E82">
            <v>336.29500000000002</v>
          </cell>
          <cell r="F82">
            <v>318.15100000000001</v>
          </cell>
          <cell r="G82">
            <v>1</v>
          </cell>
          <cell r="H82">
            <v>50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379</v>
          </cell>
          <cell r="D83">
            <v>1914</v>
          </cell>
          <cell r="E83">
            <v>790</v>
          </cell>
          <cell r="F83">
            <v>973</v>
          </cell>
          <cell r="G83">
            <v>0.35</v>
          </cell>
          <cell r="H83">
            <v>50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13</v>
          </cell>
          <cell r="D84">
            <v>6</v>
          </cell>
          <cell r="E84">
            <v>10</v>
          </cell>
          <cell r="F84">
            <v>9</v>
          </cell>
          <cell r="G84">
            <v>0.3</v>
          </cell>
          <cell r="H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31</v>
          </cell>
          <cell r="D85">
            <v>34</v>
          </cell>
          <cell r="E85">
            <v>38</v>
          </cell>
          <cell r="F85">
            <v>21</v>
          </cell>
          <cell r="G85">
            <v>0.3</v>
          </cell>
          <cell r="H85">
            <v>60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12</v>
          </cell>
          <cell r="D86">
            <v>464</v>
          </cell>
          <cell r="E86">
            <v>76</v>
          </cell>
          <cell r="F86">
            <v>252</v>
          </cell>
          <cell r="G86">
            <v>0.28000000000000003</v>
          </cell>
          <cell r="H86">
            <v>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165</v>
          </cell>
          <cell r="D87">
            <v>661</v>
          </cell>
          <cell r="E87">
            <v>234</v>
          </cell>
          <cell r="F87">
            <v>471</v>
          </cell>
          <cell r="G87">
            <v>0.28000000000000003</v>
          </cell>
          <cell r="H87">
            <v>45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3</v>
          </cell>
          <cell r="D88">
            <v>397</v>
          </cell>
          <cell r="E88">
            <v>107</v>
          </cell>
          <cell r="F88">
            <v>237</v>
          </cell>
          <cell r="G88">
            <v>0.28000000000000003</v>
          </cell>
          <cell r="H88">
            <v>45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-8</v>
          </cell>
          <cell r="D89">
            <v>243</v>
          </cell>
          <cell r="E89">
            <v>79</v>
          </cell>
          <cell r="F89">
            <v>145</v>
          </cell>
          <cell r="G89">
            <v>0.28000000000000003</v>
          </cell>
          <cell r="H89">
            <v>45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/>
          <cell r="D90">
            <v>1085</v>
          </cell>
          <cell r="E90">
            <v>111</v>
          </cell>
          <cell r="F90">
            <v>622</v>
          </cell>
          <cell r="G90">
            <v>0.4</v>
          </cell>
          <cell r="H90">
            <v>50</v>
          </cell>
        </row>
        <row r="91">
          <cell r="A91" t="str">
            <v>7276 СЛИВОЧНЫЕ ПМ сос п/о мгс 0,3кг 7шт  Останкино</v>
          </cell>
          <cell r="B91" t="str">
            <v>шт</v>
          </cell>
          <cell r="C91">
            <v>46</v>
          </cell>
          <cell r="D91">
            <v>38</v>
          </cell>
          <cell r="E91">
            <v>38</v>
          </cell>
          <cell r="F91">
            <v>45</v>
          </cell>
          <cell r="G91">
            <v>0.3</v>
          </cell>
          <cell r="H91">
            <v>50</v>
          </cell>
        </row>
        <row r="92">
          <cell r="A92" t="str">
            <v>7284 ДЛЯ ДЕТЕЙ сос п/о мгс 0,33кг 6шт  Останкино</v>
          </cell>
          <cell r="B92" t="str">
            <v>шт</v>
          </cell>
          <cell r="C92">
            <v>-1</v>
          </cell>
          <cell r="D92">
            <v>46</v>
          </cell>
          <cell r="E92">
            <v>22</v>
          </cell>
          <cell r="F92">
            <v>18</v>
          </cell>
          <cell r="G92">
            <v>0.33</v>
          </cell>
          <cell r="H92">
            <v>30</v>
          </cell>
        </row>
        <row r="93">
          <cell r="A93" t="str">
            <v>7299 НАБОР ДЛЯ ПИЦЦЫ Папа Может с/к в/у  ОСТАНКИНО</v>
          </cell>
          <cell r="B93" t="str">
            <v>кг</v>
          </cell>
          <cell r="C93"/>
          <cell r="D93">
            <v>50.262</v>
          </cell>
          <cell r="E93">
            <v>27.713000000000001</v>
          </cell>
          <cell r="F93"/>
          <cell r="G93">
            <v>1</v>
          </cell>
          <cell r="H93">
            <v>30</v>
          </cell>
        </row>
        <row r="94">
          <cell r="A94" t="str">
            <v>7332 БОЯРСКАЯ ПМ п/к в/у 0,28кг ОСТАНКИНО</v>
          </cell>
          <cell r="B94" t="str">
            <v>шт</v>
          </cell>
          <cell r="C94">
            <v>16</v>
          </cell>
          <cell r="D94">
            <v>9</v>
          </cell>
          <cell r="E94">
            <v>7</v>
          </cell>
          <cell r="F94">
            <v>8</v>
          </cell>
          <cell r="G94">
            <v>0.28000000000000003</v>
          </cell>
          <cell r="H94">
            <v>50</v>
          </cell>
        </row>
        <row r="95">
          <cell r="A95" t="str">
            <v>7333 СЕРВЕЛАТ ОХОТНИЧИЙ ПМ в/к в/у 0,28кг ОСТАНКИНО</v>
          </cell>
          <cell r="B95" t="str">
            <v>шт</v>
          </cell>
          <cell r="C95">
            <v>16</v>
          </cell>
          <cell r="D95">
            <v>8</v>
          </cell>
          <cell r="E95">
            <v>3</v>
          </cell>
          <cell r="F95">
            <v>21</v>
          </cell>
          <cell r="G95">
            <v>0.28000000000000003</v>
          </cell>
          <cell r="H95">
            <v>50</v>
          </cell>
        </row>
        <row r="96">
          <cell r="A96" t="str">
            <v>7343 СЕЙЧАС СЕЗОН ПМ вар п/о 0,4кг ОСТАНКИНО</v>
          </cell>
          <cell r="B96" t="str">
            <v>шт</v>
          </cell>
          <cell r="C96">
            <v>13</v>
          </cell>
          <cell r="D96">
            <v>29</v>
          </cell>
          <cell r="E96">
            <v>7</v>
          </cell>
          <cell r="F96">
            <v>29</v>
          </cell>
          <cell r="G96">
            <v>0.4</v>
          </cell>
          <cell r="H96">
            <v>60</v>
          </cell>
        </row>
        <row r="97">
          <cell r="A97" t="str">
            <v>БОНУС_6087 СОЧНЫЕ ПМ сос п/о мгс 0,41кг 10шт.  ОСТАНКИНО</v>
          </cell>
          <cell r="B97" t="str">
            <v>шт</v>
          </cell>
          <cell r="C97">
            <v>147</v>
          </cell>
          <cell r="D97">
            <v>203</v>
          </cell>
          <cell r="E97">
            <v>188</v>
          </cell>
          <cell r="F97">
            <v>151</v>
          </cell>
          <cell r="G97">
            <v>0</v>
          </cell>
          <cell r="H97" t="e">
            <v>#N/A</v>
          </cell>
        </row>
        <row r="98">
          <cell r="A98" t="str">
            <v>БОНУС_6954 СОЧНЫЕ Папа может сос п/о мгс 1.5*4_Х5  ОСТАНКИНО</v>
          </cell>
          <cell r="B98" t="str">
            <v>кг</v>
          </cell>
          <cell r="C98">
            <v>-16.771000000000001</v>
          </cell>
          <cell r="D98">
            <v>200</v>
          </cell>
          <cell r="E98">
            <v>152.78899999999999</v>
          </cell>
          <cell r="F98">
            <v>13.372</v>
          </cell>
          <cell r="G98">
            <v>0</v>
          </cell>
          <cell r="H98" t="e">
            <v>#N/A</v>
          </cell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6" sqref="Y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3" width="7" style="20" customWidth="1"/>
    <col min="24" max="24" width="7" customWidth="1"/>
    <col min="25" max="25" width="8.42578125" customWidth="1"/>
    <col min="26" max="27" width="5" customWidth="1"/>
    <col min="28" max="35" width="6" customWidth="1"/>
    <col min="36" max="36" width="22" customWidth="1"/>
    <col min="37" max="38" width="7" customWidth="1"/>
    <col min="39" max="54" width="8" customWidth="1"/>
  </cols>
  <sheetData>
    <row r="1" spans="1:54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</row>
    <row r="2" spans="1:54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140</v>
      </c>
      <c r="T3" s="2" t="s">
        <v>141</v>
      </c>
      <c r="U3" s="2" t="s">
        <v>142</v>
      </c>
      <c r="V3" s="2" t="s">
        <v>143</v>
      </c>
      <c r="W3" s="2" t="s">
        <v>143</v>
      </c>
      <c r="X3" s="6" t="s">
        <v>17</v>
      </c>
      <c r="Y3" s="6" t="s">
        <v>18</v>
      </c>
      <c r="Z3" s="1" t="s">
        <v>19</v>
      </c>
      <c r="AA3" s="1" t="s">
        <v>20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22</v>
      </c>
      <c r="AK3" s="1" t="s">
        <v>23</v>
      </c>
      <c r="AL3" s="1" t="s">
        <v>23</v>
      </c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/>
      <c r="U4" s="9"/>
      <c r="V4" s="9" t="s">
        <v>144</v>
      </c>
      <c r="W4" s="9" t="s">
        <v>145</v>
      </c>
      <c r="X4" s="9"/>
      <c r="Y4" s="9"/>
      <c r="Z4" s="9"/>
      <c r="AA4" s="9"/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  <c r="AG4" s="9" t="s">
        <v>32</v>
      </c>
      <c r="AH4" s="9" t="s">
        <v>33</v>
      </c>
      <c r="AI4" s="9" t="s">
        <v>34</v>
      </c>
      <c r="AJ4" s="9"/>
      <c r="AK4" s="9" t="s">
        <v>144</v>
      </c>
      <c r="AL4" s="9" t="s">
        <v>145</v>
      </c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x14ac:dyDescent="0.25">
      <c r="A5" s="9"/>
      <c r="B5" s="9"/>
      <c r="C5" s="9"/>
      <c r="D5" s="9"/>
      <c r="E5" s="3">
        <f>SUM(E6:E498)</f>
        <v>11647.955000000002</v>
      </c>
      <c r="F5" s="3">
        <f>SUM(F6:F498)</f>
        <v>14632.277</v>
      </c>
      <c r="G5" s="7"/>
      <c r="H5" s="9"/>
      <c r="I5" s="9"/>
      <c r="J5" s="9"/>
      <c r="K5" s="3">
        <f t="shared" ref="K5:X5" si="0">SUM(K6:K498)</f>
        <v>11570.980000000001</v>
      </c>
      <c r="L5" s="3">
        <f t="shared" si="0"/>
        <v>76.975000000000051</v>
      </c>
      <c r="M5" s="3">
        <f t="shared" si="0"/>
        <v>11482.204000000002</v>
      </c>
      <c r="N5" s="3">
        <f t="shared" si="0"/>
        <v>165.75099999999998</v>
      </c>
      <c r="O5" s="3">
        <f t="shared" si="0"/>
        <v>6832</v>
      </c>
      <c r="P5" s="3">
        <f t="shared" si="0"/>
        <v>7283</v>
      </c>
      <c r="Q5" s="3">
        <f t="shared" si="0"/>
        <v>2296.4407999999994</v>
      </c>
      <c r="R5" s="3">
        <f t="shared" si="0"/>
        <v>5834.0868</v>
      </c>
      <c r="S5" s="3">
        <f t="shared" si="0"/>
        <v>7238</v>
      </c>
      <c r="T5" s="3">
        <f t="shared" si="0"/>
        <v>0</v>
      </c>
      <c r="U5" s="3">
        <f t="shared" si="0"/>
        <v>7238</v>
      </c>
      <c r="V5" s="3">
        <f t="shared" si="0"/>
        <v>4604</v>
      </c>
      <c r="W5" s="3">
        <f t="shared" ref="W5" si="1">SUM(W6:W498)</f>
        <v>2634</v>
      </c>
      <c r="X5" s="3">
        <f t="shared" si="0"/>
        <v>7230</v>
      </c>
      <c r="Y5" s="9"/>
      <c r="Z5" s="9"/>
      <c r="AA5" s="9"/>
      <c r="AB5" s="3">
        <f t="shared" ref="AB5:AI5" si="2">SUM(AB6:AB498)</f>
        <v>2645.7302</v>
      </c>
      <c r="AC5" s="3">
        <f t="shared" si="2"/>
        <v>2431.4713999999999</v>
      </c>
      <c r="AD5" s="3">
        <f t="shared" si="2"/>
        <v>3027.2846000000004</v>
      </c>
      <c r="AE5" s="3">
        <f t="shared" si="2"/>
        <v>2987.4149999999995</v>
      </c>
      <c r="AF5" s="3">
        <f t="shared" si="2"/>
        <v>2629.0085999999992</v>
      </c>
      <c r="AG5" s="3">
        <f t="shared" si="2"/>
        <v>2703.844399999999</v>
      </c>
      <c r="AH5" s="3">
        <f t="shared" si="2"/>
        <v>2854.1234000000004</v>
      </c>
      <c r="AI5" s="3">
        <f t="shared" si="2"/>
        <v>2804.3257999999996</v>
      </c>
      <c r="AJ5" s="9"/>
      <c r="AK5" s="3">
        <f>SUM(AK6:AK498)</f>
        <v>2800.3</v>
      </c>
      <c r="AL5" s="3">
        <f>SUM(AL6:AL498)</f>
        <v>1766.92</v>
      </c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x14ac:dyDescent="0.25">
      <c r="A6" s="9" t="s">
        <v>35</v>
      </c>
      <c r="B6" s="9" t="s">
        <v>36</v>
      </c>
      <c r="C6" s="9">
        <v>236</v>
      </c>
      <c r="D6" s="9">
        <v>320</v>
      </c>
      <c r="E6" s="9">
        <v>204</v>
      </c>
      <c r="F6" s="9">
        <v>266</v>
      </c>
      <c r="G6" s="7">
        <v>0.4</v>
      </c>
      <c r="H6" s="9">
        <f>VLOOKUP(A6,[1]Sheet!$A:$H,8,0)</f>
        <v>60</v>
      </c>
      <c r="I6" s="9" t="s">
        <v>37</v>
      </c>
      <c r="J6" s="9"/>
      <c r="K6" s="9">
        <v>204.1</v>
      </c>
      <c r="L6" s="9">
        <f t="shared" ref="L6:L37" si="3">E6-K6</f>
        <v>-9.9999999999994316E-2</v>
      </c>
      <c r="M6" s="9">
        <f t="shared" ref="M6:M37" si="4">E6-N6</f>
        <v>164</v>
      </c>
      <c r="N6" s="9">
        <v>40</v>
      </c>
      <c r="O6" s="9">
        <v>130</v>
      </c>
      <c r="P6" s="9">
        <v>120</v>
      </c>
      <c r="Q6" s="9">
        <f t="shared" ref="Q6:Q37" si="5">M6/5</f>
        <v>32.799999999999997</v>
      </c>
      <c r="R6" s="4"/>
      <c r="S6" s="4">
        <f>R6</f>
        <v>0</v>
      </c>
      <c r="T6" s="4"/>
      <c r="U6" s="4">
        <f>ROUND(T6+S6,0)</f>
        <v>0</v>
      </c>
      <c r="V6" s="4">
        <f>U6-W6</f>
        <v>0</v>
      </c>
      <c r="W6" s="4"/>
      <c r="X6" s="4"/>
      <c r="Y6" s="9"/>
      <c r="Z6" s="9">
        <f>(F6+O6+P6+U6)/Q6</f>
        <v>15.731707317073171</v>
      </c>
      <c r="AA6" s="9">
        <f t="shared" ref="AA6:AA37" si="6">(F6+O6+P6)/Q6</f>
        <v>15.731707317073171</v>
      </c>
      <c r="AB6" s="9">
        <v>48.8</v>
      </c>
      <c r="AC6" s="9">
        <v>36.200000000000003</v>
      </c>
      <c r="AD6" s="9">
        <v>78.599999999999994</v>
      </c>
      <c r="AE6" s="9">
        <v>50.2</v>
      </c>
      <c r="AF6" s="9">
        <v>59.2</v>
      </c>
      <c r="AG6" s="9">
        <v>40</v>
      </c>
      <c r="AH6" s="9">
        <v>63.2</v>
      </c>
      <c r="AI6" s="9">
        <v>62.8</v>
      </c>
      <c r="AJ6" s="9"/>
      <c r="AK6" s="9">
        <f>G6*V6</f>
        <v>0</v>
      </c>
      <c r="AL6" s="9">
        <f>G6*W6</f>
        <v>0</v>
      </c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 x14ac:dyDescent="0.25">
      <c r="A7" s="9" t="s">
        <v>38</v>
      </c>
      <c r="B7" s="9" t="s">
        <v>39</v>
      </c>
      <c r="C7" s="9">
        <v>18.512</v>
      </c>
      <c r="D7" s="9">
        <v>36.975999999999999</v>
      </c>
      <c r="E7" s="9">
        <v>24.899000000000001</v>
      </c>
      <c r="F7" s="9">
        <v>29.614999999999998</v>
      </c>
      <c r="G7" s="7">
        <v>1</v>
      </c>
      <c r="H7" s="9">
        <f>VLOOKUP(A7,[1]Sheet!$A:$H,8,0)</f>
        <v>120</v>
      </c>
      <c r="I7" s="9" t="s">
        <v>37</v>
      </c>
      <c r="J7" s="9"/>
      <c r="K7" s="9">
        <v>25.2</v>
      </c>
      <c r="L7" s="9">
        <f t="shared" si="3"/>
        <v>-0.30099999999999838</v>
      </c>
      <c r="M7" s="9">
        <f t="shared" si="4"/>
        <v>24.899000000000001</v>
      </c>
      <c r="N7" s="9"/>
      <c r="O7" s="9">
        <v>0</v>
      </c>
      <c r="P7" s="9"/>
      <c r="Q7" s="9">
        <f t="shared" si="5"/>
        <v>4.9798</v>
      </c>
      <c r="R7" s="4">
        <f t="shared" ref="R7:R44" si="7">14*Q7-P7-O7-F7</f>
        <v>40.102200000000011</v>
      </c>
      <c r="S7" s="4">
        <f>X7</f>
        <v>50</v>
      </c>
      <c r="T7" s="4"/>
      <c r="U7" s="4">
        <f t="shared" ref="U7:U70" si="8">ROUND(T7+S7,0)</f>
        <v>50</v>
      </c>
      <c r="V7" s="4">
        <f t="shared" ref="V7:V70" si="9">U7-W7</f>
        <v>50</v>
      </c>
      <c r="W7" s="4"/>
      <c r="X7" s="4">
        <v>50</v>
      </c>
      <c r="Y7" s="9"/>
      <c r="Z7" s="9">
        <f t="shared" ref="Z7:Z70" si="10">(F7+O7+P7+U7)/Q7</f>
        <v>15.987589863046708</v>
      </c>
      <c r="AA7" s="9">
        <f t="shared" si="6"/>
        <v>5.9470259849793159</v>
      </c>
      <c r="AB7" s="9">
        <v>2.6446000000000001</v>
      </c>
      <c r="AC7" s="9">
        <v>2.63</v>
      </c>
      <c r="AD7" s="9">
        <v>5.5464000000000002</v>
      </c>
      <c r="AE7" s="9">
        <v>3.7913999999999999</v>
      </c>
      <c r="AF7" s="9">
        <v>4.9935999999999998</v>
      </c>
      <c r="AG7" s="9">
        <v>4.2587999999999999</v>
      </c>
      <c r="AH7" s="9">
        <v>4.2799999999999994</v>
      </c>
      <c r="AI7" s="9">
        <v>4.9272</v>
      </c>
      <c r="AJ7" s="9"/>
      <c r="AK7" s="9">
        <f t="shared" ref="AK7:AL70" si="11">G7*V7</f>
        <v>50</v>
      </c>
      <c r="AL7" s="9">
        <f t="shared" ref="AL7:AL70" si="12">G7*W7</f>
        <v>0</v>
      </c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 x14ac:dyDescent="0.25">
      <c r="A8" s="9" t="s">
        <v>40</v>
      </c>
      <c r="B8" s="9" t="s">
        <v>39</v>
      </c>
      <c r="C8" s="9">
        <v>360.09500000000003</v>
      </c>
      <c r="D8" s="9">
        <v>626.64200000000005</v>
      </c>
      <c r="E8" s="9">
        <v>341.762</v>
      </c>
      <c r="F8" s="9">
        <v>536.34199999999998</v>
      </c>
      <c r="G8" s="7">
        <v>1</v>
      </c>
      <c r="H8" s="9">
        <f>VLOOKUP(A8,[1]Sheet!$A:$H,8,0)</f>
        <v>60</v>
      </c>
      <c r="I8" s="9" t="s">
        <v>37</v>
      </c>
      <c r="J8" s="9"/>
      <c r="K8" s="9">
        <v>328.9</v>
      </c>
      <c r="L8" s="9">
        <f t="shared" si="3"/>
        <v>12.862000000000023</v>
      </c>
      <c r="M8" s="9">
        <f t="shared" si="4"/>
        <v>341.762</v>
      </c>
      <c r="N8" s="9"/>
      <c r="O8" s="9">
        <v>100</v>
      </c>
      <c r="P8" s="9">
        <v>100</v>
      </c>
      <c r="Q8" s="9">
        <f t="shared" si="5"/>
        <v>68.352400000000003</v>
      </c>
      <c r="R8" s="4">
        <f t="shared" si="7"/>
        <v>220.59160000000008</v>
      </c>
      <c r="S8" s="4">
        <f t="shared" ref="S8:S14" si="13">X8</f>
        <v>250</v>
      </c>
      <c r="T8" s="4"/>
      <c r="U8" s="4">
        <f t="shared" si="8"/>
        <v>250</v>
      </c>
      <c r="V8" s="4">
        <f t="shared" si="9"/>
        <v>150</v>
      </c>
      <c r="W8" s="4">
        <v>100</v>
      </c>
      <c r="X8" s="4">
        <v>250</v>
      </c>
      <c r="Y8" s="9"/>
      <c r="Z8" s="9">
        <f t="shared" si="10"/>
        <v>14.43024677992287</v>
      </c>
      <c r="AA8" s="9">
        <f t="shared" si="6"/>
        <v>10.772730730742445</v>
      </c>
      <c r="AB8" s="9">
        <v>68.101599999999991</v>
      </c>
      <c r="AC8" s="9">
        <v>80.230199999999996</v>
      </c>
      <c r="AD8" s="9">
        <v>90.258200000000002</v>
      </c>
      <c r="AE8" s="9">
        <v>85.118600000000001</v>
      </c>
      <c r="AF8" s="9">
        <v>89.773399999999995</v>
      </c>
      <c r="AG8" s="9">
        <v>91.094000000000008</v>
      </c>
      <c r="AH8" s="9">
        <v>78.89500000000001</v>
      </c>
      <c r="AI8" s="9">
        <v>78.157399999999996</v>
      </c>
      <c r="AJ8" s="9"/>
      <c r="AK8" s="9">
        <f t="shared" si="11"/>
        <v>150</v>
      </c>
      <c r="AL8" s="9">
        <f t="shared" si="12"/>
        <v>100</v>
      </c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 x14ac:dyDescent="0.25">
      <c r="A9" s="9" t="s">
        <v>41</v>
      </c>
      <c r="B9" s="9" t="s">
        <v>39</v>
      </c>
      <c r="C9" s="9">
        <v>54.999000000000002</v>
      </c>
      <c r="D9" s="9">
        <v>2.0099999999999998</v>
      </c>
      <c r="E9" s="9">
        <v>21.393000000000001</v>
      </c>
      <c r="F9" s="9">
        <v>31.683</v>
      </c>
      <c r="G9" s="7">
        <v>1</v>
      </c>
      <c r="H9" s="9">
        <f>VLOOKUP(A9,[1]Sheet!$A:$H,8,0)</f>
        <v>120</v>
      </c>
      <c r="I9" s="9" t="s">
        <v>37</v>
      </c>
      <c r="J9" s="9"/>
      <c r="K9" s="9">
        <v>20.2</v>
      </c>
      <c r="L9" s="9">
        <f t="shared" si="3"/>
        <v>1.1930000000000014</v>
      </c>
      <c r="M9" s="9">
        <f t="shared" si="4"/>
        <v>21.393000000000001</v>
      </c>
      <c r="N9" s="9"/>
      <c r="O9" s="9">
        <v>0</v>
      </c>
      <c r="P9" s="9"/>
      <c r="Q9" s="9">
        <f t="shared" si="5"/>
        <v>4.2786</v>
      </c>
      <c r="R9" s="4">
        <f t="shared" si="7"/>
        <v>28.217399999999998</v>
      </c>
      <c r="S9" s="4">
        <f t="shared" si="13"/>
        <v>30</v>
      </c>
      <c r="T9" s="4"/>
      <c r="U9" s="4">
        <f t="shared" si="8"/>
        <v>30</v>
      </c>
      <c r="V9" s="4">
        <f t="shared" si="9"/>
        <v>30</v>
      </c>
      <c r="W9" s="4"/>
      <c r="X9" s="4">
        <v>30</v>
      </c>
      <c r="Y9" s="9"/>
      <c r="Z9" s="9">
        <f t="shared" si="10"/>
        <v>14.416631608470061</v>
      </c>
      <c r="AA9" s="9">
        <f t="shared" si="6"/>
        <v>7.4049922871967464</v>
      </c>
      <c r="AB9" s="9">
        <v>1.2896000000000001</v>
      </c>
      <c r="AC9" s="9">
        <v>2.3702000000000001</v>
      </c>
      <c r="AD9" s="9">
        <v>4.4546000000000001</v>
      </c>
      <c r="AE9" s="9">
        <v>5.0002000000000004</v>
      </c>
      <c r="AF9" s="9">
        <v>4.0398000000000014</v>
      </c>
      <c r="AG9" s="9">
        <v>4.0202</v>
      </c>
      <c r="AH9" s="9">
        <v>3.9077999999999999</v>
      </c>
      <c r="AI9" s="9">
        <v>4.6116000000000001</v>
      </c>
      <c r="AJ9" s="9"/>
      <c r="AK9" s="9">
        <f t="shared" si="11"/>
        <v>30</v>
      </c>
      <c r="AL9" s="9">
        <f t="shared" si="12"/>
        <v>0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 x14ac:dyDescent="0.25">
      <c r="A10" s="9" t="s">
        <v>42</v>
      </c>
      <c r="B10" s="9" t="s">
        <v>39</v>
      </c>
      <c r="C10" s="9"/>
      <c r="D10" s="9">
        <v>114.937</v>
      </c>
      <c r="E10" s="9">
        <v>49.610999999999997</v>
      </c>
      <c r="F10" s="9">
        <v>60.673999999999999</v>
      </c>
      <c r="G10" s="7">
        <v>1</v>
      </c>
      <c r="H10" s="9">
        <f>VLOOKUP(A10,[1]Sheet!$A:$H,8,0)</f>
        <v>60</v>
      </c>
      <c r="I10" s="9" t="s">
        <v>37</v>
      </c>
      <c r="J10" s="9"/>
      <c r="K10" s="9">
        <v>46.8</v>
      </c>
      <c r="L10" s="9">
        <f t="shared" si="3"/>
        <v>2.8109999999999999</v>
      </c>
      <c r="M10" s="9">
        <f t="shared" si="4"/>
        <v>49.610999999999997</v>
      </c>
      <c r="N10" s="9"/>
      <c r="O10" s="9">
        <v>0</v>
      </c>
      <c r="P10" s="9">
        <v>30</v>
      </c>
      <c r="Q10" s="9">
        <f t="shared" si="5"/>
        <v>9.9222000000000001</v>
      </c>
      <c r="R10" s="4">
        <f t="shared" si="7"/>
        <v>48.236799999999995</v>
      </c>
      <c r="S10" s="4">
        <f t="shared" si="13"/>
        <v>50</v>
      </c>
      <c r="T10" s="4"/>
      <c r="U10" s="4">
        <f t="shared" si="8"/>
        <v>50</v>
      </c>
      <c r="V10" s="4">
        <f t="shared" si="9"/>
        <v>50</v>
      </c>
      <c r="W10" s="4"/>
      <c r="X10" s="4">
        <v>50</v>
      </c>
      <c r="Y10" s="9"/>
      <c r="Z10" s="9">
        <f t="shared" si="10"/>
        <v>14.177702525649554</v>
      </c>
      <c r="AA10" s="9">
        <f t="shared" si="6"/>
        <v>9.1384975106327229</v>
      </c>
      <c r="AB10" s="9">
        <v>9.1658000000000008</v>
      </c>
      <c r="AC10" s="9">
        <v>10.244</v>
      </c>
      <c r="AD10" s="9">
        <v>12.7936</v>
      </c>
      <c r="AE10" s="9">
        <v>10.8612</v>
      </c>
      <c r="AF10" s="9">
        <v>13.260999999999999</v>
      </c>
      <c r="AG10" s="9">
        <v>12.6198</v>
      </c>
      <c r="AH10" s="9">
        <v>10.8278</v>
      </c>
      <c r="AI10" s="9">
        <v>11.9008</v>
      </c>
      <c r="AJ10" s="9"/>
      <c r="AK10" s="9">
        <f t="shared" si="11"/>
        <v>50</v>
      </c>
      <c r="AL10" s="9">
        <f t="shared" si="12"/>
        <v>0</v>
      </c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 x14ac:dyDescent="0.25">
      <c r="A11" s="9" t="s">
        <v>43</v>
      </c>
      <c r="B11" s="9" t="s">
        <v>39</v>
      </c>
      <c r="C11" s="9">
        <v>305.95299999999997</v>
      </c>
      <c r="D11" s="9">
        <v>214.71700000000001</v>
      </c>
      <c r="E11" s="9">
        <v>241.33500000000001</v>
      </c>
      <c r="F11" s="9">
        <v>246.666</v>
      </c>
      <c r="G11" s="7">
        <v>1</v>
      </c>
      <c r="H11" s="9">
        <f>VLOOKUP(A11,[1]Sheet!$A:$H,8,0)</f>
        <v>60</v>
      </c>
      <c r="I11" s="9" t="s">
        <v>37</v>
      </c>
      <c r="J11" s="9"/>
      <c r="K11" s="9">
        <v>230.7</v>
      </c>
      <c r="L11" s="9">
        <f t="shared" si="3"/>
        <v>10.635000000000019</v>
      </c>
      <c r="M11" s="9">
        <f t="shared" si="4"/>
        <v>241.33500000000001</v>
      </c>
      <c r="N11" s="9"/>
      <c r="O11" s="9">
        <v>100</v>
      </c>
      <c r="P11" s="9">
        <v>100</v>
      </c>
      <c r="Q11" s="9">
        <f t="shared" si="5"/>
        <v>48.267000000000003</v>
      </c>
      <c r="R11" s="4">
        <f t="shared" si="7"/>
        <v>229.07200000000006</v>
      </c>
      <c r="S11" s="4">
        <f t="shared" si="13"/>
        <v>250</v>
      </c>
      <c r="T11" s="4"/>
      <c r="U11" s="4">
        <f t="shared" si="8"/>
        <v>250</v>
      </c>
      <c r="V11" s="4">
        <f t="shared" si="9"/>
        <v>200</v>
      </c>
      <c r="W11" s="4">
        <v>50</v>
      </c>
      <c r="X11" s="4">
        <v>250</v>
      </c>
      <c r="Y11" s="9"/>
      <c r="Z11" s="9">
        <f t="shared" si="10"/>
        <v>14.433588165827581</v>
      </c>
      <c r="AA11" s="9">
        <f t="shared" si="6"/>
        <v>9.2540659249590806</v>
      </c>
      <c r="AB11" s="9">
        <v>46.229399999999998</v>
      </c>
      <c r="AC11" s="9">
        <v>44.822400000000002</v>
      </c>
      <c r="AD11" s="9">
        <v>56.105600000000003</v>
      </c>
      <c r="AE11" s="9">
        <v>61.675199999999997</v>
      </c>
      <c r="AF11" s="9">
        <v>34.746400000000008</v>
      </c>
      <c r="AG11" s="9">
        <v>26.501000000000001</v>
      </c>
      <c r="AH11" s="9">
        <v>56.067799999999998</v>
      </c>
      <c r="AI11" s="9">
        <v>54.839799999999997</v>
      </c>
      <c r="AJ11" s="9"/>
      <c r="AK11" s="9">
        <f t="shared" si="11"/>
        <v>200</v>
      </c>
      <c r="AL11" s="9">
        <f t="shared" si="12"/>
        <v>50</v>
      </c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x14ac:dyDescent="0.25">
      <c r="A12" s="9" t="s">
        <v>44</v>
      </c>
      <c r="B12" s="9" t="s">
        <v>36</v>
      </c>
      <c r="C12" s="9">
        <v>17</v>
      </c>
      <c r="D12" s="9">
        <v>216</v>
      </c>
      <c r="E12" s="9">
        <v>139</v>
      </c>
      <c r="F12" s="9">
        <v>77</v>
      </c>
      <c r="G12" s="7">
        <v>0.25</v>
      </c>
      <c r="H12" s="9">
        <f>VLOOKUP(A12,[1]Sheet!$A:$H,8,0)</f>
        <v>120</v>
      </c>
      <c r="I12" s="9" t="s">
        <v>37</v>
      </c>
      <c r="J12" s="9"/>
      <c r="K12" s="9">
        <v>140</v>
      </c>
      <c r="L12" s="9">
        <f t="shared" si="3"/>
        <v>-1</v>
      </c>
      <c r="M12" s="9">
        <f t="shared" si="4"/>
        <v>139</v>
      </c>
      <c r="N12" s="9"/>
      <c r="O12" s="9">
        <v>150</v>
      </c>
      <c r="P12" s="9">
        <v>150</v>
      </c>
      <c r="Q12" s="9">
        <f t="shared" si="5"/>
        <v>27.8</v>
      </c>
      <c r="R12" s="4">
        <f t="shared" si="7"/>
        <v>12.199999999999989</v>
      </c>
      <c r="S12" s="4">
        <f t="shared" si="13"/>
        <v>60</v>
      </c>
      <c r="T12" s="4"/>
      <c r="U12" s="4">
        <f t="shared" si="8"/>
        <v>60</v>
      </c>
      <c r="V12" s="4">
        <f t="shared" si="9"/>
        <v>60</v>
      </c>
      <c r="W12" s="4"/>
      <c r="X12" s="4">
        <v>60</v>
      </c>
      <c r="Y12" s="9"/>
      <c r="Z12" s="9">
        <f t="shared" si="10"/>
        <v>15.719424460431654</v>
      </c>
      <c r="AA12" s="9">
        <f t="shared" si="6"/>
        <v>13.561151079136691</v>
      </c>
      <c r="AB12" s="9">
        <v>30.8</v>
      </c>
      <c r="AC12" s="9">
        <v>23.4</v>
      </c>
      <c r="AD12" s="9">
        <v>35.799999999999997</v>
      </c>
      <c r="AE12" s="9">
        <v>31.8</v>
      </c>
      <c r="AF12" s="9">
        <v>26.8</v>
      </c>
      <c r="AG12" s="9">
        <v>29.8</v>
      </c>
      <c r="AH12" s="9">
        <v>25.6</v>
      </c>
      <c r="AI12" s="9">
        <v>34</v>
      </c>
      <c r="AJ12" s="9"/>
      <c r="AK12" s="9">
        <f t="shared" si="11"/>
        <v>15</v>
      </c>
      <c r="AL12" s="9">
        <f t="shared" si="12"/>
        <v>0</v>
      </c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 x14ac:dyDescent="0.25">
      <c r="A13" s="9" t="s">
        <v>45</v>
      </c>
      <c r="B13" s="9" t="s">
        <v>39</v>
      </c>
      <c r="C13" s="9">
        <v>46.540999999999997</v>
      </c>
      <c r="D13" s="9">
        <v>151.66800000000001</v>
      </c>
      <c r="E13" s="9">
        <v>70.132000000000005</v>
      </c>
      <c r="F13" s="9">
        <v>114.456</v>
      </c>
      <c r="G13" s="7">
        <v>1</v>
      </c>
      <c r="H13" s="9">
        <f>VLOOKUP(A13,[1]Sheet!$A:$H,8,0)</f>
        <v>60</v>
      </c>
      <c r="I13" s="9" t="s">
        <v>37</v>
      </c>
      <c r="J13" s="9"/>
      <c r="K13" s="9">
        <v>70.8</v>
      </c>
      <c r="L13" s="9">
        <f t="shared" si="3"/>
        <v>-0.66799999999999216</v>
      </c>
      <c r="M13" s="9">
        <f t="shared" si="4"/>
        <v>49.963000000000008</v>
      </c>
      <c r="N13" s="9">
        <v>20.169</v>
      </c>
      <c r="O13" s="9">
        <v>0</v>
      </c>
      <c r="P13" s="9">
        <v>60</v>
      </c>
      <c r="Q13" s="9">
        <f t="shared" si="5"/>
        <v>9.9926000000000013</v>
      </c>
      <c r="R13" s="4"/>
      <c r="S13" s="4">
        <f t="shared" si="13"/>
        <v>60</v>
      </c>
      <c r="T13" s="4"/>
      <c r="U13" s="4">
        <f t="shared" si="8"/>
        <v>60</v>
      </c>
      <c r="V13" s="4">
        <f t="shared" si="9"/>
        <v>0</v>
      </c>
      <c r="W13" s="4">
        <v>60</v>
      </c>
      <c r="X13" s="4">
        <v>60</v>
      </c>
      <c r="Y13" s="9"/>
      <c r="Z13" s="9">
        <f t="shared" si="10"/>
        <v>23.462962592318313</v>
      </c>
      <c r="AA13" s="9">
        <f t="shared" si="6"/>
        <v>17.458519304285172</v>
      </c>
      <c r="AB13" s="9">
        <v>14.657400000000001</v>
      </c>
      <c r="AC13" s="9">
        <v>12.036</v>
      </c>
      <c r="AD13" s="9">
        <v>14.9726</v>
      </c>
      <c r="AE13" s="9">
        <v>16.823399999999999</v>
      </c>
      <c r="AF13" s="9">
        <v>17.8232</v>
      </c>
      <c r="AG13" s="9">
        <v>16.494</v>
      </c>
      <c r="AH13" s="9">
        <v>16.262799999999999</v>
      </c>
      <c r="AI13" s="9">
        <v>20.638999999999999</v>
      </c>
      <c r="AJ13" s="9"/>
      <c r="AK13" s="9">
        <f t="shared" si="11"/>
        <v>0</v>
      </c>
      <c r="AL13" s="9">
        <f t="shared" si="12"/>
        <v>60</v>
      </c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x14ac:dyDescent="0.25">
      <c r="A14" s="9" t="s">
        <v>46</v>
      </c>
      <c r="B14" s="9" t="s">
        <v>36</v>
      </c>
      <c r="C14" s="9">
        <v>173</v>
      </c>
      <c r="D14" s="9">
        <v>186</v>
      </c>
      <c r="E14" s="9">
        <v>224</v>
      </c>
      <c r="F14" s="9">
        <v>77</v>
      </c>
      <c r="G14" s="7">
        <v>0.25</v>
      </c>
      <c r="H14" s="9">
        <f>VLOOKUP(A14,[1]Sheet!$A:$H,8,0)</f>
        <v>120</v>
      </c>
      <c r="I14" s="9" t="s">
        <v>37</v>
      </c>
      <c r="J14" s="9"/>
      <c r="K14" s="9">
        <v>236</v>
      </c>
      <c r="L14" s="9">
        <f t="shared" si="3"/>
        <v>-12</v>
      </c>
      <c r="M14" s="9">
        <f t="shared" si="4"/>
        <v>184</v>
      </c>
      <c r="N14" s="9">
        <v>40</v>
      </c>
      <c r="O14" s="9">
        <v>200</v>
      </c>
      <c r="P14" s="9">
        <v>200</v>
      </c>
      <c r="Q14" s="9">
        <f t="shared" si="5"/>
        <v>36.799999999999997</v>
      </c>
      <c r="R14" s="4">
        <f t="shared" si="7"/>
        <v>38.199999999999932</v>
      </c>
      <c r="S14" s="4">
        <f t="shared" si="13"/>
        <v>60</v>
      </c>
      <c r="T14" s="4"/>
      <c r="U14" s="4">
        <f t="shared" si="8"/>
        <v>60</v>
      </c>
      <c r="V14" s="4">
        <f t="shared" si="9"/>
        <v>0</v>
      </c>
      <c r="W14" s="4">
        <v>60</v>
      </c>
      <c r="X14" s="4">
        <v>60</v>
      </c>
      <c r="Y14" s="9"/>
      <c r="Z14" s="9">
        <f t="shared" si="10"/>
        <v>14.592391304347828</v>
      </c>
      <c r="AA14" s="9">
        <f t="shared" si="6"/>
        <v>12.961956521739131</v>
      </c>
      <c r="AB14" s="9">
        <v>61.4</v>
      </c>
      <c r="AC14" s="9">
        <v>37.6</v>
      </c>
      <c r="AD14" s="9">
        <v>38.6</v>
      </c>
      <c r="AE14" s="9">
        <v>58.8</v>
      </c>
      <c r="AF14" s="9">
        <v>38</v>
      </c>
      <c r="AG14" s="9">
        <v>37.799999999999997</v>
      </c>
      <c r="AH14" s="9">
        <v>58</v>
      </c>
      <c r="AI14" s="9">
        <v>42.4</v>
      </c>
      <c r="AJ14" s="9"/>
      <c r="AK14" s="9">
        <f t="shared" si="11"/>
        <v>0</v>
      </c>
      <c r="AL14" s="9">
        <f t="shared" si="12"/>
        <v>15</v>
      </c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 x14ac:dyDescent="0.25">
      <c r="A15" s="9" t="s">
        <v>47</v>
      </c>
      <c r="B15" s="9" t="s">
        <v>36</v>
      </c>
      <c r="C15" s="9">
        <v>39</v>
      </c>
      <c r="D15" s="9">
        <v>168</v>
      </c>
      <c r="E15" s="9">
        <v>88</v>
      </c>
      <c r="F15" s="9">
        <v>92</v>
      </c>
      <c r="G15" s="7">
        <v>0.4</v>
      </c>
      <c r="H15" s="9">
        <f>VLOOKUP(A15,[1]Sheet!$A:$H,8,0)</f>
        <v>60</v>
      </c>
      <c r="I15" s="9" t="s">
        <v>37</v>
      </c>
      <c r="J15" s="9"/>
      <c r="K15" s="9">
        <v>89</v>
      </c>
      <c r="L15" s="9">
        <f t="shared" si="3"/>
        <v>-1</v>
      </c>
      <c r="M15" s="9">
        <f t="shared" si="4"/>
        <v>88</v>
      </c>
      <c r="N15" s="9"/>
      <c r="O15" s="9">
        <v>100</v>
      </c>
      <c r="P15" s="9">
        <v>100</v>
      </c>
      <c r="Q15" s="9">
        <f t="shared" si="5"/>
        <v>17.600000000000001</v>
      </c>
      <c r="R15" s="4"/>
      <c r="S15" s="4">
        <f t="shared" ref="S15:S70" si="14">R15</f>
        <v>0</v>
      </c>
      <c r="T15" s="4"/>
      <c r="U15" s="4">
        <f t="shared" si="8"/>
        <v>0</v>
      </c>
      <c r="V15" s="4">
        <f t="shared" si="9"/>
        <v>0</v>
      </c>
      <c r="W15" s="4"/>
      <c r="X15" s="4"/>
      <c r="Y15" s="9"/>
      <c r="Z15" s="9">
        <f t="shared" si="10"/>
        <v>16.59090909090909</v>
      </c>
      <c r="AA15" s="9">
        <f t="shared" si="6"/>
        <v>16.59090909090909</v>
      </c>
      <c r="AB15" s="9">
        <v>24.2</v>
      </c>
      <c r="AC15" s="9">
        <v>22</v>
      </c>
      <c r="AD15" s="9">
        <v>22.6</v>
      </c>
      <c r="AE15" s="9">
        <v>25.6</v>
      </c>
      <c r="AF15" s="9">
        <v>24.2</v>
      </c>
      <c r="AG15" s="9">
        <v>22.6</v>
      </c>
      <c r="AH15" s="9">
        <v>22.6</v>
      </c>
      <c r="AI15" s="9">
        <v>28.4</v>
      </c>
      <c r="AJ15" s="9"/>
      <c r="AK15" s="9">
        <f t="shared" si="11"/>
        <v>0</v>
      </c>
      <c r="AL15" s="9">
        <f t="shared" si="12"/>
        <v>0</v>
      </c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 x14ac:dyDescent="0.25">
      <c r="A16" s="9" t="s">
        <v>48</v>
      </c>
      <c r="B16" s="9" t="s">
        <v>39</v>
      </c>
      <c r="C16" s="9">
        <v>291.30500000000001</v>
      </c>
      <c r="D16" s="9">
        <v>608.57399999999996</v>
      </c>
      <c r="E16" s="9">
        <v>317.89600000000002</v>
      </c>
      <c r="F16" s="9">
        <v>521.00400000000002</v>
      </c>
      <c r="G16" s="7">
        <v>1</v>
      </c>
      <c r="H16" s="9">
        <f>VLOOKUP(A16,[1]Sheet!$A:$H,8,0)</f>
        <v>45</v>
      </c>
      <c r="I16" s="9" t="s">
        <v>37</v>
      </c>
      <c r="J16" s="9"/>
      <c r="K16" s="9">
        <v>291</v>
      </c>
      <c r="L16" s="9">
        <f t="shared" si="3"/>
        <v>26.896000000000015</v>
      </c>
      <c r="M16" s="9">
        <f t="shared" si="4"/>
        <v>317.89600000000002</v>
      </c>
      <c r="N16" s="9"/>
      <c r="O16" s="9">
        <v>100</v>
      </c>
      <c r="P16" s="9">
        <v>100</v>
      </c>
      <c r="Q16" s="9">
        <f t="shared" si="5"/>
        <v>63.5792</v>
      </c>
      <c r="R16" s="4">
        <f t="shared" si="7"/>
        <v>169.10479999999995</v>
      </c>
      <c r="S16" s="4">
        <f t="shared" ref="S16:S19" si="15">X16</f>
        <v>200</v>
      </c>
      <c r="T16" s="4"/>
      <c r="U16" s="4">
        <f t="shared" si="8"/>
        <v>200</v>
      </c>
      <c r="V16" s="4">
        <f t="shared" si="9"/>
        <v>150</v>
      </c>
      <c r="W16" s="4">
        <v>50</v>
      </c>
      <c r="X16" s="4">
        <v>200</v>
      </c>
      <c r="Y16" s="9"/>
      <c r="Z16" s="9">
        <f t="shared" si="10"/>
        <v>14.485932506228453</v>
      </c>
      <c r="AA16" s="9">
        <f t="shared" si="6"/>
        <v>11.340249641392154</v>
      </c>
      <c r="AB16" s="9">
        <v>54.83</v>
      </c>
      <c r="AC16" s="9">
        <v>69.053799999999995</v>
      </c>
      <c r="AD16" s="9">
        <v>65.913399999999996</v>
      </c>
      <c r="AE16" s="9">
        <v>77.592999999999989</v>
      </c>
      <c r="AF16" s="9">
        <v>71.2286</v>
      </c>
      <c r="AG16" s="9">
        <v>65.796399999999991</v>
      </c>
      <c r="AH16" s="9">
        <v>84.121200000000016</v>
      </c>
      <c r="AI16" s="9">
        <v>73.148200000000003</v>
      </c>
      <c r="AJ16" s="9"/>
      <c r="AK16" s="9">
        <f t="shared" si="11"/>
        <v>150</v>
      </c>
      <c r="AL16" s="9">
        <f t="shared" si="12"/>
        <v>50</v>
      </c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 x14ac:dyDescent="0.25">
      <c r="A17" s="9" t="s">
        <v>49</v>
      </c>
      <c r="B17" s="9" t="s">
        <v>36</v>
      </c>
      <c r="C17" s="9">
        <v>253</v>
      </c>
      <c r="D17" s="9">
        <v>139</v>
      </c>
      <c r="E17" s="9">
        <v>273</v>
      </c>
      <c r="F17" s="9">
        <v>99</v>
      </c>
      <c r="G17" s="7">
        <v>0.12</v>
      </c>
      <c r="H17" s="9">
        <f>VLOOKUP(A17,[1]Sheet!$A:$H,8,0)</f>
        <v>60</v>
      </c>
      <c r="I17" s="9" t="s">
        <v>37</v>
      </c>
      <c r="J17" s="9"/>
      <c r="K17" s="9">
        <v>286</v>
      </c>
      <c r="L17" s="9">
        <f t="shared" si="3"/>
        <v>-13</v>
      </c>
      <c r="M17" s="9">
        <f t="shared" si="4"/>
        <v>273</v>
      </c>
      <c r="N17" s="9"/>
      <c r="O17" s="9">
        <v>130</v>
      </c>
      <c r="P17" s="9">
        <v>120</v>
      </c>
      <c r="Q17" s="9">
        <f t="shared" si="5"/>
        <v>54.6</v>
      </c>
      <c r="R17" s="4">
        <f t="shared" si="7"/>
        <v>415.4</v>
      </c>
      <c r="S17" s="4">
        <f t="shared" si="15"/>
        <v>550</v>
      </c>
      <c r="T17" s="4"/>
      <c r="U17" s="4">
        <f t="shared" si="8"/>
        <v>550</v>
      </c>
      <c r="V17" s="4">
        <f t="shared" si="9"/>
        <v>400</v>
      </c>
      <c r="W17" s="4">
        <v>150</v>
      </c>
      <c r="X17" s="4">
        <v>550</v>
      </c>
      <c r="Y17" s="9" t="s">
        <v>138</v>
      </c>
      <c r="Z17" s="9">
        <f t="shared" si="10"/>
        <v>16.465201465201464</v>
      </c>
      <c r="AA17" s="9">
        <f t="shared" si="6"/>
        <v>6.3919413919413914</v>
      </c>
      <c r="AB17" s="9">
        <v>42.8</v>
      </c>
      <c r="AC17" s="9">
        <v>33.4</v>
      </c>
      <c r="AD17" s="9">
        <v>55</v>
      </c>
      <c r="AE17" s="9">
        <v>52.6</v>
      </c>
      <c r="AF17" s="9">
        <v>39</v>
      </c>
      <c r="AG17" s="9">
        <v>47.2</v>
      </c>
      <c r="AH17" s="9">
        <v>46.6</v>
      </c>
      <c r="AI17" s="9">
        <v>57.4</v>
      </c>
      <c r="AJ17" s="9"/>
      <c r="AK17" s="9">
        <f t="shared" si="11"/>
        <v>48</v>
      </c>
      <c r="AL17" s="9">
        <f t="shared" si="12"/>
        <v>18</v>
      </c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x14ac:dyDescent="0.25">
      <c r="A18" s="9" t="s">
        <v>50</v>
      </c>
      <c r="B18" s="9" t="s">
        <v>36</v>
      </c>
      <c r="C18" s="9"/>
      <c r="D18" s="9"/>
      <c r="E18" s="9"/>
      <c r="F18" s="9"/>
      <c r="G18" s="7">
        <v>0.25</v>
      </c>
      <c r="H18" s="9">
        <f>VLOOKUP(A18,[1]Sheet!$A:$H,8,0)</f>
        <v>120</v>
      </c>
      <c r="I18" s="9" t="s">
        <v>37</v>
      </c>
      <c r="J18" s="9"/>
      <c r="K18" s="9"/>
      <c r="L18" s="9">
        <f t="shared" si="3"/>
        <v>0</v>
      </c>
      <c r="M18" s="9">
        <f t="shared" si="4"/>
        <v>0</v>
      </c>
      <c r="N18" s="9"/>
      <c r="O18" s="9">
        <v>50</v>
      </c>
      <c r="P18" s="9">
        <v>50</v>
      </c>
      <c r="Q18" s="9">
        <f t="shared" si="5"/>
        <v>0</v>
      </c>
      <c r="R18" s="4">
        <v>100</v>
      </c>
      <c r="S18" s="4">
        <f t="shared" si="15"/>
        <v>200</v>
      </c>
      <c r="T18" s="4"/>
      <c r="U18" s="4">
        <f t="shared" si="8"/>
        <v>200</v>
      </c>
      <c r="V18" s="4">
        <f t="shared" si="9"/>
        <v>160</v>
      </c>
      <c r="W18" s="4">
        <v>40</v>
      </c>
      <c r="X18" s="4">
        <v>200</v>
      </c>
      <c r="Y18" s="9" t="s">
        <v>139</v>
      </c>
      <c r="Z18" s="9" t="e">
        <f t="shared" si="10"/>
        <v>#DIV/0!</v>
      </c>
      <c r="AA18" s="9" t="e">
        <f t="shared" si="6"/>
        <v>#DIV/0!</v>
      </c>
      <c r="AB18" s="9">
        <v>-1</v>
      </c>
      <c r="AC18" s="9">
        <v>0.8</v>
      </c>
      <c r="AD18" s="9">
        <v>61.8</v>
      </c>
      <c r="AE18" s="9">
        <v>57.6</v>
      </c>
      <c r="AF18" s="9">
        <v>25.6</v>
      </c>
      <c r="AG18" s="9">
        <v>46.2</v>
      </c>
      <c r="AH18" s="9">
        <v>73</v>
      </c>
      <c r="AI18" s="9">
        <v>50.6</v>
      </c>
      <c r="AJ18" s="9" t="s">
        <v>51</v>
      </c>
      <c r="AK18" s="9">
        <f t="shared" si="11"/>
        <v>40</v>
      </c>
      <c r="AL18" s="9">
        <f t="shared" si="12"/>
        <v>10</v>
      </c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 x14ac:dyDescent="0.25">
      <c r="A19" s="9" t="s">
        <v>52</v>
      </c>
      <c r="B19" s="9" t="s">
        <v>39</v>
      </c>
      <c r="C19" s="9">
        <v>13.505000000000001</v>
      </c>
      <c r="D19" s="9">
        <v>42.335000000000001</v>
      </c>
      <c r="E19" s="9">
        <v>21.448</v>
      </c>
      <c r="F19" s="9">
        <v>30.385000000000002</v>
      </c>
      <c r="G19" s="7">
        <v>1</v>
      </c>
      <c r="H19" s="9">
        <f>VLOOKUP(A19,[1]Sheet!$A:$H,8,0)</f>
        <v>120</v>
      </c>
      <c r="I19" s="9" t="s">
        <v>37</v>
      </c>
      <c r="J19" s="9"/>
      <c r="K19" s="9">
        <v>21.2</v>
      </c>
      <c r="L19" s="9">
        <f t="shared" si="3"/>
        <v>0.24800000000000111</v>
      </c>
      <c r="M19" s="9">
        <f t="shared" si="4"/>
        <v>21.448</v>
      </c>
      <c r="N19" s="9"/>
      <c r="O19" s="9">
        <v>0</v>
      </c>
      <c r="P19" s="9"/>
      <c r="Q19" s="9">
        <f t="shared" si="5"/>
        <v>4.2896000000000001</v>
      </c>
      <c r="R19" s="4">
        <f t="shared" si="7"/>
        <v>29.6694</v>
      </c>
      <c r="S19" s="4">
        <f t="shared" si="15"/>
        <v>50</v>
      </c>
      <c r="T19" s="4"/>
      <c r="U19" s="4">
        <f t="shared" si="8"/>
        <v>50</v>
      </c>
      <c r="V19" s="4">
        <f t="shared" si="9"/>
        <v>50</v>
      </c>
      <c r="W19" s="4"/>
      <c r="X19" s="4">
        <v>50</v>
      </c>
      <c r="Y19" s="9"/>
      <c r="Z19" s="9">
        <f t="shared" si="10"/>
        <v>18.739509511376355</v>
      </c>
      <c r="AA19" s="9">
        <f t="shared" si="6"/>
        <v>7.0834110406564719</v>
      </c>
      <c r="AB19" s="9">
        <v>2.2056</v>
      </c>
      <c r="AC19" s="9">
        <v>3.289000000000001</v>
      </c>
      <c r="AD19" s="9">
        <v>5.5347999999999997</v>
      </c>
      <c r="AE19" s="9">
        <v>4.4236000000000004</v>
      </c>
      <c r="AF19" s="9">
        <v>4.6758000000000006</v>
      </c>
      <c r="AG19" s="9">
        <v>4.3420000000000014</v>
      </c>
      <c r="AH19" s="9">
        <v>4.1029999999999998</v>
      </c>
      <c r="AI19" s="9">
        <v>4.3810000000000002</v>
      </c>
      <c r="AJ19" s="9"/>
      <c r="AK19" s="9">
        <f t="shared" si="11"/>
        <v>50</v>
      </c>
      <c r="AL19" s="9">
        <f t="shared" si="12"/>
        <v>0</v>
      </c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 x14ac:dyDescent="0.25">
      <c r="A20" s="9" t="s">
        <v>53</v>
      </c>
      <c r="B20" s="9" t="s">
        <v>36</v>
      </c>
      <c r="C20" s="9">
        <v>36</v>
      </c>
      <c r="D20" s="9">
        <v>88</v>
      </c>
      <c r="E20" s="9">
        <v>109</v>
      </c>
      <c r="F20" s="9">
        <v>4</v>
      </c>
      <c r="G20" s="7">
        <v>0.4</v>
      </c>
      <c r="H20" s="9">
        <f>VLOOKUP(A20,[1]Sheet!$A:$H,8,0)</f>
        <v>45</v>
      </c>
      <c r="I20" s="9" t="s">
        <v>37</v>
      </c>
      <c r="J20" s="9"/>
      <c r="K20" s="9">
        <v>108</v>
      </c>
      <c r="L20" s="9">
        <f t="shared" si="3"/>
        <v>1</v>
      </c>
      <c r="M20" s="9">
        <f t="shared" si="4"/>
        <v>109</v>
      </c>
      <c r="N20" s="9"/>
      <c r="O20" s="9">
        <v>200</v>
      </c>
      <c r="P20" s="9">
        <v>200</v>
      </c>
      <c r="Q20" s="9">
        <f t="shared" si="5"/>
        <v>21.8</v>
      </c>
      <c r="R20" s="4"/>
      <c r="S20" s="4">
        <f t="shared" si="14"/>
        <v>0</v>
      </c>
      <c r="T20" s="4"/>
      <c r="U20" s="4">
        <f t="shared" si="8"/>
        <v>0</v>
      </c>
      <c r="V20" s="4">
        <f t="shared" si="9"/>
        <v>0</v>
      </c>
      <c r="W20" s="4"/>
      <c r="X20" s="4"/>
      <c r="Y20" s="9"/>
      <c r="Z20" s="9">
        <f t="shared" si="10"/>
        <v>18.532110091743117</v>
      </c>
      <c r="AA20" s="9">
        <f t="shared" si="6"/>
        <v>18.532110091743117</v>
      </c>
      <c r="AB20" s="9">
        <v>55.4</v>
      </c>
      <c r="AC20" s="9">
        <v>21</v>
      </c>
      <c r="AD20" s="9">
        <v>39.6</v>
      </c>
      <c r="AE20" s="9">
        <v>38.6</v>
      </c>
      <c r="AF20" s="9">
        <v>26.4</v>
      </c>
      <c r="AG20" s="9">
        <v>42.2</v>
      </c>
      <c r="AH20" s="9">
        <v>41</v>
      </c>
      <c r="AI20" s="9">
        <v>32.200000000000003</v>
      </c>
      <c r="AJ20" s="9"/>
      <c r="AK20" s="9">
        <f t="shared" si="11"/>
        <v>0</v>
      </c>
      <c r="AL20" s="9">
        <f t="shared" si="12"/>
        <v>0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 x14ac:dyDescent="0.25">
      <c r="A21" s="9" t="s">
        <v>54</v>
      </c>
      <c r="B21" s="9" t="s">
        <v>39</v>
      </c>
      <c r="C21" s="9">
        <v>166.10900000000001</v>
      </c>
      <c r="D21" s="9">
        <v>133.86799999999999</v>
      </c>
      <c r="E21" s="9">
        <v>115.771</v>
      </c>
      <c r="F21" s="9">
        <v>162.14400000000001</v>
      </c>
      <c r="G21" s="7">
        <v>1</v>
      </c>
      <c r="H21" s="9">
        <f>VLOOKUP(A21,[1]Sheet!$A:$H,8,0)</f>
        <v>60</v>
      </c>
      <c r="I21" s="9" t="s">
        <v>37</v>
      </c>
      <c r="J21" s="9"/>
      <c r="K21" s="9">
        <v>109.1</v>
      </c>
      <c r="L21" s="9">
        <f t="shared" si="3"/>
        <v>6.6710000000000065</v>
      </c>
      <c r="M21" s="9">
        <f t="shared" si="4"/>
        <v>115.771</v>
      </c>
      <c r="N21" s="9"/>
      <c r="O21" s="9">
        <v>130</v>
      </c>
      <c r="P21" s="9">
        <v>120</v>
      </c>
      <c r="Q21" s="9">
        <f t="shared" si="5"/>
        <v>23.154199999999999</v>
      </c>
      <c r="R21" s="4"/>
      <c r="S21" s="4">
        <f t="shared" si="14"/>
        <v>0</v>
      </c>
      <c r="T21" s="4"/>
      <c r="U21" s="4">
        <f t="shared" si="8"/>
        <v>0</v>
      </c>
      <c r="V21" s="4">
        <f t="shared" si="9"/>
        <v>0</v>
      </c>
      <c r="W21" s="4"/>
      <c r="X21" s="4"/>
      <c r="Y21" s="9"/>
      <c r="Z21" s="9">
        <f t="shared" si="10"/>
        <v>17.799967176581355</v>
      </c>
      <c r="AA21" s="9">
        <f t="shared" si="6"/>
        <v>17.799967176581355</v>
      </c>
      <c r="AB21" s="9">
        <v>31.187200000000001</v>
      </c>
      <c r="AC21" s="9">
        <v>26.022200000000002</v>
      </c>
      <c r="AD21" s="9">
        <v>32.539200000000001</v>
      </c>
      <c r="AE21" s="9">
        <v>35.8842</v>
      </c>
      <c r="AF21" s="9">
        <v>37.9206</v>
      </c>
      <c r="AG21" s="9">
        <v>20.790800000000001</v>
      </c>
      <c r="AH21" s="9">
        <v>37.610399999999998</v>
      </c>
      <c r="AI21" s="9">
        <v>35.351999999999997</v>
      </c>
      <c r="AJ21" s="9"/>
      <c r="AK21" s="9">
        <f t="shared" si="11"/>
        <v>0</v>
      </c>
      <c r="AL21" s="9">
        <f t="shared" si="12"/>
        <v>0</v>
      </c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 x14ac:dyDescent="0.25">
      <c r="A22" s="9" t="s">
        <v>55</v>
      </c>
      <c r="B22" s="9" t="s">
        <v>36</v>
      </c>
      <c r="C22" s="9">
        <v>58</v>
      </c>
      <c r="D22" s="9">
        <v>224</v>
      </c>
      <c r="E22" s="9">
        <v>154</v>
      </c>
      <c r="F22" s="9">
        <v>111</v>
      </c>
      <c r="G22" s="7">
        <v>0.22</v>
      </c>
      <c r="H22" s="9">
        <f>VLOOKUP(A22,[1]Sheet!$A:$H,8,0)</f>
        <v>120</v>
      </c>
      <c r="I22" s="9" t="s">
        <v>37</v>
      </c>
      <c r="J22" s="9"/>
      <c r="K22" s="9">
        <v>156</v>
      </c>
      <c r="L22" s="9">
        <f t="shared" si="3"/>
        <v>-2</v>
      </c>
      <c r="M22" s="9">
        <f t="shared" si="4"/>
        <v>154</v>
      </c>
      <c r="N22" s="9"/>
      <c r="O22" s="9">
        <v>100</v>
      </c>
      <c r="P22" s="9">
        <v>100</v>
      </c>
      <c r="Q22" s="9">
        <f t="shared" si="5"/>
        <v>30.8</v>
      </c>
      <c r="R22" s="4">
        <f t="shared" si="7"/>
        <v>120.19999999999999</v>
      </c>
      <c r="S22" s="4">
        <f>X22</f>
        <v>200</v>
      </c>
      <c r="T22" s="4"/>
      <c r="U22" s="4">
        <f t="shared" si="8"/>
        <v>200</v>
      </c>
      <c r="V22" s="4">
        <f t="shared" si="9"/>
        <v>120</v>
      </c>
      <c r="W22" s="4">
        <v>80</v>
      </c>
      <c r="X22" s="4">
        <v>200</v>
      </c>
      <c r="Y22" s="9"/>
      <c r="Z22" s="9">
        <f t="shared" si="10"/>
        <v>16.59090909090909</v>
      </c>
      <c r="AA22" s="9">
        <f t="shared" si="6"/>
        <v>10.097402597402597</v>
      </c>
      <c r="AB22" s="9">
        <v>34</v>
      </c>
      <c r="AC22" s="9">
        <v>27.4</v>
      </c>
      <c r="AD22" s="9">
        <v>30.2</v>
      </c>
      <c r="AE22" s="9">
        <v>29.8</v>
      </c>
      <c r="AF22" s="9">
        <v>19.8</v>
      </c>
      <c r="AG22" s="9">
        <v>26.6</v>
      </c>
      <c r="AH22" s="9">
        <v>21.8</v>
      </c>
      <c r="AI22" s="9">
        <v>22.6</v>
      </c>
      <c r="AJ22" s="9"/>
      <c r="AK22" s="9">
        <f t="shared" si="11"/>
        <v>26.4</v>
      </c>
      <c r="AL22" s="9">
        <f t="shared" si="12"/>
        <v>17.600000000000001</v>
      </c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 x14ac:dyDescent="0.25">
      <c r="A23" s="9" t="s">
        <v>56</v>
      </c>
      <c r="B23" s="9" t="s">
        <v>36</v>
      </c>
      <c r="C23" s="9"/>
      <c r="D23" s="9">
        <v>150</v>
      </c>
      <c r="E23" s="9">
        <v>30</v>
      </c>
      <c r="F23" s="9">
        <v>117</v>
      </c>
      <c r="G23" s="7">
        <v>0.15</v>
      </c>
      <c r="H23" s="9">
        <f>VLOOKUP(A23,[1]Sheet!$A:$H,8,0)</f>
        <v>45</v>
      </c>
      <c r="I23" s="9" t="s">
        <v>37</v>
      </c>
      <c r="J23" s="9"/>
      <c r="K23" s="9">
        <v>32</v>
      </c>
      <c r="L23" s="9">
        <f t="shared" si="3"/>
        <v>-2</v>
      </c>
      <c r="M23" s="9">
        <f t="shared" si="4"/>
        <v>30</v>
      </c>
      <c r="N23" s="9"/>
      <c r="O23" s="9">
        <v>0</v>
      </c>
      <c r="P23" s="9"/>
      <c r="Q23" s="9">
        <f t="shared" si="5"/>
        <v>6</v>
      </c>
      <c r="R23" s="4"/>
      <c r="S23" s="4">
        <f t="shared" si="14"/>
        <v>0</v>
      </c>
      <c r="T23" s="4"/>
      <c r="U23" s="4">
        <f t="shared" si="8"/>
        <v>0</v>
      </c>
      <c r="V23" s="4">
        <f t="shared" si="9"/>
        <v>0</v>
      </c>
      <c r="W23" s="4"/>
      <c r="X23" s="4"/>
      <c r="Y23" s="9"/>
      <c r="Z23" s="9">
        <f t="shared" si="10"/>
        <v>19.5</v>
      </c>
      <c r="AA23" s="9">
        <f t="shared" si="6"/>
        <v>19.5</v>
      </c>
      <c r="AB23" s="9">
        <v>0</v>
      </c>
      <c r="AC23" s="9">
        <v>0</v>
      </c>
      <c r="AD23" s="9">
        <v>3.6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 t="s">
        <v>57</v>
      </c>
      <c r="AK23" s="9">
        <f t="shared" si="11"/>
        <v>0</v>
      </c>
      <c r="AL23" s="9">
        <f t="shared" si="12"/>
        <v>0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 x14ac:dyDescent="0.25">
      <c r="A24" s="9" t="s">
        <v>58</v>
      </c>
      <c r="B24" s="9" t="s">
        <v>39</v>
      </c>
      <c r="C24" s="9"/>
      <c r="D24" s="9">
        <v>232.18299999999999</v>
      </c>
      <c r="E24" s="9">
        <v>61.723999999999997</v>
      </c>
      <c r="F24" s="9">
        <v>157.02799999999999</v>
      </c>
      <c r="G24" s="7">
        <v>1</v>
      </c>
      <c r="H24" s="9">
        <f>VLOOKUP(A24,[1]Sheet!$A:$H,8,0)</f>
        <v>60</v>
      </c>
      <c r="I24" s="9" t="s">
        <v>37</v>
      </c>
      <c r="J24" s="9"/>
      <c r="K24" s="9">
        <v>57.7</v>
      </c>
      <c r="L24" s="9">
        <f t="shared" si="3"/>
        <v>4.0239999999999938</v>
      </c>
      <c r="M24" s="9">
        <f t="shared" si="4"/>
        <v>61.723999999999997</v>
      </c>
      <c r="N24" s="9"/>
      <c r="O24" s="9">
        <v>0</v>
      </c>
      <c r="P24" s="9"/>
      <c r="Q24" s="9">
        <f t="shared" si="5"/>
        <v>12.344799999999999</v>
      </c>
      <c r="R24" s="4">
        <f t="shared" si="7"/>
        <v>15.799200000000013</v>
      </c>
      <c r="S24" s="4">
        <f t="shared" ref="S24:S30" si="16">X24</f>
        <v>40</v>
      </c>
      <c r="T24" s="4"/>
      <c r="U24" s="4">
        <f t="shared" si="8"/>
        <v>40</v>
      </c>
      <c r="V24" s="4">
        <f t="shared" si="9"/>
        <v>40</v>
      </c>
      <c r="W24" s="4"/>
      <c r="X24" s="4">
        <v>40</v>
      </c>
      <c r="Y24" s="9"/>
      <c r="Z24" s="9">
        <f t="shared" si="10"/>
        <v>15.960404380791912</v>
      </c>
      <c r="AA24" s="9">
        <f t="shared" si="6"/>
        <v>12.720173676365757</v>
      </c>
      <c r="AB24" s="9">
        <v>0</v>
      </c>
      <c r="AC24" s="9">
        <v>0</v>
      </c>
      <c r="AD24" s="9">
        <v>9.6677999999999997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 t="s">
        <v>57</v>
      </c>
      <c r="AK24" s="9">
        <f t="shared" si="11"/>
        <v>40</v>
      </c>
      <c r="AL24" s="9">
        <f t="shared" si="12"/>
        <v>0</v>
      </c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 x14ac:dyDescent="0.25">
      <c r="A25" s="9" t="s">
        <v>59</v>
      </c>
      <c r="B25" s="9" t="s">
        <v>36</v>
      </c>
      <c r="C25" s="9">
        <v>146</v>
      </c>
      <c r="D25" s="9">
        <v>80</v>
      </c>
      <c r="E25" s="9">
        <v>97</v>
      </c>
      <c r="F25" s="9">
        <v>120</v>
      </c>
      <c r="G25" s="7">
        <v>0.09</v>
      </c>
      <c r="H25" s="9">
        <f>VLOOKUP(A25,[1]Sheet!$A:$H,8,0)</f>
        <v>60</v>
      </c>
      <c r="I25" s="9" t="s">
        <v>37</v>
      </c>
      <c r="J25" s="9"/>
      <c r="K25" s="9">
        <v>96</v>
      </c>
      <c r="L25" s="9">
        <f t="shared" si="3"/>
        <v>1</v>
      </c>
      <c r="M25" s="9">
        <f t="shared" si="4"/>
        <v>97</v>
      </c>
      <c r="N25" s="9"/>
      <c r="O25" s="9">
        <v>0</v>
      </c>
      <c r="P25" s="9">
        <v>60</v>
      </c>
      <c r="Q25" s="9">
        <f t="shared" si="5"/>
        <v>19.399999999999999</v>
      </c>
      <c r="R25" s="4">
        <f t="shared" si="7"/>
        <v>91.599999999999966</v>
      </c>
      <c r="S25" s="4">
        <f t="shared" si="16"/>
        <v>150</v>
      </c>
      <c r="T25" s="4"/>
      <c r="U25" s="4">
        <f t="shared" si="8"/>
        <v>150</v>
      </c>
      <c r="V25" s="4">
        <f t="shared" si="9"/>
        <v>80</v>
      </c>
      <c r="W25" s="4">
        <v>70</v>
      </c>
      <c r="X25" s="4">
        <v>150</v>
      </c>
      <c r="Y25" s="9"/>
      <c r="Z25" s="9">
        <f t="shared" si="10"/>
        <v>17.010309278350515</v>
      </c>
      <c r="AA25" s="9">
        <f t="shared" si="6"/>
        <v>9.2783505154639183</v>
      </c>
      <c r="AB25" s="9">
        <v>14.6</v>
      </c>
      <c r="AC25" s="9">
        <v>14</v>
      </c>
      <c r="AD25" s="9">
        <v>16.399999999999999</v>
      </c>
      <c r="AE25" s="9">
        <v>23.4</v>
      </c>
      <c r="AF25" s="9">
        <v>16.8</v>
      </c>
      <c r="AG25" s="9">
        <v>5.6</v>
      </c>
      <c r="AH25" s="9">
        <v>8.8000000000000007</v>
      </c>
      <c r="AI25" s="9">
        <v>27.2</v>
      </c>
      <c r="AJ25" s="9"/>
      <c r="AK25" s="9">
        <f t="shared" si="11"/>
        <v>7.1999999999999993</v>
      </c>
      <c r="AL25" s="9">
        <f t="shared" si="12"/>
        <v>6.3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 x14ac:dyDescent="0.25">
      <c r="A26" s="9" t="s">
        <v>60</v>
      </c>
      <c r="B26" s="9" t="s">
        <v>36</v>
      </c>
      <c r="C26" s="9">
        <v>5</v>
      </c>
      <c r="D26" s="9">
        <v>96</v>
      </c>
      <c r="E26" s="9">
        <v>46</v>
      </c>
      <c r="F26" s="9">
        <v>40</v>
      </c>
      <c r="G26" s="7">
        <v>0.09</v>
      </c>
      <c r="H26" s="9">
        <f>VLOOKUP(A26,[1]Sheet!$A:$H,8,0)</f>
        <v>45</v>
      </c>
      <c r="I26" s="9" t="s">
        <v>37</v>
      </c>
      <c r="J26" s="9"/>
      <c r="K26" s="9">
        <v>51</v>
      </c>
      <c r="L26" s="9">
        <f t="shared" si="3"/>
        <v>-5</v>
      </c>
      <c r="M26" s="9">
        <f t="shared" si="4"/>
        <v>46</v>
      </c>
      <c r="N26" s="9"/>
      <c r="O26" s="9">
        <v>40</v>
      </c>
      <c r="P26" s="9">
        <v>40</v>
      </c>
      <c r="Q26" s="9">
        <f t="shared" si="5"/>
        <v>9.1999999999999993</v>
      </c>
      <c r="R26" s="4">
        <f t="shared" si="7"/>
        <v>8.7999999999999829</v>
      </c>
      <c r="S26" s="4">
        <f t="shared" si="16"/>
        <v>40</v>
      </c>
      <c r="T26" s="4"/>
      <c r="U26" s="4">
        <f t="shared" si="8"/>
        <v>40</v>
      </c>
      <c r="V26" s="4">
        <f t="shared" si="9"/>
        <v>0</v>
      </c>
      <c r="W26" s="4">
        <v>40</v>
      </c>
      <c r="X26" s="4">
        <v>40</v>
      </c>
      <c r="Y26" s="9"/>
      <c r="Z26" s="9">
        <f t="shared" si="10"/>
        <v>17.39130434782609</v>
      </c>
      <c r="AA26" s="9">
        <f t="shared" si="6"/>
        <v>13.043478260869566</v>
      </c>
      <c r="AB26" s="9">
        <v>11.2</v>
      </c>
      <c r="AC26" s="9">
        <v>10.199999999999999</v>
      </c>
      <c r="AD26" s="9">
        <v>11.4</v>
      </c>
      <c r="AE26" s="9">
        <v>9.1999999999999993</v>
      </c>
      <c r="AF26" s="9">
        <v>10.6</v>
      </c>
      <c r="AG26" s="9">
        <v>15.8</v>
      </c>
      <c r="AH26" s="9">
        <v>10.4</v>
      </c>
      <c r="AI26" s="9">
        <v>19.2</v>
      </c>
      <c r="AJ26" s="9"/>
      <c r="AK26" s="9">
        <f t="shared" si="11"/>
        <v>0</v>
      </c>
      <c r="AL26" s="9">
        <f t="shared" si="12"/>
        <v>3.5999999999999996</v>
      </c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 x14ac:dyDescent="0.25">
      <c r="A27" s="9" t="s">
        <v>61</v>
      </c>
      <c r="B27" s="9" t="s">
        <v>36</v>
      </c>
      <c r="C27" s="9">
        <v>197</v>
      </c>
      <c r="D27" s="9">
        <v>96</v>
      </c>
      <c r="E27" s="9">
        <v>106</v>
      </c>
      <c r="F27" s="9">
        <v>173</v>
      </c>
      <c r="G27" s="7">
        <v>0.4</v>
      </c>
      <c r="H27" s="9">
        <f>VLOOKUP(A27,[1]Sheet!$A:$H,8,0)</f>
        <v>60</v>
      </c>
      <c r="I27" s="9" t="s">
        <v>37</v>
      </c>
      <c r="J27" s="9"/>
      <c r="K27" s="9">
        <v>107</v>
      </c>
      <c r="L27" s="9">
        <f t="shared" si="3"/>
        <v>-1</v>
      </c>
      <c r="M27" s="9">
        <f t="shared" si="4"/>
        <v>106</v>
      </c>
      <c r="N27" s="9"/>
      <c r="O27" s="9">
        <v>50</v>
      </c>
      <c r="P27" s="9">
        <v>50</v>
      </c>
      <c r="Q27" s="9">
        <f t="shared" si="5"/>
        <v>21.2</v>
      </c>
      <c r="R27" s="4">
        <f t="shared" si="7"/>
        <v>23.800000000000011</v>
      </c>
      <c r="S27" s="4">
        <f t="shared" si="16"/>
        <v>40</v>
      </c>
      <c r="T27" s="4"/>
      <c r="U27" s="4">
        <f t="shared" si="8"/>
        <v>40</v>
      </c>
      <c r="V27" s="4">
        <f t="shared" si="9"/>
        <v>0</v>
      </c>
      <c r="W27" s="4">
        <v>40</v>
      </c>
      <c r="X27" s="4">
        <v>40</v>
      </c>
      <c r="Y27" s="9"/>
      <c r="Z27" s="9">
        <f t="shared" si="10"/>
        <v>14.764150943396228</v>
      </c>
      <c r="AA27" s="9">
        <f t="shared" si="6"/>
        <v>12.877358490566039</v>
      </c>
      <c r="AB27" s="9">
        <v>24.2</v>
      </c>
      <c r="AC27" s="9">
        <v>25.4</v>
      </c>
      <c r="AD27" s="9">
        <v>22</v>
      </c>
      <c r="AE27" s="9">
        <v>34</v>
      </c>
      <c r="AF27" s="9">
        <v>31</v>
      </c>
      <c r="AG27" s="9">
        <v>27.4</v>
      </c>
      <c r="AH27" s="9">
        <v>25.2</v>
      </c>
      <c r="AI27" s="9">
        <v>29.6</v>
      </c>
      <c r="AJ27" s="9"/>
      <c r="AK27" s="9">
        <f t="shared" si="11"/>
        <v>0</v>
      </c>
      <c r="AL27" s="9">
        <f t="shared" si="12"/>
        <v>16</v>
      </c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 x14ac:dyDescent="0.25">
      <c r="A28" s="9" t="s">
        <v>62</v>
      </c>
      <c r="B28" s="9" t="s">
        <v>36</v>
      </c>
      <c r="C28" s="9">
        <v>137</v>
      </c>
      <c r="D28" s="9">
        <v>2</v>
      </c>
      <c r="E28" s="9">
        <v>49</v>
      </c>
      <c r="F28" s="9">
        <v>80</v>
      </c>
      <c r="G28" s="7">
        <v>0.15</v>
      </c>
      <c r="H28" s="9">
        <f>VLOOKUP(A28,[1]Sheet!$A:$H,8,0)</f>
        <v>45</v>
      </c>
      <c r="I28" s="9" t="s">
        <v>37</v>
      </c>
      <c r="J28" s="9"/>
      <c r="K28" s="9">
        <v>54</v>
      </c>
      <c r="L28" s="9">
        <f t="shared" si="3"/>
        <v>-5</v>
      </c>
      <c r="M28" s="9">
        <f t="shared" si="4"/>
        <v>49</v>
      </c>
      <c r="N28" s="9"/>
      <c r="O28" s="9">
        <v>0</v>
      </c>
      <c r="P28" s="9">
        <v>30</v>
      </c>
      <c r="Q28" s="9">
        <f t="shared" si="5"/>
        <v>9.8000000000000007</v>
      </c>
      <c r="R28" s="4">
        <f t="shared" si="7"/>
        <v>27.200000000000017</v>
      </c>
      <c r="S28" s="4">
        <f t="shared" si="16"/>
        <v>40</v>
      </c>
      <c r="T28" s="4"/>
      <c r="U28" s="4">
        <f t="shared" si="8"/>
        <v>40</v>
      </c>
      <c r="V28" s="4">
        <f t="shared" si="9"/>
        <v>40</v>
      </c>
      <c r="W28" s="4"/>
      <c r="X28" s="4">
        <v>40</v>
      </c>
      <c r="Y28" s="9"/>
      <c r="Z28" s="9">
        <f t="shared" si="10"/>
        <v>15.306122448979592</v>
      </c>
      <c r="AA28" s="9">
        <f t="shared" si="6"/>
        <v>11.224489795918366</v>
      </c>
      <c r="AB28" s="9">
        <v>11.6</v>
      </c>
      <c r="AC28" s="9">
        <v>2.8</v>
      </c>
      <c r="AD28" s="9">
        <v>4.8</v>
      </c>
      <c r="AE28" s="9">
        <v>17.399999999999999</v>
      </c>
      <c r="AF28" s="9">
        <v>8.4</v>
      </c>
      <c r="AG28" s="9">
        <v>10.8</v>
      </c>
      <c r="AH28" s="9">
        <v>9.8000000000000007</v>
      </c>
      <c r="AI28" s="9">
        <v>14</v>
      </c>
      <c r="AJ28" s="9"/>
      <c r="AK28" s="9">
        <f t="shared" si="11"/>
        <v>6</v>
      </c>
      <c r="AL28" s="9">
        <f t="shared" si="12"/>
        <v>0</v>
      </c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 x14ac:dyDescent="0.25">
      <c r="A29" s="9" t="s">
        <v>63</v>
      </c>
      <c r="B29" s="9" t="s">
        <v>39</v>
      </c>
      <c r="C29" s="9">
        <v>60.780999999999999</v>
      </c>
      <c r="D29" s="9">
        <v>421.44600000000003</v>
      </c>
      <c r="E29" s="9">
        <v>282.13099999999997</v>
      </c>
      <c r="F29" s="9">
        <v>95.022000000000006</v>
      </c>
      <c r="G29" s="7">
        <v>1</v>
      </c>
      <c r="H29" s="9">
        <f>VLOOKUP(A29,[1]Sheet!$A:$H,8,0)</f>
        <v>45</v>
      </c>
      <c r="I29" s="9" t="s">
        <v>37</v>
      </c>
      <c r="J29" s="9"/>
      <c r="K29" s="9">
        <v>277.8</v>
      </c>
      <c r="L29" s="9">
        <f t="shared" si="3"/>
        <v>4.3309999999999604</v>
      </c>
      <c r="M29" s="9">
        <f t="shared" si="4"/>
        <v>282.13099999999997</v>
      </c>
      <c r="N29" s="9"/>
      <c r="O29" s="9">
        <v>250</v>
      </c>
      <c r="P29" s="9">
        <v>250</v>
      </c>
      <c r="Q29" s="9">
        <f t="shared" si="5"/>
        <v>56.426199999999994</v>
      </c>
      <c r="R29" s="4">
        <f t="shared" si="7"/>
        <v>194.94479999999993</v>
      </c>
      <c r="S29" s="4">
        <f t="shared" si="16"/>
        <v>250</v>
      </c>
      <c r="T29" s="4"/>
      <c r="U29" s="4">
        <f t="shared" si="8"/>
        <v>250</v>
      </c>
      <c r="V29" s="4">
        <f t="shared" si="9"/>
        <v>150</v>
      </c>
      <c r="W29" s="4">
        <v>100</v>
      </c>
      <c r="X29" s="4">
        <v>250</v>
      </c>
      <c r="Y29" s="9"/>
      <c r="Z29" s="9">
        <f t="shared" si="10"/>
        <v>14.975702776369843</v>
      </c>
      <c r="AA29" s="9">
        <f t="shared" si="6"/>
        <v>10.545136833598576</v>
      </c>
      <c r="AB29" s="9">
        <v>71.535799999999995</v>
      </c>
      <c r="AC29" s="9">
        <v>49.277199999999993</v>
      </c>
      <c r="AD29" s="9">
        <v>58.217200000000012</v>
      </c>
      <c r="AE29" s="9">
        <v>51.249600000000008</v>
      </c>
      <c r="AF29" s="9">
        <v>53.863799999999991</v>
      </c>
      <c r="AG29" s="9">
        <v>39.744600000000013</v>
      </c>
      <c r="AH29" s="9">
        <v>52.104599999999991</v>
      </c>
      <c r="AI29" s="9">
        <v>60.456800000000001</v>
      </c>
      <c r="AJ29" s="9"/>
      <c r="AK29" s="9">
        <f t="shared" si="11"/>
        <v>150</v>
      </c>
      <c r="AL29" s="9">
        <f t="shared" si="12"/>
        <v>100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spans="1:54" x14ac:dyDescent="0.25">
      <c r="A30" s="9" t="s">
        <v>64</v>
      </c>
      <c r="B30" s="9" t="s">
        <v>36</v>
      </c>
      <c r="C30" s="9">
        <v>19</v>
      </c>
      <c r="D30" s="9">
        <v>32</v>
      </c>
      <c r="E30" s="9">
        <v>42</v>
      </c>
      <c r="F30" s="9">
        <v>8</v>
      </c>
      <c r="G30" s="7">
        <v>0.4</v>
      </c>
      <c r="H30" s="9">
        <f>VLOOKUP(A30,[1]Sheet!$A:$H,8,0)</f>
        <v>60</v>
      </c>
      <c r="I30" s="9" t="s">
        <v>37</v>
      </c>
      <c r="J30" s="9"/>
      <c r="K30" s="9">
        <v>42</v>
      </c>
      <c r="L30" s="9">
        <f t="shared" si="3"/>
        <v>0</v>
      </c>
      <c r="M30" s="9">
        <f t="shared" si="4"/>
        <v>42</v>
      </c>
      <c r="N30" s="9"/>
      <c r="O30" s="9">
        <v>50</v>
      </c>
      <c r="P30" s="9"/>
      <c r="Q30" s="9">
        <f t="shared" si="5"/>
        <v>8.4</v>
      </c>
      <c r="R30" s="4">
        <f t="shared" si="7"/>
        <v>59.600000000000009</v>
      </c>
      <c r="S30" s="4">
        <f t="shared" si="16"/>
        <v>50</v>
      </c>
      <c r="T30" s="4"/>
      <c r="U30" s="4">
        <f t="shared" si="8"/>
        <v>50</v>
      </c>
      <c r="V30" s="4">
        <f t="shared" si="9"/>
        <v>50</v>
      </c>
      <c r="W30" s="4"/>
      <c r="X30" s="4">
        <v>50</v>
      </c>
      <c r="Y30" s="9"/>
      <c r="Z30" s="9">
        <f t="shared" si="10"/>
        <v>12.857142857142856</v>
      </c>
      <c r="AA30" s="9">
        <f t="shared" si="6"/>
        <v>6.9047619047619042</v>
      </c>
      <c r="AB30" s="9">
        <v>6.6</v>
      </c>
      <c r="AC30" s="9">
        <v>5</v>
      </c>
      <c r="AD30" s="9">
        <v>6.8</v>
      </c>
      <c r="AE30" s="9">
        <v>5.6</v>
      </c>
      <c r="AF30" s="9">
        <v>7.4</v>
      </c>
      <c r="AG30" s="9">
        <v>1.2</v>
      </c>
      <c r="AH30" s="9">
        <v>5.6</v>
      </c>
      <c r="AI30" s="9">
        <v>8.8000000000000007</v>
      </c>
      <c r="AJ30" s="9"/>
      <c r="AK30" s="9">
        <f t="shared" si="11"/>
        <v>20</v>
      </c>
      <c r="AL30" s="9">
        <f t="shared" si="12"/>
        <v>0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spans="1:54" x14ac:dyDescent="0.25">
      <c r="A31" s="9" t="s">
        <v>65</v>
      </c>
      <c r="B31" s="9" t="s">
        <v>36</v>
      </c>
      <c r="C31" s="9"/>
      <c r="D31" s="9">
        <v>32</v>
      </c>
      <c r="E31" s="9">
        <v>4</v>
      </c>
      <c r="F31" s="9">
        <v>27</v>
      </c>
      <c r="G31" s="7">
        <v>0.4</v>
      </c>
      <c r="H31" s="9">
        <f>VLOOKUP(A31,[1]Sheet!$A:$H,8,0)</f>
        <v>60</v>
      </c>
      <c r="I31" s="9" t="s">
        <v>37</v>
      </c>
      <c r="J31" s="9"/>
      <c r="K31" s="9">
        <v>6</v>
      </c>
      <c r="L31" s="9">
        <f t="shared" si="3"/>
        <v>-2</v>
      </c>
      <c r="M31" s="9">
        <f t="shared" si="4"/>
        <v>4</v>
      </c>
      <c r="N31" s="9"/>
      <c r="O31" s="9">
        <v>50</v>
      </c>
      <c r="P31" s="9"/>
      <c r="Q31" s="9">
        <f t="shared" si="5"/>
        <v>0.8</v>
      </c>
      <c r="R31" s="4"/>
      <c r="S31" s="4">
        <f t="shared" si="14"/>
        <v>0</v>
      </c>
      <c r="T31" s="4"/>
      <c r="U31" s="4">
        <f t="shared" si="8"/>
        <v>0</v>
      </c>
      <c r="V31" s="4">
        <f t="shared" si="9"/>
        <v>0</v>
      </c>
      <c r="W31" s="4"/>
      <c r="X31" s="4"/>
      <c r="Y31" s="9"/>
      <c r="Z31" s="9">
        <f t="shared" si="10"/>
        <v>96.25</v>
      </c>
      <c r="AA31" s="9">
        <f t="shared" si="6"/>
        <v>96.25</v>
      </c>
      <c r="AB31" s="9">
        <v>13.6</v>
      </c>
      <c r="AC31" s="9">
        <v>6</v>
      </c>
      <c r="AD31" s="9">
        <v>6.4</v>
      </c>
      <c r="AE31" s="9">
        <v>8.4</v>
      </c>
      <c r="AF31" s="9">
        <v>5</v>
      </c>
      <c r="AG31" s="9">
        <v>8.4</v>
      </c>
      <c r="AH31" s="9">
        <v>6</v>
      </c>
      <c r="AI31" s="9">
        <v>4.4000000000000004</v>
      </c>
      <c r="AJ31" s="9"/>
      <c r="AK31" s="9">
        <f t="shared" si="11"/>
        <v>0</v>
      </c>
      <c r="AL31" s="9">
        <f t="shared" si="12"/>
        <v>0</v>
      </c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  <row r="32" spans="1:54" x14ac:dyDescent="0.25">
      <c r="A32" s="9" t="s">
        <v>66</v>
      </c>
      <c r="B32" s="9" t="s">
        <v>36</v>
      </c>
      <c r="C32" s="9">
        <v>293</v>
      </c>
      <c r="D32" s="9">
        <v>609</v>
      </c>
      <c r="E32" s="9">
        <v>294</v>
      </c>
      <c r="F32" s="9">
        <v>534</v>
      </c>
      <c r="G32" s="7">
        <v>0.4</v>
      </c>
      <c r="H32" s="9">
        <f>VLOOKUP(A32,[1]Sheet!$A:$H,8,0)</f>
        <v>60</v>
      </c>
      <c r="I32" s="9" t="s">
        <v>37</v>
      </c>
      <c r="J32" s="9"/>
      <c r="K32" s="9">
        <v>293</v>
      </c>
      <c r="L32" s="9">
        <f t="shared" si="3"/>
        <v>1</v>
      </c>
      <c r="M32" s="9">
        <f t="shared" si="4"/>
        <v>294</v>
      </c>
      <c r="N32" s="9"/>
      <c r="O32" s="9">
        <v>150</v>
      </c>
      <c r="P32" s="9">
        <v>150</v>
      </c>
      <c r="Q32" s="9">
        <f t="shared" si="5"/>
        <v>58.8</v>
      </c>
      <c r="R32" s="4"/>
      <c r="S32" s="4">
        <f t="shared" si="14"/>
        <v>0</v>
      </c>
      <c r="T32" s="4"/>
      <c r="U32" s="4">
        <f t="shared" si="8"/>
        <v>0</v>
      </c>
      <c r="V32" s="4">
        <f t="shared" si="9"/>
        <v>0</v>
      </c>
      <c r="W32" s="4"/>
      <c r="X32" s="4"/>
      <c r="Y32" s="9"/>
      <c r="Z32" s="9">
        <f t="shared" si="10"/>
        <v>14.183673469387756</v>
      </c>
      <c r="AA32" s="9">
        <f t="shared" si="6"/>
        <v>14.183673469387756</v>
      </c>
      <c r="AB32" s="9">
        <v>78</v>
      </c>
      <c r="AC32" s="9">
        <v>80</v>
      </c>
      <c r="AD32" s="9">
        <v>97.6</v>
      </c>
      <c r="AE32" s="9">
        <v>87</v>
      </c>
      <c r="AF32" s="9">
        <v>70.2</v>
      </c>
      <c r="AG32" s="9">
        <v>94.8</v>
      </c>
      <c r="AH32" s="9">
        <v>76.2</v>
      </c>
      <c r="AI32" s="9">
        <v>78</v>
      </c>
      <c r="AJ32" s="9"/>
      <c r="AK32" s="9">
        <f t="shared" si="11"/>
        <v>0</v>
      </c>
      <c r="AL32" s="9">
        <f t="shared" si="12"/>
        <v>0</v>
      </c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spans="1:54" x14ac:dyDescent="0.25">
      <c r="A33" s="9" t="s">
        <v>67</v>
      </c>
      <c r="B33" s="9" t="s">
        <v>36</v>
      </c>
      <c r="C33" s="9">
        <v>113</v>
      </c>
      <c r="D33" s="9">
        <v>296</v>
      </c>
      <c r="E33" s="9">
        <v>255</v>
      </c>
      <c r="F33" s="9">
        <v>76</v>
      </c>
      <c r="G33" s="7">
        <v>0.4</v>
      </c>
      <c r="H33" s="9">
        <f>VLOOKUP(A33,[1]Sheet!$A:$H,8,0)</f>
        <v>60</v>
      </c>
      <c r="I33" s="9" t="s">
        <v>37</v>
      </c>
      <c r="J33" s="9"/>
      <c r="K33" s="9">
        <v>252</v>
      </c>
      <c r="L33" s="9">
        <f t="shared" si="3"/>
        <v>3</v>
      </c>
      <c r="M33" s="9">
        <f t="shared" si="4"/>
        <v>215</v>
      </c>
      <c r="N33" s="9">
        <v>40</v>
      </c>
      <c r="O33" s="9">
        <v>160</v>
      </c>
      <c r="P33" s="9">
        <v>250</v>
      </c>
      <c r="Q33" s="9">
        <f t="shared" si="5"/>
        <v>43</v>
      </c>
      <c r="R33" s="4">
        <f t="shared" si="7"/>
        <v>116</v>
      </c>
      <c r="S33" s="4">
        <f>X33</f>
        <v>120</v>
      </c>
      <c r="T33" s="4"/>
      <c r="U33" s="4">
        <f t="shared" si="8"/>
        <v>120</v>
      </c>
      <c r="V33" s="4">
        <f t="shared" si="9"/>
        <v>40</v>
      </c>
      <c r="W33" s="4">
        <v>80</v>
      </c>
      <c r="X33" s="4">
        <v>120</v>
      </c>
      <c r="Y33" s="9"/>
      <c r="Z33" s="9">
        <f t="shared" si="10"/>
        <v>14.093023255813954</v>
      </c>
      <c r="AA33" s="9">
        <f t="shared" si="6"/>
        <v>11.302325581395349</v>
      </c>
      <c r="AB33" s="9">
        <v>49.8</v>
      </c>
      <c r="AC33" s="9">
        <v>24.8</v>
      </c>
      <c r="AD33" s="9">
        <v>62</v>
      </c>
      <c r="AE33" s="9">
        <v>35</v>
      </c>
      <c r="AF33" s="9">
        <v>33.799999999999997</v>
      </c>
      <c r="AG33" s="9">
        <v>41</v>
      </c>
      <c r="AH33" s="9">
        <v>22</v>
      </c>
      <c r="AI33" s="9">
        <v>38.799999999999997</v>
      </c>
      <c r="AJ33" s="9"/>
      <c r="AK33" s="9">
        <f t="shared" si="11"/>
        <v>16</v>
      </c>
      <c r="AL33" s="9">
        <f t="shared" si="12"/>
        <v>32</v>
      </c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spans="1:54" x14ac:dyDescent="0.25">
      <c r="A34" s="9" t="s">
        <v>68</v>
      </c>
      <c r="B34" s="9" t="s">
        <v>36</v>
      </c>
      <c r="C34" s="9">
        <v>276</v>
      </c>
      <c r="D34" s="9">
        <v>809</v>
      </c>
      <c r="E34" s="9">
        <v>276</v>
      </c>
      <c r="F34" s="9">
        <v>722</v>
      </c>
      <c r="G34" s="7">
        <v>0.4</v>
      </c>
      <c r="H34" s="9">
        <f>VLOOKUP(A34,[1]Sheet!$A:$H,8,0)</f>
        <v>60</v>
      </c>
      <c r="I34" s="9" t="s">
        <v>37</v>
      </c>
      <c r="J34" s="9"/>
      <c r="K34" s="9">
        <v>278</v>
      </c>
      <c r="L34" s="9">
        <f t="shared" si="3"/>
        <v>-2</v>
      </c>
      <c r="M34" s="9">
        <f t="shared" si="4"/>
        <v>276</v>
      </c>
      <c r="N34" s="9"/>
      <c r="O34" s="9">
        <v>50</v>
      </c>
      <c r="P34" s="9">
        <v>50</v>
      </c>
      <c r="Q34" s="9">
        <f t="shared" si="5"/>
        <v>55.2</v>
      </c>
      <c r="R34" s="4"/>
      <c r="S34" s="4">
        <f t="shared" si="14"/>
        <v>0</v>
      </c>
      <c r="T34" s="4"/>
      <c r="U34" s="4">
        <f t="shared" si="8"/>
        <v>0</v>
      </c>
      <c r="V34" s="4">
        <f t="shared" si="9"/>
        <v>0</v>
      </c>
      <c r="W34" s="4"/>
      <c r="X34" s="4"/>
      <c r="Y34" s="9"/>
      <c r="Z34" s="9">
        <f t="shared" si="10"/>
        <v>14.891304347826086</v>
      </c>
      <c r="AA34" s="9">
        <f t="shared" si="6"/>
        <v>14.891304347826086</v>
      </c>
      <c r="AB34" s="9">
        <v>79.2</v>
      </c>
      <c r="AC34" s="9">
        <v>74</v>
      </c>
      <c r="AD34" s="9">
        <v>99.6</v>
      </c>
      <c r="AE34" s="9">
        <v>81.8</v>
      </c>
      <c r="AF34" s="9">
        <v>67.400000000000006</v>
      </c>
      <c r="AG34" s="9">
        <v>78.599999999999994</v>
      </c>
      <c r="AH34" s="9">
        <v>66.8</v>
      </c>
      <c r="AI34" s="9">
        <v>78.2</v>
      </c>
      <c r="AJ34" s="9"/>
      <c r="AK34" s="9">
        <f t="shared" si="11"/>
        <v>0</v>
      </c>
      <c r="AL34" s="9">
        <f t="shared" si="12"/>
        <v>0</v>
      </c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</row>
    <row r="35" spans="1:54" x14ac:dyDescent="0.25">
      <c r="A35" s="9" t="s">
        <v>69</v>
      </c>
      <c r="B35" s="9" t="s">
        <v>36</v>
      </c>
      <c r="C35" s="9">
        <v>8</v>
      </c>
      <c r="D35" s="9">
        <v>150</v>
      </c>
      <c r="E35" s="9"/>
      <c r="F35" s="9">
        <v>142</v>
      </c>
      <c r="G35" s="7">
        <v>0.1</v>
      </c>
      <c r="H35" s="9">
        <f>VLOOKUP(A35,[1]Sheet!$A:$H,8,0)</f>
        <v>45</v>
      </c>
      <c r="I35" s="9" t="s">
        <v>37</v>
      </c>
      <c r="J35" s="9"/>
      <c r="K35" s="9">
        <v>5</v>
      </c>
      <c r="L35" s="9">
        <f t="shared" si="3"/>
        <v>-5</v>
      </c>
      <c r="M35" s="9">
        <f t="shared" si="4"/>
        <v>0</v>
      </c>
      <c r="N35" s="9"/>
      <c r="O35" s="9">
        <v>0</v>
      </c>
      <c r="P35" s="9"/>
      <c r="Q35" s="9">
        <f t="shared" si="5"/>
        <v>0</v>
      </c>
      <c r="R35" s="4"/>
      <c r="S35" s="4">
        <f t="shared" si="14"/>
        <v>0</v>
      </c>
      <c r="T35" s="4"/>
      <c r="U35" s="4">
        <f t="shared" si="8"/>
        <v>0</v>
      </c>
      <c r="V35" s="4">
        <f t="shared" si="9"/>
        <v>0</v>
      </c>
      <c r="W35" s="4"/>
      <c r="X35" s="4"/>
      <c r="Y35" s="9"/>
      <c r="Z35" s="9" t="e">
        <f t="shared" si="10"/>
        <v>#DIV/0!</v>
      </c>
      <c r="AA35" s="9" t="e">
        <f t="shared" si="6"/>
        <v>#DIV/0!</v>
      </c>
      <c r="AB35" s="9">
        <v>6</v>
      </c>
      <c r="AC35" s="9">
        <v>14.6</v>
      </c>
      <c r="AD35" s="9">
        <v>0.6</v>
      </c>
      <c r="AE35" s="9">
        <v>-1.6</v>
      </c>
      <c r="AF35" s="9">
        <v>14.8</v>
      </c>
      <c r="AG35" s="9">
        <v>26</v>
      </c>
      <c r="AH35" s="9">
        <v>13.8</v>
      </c>
      <c r="AI35" s="9">
        <v>15.8</v>
      </c>
      <c r="AJ35" s="9"/>
      <c r="AK35" s="9">
        <f t="shared" si="11"/>
        <v>0</v>
      </c>
      <c r="AL35" s="9">
        <f t="shared" si="12"/>
        <v>0</v>
      </c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</row>
    <row r="36" spans="1:54" x14ac:dyDescent="0.25">
      <c r="A36" s="9" t="s">
        <v>70</v>
      </c>
      <c r="B36" s="9" t="s">
        <v>36</v>
      </c>
      <c r="C36" s="9"/>
      <c r="D36" s="9">
        <v>364</v>
      </c>
      <c r="E36" s="9">
        <v>58</v>
      </c>
      <c r="F36" s="9">
        <v>291</v>
      </c>
      <c r="G36" s="7">
        <v>0.1</v>
      </c>
      <c r="H36" s="9">
        <f>VLOOKUP(A36,[1]Sheet!$A:$H,8,0)</f>
        <v>60</v>
      </c>
      <c r="I36" s="9" t="s">
        <v>37</v>
      </c>
      <c r="J36" s="9"/>
      <c r="K36" s="9">
        <v>60</v>
      </c>
      <c r="L36" s="9">
        <f t="shared" si="3"/>
        <v>-2</v>
      </c>
      <c r="M36" s="9">
        <f t="shared" si="4"/>
        <v>58</v>
      </c>
      <c r="N36" s="9"/>
      <c r="O36" s="9">
        <v>0</v>
      </c>
      <c r="P36" s="9">
        <v>50</v>
      </c>
      <c r="Q36" s="9">
        <f t="shared" si="5"/>
        <v>11.6</v>
      </c>
      <c r="R36" s="4"/>
      <c r="S36" s="4">
        <f t="shared" si="14"/>
        <v>0</v>
      </c>
      <c r="T36" s="4"/>
      <c r="U36" s="4">
        <f t="shared" si="8"/>
        <v>0</v>
      </c>
      <c r="V36" s="4">
        <f t="shared" si="9"/>
        <v>0</v>
      </c>
      <c r="W36" s="4"/>
      <c r="X36" s="4"/>
      <c r="Y36" s="9"/>
      <c r="Z36" s="9">
        <f t="shared" si="10"/>
        <v>29.396551724137932</v>
      </c>
      <c r="AA36" s="9">
        <f t="shared" si="6"/>
        <v>29.396551724137932</v>
      </c>
      <c r="AB36" s="9">
        <v>31.8</v>
      </c>
      <c r="AC36" s="9">
        <v>37.200000000000003</v>
      </c>
      <c r="AD36" s="9">
        <v>19.399999999999999</v>
      </c>
      <c r="AE36" s="9">
        <v>30.2</v>
      </c>
      <c r="AF36" s="9">
        <v>39.4</v>
      </c>
      <c r="AG36" s="9">
        <v>8.4</v>
      </c>
      <c r="AH36" s="9">
        <v>27.4</v>
      </c>
      <c r="AI36" s="9">
        <v>49.4</v>
      </c>
      <c r="AJ36" s="9"/>
      <c r="AK36" s="9">
        <f t="shared" si="11"/>
        <v>0</v>
      </c>
      <c r="AL36" s="9">
        <f t="shared" si="12"/>
        <v>0</v>
      </c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spans="1:54" x14ac:dyDescent="0.25">
      <c r="A37" s="9" t="s">
        <v>71</v>
      </c>
      <c r="B37" s="9" t="s">
        <v>36</v>
      </c>
      <c r="C37" s="9">
        <v>3</v>
      </c>
      <c r="D37" s="9">
        <v>440</v>
      </c>
      <c r="E37" s="9">
        <v>43</v>
      </c>
      <c r="F37" s="9">
        <v>382</v>
      </c>
      <c r="G37" s="7">
        <v>0.1</v>
      </c>
      <c r="H37" s="9">
        <f>VLOOKUP(A37,[1]Sheet!$A:$H,8,0)</f>
        <v>60</v>
      </c>
      <c r="I37" s="9" t="s">
        <v>37</v>
      </c>
      <c r="J37" s="9"/>
      <c r="K37" s="9">
        <v>49</v>
      </c>
      <c r="L37" s="9">
        <f t="shared" si="3"/>
        <v>-6</v>
      </c>
      <c r="M37" s="9">
        <f t="shared" si="4"/>
        <v>43</v>
      </c>
      <c r="N37" s="9"/>
      <c r="O37" s="9">
        <v>0</v>
      </c>
      <c r="P37" s="9">
        <v>50</v>
      </c>
      <c r="Q37" s="9">
        <f t="shared" si="5"/>
        <v>8.6</v>
      </c>
      <c r="R37" s="4"/>
      <c r="S37" s="4">
        <f t="shared" si="14"/>
        <v>0</v>
      </c>
      <c r="T37" s="4"/>
      <c r="U37" s="4">
        <f t="shared" si="8"/>
        <v>0</v>
      </c>
      <c r="V37" s="4">
        <f t="shared" si="9"/>
        <v>0</v>
      </c>
      <c r="W37" s="4"/>
      <c r="X37" s="4"/>
      <c r="Y37" s="9"/>
      <c r="Z37" s="9">
        <f t="shared" si="10"/>
        <v>50.232558139534888</v>
      </c>
      <c r="AA37" s="9">
        <f t="shared" si="6"/>
        <v>50.232558139534888</v>
      </c>
      <c r="AB37" s="9">
        <v>33.200000000000003</v>
      </c>
      <c r="AC37" s="9">
        <v>39.200000000000003</v>
      </c>
      <c r="AD37" s="9">
        <v>15.2</v>
      </c>
      <c r="AE37" s="9">
        <v>20.8</v>
      </c>
      <c r="AF37" s="9">
        <v>38.6</v>
      </c>
      <c r="AG37" s="9">
        <v>13.6</v>
      </c>
      <c r="AH37" s="9">
        <v>25.8</v>
      </c>
      <c r="AI37" s="9">
        <v>40.6</v>
      </c>
      <c r="AJ37" s="9"/>
      <c r="AK37" s="9">
        <f t="shared" si="11"/>
        <v>0</v>
      </c>
      <c r="AL37" s="9">
        <f t="shared" si="12"/>
        <v>0</v>
      </c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spans="1:54" x14ac:dyDescent="0.25">
      <c r="A38" s="9" t="s">
        <v>72</v>
      </c>
      <c r="B38" s="9" t="s">
        <v>36</v>
      </c>
      <c r="C38" s="9">
        <v>87</v>
      </c>
      <c r="D38" s="9">
        <v>80</v>
      </c>
      <c r="E38" s="9">
        <v>53</v>
      </c>
      <c r="F38" s="9">
        <v>102</v>
      </c>
      <c r="G38" s="7">
        <v>0.1</v>
      </c>
      <c r="H38" s="9">
        <f>VLOOKUP(A38,[1]Sheet!$A:$H,8,0)</f>
        <v>45</v>
      </c>
      <c r="I38" s="9" t="s">
        <v>37</v>
      </c>
      <c r="J38" s="9"/>
      <c r="K38" s="9">
        <v>60</v>
      </c>
      <c r="L38" s="9">
        <f t="shared" ref="L38:L69" si="17">E38-K38</f>
        <v>-7</v>
      </c>
      <c r="M38" s="9">
        <f t="shared" ref="M38:M69" si="18">E38-N38</f>
        <v>53</v>
      </c>
      <c r="N38" s="9"/>
      <c r="O38" s="9">
        <v>0</v>
      </c>
      <c r="P38" s="9">
        <v>50</v>
      </c>
      <c r="Q38" s="9">
        <f t="shared" ref="Q38:Q69" si="19">M38/5</f>
        <v>10.6</v>
      </c>
      <c r="R38" s="4"/>
      <c r="S38" s="4">
        <f>X38</f>
        <v>50</v>
      </c>
      <c r="T38" s="4"/>
      <c r="U38" s="4">
        <f t="shared" si="8"/>
        <v>50</v>
      </c>
      <c r="V38" s="4">
        <f t="shared" si="9"/>
        <v>0</v>
      </c>
      <c r="W38" s="4">
        <v>50</v>
      </c>
      <c r="X38" s="4">
        <v>50</v>
      </c>
      <c r="Y38" s="9"/>
      <c r="Z38" s="9">
        <f t="shared" si="10"/>
        <v>19.056603773584907</v>
      </c>
      <c r="AA38" s="9">
        <f t="shared" ref="AA38:AA69" si="20">(F38+O38+P38)/Q38</f>
        <v>14.339622641509434</v>
      </c>
      <c r="AB38" s="9">
        <v>11.6</v>
      </c>
      <c r="AC38" s="9">
        <v>12.6</v>
      </c>
      <c r="AD38" s="9">
        <v>16.600000000000001</v>
      </c>
      <c r="AE38" s="9">
        <v>14.8</v>
      </c>
      <c r="AF38" s="9">
        <v>8</v>
      </c>
      <c r="AG38" s="9">
        <v>23.4</v>
      </c>
      <c r="AH38" s="9">
        <v>12.2</v>
      </c>
      <c r="AI38" s="9">
        <v>22.8</v>
      </c>
      <c r="AJ38" s="9"/>
      <c r="AK38" s="9">
        <f t="shared" si="11"/>
        <v>0</v>
      </c>
      <c r="AL38" s="9">
        <f t="shared" si="12"/>
        <v>5</v>
      </c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spans="1:54" x14ac:dyDescent="0.25">
      <c r="A39" s="9" t="s">
        <v>73</v>
      </c>
      <c r="B39" s="9" t="s">
        <v>36</v>
      </c>
      <c r="C39" s="9">
        <v>56</v>
      </c>
      <c r="D39" s="9">
        <v>350</v>
      </c>
      <c r="E39" s="9">
        <v>184</v>
      </c>
      <c r="F39" s="9">
        <v>171</v>
      </c>
      <c r="G39" s="7">
        <v>0.4</v>
      </c>
      <c r="H39" s="9">
        <f>VLOOKUP(A39,[1]Sheet!$A:$H,8,0)</f>
        <v>45</v>
      </c>
      <c r="I39" s="9" t="s">
        <v>37</v>
      </c>
      <c r="J39" s="9"/>
      <c r="K39" s="9">
        <v>186</v>
      </c>
      <c r="L39" s="9">
        <f t="shared" si="17"/>
        <v>-2</v>
      </c>
      <c r="M39" s="9">
        <f t="shared" si="18"/>
        <v>184</v>
      </c>
      <c r="N39" s="9"/>
      <c r="O39" s="9">
        <v>156</v>
      </c>
      <c r="P39" s="9">
        <v>200</v>
      </c>
      <c r="Q39" s="9">
        <f t="shared" si="19"/>
        <v>36.799999999999997</v>
      </c>
      <c r="R39" s="4"/>
      <c r="S39" s="4">
        <f t="shared" si="14"/>
        <v>0</v>
      </c>
      <c r="T39" s="4"/>
      <c r="U39" s="4">
        <f t="shared" si="8"/>
        <v>0</v>
      </c>
      <c r="V39" s="4">
        <f t="shared" si="9"/>
        <v>0</v>
      </c>
      <c r="W39" s="4"/>
      <c r="X39" s="4"/>
      <c r="Y39" s="9"/>
      <c r="Z39" s="9">
        <f t="shared" si="10"/>
        <v>14.320652173913045</v>
      </c>
      <c r="AA39" s="9">
        <f t="shared" si="20"/>
        <v>14.320652173913045</v>
      </c>
      <c r="AB39" s="9">
        <v>48</v>
      </c>
      <c r="AC39" s="9">
        <v>43.4</v>
      </c>
      <c r="AD39" s="9">
        <v>62.8</v>
      </c>
      <c r="AE39" s="9">
        <v>45</v>
      </c>
      <c r="AF39" s="9">
        <v>37.799999999999997</v>
      </c>
      <c r="AG39" s="9">
        <v>54.829199999999993</v>
      </c>
      <c r="AH39" s="9">
        <v>51.8</v>
      </c>
      <c r="AI39" s="9">
        <v>39.6</v>
      </c>
      <c r="AJ39" s="9"/>
      <c r="AK39" s="9">
        <f t="shared" si="11"/>
        <v>0</v>
      </c>
      <c r="AL39" s="9">
        <f t="shared" si="12"/>
        <v>0</v>
      </c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spans="1:54" x14ac:dyDescent="0.25">
      <c r="A40" s="9" t="s">
        <v>74</v>
      </c>
      <c r="B40" s="9" t="s">
        <v>39</v>
      </c>
      <c r="C40" s="9">
        <v>58.436</v>
      </c>
      <c r="D40" s="9">
        <v>188.51499999999999</v>
      </c>
      <c r="E40" s="9">
        <v>147.05600000000001</v>
      </c>
      <c r="F40" s="9">
        <v>86.03</v>
      </c>
      <c r="G40" s="7">
        <v>1</v>
      </c>
      <c r="H40" s="9">
        <f>VLOOKUP(A40,[1]Sheet!$A:$H,8,0)</f>
        <v>60</v>
      </c>
      <c r="I40" s="9" t="s">
        <v>37</v>
      </c>
      <c r="J40" s="9"/>
      <c r="K40" s="9">
        <v>138.6</v>
      </c>
      <c r="L40" s="9">
        <f t="shared" si="17"/>
        <v>8.4560000000000173</v>
      </c>
      <c r="M40" s="9">
        <f t="shared" si="18"/>
        <v>147.05600000000001</v>
      </c>
      <c r="N40" s="9"/>
      <c r="O40" s="9">
        <v>50</v>
      </c>
      <c r="P40" s="9">
        <v>50</v>
      </c>
      <c r="Q40" s="9">
        <f t="shared" si="19"/>
        <v>29.411200000000001</v>
      </c>
      <c r="R40" s="4">
        <f t="shared" si="7"/>
        <v>225.7268</v>
      </c>
      <c r="S40" s="4">
        <f t="shared" ref="S40:S42" si="21">X40</f>
        <v>200</v>
      </c>
      <c r="T40" s="4"/>
      <c r="U40" s="4">
        <f t="shared" si="8"/>
        <v>200</v>
      </c>
      <c r="V40" s="4">
        <f t="shared" si="9"/>
        <v>120</v>
      </c>
      <c r="W40" s="4">
        <v>80</v>
      </c>
      <c r="X40" s="4">
        <v>200</v>
      </c>
      <c r="Y40" s="9"/>
      <c r="Z40" s="9">
        <f t="shared" si="10"/>
        <v>13.125272005222499</v>
      </c>
      <c r="AA40" s="9">
        <f t="shared" si="20"/>
        <v>6.3251414427157</v>
      </c>
      <c r="AB40" s="9">
        <v>22.7136</v>
      </c>
      <c r="AC40" s="9">
        <v>26.207799999999999</v>
      </c>
      <c r="AD40" s="9">
        <v>24.388000000000002</v>
      </c>
      <c r="AE40" s="9">
        <v>26.569199999999999</v>
      </c>
      <c r="AF40" s="9">
        <v>33.116999999999997</v>
      </c>
      <c r="AG40" s="9">
        <v>21.5748</v>
      </c>
      <c r="AH40" s="9">
        <v>27.645800000000001</v>
      </c>
      <c r="AI40" s="9">
        <v>30.088999999999999</v>
      </c>
      <c r="AJ40" s="9"/>
      <c r="AK40" s="9">
        <f t="shared" si="11"/>
        <v>120</v>
      </c>
      <c r="AL40" s="9">
        <f t="shared" si="12"/>
        <v>80</v>
      </c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spans="1:54" x14ac:dyDescent="0.25">
      <c r="A41" s="9" t="s">
        <v>75</v>
      </c>
      <c r="B41" s="9" t="s">
        <v>39</v>
      </c>
      <c r="C41" s="9">
        <v>136.095</v>
      </c>
      <c r="D41" s="9">
        <v>164.363</v>
      </c>
      <c r="E41" s="9">
        <v>109.369</v>
      </c>
      <c r="F41" s="9">
        <v>166.119</v>
      </c>
      <c r="G41" s="7">
        <v>1</v>
      </c>
      <c r="H41" s="9">
        <f>VLOOKUP(A41,[1]Sheet!$A:$H,8,0)</f>
        <v>45</v>
      </c>
      <c r="I41" s="9" t="s">
        <v>37</v>
      </c>
      <c r="J41" s="9"/>
      <c r="K41" s="9">
        <v>115.9</v>
      </c>
      <c r="L41" s="9">
        <f t="shared" si="17"/>
        <v>-6.5310000000000059</v>
      </c>
      <c r="M41" s="9">
        <f t="shared" si="18"/>
        <v>109.369</v>
      </c>
      <c r="N41" s="9"/>
      <c r="O41" s="9">
        <v>0</v>
      </c>
      <c r="P41" s="9">
        <v>30</v>
      </c>
      <c r="Q41" s="9">
        <f t="shared" si="19"/>
        <v>21.873799999999999</v>
      </c>
      <c r="R41" s="4">
        <f t="shared" si="7"/>
        <v>110.11420000000001</v>
      </c>
      <c r="S41" s="4">
        <f t="shared" si="21"/>
        <v>120</v>
      </c>
      <c r="T41" s="4"/>
      <c r="U41" s="4">
        <f t="shared" si="8"/>
        <v>120</v>
      </c>
      <c r="V41" s="4">
        <f t="shared" si="9"/>
        <v>60</v>
      </c>
      <c r="W41" s="4">
        <v>60</v>
      </c>
      <c r="X41" s="4">
        <v>120</v>
      </c>
      <c r="Y41" s="9"/>
      <c r="Z41" s="9">
        <f t="shared" si="10"/>
        <v>14.451947078239723</v>
      </c>
      <c r="AA41" s="9">
        <f t="shared" si="20"/>
        <v>8.965931845404091</v>
      </c>
      <c r="AB41" s="9">
        <v>20.895199999999999</v>
      </c>
      <c r="AC41" s="9">
        <v>26.303599999999999</v>
      </c>
      <c r="AD41" s="9">
        <v>29.85</v>
      </c>
      <c r="AE41" s="9">
        <v>32.853400000000001</v>
      </c>
      <c r="AF41" s="9">
        <v>36.1952</v>
      </c>
      <c r="AG41" s="9">
        <v>33.2834</v>
      </c>
      <c r="AH41" s="9">
        <v>30.3398</v>
      </c>
      <c r="AI41" s="9">
        <v>34.756599999999999</v>
      </c>
      <c r="AJ41" s="9"/>
      <c r="AK41" s="9">
        <f t="shared" si="11"/>
        <v>60</v>
      </c>
      <c r="AL41" s="9">
        <f t="shared" si="12"/>
        <v>60</v>
      </c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spans="1:54" x14ac:dyDescent="0.25">
      <c r="A42" s="9" t="s">
        <v>76</v>
      </c>
      <c r="B42" s="9" t="s">
        <v>39</v>
      </c>
      <c r="C42" s="9">
        <v>170.72200000000001</v>
      </c>
      <c r="D42" s="9">
        <v>141.994</v>
      </c>
      <c r="E42" s="9">
        <v>116.336</v>
      </c>
      <c r="F42" s="9">
        <v>169.45099999999999</v>
      </c>
      <c r="G42" s="7">
        <v>1</v>
      </c>
      <c r="H42" s="9">
        <f>VLOOKUP(A42,[1]Sheet!$A:$H,8,0)</f>
        <v>45</v>
      </c>
      <c r="I42" s="9" t="s">
        <v>37</v>
      </c>
      <c r="J42" s="9"/>
      <c r="K42" s="9">
        <v>121</v>
      </c>
      <c r="L42" s="9">
        <f t="shared" si="17"/>
        <v>-4.6640000000000015</v>
      </c>
      <c r="M42" s="9">
        <f t="shared" si="18"/>
        <v>116.336</v>
      </c>
      <c r="N42" s="9"/>
      <c r="O42" s="9">
        <v>40</v>
      </c>
      <c r="P42" s="9">
        <v>40</v>
      </c>
      <c r="Q42" s="9">
        <f t="shared" si="19"/>
        <v>23.267199999999999</v>
      </c>
      <c r="R42" s="4">
        <f t="shared" si="7"/>
        <v>76.289799999999985</v>
      </c>
      <c r="S42" s="4">
        <f t="shared" si="21"/>
        <v>100</v>
      </c>
      <c r="T42" s="4"/>
      <c r="U42" s="4">
        <f t="shared" si="8"/>
        <v>100</v>
      </c>
      <c r="V42" s="4">
        <f t="shared" si="9"/>
        <v>30</v>
      </c>
      <c r="W42" s="4">
        <v>70</v>
      </c>
      <c r="X42" s="4">
        <v>100</v>
      </c>
      <c r="Y42" s="9"/>
      <c r="Z42" s="9">
        <f t="shared" si="10"/>
        <v>15.019039678173568</v>
      </c>
      <c r="AA42" s="9">
        <f t="shared" si="20"/>
        <v>10.721143927932884</v>
      </c>
      <c r="AB42" s="9">
        <v>26.168199999999999</v>
      </c>
      <c r="AC42" s="9">
        <v>27.88</v>
      </c>
      <c r="AD42" s="9">
        <v>31.876200000000001</v>
      </c>
      <c r="AE42" s="9">
        <v>36.763599999999997</v>
      </c>
      <c r="AF42" s="9">
        <v>31.847999999999999</v>
      </c>
      <c r="AG42" s="9">
        <v>30.515000000000001</v>
      </c>
      <c r="AH42" s="9">
        <v>29.633199999999999</v>
      </c>
      <c r="AI42" s="9">
        <v>38.248199999999997</v>
      </c>
      <c r="AJ42" s="9"/>
      <c r="AK42" s="9">
        <f t="shared" si="11"/>
        <v>30</v>
      </c>
      <c r="AL42" s="9">
        <f t="shared" si="12"/>
        <v>70</v>
      </c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spans="1:54" x14ac:dyDescent="0.25">
      <c r="A43" s="9" t="s">
        <v>77</v>
      </c>
      <c r="B43" s="9" t="s">
        <v>36</v>
      </c>
      <c r="C43" s="9">
        <v>3</v>
      </c>
      <c r="D43" s="9">
        <v>98</v>
      </c>
      <c r="E43" s="9">
        <v>22</v>
      </c>
      <c r="F43" s="9">
        <v>75</v>
      </c>
      <c r="G43" s="7">
        <v>0.35</v>
      </c>
      <c r="H43" s="9">
        <f>VLOOKUP(A43,[1]Sheet!$A:$H,8,0)</f>
        <v>45</v>
      </c>
      <c r="I43" s="9" t="s">
        <v>37</v>
      </c>
      <c r="J43" s="9"/>
      <c r="K43" s="9">
        <v>26</v>
      </c>
      <c r="L43" s="9">
        <f t="shared" si="17"/>
        <v>-4</v>
      </c>
      <c r="M43" s="9">
        <f t="shared" si="18"/>
        <v>22</v>
      </c>
      <c r="N43" s="9"/>
      <c r="O43" s="9">
        <v>0</v>
      </c>
      <c r="P43" s="9">
        <v>30</v>
      </c>
      <c r="Q43" s="9">
        <f t="shared" si="19"/>
        <v>4.4000000000000004</v>
      </c>
      <c r="R43" s="4"/>
      <c r="S43" s="4">
        <f t="shared" si="14"/>
        <v>0</v>
      </c>
      <c r="T43" s="4"/>
      <c r="U43" s="4">
        <f t="shared" si="8"/>
        <v>0</v>
      </c>
      <c r="V43" s="4">
        <f t="shared" si="9"/>
        <v>0</v>
      </c>
      <c r="W43" s="4"/>
      <c r="X43" s="4"/>
      <c r="Y43" s="9"/>
      <c r="Z43" s="9">
        <f t="shared" si="10"/>
        <v>23.863636363636363</v>
      </c>
      <c r="AA43" s="9">
        <f t="shared" si="20"/>
        <v>23.863636363636363</v>
      </c>
      <c r="AB43" s="9">
        <v>8.8000000000000007</v>
      </c>
      <c r="AC43" s="9">
        <v>16</v>
      </c>
      <c r="AD43" s="9">
        <v>5</v>
      </c>
      <c r="AE43" s="9">
        <v>12.2</v>
      </c>
      <c r="AF43" s="9">
        <v>8.4</v>
      </c>
      <c r="AG43" s="9">
        <v>10.6</v>
      </c>
      <c r="AH43" s="9">
        <v>12.8</v>
      </c>
      <c r="AI43" s="9">
        <v>12.6</v>
      </c>
      <c r="AJ43" s="9" t="s">
        <v>78</v>
      </c>
      <c r="AK43" s="9">
        <f t="shared" si="11"/>
        <v>0</v>
      </c>
      <c r="AL43" s="9">
        <f t="shared" si="12"/>
        <v>0</v>
      </c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spans="1:54" x14ac:dyDescent="0.25">
      <c r="A44" s="9" t="s">
        <v>79</v>
      </c>
      <c r="B44" s="9" t="s">
        <v>39</v>
      </c>
      <c r="C44" s="9">
        <v>81.831999999999994</v>
      </c>
      <c r="D44" s="9">
        <v>111.837</v>
      </c>
      <c r="E44" s="9">
        <v>90.968000000000004</v>
      </c>
      <c r="F44" s="9">
        <v>83.801000000000002</v>
      </c>
      <c r="G44" s="7">
        <v>1</v>
      </c>
      <c r="H44" s="9">
        <f>VLOOKUP(A44,[1]Sheet!$A:$H,8,0)</f>
        <v>45</v>
      </c>
      <c r="I44" s="9" t="s">
        <v>37</v>
      </c>
      <c r="J44" s="9"/>
      <c r="K44" s="9">
        <v>94.3</v>
      </c>
      <c r="L44" s="9">
        <f t="shared" si="17"/>
        <v>-3.3319999999999936</v>
      </c>
      <c r="M44" s="9">
        <f t="shared" si="18"/>
        <v>90.968000000000004</v>
      </c>
      <c r="N44" s="9"/>
      <c r="O44" s="9">
        <v>40</v>
      </c>
      <c r="P44" s="9">
        <v>40</v>
      </c>
      <c r="Q44" s="9">
        <f t="shared" si="19"/>
        <v>18.1936</v>
      </c>
      <c r="R44" s="4">
        <f t="shared" si="7"/>
        <v>90.909399999999991</v>
      </c>
      <c r="S44" s="4">
        <f>X44</f>
        <v>100</v>
      </c>
      <c r="T44" s="4"/>
      <c r="U44" s="4">
        <f t="shared" si="8"/>
        <v>100</v>
      </c>
      <c r="V44" s="4">
        <f t="shared" si="9"/>
        <v>50</v>
      </c>
      <c r="W44" s="4">
        <v>50</v>
      </c>
      <c r="X44" s="4">
        <v>100</v>
      </c>
      <c r="Y44" s="9"/>
      <c r="Z44" s="9">
        <f t="shared" si="10"/>
        <v>14.499659220824904</v>
      </c>
      <c r="AA44" s="9">
        <f t="shared" si="20"/>
        <v>9.003220912848473</v>
      </c>
      <c r="AB44" s="9">
        <v>17.287600000000001</v>
      </c>
      <c r="AC44" s="9">
        <v>17.792999999999999</v>
      </c>
      <c r="AD44" s="9">
        <v>13.156599999999999</v>
      </c>
      <c r="AE44" s="9">
        <v>23.368600000000001</v>
      </c>
      <c r="AF44" s="9">
        <v>17.3978</v>
      </c>
      <c r="AG44" s="9">
        <v>23.3308</v>
      </c>
      <c r="AH44" s="9">
        <v>25.700800000000001</v>
      </c>
      <c r="AI44" s="9">
        <v>28.7956</v>
      </c>
      <c r="AJ44" s="9"/>
      <c r="AK44" s="9">
        <f t="shared" si="11"/>
        <v>50</v>
      </c>
      <c r="AL44" s="9">
        <f t="shared" si="12"/>
        <v>50</v>
      </c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spans="1:54" x14ac:dyDescent="0.25">
      <c r="A45" s="11" t="s">
        <v>80</v>
      </c>
      <c r="B45" s="11" t="s">
        <v>36</v>
      </c>
      <c r="C45" s="11"/>
      <c r="D45" s="11">
        <v>126</v>
      </c>
      <c r="E45" s="11">
        <v>45</v>
      </c>
      <c r="F45" s="11">
        <v>69</v>
      </c>
      <c r="G45" s="12">
        <v>0</v>
      </c>
      <c r="H45" s="11">
        <f>VLOOKUP(A45,[1]Sheet!$A:$H,8,0)</f>
        <v>45</v>
      </c>
      <c r="I45" s="11" t="s">
        <v>81</v>
      </c>
      <c r="J45" s="11"/>
      <c r="K45" s="11">
        <v>54</v>
      </c>
      <c r="L45" s="11">
        <f t="shared" si="17"/>
        <v>-9</v>
      </c>
      <c r="M45" s="11">
        <f t="shared" si="18"/>
        <v>45</v>
      </c>
      <c r="N45" s="11"/>
      <c r="O45" s="11">
        <v>0</v>
      </c>
      <c r="P45" s="11"/>
      <c r="Q45" s="11">
        <f t="shared" si="19"/>
        <v>9</v>
      </c>
      <c r="R45" s="13"/>
      <c r="S45" s="4">
        <f t="shared" si="14"/>
        <v>0</v>
      </c>
      <c r="T45" s="13"/>
      <c r="U45" s="4">
        <f t="shared" si="8"/>
        <v>0</v>
      </c>
      <c r="V45" s="4">
        <f t="shared" si="9"/>
        <v>0</v>
      </c>
      <c r="W45" s="4"/>
      <c r="X45" s="13"/>
      <c r="Y45" s="11"/>
      <c r="Z45" s="9">
        <f t="shared" si="10"/>
        <v>7.666666666666667</v>
      </c>
      <c r="AA45" s="11">
        <f t="shared" si="20"/>
        <v>7.666666666666667</v>
      </c>
      <c r="AB45" s="11">
        <v>3.4</v>
      </c>
      <c r="AC45" s="11">
        <v>10.199999999999999</v>
      </c>
      <c r="AD45" s="11">
        <v>13</v>
      </c>
      <c r="AE45" s="11">
        <v>7.2</v>
      </c>
      <c r="AF45" s="11">
        <v>16.600000000000001</v>
      </c>
      <c r="AG45" s="11">
        <v>21.4</v>
      </c>
      <c r="AH45" s="11">
        <v>15.6</v>
      </c>
      <c r="AI45" s="11">
        <v>19.399999999999999</v>
      </c>
      <c r="AJ45" s="11"/>
      <c r="AK45" s="9">
        <f t="shared" si="11"/>
        <v>0</v>
      </c>
      <c r="AL45" s="9">
        <f t="shared" si="12"/>
        <v>0</v>
      </c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spans="1:54" x14ac:dyDescent="0.25">
      <c r="A46" s="9" t="s">
        <v>82</v>
      </c>
      <c r="B46" s="9" t="s">
        <v>36</v>
      </c>
      <c r="C46" s="9">
        <v>150</v>
      </c>
      <c r="D46" s="9">
        <v>498</v>
      </c>
      <c r="E46" s="9">
        <v>260</v>
      </c>
      <c r="F46" s="9">
        <v>365</v>
      </c>
      <c r="G46" s="7">
        <v>0.3</v>
      </c>
      <c r="H46" s="9">
        <f>VLOOKUP(A46,[1]Sheet!$A:$H,8,0)</f>
        <v>45</v>
      </c>
      <c r="I46" s="9" t="s">
        <v>37</v>
      </c>
      <c r="J46" s="9"/>
      <c r="K46" s="9">
        <v>252</v>
      </c>
      <c r="L46" s="9">
        <f t="shared" si="17"/>
        <v>8</v>
      </c>
      <c r="M46" s="9">
        <f t="shared" si="18"/>
        <v>260</v>
      </c>
      <c r="N46" s="9"/>
      <c r="O46" s="9">
        <v>50</v>
      </c>
      <c r="P46" s="9">
        <v>50</v>
      </c>
      <c r="Q46" s="9">
        <f t="shared" si="19"/>
        <v>52</v>
      </c>
      <c r="R46" s="4">
        <f t="shared" ref="R46:R66" si="22">14*Q46-P46-O46-F46</f>
        <v>263</v>
      </c>
      <c r="S46" s="4">
        <f t="shared" ref="S46:S49" si="23">X46</f>
        <v>280</v>
      </c>
      <c r="T46" s="4"/>
      <c r="U46" s="4">
        <f t="shared" si="8"/>
        <v>280</v>
      </c>
      <c r="V46" s="4">
        <f t="shared" si="9"/>
        <v>180</v>
      </c>
      <c r="W46" s="4">
        <v>100</v>
      </c>
      <c r="X46" s="4">
        <v>280</v>
      </c>
      <c r="Y46" s="9"/>
      <c r="Z46" s="9">
        <f t="shared" si="10"/>
        <v>14.326923076923077</v>
      </c>
      <c r="AA46" s="9">
        <f t="shared" si="20"/>
        <v>8.9423076923076916</v>
      </c>
      <c r="AB46" s="9">
        <v>42.2</v>
      </c>
      <c r="AC46" s="9">
        <v>52.4</v>
      </c>
      <c r="AD46" s="9">
        <v>46.4</v>
      </c>
      <c r="AE46" s="9">
        <v>55.963999999999999</v>
      </c>
      <c r="AF46" s="9">
        <v>56.2</v>
      </c>
      <c r="AG46" s="9">
        <v>44.6</v>
      </c>
      <c r="AH46" s="9">
        <v>51.2</v>
      </c>
      <c r="AI46" s="9">
        <v>54.4</v>
      </c>
      <c r="AJ46" s="9"/>
      <c r="AK46" s="9">
        <f t="shared" si="11"/>
        <v>54</v>
      </c>
      <c r="AL46" s="9">
        <f t="shared" si="12"/>
        <v>30</v>
      </c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x14ac:dyDescent="0.25">
      <c r="A47" s="9" t="s">
        <v>83</v>
      </c>
      <c r="B47" s="9" t="s">
        <v>39</v>
      </c>
      <c r="C47" s="9"/>
      <c r="D47" s="9">
        <v>345.29199999999997</v>
      </c>
      <c r="E47" s="9">
        <v>149.75899999999999</v>
      </c>
      <c r="F47" s="9">
        <v>177.708</v>
      </c>
      <c r="G47" s="7">
        <v>1</v>
      </c>
      <c r="H47" s="9">
        <f>VLOOKUP(A47,[1]Sheet!$A:$H,8,0)</f>
        <v>45</v>
      </c>
      <c r="I47" s="9" t="s">
        <v>37</v>
      </c>
      <c r="J47" s="9"/>
      <c r="K47" s="9">
        <v>135</v>
      </c>
      <c r="L47" s="9">
        <f t="shared" si="17"/>
        <v>14.758999999999986</v>
      </c>
      <c r="M47" s="9">
        <f t="shared" si="18"/>
        <v>149.75899999999999</v>
      </c>
      <c r="N47" s="9"/>
      <c r="O47" s="9">
        <v>0</v>
      </c>
      <c r="P47" s="9"/>
      <c r="Q47" s="9">
        <f t="shared" si="19"/>
        <v>29.951799999999999</v>
      </c>
      <c r="R47" s="4">
        <f t="shared" si="22"/>
        <v>241.6172</v>
      </c>
      <c r="S47" s="4">
        <f t="shared" si="23"/>
        <v>200</v>
      </c>
      <c r="T47" s="4"/>
      <c r="U47" s="4">
        <f t="shared" si="8"/>
        <v>200</v>
      </c>
      <c r="V47" s="4">
        <f t="shared" si="9"/>
        <v>120</v>
      </c>
      <c r="W47" s="4">
        <v>80</v>
      </c>
      <c r="X47" s="4">
        <v>200</v>
      </c>
      <c r="Y47" s="9"/>
      <c r="Z47" s="9">
        <f t="shared" si="10"/>
        <v>12.610527580980108</v>
      </c>
      <c r="AA47" s="9">
        <f t="shared" si="20"/>
        <v>5.9331325663232262</v>
      </c>
      <c r="AB47" s="9">
        <v>12.311400000000001</v>
      </c>
      <c r="AC47" s="9">
        <v>25.706</v>
      </c>
      <c r="AD47" s="9">
        <v>30.495200000000001</v>
      </c>
      <c r="AE47" s="9">
        <v>18.703800000000001</v>
      </c>
      <c r="AF47" s="9">
        <v>22.310400000000001</v>
      </c>
      <c r="AG47" s="9">
        <v>39.084200000000003</v>
      </c>
      <c r="AH47" s="9">
        <v>17.9542</v>
      </c>
      <c r="AI47" s="9">
        <v>34.256399999999999</v>
      </c>
      <c r="AJ47" s="9"/>
      <c r="AK47" s="9">
        <f t="shared" si="11"/>
        <v>120</v>
      </c>
      <c r="AL47" s="9">
        <f t="shared" si="12"/>
        <v>80</v>
      </c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spans="1:54" x14ac:dyDescent="0.25">
      <c r="A48" s="9" t="s">
        <v>84</v>
      </c>
      <c r="B48" s="9" t="s">
        <v>36</v>
      </c>
      <c r="C48" s="9">
        <v>278</v>
      </c>
      <c r="D48" s="9">
        <v>621</v>
      </c>
      <c r="E48" s="9">
        <v>417</v>
      </c>
      <c r="F48" s="9">
        <v>396</v>
      </c>
      <c r="G48" s="7">
        <v>0.35</v>
      </c>
      <c r="H48" s="9">
        <f>VLOOKUP(A48,[1]Sheet!$A:$H,8,0)</f>
        <v>45</v>
      </c>
      <c r="I48" s="9" t="s">
        <v>37</v>
      </c>
      <c r="J48" s="9"/>
      <c r="K48" s="9">
        <v>439</v>
      </c>
      <c r="L48" s="9">
        <f t="shared" si="17"/>
        <v>-22</v>
      </c>
      <c r="M48" s="9">
        <f t="shared" si="18"/>
        <v>417</v>
      </c>
      <c r="N48" s="9"/>
      <c r="O48" s="9">
        <v>300</v>
      </c>
      <c r="P48" s="9">
        <v>300</v>
      </c>
      <c r="Q48" s="9">
        <f t="shared" si="19"/>
        <v>83.4</v>
      </c>
      <c r="R48" s="4">
        <f t="shared" si="22"/>
        <v>171.60000000000014</v>
      </c>
      <c r="S48" s="4">
        <f t="shared" si="23"/>
        <v>250</v>
      </c>
      <c r="T48" s="4"/>
      <c r="U48" s="4">
        <f t="shared" si="8"/>
        <v>250</v>
      </c>
      <c r="V48" s="4">
        <f t="shared" si="9"/>
        <v>150</v>
      </c>
      <c r="W48" s="4">
        <v>100</v>
      </c>
      <c r="X48" s="4">
        <v>250</v>
      </c>
      <c r="Y48" s="9"/>
      <c r="Z48" s="9">
        <f t="shared" si="10"/>
        <v>14.940047961630695</v>
      </c>
      <c r="AA48" s="9">
        <f t="shared" si="20"/>
        <v>11.942446043165466</v>
      </c>
      <c r="AB48" s="9">
        <v>97.6</v>
      </c>
      <c r="AC48" s="9">
        <v>88.2</v>
      </c>
      <c r="AD48" s="9">
        <v>109.6</v>
      </c>
      <c r="AE48" s="9">
        <v>109.4</v>
      </c>
      <c r="AF48" s="9">
        <v>103</v>
      </c>
      <c r="AG48" s="9">
        <v>110.6</v>
      </c>
      <c r="AH48" s="9">
        <v>109</v>
      </c>
      <c r="AI48" s="9">
        <v>73.8</v>
      </c>
      <c r="AJ48" s="9"/>
      <c r="AK48" s="9">
        <f t="shared" si="11"/>
        <v>52.5</v>
      </c>
      <c r="AL48" s="9">
        <f t="shared" si="12"/>
        <v>35</v>
      </c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spans="1:54" x14ac:dyDescent="0.25">
      <c r="A49" s="9" t="s">
        <v>85</v>
      </c>
      <c r="B49" s="9" t="s">
        <v>36</v>
      </c>
      <c r="C49" s="9">
        <v>131</v>
      </c>
      <c r="D49" s="9">
        <v>546</v>
      </c>
      <c r="E49" s="9">
        <v>205</v>
      </c>
      <c r="F49" s="9">
        <v>362</v>
      </c>
      <c r="G49" s="7">
        <v>0.41</v>
      </c>
      <c r="H49" s="9">
        <f>VLOOKUP(A49,[1]Sheet!$A:$H,8,0)</f>
        <v>45</v>
      </c>
      <c r="I49" s="9" t="s">
        <v>37</v>
      </c>
      <c r="J49" s="9"/>
      <c r="K49" s="9">
        <v>212</v>
      </c>
      <c r="L49" s="9">
        <f t="shared" si="17"/>
        <v>-7</v>
      </c>
      <c r="M49" s="9">
        <f t="shared" si="18"/>
        <v>205</v>
      </c>
      <c r="N49" s="9"/>
      <c r="O49" s="9">
        <v>71</v>
      </c>
      <c r="P49" s="9">
        <v>100</v>
      </c>
      <c r="Q49" s="9">
        <f t="shared" si="19"/>
        <v>41</v>
      </c>
      <c r="R49" s="4">
        <f t="shared" si="22"/>
        <v>41</v>
      </c>
      <c r="S49" s="4">
        <f t="shared" si="23"/>
        <v>50</v>
      </c>
      <c r="T49" s="4"/>
      <c r="U49" s="4">
        <f t="shared" si="8"/>
        <v>50</v>
      </c>
      <c r="V49" s="4">
        <f t="shared" si="9"/>
        <v>0</v>
      </c>
      <c r="W49" s="4">
        <v>50</v>
      </c>
      <c r="X49" s="4">
        <v>50</v>
      </c>
      <c r="Y49" s="9"/>
      <c r="Z49" s="9">
        <f t="shared" si="10"/>
        <v>14.219512195121951</v>
      </c>
      <c r="AA49" s="9">
        <f t="shared" si="20"/>
        <v>13</v>
      </c>
      <c r="AB49" s="9">
        <v>50.4</v>
      </c>
      <c r="AC49" s="9">
        <v>57.8</v>
      </c>
      <c r="AD49" s="9">
        <v>77.8</v>
      </c>
      <c r="AE49" s="9">
        <v>56.8</v>
      </c>
      <c r="AF49" s="9">
        <v>57.2</v>
      </c>
      <c r="AG49" s="9">
        <v>56.2</v>
      </c>
      <c r="AH49" s="9">
        <v>82.4</v>
      </c>
      <c r="AI49" s="9">
        <v>22</v>
      </c>
      <c r="AJ49" s="9"/>
      <c r="AK49" s="9">
        <f t="shared" si="11"/>
        <v>0</v>
      </c>
      <c r="AL49" s="9">
        <f t="shared" si="12"/>
        <v>20.5</v>
      </c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</row>
    <row r="50" spans="1:54" x14ac:dyDescent="0.25">
      <c r="A50" s="9" t="s">
        <v>86</v>
      </c>
      <c r="B50" s="9" t="s">
        <v>36</v>
      </c>
      <c r="C50" s="9">
        <v>46</v>
      </c>
      <c r="D50" s="9">
        <v>2</v>
      </c>
      <c r="E50" s="9">
        <v>30</v>
      </c>
      <c r="F50" s="9"/>
      <c r="G50" s="7">
        <v>0.41</v>
      </c>
      <c r="H50" s="9">
        <f>VLOOKUP(A50,[1]Sheet!$A:$H,8,0)</f>
        <v>45</v>
      </c>
      <c r="I50" s="9" t="s">
        <v>37</v>
      </c>
      <c r="J50" s="9"/>
      <c r="K50" s="9">
        <v>51</v>
      </c>
      <c r="L50" s="9">
        <f t="shared" si="17"/>
        <v>-21</v>
      </c>
      <c r="M50" s="9">
        <f t="shared" si="18"/>
        <v>30</v>
      </c>
      <c r="N50" s="9"/>
      <c r="O50" s="9">
        <v>180</v>
      </c>
      <c r="P50" s="9">
        <v>120</v>
      </c>
      <c r="Q50" s="9">
        <f t="shared" si="19"/>
        <v>6</v>
      </c>
      <c r="R50" s="4"/>
      <c r="S50" s="4">
        <f t="shared" si="14"/>
        <v>0</v>
      </c>
      <c r="T50" s="4"/>
      <c r="U50" s="4">
        <f t="shared" si="8"/>
        <v>0</v>
      </c>
      <c r="V50" s="4">
        <f t="shared" si="9"/>
        <v>0</v>
      </c>
      <c r="W50" s="4"/>
      <c r="X50" s="4"/>
      <c r="Y50" s="9"/>
      <c r="Z50" s="9">
        <f t="shared" si="10"/>
        <v>50</v>
      </c>
      <c r="AA50" s="9">
        <f t="shared" si="20"/>
        <v>50</v>
      </c>
      <c r="AB50" s="9">
        <v>30.4</v>
      </c>
      <c r="AC50" s="9">
        <v>10.6</v>
      </c>
      <c r="AD50" s="9">
        <v>10.199999999999999</v>
      </c>
      <c r="AE50" s="9">
        <v>23.8</v>
      </c>
      <c r="AF50" s="9">
        <v>12</v>
      </c>
      <c r="AG50" s="9">
        <v>15.6</v>
      </c>
      <c r="AH50" s="9">
        <v>9.6</v>
      </c>
      <c r="AI50" s="9">
        <v>22.4</v>
      </c>
      <c r="AJ50" s="9"/>
      <c r="AK50" s="9">
        <f t="shared" si="11"/>
        <v>0</v>
      </c>
      <c r="AL50" s="9">
        <f t="shared" si="12"/>
        <v>0</v>
      </c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</row>
    <row r="51" spans="1:54" x14ac:dyDescent="0.25">
      <c r="A51" s="9" t="s">
        <v>87</v>
      </c>
      <c r="B51" s="9" t="s">
        <v>36</v>
      </c>
      <c r="C51" s="9">
        <v>237</v>
      </c>
      <c r="D51" s="9">
        <v>168</v>
      </c>
      <c r="E51" s="9">
        <v>121</v>
      </c>
      <c r="F51" s="9">
        <v>234</v>
      </c>
      <c r="G51" s="7">
        <v>0.36</v>
      </c>
      <c r="H51" s="9">
        <f>VLOOKUP(A51,[1]Sheet!$A:$H,8,0)</f>
        <v>45</v>
      </c>
      <c r="I51" s="9" t="s">
        <v>37</v>
      </c>
      <c r="J51" s="9"/>
      <c r="K51" s="9">
        <v>119</v>
      </c>
      <c r="L51" s="9">
        <f t="shared" si="17"/>
        <v>2</v>
      </c>
      <c r="M51" s="9">
        <f t="shared" si="18"/>
        <v>121</v>
      </c>
      <c r="N51" s="9"/>
      <c r="O51" s="9">
        <v>0</v>
      </c>
      <c r="P51" s="9">
        <v>50</v>
      </c>
      <c r="Q51" s="9">
        <f t="shared" si="19"/>
        <v>24.2</v>
      </c>
      <c r="R51" s="4">
        <f t="shared" si="22"/>
        <v>54.800000000000011</v>
      </c>
      <c r="S51" s="4">
        <f>X51</f>
        <v>50</v>
      </c>
      <c r="T51" s="4"/>
      <c r="U51" s="4">
        <f t="shared" si="8"/>
        <v>50</v>
      </c>
      <c r="V51" s="4">
        <f t="shared" si="9"/>
        <v>0</v>
      </c>
      <c r="W51" s="4">
        <v>50</v>
      </c>
      <c r="X51" s="4">
        <v>50</v>
      </c>
      <c r="Y51" s="9"/>
      <c r="Z51" s="9">
        <f t="shared" si="10"/>
        <v>13.801652892561984</v>
      </c>
      <c r="AA51" s="9">
        <f t="shared" si="20"/>
        <v>11.735537190082646</v>
      </c>
      <c r="AB51" s="9">
        <v>30.6</v>
      </c>
      <c r="AC51" s="9">
        <v>10</v>
      </c>
      <c r="AD51" s="9">
        <v>46</v>
      </c>
      <c r="AE51" s="9">
        <v>32.6</v>
      </c>
      <c r="AF51" s="9">
        <v>20.399999999999999</v>
      </c>
      <c r="AG51" s="9">
        <v>33.4</v>
      </c>
      <c r="AH51" s="9">
        <v>35.4</v>
      </c>
      <c r="AI51" s="9">
        <v>27.4</v>
      </c>
      <c r="AJ51" s="9"/>
      <c r="AK51" s="9">
        <f t="shared" si="11"/>
        <v>0</v>
      </c>
      <c r="AL51" s="9">
        <f t="shared" si="12"/>
        <v>18</v>
      </c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spans="1:54" x14ac:dyDescent="0.25">
      <c r="A52" s="9" t="s">
        <v>88</v>
      </c>
      <c r="B52" s="9" t="s">
        <v>36</v>
      </c>
      <c r="C52" s="9">
        <v>1</v>
      </c>
      <c r="D52" s="9">
        <v>72</v>
      </c>
      <c r="E52" s="9">
        <v>13</v>
      </c>
      <c r="F52" s="9">
        <v>56</v>
      </c>
      <c r="G52" s="7">
        <v>0.33</v>
      </c>
      <c r="H52" s="9">
        <f>VLOOKUP(A52,[1]Sheet!$A:$H,8,0)</f>
        <v>45</v>
      </c>
      <c r="I52" s="9" t="s">
        <v>37</v>
      </c>
      <c r="J52" s="9"/>
      <c r="K52" s="9">
        <v>14</v>
      </c>
      <c r="L52" s="9">
        <f t="shared" si="17"/>
        <v>-1</v>
      </c>
      <c r="M52" s="9">
        <f t="shared" si="18"/>
        <v>13</v>
      </c>
      <c r="N52" s="9"/>
      <c r="O52" s="9">
        <v>30</v>
      </c>
      <c r="P52" s="9"/>
      <c r="Q52" s="9">
        <f t="shared" si="19"/>
        <v>2.6</v>
      </c>
      <c r="R52" s="4"/>
      <c r="S52" s="4">
        <f t="shared" si="14"/>
        <v>0</v>
      </c>
      <c r="T52" s="4"/>
      <c r="U52" s="4">
        <f t="shared" si="8"/>
        <v>0</v>
      </c>
      <c r="V52" s="4">
        <f t="shared" si="9"/>
        <v>0</v>
      </c>
      <c r="W52" s="4"/>
      <c r="X52" s="4"/>
      <c r="Y52" s="9"/>
      <c r="Z52" s="9">
        <f t="shared" si="10"/>
        <v>33.076923076923073</v>
      </c>
      <c r="AA52" s="9">
        <f t="shared" si="20"/>
        <v>33.076923076923073</v>
      </c>
      <c r="AB52" s="9">
        <v>6.8</v>
      </c>
      <c r="AC52" s="9">
        <v>2.4</v>
      </c>
      <c r="AD52" s="9">
        <v>6</v>
      </c>
      <c r="AE52" s="9">
        <v>5.4</v>
      </c>
      <c r="AF52" s="9">
        <v>4</v>
      </c>
      <c r="AG52" s="9">
        <v>4.2</v>
      </c>
      <c r="AH52" s="9">
        <v>5.6</v>
      </c>
      <c r="AI52" s="9">
        <v>6.6</v>
      </c>
      <c r="AJ52" s="9"/>
      <c r="AK52" s="9">
        <f t="shared" si="11"/>
        <v>0</v>
      </c>
      <c r="AL52" s="9">
        <f t="shared" si="12"/>
        <v>0</v>
      </c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</row>
    <row r="53" spans="1:54" x14ac:dyDescent="0.25">
      <c r="A53" s="9" t="s">
        <v>89</v>
      </c>
      <c r="B53" s="9" t="s">
        <v>36</v>
      </c>
      <c r="C53" s="9"/>
      <c r="D53" s="9">
        <v>56</v>
      </c>
      <c r="E53" s="9">
        <v>16</v>
      </c>
      <c r="F53" s="9">
        <v>36</v>
      </c>
      <c r="G53" s="7">
        <v>0.33</v>
      </c>
      <c r="H53" s="9">
        <f>VLOOKUP(A53,[1]Sheet!$A:$H,8,0)</f>
        <v>45</v>
      </c>
      <c r="I53" s="9" t="s">
        <v>37</v>
      </c>
      <c r="J53" s="9"/>
      <c r="K53" s="9">
        <v>17</v>
      </c>
      <c r="L53" s="9">
        <f t="shared" si="17"/>
        <v>-1</v>
      </c>
      <c r="M53" s="9">
        <f t="shared" si="18"/>
        <v>16</v>
      </c>
      <c r="N53" s="9"/>
      <c r="O53" s="9">
        <v>30</v>
      </c>
      <c r="P53" s="9"/>
      <c r="Q53" s="9">
        <f t="shared" si="19"/>
        <v>3.2</v>
      </c>
      <c r="R53" s="4"/>
      <c r="S53" s="4">
        <v>24</v>
      </c>
      <c r="T53" s="4"/>
      <c r="U53" s="4">
        <f t="shared" si="8"/>
        <v>24</v>
      </c>
      <c r="V53" s="4">
        <f t="shared" si="9"/>
        <v>0</v>
      </c>
      <c r="W53" s="4">
        <v>24</v>
      </c>
      <c r="X53" s="4">
        <v>30</v>
      </c>
      <c r="Y53" s="9"/>
      <c r="Z53" s="9">
        <f t="shared" si="10"/>
        <v>28.125</v>
      </c>
      <c r="AA53" s="9">
        <f t="shared" si="20"/>
        <v>20.625</v>
      </c>
      <c r="AB53" s="9">
        <v>1.2</v>
      </c>
      <c r="AC53" s="9">
        <v>3.4</v>
      </c>
      <c r="AD53" s="9">
        <v>0</v>
      </c>
      <c r="AE53" s="9">
        <v>6.2</v>
      </c>
      <c r="AF53" s="9">
        <v>5.8</v>
      </c>
      <c r="AG53" s="9">
        <v>-0.2</v>
      </c>
      <c r="AH53" s="9">
        <v>-0.2</v>
      </c>
      <c r="AI53" s="9">
        <v>3.8</v>
      </c>
      <c r="AJ53" s="9"/>
      <c r="AK53" s="9">
        <f t="shared" si="11"/>
        <v>0</v>
      </c>
      <c r="AL53" s="9">
        <f t="shared" si="12"/>
        <v>7.92</v>
      </c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</row>
    <row r="54" spans="1:54" x14ac:dyDescent="0.25">
      <c r="A54" s="9" t="s">
        <v>90</v>
      </c>
      <c r="B54" s="9" t="s">
        <v>36</v>
      </c>
      <c r="C54" s="9">
        <v>116</v>
      </c>
      <c r="D54" s="9">
        <v>216</v>
      </c>
      <c r="E54" s="9">
        <v>85</v>
      </c>
      <c r="F54" s="9">
        <v>215</v>
      </c>
      <c r="G54" s="7">
        <v>0.33</v>
      </c>
      <c r="H54" s="9">
        <f>VLOOKUP(A54,[1]Sheet!$A:$H,8,0)</f>
        <v>45</v>
      </c>
      <c r="I54" s="9" t="s">
        <v>37</v>
      </c>
      <c r="J54" s="9"/>
      <c r="K54" s="9">
        <v>95</v>
      </c>
      <c r="L54" s="9">
        <f t="shared" si="17"/>
        <v>-10</v>
      </c>
      <c r="M54" s="9">
        <f t="shared" si="18"/>
        <v>85</v>
      </c>
      <c r="N54" s="9"/>
      <c r="O54" s="9">
        <v>0</v>
      </c>
      <c r="P54" s="9">
        <v>23</v>
      </c>
      <c r="Q54" s="9">
        <f t="shared" si="19"/>
        <v>17</v>
      </c>
      <c r="R54" s="4"/>
      <c r="S54" s="4">
        <f t="shared" si="14"/>
        <v>0</v>
      </c>
      <c r="T54" s="4"/>
      <c r="U54" s="4">
        <f t="shared" si="8"/>
        <v>0</v>
      </c>
      <c r="V54" s="4">
        <f t="shared" si="9"/>
        <v>0</v>
      </c>
      <c r="W54" s="4"/>
      <c r="X54" s="4"/>
      <c r="Y54" s="9"/>
      <c r="Z54" s="9">
        <f t="shared" si="10"/>
        <v>14</v>
      </c>
      <c r="AA54" s="9">
        <f t="shared" si="20"/>
        <v>14</v>
      </c>
      <c r="AB54" s="9">
        <v>24</v>
      </c>
      <c r="AC54" s="9">
        <v>13.8</v>
      </c>
      <c r="AD54" s="9">
        <v>44</v>
      </c>
      <c r="AE54" s="9">
        <v>17.8</v>
      </c>
      <c r="AF54" s="9">
        <v>22.4</v>
      </c>
      <c r="AG54" s="9">
        <v>29.8</v>
      </c>
      <c r="AH54" s="9">
        <v>35.6</v>
      </c>
      <c r="AI54" s="9">
        <v>16.8</v>
      </c>
      <c r="AJ54" s="9"/>
      <c r="AK54" s="9">
        <f t="shared" si="11"/>
        <v>0</v>
      </c>
      <c r="AL54" s="9">
        <f t="shared" si="12"/>
        <v>0</v>
      </c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</row>
    <row r="55" spans="1:54" x14ac:dyDescent="0.25">
      <c r="A55" s="9" t="s">
        <v>91</v>
      </c>
      <c r="B55" s="9" t="s">
        <v>36</v>
      </c>
      <c r="C55" s="9">
        <v>5</v>
      </c>
      <c r="D55" s="9">
        <v>48</v>
      </c>
      <c r="E55" s="9">
        <v>9</v>
      </c>
      <c r="F55" s="9">
        <v>39</v>
      </c>
      <c r="G55" s="7">
        <v>0.33</v>
      </c>
      <c r="H55" s="9">
        <f>VLOOKUP(A55,[1]Sheet!$A:$H,8,0)</f>
        <v>45</v>
      </c>
      <c r="I55" s="9" t="s">
        <v>37</v>
      </c>
      <c r="J55" s="9"/>
      <c r="K55" s="9">
        <v>13</v>
      </c>
      <c r="L55" s="9">
        <f t="shared" si="17"/>
        <v>-4</v>
      </c>
      <c r="M55" s="9">
        <f t="shared" si="18"/>
        <v>9</v>
      </c>
      <c r="N55" s="9"/>
      <c r="O55" s="9">
        <v>50</v>
      </c>
      <c r="P55" s="9"/>
      <c r="Q55" s="9">
        <f t="shared" si="19"/>
        <v>1.8</v>
      </c>
      <c r="R55" s="4"/>
      <c r="S55" s="4">
        <f t="shared" si="14"/>
        <v>0</v>
      </c>
      <c r="T55" s="4"/>
      <c r="U55" s="4">
        <f t="shared" si="8"/>
        <v>0</v>
      </c>
      <c r="V55" s="4">
        <f t="shared" si="9"/>
        <v>0</v>
      </c>
      <c r="W55" s="4"/>
      <c r="X55" s="4"/>
      <c r="Y55" s="9"/>
      <c r="Z55" s="9">
        <f t="shared" si="10"/>
        <v>49.444444444444443</v>
      </c>
      <c r="AA55" s="9">
        <f t="shared" si="20"/>
        <v>49.444444444444443</v>
      </c>
      <c r="AB55" s="9">
        <v>9.6</v>
      </c>
      <c r="AC55" s="9">
        <v>7</v>
      </c>
      <c r="AD55" s="9">
        <v>3.2</v>
      </c>
      <c r="AE55" s="9">
        <v>6.8</v>
      </c>
      <c r="AF55" s="9">
        <v>7.4</v>
      </c>
      <c r="AG55" s="9">
        <v>2</v>
      </c>
      <c r="AH55" s="9">
        <v>6.4</v>
      </c>
      <c r="AI55" s="9">
        <v>8.8000000000000007</v>
      </c>
      <c r="AJ55" s="9"/>
      <c r="AK55" s="9">
        <f t="shared" si="11"/>
        <v>0</v>
      </c>
      <c r="AL55" s="9">
        <f t="shared" si="12"/>
        <v>0</v>
      </c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</row>
    <row r="56" spans="1:54" x14ac:dyDescent="0.25">
      <c r="A56" s="9" t="s">
        <v>92</v>
      </c>
      <c r="B56" s="9" t="s">
        <v>39</v>
      </c>
      <c r="C56" s="9">
        <v>543.10299999999995</v>
      </c>
      <c r="D56" s="9">
        <v>625.59699999999998</v>
      </c>
      <c r="E56" s="9">
        <v>516.79399999999998</v>
      </c>
      <c r="F56" s="9">
        <v>482.42399999999998</v>
      </c>
      <c r="G56" s="7">
        <v>1</v>
      </c>
      <c r="H56" s="9">
        <f>VLOOKUP(A56,[1]Sheet!$A:$H,8,0)</f>
        <v>45</v>
      </c>
      <c r="I56" s="9" t="s">
        <v>37</v>
      </c>
      <c r="J56" s="9"/>
      <c r="K56" s="9">
        <v>488</v>
      </c>
      <c r="L56" s="9">
        <f t="shared" si="17"/>
        <v>28.793999999999983</v>
      </c>
      <c r="M56" s="9">
        <f t="shared" si="18"/>
        <v>516.79399999999998</v>
      </c>
      <c r="N56" s="9"/>
      <c r="O56" s="9">
        <v>371</v>
      </c>
      <c r="P56" s="9">
        <v>500</v>
      </c>
      <c r="Q56" s="9">
        <f t="shared" si="19"/>
        <v>103.3588</v>
      </c>
      <c r="R56" s="4">
        <f t="shared" si="22"/>
        <v>93.59920000000011</v>
      </c>
      <c r="S56" s="4">
        <f>X56</f>
        <v>100</v>
      </c>
      <c r="T56" s="4"/>
      <c r="U56" s="4">
        <f t="shared" si="8"/>
        <v>100</v>
      </c>
      <c r="V56" s="4">
        <f t="shared" si="9"/>
        <v>0</v>
      </c>
      <c r="W56" s="4">
        <v>100</v>
      </c>
      <c r="X56" s="4">
        <v>100</v>
      </c>
      <c r="Y56" s="9"/>
      <c r="Z56" s="9">
        <f t="shared" si="10"/>
        <v>14.061927963559947</v>
      </c>
      <c r="AA56" s="9">
        <f t="shared" si="20"/>
        <v>13.094424470872339</v>
      </c>
      <c r="AB56" s="9">
        <v>123.176</v>
      </c>
      <c r="AC56" s="9">
        <v>111.364</v>
      </c>
      <c r="AD56" s="9">
        <v>125.2668</v>
      </c>
      <c r="AE56" s="9">
        <v>145.46960000000001</v>
      </c>
      <c r="AF56" s="9">
        <v>126.71559999999999</v>
      </c>
      <c r="AG56" s="9">
        <v>137.16640000000001</v>
      </c>
      <c r="AH56" s="9">
        <v>134.31819999999999</v>
      </c>
      <c r="AI56" s="9">
        <v>138.85640000000001</v>
      </c>
      <c r="AJ56" s="9"/>
      <c r="AK56" s="9">
        <f t="shared" si="11"/>
        <v>0</v>
      </c>
      <c r="AL56" s="9">
        <f t="shared" si="12"/>
        <v>100</v>
      </c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</row>
    <row r="57" spans="1:54" x14ac:dyDescent="0.25">
      <c r="A57" s="9" t="s">
        <v>93</v>
      </c>
      <c r="B57" s="9" t="s">
        <v>39</v>
      </c>
      <c r="C57" s="9"/>
      <c r="D57" s="9">
        <v>29.832999999999998</v>
      </c>
      <c r="E57" s="9"/>
      <c r="F57" s="9">
        <v>29.832999999999998</v>
      </c>
      <c r="G57" s="7">
        <v>1</v>
      </c>
      <c r="H57" s="9">
        <f>VLOOKUP(A57,[1]Sheet!$A:$H,8,0)</f>
        <v>30</v>
      </c>
      <c r="I57" s="9" t="s">
        <v>37</v>
      </c>
      <c r="J57" s="9"/>
      <c r="K57" s="9"/>
      <c r="L57" s="9">
        <f t="shared" si="17"/>
        <v>0</v>
      </c>
      <c r="M57" s="9">
        <f t="shared" si="18"/>
        <v>0</v>
      </c>
      <c r="N57" s="9"/>
      <c r="O57" s="9"/>
      <c r="P57" s="9"/>
      <c r="Q57" s="9">
        <f t="shared" si="19"/>
        <v>0</v>
      </c>
      <c r="R57" s="4"/>
      <c r="S57" s="4">
        <f t="shared" si="14"/>
        <v>0</v>
      </c>
      <c r="T57" s="4"/>
      <c r="U57" s="4">
        <f t="shared" si="8"/>
        <v>0</v>
      </c>
      <c r="V57" s="4">
        <f t="shared" si="9"/>
        <v>0</v>
      </c>
      <c r="W57" s="4"/>
      <c r="X57" s="4"/>
      <c r="Y57" s="9"/>
      <c r="Z57" s="9" t="e">
        <f t="shared" si="10"/>
        <v>#DIV/0!</v>
      </c>
      <c r="AA57" s="9" t="e">
        <f t="shared" si="20"/>
        <v>#DIV/0!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10" t="s">
        <v>57</v>
      </c>
      <c r="AK57" s="9">
        <f t="shared" si="11"/>
        <v>0</v>
      </c>
      <c r="AL57" s="9">
        <f t="shared" si="12"/>
        <v>0</v>
      </c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</row>
    <row r="58" spans="1:54" x14ac:dyDescent="0.25">
      <c r="A58" s="9" t="s">
        <v>94</v>
      </c>
      <c r="B58" s="9" t="s">
        <v>36</v>
      </c>
      <c r="C58" s="9">
        <v>23</v>
      </c>
      <c r="D58" s="9">
        <v>80</v>
      </c>
      <c r="E58" s="9">
        <v>18</v>
      </c>
      <c r="F58" s="9">
        <v>80</v>
      </c>
      <c r="G58" s="7">
        <v>0.1</v>
      </c>
      <c r="H58" s="9">
        <f>VLOOKUP(A58,[1]Sheet!$A:$H,8,0)</f>
        <v>60</v>
      </c>
      <c r="I58" s="9" t="s">
        <v>37</v>
      </c>
      <c r="J58" s="9"/>
      <c r="K58" s="9">
        <v>23</v>
      </c>
      <c r="L58" s="9">
        <f t="shared" si="17"/>
        <v>-5</v>
      </c>
      <c r="M58" s="9">
        <f t="shared" si="18"/>
        <v>18</v>
      </c>
      <c r="N58" s="9"/>
      <c r="O58" s="9">
        <v>0</v>
      </c>
      <c r="P58" s="9"/>
      <c r="Q58" s="9">
        <f t="shared" si="19"/>
        <v>3.6</v>
      </c>
      <c r="R58" s="4"/>
      <c r="S58" s="4">
        <f t="shared" si="14"/>
        <v>0</v>
      </c>
      <c r="T58" s="4"/>
      <c r="U58" s="4">
        <f t="shared" si="8"/>
        <v>0</v>
      </c>
      <c r="V58" s="4">
        <f t="shared" si="9"/>
        <v>0</v>
      </c>
      <c r="W58" s="4"/>
      <c r="X58" s="4"/>
      <c r="Y58" s="9"/>
      <c r="Z58" s="9">
        <f t="shared" si="10"/>
        <v>22.222222222222221</v>
      </c>
      <c r="AA58" s="9">
        <f t="shared" si="20"/>
        <v>22.222222222222221</v>
      </c>
      <c r="AB58" s="9">
        <v>3.8</v>
      </c>
      <c r="AC58" s="9">
        <v>1</v>
      </c>
      <c r="AD58" s="9">
        <v>6.4</v>
      </c>
      <c r="AE58" s="9">
        <v>4.8</v>
      </c>
      <c r="AF58" s="9">
        <v>3.2</v>
      </c>
      <c r="AG58" s="9">
        <v>3.4</v>
      </c>
      <c r="AH58" s="9">
        <v>5.8</v>
      </c>
      <c r="AI58" s="9">
        <v>5.8</v>
      </c>
      <c r="AJ58" s="9" t="s">
        <v>137</v>
      </c>
      <c r="AK58" s="9">
        <f t="shared" si="11"/>
        <v>0</v>
      </c>
      <c r="AL58" s="9">
        <f t="shared" si="12"/>
        <v>0</v>
      </c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</row>
    <row r="59" spans="1:54" x14ac:dyDescent="0.25">
      <c r="A59" s="9" t="s">
        <v>95</v>
      </c>
      <c r="B59" s="9" t="s">
        <v>36</v>
      </c>
      <c r="C59" s="9">
        <v>70</v>
      </c>
      <c r="D59" s="9">
        <v>104</v>
      </c>
      <c r="E59" s="9">
        <v>99</v>
      </c>
      <c r="F59" s="9">
        <v>62</v>
      </c>
      <c r="G59" s="7">
        <v>0.4</v>
      </c>
      <c r="H59" s="9">
        <f>VLOOKUP(A59,[1]Sheet!$A:$H,8,0)</f>
        <v>45</v>
      </c>
      <c r="I59" s="9" t="s">
        <v>37</v>
      </c>
      <c r="J59" s="9"/>
      <c r="K59" s="9">
        <v>100</v>
      </c>
      <c r="L59" s="9">
        <f t="shared" si="17"/>
        <v>-1</v>
      </c>
      <c r="M59" s="9">
        <f t="shared" si="18"/>
        <v>99</v>
      </c>
      <c r="N59" s="9"/>
      <c r="O59" s="9">
        <v>50</v>
      </c>
      <c r="P59" s="9">
        <v>50</v>
      </c>
      <c r="Q59" s="9">
        <f t="shared" si="19"/>
        <v>19.8</v>
      </c>
      <c r="R59" s="4">
        <f t="shared" si="22"/>
        <v>115.19999999999999</v>
      </c>
      <c r="S59" s="4">
        <f t="shared" ref="S59:S60" si="24">X59</f>
        <v>120</v>
      </c>
      <c r="T59" s="4"/>
      <c r="U59" s="4">
        <f t="shared" si="8"/>
        <v>120</v>
      </c>
      <c r="V59" s="4">
        <f t="shared" si="9"/>
        <v>80</v>
      </c>
      <c r="W59" s="4">
        <v>40</v>
      </c>
      <c r="X59" s="4">
        <v>120</v>
      </c>
      <c r="Y59" s="9"/>
      <c r="Z59" s="9">
        <f t="shared" si="10"/>
        <v>14.242424242424242</v>
      </c>
      <c r="AA59" s="9">
        <f t="shared" si="20"/>
        <v>8.1818181818181817</v>
      </c>
      <c r="AB59" s="9">
        <v>25.8</v>
      </c>
      <c r="AC59" s="9">
        <v>20.399999999999999</v>
      </c>
      <c r="AD59" s="9">
        <v>19.8</v>
      </c>
      <c r="AE59" s="9">
        <v>27.6</v>
      </c>
      <c r="AF59" s="9">
        <v>15.8</v>
      </c>
      <c r="AG59" s="9">
        <v>19.8</v>
      </c>
      <c r="AH59" s="9">
        <v>23</v>
      </c>
      <c r="AI59" s="9">
        <v>12</v>
      </c>
      <c r="AJ59" s="9"/>
      <c r="AK59" s="9">
        <f t="shared" si="11"/>
        <v>32</v>
      </c>
      <c r="AL59" s="9">
        <f t="shared" si="12"/>
        <v>16</v>
      </c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</row>
    <row r="60" spans="1:54" x14ac:dyDescent="0.25">
      <c r="A60" s="9" t="s">
        <v>96</v>
      </c>
      <c r="B60" s="9" t="s">
        <v>39</v>
      </c>
      <c r="C60" s="9">
        <v>52.43</v>
      </c>
      <c r="D60" s="9">
        <v>45.68</v>
      </c>
      <c r="E60" s="9">
        <v>49.72</v>
      </c>
      <c r="F60" s="9">
        <v>18.184999999999999</v>
      </c>
      <c r="G60" s="7">
        <v>1</v>
      </c>
      <c r="H60" s="9">
        <f>VLOOKUP(A60,[1]Sheet!$A:$H,8,0)</f>
        <v>60</v>
      </c>
      <c r="I60" s="9" t="s">
        <v>37</v>
      </c>
      <c r="J60" s="9"/>
      <c r="K60" s="9">
        <v>49.1</v>
      </c>
      <c r="L60" s="9">
        <f t="shared" si="17"/>
        <v>0.61999999999999744</v>
      </c>
      <c r="M60" s="9">
        <f t="shared" si="18"/>
        <v>49.72</v>
      </c>
      <c r="N60" s="9"/>
      <c r="O60" s="9">
        <v>40</v>
      </c>
      <c r="P60" s="9">
        <v>40</v>
      </c>
      <c r="Q60" s="9">
        <f t="shared" si="19"/>
        <v>9.9439999999999991</v>
      </c>
      <c r="R60" s="4">
        <f t="shared" si="22"/>
        <v>41.030999999999977</v>
      </c>
      <c r="S60" s="4">
        <f t="shared" si="24"/>
        <v>50</v>
      </c>
      <c r="T60" s="4"/>
      <c r="U60" s="4">
        <f t="shared" si="8"/>
        <v>50</v>
      </c>
      <c r="V60" s="4">
        <f t="shared" si="9"/>
        <v>30</v>
      </c>
      <c r="W60" s="4">
        <v>20</v>
      </c>
      <c r="X60" s="4">
        <v>50</v>
      </c>
      <c r="Y60" s="9"/>
      <c r="Z60" s="9">
        <f t="shared" si="10"/>
        <v>14.901950925181016</v>
      </c>
      <c r="AA60" s="9">
        <f t="shared" si="20"/>
        <v>9.8737932421560757</v>
      </c>
      <c r="AB60" s="9">
        <v>9.6757999999999988</v>
      </c>
      <c r="AC60" s="9">
        <v>9.0990000000000002</v>
      </c>
      <c r="AD60" s="9">
        <v>9.6590000000000007</v>
      </c>
      <c r="AE60" s="9">
        <v>11.2742</v>
      </c>
      <c r="AF60" s="9">
        <v>10.0428</v>
      </c>
      <c r="AG60" s="9">
        <v>8.7577999999999996</v>
      </c>
      <c r="AH60" s="9">
        <v>10.8238</v>
      </c>
      <c r="AI60" s="9">
        <v>12.757</v>
      </c>
      <c r="AJ60" s="9"/>
      <c r="AK60" s="9">
        <f t="shared" si="11"/>
        <v>30</v>
      </c>
      <c r="AL60" s="9">
        <f t="shared" si="12"/>
        <v>20</v>
      </c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</row>
    <row r="61" spans="1:54" x14ac:dyDescent="0.25">
      <c r="A61" s="9" t="s">
        <v>97</v>
      </c>
      <c r="B61" s="9" t="s">
        <v>36</v>
      </c>
      <c r="C61" s="9">
        <v>18</v>
      </c>
      <c r="D61" s="9">
        <v>8</v>
      </c>
      <c r="E61" s="9">
        <v>25</v>
      </c>
      <c r="F61" s="9">
        <v>1</v>
      </c>
      <c r="G61" s="7">
        <v>0.25</v>
      </c>
      <c r="H61" s="9">
        <f>VLOOKUP(A61,[1]Sheet!$A:$H,8,0)</f>
        <v>120</v>
      </c>
      <c r="I61" s="9" t="s">
        <v>37</v>
      </c>
      <c r="J61" s="9"/>
      <c r="K61" s="9">
        <v>27</v>
      </c>
      <c r="L61" s="9">
        <f t="shared" si="17"/>
        <v>-2</v>
      </c>
      <c r="M61" s="9">
        <f t="shared" si="18"/>
        <v>25</v>
      </c>
      <c r="N61" s="9"/>
      <c r="O61" s="9">
        <v>50</v>
      </c>
      <c r="P61" s="9">
        <v>50</v>
      </c>
      <c r="Q61" s="9">
        <f t="shared" si="19"/>
        <v>5</v>
      </c>
      <c r="R61" s="4"/>
      <c r="S61" s="4">
        <f t="shared" si="14"/>
        <v>0</v>
      </c>
      <c r="T61" s="4"/>
      <c r="U61" s="4">
        <f t="shared" si="8"/>
        <v>0</v>
      </c>
      <c r="V61" s="4">
        <f t="shared" si="9"/>
        <v>0</v>
      </c>
      <c r="W61" s="4"/>
      <c r="X61" s="4"/>
      <c r="Y61" s="9"/>
      <c r="Z61" s="9">
        <f t="shared" si="10"/>
        <v>20.2</v>
      </c>
      <c r="AA61" s="9">
        <f t="shared" si="20"/>
        <v>20.2</v>
      </c>
      <c r="AB61" s="9">
        <v>16.8</v>
      </c>
      <c r="AC61" s="9">
        <v>7</v>
      </c>
      <c r="AD61" s="9">
        <v>11</v>
      </c>
      <c r="AE61" s="9">
        <v>15</v>
      </c>
      <c r="AF61" s="9">
        <v>0.8</v>
      </c>
      <c r="AG61" s="9">
        <v>0</v>
      </c>
      <c r="AH61" s="9">
        <v>0</v>
      </c>
      <c r="AI61" s="9">
        <v>0</v>
      </c>
      <c r="AJ61" s="9" t="s">
        <v>57</v>
      </c>
      <c r="AK61" s="9">
        <f t="shared" si="11"/>
        <v>0</v>
      </c>
      <c r="AL61" s="9">
        <f t="shared" si="12"/>
        <v>0</v>
      </c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</row>
    <row r="62" spans="1:54" x14ac:dyDescent="0.25">
      <c r="A62" s="9" t="s">
        <v>98</v>
      </c>
      <c r="B62" s="9" t="s">
        <v>39</v>
      </c>
      <c r="C62" s="9">
        <v>96.82</v>
      </c>
      <c r="D62" s="9">
        <v>106.97</v>
      </c>
      <c r="E62" s="9">
        <v>55.375999999999998</v>
      </c>
      <c r="F62" s="9">
        <v>137.59399999999999</v>
      </c>
      <c r="G62" s="7">
        <v>1</v>
      </c>
      <c r="H62" s="9">
        <f>VLOOKUP(A62,[1]Sheet!$A:$H,8,0)</f>
        <v>45</v>
      </c>
      <c r="I62" s="9" t="s">
        <v>37</v>
      </c>
      <c r="J62" s="9"/>
      <c r="K62" s="9">
        <v>59</v>
      </c>
      <c r="L62" s="9">
        <f t="shared" si="17"/>
        <v>-3.6240000000000023</v>
      </c>
      <c r="M62" s="9">
        <f t="shared" si="18"/>
        <v>55.375999999999998</v>
      </c>
      <c r="N62" s="9"/>
      <c r="O62" s="9">
        <v>0</v>
      </c>
      <c r="P62" s="9">
        <v>30</v>
      </c>
      <c r="Q62" s="9">
        <f t="shared" si="19"/>
        <v>11.075199999999999</v>
      </c>
      <c r="R62" s="4"/>
      <c r="S62" s="4">
        <f t="shared" si="14"/>
        <v>0</v>
      </c>
      <c r="T62" s="4"/>
      <c r="U62" s="4">
        <f t="shared" si="8"/>
        <v>0</v>
      </c>
      <c r="V62" s="4">
        <f t="shared" si="9"/>
        <v>0</v>
      </c>
      <c r="W62" s="4"/>
      <c r="X62" s="4"/>
      <c r="Y62" s="9"/>
      <c r="Z62" s="9">
        <f t="shared" si="10"/>
        <v>15.132367812770877</v>
      </c>
      <c r="AA62" s="9">
        <f t="shared" si="20"/>
        <v>15.132367812770877</v>
      </c>
      <c r="AB62" s="9">
        <v>15.791399999999999</v>
      </c>
      <c r="AC62" s="9">
        <v>16.674399999999999</v>
      </c>
      <c r="AD62" s="9">
        <v>22.286200000000001</v>
      </c>
      <c r="AE62" s="9">
        <v>19.5428</v>
      </c>
      <c r="AF62" s="9">
        <v>17.291399999999999</v>
      </c>
      <c r="AG62" s="9">
        <v>19.669599999999999</v>
      </c>
      <c r="AH62" s="9">
        <v>19.529199999999999</v>
      </c>
      <c r="AI62" s="9">
        <v>20.8658</v>
      </c>
      <c r="AJ62" s="9"/>
      <c r="AK62" s="9">
        <f t="shared" si="11"/>
        <v>0</v>
      </c>
      <c r="AL62" s="9">
        <f t="shared" si="12"/>
        <v>0</v>
      </c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</row>
    <row r="63" spans="1:54" x14ac:dyDescent="0.25">
      <c r="A63" s="9" t="s">
        <v>99</v>
      </c>
      <c r="B63" s="9" t="s">
        <v>36</v>
      </c>
      <c r="C63" s="9">
        <v>227</v>
      </c>
      <c r="D63" s="9">
        <v>804</v>
      </c>
      <c r="E63" s="18">
        <f>462+E93</f>
        <v>489</v>
      </c>
      <c r="F63" s="9">
        <v>467</v>
      </c>
      <c r="G63" s="7">
        <v>0.41</v>
      </c>
      <c r="H63" s="9">
        <f>VLOOKUP(A63,[1]Sheet!$A:$H,8,0)</f>
        <v>50</v>
      </c>
      <c r="I63" s="9" t="s">
        <v>37</v>
      </c>
      <c r="J63" s="9"/>
      <c r="K63" s="9">
        <v>454</v>
      </c>
      <c r="L63" s="9">
        <f t="shared" si="17"/>
        <v>35</v>
      </c>
      <c r="M63" s="9">
        <f t="shared" si="18"/>
        <v>489</v>
      </c>
      <c r="N63" s="9"/>
      <c r="O63" s="9">
        <v>250</v>
      </c>
      <c r="P63" s="9">
        <v>250</v>
      </c>
      <c r="Q63" s="9">
        <f t="shared" si="19"/>
        <v>97.8</v>
      </c>
      <c r="R63" s="4">
        <f t="shared" si="22"/>
        <v>402.20000000000005</v>
      </c>
      <c r="S63" s="4">
        <f t="shared" ref="S63:S66" si="25">X63</f>
        <v>450</v>
      </c>
      <c r="T63" s="4"/>
      <c r="U63" s="4">
        <f t="shared" si="8"/>
        <v>450</v>
      </c>
      <c r="V63" s="4">
        <f t="shared" si="9"/>
        <v>350</v>
      </c>
      <c r="W63" s="4">
        <v>100</v>
      </c>
      <c r="X63" s="4">
        <v>450</v>
      </c>
      <c r="Y63" s="9"/>
      <c r="Z63" s="9">
        <f t="shared" si="10"/>
        <v>14.48875255623722</v>
      </c>
      <c r="AA63" s="9">
        <f t="shared" si="20"/>
        <v>9.887525562372188</v>
      </c>
      <c r="AB63" s="9">
        <v>100.8</v>
      </c>
      <c r="AC63" s="9">
        <v>97.4</v>
      </c>
      <c r="AD63" s="9">
        <v>120.2</v>
      </c>
      <c r="AE63" s="9">
        <v>111.4</v>
      </c>
      <c r="AF63" s="9">
        <v>102.6</v>
      </c>
      <c r="AG63" s="9">
        <v>91.2</v>
      </c>
      <c r="AH63" s="9">
        <v>113.4</v>
      </c>
      <c r="AI63" s="9">
        <v>108</v>
      </c>
      <c r="AJ63" s="9"/>
      <c r="AK63" s="9">
        <f t="shared" si="11"/>
        <v>143.5</v>
      </c>
      <c r="AL63" s="9">
        <f t="shared" si="12"/>
        <v>41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</row>
    <row r="64" spans="1:54" x14ac:dyDescent="0.25">
      <c r="A64" s="9" t="s">
        <v>100</v>
      </c>
      <c r="B64" s="9" t="s">
        <v>39</v>
      </c>
      <c r="C64" s="9">
        <v>440.59300000000002</v>
      </c>
      <c r="D64" s="9">
        <v>115.343</v>
      </c>
      <c r="E64" s="18">
        <f>311.25+E94</f>
        <v>367.97500000000002</v>
      </c>
      <c r="F64" s="18">
        <f>85.896+F94</f>
        <v>115.91200000000001</v>
      </c>
      <c r="G64" s="7">
        <v>1</v>
      </c>
      <c r="H64" s="9">
        <f>VLOOKUP(A64,[1]Sheet!$A:$H,8,0)</f>
        <v>50</v>
      </c>
      <c r="I64" s="9" t="s">
        <v>37</v>
      </c>
      <c r="J64" s="9"/>
      <c r="K64" s="9">
        <v>289.8</v>
      </c>
      <c r="L64" s="9">
        <f t="shared" si="17"/>
        <v>78.175000000000011</v>
      </c>
      <c r="M64" s="9">
        <f t="shared" si="18"/>
        <v>367.97500000000002</v>
      </c>
      <c r="N64" s="9"/>
      <c r="O64" s="9">
        <v>261</v>
      </c>
      <c r="P64" s="9">
        <v>280</v>
      </c>
      <c r="Q64" s="9">
        <f t="shared" si="19"/>
        <v>73.594999999999999</v>
      </c>
      <c r="R64" s="4">
        <f t="shared" si="22"/>
        <v>373.41799999999989</v>
      </c>
      <c r="S64" s="4">
        <f t="shared" si="25"/>
        <v>450</v>
      </c>
      <c r="T64" s="4"/>
      <c r="U64" s="4">
        <f t="shared" si="8"/>
        <v>450</v>
      </c>
      <c r="V64" s="4">
        <f t="shared" si="9"/>
        <v>150</v>
      </c>
      <c r="W64" s="4">
        <v>300</v>
      </c>
      <c r="X64" s="4">
        <v>450</v>
      </c>
      <c r="Y64" s="9"/>
      <c r="Z64" s="9">
        <f t="shared" si="10"/>
        <v>15.040586996399213</v>
      </c>
      <c r="AA64" s="9">
        <f t="shared" si="20"/>
        <v>8.926041171275223</v>
      </c>
      <c r="AB64" s="9">
        <v>64.119600000000005</v>
      </c>
      <c r="AC64" s="9">
        <v>51.177999999999997</v>
      </c>
      <c r="AD64" s="9">
        <v>66.072599999999994</v>
      </c>
      <c r="AE64" s="9">
        <v>89.318200000000004</v>
      </c>
      <c r="AF64" s="9">
        <v>62.905200000000001</v>
      </c>
      <c r="AG64" s="9">
        <v>64.453000000000003</v>
      </c>
      <c r="AH64" s="9">
        <v>64.389199999999988</v>
      </c>
      <c r="AI64" s="9">
        <v>74.6738</v>
      </c>
      <c r="AJ64" s="9"/>
      <c r="AK64" s="9">
        <f t="shared" si="11"/>
        <v>150</v>
      </c>
      <c r="AL64" s="9">
        <f t="shared" si="12"/>
        <v>300</v>
      </c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</row>
    <row r="65" spans="1:54" x14ac:dyDescent="0.25">
      <c r="A65" s="9" t="s">
        <v>101</v>
      </c>
      <c r="B65" s="9" t="s">
        <v>36</v>
      </c>
      <c r="C65" s="9">
        <v>84</v>
      </c>
      <c r="D65" s="9">
        <v>120</v>
      </c>
      <c r="E65" s="9">
        <v>69</v>
      </c>
      <c r="F65" s="9">
        <v>132</v>
      </c>
      <c r="G65" s="7">
        <v>0.35</v>
      </c>
      <c r="H65" s="9">
        <f>VLOOKUP(A65,[1]Sheet!$A:$H,8,0)</f>
        <v>50</v>
      </c>
      <c r="I65" s="9" t="s">
        <v>37</v>
      </c>
      <c r="J65" s="9"/>
      <c r="K65" s="9">
        <v>72</v>
      </c>
      <c r="L65" s="9">
        <f t="shared" si="17"/>
        <v>-3</v>
      </c>
      <c r="M65" s="9">
        <f t="shared" si="18"/>
        <v>69</v>
      </c>
      <c r="N65" s="9"/>
      <c r="O65" s="9">
        <v>0</v>
      </c>
      <c r="P65" s="9"/>
      <c r="Q65" s="9">
        <f t="shared" si="19"/>
        <v>13.8</v>
      </c>
      <c r="R65" s="4">
        <f t="shared" si="22"/>
        <v>61.200000000000017</v>
      </c>
      <c r="S65" s="4">
        <f t="shared" si="25"/>
        <v>80</v>
      </c>
      <c r="T65" s="4"/>
      <c r="U65" s="4">
        <f t="shared" si="8"/>
        <v>80</v>
      </c>
      <c r="V65" s="4">
        <f t="shared" si="9"/>
        <v>40</v>
      </c>
      <c r="W65" s="4">
        <v>40</v>
      </c>
      <c r="X65" s="4">
        <v>80</v>
      </c>
      <c r="Y65" s="9"/>
      <c r="Z65" s="9">
        <f t="shared" si="10"/>
        <v>15.362318840579709</v>
      </c>
      <c r="AA65" s="9">
        <f t="shared" si="20"/>
        <v>9.5652173913043477</v>
      </c>
      <c r="AB65" s="9">
        <v>2</v>
      </c>
      <c r="AC65" s="9">
        <v>4.8</v>
      </c>
      <c r="AD65" s="9">
        <v>15.4</v>
      </c>
      <c r="AE65" s="9">
        <v>8.8000000000000007</v>
      </c>
      <c r="AF65" s="9">
        <v>11.6</v>
      </c>
      <c r="AG65" s="9">
        <v>10.8</v>
      </c>
      <c r="AH65" s="9">
        <v>7.8</v>
      </c>
      <c r="AI65" s="9">
        <v>10.199999999999999</v>
      </c>
      <c r="AJ65" s="9"/>
      <c r="AK65" s="9">
        <f t="shared" si="11"/>
        <v>14</v>
      </c>
      <c r="AL65" s="9">
        <f t="shared" si="12"/>
        <v>14</v>
      </c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</row>
    <row r="66" spans="1:54" x14ac:dyDescent="0.25">
      <c r="A66" s="9" t="s">
        <v>102</v>
      </c>
      <c r="B66" s="9" t="s">
        <v>39</v>
      </c>
      <c r="C66" s="9">
        <v>22.152000000000001</v>
      </c>
      <c r="D66" s="9">
        <v>142.24299999999999</v>
      </c>
      <c r="E66" s="9">
        <v>61.912999999999997</v>
      </c>
      <c r="F66" s="9">
        <v>88.628</v>
      </c>
      <c r="G66" s="7">
        <v>1</v>
      </c>
      <c r="H66" s="9">
        <f>VLOOKUP(A66,[1]Sheet!$A:$H,8,0)</f>
        <v>50</v>
      </c>
      <c r="I66" s="9" t="s">
        <v>37</v>
      </c>
      <c r="J66" s="9"/>
      <c r="K66" s="9">
        <v>58.5</v>
      </c>
      <c r="L66" s="9">
        <f t="shared" si="17"/>
        <v>3.4129999999999967</v>
      </c>
      <c r="M66" s="9">
        <f t="shared" si="18"/>
        <v>61.912999999999997</v>
      </c>
      <c r="N66" s="9"/>
      <c r="O66" s="9">
        <v>40</v>
      </c>
      <c r="P66" s="9">
        <v>40</v>
      </c>
      <c r="Q66" s="9">
        <f t="shared" si="19"/>
        <v>12.3826</v>
      </c>
      <c r="R66" s="4">
        <f t="shared" si="22"/>
        <v>4.7284000000000077</v>
      </c>
      <c r="S66" s="4">
        <f t="shared" si="25"/>
        <v>40</v>
      </c>
      <c r="T66" s="4"/>
      <c r="U66" s="4">
        <f t="shared" si="8"/>
        <v>40</v>
      </c>
      <c r="V66" s="4">
        <f t="shared" si="9"/>
        <v>40</v>
      </c>
      <c r="W66" s="4"/>
      <c r="X66" s="4">
        <v>40</v>
      </c>
      <c r="Y66" s="9"/>
      <c r="Z66" s="9">
        <f t="shared" si="10"/>
        <v>16.848480932922001</v>
      </c>
      <c r="AA66" s="9">
        <f t="shared" si="20"/>
        <v>13.618141585773584</v>
      </c>
      <c r="AB66" s="9">
        <v>19.113399999999999</v>
      </c>
      <c r="AC66" s="9">
        <v>16.910599999999999</v>
      </c>
      <c r="AD66" s="9">
        <v>19.037800000000001</v>
      </c>
      <c r="AE66" s="9">
        <v>18.141200000000001</v>
      </c>
      <c r="AF66" s="9">
        <v>21.473400000000002</v>
      </c>
      <c r="AG66" s="9">
        <v>18.667000000000002</v>
      </c>
      <c r="AH66" s="9">
        <v>14.3124</v>
      </c>
      <c r="AI66" s="9">
        <v>8.8277999999999999</v>
      </c>
      <c r="AJ66" s="9"/>
      <c r="AK66" s="9">
        <f t="shared" si="11"/>
        <v>40</v>
      </c>
      <c r="AL66" s="9">
        <f t="shared" si="12"/>
        <v>0</v>
      </c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</row>
    <row r="67" spans="1:54" x14ac:dyDescent="0.25">
      <c r="A67" s="11" t="s">
        <v>103</v>
      </c>
      <c r="B67" s="11" t="s">
        <v>36</v>
      </c>
      <c r="C67" s="11">
        <v>385</v>
      </c>
      <c r="D67" s="11">
        <v>282</v>
      </c>
      <c r="E67" s="11">
        <v>358</v>
      </c>
      <c r="F67" s="11">
        <v>287</v>
      </c>
      <c r="G67" s="12">
        <v>0</v>
      </c>
      <c r="H67" s="11">
        <f>VLOOKUP(A67,[1]Sheet!$A:$H,8,0)</f>
        <v>50</v>
      </c>
      <c r="I67" s="14" t="s">
        <v>104</v>
      </c>
      <c r="J67" s="11"/>
      <c r="K67" s="11">
        <v>338</v>
      </c>
      <c r="L67" s="11">
        <f t="shared" si="17"/>
        <v>20</v>
      </c>
      <c r="M67" s="11">
        <f t="shared" si="18"/>
        <v>358</v>
      </c>
      <c r="N67" s="11"/>
      <c r="O67" s="11">
        <v>0</v>
      </c>
      <c r="P67" s="11"/>
      <c r="Q67" s="11">
        <f t="shared" si="19"/>
        <v>71.599999999999994</v>
      </c>
      <c r="R67" s="13"/>
      <c r="S67" s="4">
        <f t="shared" si="14"/>
        <v>0</v>
      </c>
      <c r="T67" s="13"/>
      <c r="U67" s="4">
        <f t="shared" si="8"/>
        <v>0</v>
      </c>
      <c r="V67" s="4">
        <f t="shared" si="9"/>
        <v>0</v>
      </c>
      <c r="W67" s="4"/>
      <c r="X67" s="13"/>
      <c r="Y67" s="11"/>
      <c r="Z67" s="9">
        <f t="shared" si="10"/>
        <v>4.0083798882681565</v>
      </c>
      <c r="AA67" s="11">
        <f t="shared" si="20"/>
        <v>4.0083798882681565</v>
      </c>
      <c r="AB67" s="11">
        <v>59.6</v>
      </c>
      <c r="AC67" s="11">
        <v>76</v>
      </c>
      <c r="AD67" s="11">
        <v>89.8</v>
      </c>
      <c r="AE67" s="11">
        <v>88</v>
      </c>
      <c r="AF67" s="11">
        <v>79</v>
      </c>
      <c r="AG67" s="11">
        <v>80.599999999999994</v>
      </c>
      <c r="AH67" s="11">
        <v>79.2</v>
      </c>
      <c r="AI67" s="11">
        <v>66.2</v>
      </c>
      <c r="AJ67" s="11" t="s">
        <v>105</v>
      </c>
      <c r="AK67" s="9">
        <f t="shared" si="11"/>
        <v>0</v>
      </c>
      <c r="AL67" s="9">
        <f t="shared" si="12"/>
        <v>0</v>
      </c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</row>
    <row r="68" spans="1:54" x14ac:dyDescent="0.25">
      <c r="A68" s="9" t="s">
        <v>106</v>
      </c>
      <c r="B68" s="9" t="s">
        <v>36</v>
      </c>
      <c r="C68" s="9">
        <v>457</v>
      </c>
      <c r="D68" s="9">
        <v>552</v>
      </c>
      <c r="E68" s="9">
        <v>385</v>
      </c>
      <c r="F68" s="9">
        <v>529</v>
      </c>
      <c r="G68" s="7">
        <v>0.41</v>
      </c>
      <c r="H68" s="9">
        <f>VLOOKUP(A68,[1]Sheet!$A:$H,8,0)</f>
        <v>50</v>
      </c>
      <c r="I68" s="9" t="s">
        <v>37</v>
      </c>
      <c r="J68" s="9"/>
      <c r="K68" s="9">
        <v>375</v>
      </c>
      <c r="L68" s="9">
        <f t="shared" si="17"/>
        <v>10</v>
      </c>
      <c r="M68" s="9">
        <f t="shared" si="18"/>
        <v>385</v>
      </c>
      <c r="N68" s="9"/>
      <c r="O68" s="9">
        <v>124</v>
      </c>
      <c r="P68" s="9">
        <v>200</v>
      </c>
      <c r="Q68" s="9">
        <f t="shared" si="19"/>
        <v>77</v>
      </c>
      <c r="R68" s="4">
        <f t="shared" ref="R68:R92" si="26">14*Q68-P68-O68-F68</f>
        <v>225</v>
      </c>
      <c r="S68" s="4">
        <f t="shared" ref="S68:S69" si="27">X68</f>
        <v>250</v>
      </c>
      <c r="T68" s="4"/>
      <c r="U68" s="4">
        <f t="shared" si="8"/>
        <v>250</v>
      </c>
      <c r="V68" s="4">
        <f t="shared" si="9"/>
        <v>150</v>
      </c>
      <c r="W68" s="4">
        <v>100</v>
      </c>
      <c r="X68" s="4">
        <v>250</v>
      </c>
      <c r="Y68" s="9"/>
      <c r="Z68" s="9">
        <f t="shared" si="10"/>
        <v>14.324675324675324</v>
      </c>
      <c r="AA68" s="9">
        <f t="shared" si="20"/>
        <v>11.077922077922079</v>
      </c>
      <c r="AB68" s="9">
        <v>79.2</v>
      </c>
      <c r="AC68" s="9">
        <v>89.6</v>
      </c>
      <c r="AD68" s="9">
        <v>118.2</v>
      </c>
      <c r="AE68" s="9">
        <v>100.4</v>
      </c>
      <c r="AF68" s="9">
        <v>93</v>
      </c>
      <c r="AG68" s="9">
        <v>98</v>
      </c>
      <c r="AH68" s="9">
        <v>103</v>
      </c>
      <c r="AI68" s="9">
        <v>89.8</v>
      </c>
      <c r="AJ68" s="9"/>
      <c r="AK68" s="9">
        <f t="shared" si="11"/>
        <v>61.499999999999993</v>
      </c>
      <c r="AL68" s="9">
        <f t="shared" si="12"/>
        <v>41</v>
      </c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</row>
    <row r="69" spans="1:54" x14ac:dyDescent="0.25">
      <c r="A69" s="9" t="s">
        <v>107</v>
      </c>
      <c r="B69" s="9" t="s">
        <v>39</v>
      </c>
      <c r="C69" s="9">
        <v>312.75599999999997</v>
      </c>
      <c r="D69" s="9">
        <v>153.57</v>
      </c>
      <c r="E69" s="9">
        <v>199.44</v>
      </c>
      <c r="F69" s="9">
        <v>233.29</v>
      </c>
      <c r="G69" s="7">
        <v>1</v>
      </c>
      <c r="H69" s="9">
        <f>VLOOKUP(A69,[1]Sheet!$A:$H,8,0)</f>
        <v>50</v>
      </c>
      <c r="I69" s="9" t="s">
        <v>37</v>
      </c>
      <c r="J69" s="9"/>
      <c r="K69" s="9">
        <v>187.5</v>
      </c>
      <c r="L69" s="9">
        <f t="shared" si="17"/>
        <v>11.939999999999998</v>
      </c>
      <c r="M69" s="9">
        <f t="shared" si="18"/>
        <v>199.44</v>
      </c>
      <c r="N69" s="9"/>
      <c r="O69" s="9">
        <v>150</v>
      </c>
      <c r="P69" s="9">
        <v>150</v>
      </c>
      <c r="Q69" s="9">
        <f t="shared" si="19"/>
        <v>39.887999999999998</v>
      </c>
      <c r="R69" s="4">
        <f t="shared" si="26"/>
        <v>25.142000000000024</v>
      </c>
      <c r="S69" s="4">
        <f t="shared" si="27"/>
        <v>30</v>
      </c>
      <c r="T69" s="4"/>
      <c r="U69" s="4">
        <f t="shared" si="8"/>
        <v>30</v>
      </c>
      <c r="V69" s="4">
        <f t="shared" si="9"/>
        <v>30</v>
      </c>
      <c r="W69" s="4"/>
      <c r="X69" s="4">
        <v>30</v>
      </c>
      <c r="Y69" s="9"/>
      <c r="Z69" s="9">
        <f t="shared" si="10"/>
        <v>14.121791014841556</v>
      </c>
      <c r="AA69" s="9">
        <f t="shared" si="20"/>
        <v>13.369685118331327</v>
      </c>
      <c r="AB69" s="9">
        <v>50.204799999999999</v>
      </c>
      <c r="AC69" s="9">
        <v>42.810199999999988</v>
      </c>
      <c r="AD69" s="9">
        <v>42.6494</v>
      </c>
      <c r="AE69" s="9">
        <v>65.701999999999998</v>
      </c>
      <c r="AF69" s="9">
        <v>57.389400000000002</v>
      </c>
      <c r="AG69" s="9">
        <v>53.626600000000003</v>
      </c>
      <c r="AH69" s="9">
        <v>53.664400000000001</v>
      </c>
      <c r="AI69" s="9">
        <v>56.102800000000002</v>
      </c>
      <c r="AJ69" s="9"/>
      <c r="AK69" s="9">
        <f t="shared" si="11"/>
        <v>30</v>
      </c>
      <c r="AL69" s="9">
        <f t="shared" si="12"/>
        <v>0</v>
      </c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</row>
    <row r="70" spans="1:54" x14ac:dyDescent="0.25">
      <c r="A70" s="9" t="s">
        <v>108</v>
      </c>
      <c r="B70" s="9" t="s">
        <v>36</v>
      </c>
      <c r="C70" s="9">
        <v>21</v>
      </c>
      <c r="D70" s="9">
        <v>50</v>
      </c>
      <c r="E70" s="9">
        <v>44</v>
      </c>
      <c r="F70" s="9">
        <v>18</v>
      </c>
      <c r="G70" s="7">
        <v>0.3</v>
      </c>
      <c r="H70" s="9">
        <f>VLOOKUP(A70,[1]Sheet!$A:$H,8,0)</f>
        <v>50</v>
      </c>
      <c r="I70" s="9" t="s">
        <v>37</v>
      </c>
      <c r="J70" s="9"/>
      <c r="K70" s="9">
        <v>49</v>
      </c>
      <c r="L70" s="9">
        <f t="shared" ref="L70:L94" si="28">E70-K70</f>
        <v>-5</v>
      </c>
      <c r="M70" s="9">
        <f t="shared" ref="M70:M94" si="29">E70-N70</f>
        <v>44</v>
      </c>
      <c r="N70" s="9"/>
      <c r="O70" s="9">
        <v>90</v>
      </c>
      <c r="P70" s="9">
        <v>90</v>
      </c>
      <c r="Q70" s="9">
        <f t="shared" ref="Q70:Q94" si="30">M70/5</f>
        <v>8.8000000000000007</v>
      </c>
      <c r="R70" s="4"/>
      <c r="S70" s="4">
        <f t="shared" si="14"/>
        <v>0</v>
      </c>
      <c r="T70" s="4"/>
      <c r="U70" s="4">
        <f t="shared" si="8"/>
        <v>0</v>
      </c>
      <c r="V70" s="4">
        <f t="shared" si="9"/>
        <v>0</v>
      </c>
      <c r="W70" s="4"/>
      <c r="X70" s="4"/>
      <c r="Y70" s="9"/>
      <c r="Z70" s="9">
        <f t="shared" si="10"/>
        <v>22.499999999999996</v>
      </c>
      <c r="AA70" s="9">
        <f t="shared" ref="AA70:AA94" si="31">(F70+O70+P70)/Q70</f>
        <v>22.499999999999996</v>
      </c>
      <c r="AB70" s="9">
        <v>19</v>
      </c>
      <c r="AC70" s="9">
        <v>9.8000000000000007</v>
      </c>
      <c r="AD70" s="9">
        <v>8</v>
      </c>
      <c r="AE70" s="9">
        <v>16.600000000000001</v>
      </c>
      <c r="AF70" s="9">
        <v>17.8</v>
      </c>
      <c r="AG70" s="9">
        <v>7.8</v>
      </c>
      <c r="AH70" s="9">
        <v>17</v>
      </c>
      <c r="AI70" s="9">
        <v>16</v>
      </c>
      <c r="AJ70" s="9"/>
      <c r="AK70" s="9">
        <f t="shared" si="11"/>
        <v>0</v>
      </c>
      <c r="AL70" s="9">
        <f t="shared" si="12"/>
        <v>0</v>
      </c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</row>
    <row r="71" spans="1:54" x14ac:dyDescent="0.25">
      <c r="A71" s="9" t="s">
        <v>109</v>
      </c>
      <c r="B71" s="9" t="s">
        <v>36</v>
      </c>
      <c r="C71" s="9">
        <v>177</v>
      </c>
      <c r="D71" s="9"/>
      <c r="E71" s="9">
        <v>33</v>
      </c>
      <c r="F71" s="9">
        <v>135</v>
      </c>
      <c r="G71" s="7">
        <v>0.14000000000000001</v>
      </c>
      <c r="H71" s="9">
        <f>VLOOKUP(A71,[1]Sheet!$A:$H,8,0)</f>
        <v>50</v>
      </c>
      <c r="I71" s="9" t="s">
        <v>37</v>
      </c>
      <c r="J71" s="9"/>
      <c r="K71" s="9">
        <v>42</v>
      </c>
      <c r="L71" s="9">
        <f t="shared" si="28"/>
        <v>-9</v>
      </c>
      <c r="M71" s="9">
        <f t="shared" si="29"/>
        <v>33</v>
      </c>
      <c r="N71" s="9"/>
      <c r="O71" s="9">
        <v>0</v>
      </c>
      <c r="P71" s="9"/>
      <c r="Q71" s="9">
        <f t="shared" si="30"/>
        <v>6.6</v>
      </c>
      <c r="R71" s="4"/>
      <c r="S71" s="4">
        <f t="shared" ref="S71:S94" si="32">R71</f>
        <v>0</v>
      </c>
      <c r="T71" s="4"/>
      <c r="U71" s="4">
        <f t="shared" ref="U71:U94" si="33">ROUND(T71+S71,0)</f>
        <v>0</v>
      </c>
      <c r="V71" s="4">
        <f t="shared" ref="V71:V94" si="34">U71-W71</f>
        <v>0</v>
      </c>
      <c r="W71" s="4"/>
      <c r="X71" s="4"/>
      <c r="Y71" s="9"/>
      <c r="Z71" s="9">
        <f t="shared" ref="Z71:Z94" si="35">(F71+O71+P71+U71)/Q71</f>
        <v>20.454545454545457</v>
      </c>
      <c r="AA71" s="9">
        <f t="shared" si="31"/>
        <v>20.454545454545457</v>
      </c>
      <c r="AB71" s="9">
        <v>7</v>
      </c>
      <c r="AC71" s="9">
        <v>4.2</v>
      </c>
      <c r="AD71" s="9">
        <v>3.6</v>
      </c>
      <c r="AE71" s="9">
        <v>21.6</v>
      </c>
      <c r="AF71" s="9">
        <v>12.2</v>
      </c>
      <c r="AG71" s="9">
        <v>4.2</v>
      </c>
      <c r="AH71" s="9">
        <v>12.8</v>
      </c>
      <c r="AI71" s="9">
        <v>23.6</v>
      </c>
      <c r="AJ71" s="19" t="s">
        <v>110</v>
      </c>
      <c r="AK71" s="9">
        <f t="shared" ref="AK71:AL94" si="36">G71*V71</f>
        <v>0</v>
      </c>
      <c r="AL71" s="9">
        <f t="shared" ref="AL71:AL94" si="37">G71*W71</f>
        <v>0</v>
      </c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</row>
    <row r="72" spans="1:54" x14ac:dyDescent="0.25">
      <c r="A72" s="9" t="s">
        <v>111</v>
      </c>
      <c r="B72" s="9" t="s">
        <v>36</v>
      </c>
      <c r="C72" s="9">
        <v>139</v>
      </c>
      <c r="D72" s="9">
        <v>130</v>
      </c>
      <c r="E72" s="9">
        <v>106</v>
      </c>
      <c r="F72" s="9">
        <v>99</v>
      </c>
      <c r="G72" s="7">
        <v>0.18</v>
      </c>
      <c r="H72" s="9">
        <f>VLOOKUP(A72,[1]Sheet!$A:$H,8,0)</f>
        <v>50</v>
      </c>
      <c r="I72" s="9" t="s">
        <v>37</v>
      </c>
      <c r="J72" s="9"/>
      <c r="K72" s="9">
        <v>115</v>
      </c>
      <c r="L72" s="9">
        <f t="shared" si="28"/>
        <v>-9</v>
      </c>
      <c r="M72" s="9">
        <f t="shared" si="29"/>
        <v>106</v>
      </c>
      <c r="N72" s="9"/>
      <c r="O72" s="9">
        <v>127</v>
      </c>
      <c r="P72" s="9">
        <v>100</v>
      </c>
      <c r="Q72" s="9">
        <f t="shared" si="30"/>
        <v>21.2</v>
      </c>
      <c r="R72" s="4"/>
      <c r="S72" s="4">
        <f t="shared" ref="S72:S73" si="38">X72</f>
        <v>100</v>
      </c>
      <c r="T72" s="4"/>
      <c r="U72" s="4">
        <f t="shared" si="33"/>
        <v>100</v>
      </c>
      <c r="V72" s="4">
        <f t="shared" si="34"/>
        <v>100</v>
      </c>
      <c r="W72" s="4"/>
      <c r="X72" s="4">
        <v>100</v>
      </c>
      <c r="Y72" s="9"/>
      <c r="Z72" s="9">
        <f t="shared" si="35"/>
        <v>20.09433962264151</v>
      </c>
      <c r="AA72" s="9">
        <f t="shared" si="31"/>
        <v>15.377358490566039</v>
      </c>
      <c r="AB72" s="9">
        <v>32.799999999999997</v>
      </c>
      <c r="AC72" s="9">
        <v>23</v>
      </c>
      <c r="AD72" s="9">
        <v>36</v>
      </c>
      <c r="AE72" s="9">
        <v>33</v>
      </c>
      <c r="AF72" s="9">
        <v>11.6</v>
      </c>
      <c r="AG72" s="9">
        <v>30</v>
      </c>
      <c r="AH72" s="9">
        <v>33.4</v>
      </c>
      <c r="AI72" s="9">
        <v>17.2</v>
      </c>
      <c r="AJ72" s="9"/>
      <c r="AK72" s="9">
        <f t="shared" si="36"/>
        <v>18</v>
      </c>
      <c r="AL72" s="9">
        <f t="shared" si="37"/>
        <v>0</v>
      </c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</row>
    <row r="73" spans="1:54" x14ac:dyDescent="0.25">
      <c r="A73" s="9" t="s">
        <v>112</v>
      </c>
      <c r="B73" s="9" t="s">
        <v>39</v>
      </c>
      <c r="C73" s="9">
        <v>83.819000000000003</v>
      </c>
      <c r="D73" s="9">
        <v>56.457000000000001</v>
      </c>
      <c r="E73" s="9">
        <v>68.085999999999999</v>
      </c>
      <c r="F73" s="9">
        <v>57.790999999999997</v>
      </c>
      <c r="G73" s="7">
        <v>1</v>
      </c>
      <c r="H73" s="9">
        <f>VLOOKUP(A73,[1]Sheet!$A:$H,8,0)</f>
        <v>45</v>
      </c>
      <c r="I73" s="9" t="s">
        <v>37</v>
      </c>
      <c r="J73" s="9"/>
      <c r="K73" s="9">
        <v>58.88</v>
      </c>
      <c r="L73" s="9">
        <f t="shared" si="28"/>
        <v>9.205999999999996</v>
      </c>
      <c r="M73" s="9">
        <f t="shared" si="29"/>
        <v>42.503999999999998</v>
      </c>
      <c r="N73" s="9">
        <v>25.582000000000001</v>
      </c>
      <c r="O73" s="9">
        <v>30</v>
      </c>
      <c r="P73" s="9">
        <v>30</v>
      </c>
      <c r="Q73" s="9">
        <f t="shared" si="30"/>
        <v>8.5007999999999999</v>
      </c>
      <c r="R73" s="4">
        <v>4</v>
      </c>
      <c r="S73" s="4">
        <f t="shared" si="38"/>
        <v>20</v>
      </c>
      <c r="T73" s="4"/>
      <c r="U73" s="4">
        <f t="shared" si="33"/>
        <v>20</v>
      </c>
      <c r="V73" s="4">
        <f t="shared" si="34"/>
        <v>20</v>
      </c>
      <c r="W73" s="4"/>
      <c r="X73" s="4">
        <v>20</v>
      </c>
      <c r="Y73" s="9"/>
      <c r="Z73" s="9">
        <f t="shared" si="35"/>
        <v>16.20918031244118</v>
      </c>
      <c r="AA73" s="9">
        <f t="shared" si="31"/>
        <v>13.85646056841709</v>
      </c>
      <c r="AB73" s="9">
        <v>12.3634</v>
      </c>
      <c r="AC73" s="9">
        <v>13.888</v>
      </c>
      <c r="AD73" s="9">
        <v>7.4112000000000027</v>
      </c>
      <c r="AE73" s="9">
        <v>18.095199999999998</v>
      </c>
      <c r="AF73" s="9">
        <v>14.6356</v>
      </c>
      <c r="AG73" s="9">
        <v>11.7346</v>
      </c>
      <c r="AH73" s="9">
        <v>10.8156</v>
      </c>
      <c r="AI73" s="9">
        <v>5.6125999999999996</v>
      </c>
      <c r="AJ73" s="9"/>
      <c r="AK73" s="9">
        <f t="shared" si="36"/>
        <v>20</v>
      </c>
      <c r="AL73" s="9">
        <f t="shared" si="37"/>
        <v>0</v>
      </c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</row>
    <row r="74" spans="1:54" x14ac:dyDescent="0.25">
      <c r="A74" s="9" t="s">
        <v>113</v>
      </c>
      <c r="B74" s="9" t="s">
        <v>36</v>
      </c>
      <c r="C74" s="9"/>
      <c r="D74" s="9">
        <v>26</v>
      </c>
      <c r="E74" s="9">
        <v>5</v>
      </c>
      <c r="F74" s="9">
        <v>17</v>
      </c>
      <c r="G74" s="7">
        <v>0.22</v>
      </c>
      <c r="H74" s="9">
        <f>VLOOKUP(A74,[1]Sheet!$A:$H,8,0)</f>
        <v>120</v>
      </c>
      <c r="I74" s="9" t="s">
        <v>37</v>
      </c>
      <c r="J74" s="9"/>
      <c r="K74" s="9">
        <v>7</v>
      </c>
      <c r="L74" s="9">
        <f t="shared" si="28"/>
        <v>-2</v>
      </c>
      <c r="M74" s="9">
        <f t="shared" si="29"/>
        <v>5</v>
      </c>
      <c r="N74" s="9"/>
      <c r="O74" s="9">
        <v>0</v>
      </c>
      <c r="P74" s="9"/>
      <c r="Q74" s="9">
        <f t="shared" si="30"/>
        <v>1</v>
      </c>
      <c r="R74" s="4"/>
      <c r="S74" s="4">
        <f t="shared" si="32"/>
        <v>0</v>
      </c>
      <c r="T74" s="4"/>
      <c r="U74" s="4">
        <f t="shared" si="33"/>
        <v>0</v>
      </c>
      <c r="V74" s="4">
        <f t="shared" si="34"/>
        <v>0</v>
      </c>
      <c r="W74" s="4"/>
      <c r="X74" s="4"/>
      <c r="Y74" s="9"/>
      <c r="Z74" s="9">
        <f t="shared" si="35"/>
        <v>17</v>
      </c>
      <c r="AA74" s="9">
        <f t="shared" si="31"/>
        <v>17</v>
      </c>
      <c r="AB74" s="9">
        <v>-0.8</v>
      </c>
      <c r="AC74" s="9">
        <v>-0.4</v>
      </c>
      <c r="AD74" s="9">
        <v>-0.2</v>
      </c>
      <c r="AE74" s="9">
        <v>0.4</v>
      </c>
      <c r="AF74" s="9">
        <v>1</v>
      </c>
      <c r="AG74" s="9">
        <v>0.4</v>
      </c>
      <c r="AH74" s="9">
        <v>1</v>
      </c>
      <c r="AI74" s="9">
        <v>-0.4</v>
      </c>
      <c r="AJ74" s="9"/>
      <c r="AK74" s="9">
        <f t="shared" si="36"/>
        <v>0</v>
      </c>
      <c r="AL74" s="9">
        <f t="shared" si="37"/>
        <v>0</v>
      </c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</row>
    <row r="75" spans="1:54" x14ac:dyDescent="0.25">
      <c r="A75" s="9" t="s">
        <v>114</v>
      </c>
      <c r="B75" s="9" t="s">
        <v>36</v>
      </c>
      <c r="C75" s="9">
        <v>50</v>
      </c>
      <c r="D75" s="9">
        <v>36</v>
      </c>
      <c r="E75" s="9">
        <v>31</v>
      </c>
      <c r="F75" s="9">
        <v>46</v>
      </c>
      <c r="G75" s="7">
        <v>0.84</v>
      </c>
      <c r="H75" s="9">
        <f>VLOOKUP(A75,[1]Sheet!$A:$H,8,0)</f>
        <v>50</v>
      </c>
      <c r="I75" s="9" t="s">
        <v>37</v>
      </c>
      <c r="J75" s="9"/>
      <c r="K75" s="9">
        <v>29</v>
      </c>
      <c r="L75" s="9">
        <f t="shared" si="28"/>
        <v>2</v>
      </c>
      <c r="M75" s="9">
        <f t="shared" si="29"/>
        <v>31</v>
      </c>
      <c r="N75" s="9"/>
      <c r="O75" s="9">
        <v>40</v>
      </c>
      <c r="P75" s="9"/>
      <c r="Q75" s="9">
        <f t="shared" si="30"/>
        <v>6.2</v>
      </c>
      <c r="R75" s="4">
        <v>6</v>
      </c>
      <c r="S75" s="4">
        <f t="shared" ref="S75:S81" si="39">X75</f>
        <v>20</v>
      </c>
      <c r="T75" s="4"/>
      <c r="U75" s="4">
        <f t="shared" si="33"/>
        <v>20</v>
      </c>
      <c r="V75" s="4">
        <f t="shared" si="34"/>
        <v>20</v>
      </c>
      <c r="W75" s="4"/>
      <c r="X75" s="4">
        <v>20</v>
      </c>
      <c r="Y75" s="9"/>
      <c r="Z75" s="9">
        <f t="shared" si="35"/>
        <v>17.096774193548388</v>
      </c>
      <c r="AA75" s="9">
        <f t="shared" si="31"/>
        <v>13.870967741935484</v>
      </c>
      <c r="AB75" s="9">
        <v>8</v>
      </c>
      <c r="AC75" s="9">
        <v>6.8</v>
      </c>
      <c r="AD75" s="9">
        <v>5.8</v>
      </c>
      <c r="AE75" s="9">
        <v>7</v>
      </c>
      <c r="AF75" s="9">
        <v>6.8</v>
      </c>
      <c r="AG75" s="9">
        <v>6.6</v>
      </c>
      <c r="AH75" s="9">
        <v>8.8000000000000007</v>
      </c>
      <c r="AI75" s="9">
        <v>4.8</v>
      </c>
      <c r="AJ75" s="9"/>
      <c r="AK75" s="9">
        <f t="shared" si="36"/>
        <v>16.8</v>
      </c>
      <c r="AL75" s="9">
        <f t="shared" si="37"/>
        <v>0</v>
      </c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</row>
    <row r="76" spans="1:54" x14ac:dyDescent="0.25">
      <c r="A76" s="9" t="s">
        <v>115</v>
      </c>
      <c r="B76" s="9" t="s">
        <v>36</v>
      </c>
      <c r="C76" s="9">
        <v>377</v>
      </c>
      <c r="D76" s="9">
        <v>587</v>
      </c>
      <c r="E76" s="9">
        <v>358</v>
      </c>
      <c r="F76" s="9">
        <v>520</v>
      </c>
      <c r="G76" s="7">
        <v>0.35</v>
      </c>
      <c r="H76" s="9">
        <f>VLOOKUP(A76,[1]Sheet!$A:$H,8,0)</f>
        <v>50</v>
      </c>
      <c r="I76" s="9" t="s">
        <v>37</v>
      </c>
      <c r="J76" s="9"/>
      <c r="K76" s="9">
        <v>367</v>
      </c>
      <c r="L76" s="9">
        <f t="shared" si="28"/>
        <v>-9</v>
      </c>
      <c r="M76" s="9">
        <f t="shared" si="29"/>
        <v>358</v>
      </c>
      <c r="N76" s="9"/>
      <c r="O76" s="9">
        <v>200</v>
      </c>
      <c r="P76" s="9">
        <v>200</v>
      </c>
      <c r="Q76" s="9">
        <f t="shared" si="30"/>
        <v>71.599999999999994</v>
      </c>
      <c r="R76" s="4">
        <f t="shared" si="26"/>
        <v>82.399999999999864</v>
      </c>
      <c r="S76" s="4">
        <f t="shared" si="39"/>
        <v>100</v>
      </c>
      <c r="T76" s="4"/>
      <c r="U76" s="4">
        <f t="shared" si="33"/>
        <v>100</v>
      </c>
      <c r="V76" s="4">
        <f t="shared" si="34"/>
        <v>100</v>
      </c>
      <c r="W76" s="4"/>
      <c r="X76" s="4">
        <v>100</v>
      </c>
      <c r="Y76" s="9"/>
      <c r="Z76" s="9">
        <f t="shared" si="35"/>
        <v>14.245810055865922</v>
      </c>
      <c r="AA76" s="9">
        <f t="shared" si="31"/>
        <v>12.849162011173185</v>
      </c>
      <c r="AB76" s="9">
        <v>89.6</v>
      </c>
      <c r="AC76" s="9">
        <v>87.6</v>
      </c>
      <c r="AD76" s="9">
        <v>114</v>
      </c>
      <c r="AE76" s="9">
        <v>98.8</v>
      </c>
      <c r="AF76" s="9">
        <v>80.599999999999994</v>
      </c>
      <c r="AG76" s="9">
        <v>97.4</v>
      </c>
      <c r="AH76" s="9">
        <v>94.8</v>
      </c>
      <c r="AI76" s="9">
        <v>82.6</v>
      </c>
      <c r="AJ76" s="9"/>
      <c r="AK76" s="9">
        <f t="shared" si="36"/>
        <v>35</v>
      </c>
      <c r="AL76" s="9">
        <f t="shared" si="37"/>
        <v>0</v>
      </c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</row>
    <row r="77" spans="1:54" x14ac:dyDescent="0.25">
      <c r="A77" s="9" t="s">
        <v>116</v>
      </c>
      <c r="B77" s="9" t="s">
        <v>39</v>
      </c>
      <c r="C77" s="9">
        <v>151.65799999999999</v>
      </c>
      <c r="D77" s="9">
        <v>364.15800000000002</v>
      </c>
      <c r="E77" s="9">
        <v>266.45100000000002</v>
      </c>
      <c r="F77" s="9">
        <v>214.91900000000001</v>
      </c>
      <c r="G77" s="7">
        <v>1</v>
      </c>
      <c r="H77" s="9">
        <f>VLOOKUP(A77,[1]Sheet!$A:$H,8,0)</f>
        <v>50</v>
      </c>
      <c r="I77" s="9" t="s">
        <v>37</v>
      </c>
      <c r="J77" s="9"/>
      <c r="K77" s="9">
        <v>241.7</v>
      </c>
      <c r="L77" s="9">
        <f t="shared" si="28"/>
        <v>24.751000000000033</v>
      </c>
      <c r="M77" s="9">
        <f t="shared" si="29"/>
        <v>266.45100000000002</v>
      </c>
      <c r="N77" s="9"/>
      <c r="O77" s="9">
        <v>0</v>
      </c>
      <c r="P77" s="9"/>
      <c r="Q77" s="9">
        <f t="shared" si="30"/>
        <v>53.290200000000006</v>
      </c>
      <c r="R77" s="4">
        <f>13*Q77-P77-O77-F77</f>
        <v>477.85360000000014</v>
      </c>
      <c r="S77" s="4">
        <f t="shared" si="39"/>
        <v>500</v>
      </c>
      <c r="T77" s="4"/>
      <c r="U77" s="4">
        <f t="shared" si="33"/>
        <v>500</v>
      </c>
      <c r="V77" s="4">
        <f t="shared" si="34"/>
        <v>300</v>
      </c>
      <c r="W77" s="4">
        <v>200</v>
      </c>
      <c r="X77" s="4">
        <v>500</v>
      </c>
      <c r="Y77" s="9"/>
      <c r="Z77" s="9">
        <f t="shared" si="35"/>
        <v>13.415581101215606</v>
      </c>
      <c r="AA77" s="9">
        <f t="shared" si="31"/>
        <v>4.0329929330345911</v>
      </c>
      <c r="AB77" s="9">
        <v>14.510999999999999</v>
      </c>
      <c r="AC77" s="9">
        <v>28.582999999999998</v>
      </c>
      <c r="AD77" s="9">
        <v>27.069800000000001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 t="s">
        <v>57</v>
      </c>
      <c r="AK77" s="9">
        <f t="shared" si="36"/>
        <v>300</v>
      </c>
      <c r="AL77" s="9">
        <f t="shared" si="37"/>
        <v>200</v>
      </c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</row>
    <row r="78" spans="1:54" x14ac:dyDescent="0.25">
      <c r="A78" s="9" t="s">
        <v>117</v>
      </c>
      <c r="B78" s="9" t="s">
        <v>39</v>
      </c>
      <c r="C78" s="9">
        <v>380.887</v>
      </c>
      <c r="D78" s="9">
        <v>424.387</v>
      </c>
      <c r="E78" s="9">
        <v>338.88499999999999</v>
      </c>
      <c r="F78" s="9">
        <v>426.75900000000001</v>
      </c>
      <c r="G78" s="7">
        <v>1</v>
      </c>
      <c r="H78" s="9">
        <f>VLOOKUP(A78,[1]Sheet!$A:$H,8,0)</f>
        <v>50</v>
      </c>
      <c r="I78" s="9" t="s">
        <v>37</v>
      </c>
      <c r="J78" s="9"/>
      <c r="K78" s="9">
        <v>314.2</v>
      </c>
      <c r="L78" s="9">
        <f t="shared" si="28"/>
        <v>24.685000000000002</v>
      </c>
      <c r="M78" s="9">
        <f t="shared" si="29"/>
        <v>338.88499999999999</v>
      </c>
      <c r="N78" s="9"/>
      <c r="O78" s="9">
        <v>80</v>
      </c>
      <c r="P78" s="9">
        <v>120</v>
      </c>
      <c r="Q78" s="9">
        <f t="shared" si="30"/>
        <v>67.777000000000001</v>
      </c>
      <c r="R78" s="4">
        <f t="shared" si="26"/>
        <v>322.11900000000003</v>
      </c>
      <c r="S78" s="4">
        <f t="shared" si="39"/>
        <v>350</v>
      </c>
      <c r="T78" s="4"/>
      <c r="U78" s="4">
        <f t="shared" si="33"/>
        <v>350</v>
      </c>
      <c r="V78" s="4">
        <f t="shared" si="34"/>
        <v>250</v>
      </c>
      <c r="W78" s="4">
        <v>100</v>
      </c>
      <c r="X78" s="4">
        <v>350</v>
      </c>
      <c r="Y78" s="9"/>
      <c r="Z78" s="9">
        <f t="shared" si="35"/>
        <v>14.411363736960915</v>
      </c>
      <c r="AA78" s="9">
        <f t="shared" si="31"/>
        <v>9.2473700517874793</v>
      </c>
      <c r="AB78" s="9">
        <v>54.074399999999997</v>
      </c>
      <c r="AC78" s="9">
        <v>65.099199999999996</v>
      </c>
      <c r="AD78" s="9">
        <v>67.461600000000004</v>
      </c>
      <c r="AE78" s="9">
        <v>81.076800000000006</v>
      </c>
      <c r="AF78" s="9">
        <v>67.440399999999997</v>
      </c>
      <c r="AG78" s="9">
        <v>67.703800000000001</v>
      </c>
      <c r="AH78" s="9">
        <v>79.288800000000009</v>
      </c>
      <c r="AI78" s="9">
        <v>47.412599999999998</v>
      </c>
      <c r="AJ78" s="9"/>
      <c r="AK78" s="9">
        <f t="shared" si="36"/>
        <v>250</v>
      </c>
      <c r="AL78" s="9">
        <f t="shared" si="37"/>
        <v>100</v>
      </c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</row>
    <row r="79" spans="1:54" x14ac:dyDescent="0.25">
      <c r="A79" s="9" t="s">
        <v>118</v>
      </c>
      <c r="B79" s="9" t="s">
        <v>36</v>
      </c>
      <c r="C79" s="9">
        <v>347</v>
      </c>
      <c r="D79" s="9">
        <v>603</v>
      </c>
      <c r="E79" s="9">
        <v>392</v>
      </c>
      <c r="F79" s="9">
        <v>484</v>
      </c>
      <c r="G79" s="7">
        <v>0.35</v>
      </c>
      <c r="H79" s="9">
        <f>VLOOKUP(A79,[1]Sheet!$A:$H,8,0)</f>
        <v>50</v>
      </c>
      <c r="I79" s="9" t="s">
        <v>37</v>
      </c>
      <c r="J79" s="9"/>
      <c r="K79" s="9">
        <v>396</v>
      </c>
      <c r="L79" s="9">
        <f t="shared" si="28"/>
        <v>-4</v>
      </c>
      <c r="M79" s="9">
        <f t="shared" si="29"/>
        <v>392</v>
      </c>
      <c r="N79" s="9"/>
      <c r="O79" s="9">
        <v>200</v>
      </c>
      <c r="P79" s="9">
        <v>400</v>
      </c>
      <c r="Q79" s="9">
        <f t="shared" si="30"/>
        <v>78.400000000000006</v>
      </c>
      <c r="R79" s="4">
        <f t="shared" si="26"/>
        <v>13.600000000000136</v>
      </c>
      <c r="S79" s="4">
        <f t="shared" si="39"/>
        <v>60</v>
      </c>
      <c r="T79" s="4"/>
      <c r="U79" s="4">
        <f t="shared" si="33"/>
        <v>60</v>
      </c>
      <c r="V79" s="4">
        <f t="shared" si="34"/>
        <v>60</v>
      </c>
      <c r="W79" s="4"/>
      <c r="X79" s="4">
        <v>60</v>
      </c>
      <c r="Y79" s="9"/>
      <c r="Z79" s="9">
        <f t="shared" si="35"/>
        <v>14.591836734693876</v>
      </c>
      <c r="AA79" s="9">
        <f t="shared" si="31"/>
        <v>13.826530612244897</v>
      </c>
      <c r="AB79" s="9">
        <v>90.8</v>
      </c>
      <c r="AC79" s="9">
        <v>90.8</v>
      </c>
      <c r="AD79" s="9">
        <v>105.6</v>
      </c>
      <c r="AE79" s="9">
        <v>115</v>
      </c>
      <c r="AF79" s="9">
        <v>94.4</v>
      </c>
      <c r="AG79" s="9">
        <v>108.2</v>
      </c>
      <c r="AH79" s="9">
        <v>110.4</v>
      </c>
      <c r="AI79" s="9">
        <v>99.8</v>
      </c>
      <c r="AJ79" s="9"/>
      <c r="AK79" s="9">
        <f t="shared" si="36"/>
        <v>21</v>
      </c>
      <c r="AL79" s="9">
        <f t="shared" si="37"/>
        <v>0</v>
      </c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</row>
    <row r="80" spans="1:54" x14ac:dyDescent="0.25">
      <c r="A80" s="9" t="s">
        <v>119</v>
      </c>
      <c r="B80" s="9" t="s">
        <v>36</v>
      </c>
      <c r="C80" s="9"/>
      <c r="D80" s="9">
        <v>183</v>
      </c>
      <c r="E80" s="9">
        <v>65</v>
      </c>
      <c r="F80" s="9">
        <v>110</v>
      </c>
      <c r="G80" s="7">
        <v>0.3</v>
      </c>
      <c r="H80" s="9">
        <f>VLOOKUP(A80,[1]Sheet!$A:$H,8,0)</f>
        <v>50</v>
      </c>
      <c r="I80" s="9" t="s">
        <v>37</v>
      </c>
      <c r="J80" s="9"/>
      <c r="K80" s="9">
        <v>67</v>
      </c>
      <c r="L80" s="9">
        <f t="shared" si="28"/>
        <v>-2</v>
      </c>
      <c r="M80" s="9">
        <f t="shared" si="29"/>
        <v>65</v>
      </c>
      <c r="N80" s="9"/>
      <c r="O80" s="9">
        <v>0</v>
      </c>
      <c r="P80" s="9"/>
      <c r="Q80" s="9">
        <f t="shared" si="30"/>
        <v>13</v>
      </c>
      <c r="R80" s="4">
        <f t="shared" si="26"/>
        <v>72</v>
      </c>
      <c r="S80" s="4">
        <f t="shared" si="39"/>
        <v>80</v>
      </c>
      <c r="T80" s="4"/>
      <c r="U80" s="4">
        <f t="shared" si="33"/>
        <v>80</v>
      </c>
      <c r="V80" s="4">
        <f t="shared" si="34"/>
        <v>80</v>
      </c>
      <c r="W80" s="4"/>
      <c r="X80" s="4">
        <v>80</v>
      </c>
      <c r="Y80" s="9"/>
      <c r="Z80" s="9">
        <f t="shared" si="35"/>
        <v>14.615384615384615</v>
      </c>
      <c r="AA80" s="9">
        <f t="shared" si="31"/>
        <v>8.4615384615384617</v>
      </c>
      <c r="AB80" s="9">
        <v>3</v>
      </c>
      <c r="AC80" s="9">
        <v>14.2</v>
      </c>
      <c r="AD80" s="9">
        <v>12.8</v>
      </c>
      <c r="AE80" s="9">
        <v>10</v>
      </c>
      <c r="AF80" s="9">
        <v>12</v>
      </c>
      <c r="AG80" s="9">
        <v>15.6</v>
      </c>
      <c r="AH80" s="9">
        <v>7</v>
      </c>
      <c r="AI80" s="9">
        <v>7.2</v>
      </c>
      <c r="AJ80" s="9"/>
      <c r="AK80" s="9">
        <f t="shared" si="36"/>
        <v>24</v>
      </c>
      <c r="AL80" s="9">
        <f t="shared" si="37"/>
        <v>0</v>
      </c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</row>
    <row r="81" spans="1:54" x14ac:dyDescent="0.25">
      <c r="A81" s="9" t="s">
        <v>120</v>
      </c>
      <c r="B81" s="9" t="s">
        <v>36</v>
      </c>
      <c r="C81" s="9"/>
      <c r="D81" s="9">
        <v>51</v>
      </c>
      <c r="E81" s="9">
        <v>28</v>
      </c>
      <c r="F81" s="9">
        <v>19</v>
      </c>
      <c r="G81" s="7">
        <v>0.3</v>
      </c>
      <c r="H81" s="9">
        <f>VLOOKUP(A81,[1]Sheet!$A:$H,8,0)</f>
        <v>60</v>
      </c>
      <c r="I81" s="9" t="s">
        <v>37</v>
      </c>
      <c r="J81" s="9"/>
      <c r="K81" s="9">
        <v>31</v>
      </c>
      <c r="L81" s="9">
        <f t="shared" si="28"/>
        <v>-3</v>
      </c>
      <c r="M81" s="9">
        <f t="shared" si="29"/>
        <v>28</v>
      </c>
      <c r="N81" s="9"/>
      <c r="O81" s="9">
        <v>0</v>
      </c>
      <c r="P81" s="9"/>
      <c r="Q81" s="9">
        <f t="shared" si="30"/>
        <v>5.6</v>
      </c>
      <c r="R81" s="4">
        <f>12*Q81-P81-O81-F81</f>
        <v>48.199999999999989</v>
      </c>
      <c r="S81" s="4">
        <f t="shared" si="39"/>
        <v>50</v>
      </c>
      <c r="T81" s="4"/>
      <c r="U81" s="4">
        <f t="shared" si="33"/>
        <v>50</v>
      </c>
      <c r="V81" s="4">
        <f t="shared" si="34"/>
        <v>50</v>
      </c>
      <c r="W81" s="4"/>
      <c r="X81" s="4">
        <v>50</v>
      </c>
      <c r="Y81" s="9"/>
      <c r="Z81" s="9">
        <f t="shared" si="35"/>
        <v>12.321428571428573</v>
      </c>
      <c r="AA81" s="9">
        <f t="shared" si="31"/>
        <v>3.3928571428571432</v>
      </c>
      <c r="AB81" s="9">
        <v>2.2000000000000002</v>
      </c>
      <c r="AC81" s="9">
        <v>3.6</v>
      </c>
      <c r="AD81" s="9">
        <v>5.6</v>
      </c>
      <c r="AE81" s="9">
        <v>0.6</v>
      </c>
      <c r="AF81" s="9">
        <v>3.2</v>
      </c>
      <c r="AG81" s="9">
        <v>6.8</v>
      </c>
      <c r="AH81" s="9">
        <v>3.6</v>
      </c>
      <c r="AI81" s="9">
        <v>5.4</v>
      </c>
      <c r="AJ81" s="9"/>
      <c r="AK81" s="9">
        <f t="shared" si="36"/>
        <v>15</v>
      </c>
      <c r="AL81" s="9">
        <f t="shared" si="37"/>
        <v>0</v>
      </c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</row>
    <row r="82" spans="1:54" x14ac:dyDescent="0.25">
      <c r="A82" s="9" t="s">
        <v>121</v>
      </c>
      <c r="B82" s="9" t="s">
        <v>36</v>
      </c>
      <c r="C82" s="9">
        <v>175</v>
      </c>
      <c r="D82" s="9">
        <v>472</v>
      </c>
      <c r="E82" s="9">
        <v>282</v>
      </c>
      <c r="F82" s="9">
        <v>329</v>
      </c>
      <c r="G82" s="7">
        <v>0.28000000000000003</v>
      </c>
      <c r="H82" s="9">
        <f>VLOOKUP(A82,[1]Sheet!$A:$H,8,0)</f>
        <v>50</v>
      </c>
      <c r="I82" s="9" t="s">
        <v>37</v>
      </c>
      <c r="J82" s="9"/>
      <c r="K82" s="9">
        <v>290</v>
      </c>
      <c r="L82" s="9">
        <f t="shared" si="28"/>
        <v>-8</v>
      </c>
      <c r="M82" s="9">
        <f t="shared" si="29"/>
        <v>282</v>
      </c>
      <c r="N82" s="9"/>
      <c r="O82" s="9">
        <v>441</v>
      </c>
      <c r="P82" s="9">
        <v>350</v>
      </c>
      <c r="Q82" s="9">
        <f t="shared" si="30"/>
        <v>56.4</v>
      </c>
      <c r="R82" s="4"/>
      <c r="S82" s="4">
        <f t="shared" si="32"/>
        <v>0</v>
      </c>
      <c r="T82" s="4"/>
      <c r="U82" s="4">
        <f t="shared" si="33"/>
        <v>0</v>
      </c>
      <c r="V82" s="4">
        <f t="shared" si="34"/>
        <v>0</v>
      </c>
      <c r="W82" s="4"/>
      <c r="X82" s="4"/>
      <c r="Y82" s="9"/>
      <c r="Z82" s="9">
        <f t="shared" si="35"/>
        <v>19.858156028368796</v>
      </c>
      <c r="AA82" s="9">
        <f t="shared" si="31"/>
        <v>19.858156028368796</v>
      </c>
      <c r="AB82" s="9">
        <v>87</v>
      </c>
      <c r="AC82" s="9">
        <v>72.2</v>
      </c>
      <c r="AD82" s="9">
        <v>73.599999999999994</v>
      </c>
      <c r="AE82" s="9">
        <v>86.8</v>
      </c>
      <c r="AF82" s="9">
        <v>69</v>
      </c>
      <c r="AG82" s="9">
        <v>80.2</v>
      </c>
      <c r="AH82" s="9">
        <v>84.2</v>
      </c>
      <c r="AI82" s="9">
        <v>83.2</v>
      </c>
      <c r="AJ82" s="9"/>
      <c r="AK82" s="9">
        <f t="shared" si="36"/>
        <v>0</v>
      </c>
      <c r="AL82" s="9">
        <f t="shared" si="37"/>
        <v>0</v>
      </c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</row>
    <row r="83" spans="1:54" x14ac:dyDescent="0.25">
      <c r="A83" s="9" t="s">
        <v>122</v>
      </c>
      <c r="B83" s="9" t="s">
        <v>36</v>
      </c>
      <c r="C83" s="9">
        <v>241</v>
      </c>
      <c r="D83" s="9">
        <v>624</v>
      </c>
      <c r="E83" s="9">
        <v>365</v>
      </c>
      <c r="F83" s="9">
        <v>402</v>
      </c>
      <c r="G83" s="7">
        <v>0.28000000000000003</v>
      </c>
      <c r="H83" s="9">
        <f>VLOOKUP(A83,[1]Sheet!$A:$H,8,0)</f>
        <v>45</v>
      </c>
      <c r="I83" s="9" t="s">
        <v>37</v>
      </c>
      <c r="J83" s="9"/>
      <c r="K83" s="9">
        <v>377</v>
      </c>
      <c r="L83" s="9">
        <f t="shared" si="28"/>
        <v>-12</v>
      </c>
      <c r="M83" s="9">
        <f t="shared" si="29"/>
        <v>365</v>
      </c>
      <c r="N83" s="9"/>
      <c r="O83" s="9">
        <v>533</v>
      </c>
      <c r="P83" s="9">
        <v>450</v>
      </c>
      <c r="Q83" s="9">
        <f t="shared" si="30"/>
        <v>73</v>
      </c>
      <c r="R83" s="4"/>
      <c r="S83" s="4">
        <f t="shared" si="32"/>
        <v>0</v>
      </c>
      <c r="T83" s="4"/>
      <c r="U83" s="4">
        <f t="shared" si="33"/>
        <v>0</v>
      </c>
      <c r="V83" s="4">
        <f t="shared" si="34"/>
        <v>0</v>
      </c>
      <c r="W83" s="4"/>
      <c r="X83" s="4"/>
      <c r="Y83" s="9"/>
      <c r="Z83" s="9">
        <f t="shared" si="35"/>
        <v>18.972602739726028</v>
      </c>
      <c r="AA83" s="9">
        <f t="shared" si="31"/>
        <v>18.972602739726028</v>
      </c>
      <c r="AB83" s="9">
        <v>106</v>
      </c>
      <c r="AC83" s="9">
        <v>85.8</v>
      </c>
      <c r="AD83" s="9">
        <v>111</v>
      </c>
      <c r="AE83" s="9">
        <v>93</v>
      </c>
      <c r="AF83" s="9">
        <v>95.2</v>
      </c>
      <c r="AG83" s="9">
        <v>96.6</v>
      </c>
      <c r="AH83" s="9">
        <v>101.8</v>
      </c>
      <c r="AI83" s="9">
        <v>98.4</v>
      </c>
      <c r="AJ83" s="9"/>
      <c r="AK83" s="9">
        <f t="shared" si="36"/>
        <v>0</v>
      </c>
      <c r="AL83" s="9">
        <f t="shared" si="37"/>
        <v>0</v>
      </c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</row>
    <row r="84" spans="1:54" x14ac:dyDescent="0.25">
      <c r="A84" s="9" t="s">
        <v>123</v>
      </c>
      <c r="B84" s="9" t="s">
        <v>36</v>
      </c>
      <c r="C84" s="9">
        <v>37</v>
      </c>
      <c r="D84" s="9">
        <v>152</v>
      </c>
      <c r="E84" s="9">
        <v>50</v>
      </c>
      <c r="F84" s="9">
        <v>115</v>
      </c>
      <c r="G84" s="7">
        <v>0.28000000000000003</v>
      </c>
      <c r="H84" s="9">
        <f>VLOOKUP(A84,[1]Sheet!$A:$H,8,0)</f>
        <v>45</v>
      </c>
      <c r="I84" s="9" t="s">
        <v>37</v>
      </c>
      <c r="J84" s="9"/>
      <c r="K84" s="9">
        <v>74</v>
      </c>
      <c r="L84" s="9">
        <f t="shared" si="28"/>
        <v>-24</v>
      </c>
      <c r="M84" s="9">
        <f t="shared" si="29"/>
        <v>50</v>
      </c>
      <c r="N84" s="9"/>
      <c r="O84" s="9">
        <v>130</v>
      </c>
      <c r="P84" s="9">
        <v>120</v>
      </c>
      <c r="Q84" s="9">
        <f t="shared" si="30"/>
        <v>10</v>
      </c>
      <c r="R84" s="4"/>
      <c r="S84" s="4">
        <f t="shared" si="32"/>
        <v>0</v>
      </c>
      <c r="T84" s="4"/>
      <c r="U84" s="4">
        <f t="shared" si="33"/>
        <v>0</v>
      </c>
      <c r="V84" s="4">
        <f t="shared" si="34"/>
        <v>0</v>
      </c>
      <c r="W84" s="4"/>
      <c r="X84" s="4"/>
      <c r="Y84" s="9"/>
      <c r="Z84" s="9">
        <f t="shared" si="35"/>
        <v>36.5</v>
      </c>
      <c r="AA84" s="9">
        <f t="shared" si="31"/>
        <v>36.5</v>
      </c>
      <c r="AB84" s="9">
        <v>29</v>
      </c>
      <c r="AC84" s="9">
        <v>21.4</v>
      </c>
      <c r="AD84" s="9">
        <v>19.399999999999999</v>
      </c>
      <c r="AE84" s="9">
        <v>27.8</v>
      </c>
      <c r="AF84" s="9">
        <v>26</v>
      </c>
      <c r="AG84" s="9">
        <v>27</v>
      </c>
      <c r="AH84" s="9">
        <v>17.8</v>
      </c>
      <c r="AI84" s="9">
        <v>29.8</v>
      </c>
      <c r="AJ84" s="9"/>
      <c r="AK84" s="9">
        <f t="shared" si="36"/>
        <v>0</v>
      </c>
      <c r="AL84" s="9">
        <f t="shared" si="37"/>
        <v>0</v>
      </c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</row>
    <row r="85" spans="1:54" x14ac:dyDescent="0.25">
      <c r="A85" s="9" t="s">
        <v>124</v>
      </c>
      <c r="B85" s="9" t="s">
        <v>36</v>
      </c>
      <c r="C85" s="9">
        <v>121</v>
      </c>
      <c r="D85" s="9">
        <v>460</v>
      </c>
      <c r="E85" s="9">
        <v>189</v>
      </c>
      <c r="F85" s="9">
        <v>308</v>
      </c>
      <c r="G85" s="7">
        <v>0.28000000000000003</v>
      </c>
      <c r="H85" s="9">
        <f>VLOOKUP(A85,[1]Sheet!$A:$H,8,0)</f>
        <v>45</v>
      </c>
      <c r="I85" s="9" t="s">
        <v>37</v>
      </c>
      <c r="J85" s="9"/>
      <c r="K85" s="9">
        <v>195</v>
      </c>
      <c r="L85" s="9">
        <f t="shared" si="28"/>
        <v>-6</v>
      </c>
      <c r="M85" s="9">
        <f t="shared" si="29"/>
        <v>189</v>
      </c>
      <c r="N85" s="9"/>
      <c r="O85" s="9">
        <v>230</v>
      </c>
      <c r="P85" s="9">
        <v>220</v>
      </c>
      <c r="Q85" s="9">
        <f t="shared" si="30"/>
        <v>37.799999999999997</v>
      </c>
      <c r="R85" s="4"/>
      <c r="S85" s="4">
        <f t="shared" si="32"/>
        <v>0</v>
      </c>
      <c r="T85" s="4"/>
      <c r="U85" s="4">
        <f t="shared" si="33"/>
        <v>0</v>
      </c>
      <c r="V85" s="4">
        <f t="shared" si="34"/>
        <v>0</v>
      </c>
      <c r="W85" s="4"/>
      <c r="X85" s="4"/>
      <c r="Y85" s="9"/>
      <c r="Z85" s="9">
        <f t="shared" si="35"/>
        <v>20.052910052910054</v>
      </c>
      <c r="AA85" s="9">
        <f t="shared" si="31"/>
        <v>20.052910052910054</v>
      </c>
      <c r="AB85" s="9">
        <v>65</v>
      </c>
      <c r="AC85" s="9">
        <v>47.8</v>
      </c>
      <c r="AD85" s="9">
        <v>66.2</v>
      </c>
      <c r="AE85" s="9">
        <v>50.4</v>
      </c>
      <c r="AF85" s="9">
        <v>57.6</v>
      </c>
      <c r="AG85" s="9">
        <v>52.4</v>
      </c>
      <c r="AH85" s="9">
        <v>58.8</v>
      </c>
      <c r="AI85" s="9">
        <v>57.8</v>
      </c>
      <c r="AJ85" s="9"/>
      <c r="AK85" s="9">
        <f t="shared" si="36"/>
        <v>0</v>
      </c>
      <c r="AL85" s="9">
        <f t="shared" si="37"/>
        <v>0</v>
      </c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</row>
    <row r="86" spans="1:54" x14ac:dyDescent="0.25">
      <c r="A86" s="10" t="s">
        <v>125</v>
      </c>
      <c r="B86" s="9" t="s">
        <v>36</v>
      </c>
      <c r="C86" s="9"/>
      <c r="D86" s="9">
        <v>276</v>
      </c>
      <c r="E86" s="9"/>
      <c r="F86" s="9">
        <v>276</v>
      </c>
      <c r="G86" s="7">
        <v>0.4</v>
      </c>
      <c r="H86" s="9">
        <f>VLOOKUP(A86,[1]Sheet!$A:$H,8,0)</f>
        <v>50</v>
      </c>
      <c r="I86" s="9" t="s">
        <v>37</v>
      </c>
      <c r="J86" s="9"/>
      <c r="K86" s="9"/>
      <c r="L86" s="9">
        <f t="shared" si="28"/>
        <v>0</v>
      </c>
      <c r="M86" s="9">
        <f t="shared" si="29"/>
        <v>0</v>
      </c>
      <c r="N86" s="9"/>
      <c r="O86" s="9"/>
      <c r="P86" s="9"/>
      <c r="Q86" s="9">
        <f t="shared" si="30"/>
        <v>0</v>
      </c>
      <c r="R86" s="4"/>
      <c r="S86" s="4">
        <f t="shared" si="32"/>
        <v>0</v>
      </c>
      <c r="T86" s="4"/>
      <c r="U86" s="4">
        <f t="shared" si="33"/>
        <v>0</v>
      </c>
      <c r="V86" s="4">
        <f t="shared" si="34"/>
        <v>0</v>
      </c>
      <c r="W86" s="4"/>
      <c r="X86" s="4"/>
      <c r="Y86" s="9"/>
      <c r="Z86" s="9" t="e">
        <f t="shared" si="35"/>
        <v>#DIV/0!</v>
      </c>
      <c r="AA86" s="9" t="e">
        <f t="shared" si="31"/>
        <v>#DIV/0!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10" t="s">
        <v>126</v>
      </c>
      <c r="AK86" s="9">
        <f t="shared" si="36"/>
        <v>0</v>
      </c>
      <c r="AL86" s="9">
        <f t="shared" si="37"/>
        <v>0</v>
      </c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</row>
    <row r="87" spans="1:54" x14ac:dyDescent="0.25">
      <c r="A87" s="9" t="s">
        <v>127</v>
      </c>
      <c r="B87" s="9" t="s">
        <v>36</v>
      </c>
      <c r="C87" s="9">
        <v>40</v>
      </c>
      <c r="D87" s="9"/>
      <c r="E87" s="9">
        <v>14</v>
      </c>
      <c r="F87" s="9">
        <v>24</v>
      </c>
      <c r="G87" s="7">
        <v>0.3</v>
      </c>
      <c r="H87" s="9">
        <f>VLOOKUP(A87,[1]Sheet!$A:$H,8,0)</f>
        <v>50</v>
      </c>
      <c r="I87" s="9" t="s">
        <v>37</v>
      </c>
      <c r="J87" s="9"/>
      <c r="K87" s="9">
        <v>18</v>
      </c>
      <c r="L87" s="9">
        <f t="shared" si="28"/>
        <v>-4</v>
      </c>
      <c r="M87" s="9">
        <f t="shared" si="29"/>
        <v>14</v>
      </c>
      <c r="N87" s="9"/>
      <c r="O87" s="9">
        <v>50</v>
      </c>
      <c r="P87" s="9"/>
      <c r="Q87" s="9">
        <f t="shared" si="30"/>
        <v>2.8</v>
      </c>
      <c r="R87" s="4"/>
      <c r="S87" s="4">
        <f t="shared" si="32"/>
        <v>0</v>
      </c>
      <c r="T87" s="4"/>
      <c r="U87" s="4">
        <f t="shared" si="33"/>
        <v>0</v>
      </c>
      <c r="V87" s="4">
        <f t="shared" si="34"/>
        <v>0</v>
      </c>
      <c r="W87" s="4"/>
      <c r="X87" s="4"/>
      <c r="Y87" s="9"/>
      <c r="Z87" s="9">
        <f t="shared" si="35"/>
        <v>26.428571428571431</v>
      </c>
      <c r="AA87" s="9">
        <f t="shared" si="31"/>
        <v>26.428571428571431</v>
      </c>
      <c r="AB87" s="9">
        <v>9.8000000000000007</v>
      </c>
      <c r="AC87" s="9">
        <v>0.6</v>
      </c>
      <c r="AD87" s="9">
        <v>6.2</v>
      </c>
      <c r="AE87" s="9">
        <v>12.4</v>
      </c>
      <c r="AF87" s="9">
        <v>5</v>
      </c>
      <c r="AG87" s="9">
        <v>4.2</v>
      </c>
      <c r="AH87" s="9">
        <v>9</v>
      </c>
      <c r="AI87" s="9">
        <v>12.4</v>
      </c>
      <c r="AJ87" s="19" t="s">
        <v>110</v>
      </c>
      <c r="AK87" s="9">
        <f t="shared" si="36"/>
        <v>0</v>
      </c>
      <c r="AL87" s="9">
        <f t="shared" si="37"/>
        <v>0</v>
      </c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</row>
    <row r="88" spans="1:54" x14ac:dyDescent="0.25">
      <c r="A88" s="9" t="s">
        <v>128</v>
      </c>
      <c r="B88" s="9" t="s">
        <v>36</v>
      </c>
      <c r="C88" s="9">
        <v>4</v>
      </c>
      <c r="D88" s="9">
        <v>60</v>
      </c>
      <c r="E88" s="9">
        <v>10</v>
      </c>
      <c r="F88" s="9">
        <v>51</v>
      </c>
      <c r="G88" s="7">
        <v>0.33</v>
      </c>
      <c r="H88" s="9">
        <f>VLOOKUP(A88,[1]Sheet!$A:$H,8,0)</f>
        <v>30</v>
      </c>
      <c r="I88" s="9" t="s">
        <v>37</v>
      </c>
      <c r="J88" s="9"/>
      <c r="K88" s="9">
        <v>18</v>
      </c>
      <c r="L88" s="9">
        <f t="shared" si="28"/>
        <v>-8</v>
      </c>
      <c r="M88" s="9">
        <f t="shared" si="29"/>
        <v>10</v>
      </c>
      <c r="N88" s="9"/>
      <c r="O88" s="9">
        <v>50</v>
      </c>
      <c r="P88" s="9"/>
      <c r="Q88" s="9">
        <f t="shared" si="30"/>
        <v>2</v>
      </c>
      <c r="R88" s="4"/>
      <c r="S88" s="4">
        <f t="shared" si="32"/>
        <v>0</v>
      </c>
      <c r="T88" s="4"/>
      <c r="U88" s="4">
        <f t="shared" si="33"/>
        <v>0</v>
      </c>
      <c r="V88" s="4">
        <f t="shared" si="34"/>
        <v>0</v>
      </c>
      <c r="W88" s="4"/>
      <c r="X88" s="4"/>
      <c r="Y88" s="9"/>
      <c r="Z88" s="9">
        <f t="shared" si="35"/>
        <v>50.5</v>
      </c>
      <c r="AA88" s="9">
        <f t="shared" si="31"/>
        <v>50.5</v>
      </c>
      <c r="AB88" s="9">
        <v>9.1999999999999993</v>
      </c>
      <c r="AC88" s="9">
        <v>8</v>
      </c>
      <c r="AD88" s="9">
        <v>4.4000000000000004</v>
      </c>
      <c r="AE88" s="9">
        <v>8.1999999999999993</v>
      </c>
      <c r="AF88" s="9">
        <v>4.5999999999999996</v>
      </c>
      <c r="AG88" s="9">
        <v>4</v>
      </c>
      <c r="AH88" s="9">
        <v>6.2</v>
      </c>
      <c r="AI88" s="9">
        <v>10.199999999999999</v>
      </c>
      <c r="AJ88" s="9"/>
      <c r="AK88" s="9">
        <f t="shared" si="36"/>
        <v>0</v>
      </c>
      <c r="AL88" s="9">
        <f t="shared" si="37"/>
        <v>0</v>
      </c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</row>
    <row r="89" spans="1:54" x14ac:dyDescent="0.25">
      <c r="A89" s="9" t="s">
        <v>129</v>
      </c>
      <c r="B89" s="9" t="s">
        <v>39</v>
      </c>
      <c r="C89" s="9"/>
      <c r="D89" s="9">
        <v>29.797999999999998</v>
      </c>
      <c r="E89" s="9"/>
      <c r="F89" s="9">
        <v>29.797999999999998</v>
      </c>
      <c r="G89" s="7">
        <v>1</v>
      </c>
      <c r="H89" s="9">
        <f>VLOOKUP(A89,[1]Sheet!$A:$H,8,0)</f>
        <v>30</v>
      </c>
      <c r="I89" s="9" t="s">
        <v>37</v>
      </c>
      <c r="J89" s="9"/>
      <c r="K89" s="9"/>
      <c r="L89" s="9">
        <f t="shared" si="28"/>
        <v>0</v>
      </c>
      <c r="M89" s="9">
        <f t="shared" si="29"/>
        <v>0</v>
      </c>
      <c r="N89" s="9"/>
      <c r="O89" s="9"/>
      <c r="P89" s="9"/>
      <c r="Q89" s="9">
        <f t="shared" si="30"/>
        <v>0</v>
      </c>
      <c r="R89" s="4"/>
      <c r="S89" s="4">
        <f t="shared" si="32"/>
        <v>0</v>
      </c>
      <c r="T89" s="4"/>
      <c r="U89" s="4">
        <f t="shared" si="33"/>
        <v>0</v>
      </c>
      <c r="V89" s="4">
        <f t="shared" si="34"/>
        <v>0</v>
      </c>
      <c r="W89" s="4"/>
      <c r="X89" s="4"/>
      <c r="Y89" s="9"/>
      <c r="Z89" s="9" t="e">
        <f t="shared" si="35"/>
        <v>#DIV/0!</v>
      </c>
      <c r="AA89" s="9" t="e">
        <f t="shared" si="31"/>
        <v>#DIV/0!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 t="s">
        <v>57</v>
      </c>
      <c r="AK89" s="9">
        <f t="shared" si="36"/>
        <v>0</v>
      </c>
      <c r="AL89" s="9">
        <f t="shared" si="37"/>
        <v>0</v>
      </c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</row>
    <row r="90" spans="1:54" x14ac:dyDescent="0.25">
      <c r="A90" s="9" t="s">
        <v>130</v>
      </c>
      <c r="B90" s="9" t="s">
        <v>36</v>
      </c>
      <c r="C90" s="9"/>
      <c r="D90" s="9">
        <v>74</v>
      </c>
      <c r="E90" s="9">
        <v>59</v>
      </c>
      <c r="F90" s="9">
        <v>11</v>
      </c>
      <c r="G90" s="7">
        <v>0.28000000000000003</v>
      </c>
      <c r="H90" s="9">
        <f>VLOOKUP(A90,[1]Sheet!$A:$H,8,0)</f>
        <v>50</v>
      </c>
      <c r="I90" s="9" t="s">
        <v>37</v>
      </c>
      <c r="J90" s="9"/>
      <c r="K90" s="9">
        <v>59</v>
      </c>
      <c r="L90" s="9">
        <f t="shared" si="28"/>
        <v>0</v>
      </c>
      <c r="M90" s="9">
        <f t="shared" si="29"/>
        <v>59</v>
      </c>
      <c r="N90" s="9"/>
      <c r="O90" s="9">
        <v>0</v>
      </c>
      <c r="P90" s="9"/>
      <c r="Q90" s="9">
        <f t="shared" si="30"/>
        <v>11.8</v>
      </c>
      <c r="R90" s="4">
        <f>10*Q90-P90-O90-F90</f>
        <v>107</v>
      </c>
      <c r="S90" s="4">
        <f t="shared" ref="S90:S91" si="40">X90</f>
        <v>110</v>
      </c>
      <c r="T90" s="4"/>
      <c r="U90" s="4">
        <f t="shared" si="33"/>
        <v>110</v>
      </c>
      <c r="V90" s="4">
        <f t="shared" si="34"/>
        <v>110</v>
      </c>
      <c r="W90" s="4"/>
      <c r="X90" s="4">
        <v>110</v>
      </c>
      <c r="Y90" s="9"/>
      <c r="Z90" s="9">
        <f t="shared" si="35"/>
        <v>10.254237288135593</v>
      </c>
      <c r="AA90" s="9">
        <f t="shared" si="31"/>
        <v>0.93220338983050843</v>
      </c>
      <c r="AB90" s="9">
        <v>0</v>
      </c>
      <c r="AC90" s="9">
        <v>4</v>
      </c>
      <c r="AD90" s="9">
        <v>8.6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 t="s">
        <v>57</v>
      </c>
      <c r="AK90" s="9">
        <f t="shared" si="36"/>
        <v>30.800000000000004</v>
      </c>
      <c r="AL90" s="9">
        <f t="shared" si="37"/>
        <v>0</v>
      </c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</row>
    <row r="91" spans="1:54" x14ac:dyDescent="0.25">
      <c r="A91" s="9" t="s">
        <v>131</v>
      </c>
      <c r="B91" s="9" t="s">
        <v>36</v>
      </c>
      <c r="C91" s="9"/>
      <c r="D91" s="9">
        <v>58</v>
      </c>
      <c r="E91" s="9">
        <v>43</v>
      </c>
      <c r="F91" s="9">
        <v>13</v>
      </c>
      <c r="G91" s="7">
        <v>0.28000000000000003</v>
      </c>
      <c r="H91" s="9">
        <f>VLOOKUP(A91,[1]Sheet!$A:$H,8,0)</f>
        <v>50</v>
      </c>
      <c r="I91" s="9" t="s">
        <v>37</v>
      </c>
      <c r="J91" s="9"/>
      <c r="K91" s="9">
        <v>44</v>
      </c>
      <c r="L91" s="9">
        <f t="shared" si="28"/>
        <v>-1</v>
      </c>
      <c r="M91" s="9">
        <f t="shared" si="29"/>
        <v>43</v>
      </c>
      <c r="N91" s="9"/>
      <c r="O91" s="9">
        <v>0</v>
      </c>
      <c r="P91" s="9"/>
      <c r="Q91" s="9">
        <f t="shared" si="30"/>
        <v>8.6</v>
      </c>
      <c r="R91" s="4">
        <f>11*Q91-P91-O91-F91</f>
        <v>81.599999999999994</v>
      </c>
      <c r="S91" s="4">
        <f t="shared" si="40"/>
        <v>100</v>
      </c>
      <c r="T91" s="4"/>
      <c r="U91" s="4">
        <f t="shared" si="33"/>
        <v>100</v>
      </c>
      <c r="V91" s="4">
        <f t="shared" si="34"/>
        <v>100</v>
      </c>
      <c r="W91" s="4"/>
      <c r="X91" s="4">
        <v>100</v>
      </c>
      <c r="Y91" s="9"/>
      <c r="Z91" s="9">
        <f t="shared" si="35"/>
        <v>13.13953488372093</v>
      </c>
      <c r="AA91" s="9">
        <f t="shared" si="31"/>
        <v>1.5116279069767442</v>
      </c>
      <c r="AB91" s="9">
        <v>0</v>
      </c>
      <c r="AC91" s="9">
        <v>0</v>
      </c>
      <c r="AD91" s="9">
        <v>4.5999999999999996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 t="s">
        <v>57</v>
      </c>
      <c r="AK91" s="9">
        <f t="shared" si="36"/>
        <v>28.000000000000004</v>
      </c>
      <c r="AL91" s="9">
        <f t="shared" si="37"/>
        <v>0</v>
      </c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</row>
    <row r="92" spans="1:54" x14ac:dyDescent="0.25">
      <c r="A92" s="9" t="s">
        <v>132</v>
      </c>
      <c r="B92" s="9" t="s">
        <v>36</v>
      </c>
      <c r="C92" s="9">
        <v>17</v>
      </c>
      <c r="D92" s="9"/>
      <c r="E92" s="9">
        <v>10</v>
      </c>
      <c r="F92" s="9">
        <v>6</v>
      </c>
      <c r="G92" s="7">
        <v>0.4</v>
      </c>
      <c r="H92" s="9">
        <f>VLOOKUP(A92,[1]Sheet!$A:$H,8,0)</f>
        <v>60</v>
      </c>
      <c r="I92" s="9" t="s">
        <v>37</v>
      </c>
      <c r="J92" s="9"/>
      <c r="K92" s="9">
        <v>10</v>
      </c>
      <c r="L92" s="9">
        <f t="shared" si="28"/>
        <v>0</v>
      </c>
      <c r="M92" s="9">
        <f t="shared" si="29"/>
        <v>10</v>
      </c>
      <c r="N92" s="9"/>
      <c r="O92" s="9">
        <v>8</v>
      </c>
      <c r="P92" s="9"/>
      <c r="Q92" s="9">
        <f t="shared" si="30"/>
        <v>2</v>
      </c>
      <c r="R92" s="4">
        <f t="shared" si="26"/>
        <v>14</v>
      </c>
      <c r="S92" s="4">
        <f t="shared" si="32"/>
        <v>14</v>
      </c>
      <c r="T92" s="4"/>
      <c r="U92" s="4">
        <f t="shared" si="33"/>
        <v>14</v>
      </c>
      <c r="V92" s="4">
        <f t="shared" si="34"/>
        <v>14</v>
      </c>
      <c r="W92" s="4"/>
      <c r="X92" s="4"/>
      <c r="Y92" s="9"/>
      <c r="Z92" s="9">
        <f t="shared" si="35"/>
        <v>14</v>
      </c>
      <c r="AA92" s="9">
        <f t="shared" si="31"/>
        <v>7</v>
      </c>
      <c r="AB92" s="9">
        <v>1.4</v>
      </c>
      <c r="AC92" s="9">
        <v>1.6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 t="s">
        <v>133</v>
      </c>
      <c r="AK92" s="9">
        <f t="shared" si="36"/>
        <v>5.6000000000000005</v>
      </c>
      <c r="AL92" s="9">
        <f t="shared" si="37"/>
        <v>0</v>
      </c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</row>
    <row r="93" spans="1:54" x14ac:dyDescent="0.25">
      <c r="A93" s="15" t="s">
        <v>134</v>
      </c>
      <c r="B93" s="15" t="s">
        <v>36</v>
      </c>
      <c r="C93" s="15">
        <v>36</v>
      </c>
      <c r="D93" s="15"/>
      <c r="E93" s="18">
        <v>27</v>
      </c>
      <c r="F93" s="15"/>
      <c r="G93" s="16">
        <v>0</v>
      </c>
      <c r="H93" s="15" t="e">
        <f>VLOOKUP(A93,[1]Sheet!$A:$H,8,0)</f>
        <v>#N/A</v>
      </c>
      <c r="I93" s="15" t="s">
        <v>135</v>
      </c>
      <c r="J93" s="15" t="s">
        <v>99</v>
      </c>
      <c r="K93" s="15">
        <v>27</v>
      </c>
      <c r="L93" s="15">
        <f t="shared" si="28"/>
        <v>0</v>
      </c>
      <c r="M93" s="15">
        <f t="shared" si="29"/>
        <v>27</v>
      </c>
      <c r="N93" s="15"/>
      <c r="O93" s="15">
        <v>0</v>
      </c>
      <c r="P93" s="15"/>
      <c r="Q93" s="15">
        <f t="shared" si="30"/>
        <v>5.4</v>
      </c>
      <c r="R93" s="17"/>
      <c r="S93" s="4">
        <f t="shared" si="32"/>
        <v>0</v>
      </c>
      <c r="T93" s="17"/>
      <c r="U93" s="4">
        <f t="shared" si="33"/>
        <v>0</v>
      </c>
      <c r="V93" s="4">
        <f t="shared" si="34"/>
        <v>0</v>
      </c>
      <c r="W93" s="4"/>
      <c r="X93" s="17"/>
      <c r="Y93" s="15"/>
      <c r="Z93" s="9">
        <f t="shared" si="35"/>
        <v>0</v>
      </c>
      <c r="AA93" s="15">
        <f t="shared" si="31"/>
        <v>0</v>
      </c>
      <c r="AB93" s="15">
        <v>6.4</v>
      </c>
      <c r="AC93" s="15">
        <v>5.6</v>
      </c>
      <c r="AD93" s="15">
        <v>9.4</v>
      </c>
      <c r="AE93" s="15">
        <v>10</v>
      </c>
      <c r="AF93" s="15">
        <v>5.8</v>
      </c>
      <c r="AG93" s="15">
        <v>5.2</v>
      </c>
      <c r="AH93" s="15">
        <v>3.4</v>
      </c>
      <c r="AI93" s="15">
        <v>10</v>
      </c>
      <c r="AJ93" s="15"/>
      <c r="AK93" s="9">
        <f t="shared" si="36"/>
        <v>0</v>
      </c>
      <c r="AL93" s="9">
        <f t="shared" si="37"/>
        <v>0</v>
      </c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</row>
    <row r="94" spans="1:54" x14ac:dyDescent="0.25">
      <c r="A94" s="15" t="s">
        <v>136</v>
      </c>
      <c r="B94" s="15" t="s">
        <v>39</v>
      </c>
      <c r="C94" s="15">
        <v>-0.501</v>
      </c>
      <c r="D94" s="15">
        <v>93.501000000000005</v>
      </c>
      <c r="E94" s="18">
        <v>56.725000000000001</v>
      </c>
      <c r="F94" s="18">
        <v>30.015999999999998</v>
      </c>
      <c r="G94" s="16">
        <v>0</v>
      </c>
      <c r="H94" s="15" t="e">
        <f>VLOOKUP(A94,[1]Sheet!$A:$H,8,0)</f>
        <v>#N/A</v>
      </c>
      <c r="I94" s="15" t="s">
        <v>135</v>
      </c>
      <c r="J94" s="15" t="s">
        <v>100</v>
      </c>
      <c r="K94" s="15">
        <v>54</v>
      </c>
      <c r="L94" s="15">
        <f t="shared" si="28"/>
        <v>2.7250000000000014</v>
      </c>
      <c r="M94" s="15">
        <f t="shared" si="29"/>
        <v>56.725000000000001</v>
      </c>
      <c r="N94" s="15"/>
      <c r="O94" s="15">
        <v>0</v>
      </c>
      <c r="P94" s="15"/>
      <c r="Q94" s="15">
        <f t="shared" si="30"/>
        <v>11.345000000000001</v>
      </c>
      <c r="R94" s="17"/>
      <c r="S94" s="4">
        <f t="shared" si="32"/>
        <v>0</v>
      </c>
      <c r="T94" s="17"/>
      <c r="U94" s="4">
        <f t="shared" si="33"/>
        <v>0</v>
      </c>
      <c r="V94" s="4">
        <f t="shared" si="34"/>
        <v>0</v>
      </c>
      <c r="W94" s="4"/>
      <c r="X94" s="17"/>
      <c r="Y94" s="15"/>
      <c r="Z94" s="9">
        <f t="shared" si="35"/>
        <v>2.6457470251211985</v>
      </c>
      <c r="AA94" s="15">
        <f t="shared" si="31"/>
        <v>2.6457470251211985</v>
      </c>
      <c r="AB94" s="15">
        <v>7.2774000000000001</v>
      </c>
      <c r="AC94" s="15">
        <v>6.3996000000000004</v>
      </c>
      <c r="AD94" s="15">
        <v>10.6008</v>
      </c>
      <c r="AE94" s="15">
        <v>10.352</v>
      </c>
      <c r="AF94" s="15">
        <v>7.5202</v>
      </c>
      <c r="AG94" s="15">
        <v>7.7866</v>
      </c>
      <c r="AH94" s="15">
        <v>8.3276000000000003</v>
      </c>
      <c r="AI94" s="15">
        <v>9.8574000000000002</v>
      </c>
      <c r="AJ94" s="15"/>
      <c r="AK94" s="9">
        <f t="shared" si="36"/>
        <v>0</v>
      </c>
      <c r="AL94" s="9">
        <f t="shared" si="37"/>
        <v>0</v>
      </c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</row>
    <row r="95" spans="1:54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</row>
    <row r="96" spans="1:54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</row>
    <row r="97" spans="1:54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</row>
    <row r="98" spans="1:54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</row>
    <row r="99" spans="1:54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</row>
    <row r="100" spans="1:54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</row>
    <row r="101" spans="1:54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</row>
    <row r="102" spans="1:54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</row>
    <row r="103" spans="1:54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</row>
    <row r="104" spans="1:54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</row>
    <row r="105" spans="1:54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</row>
    <row r="106" spans="1:54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</row>
    <row r="107" spans="1:54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</row>
    <row r="108" spans="1:54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</row>
    <row r="109" spans="1:54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</row>
    <row r="110" spans="1:54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</row>
    <row r="111" spans="1:54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</row>
    <row r="112" spans="1:54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</row>
    <row r="113" spans="1:54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</row>
    <row r="114" spans="1:54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</row>
    <row r="115" spans="1:54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</row>
    <row r="116" spans="1:54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spans="1:54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</row>
    <row r="118" spans="1:54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</row>
    <row r="119" spans="1:54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</row>
    <row r="120" spans="1:54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</row>
    <row r="121" spans="1:54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</row>
    <row r="122" spans="1:54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</row>
    <row r="123" spans="1:54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</row>
    <row r="124" spans="1:54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</row>
    <row r="125" spans="1:54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</row>
    <row r="126" spans="1:54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</row>
    <row r="127" spans="1:54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</row>
    <row r="128" spans="1:54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</row>
    <row r="129" spans="1:54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</row>
    <row r="130" spans="1:54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</row>
    <row r="131" spans="1:54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</row>
    <row r="132" spans="1:54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</row>
    <row r="133" spans="1:54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</row>
    <row r="134" spans="1:54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</row>
    <row r="135" spans="1:54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</row>
    <row r="136" spans="1:54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</row>
    <row r="137" spans="1:54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</row>
    <row r="138" spans="1:54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</row>
    <row r="139" spans="1:54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</row>
    <row r="140" spans="1:54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</row>
    <row r="141" spans="1:54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</row>
    <row r="142" spans="1:54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</row>
    <row r="143" spans="1:54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</row>
    <row r="144" spans="1:54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</row>
    <row r="145" spans="1:54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</row>
    <row r="146" spans="1:54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</row>
    <row r="147" spans="1:54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</row>
    <row r="148" spans="1:54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</row>
    <row r="149" spans="1:54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</row>
    <row r="150" spans="1:54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</row>
    <row r="151" spans="1:54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</row>
    <row r="152" spans="1:54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</row>
    <row r="153" spans="1:54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</row>
    <row r="154" spans="1:54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</row>
    <row r="155" spans="1:54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</row>
    <row r="156" spans="1:54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</row>
    <row r="157" spans="1:54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</row>
    <row r="158" spans="1:54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</row>
    <row r="159" spans="1:54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</row>
    <row r="160" spans="1:54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</row>
    <row r="161" spans="1:54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</row>
    <row r="162" spans="1:54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</row>
    <row r="163" spans="1:54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</row>
    <row r="164" spans="1:54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</row>
    <row r="165" spans="1:54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</row>
    <row r="166" spans="1:54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</row>
    <row r="167" spans="1:54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</row>
    <row r="168" spans="1:54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</row>
    <row r="169" spans="1:54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</row>
    <row r="170" spans="1:54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</row>
    <row r="171" spans="1:54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</row>
    <row r="172" spans="1:54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</row>
    <row r="173" spans="1:54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</row>
    <row r="174" spans="1:54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</row>
    <row r="175" spans="1:54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</row>
    <row r="176" spans="1:54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</row>
    <row r="177" spans="1:54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</row>
    <row r="178" spans="1:54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</row>
    <row r="179" spans="1:54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</row>
    <row r="180" spans="1:54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</row>
    <row r="181" spans="1:54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</row>
    <row r="182" spans="1:54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</row>
    <row r="183" spans="1:54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</row>
    <row r="184" spans="1:54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</row>
    <row r="185" spans="1:54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</row>
    <row r="186" spans="1:54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</row>
    <row r="187" spans="1:54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</row>
    <row r="188" spans="1:54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</row>
    <row r="189" spans="1:54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</row>
    <row r="190" spans="1:54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</row>
    <row r="191" spans="1:54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</row>
    <row r="192" spans="1:54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</row>
    <row r="193" spans="1:54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</row>
    <row r="194" spans="1:54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</row>
    <row r="195" spans="1:54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</row>
    <row r="196" spans="1:54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</row>
    <row r="197" spans="1:54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</row>
    <row r="198" spans="1:54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</row>
    <row r="199" spans="1:54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</row>
    <row r="200" spans="1:54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</row>
    <row r="201" spans="1:54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</row>
    <row r="202" spans="1:54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</row>
    <row r="203" spans="1:54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</row>
    <row r="204" spans="1:54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</row>
    <row r="205" spans="1:54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</row>
    <row r="206" spans="1:54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</row>
    <row r="207" spans="1:54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</row>
    <row r="208" spans="1:54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</row>
    <row r="209" spans="1:54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</row>
    <row r="210" spans="1:54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</row>
    <row r="211" spans="1:54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</row>
    <row r="212" spans="1:54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</row>
    <row r="213" spans="1:54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</row>
    <row r="214" spans="1:54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</row>
    <row r="215" spans="1:54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</row>
    <row r="216" spans="1:54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</row>
    <row r="217" spans="1:54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</row>
    <row r="218" spans="1:54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</row>
    <row r="219" spans="1:54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</row>
    <row r="220" spans="1:54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</row>
    <row r="221" spans="1:54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</row>
    <row r="222" spans="1:54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</row>
    <row r="223" spans="1:54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</row>
    <row r="224" spans="1:54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</row>
    <row r="225" spans="1:54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</row>
    <row r="226" spans="1:54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</row>
    <row r="227" spans="1:54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</row>
    <row r="228" spans="1:54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</row>
    <row r="229" spans="1:54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</row>
    <row r="230" spans="1:54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</row>
    <row r="231" spans="1:54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</row>
    <row r="232" spans="1:54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</row>
    <row r="233" spans="1:54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</row>
    <row r="234" spans="1:54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</row>
    <row r="235" spans="1:54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</row>
    <row r="236" spans="1:54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</row>
    <row r="237" spans="1:54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</row>
    <row r="238" spans="1:54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</row>
    <row r="239" spans="1:54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</row>
    <row r="240" spans="1:54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</row>
    <row r="241" spans="1:54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</row>
    <row r="242" spans="1:54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</row>
    <row r="243" spans="1:54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</row>
    <row r="244" spans="1:54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</row>
    <row r="245" spans="1:54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</row>
    <row r="246" spans="1:54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</row>
    <row r="247" spans="1:54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</row>
    <row r="248" spans="1:54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</row>
    <row r="249" spans="1:54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</row>
    <row r="250" spans="1:54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</row>
    <row r="251" spans="1:54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</row>
    <row r="252" spans="1:54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</row>
    <row r="253" spans="1:54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</row>
    <row r="254" spans="1:54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</row>
    <row r="255" spans="1:54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</row>
    <row r="256" spans="1:54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</row>
    <row r="257" spans="1:54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</row>
    <row r="258" spans="1:54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</row>
    <row r="259" spans="1:54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</row>
    <row r="260" spans="1:54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</row>
    <row r="261" spans="1:54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</row>
    <row r="262" spans="1:54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</row>
    <row r="263" spans="1:54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</row>
    <row r="264" spans="1:54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</row>
    <row r="265" spans="1:54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</row>
    <row r="266" spans="1:54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</row>
    <row r="267" spans="1:54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</row>
    <row r="268" spans="1:54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</row>
    <row r="269" spans="1:54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</row>
    <row r="270" spans="1:54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</row>
    <row r="271" spans="1:54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</row>
    <row r="272" spans="1:54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</row>
    <row r="273" spans="1:54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</row>
    <row r="274" spans="1:54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</row>
    <row r="275" spans="1:54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</row>
    <row r="276" spans="1:54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</row>
    <row r="277" spans="1:54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</row>
    <row r="278" spans="1:54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</row>
    <row r="279" spans="1:54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</row>
    <row r="280" spans="1:54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</row>
    <row r="281" spans="1:54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</row>
    <row r="282" spans="1:54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</row>
    <row r="283" spans="1:54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</row>
    <row r="284" spans="1:54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</row>
    <row r="285" spans="1:54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</row>
    <row r="286" spans="1:54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</row>
    <row r="287" spans="1:54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</row>
    <row r="288" spans="1:54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</row>
    <row r="289" spans="1:54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</row>
    <row r="290" spans="1:54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</row>
    <row r="291" spans="1:54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</row>
    <row r="292" spans="1:54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</row>
    <row r="293" spans="1:54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</row>
    <row r="294" spans="1:54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</row>
    <row r="295" spans="1:54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</row>
    <row r="296" spans="1:54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</row>
    <row r="297" spans="1:54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</row>
    <row r="298" spans="1:54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</row>
    <row r="299" spans="1:54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</row>
    <row r="300" spans="1:54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</row>
    <row r="301" spans="1:54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</row>
    <row r="302" spans="1:54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</row>
    <row r="303" spans="1:54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</row>
    <row r="304" spans="1:54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</row>
    <row r="305" spans="1:54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</row>
    <row r="306" spans="1:54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</row>
    <row r="307" spans="1:54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</row>
    <row r="308" spans="1:54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</row>
    <row r="309" spans="1:54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</row>
    <row r="310" spans="1:54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</row>
    <row r="311" spans="1:54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</row>
    <row r="312" spans="1:54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</row>
    <row r="313" spans="1:54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</row>
    <row r="314" spans="1:54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</row>
    <row r="315" spans="1:54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</row>
    <row r="316" spans="1:54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</row>
    <row r="317" spans="1:54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</row>
    <row r="318" spans="1:54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</row>
    <row r="319" spans="1:54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</row>
    <row r="320" spans="1:54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</row>
    <row r="321" spans="1:54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</row>
    <row r="322" spans="1:54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</row>
    <row r="323" spans="1:54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</row>
    <row r="324" spans="1:54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</row>
    <row r="325" spans="1:54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</row>
    <row r="326" spans="1:54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</row>
    <row r="327" spans="1:54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</row>
    <row r="328" spans="1:54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</row>
    <row r="329" spans="1:54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</row>
    <row r="330" spans="1:54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</row>
    <row r="331" spans="1:54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</row>
    <row r="332" spans="1:54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</row>
    <row r="333" spans="1:54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</row>
    <row r="334" spans="1:54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</row>
    <row r="335" spans="1:54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</row>
    <row r="336" spans="1:54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</row>
    <row r="337" spans="1:54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</row>
    <row r="338" spans="1:54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</row>
    <row r="339" spans="1:54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</row>
    <row r="340" spans="1:54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</row>
    <row r="341" spans="1:54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</row>
    <row r="342" spans="1:54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</row>
    <row r="343" spans="1:54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</row>
    <row r="344" spans="1:54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</row>
    <row r="345" spans="1:54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</row>
    <row r="346" spans="1:54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</row>
    <row r="347" spans="1:54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</row>
    <row r="348" spans="1:54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</row>
    <row r="349" spans="1:54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</row>
    <row r="350" spans="1:54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</row>
    <row r="351" spans="1:54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</row>
    <row r="352" spans="1:54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</row>
    <row r="353" spans="1:54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</row>
    <row r="354" spans="1:54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</row>
    <row r="355" spans="1:54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</row>
    <row r="356" spans="1:54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</row>
    <row r="357" spans="1:54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</row>
    <row r="358" spans="1:54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</row>
    <row r="359" spans="1:54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</row>
    <row r="360" spans="1:54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</row>
    <row r="361" spans="1:54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</row>
    <row r="362" spans="1:54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</row>
    <row r="363" spans="1:54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</row>
    <row r="364" spans="1:54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</row>
    <row r="365" spans="1:54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</row>
    <row r="366" spans="1:54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</row>
    <row r="367" spans="1:54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</row>
    <row r="368" spans="1:54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</row>
    <row r="369" spans="1:54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</row>
    <row r="370" spans="1:54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</row>
    <row r="371" spans="1:54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</row>
    <row r="372" spans="1:54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</row>
    <row r="373" spans="1:54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</row>
    <row r="374" spans="1:54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</row>
    <row r="375" spans="1:54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</row>
    <row r="376" spans="1:54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</row>
    <row r="377" spans="1:54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</row>
    <row r="378" spans="1:54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</row>
    <row r="379" spans="1:54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</row>
    <row r="380" spans="1:54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</row>
    <row r="381" spans="1:54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</row>
    <row r="382" spans="1:54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</row>
    <row r="383" spans="1:54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</row>
    <row r="384" spans="1:54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</row>
    <row r="385" spans="1:54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</row>
    <row r="386" spans="1:54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</row>
    <row r="387" spans="1:54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</row>
    <row r="388" spans="1:54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</row>
    <row r="389" spans="1:54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</row>
    <row r="390" spans="1:54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</row>
    <row r="391" spans="1:54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</row>
    <row r="392" spans="1:54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</row>
    <row r="393" spans="1:54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</row>
    <row r="394" spans="1:54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</row>
    <row r="395" spans="1:54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</row>
    <row r="396" spans="1:54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</row>
    <row r="397" spans="1:54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</row>
    <row r="398" spans="1:54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</row>
    <row r="399" spans="1:54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</row>
    <row r="400" spans="1:54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</row>
    <row r="401" spans="1:54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</row>
    <row r="402" spans="1:54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</row>
    <row r="403" spans="1:54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</row>
    <row r="404" spans="1:54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</row>
    <row r="405" spans="1:54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</row>
    <row r="406" spans="1:54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</row>
    <row r="407" spans="1:54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</row>
    <row r="408" spans="1:54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</row>
    <row r="409" spans="1:54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</row>
    <row r="410" spans="1:54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</row>
    <row r="411" spans="1:54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</row>
    <row r="412" spans="1:54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</row>
    <row r="413" spans="1:54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</row>
    <row r="414" spans="1:54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</row>
    <row r="415" spans="1:54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</row>
    <row r="416" spans="1:54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</row>
    <row r="417" spans="1:54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</row>
    <row r="418" spans="1:54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</row>
    <row r="419" spans="1:54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</row>
    <row r="420" spans="1:54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</row>
    <row r="421" spans="1:54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</row>
    <row r="422" spans="1:54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</row>
    <row r="423" spans="1:54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</row>
    <row r="424" spans="1:54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</row>
    <row r="425" spans="1:54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</row>
    <row r="426" spans="1:54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</row>
    <row r="427" spans="1:54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</row>
    <row r="428" spans="1:54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</row>
    <row r="429" spans="1:54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</row>
    <row r="430" spans="1:54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</row>
    <row r="431" spans="1:54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</row>
    <row r="432" spans="1:54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</row>
    <row r="433" spans="1:54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</row>
    <row r="434" spans="1:54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</row>
    <row r="435" spans="1:54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</row>
    <row r="436" spans="1:54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</row>
    <row r="437" spans="1:54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</row>
    <row r="438" spans="1:54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</row>
    <row r="439" spans="1:54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</row>
    <row r="440" spans="1:54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</row>
    <row r="441" spans="1:54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</row>
    <row r="442" spans="1:54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</row>
    <row r="443" spans="1:54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</row>
    <row r="444" spans="1:54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</row>
    <row r="445" spans="1:54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</row>
    <row r="446" spans="1:54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</row>
    <row r="447" spans="1:54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</row>
    <row r="448" spans="1:54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</row>
    <row r="449" spans="1:54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</row>
    <row r="450" spans="1:54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</row>
    <row r="451" spans="1:54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</row>
    <row r="452" spans="1:54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</row>
    <row r="453" spans="1:54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</row>
    <row r="454" spans="1:54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</row>
    <row r="455" spans="1:54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</row>
    <row r="456" spans="1:54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</row>
    <row r="457" spans="1:54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</row>
    <row r="458" spans="1:54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</row>
    <row r="459" spans="1:54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</row>
    <row r="460" spans="1:54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</row>
    <row r="461" spans="1:54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</row>
    <row r="462" spans="1:54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</row>
    <row r="463" spans="1:54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</row>
    <row r="464" spans="1:54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</row>
    <row r="465" spans="1:54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</row>
    <row r="466" spans="1:54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</row>
    <row r="467" spans="1:54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</row>
    <row r="468" spans="1:54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</row>
    <row r="469" spans="1:54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</row>
    <row r="470" spans="1:54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</row>
    <row r="471" spans="1:54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</row>
    <row r="472" spans="1:54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</row>
    <row r="473" spans="1:54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</row>
    <row r="474" spans="1:54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</row>
    <row r="475" spans="1:54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</row>
    <row r="476" spans="1:54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</row>
    <row r="477" spans="1:54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</row>
    <row r="478" spans="1:54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</row>
    <row r="479" spans="1:54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</row>
    <row r="480" spans="1:54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</row>
    <row r="481" spans="1:54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</row>
    <row r="482" spans="1:54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</row>
    <row r="483" spans="1:54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</row>
    <row r="484" spans="1:54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</row>
    <row r="485" spans="1:54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</row>
    <row r="486" spans="1:54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</row>
    <row r="487" spans="1:54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</row>
    <row r="488" spans="1:54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</row>
    <row r="489" spans="1:54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</row>
    <row r="490" spans="1:54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</row>
    <row r="491" spans="1:54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</row>
    <row r="492" spans="1:54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</row>
    <row r="493" spans="1:54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</row>
    <row r="494" spans="1:54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</row>
    <row r="495" spans="1:54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</row>
    <row r="496" spans="1:54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</row>
    <row r="497" spans="1:54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</row>
    <row r="498" spans="1:54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</row>
  </sheetData>
  <autoFilter ref="A3:AK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2025-11-11T13:31:07Z</dcterms:created>
  <dcterms:modified xsi:type="dcterms:W3CDTF">2025-11-12T10:01:31Z</dcterms:modified>
</cp:coreProperties>
</file>