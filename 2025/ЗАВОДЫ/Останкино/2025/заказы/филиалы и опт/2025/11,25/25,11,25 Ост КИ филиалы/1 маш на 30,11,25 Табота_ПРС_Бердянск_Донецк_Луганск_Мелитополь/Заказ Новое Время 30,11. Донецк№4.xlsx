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96365B00-DE11-4237-8C1B-1B4F77B0B31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Бланк!$A$9:$J$131</definedName>
    <definedName name="кол_во_инд.__упак_к">Бланк!$AC$3:$AC$567</definedName>
    <definedName name="номин.вес_нетто__кг">Бланк!$W$3:$W$567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1" i="1" l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1" i="1" s="1"/>
  <c r="A11" i="1"/>
  <c r="F3" i="1"/>
</calcChain>
</file>

<file path=xl/sharedStrings.xml><?xml version="1.0" encoding="utf-8"?>
<sst xmlns="http://schemas.openxmlformats.org/spreadsheetml/2006/main" count="255" uniqueCount="145">
  <si>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</si>
  <si>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</si>
  <si>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</si>
  <si>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</si>
  <si>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</si>
  <si>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</si>
  <si>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</si>
  <si>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</si>
  <si>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</si>
  <si>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</si>
  <si>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</si>
  <si>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</si>
  <si>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</si>
  <si>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</si>
  <si>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</si>
  <si>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</si>
  <si>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</si>
  <si>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</si>
  <si>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</si>
  <si>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</si>
  <si>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</si>
  <si>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</si>
  <si>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</si>
  <si>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</si>
  <si>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</si>
  <si>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</si>
  <si>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</si>
  <si>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</si>
  <si>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</si>
  <si>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</si>
  <si>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</si>
  <si>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</si>
  <si>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</si>
  <si>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</si>
  <si>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</si>
  <si>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</si>
  <si>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</si>
  <si>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</si>
  <si>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</si>
  <si>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</si>
  <si>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</si>
  <si>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</si>
  <si>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</si>
  <si>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</si>
  <si>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</si>
  <si>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</si>
  <si>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</si>
  <si>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</si>
  <si>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</si>
  <si>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</si>
  <si>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</si>
  <si>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</si>
  <si>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</si>
  <si>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</si>
  <si>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</si>
  <si>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</si>
  <si>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</si>
  <si>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</si>
  <si>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</si>
  <si>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</si>
  <si>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</si>
  <si>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</si>
  <si>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</si>
  <si>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</si>
  <si>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</si>
  <si>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</si>
  <si>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</si>
  <si>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</si>
  <si>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</si>
  <si>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</si>
  <si>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</si>
  <si>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</si>
  <si>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</si>
  <si>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</si>
  <si>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</si>
  <si>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</si>
  <si>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</si>
  <si>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</si>
  <si>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</si>
  <si>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</si>
  <si>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</si>
  <si>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</si>
  <si>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</si>
  <si>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</si>
  <si>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</si>
  <si>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</si>
  <si>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</si>
  <si>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</si>
  <si>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</si>
  <si>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</si>
  <si>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</si>
  <si>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</si>
  <si>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</si>
  <si>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</si>
  <si>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</si>
  <si>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</si>
  <si>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</si>
  <si>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</si>
  <si>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</si>
  <si>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</si>
  <si>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</si>
  <si>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</si>
  <si>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</si>
  <si>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</si>
  <si>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</si>
  <si>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</si>
  <si>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</si>
  <si>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</si>
  <si>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</si>
  <si>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</si>
  <si>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</si>
  <si>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</si>
  <si>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</si>
  <si>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</si>
  <si>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</si>
  <si>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</si>
  <si>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1/120_60с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</si>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</sst>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12" borderId="0" xfId="0" applyFont="1" applyFill="1" applyAlignment="1">
      <alignment horizontal="center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5"/>
  <sheetViews>
    <sheetView tabSelected="1" zoomScale="87" zoomScaleNormal="87" workbookViewId="0">
      <pane ySplit="9" topLeftCell="A124" activePane="bottomLeft" state="frozen"/>
      <selection pane="bottomLeft" activeCell="M132" sqref="M132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130438120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4">
        <v>45991</v>
      </c>
      <c r="E3" s="7" t="s">
        <v>3</v>
      </c>
      <c r="F3" s="84">
        <f>D3+3</f>
        <v>45994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584</v>
      </c>
      <c r="F12" s="23">
        <v>1.3340000000000001</v>
      </c>
      <c r="G12" s="23">
        <f>E12</f>
        <v>584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>
        <v>253</v>
      </c>
      <c r="F25" s="23">
        <v>0.4</v>
      </c>
      <c r="G25" s="23">
        <f>E25*F25</f>
        <v>101.2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39</v>
      </c>
      <c r="C26" s="73" t="s">
        <v>21</v>
      </c>
      <c r="D26" s="74">
        <v>1001016747343</v>
      </c>
      <c r="E26" s="24">
        <v>8</v>
      </c>
      <c r="F26" s="23">
        <v>0.4</v>
      </c>
      <c r="G26" s="23">
        <f>E26*F26</f>
        <v>3.2</v>
      </c>
      <c r="H26" s="14"/>
      <c r="I26" s="14"/>
      <c r="J26" s="29"/>
    </row>
    <row r="27" spans="1:10" ht="16.5" customHeight="1" x14ac:dyDescent="0.25">
      <c r="A27" s="60" t="str">
        <f t="shared" ref="A27:A35" si="1">RIGHT(D27,4)</f>
        <v>6325</v>
      </c>
      <c r="B27" s="80" t="s">
        <v>40</v>
      </c>
      <c r="C27" s="73" t="s">
        <v>21</v>
      </c>
      <c r="D27" s="74">
        <v>1001010106325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41</v>
      </c>
      <c r="C28" s="73" t="s">
        <v>21</v>
      </c>
      <c r="D28" s="74">
        <v>1001013957231</v>
      </c>
      <c r="E28" s="24">
        <v>30</v>
      </c>
      <c r="F28" s="23">
        <v>0.3</v>
      </c>
      <c r="G28" s="23">
        <f>E28*F28</f>
        <v>9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42</v>
      </c>
      <c r="C29" s="73" t="s">
        <v>21</v>
      </c>
      <c r="D29" s="74">
        <v>1001010016324</v>
      </c>
      <c r="E29" s="24">
        <v>162</v>
      </c>
      <c r="F29" s="23">
        <v>0.4</v>
      </c>
      <c r="G29" s="23">
        <f>E29*F29</f>
        <v>64.8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43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44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45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46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47</v>
      </c>
      <c r="C34" s="73" t="s">
        <v>21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83">
        <v>7255</v>
      </c>
      <c r="B36" s="64" t="s">
        <v>49</v>
      </c>
      <c r="C36" s="65" t="s">
        <v>32</v>
      </c>
      <c r="D36" s="66">
        <v>1001025507255</v>
      </c>
      <c r="E36" s="24">
        <v>377</v>
      </c>
      <c r="F36" s="67">
        <v>0.4</v>
      </c>
      <c r="G36" s="23">
        <f>E36*F36</f>
        <v>150.80000000000001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ref="A37:A49" si="2">RIGHT(D37,4)</f>
        <v>6602</v>
      </c>
      <c r="B37" s="80" t="s">
        <v>50</v>
      </c>
      <c r="C37" s="73" t="s">
        <v>32</v>
      </c>
      <c r="D37" s="74">
        <v>1001021966602</v>
      </c>
      <c r="E37" s="24">
        <v>114</v>
      </c>
      <c r="F37" s="23">
        <v>0.35</v>
      </c>
      <c r="G37" s="23">
        <f>E37*F37</f>
        <v>39.9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2"/>
        <v>6303</v>
      </c>
      <c r="B38" s="56" t="s">
        <v>51</v>
      </c>
      <c r="C38" s="54" t="s">
        <v>23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2"/>
        <v>5819</v>
      </c>
      <c r="B39" s="36" t="s">
        <v>52</v>
      </c>
      <c r="C39" s="73" t="s">
        <v>21</v>
      </c>
      <c r="D39" s="74">
        <v>1001022725819</v>
      </c>
      <c r="E39" s="24"/>
      <c r="F39" s="23">
        <v>0.4</v>
      </c>
      <c r="G39" s="23">
        <f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2"/>
        <v>6762</v>
      </c>
      <c r="B40" s="36" t="s">
        <v>53</v>
      </c>
      <c r="C40" s="73" t="s">
        <v>21</v>
      </c>
      <c r="D40" s="74">
        <v>1001020846762</v>
      </c>
      <c r="E40" s="24"/>
      <c r="F40" s="23">
        <v>0.41</v>
      </c>
      <c r="G40" s="23">
        <f>E40*F40</f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2"/>
        <v>6765</v>
      </c>
      <c r="B41" s="36" t="s">
        <v>54</v>
      </c>
      <c r="C41" s="73" t="s">
        <v>21</v>
      </c>
      <c r="D41" s="74">
        <v>1001023696765</v>
      </c>
      <c r="E41" s="24">
        <v>257</v>
      </c>
      <c r="F41" s="23">
        <v>0.36</v>
      </c>
      <c r="G41" s="23">
        <f>E41*F41</f>
        <v>92.52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2"/>
        <v>6759</v>
      </c>
      <c r="B42" s="36" t="s">
        <v>55</v>
      </c>
      <c r="C42" s="73" t="s">
        <v>21</v>
      </c>
      <c r="D42" s="74">
        <v>1001020836759</v>
      </c>
      <c r="E42" s="24"/>
      <c r="F42" s="23">
        <v>0.4</v>
      </c>
      <c r="G42" s="23">
        <f>E42*F42</f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2"/>
        <v>6616</v>
      </c>
      <c r="B43" s="36" t="s">
        <v>56</v>
      </c>
      <c r="C43" s="73" t="s">
        <v>21</v>
      </c>
      <c r="D43" s="74">
        <v>1001024976616</v>
      </c>
      <c r="E43" s="24">
        <v>188</v>
      </c>
      <c r="F43" s="23">
        <v>0.3</v>
      </c>
      <c r="G43" s="23">
        <f>E43*F43</f>
        <v>56.4</v>
      </c>
      <c r="H43" s="14"/>
      <c r="I43" s="14"/>
      <c r="J43" s="29"/>
      <c r="K43" s="27"/>
    </row>
    <row r="44" spans="1:11" ht="16.5" customHeight="1" x14ac:dyDescent="0.25">
      <c r="A44" s="60" t="str">
        <f t="shared" si="2"/>
        <v>7082</v>
      </c>
      <c r="B44" s="35" t="s">
        <v>57</v>
      </c>
      <c r="C44" s="73" t="s">
        <v>23</v>
      </c>
      <c r="D44" s="74">
        <v>1001022467082</v>
      </c>
      <c r="E44" s="24">
        <v>106</v>
      </c>
      <c r="F44" s="23">
        <v>2.125</v>
      </c>
      <c r="G44" s="23">
        <f>E44</f>
        <v>106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2"/>
        <v>6767</v>
      </c>
      <c r="B45" s="35" t="s">
        <v>58</v>
      </c>
      <c r="C45" s="73" t="s">
        <v>23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2"/>
        <v>7070</v>
      </c>
      <c r="B46" s="35" t="s">
        <v>59</v>
      </c>
      <c r="C46" s="73" t="s">
        <v>23</v>
      </c>
      <c r="D46" s="74">
        <v>1001022377070</v>
      </c>
      <c r="E46" s="24">
        <v>203</v>
      </c>
      <c r="F46" s="23"/>
      <c r="G46" s="23">
        <f>E46</f>
        <v>203</v>
      </c>
      <c r="H46" s="14"/>
      <c r="I46" s="14"/>
      <c r="J46" s="29"/>
    </row>
    <row r="47" spans="1:11" s="15" customFormat="1" ht="16.5" customHeight="1" x14ac:dyDescent="0.25">
      <c r="A47" s="60" t="str">
        <f t="shared" si="2"/>
        <v>6661</v>
      </c>
      <c r="B47" s="53" t="s">
        <v>60</v>
      </c>
      <c r="C47" s="54" t="s">
        <v>23</v>
      </c>
      <c r="D47" s="55">
        <v>1001022246661</v>
      </c>
      <c r="E47" s="24"/>
      <c r="F47" s="23">
        <v>1</v>
      </c>
      <c r="G47" s="23">
        <f>E47</f>
        <v>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2"/>
        <v>6475</v>
      </c>
      <c r="B48" s="80" t="s">
        <v>61</v>
      </c>
      <c r="C48" s="73" t="s">
        <v>21</v>
      </c>
      <c r="D48" s="74">
        <v>1001025176475</v>
      </c>
      <c r="E48" s="24">
        <v>44</v>
      </c>
      <c r="F48" s="23">
        <v>0.4</v>
      </c>
      <c r="G48" s="23">
        <f>E48*F48</f>
        <v>17.600000000000001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2"/>
        <v>6713</v>
      </c>
      <c r="B49" s="57" t="s">
        <v>62</v>
      </c>
      <c r="C49" s="54" t="s">
        <v>21</v>
      </c>
      <c r="D49" s="55">
        <v>1001022246713</v>
      </c>
      <c r="E49" s="24">
        <v>112</v>
      </c>
      <c r="F49" s="23">
        <v>0.41</v>
      </c>
      <c r="G49" s="23">
        <f>E49*F49</f>
        <v>45.919999999999995</v>
      </c>
      <c r="H49" s="14">
        <v>3.28</v>
      </c>
      <c r="I49" s="14">
        <v>45</v>
      </c>
      <c r="J49" s="29"/>
    </row>
    <row r="50" spans="1:10" ht="16.5" customHeight="1" x14ac:dyDescent="0.25">
      <c r="A50" s="60">
        <v>6837</v>
      </c>
      <c r="B50" s="52" t="s">
        <v>63</v>
      </c>
      <c r="C50" s="73" t="s">
        <v>21</v>
      </c>
      <c r="D50" s="74">
        <v>1001022556837</v>
      </c>
      <c r="E50" s="24">
        <v>85</v>
      </c>
      <c r="F50" s="23">
        <v>0.4</v>
      </c>
      <c r="G50" s="23">
        <f>E50*F50</f>
        <v>34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ref="A51:A82" si="3">RIGHT(D51,4)</f>
        <v>7284</v>
      </c>
      <c r="B51" s="82" t="s">
        <v>64</v>
      </c>
      <c r="C51" s="73" t="s">
        <v>21</v>
      </c>
      <c r="D51" s="74">
        <v>1001025767284</v>
      </c>
      <c r="E51" s="24">
        <v>15</v>
      </c>
      <c r="F51" s="23">
        <v>0.33</v>
      </c>
      <c r="G51" s="23">
        <f>E51*F51</f>
        <v>4.95</v>
      </c>
      <c r="H51" s="14"/>
      <c r="I51" s="14"/>
      <c r="J51" s="29"/>
    </row>
    <row r="52" spans="1:10" ht="16.5" customHeight="1" x14ac:dyDescent="0.25">
      <c r="A52" s="60" t="str">
        <f t="shared" si="3"/>
        <v>6764</v>
      </c>
      <c r="B52" s="52" t="s">
        <v>65</v>
      </c>
      <c r="C52" s="73" t="s">
        <v>23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3"/>
        <v>6829</v>
      </c>
      <c r="B53" s="57" t="s">
        <v>66</v>
      </c>
      <c r="C53" s="54" t="s">
        <v>23</v>
      </c>
      <c r="D53" s="55">
        <v>1001024976829</v>
      </c>
      <c r="E53" s="24">
        <v>263</v>
      </c>
      <c r="F53" s="23">
        <v>1.0249999999999999</v>
      </c>
      <c r="G53" s="23">
        <f>E53</f>
        <v>263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3"/>
        <v>7075</v>
      </c>
      <c r="B54" s="82" t="s">
        <v>67</v>
      </c>
      <c r="C54" s="73" t="s">
        <v>23</v>
      </c>
      <c r="D54" s="74">
        <v>1001022657075</v>
      </c>
      <c r="E54" s="24">
        <v>8</v>
      </c>
      <c r="F54" s="23"/>
      <c r="G54" s="23">
        <f>E54</f>
        <v>8</v>
      </c>
      <c r="H54" s="14"/>
      <c r="I54" s="14"/>
      <c r="J54" s="29"/>
    </row>
    <row r="55" spans="1:10" ht="16.5" customHeight="1" x14ac:dyDescent="0.25">
      <c r="A55" s="60" t="str">
        <f t="shared" si="3"/>
        <v>7073</v>
      </c>
      <c r="B55" s="82" t="s">
        <v>68</v>
      </c>
      <c r="C55" s="73" t="s">
        <v>21</v>
      </c>
      <c r="D55" s="74">
        <v>1001022657073</v>
      </c>
      <c r="E55" s="24">
        <v>137</v>
      </c>
      <c r="F55" s="23">
        <v>0.35</v>
      </c>
      <c r="G55" s="23">
        <f>E55*F55</f>
        <v>47.949999999999996</v>
      </c>
      <c r="H55" s="14"/>
      <c r="I55" s="14"/>
      <c r="J55" s="29"/>
    </row>
    <row r="56" spans="1:10" ht="16.5" customHeight="1" x14ac:dyDescent="0.25">
      <c r="A56" s="60" t="str">
        <f t="shared" si="3"/>
        <v>6724</v>
      </c>
      <c r="B56" s="82" t="s">
        <v>69</v>
      </c>
      <c r="C56" s="73" t="s">
        <v>21</v>
      </c>
      <c r="D56" s="74">
        <v>1001020836724</v>
      </c>
      <c r="E56" s="24"/>
      <c r="F56" s="23">
        <v>0.41</v>
      </c>
      <c r="G56" s="23">
        <f>F56*E56</f>
        <v>0</v>
      </c>
      <c r="H56" s="14"/>
      <c r="I56" s="14"/>
      <c r="J56" s="29"/>
    </row>
    <row r="57" spans="1:10" ht="16.5" customHeight="1" x14ac:dyDescent="0.25">
      <c r="A57" s="60" t="str">
        <f t="shared" si="3"/>
        <v>6761</v>
      </c>
      <c r="B57" s="52" t="s">
        <v>70</v>
      </c>
      <c r="C57" s="73" t="s">
        <v>23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3"/>
        <v>7080</v>
      </c>
      <c r="B58" s="57" t="s">
        <v>71</v>
      </c>
      <c r="C58" s="54" t="s">
        <v>21</v>
      </c>
      <c r="D58" s="55">
        <v>1001022467080</v>
      </c>
      <c r="E58" s="24">
        <v>378</v>
      </c>
      <c r="F58" s="23">
        <v>0.41</v>
      </c>
      <c r="G58" s="23">
        <f>E58*F58</f>
        <v>154.97999999999999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si="3"/>
        <v>7276</v>
      </c>
      <c r="B59" s="57" t="s">
        <v>72</v>
      </c>
      <c r="C59" s="54" t="s">
        <v>21</v>
      </c>
      <c r="D59" s="55">
        <v>1001022467276</v>
      </c>
      <c r="E59" s="24">
        <v>12</v>
      </c>
      <c r="F59" s="23">
        <v>0.3</v>
      </c>
      <c r="G59" s="23">
        <f>E59*F59</f>
        <v>3.5999999999999996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73</v>
      </c>
      <c r="C60" s="54" t="s">
        <v>21</v>
      </c>
      <c r="D60" s="55">
        <v>1001022377066</v>
      </c>
      <c r="E60" s="24"/>
      <c r="F60" s="23">
        <v>0.41</v>
      </c>
      <c r="G60" s="23">
        <f>E60*F60</f>
        <v>0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74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75</v>
      </c>
      <c r="C62" s="54" t="s">
        <v>37</v>
      </c>
      <c r="D62" s="55">
        <v>1001035937001</v>
      </c>
      <c r="E62" s="24">
        <v>49</v>
      </c>
      <c r="F62" s="75">
        <v>0.98699999999999999</v>
      </c>
      <c r="G62" s="23">
        <f>E62</f>
        <v>49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76</v>
      </c>
      <c r="C63" s="73" t="s">
        <v>37</v>
      </c>
      <c r="D63" s="74">
        <v>1001031076527</v>
      </c>
      <c r="E63" s="24">
        <v>133</v>
      </c>
      <c r="F63" s="23">
        <v>1</v>
      </c>
      <c r="G63" s="23">
        <f>E63</f>
        <v>133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77</v>
      </c>
      <c r="C64" s="73" t="s">
        <v>23</v>
      </c>
      <c r="D64" s="74">
        <v>1001032736550</v>
      </c>
      <c r="E64" s="24">
        <v>8</v>
      </c>
      <c r="F64" s="23">
        <v>1</v>
      </c>
      <c r="G64" s="23">
        <f>E64</f>
        <v>8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78</v>
      </c>
      <c r="C65" s="73" t="s">
        <v>23</v>
      </c>
      <c r="D65" s="74">
        <v>1001033856608</v>
      </c>
      <c r="E65" s="24"/>
      <c r="F65" s="23">
        <v>0.99</v>
      </c>
      <c r="G65" s="23">
        <f>E65</f>
        <v>0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79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80</v>
      </c>
      <c r="C67" s="73" t="s">
        <v>21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81</v>
      </c>
      <c r="C68" s="73" t="s">
        <v>21</v>
      </c>
      <c r="D68" s="74">
        <v>1001214196459</v>
      </c>
      <c r="E68" s="24">
        <v>114</v>
      </c>
      <c r="F68" s="23">
        <v>0.1</v>
      </c>
      <c r="G68" s="23">
        <f t="shared" si="4"/>
        <v>11.4</v>
      </c>
      <c r="H68" s="14"/>
      <c r="I68" s="14"/>
      <c r="J68" s="29"/>
    </row>
    <row r="69" spans="1:10" ht="16.5" customHeight="1" x14ac:dyDescent="0.25">
      <c r="A69" s="60" t="str">
        <f t="shared" si="3"/>
        <v>7232</v>
      </c>
      <c r="B69" s="51" t="s">
        <v>82</v>
      </c>
      <c r="C69" s="73" t="s">
        <v>21</v>
      </c>
      <c r="D69" s="74">
        <v>1001302277232</v>
      </c>
      <c r="E69" s="24">
        <v>157</v>
      </c>
      <c r="F69" s="23">
        <v>0.28000000000000003</v>
      </c>
      <c r="G69" s="23">
        <f t="shared" si="4"/>
        <v>43.96</v>
      </c>
      <c r="H69" s="14"/>
      <c r="I69" s="14">
        <v>50</v>
      </c>
      <c r="J69" s="29"/>
    </row>
    <row r="70" spans="1:10" ht="16.5" customHeight="1" x14ac:dyDescent="0.25">
      <c r="A70" s="60" t="str">
        <f t="shared" si="3"/>
        <v>7332</v>
      </c>
      <c r="B70" s="51" t="s">
        <v>83</v>
      </c>
      <c r="C70" s="73" t="s">
        <v>21</v>
      </c>
      <c r="D70" s="74">
        <v>1001301777332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60" t="str">
        <f t="shared" si="3"/>
        <v>7241</v>
      </c>
      <c r="B71" s="51" t="s">
        <v>84</v>
      </c>
      <c r="C71" s="73" t="s">
        <v>21</v>
      </c>
      <c r="D71" s="74">
        <v>1001303107241</v>
      </c>
      <c r="E71" s="24">
        <v>101</v>
      </c>
      <c r="F71" s="23">
        <v>0.28000000000000003</v>
      </c>
      <c r="G71" s="23">
        <f t="shared" si="4"/>
        <v>28.28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3"/>
        <v>7154</v>
      </c>
      <c r="B72" s="51" t="s">
        <v>85</v>
      </c>
      <c r="C72" s="73" t="s">
        <v>21</v>
      </c>
      <c r="D72" s="74">
        <v>1001300387154</v>
      </c>
      <c r="E72" s="24">
        <v>194</v>
      </c>
      <c r="F72" s="23">
        <v>0.35</v>
      </c>
      <c r="G72" s="23">
        <f t="shared" si="4"/>
        <v>67.899999999999991</v>
      </c>
      <c r="H72" s="14"/>
      <c r="I72" s="14">
        <v>50</v>
      </c>
      <c r="J72" s="29"/>
    </row>
    <row r="73" spans="1:10" ht="16.5" customHeight="1" x14ac:dyDescent="0.25">
      <c r="A73" s="60" t="str">
        <f t="shared" si="3"/>
        <v>6787</v>
      </c>
      <c r="B73" s="53" t="s">
        <v>86</v>
      </c>
      <c r="C73" s="54" t="s">
        <v>21</v>
      </c>
      <c r="D73" s="55">
        <v>1001300456787</v>
      </c>
      <c r="E73" s="24">
        <v>70</v>
      </c>
      <c r="F73" s="75">
        <v>0.33</v>
      </c>
      <c r="G73" s="23">
        <f t="shared" si="4"/>
        <v>23.1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3"/>
        <v>6697</v>
      </c>
      <c r="B74" s="51" t="s">
        <v>87</v>
      </c>
      <c r="C74" s="73" t="s">
        <v>21</v>
      </c>
      <c r="D74" s="74">
        <v>1001301876697</v>
      </c>
      <c r="E74" s="24"/>
      <c r="F74" s="23">
        <v>0.35</v>
      </c>
      <c r="G74" s="23">
        <f t="shared" si="4"/>
        <v>0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3"/>
        <v>7237</v>
      </c>
      <c r="B75" s="51" t="s">
        <v>88</v>
      </c>
      <c r="C75" s="73" t="s">
        <v>21</v>
      </c>
      <c r="D75" s="74">
        <v>1001304497237</v>
      </c>
      <c r="E75" s="24">
        <v>86</v>
      </c>
      <c r="F75" s="23">
        <v>0.28000000000000003</v>
      </c>
      <c r="G75" s="23">
        <f t="shared" si="4"/>
        <v>24.080000000000002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3"/>
        <v>7236</v>
      </c>
      <c r="B76" s="53" t="s">
        <v>89</v>
      </c>
      <c r="C76" s="54" t="s">
        <v>21</v>
      </c>
      <c r="D76" s="55">
        <v>1001304507236</v>
      </c>
      <c r="E76" s="24">
        <v>110</v>
      </c>
      <c r="F76" s="23">
        <v>0.28000000000000003</v>
      </c>
      <c r="G76" s="23">
        <f t="shared" si="4"/>
        <v>30.800000000000004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3"/>
        <v>7333</v>
      </c>
      <c r="B77" s="53" t="s">
        <v>90</v>
      </c>
      <c r="C77" s="54" t="s">
        <v>21</v>
      </c>
      <c r="D77" s="55">
        <v>1001303987333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60" t="str">
        <f t="shared" si="3"/>
        <v>7169</v>
      </c>
      <c r="B78" s="58" t="s">
        <v>91</v>
      </c>
      <c r="C78" s="54" t="s">
        <v>32</v>
      </c>
      <c r="D78" s="55">
        <v>1001303987169</v>
      </c>
      <c r="E78" s="24">
        <v>358</v>
      </c>
      <c r="F78" s="23">
        <v>0.35</v>
      </c>
      <c r="G78" s="23">
        <f t="shared" si="4"/>
        <v>125.3</v>
      </c>
      <c r="H78" s="14"/>
      <c r="I78" s="14">
        <v>50</v>
      </c>
      <c r="J78" s="29"/>
    </row>
    <row r="79" spans="1:10" ht="16.5" customHeight="1" x14ac:dyDescent="0.25">
      <c r="A79" s="60" t="str">
        <f t="shared" si="3"/>
        <v>7166</v>
      </c>
      <c r="B79" s="45" t="s">
        <v>92</v>
      </c>
      <c r="C79" s="73" t="s">
        <v>23</v>
      </c>
      <c r="D79" s="74">
        <v>1001303987166</v>
      </c>
      <c r="E79" s="24">
        <v>354</v>
      </c>
      <c r="F79" s="23">
        <v>1</v>
      </c>
      <c r="G79" s="23">
        <f>E79</f>
        <v>354</v>
      </c>
      <c r="H79" s="14"/>
      <c r="I79" s="14">
        <v>50</v>
      </c>
      <c r="J79" s="29"/>
    </row>
    <row r="80" spans="1:10" ht="15.75" customHeight="1" x14ac:dyDescent="0.25">
      <c r="A80" s="60" t="str">
        <f t="shared" si="3"/>
        <v>5544</v>
      </c>
      <c r="B80" s="80" t="s">
        <v>93</v>
      </c>
      <c r="C80" s="73" t="s">
        <v>23</v>
      </c>
      <c r="D80" s="74">
        <v>1001051875544</v>
      </c>
      <c r="E80" s="24">
        <v>327</v>
      </c>
      <c r="F80" s="23">
        <v>0.83399999999999996</v>
      </c>
      <c r="G80" s="23">
        <f>E80</f>
        <v>327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3"/>
        <v>7133</v>
      </c>
      <c r="B81" s="80" t="s">
        <v>94</v>
      </c>
      <c r="C81" s="73" t="s">
        <v>23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3"/>
        <v>6791</v>
      </c>
      <c r="B82" s="80" t="s">
        <v>95</v>
      </c>
      <c r="C82" s="73" t="s">
        <v>21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ref="A83:A114" si="5">RIGHT(D83,4)</f>
        <v>6792</v>
      </c>
      <c r="B83" s="80" t="s">
        <v>96</v>
      </c>
      <c r="C83" s="73" t="s">
        <v>23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7157</v>
      </c>
      <c r="B84" s="80" t="s">
        <v>97</v>
      </c>
      <c r="C84" s="73" t="s">
        <v>23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5"/>
        <v>6793</v>
      </c>
      <c r="B85" s="80" t="s">
        <v>98</v>
      </c>
      <c r="C85" s="73" t="s">
        <v>21</v>
      </c>
      <c r="D85" s="74">
        <v>1001303636793</v>
      </c>
      <c r="E85" s="24">
        <v>105</v>
      </c>
      <c r="F85" s="23">
        <v>0.33</v>
      </c>
      <c r="G85" s="23">
        <f>E85*F85</f>
        <v>34.65</v>
      </c>
      <c r="H85" s="14"/>
      <c r="I85" s="14">
        <v>45</v>
      </c>
      <c r="J85" s="72"/>
    </row>
    <row r="86" spans="1:11" ht="15.75" customHeight="1" x14ac:dyDescent="0.25">
      <c r="A86" s="60" t="str">
        <f t="shared" si="5"/>
        <v>7131</v>
      </c>
      <c r="B86" s="80" t="s">
        <v>99</v>
      </c>
      <c r="C86" s="73" t="s">
        <v>23</v>
      </c>
      <c r="D86" s="74">
        <v>1001303637131</v>
      </c>
      <c r="E86" s="24">
        <v>4</v>
      </c>
      <c r="F86" s="23">
        <v>1</v>
      </c>
      <c r="G86" s="23">
        <f>E86</f>
        <v>4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7144</v>
      </c>
      <c r="B87" s="80" t="s">
        <v>100</v>
      </c>
      <c r="C87" s="73" t="s">
        <v>21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7146</v>
      </c>
      <c r="B88" s="80" t="s">
        <v>101</v>
      </c>
      <c r="C88" s="73" t="s">
        <v>23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7135</v>
      </c>
      <c r="B89" s="80" t="s">
        <v>102</v>
      </c>
      <c r="C89" s="73" t="s">
        <v>21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5"/>
        <v>7134</v>
      </c>
      <c r="B90" s="80" t="s">
        <v>103</v>
      </c>
      <c r="C90" s="73" t="s">
        <v>21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si="5"/>
        <v>6807</v>
      </c>
      <c r="B91" s="80" t="s">
        <v>104</v>
      </c>
      <c r="C91" s="73" t="s">
        <v>21</v>
      </c>
      <c r="D91" s="74">
        <v>1001300366807</v>
      </c>
      <c r="E91" s="24">
        <v>55</v>
      </c>
      <c r="F91" s="23">
        <v>0.33</v>
      </c>
      <c r="G91" s="23">
        <f>E91*F91</f>
        <v>18.150000000000002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105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106</v>
      </c>
      <c r="C93" s="65" t="s">
        <v>21</v>
      </c>
      <c r="D93" s="66">
        <v>1001060755931</v>
      </c>
      <c r="E93" s="24">
        <v>32</v>
      </c>
      <c r="F93" s="67">
        <v>0.22</v>
      </c>
      <c r="G93" s="23">
        <f>E93*F93</f>
        <v>7.04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107</v>
      </c>
      <c r="C94" s="54" t="s">
        <v>21</v>
      </c>
      <c r="D94" s="55">
        <v>1001203146834</v>
      </c>
      <c r="E94" s="24"/>
      <c r="F94" s="75">
        <v>0.1</v>
      </c>
      <c r="G94" s="23">
        <f>E94*F94</f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108</v>
      </c>
      <c r="C95" s="73" t="s">
        <v>21</v>
      </c>
      <c r="D95" s="74">
        <v>1001223297092</v>
      </c>
      <c r="E95" s="24">
        <v>31</v>
      </c>
      <c r="F95" s="23">
        <v>0.14000000000000001</v>
      </c>
      <c r="G95" s="23">
        <f>E95*F95</f>
        <v>4.3400000000000007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109</v>
      </c>
      <c r="C96" s="73" t="s">
        <v>32</v>
      </c>
      <c r="D96" s="74">
        <v>1001201976454</v>
      </c>
      <c r="E96" s="24">
        <v>248</v>
      </c>
      <c r="F96" s="23">
        <v>0.1</v>
      </c>
      <c r="G96" s="23">
        <f>E96*F96</f>
        <v>24.8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3986</v>
      </c>
      <c r="B97" s="80" t="s">
        <v>110</v>
      </c>
      <c r="C97" s="73" t="s">
        <v>32</v>
      </c>
      <c r="D97" s="74">
        <v>1001061973986</v>
      </c>
      <c r="E97" s="24">
        <v>61</v>
      </c>
      <c r="F97" s="23">
        <v>0.25</v>
      </c>
      <c r="G97" s="23">
        <f>E97*F97</f>
        <v>15.25</v>
      </c>
      <c r="H97" s="14"/>
      <c r="I97" s="14"/>
      <c r="J97" s="29"/>
    </row>
    <row r="98" spans="1:10" ht="16.5" customHeight="1" x14ac:dyDescent="0.25">
      <c r="A98" s="60" t="str">
        <f t="shared" si="5"/>
        <v>5708</v>
      </c>
      <c r="B98" s="80" t="s">
        <v>111</v>
      </c>
      <c r="C98" s="73" t="s">
        <v>23</v>
      </c>
      <c r="D98" s="74">
        <v>1001063145708</v>
      </c>
      <c r="E98" s="24">
        <v>15</v>
      </c>
      <c r="F98" s="23">
        <v>0.52500000000000002</v>
      </c>
      <c r="G98" s="23">
        <f>E98</f>
        <v>15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5"/>
        <v>6832</v>
      </c>
      <c r="B99" s="80" t="s">
        <v>112</v>
      </c>
      <c r="C99" s="73" t="s">
        <v>23</v>
      </c>
      <c r="D99" s="74">
        <v>1001065616832</v>
      </c>
      <c r="E99" s="24">
        <v>25</v>
      </c>
      <c r="F99" s="23"/>
      <c r="G99" s="23">
        <f>E99</f>
        <v>25</v>
      </c>
      <c r="H99" s="14"/>
      <c r="I99" s="14"/>
      <c r="J99" s="29"/>
    </row>
    <row r="100" spans="1:10" ht="16.5" customHeight="1" x14ac:dyDescent="0.25">
      <c r="A100" s="60" t="str">
        <f t="shared" si="5"/>
        <v>7299</v>
      </c>
      <c r="B100" s="80" t="s">
        <v>113</v>
      </c>
      <c r="C100" s="73" t="s">
        <v>23</v>
      </c>
      <c r="D100" s="74">
        <v>1001060677299</v>
      </c>
      <c r="E100" s="24"/>
      <c r="F100" s="23"/>
      <c r="G100" s="23">
        <f>E100</f>
        <v>0</v>
      </c>
      <c r="H100" s="14"/>
      <c r="I100" s="14"/>
      <c r="J100" s="29"/>
    </row>
    <row r="101" spans="1:10" ht="16.5" customHeight="1" x14ac:dyDescent="0.25">
      <c r="A101" s="60" t="str">
        <f t="shared" si="5"/>
        <v>4993</v>
      </c>
      <c r="B101" s="80" t="s">
        <v>114</v>
      </c>
      <c r="C101" s="73" t="s">
        <v>32</v>
      </c>
      <c r="D101" s="74">
        <v>1001060764993</v>
      </c>
      <c r="E101" s="24">
        <v>228</v>
      </c>
      <c r="F101" s="23">
        <v>0.25</v>
      </c>
      <c r="G101" s="23">
        <f t="shared" ref="G101:G110" si="6">E101*F101</f>
        <v>57</v>
      </c>
      <c r="H101" s="14">
        <v>2</v>
      </c>
      <c r="I101" s="14">
        <v>120</v>
      </c>
      <c r="J101" s="29"/>
    </row>
    <row r="102" spans="1:10" ht="16.5" customHeight="1" x14ac:dyDescent="0.25">
      <c r="A102" s="60" t="str">
        <f t="shared" si="5"/>
        <v>6967</v>
      </c>
      <c r="B102" s="80" t="s">
        <v>115</v>
      </c>
      <c r="C102" s="73" t="s">
        <v>32</v>
      </c>
      <c r="D102" s="74">
        <v>1001063656967</v>
      </c>
      <c r="E102" s="24">
        <v>90</v>
      </c>
      <c r="F102" s="23">
        <v>0.25</v>
      </c>
      <c r="G102" s="23">
        <f t="shared" si="6"/>
        <v>22.5</v>
      </c>
      <c r="H102" s="14"/>
      <c r="I102" s="14"/>
      <c r="J102" s="29"/>
    </row>
    <row r="103" spans="1:10" ht="16.5" customHeight="1" x14ac:dyDescent="0.25">
      <c r="A103" s="60" t="str">
        <f t="shared" si="5"/>
        <v>5682</v>
      </c>
      <c r="B103" s="80" t="s">
        <v>116</v>
      </c>
      <c r="C103" s="73" t="s">
        <v>21</v>
      </c>
      <c r="D103" s="74">
        <v>1001193115682</v>
      </c>
      <c r="E103" s="24">
        <v>190</v>
      </c>
      <c r="F103" s="23">
        <v>0.12</v>
      </c>
      <c r="G103" s="23">
        <f t="shared" si="6"/>
        <v>22.8</v>
      </c>
      <c r="H103" s="14">
        <v>0.96</v>
      </c>
      <c r="I103" s="14">
        <v>60</v>
      </c>
      <c r="J103" s="29"/>
    </row>
    <row r="104" spans="1:10" ht="16.5" customHeight="1" x14ac:dyDescent="0.25">
      <c r="A104" s="60" t="str">
        <f t="shared" si="5"/>
        <v>7147</v>
      </c>
      <c r="B104" s="80" t="s">
        <v>117</v>
      </c>
      <c r="C104" s="73" t="s">
        <v>21</v>
      </c>
      <c r="D104" s="74">
        <v>1001063237147</v>
      </c>
      <c r="E104" s="24">
        <v>16</v>
      </c>
      <c r="F104" s="23">
        <v>0.22</v>
      </c>
      <c r="G104" s="23">
        <f t="shared" si="6"/>
        <v>3.52</v>
      </c>
      <c r="H104" s="14"/>
      <c r="I104" s="14"/>
      <c r="J104" s="29"/>
    </row>
    <row r="105" spans="1:10" ht="16.5" customHeight="1" x14ac:dyDescent="0.25">
      <c r="A105" s="60" t="str">
        <f t="shared" si="5"/>
        <v>7229</v>
      </c>
      <c r="B105" s="80" t="s">
        <v>118</v>
      </c>
      <c r="C105" s="73" t="s">
        <v>21</v>
      </c>
      <c r="D105" s="74">
        <v>1001063237229</v>
      </c>
      <c r="E105" s="24"/>
      <c r="F105" s="23">
        <v>0.18</v>
      </c>
      <c r="G105" s="23">
        <f t="shared" si="6"/>
        <v>0</v>
      </c>
      <c r="H105" s="14"/>
      <c r="I105" s="14"/>
      <c r="J105" s="29"/>
    </row>
    <row r="106" spans="1:10" ht="16.5" customHeight="1" x14ac:dyDescent="0.25">
      <c r="A106" s="60" t="str">
        <f t="shared" si="5"/>
        <v>7150</v>
      </c>
      <c r="B106" s="80" t="s">
        <v>119</v>
      </c>
      <c r="C106" s="73" t="s">
        <v>23</v>
      </c>
      <c r="D106" s="74">
        <v>1001063237150</v>
      </c>
      <c r="E106" s="24"/>
      <c r="F106" s="23">
        <v>1</v>
      </c>
      <c r="G106" s="23">
        <f t="shared" si="6"/>
        <v>0</v>
      </c>
      <c r="H106" s="14"/>
      <c r="I106" s="14"/>
      <c r="J106" s="29"/>
    </row>
    <row r="107" spans="1:10" ht="16.5" customHeight="1" x14ac:dyDescent="0.25">
      <c r="A107" s="60" t="str">
        <f t="shared" si="5"/>
        <v>7227</v>
      </c>
      <c r="B107" s="80" t="s">
        <v>120</v>
      </c>
      <c r="C107" s="73" t="s">
        <v>21</v>
      </c>
      <c r="D107" s="74">
        <v>1001063097227</v>
      </c>
      <c r="E107" s="24"/>
      <c r="F107" s="23">
        <v>0.18</v>
      </c>
      <c r="G107" s="23">
        <f t="shared" si="6"/>
        <v>0</v>
      </c>
      <c r="H107" s="14"/>
      <c r="I107" s="14"/>
      <c r="J107" s="29"/>
    </row>
    <row r="108" spans="1:10" ht="16.5" customHeight="1" x14ac:dyDescent="0.25">
      <c r="A108" s="60" t="str">
        <f t="shared" si="5"/>
        <v>7225</v>
      </c>
      <c r="B108" s="80" t="s">
        <v>121</v>
      </c>
      <c r="C108" s="73" t="s">
        <v>21</v>
      </c>
      <c r="D108" s="74">
        <v>1001066537225</v>
      </c>
      <c r="E108" s="24"/>
      <c r="F108" s="23">
        <v>0.18</v>
      </c>
      <c r="G108" s="23">
        <f t="shared" si="6"/>
        <v>0</v>
      </c>
      <c r="H108" s="14"/>
      <c r="I108" s="14"/>
      <c r="J108" s="29"/>
    </row>
    <row r="109" spans="1:10" ht="16.5" customHeight="1" x14ac:dyDescent="0.25">
      <c r="A109" s="60" t="str">
        <f t="shared" si="5"/>
        <v>7228</v>
      </c>
      <c r="B109" s="80" t="s">
        <v>122</v>
      </c>
      <c r="C109" s="73" t="s">
        <v>21</v>
      </c>
      <c r="D109" s="74">
        <v>1001066547228</v>
      </c>
      <c r="E109" s="24"/>
      <c r="F109" s="23">
        <v>0.18</v>
      </c>
      <c r="G109" s="23">
        <f t="shared" si="6"/>
        <v>0</v>
      </c>
      <c r="H109" s="14"/>
      <c r="I109" s="14"/>
      <c r="J109" s="29"/>
    </row>
    <row r="110" spans="1:10" ht="16.5" customHeight="1" x14ac:dyDescent="0.25">
      <c r="A110" s="60" t="str">
        <f t="shared" si="5"/>
        <v>6221</v>
      </c>
      <c r="B110" s="80" t="s">
        <v>123</v>
      </c>
      <c r="C110" s="73" t="s">
        <v>21</v>
      </c>
      <c r="D110" s="74">
        <v>1001205376221</v>
      </c>
      <c r="E110" s="24"/>
      <c r="F110" s="23">
        <v>0.09</v>
      </c>
      <c r="G110" s="23">
        <f t="shared" si="6"/>
        <v>0</v>
      </c>
      <c r="H110" s="14"/>
      <c r="I110" s="14"/>
      <c r="J110" s="29"/>
    </row>
    <row r="111" spans="1:10" ht="16.5" customHeight="1" x14ac:dyDescent="0.25">
      <c r="A111" s="60" t="str">
        <f t="shared" si="5"/>
        <v>4117</v>
      </c>
      <c r="B111" s="80" t="s">
        <v>124</v>
      </c>
      <c r="C111" s="73" t="s">
        <v>23</v>
      </c>
      <c r="D111" s="74">
        <v>1001062504117</v>
      </c>
      <c r="E111" s="24"/>
      <c r="F111" s="23">
        <v>0.50700000000000001</v>
      </c>
      <c r="G111" s="23">
        <f>E111</f>
        <v>0</v>
      </c>
      <c r="H111" s="14">
        <v>4.05</v>
      </c>
      <c r="I111" s="14">
        <v>120</v>
      </c>
      <c r="J111" s="29"/>
    </row>
    <row r="112" spans="1:10" ht="16.5" customHeight="1" x14ac:dyDescent="0.25">
      <c r="A112" s="60" t="str">
        <f t="shared" si="5"/>
        <v>5483</v>
      </c>
      <c r="B112" s="80" t="s">
        <v>125</v>
      </c>
      <c r="C112" s="73" t="s">
        <v>21</v>
      </c>
      <c r="D112" s="74">
        <v>1001062505483</v>
      </c>
      <c r="E112" s="24">
        <v>183</v>
      </c>
      <c r="F112" s="23">
        <v>0.25</v>
      </c>
      <c r="G112" s="23">
        <f>E112*F112</f>
        <v>45.75</v>
      </c>
      <c r="H112" s="14">
        <v>2</v>
      </c>
      <c r="I112" s="14">
        <v>120</v>
      </c>
      <c r="J112" s="29"/>
    </row>
    <row r="113" spans="1:10" ht="16.5" customHeight="1" x14ac:dyDescent="0.25">
      <c r="A113" s="60" t="str">
        <f t="shared" si="5"/>
        <v>6453</v>
      </c>
      <c r="B113" s="80" t="s">
        <v>126</v>
      </c>
      <c r="C113" s="73" t="s">
        <v>32</v>
      </c>
      <c r="D113" s="74">
        <v>1001202506453</v>
      </c>
      <c r="E113" s="24">
        <v>134</v>
      </c>
      <c r="F113" s="23">
        <v>0.1</v>
      </c>
      <c r="G113" s="23">
        <f>E113*F113</f>
        <v>13.4</v>
      </c>
      <c r="H113" s="14">
        <v>1.4</v>
      </c>
      <c r="I113" s="14">
        <v>60</v>
      </c>
      <c r="J113" s="29"/>
    </row>
    <row r="114" spans="1:10" ht="16.5" customHeight="1" x14ac:dyDescent="0.25">
      <c r="A114" s="60" t="str">
        <f t="shared" si="5"/>
        <v>6228</v>
      </c>
      <c r="B114" s="80" t="s">
        <v>127</v>
      </c>
      <c r="C114" s="73" t="s">
        <v>32</v>
      </c>
      <c r="D114" s="74">
        <v>1001225416228</v>
      </c>
      <c r="E114" s="24">
        <v>8</v>
      </c>
      <c r="F114" s="23">
        <v>0.09</v>
      </c>
      <c r="G114" s="23">
        <f>E114*F114</f>
        <v>0.72</v>
      </c>
      <c r="H114" s="14"/>
      <c r="I114" s="14"/>
      <c r="J114" s="29"/>
    </row>
    <row r="115" spans="1:10" ht="16.5" customHeight="1" thickBot="1" x14ac:dyDescent="0.3">
      <c r="A115" s="60" t="str">
        <f t="shared" ref="A115:A130" si="7">RIGHT(D115,4)</f>
        <v>3287</v>
      </c>
      <c r="B115" s="80" t="s">
        <v>128</v>
      </c>
      <c r="C115" s="73" t="s">
        <v>23</v>
      </c>
      <c r="D115" s="74">
        <v>1001060763287</v>
      </c>
      <c r="E115" s="24"/>
      <c r="F115" s="23">
        <v>0.51300000000000001</v>
      </c>
      <c r="G115" s="23">
        <f>E115</f>
        <v>0</v>
      </c>
      <c r="H115" s="14">
        <v>4.0999999999999996</v>
      </c>
      <c r="I115" s="14">
        <v>120</v>
      </c>
      <c r="J115" s="29"/>
    </row>
    <row r="116" spans="1:10" ht="16.5" customHeight="1" thickTop="1" thickBot="1" x14ac:dyDescent="0.3">
      <c r="A116" s="60" t="str">
        <f t="shared" si="7"/>
        <v/>
      </c>
      <c r="B116" s="47" t="s">
        <v>129</v>
      </c>
      <c r="C116" s="47"/>
      <c r="D116" s="47"/>
      <c r="E116" s="47"/>
      <c r="F116" s="47"/>
      <c r="G116" s="23"/>
      <c r="H116" s="47"/>
      <c r="I116" s="47"/>
      <c r="J116" s="48"/>
    </row>
    <row r="117" spans="1:10" ht="16.5" customHeight="1" thickTop="1" x14ac:dyDescent="0.25">
      <c r="A117" s="60" t="str">
        <f t="shared" si="7"/>
        <v>6866</v>
      </c>
      <c r="B117" s="77" t="s">
        <v>130</v>
      </c>
      <c r="C117" s="73" t="s">
        <v>37</v>
      </c>
      <c r="D117" s="79">
        <v>1001095716866</v>
      </c>
      <c r="E117" s="24">
        <v>64</v>
      </c>
      <c r="F117" s="23"/>
      <c r="G117" s="23">
        <f>E117</f>
        <v>64</v>
      </c>
      <c r="H117" s="14"/>
      <c r="I117" s="14"/>
      <c r="J117" s="29"/>
    </row>
    <row r="118" spans="1:10" ht="16.5" customHeight="1" x14ac:dyDescent="0.25">
      <c r="A118" s="60" t="str">
        <f t="shared" si="7"/>
        <v>3215</v>
      </c>
      <c r="B118" s="80" t="s">
        <v>131</v>
      </c>
      <c r="C118" s="73" t="s">
        <v>32</v>
      </c>
      <c r="D118" s="42">
        <v>1001094053215</v>
      </c>
      <c r="E118" s="24">
        <v>248</v>
      </c>
      <c r="F118" s="23">
        <v>0.4</v>
      </c>
      <c r="G118" s="23">
        <f>E118*F118</f>
        <v>99.2</v>
      </c>
      <c r="H118" s="14">
        <v>3.2</v>
      </c>
      <c r="I118" s="14">
        <v>60</v>
      </c>
      <c r="J118" s="29"/>
    </row>
    <row r="119" spans="1:10" ht="16.5" customHeight="1" x14ac:dyDescent="0.25">
      <c r="A119" s="60" t="str">
        <f t="shared" si="7"/>
        <v>5452</v>
      </c>
      <c r="B119" s="51" t="s">
        <v>132</v>
      </c>
      <c r="C119" s="73" t="s">
        <v>23</v>
      </c>
      <c r="D119" s="42">
        <v>1001092485452</v>
      </c>
      <c r="E119" s="24">
        <v>19</v>
      </c>
      <c r="F119" s="23">
        <v>1.367</v>
      </c>
      <c r="G119" s="23">
        <f>E119</f>
        <v>19</v>
      </c>
      <c r="H119" s="14">
        <v>4.0999999999999996</v>
      </c>
      <c r="I119" s="14">
        <v>60</v>
      </c>
      <c r="J119" s="29"/>
    </row>
    <row r="120" spans="1:10" ht="16.5" customHeight="1" x14ac:dyDescent="0.25">
      <c r="A120" s="60" t="str">
        <f t="shared" si="7"/>
        <v>5495</v>
      </c>
      <c r="B120" s="51" t="s">
        <v>133</v>
      </c>
      <c r="C120" s="73" t="s">
        <v>21</v>
      </c>
      <c r="D120" s="42">
        <v>1001093345495</v>
      </c>
      <c r="E120" s="24">
        <v>203</v>
      </c>
      <c r="F120" s="23">
        <v>0.4</v>
      </c>
      <c r="G120" s="23">
        <f>E120*F120</f>
        <v>81.2</v>
      </c>
      <c r="H120" s="14">
        <v>2.4</v>
      </c>
      <c r="I120" s="14">
        <v>60</v>
      </c>
      <c r="J120" s="29"/>
    </row>
    <row r="121" spans="1:10" ht="15.75" customHeight="1" thickBot="1" x14ac:dyDescent="0.3">
      <c r="A121" s="60" t="str">
        <f t="shared" si="7"/>
        <v>6495</v>
      </c>
      <c r="B121" s="51" t="s">
        <v>134</v>
      </c>
      <c r="C121" s="73" t="s">
        <v>21</v>
      </c>
      <c r="D121" s="42">
        <v>1001092436495</v>
      </c>
      <c r="E121" s="24"/>
      <c r="F121" s="23">
        <v>0.3</v>
      </c>
      <c r="G121" s="23">
        <f>E121*F121</f>
        <v>0</v>
      </c>
      <c r="H121" s="14">
        <v>1.8</v>
      </c>
      <c r="I121" s="14">
        <v>45</v>
      </c>
      <c r="J121" s="29"/>
    </row>
    <row r="122" spans="1:10" ht="16.5" customHeight="1" thickTop="1" thickBot="1" x14ac:dyDescent="0.3">
      <c r="A122" s="60" t="str">
        <f t="shared" si="7"/>
        <v/>
      </c>
      <c r="B122" s="47" t="s">
        <v>135</v>
      </c>
      <c r="C122" s="47"/>
      <c r="D122" s="47"/>
      <c r="E122" s="47"/>
      <c r="F122" s="47"/>
      <c r="G122" s="23"/>
      <c r="H122" s="47"/>
      <c r="I122" s="47"/>
      <c r="J122" s="48"/>
    </row>
    <row r="123" spans="1:10" ht="16.5" customHeight="1" thickTop="1" x14ac:dyDescent="0.25">
      <c r="A123" s="60" t="str">
        <f t="shared" si="7"/>
        <v>6448</v>
      </c>
      <c r="B123" s="37" t="s">
        <v>136</v>
      </c>
      <c r="C123" s="73" t="s">
        <v>32</v>
      </c>
      <c r="D123" s="74">
        <v>1001234146448</v>
      </c>
      <c r="E123" s="24">
        <v>30</v>
      </c>
      <c r="F123" s="23">
        <v>0.1</v>
      </c>
      <c r="G123" s="23">
        <f>E123*F123</f>
        <v>3</v>
      </c>
      <c r="H123" s="14">
        <v>1</v>
      </c>
      <c r="I123" s="14">
        <v>45</v>
      </c>
      <c r="J123" s="29"/>
    </row>
    <row r="124" spans="1:10" ht="16.5" customHeight="1" x14ac:dyDescent="0.25">
      <c r="A124" s="60" t="str">
        <f t="shared" si="7"/>
        <v>6620</v>
      </c>
      <c r="B124" s="37" t="s">
        <v>137</v>
      </c>
      <c r="C124" s="73" t="s">
        <v>23</v>
      </c>
      <c r="D124" s="74">
        <v>1001081596620</v>
      </c>
      <c r="E124" s="24"/>
      <c r="F124" s="23"/>
      <c r="G124" s="23">
        <f>E124</f>
        <v>0</v>
      </c>
      <c r="H124" s="14"/>
      <c r="I124" s="14"/>
      <c r="J124" s="29"/>
    </row>
    <row r="125" spans="1:10" ht="16.5" customHeight="1" x14ac:dyDescent="0.25">
      <c r="A125" s="60" t="str">
        <f t="shared" si="7"/>
        <v>6279</v>
      </c>
      <c r="B125" s="37" t="s">
        <v>138</v>
      </c>
      <c r="C125" s="73" t="s">
        <v>21</v>
      </c>
      <c r="D125" s="74">
        <v>1001220286279</v>
      </c>
      <c r="E125" s="24">
        <v>48</v>
      </c>
      <c r="F125" s="23">
        <v>0.15</v>
      </c>
      <c r="G125" s="23">
        <f>F125*E125</f>
        <v>7.1999999999999993</v>
      </c>
      <c r="H125" s="14"/>
      <c r="I125" s="14"/>
      <c r="J125" s="29"/>
    </row>
    <row r="126" spans="1:10" ht="16.5" customHeight="1" x14ac:dyDescent="0.25">
      <c r="A126" s="60" t="str">
        <f t="shared" si="7"/>
        <v>6208</v>
      </c>
      <c r="B126" s="37" t="s">
        <v>139</v>
      </c>
      <c r="C126" s="73" t="s">
        <v>21</v>
      </c>
      <c r="D126" s="74">
        <v>1001220226208</v>
      </c>
      <c r="E126" s="24">
        <v>15</v>
      </c>
      <c r="F126" s="23">
        <v>0.15</v>
      </c>
      <c r="G126" s="23">
        <f>F126*E126</f>
        <v>2.25</v>
      </c>
      <c r="H126" s="14"/>
      <c r="I126" s="14"/>
      <c r="J126" s="29"/>
    </row>
    <row r="127" spans="1:10" ht="16.5" customHeight="1" x14ac:dyDescent="0.25">
      <c r="A127" s="60" t="str">
        <f t="shared" si="7"/>
        <v>7090</v>
      </c>
      <c r="B127" s="37" t="s">
        <v>140</v>
      </c>
      <c r="C127" s="73" t="s">
        <v>32</v>
      </c>
      <c r="D127" s="74">
        <v>1001084217090</v>
      </c>
      <c r="E127" s="24">
        <v>164</v>
      </c>
      <c r="F127" s="23">
        <v>0.3</v>
      </c>
      <c r="G127" s="23">
        <f>E127*F127</f>
        <v>49.199999999999996</v>
      </c>
      <c r="H127" s="14">
        <v>1.8</v>
      </c>
      <c r="I127" s="14">
        <v>45</v>
      </c>
      <c r="J127" s="29"/>
    </row>
    <row r="128" spans="1:10" ht="16.5" customHeight="1" x14ac:dyDescent="0.25">
      <c r="A128" s="60" t="str">
        <f t="shared" si="7"/>
        <v>7187</v>
      </c>
      <c r="B128" s="37" t="s">
        <v>141</v>
      </c>
      <c r="C128" s="73" t="s">
        <v>32</v>
      </c>
      <c r="D128" s="74">
        <v>1001085637187</v>
      </c>
      <c r="E128" s="24">
        <v>10</v>
      </c>
      <c r="F128" s="23">
        <v>0.3</v>
      </c>
      <c r="G128" s="23">
        <f>E128*F128</f>
        <v>3</v>
      </c>
      <c r="H128" s="14"/>
      <c r="I128" s="14"/>
      <c r="J128" s="29"/>
    </row>
    <row r="129" spans="1:11" s="71" customFormat="1" ht="16.5" customHeight="1" x14ac:dyDescent="0.25">
      <c r="A129" s="60" t="str">
        <f t="shared" si="7"/>
        <v>7103</v>
      </c>
      <c r="B129" s="59" t="s">
        <v>142</v>
      </c>
      <c r="C129" s="54" t="s">
        <v>32</v>
      </c>
      <c r="D129" s="55">
        <v>1001223297103</v>
      </c>
      <c r="E129" s="24">
        <v>87</v>
      </c>
      <c r="F129" s="75">
        <v>0.18</v>
      </c>
      <c r="G129" s="23">
        <f>E129*F129</f>
        <v>15.66</v>
      </c>
      <c r="H129" s="76">
        <v>1.8</v>
      </c>
      <c r="I129" s="76">
        <v>45</v>
      </c>
      <c r="J129" s="76"/>
      <c r="K129" s="27"/>
    </row>
    <row r="130" spans="1:11" ht="16.5" customHeight="1" thickBot="1" x14ac:dyDescent="0.3">
      <c r="A130" s="60" t="str">
        <f t="shared" si="7"/>
        <v>6872</v>
      </c>
      <c r="B130" s="37" t="s">
        <v>143</v>
      </c>
      <c r="C130" s="73" t="s">
        <v>23</v>
      </c>
      <c r="D130" s="74">
        <v>1002162216872</v>
      </c>
      <c r="E130" s="24"/>
      <c r="F130" s="23"/>
      <c r="G130" s="23">
        <f>E130</f>
        <v>0</v>
      </c>
      <c r="H130" s="14"/>
      <c r="I130" s="14">
        <v>90</v>
      </c>
      <c r="J130" s="29"/>
    </row>
    <row r="131" spans="1:11" ht="16.5" customHeight="1" thickTop="1" thickBot="1" x14ac:dyDescent="0.3">
      <c r="A131" s="63"/>
      <c r="B131" s="50" t="s">
        <v>144</v>
      </c>
      <c r="C131" s="16"/>
      <c r="D131" s="38"/>
      <c r="E131" s="17">
        <f>SUM(E10:E130)</f>
        <v>7710</v>
      </c>
      <c r="F131" s="17"/>
      <c r="G131" s="17">
        <f>SUM(G11:G130)</f>
        <v>3874.2700000000004</v>
      </c>
      <c r="H131" s="17"/>
      <c r="I131" s="17"/>
      <c r="J131" s="17"/>
    </row>
    <row r="132" spans="1:11" ht="15.75" customHeight="1" thickTop="1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</sheetData>
  <autoFilter ref="A9:J131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2025-11-26T08:37:20Z</dcterms:modified>
</cp:coreProperties>
</file>