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CB54812A-D457-4E34-A738-CC90E8A244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<sst xmlns="http://schemas.openxmlformats.org/spreadsheetml/2006/main" count="256" uniqueCount="146">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</sst>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L5" sqref="L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45978</v>
      </c>
      <c r="E3" s="7" t="s">
        <v>3</v>
      </c>
      <c r="F3" s="83">
        <f>D3+3</f>
        <v>45981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>
        <v>200</v>
      </c>
      <c r="F12" s="23">
        <v>1.3340000000000001</v>
      </c>
      <c r="G12" s="23">
        <f>E12</f>
        <v>200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48</v>
      </c>
      <c r="F13" s="23">
        <v>0.4</v>
      </c>
      <c r="G13" s="23">
        <f>E13*F13</f>
        <v>19.200000000000003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>
        <v>100</v>
      </c>
      <c r="F22" s="23">
        <v>1.35</v>
      </c>
      <c r="G22" s="23">
        <f>E22</f>
        <v>100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>
        <v>40</v>
      </c>
      <c r="F23" s="23">
        <v>0.4</v>
      </c>
      <c r="G23" s="23">
        <f>E23*F23</f>
        <v>16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>
        <v>150</v>
      </c>
      <c r="F24" s="23">
        <v>1.3540000000000001</v>
      </c>
      <c r="G24" s="23">
        <f>E24</f>
        <v>150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40</v>
      </c>
      <c r="C26" s="73" t="s">
        <v>22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58" si="1">RIGHT(D27,4)</f>
        <v>6325</v>
      </c>
      <c r="B27" s="80" t="s">
        <v>41</v>
      </c>
      <c r="C27" s="73" t="s">
        <v>22</v>
      </c>
      <c r="D27" s="74">
        <v>1001010106325</v>
      </c>
      <c r="E27" s="24">
        <v>24</v>
      </c>
      <c r="F27" s="23">
        <v>0.4</v>
      </c>
      <c r="G27" s="23">
        <f>E27*F27</f>
        <v>9.6000000000000014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42</v>
      </c>
      <c r="C28" s="73" t="s">
        <v>22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43</v>
      </c>
      <c r="C29" s="73" t="s">
        <v>22</v>
      </c>
      <c r="D29" s="74">
        <v>1001010016324</v>
      </c>
      <c r="E29" s="24">
        <v>40</v>
      </c>
      <c r="F29" s="23">
        <v>0.4</v>
      </c>
      <c r="G29" s="23">
        <f>E29*F29</f>
        <v>16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44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45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46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47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48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49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1"/>
        <v>7255</v>
      </c>
      <c r="B36" s="64" t="s">
        <v>50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1"/>
        <v>6602</v>
      </c>
      <c r="B37" s="80" t="s">
        <v>51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1"/>
        <v>6303</v>
      </c>
      <c r="B38" s="56" t="s">
        <v>52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1"/>
        <v>5819</v>
      </c>
      <c r="B39" s="36" t="s">
        <v>53</v>
      </c>
      <c r="C39" s="73" t="s">
        <v>22</v>
      </c>
      <c r="D39" s="74">
        <v>1001022725819</v>
      </c>
      <c r="E39" s="24"/>
      <c r="F39" s="23">
        <v>0.4</v>
      </c>
      <c r="G39" s="23">
        <f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1"/>
        <v>6762</v>
      </c>
      <c r="B40" s="36" t="s">
        <v>54</v>
      </c>
      <c r="C40" s="73" t="s">
        <v>22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1"/>
        <v>6765</v>
      </c>
      <c r="B41" s="36" t="s">
        <v>55</v>
      </c>
      <c r="C41" s="73" t="s">
        <v>22</v>
      </c>
      <c r="D41" s="74">
        <v>1001023696765</v>
      </c>
      <c r="E41" s="24"/>
      <c r="F41" s="23">
        <v>0.36</v>
      </c>
      <c r="G41" s="23">
        <f>E41*F41</f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1"/>
        <v>6759</v>
      </c>
      <c r="B42" s="36" t="s">
        <v>56</v>
      </c>
      <c r="C42" s="73" t="s">
        <v>22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1"/>
        <v>6616</v>
      </c>
      <c r="B43" s="36" t="s">
        <v>57</v>
      </c>
      <c r="C43" s="73" t="s">
        <v>22</v>
      </c>
      <c r="D43" s="74">
        <v>1001024976616</v>
      </c>
      <c r="E43" s="24"/>
      <c r="F43" s="23">
        <v>0.3</v>
      </c>
      <c r="G43" s="23">
        <f>E43*F43</f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1"/>
        <v>7082</v>
      </c>
      <c r="B44" s="35" t="s">
        <v>58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1"/>
        <v>6767</v>
      </c>
      <c r="B45" s="35" t="s">
        <v>59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1"/>
        <v>7070</v>
      </c>
      <c r="B46" s="35" t="s">
        <v>60</v>
      </c>
      <c r="C46" s="73" t="s">
        <v>24</v>
      </c>
      <c r="D46" s="74">
        <v>1001022377070</v>
      </c>
      <c r="E46" s="24">
        <v>60</v>
      </c>
      <c r="F46" s="23"/>
      <c r="G46" s="23">
        <f>E46</f>
        <v>60</v>
      </c>
      <c r="H46" s="14"/>
      <c r="I46" s="14"/>
      <c r="J46" s="29"/>
    </row>
    <row r="47" spans="1:11" s="15" customFormat="1" ht="16.5" customHeight="1" x14ac:dyDescent="0.25">
      <c r="A47" s="60" t="str">
        <f t="shared" si="1"/>
        <v>6661</v>
      </c>
      <c r="B47" s="53" t="s">
        <v>61</v>
      </c>
      <c r="C47" s="54" t="s">
        <v>24</v>
      </c>
      <c r="D47" s="55">
        <v>1001022246661</v>
      </c>
      <c r="E47" s="24">
        <v>150</v>
      </c>
      <c r="F47" s="23">
        <v>1</v>
      </c>
      <c r="G47" s="23">
        <f>E47</f>
        <v>150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1"/>
        <v>6475</v>
      </c>
      <c r="B48" s="80" t="s">
        <v>62</v>
      </c>
      <c r="C48" s="73" t="s">
        <v>22</v>
      </c>
      <c r="D48" s="74">
        <v>1001025176475</v>
      </c>
      <c r="E48" s="24">
        <v>80</v>
      </c>
      <c r="F48" s="23">
        <v>0.4</v>
      </c>
      <c r="G48" s="23">
        <f>E48*F48</f>
        <v>32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1"/>
        <v>6713</v>
      </c>
      <c r="B49" s="57" t="s">
        <v>63</v>
      </c>
      <c r="C49" s="54" t="s">
        <v>22</v>
      </c>
      <c r="D49" s="55">
        <v>1001022246713</v>
      </c>
      <c r="E49" s="24">
        <v>240</v>
      </c>
      <c r="F49" s="23">
        <v>0.41</v>
      </c>
      <c r="G49" s="23">
        <f>E49*F49</f>
        <v>98.399999999999991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1"/>
        <v>6837</v>
      </c>
      <c r="B50" s="52" t="s">
        <v>64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1"/>
        <v>7284</v>
      </c>
      <c r="B51" s="82" t="s">
        <v>65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1"/>
        <v>6764</v>
      </c>
      <c r="B52" s="52" t="s">
        <v>66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1"/>
        <v>6829</v>
      </c>
      <c r="B53" s="57" t="s">
        <v>67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1"/>
        <v>7075</v>
      </c>
      <c r="B54" s="82" t="s">
        <v>68</v>
      </c>
      <c r="C54" s="73" t="s">
        <v>24</v>
      </c>
      <c r="D54" s="74">
        <v>1001022657075</v>
      </c>
      <c r="E54" s="24">
        <v>40</v>
      </c>
      <c r="F54" s="23"/>
      <c r="G54" s="23">
        <f>E54</f>
        <v>40</v>
      </c>
      <c r="H54" s="14"/>
      <c r="I54" s="14"/>
      <c r="J54" s="29"/>
    </row>
    <row r="55" spans="1:10" ht="16.5" customHeight="1" x14ac:dyDescent="0.25">
      <c r="A55" s="60" t="str">
        <f t="shared" si="1"/>
        <v>7073</v>
      </c>
      <c r="B55" s="82" t="s">
        <v>69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1"/>
        <v>6724</v>
      </c>
      <c r="B56" s="82" t="s">
        <v>70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1"/>
        <v>6761</v>
      </c>
      <c r="B57" s="52" t="s">
        <v>71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1"/>
        <v>7080</v>
      </c>
      <c r="B58" s="57" t="s">
        <v>72</v>
      </c>
      <c r="C58" s="54" t="s">
        <v>22</v>
      </c>
      <c r="D58" s="55">
        <v>1001022467080</v>
      </c>
      <c r="E58" s="24">
        <v>50</v>
      </c>
      <c r="F58" s="23">
        <v>0.41</v>
      </c>
      <c r="G58" s="23">
        <f>E58*F58</f>
        <v>20.5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ref="A59:A90" si="2">RIGHT(D59,4)</f>
        <v>7276</v>
      </c>
      <c r="B59" s="57" t="s">
        <v>73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2"/>
        <v>7066</v>
      </c>
      <c r="B60" s="57" t="s">
        <v>74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2"/>
        <v/>
      </c>
      <c r="B61" s="47" t="s">
        <v>75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2"/>
        <v>7001</v>
      </c>
      <c r="B62" s="81" t="s">
        <v>76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2"/>
        <v>6527</v>
      </c>
      <c r="B63" s="82" t="s">
        <v>77</v>
      </c>
      <c r="C63" s="73" t="s">
        <v>38</v>
      </c>
      <c r="D63" s="74">
        <v>1001031076527</v>
      </c>
      <c r="E63" s="24">
        <v>25</v>
      </c>
      <c r="F63" s="23">
        <v>1</v>
      </c>
      <c r="G63" s="23">
        <f>E63</f>
        <v>25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2"/>
        <v>6550</v>
      </c>
      <c r="B64" s="52" t="s">
        <v>78</v>
      </c>
      <c r="C64" s="73" t="s">
        <v>24</v>
      </c>
      <c r="D64" s="74">
        <v>1001032736550</v>
      </c>
      <c r="E64" s="24">
        <v>40</v>
      </c>
      <c r="F64" s="23">
        <v>1</v>
      </c>
      <c r="G64" s="23">
        <f>E64</f>
        <v>40</v>
      </c>
      <c r="H64" s="14"/>
      <c r="I64" s="14"/>
      <c r="J64" s="29"/>
    </row>
    <row r="65" spans="1:10" ht="16.5" customHeight="1" thickBot="1" x14ac:dyDescent="0.3">
      <c r="A65" s="60" t="str">
        <f t="shared" si="2"/>
        <v>6608</v>
      </c>
      <c r="B65" s="52" t="s">
        <v>79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2"/>
        <v/>
      </c>
      <c r="B66" s="47" t="s">
        <v>80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2"/>
        <v>6586</v>
      </c>
      <c r="B67" s="80" t="s">
        <v>81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3">E67*F67</f>
        <v>0</v>
      </c>
      <c r="H67" s="14"/>
      <c r="I67" s="14"/>
      <c r="J67" s="29"/>
    </row>
    <row r="68" spans="1:10" ht="16.5" customHeight="1" x14ac:dyDescent="0.25">
      <c r="A68" s="60" t="str">
        <f t="shared" si="2"/>
        <v>6459</v>
      </c>
      <c r="B68" s="80" t="s">
        <v>82</v>
      </c>
      <c r="C68" s="73" t="s">
        <v>22</v>
      </c>
      <c r="D68" s="74">
        <v>1001214196459</v>
      </c>
      <c r="E68" s="24">
        <v>40</v>
      </c>
      <c r="F68" s="23">
        <v>0.1</v>
      </c>
      <c r="G68" s="23">
        <f t="shared" si="3"/>
        <v>4</v>
      </c>
      <c r="H68" s="14"/>
      <c r="I68" s="14"/>
      <c r="J68" s="29"/>
    </row>
    <row r="69" spans="1:10" ht="16.5" customHeight="1" x14ac:dyDescent="0.25">
      <c r="A69" s="60" t="str">
        <f t="shared" si="2"/>
        <v>7232</v>
      </c>
      <c r="B69" s="51" t="s">
        <v>83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3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2"/>
        <v>7332</v>
      </c>
      <c r="B70" s="51" t="s">
        <v>84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3"/>
        <v>0</v>
      </c>
      <c r="H70" s="14"/>
      <c r="I70" s="14"/>
      <c r="J70" s="29"/>
    </row>
    <row r="71" spans="1:10" ht="16.5" customHeight="1" x14ac:dyDescent="0.25">
      <c r="A71" s="60" t="str">
        <f t="shared" si="2"/>
        <v>7241</v>
      </c>
      <c r="B71" s="51" t="s">
        <v>85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3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2"/>
        <v>7154</v>
      </c>
      <c r="B72" s="51" t="s">
        <v>86</v>
      </c>
      <c r="C72" s="73" t="s">
        <v>22</v>
      </c>
      <c r="D72" s="74">
        <v>1001300387154</v>
      </c>
      <c r="E72" s="24"/>
      <c r="F72" s="23">
        <v>0.35</v>
      </c>
      <c r="G72" s="23">
        <f t="shared" si="3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2"/>
        <v>6787</v>
      </c>
      <c r="B73" s="53" t="s">
        <v>87</v>
      </c>
      <c r="C73" s="54" t="s">
        <v>22</v>
      </c>
      <c r="D73" s="55">
        <v>1001300456787</v>
      </c>
      <c r="E73" s="24"/>
      <c r="F73" s="75">
        <v>0.33</v>
      </c>
      <c r="G73" s="23">
        <f t="shared" si="3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2"/>
        <v>6697</v>
      </c>
      <c r="B74" s="51" t="s">
        <v>88</v>
      </c>
      <c r="C74" s="73" t="s">
        <v>22</v>
      </c>
      <c r="D74" s="74">
        <v>1001301876697</v>
      </c>
      <c r="E74" s="24">
        <v>48</v>
      </c>
      <c r="F74" s="23">
        <v>0.35</v>
      </c>
      <c r="G74" s="23">
        <f t="shared" si="3"/>
        <v>16.799999999999997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2"/>
        <v>7237</v>
      </c>
      <c r="B75" s="51" t="s">
        <v>89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3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2"/>
        <v>7236</v>
      </c>
      <c r="B76" s="53" t="s">
        <v>90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3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2"/>
        <v>7333</v>
      </c>
      <c r="B77" s="53" t="s">
        <v>91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60" t="str">
        <f t="shared" si="2"/>
        <v>7169</v>
      </c>
      <c r="B78" s="58" t="s">
        <v>92</v>
      </c>
      <c r="C78" s="54" t="s">
        <v>33</v>
      </c>
      <c r="D78" s="55">
        <v>1001303987169</v>
      </c>
      <c r="E78" s="24">
        <v>40</v>
      </c>
      <c r="F78" s="23">
        <v>0.35</v>
      </c>
      <c r="G78" s="23">
        <f t="shared" si="3"/>
        <v>14</v>
      </c>
      <c r="H78" s="14"/>
      <c r="I78" s="14">
        <v>50</v>
      </c>
      <c r="J78" s="29"/>
    </row>
    <row r="79" spans="1:10" ht="16.5" customHeight="1" x14ac:dyDescent="0.25">
      <c r="A79" s="60" t="str">
        <f t="shared" si="2"/>
        <v>7166</v>
      </c>
      <c r="B79" s="45" t="s">
        <v>93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2"/>
        <v>5544</v>
      </c>
      <c r="B80" s="80" t="s">
        <v>94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2"/>
        <v>7133</v>
      </c>
      <c r="B81" s="80" t="s">
        <v>95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2"/>
        <v>6791</v>
      </c>
      <c r="B82" s="80" t="s">
        <v>96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2"/>
        <v>6792</v>
      </c>
      <c r="B83" s="80" t="s">
        <v>97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2"/>
        <v>7157</v>
      </c>
      <c r="B84" s="80" t="s">
        <v>98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2"/>
        <v>6793</v>
      </c>
      <c r="B85" s="80" t="s">
        <v>99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2"/>
        <v>7131</v>
      </c>
      <c r="B86" s="80" t="s">
        <v>100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2"/>
        <v>7144</v>
      </c>
      <c r="B87" s="80" t="s">
        <v>101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2"/>
        <v>7146</v>
      </c>
      <c r="B88" s="80" t="s">
        <v>102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2"/>
        <v>7135</v>
      </c>
      <c r="B89" s="80" t="s">
        <v>103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2"/>
        <v>7134</v>
      </c>
      <c r="B90" s="80" t="s">
        <v>104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ref="A91:A122" si="4">RIGHT(D91,4)</f>
        <v>6807</v>
      </c>
      <c r="B91" s="80" t="s">
        <v>105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4"/>
        <v/>
      </c>
      <c r="B92" s="47" t="s">
        <v>106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4"/>
        <v>5931</v>
      </c>
      <c r="B93" s="64" t="s">
        <v>107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4"/>
        <v>6834</v>
      </c>
      <c r="B94" s="53" t="s">
        <v>108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4"/>
        <v>7092</v>
      </c>
      <c r="B95" s="80" t="s">
        <v>109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4"/>
        <v>6454</v>
      </c>
      <c r="B96" s="80" t="s">
        <v>110</v>
      </c>
      <c r="C96" s="73" t="s">
        <v>33</v>
      </c>
      <c r="D96" s="74">
        <v>1001201976454</v>
      </c>
      <c r="E96" s="24">
        <v>60</v>
      </c>
      <c r="F96" s="23">
        <v>0.1</v>
      </c>
      <c r="G96" s="23">
        <f>E96*F96</f>
        <v>6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4"/>
        <v>3986</v>
      </c>
      <c r="B97" s="80" t="s">
        <v>111</v>
      </c>
      <c r="C97" s="73" t="s">
        <v>33</v>
      </c>
      <c r="D97" s="74">
        <v>1001061973986</v>
      </c>
      <c r="E97" s="24">
        <v>25</v>
      </c>
      <c r="F97" s="23">
        <v>0.25</v>
      </c>
      <c r="G97" s="23">
        <f>E97*F97</f>
        <v>6.25</v>
      </c>
      <c r="H97" s="14"/>
      <c r="I97" s="14"/>
      <c r="J97" s="29"/>
    </row>
    <row r="98" spans="1:10" ht="16.5" customHeight="1" x14ac:dyDescent="0.25">
      <c r="A98" s="60" t="str">
        <f t="shared" si="4"/>
        <v>5708</v>
      </c>
      <c r="B98" s="80" t="s">
        <v>112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4"/>
        <v>6832</v>
      </c>
      <c r="B99" s="80" t="s">
        <v>113</v>
      </c>
      <c r="C99" s="73" t="s">
        <v>24</v>
      </c>
      <c r="D99" s="74">
        <v>1001065616832</v>
      </c>
      <c r="E99" s="24"/>
      <c r="F99" s="23"/>
      <c r="G99" s="23">
        <f>E99</f>
        <v>0</v>
      </c>
      <c r="H99" s="14"/>
      <c r="I99" s="14"/>
      <c r="J99" s="29"/>
    </row>
    <row r="100" spans="1:10" ht="16.5" customHeight="1" x14ac:dyDescent="0.25">
      <c r="A100" s="60" t="str">
        <f t="shared" si="4"/>
        <v>7299</v>
      </c>
      <c r="B100" s="80" t="s">
        <v>114</v>
      </c>
      <c r="C100" s="73" t="s">
        <v>24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4"/>
        <v>4993</v>
      </c>
      <c r="B101" s="80" t="s">
        <v>115</v>
      </c>
      <c r="C101" s="73" t="s">
        <v>33</v>
      </c>
      <c r="D101" s="74">
        <v>1001060764993</v>
      </c>
      <c r="E101" s="24">
        <v>40</v>
      </c>
      <c r="F101" s="23">
        <v>0.25</v>
      </c>
      <c r="G101" s="23">
        <f t="shared" ref="G101:G110" si="5">E101*F101</f>
        <v>10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4"/>
        <v>6967</v>
      </c>
      <c r="B102" s="80" t="s">
        <v>116</v>
      </c>
      <c r="C102" s="73" t="s">
        <v>33</v>
      </c>
      <c r="D102" s="74">
        <v>1001063656967</v>
      </c>
      <c r="E102" s="24"/>
      <c r="F102" s="23">
        <v>0.25</v>
      </c>
      <c r="G102" s="23">
        <f t="shared" si="5"/>
        <v>0</v>
      </c>
      <c r="H102" s="14"/>
      <c r="I102" s="14"/>
      <c r="J102" s="29"/>
    </row>
    <row r="103" spans="1:10" ht="16.5" customHeight="1" x14ac:dyDescent="0.25">
      <c r="A103" s="60" t="str">
        <f t="shared" si="4"/>
        <v>5682</v>
      </c>
      <c r="B103" s="80" t="s">
        <v>117</v>
      </c>
      <c r="C103" s="73" t="s">
        <v>22</v>
      </c>
      <c r="D103" s="74">
        <v>1001193115682</v>
      </c>
      <c r="E103" s="24"/>
      <c r="F103" s="23">
        <v>0.12</v>
      </c>
      <c r="G103" s="23">
        <f t="shared" si="5"/>
        <v>0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4"/>
        <v>7147</v>
      </c>
      <c r="B104" s="80" t="s">
        <v>118</v>
      </c>
      <c r="C104" s="73" t="s">
        <v>22</v>
      </c>
      <c r="D104" s="74">
        <v>1001063237147</v>
      </c>
      <c r="E104" s="24"/>
      <c r="F104" s="23">
        <v>0.22</v>
      </c>
      <c r="G104" s="23">
        <f t="shared" si="5"/>
        <v>0</v>
      </c>
      <c r="H104" s="14"/>
      <c r="I104" s="14"/>
      <c r="J104" s="29"/>
    </row>
    <row r="105" spans="1:10" ht="16.5" customHeight="1" x14ac:dyDescent="0.25">
      <c r="A105" s="60" t="str">
        <f t="shared" si="4"/>
        <v>7229</v>
      </c>
      <c r="B105" s="80" t="s">
        <v>119</v>
      </c>
      <c r="C105" s="73" t="s">
        <v>22</v>
      </c>
      <c r="D105" s="74">
        <v>1001063237229</v>
      </c>
      <c r="E105" s="24"/>
      <c r="F105" s="23">
        <v>0.18</v>
      </c>
      <c r="G105" s="23">
        <f t="shared" si="5"/>
        <v>0</v>
      </c>
      <c r="H105" s="14"/>
      <c r="I105" s="14"/>
      <c r="J105" s="29"/>
    </row>
    <row r="106" spans="1:10" ht="16.5" customHeight="1" x14ac:dyDescent="0.25">
      <c r="A106" s="60" t="str">
        <f t="shared" si="4"/>
        <v>7150</v>
      </c>
      <c r="B106" s="80" t="s">
        <v>120</v>
      </c>
      <c r="C106" s="73" t="s">
        <v>24</v>
      </c>
      <c r="D106" s="74">
        <v>1001063237150</v>
      </c>
      <c r="E106" s="24"/>
      <c r="F106" s="23">
        <v>1</v>
      </c>
      <c r="G106" s="23">
        <f t="shared" si="5"/>
        <v>0</v>
      </c>
      <c r="H106" s="14"/>
      <c r="I106" s="14"/>
      <c r="J106" s="29"/>
    </row>
    <row r="107" spans="1:10" ht="16.5" customHeight="1" x14ac:dyDescent="0.25">
      <c r="A107" s="60" t="str">
        <f t="shared" si="4"/>
        <v>7227</v>
      </c>
      <c r="B107" s="80" t="s">
        <v>121</v>
      </c>
      <c r="C107" s="73" t="s">
        <v>22</v>
      </c>
      <c r="D107" s="74">
        <v>1001063097227</v>
      </c>
      <c r="E107" s="24"/>
      <c r="F107" s="23">
        <v>0.18</v>
      </c>
      <c r="G107" s="23">
        <f t="shared" si="5"/>
        <v>0</v>
      </c>
      <c r="H107" s="14"/>
      <c r="I107" s="14"/>
      <c r="J107" s="29"/>
    </row>
    <row r="108" spans="1:10" ht="16.5" customHeight="1" x14ac:dyDescent="0.25">
      <c r="A108" s="60" t="str">
        <f t="shared" si="4"/>
        <v>7225</v>
      </c>
      <c r="B108" s="80" t="s">
        <v>122</v>
      </c>
      <c r="C108" s="73" t="s">
        <v>22</v>
      </c>
      <c r="D108" s="74">
        <v>1001066537225</v>
      </c>
      <c r="E108" s="24"/>
      <c r="F108" s="23">
        <v>0.18</v>
      </c>
      <c r="G108" s="23">
        <f t="shared" si="5"/>
        <v>0</v>
      </c>
      <c r="H108" s="14"/>
      <c r="I108" s="14"/>
      <c r="J108" s="29"/>
    </row>
    <row r="109" spans="1:10" ht="16.5" customHeight="1" x14ac:dyDescent="0.25">
      <c r="A109" s="60" t="str">
        <f t="shared" si="4"/>
        <v>7228</v>
      </c>
      <c r="B109" s="80" t="s">
        <v>123</v>
      </c>
      <c r="C109" s="73" t="s">
        <v>22</v>
      </c>
      <c r="D109" s="74">
        <v>1001066547228</v>
      </c>
      <c r="E109" s="24"/>
      <c r="F109" s="23">
        <v>0.18</v>
      </c>
      <c r="G109" s="23">
        <f t="shared" si="5"/>
        <v>0</v>
      </c>
      <c r="H109" s="14"/>
      <c r="I109" s="14"/>
      <c r="J109" s="29"/>
    </row>
    <row r="110" spans="1:10" ht="16.5" customHeight="1" x14ac:dyDescent="0.25">
      <c r="A110" s="60" t="str">
        <f t="shared" si="4"/>
        <v>6221</v>
      </c>
      <c r="B110" s="80" t="s">
        <v>124</v>
      </c>
      <c r="C110" s="73" t="s">
        <v>22</v>
      </c>
      <c r="D110" s="74">
        <v>1001205376221</v>
      </c>
      <c r="E110" s="24"/>
      <c r="F110" s="23">
        <v>0.09</v>
      </c>
      <c r="G110" s="23">
        <f t="shared" si="5"/>
        <v>0</v>
      </c>
      <c r="H110" s="14"/>
      <c r="I110" s="14"/>
      <c r="J110" s="29"/>
    </row>
    <row r="111" spans="1:10" ht="16.5" customHeight="1" x14ac:dyDescent="0.25">
      <c r="A111" s="60" t="str">
        <f t="shared" si="4"/>
        <v>4117</v>
      </c>
      <c r="B111" s="80" t="s">
        <v>125</v>
      </c>
      <c r="C111" s="73" t="s">
        <v>24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4"/>
        <v>5483</v>
      </c>
      <c r="B112" s="80" t="s">
        <v>126</v>
      </c>
      <c r="C112" s="73" t="s">
        <v>22</v>
      </c>
      <c r="D112" s="74">
        <v>1001062505483</v>
      </c>
      <c r="E112" s="24"/>
      <c r="F112" s="23">
        <v>0.25</v>
      </c>
      <c r="G112" s="23">
        <f>E112*F112</f>
        <v>0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4"/>
        <v>6453</v>
      </c>
      <c r="B113" s="80" t="s">
        <v>127</v>
      </c>
      <c r="C113" s="73" t="s">
        <v>33</v>
      </c>
      <c r="D113" s="74">
        <v>1001202506453</v>
      </c>
      <c r="E113" s="24">
        <v>100</v>
      </c>
      <c r="F113" s="23">
        <v>0.1</v>
      </c>
      <c r="G113" s="23">
        <f>E113*F113</f>
        <v>10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4"/>
        <v>6228</v>
      </c>
      <c r="B114" s="80" t="s">
        <v>128</v>
      </c>
      <c r="C114" s="73" t="s">
        <v>33</v>
      </c>
      <c r="D114" s="74">
        <v>1001225416228</v>
      </c>
      <c r="E114" s="24">
        <v>60</v>
      </c>
      <c r="F114" s="23">
        <v>0.09</v>
      </c>
      <c r="G114" s="23">
        <f>E114*F114</f>
        <v>5.3999999999999995</v>
      </c>
      <c r="H114" s="14"/>
      <c r="I114" s="14"/>
      <c r="J114" s="29"/>
    </row>
    <row r="115" spans="1:10" ht="16.5" customHeight="1" thickBot="1" x14ac:dyDescent="0.3">
      <c r="A115" s="60" t="str">
        <f t="shared" si="4"/>
        <v>3287</v>
      </c>
      <c r="B115" s="80" t="s">
        <v>129</v>
      </c>
      <c r="C115" s="73" t="s">
        <v>24</v>
      </c>
      <c r="D115" s="74">
        <v>1001060763287</v>
      </c>
      <c r="E115" s="24">
        <v>25</v>
      </c>
      <c r="F115" s="23">
        <v>0.51300000000000001</v>
      </c>
      <c r="G115" s="23">
        <f>E115</f>
        <v>25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4"/>
        <v/>
      </c>
      <c r="B116" s="47" t="s">
        <v>130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4"/>
        <v>6866</v>
      </c>
      <c r="B117" s="77" t="s">
        <v>131</v>
      </c>
      <c r="C117" s="73" t="s">
        <v>38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4"/>
        <v>3215</v>
      </c>
      <c r="B118" s="80" t="s">
        <v>132</v>
      </c>
      <c r="C118" s="73" t="s">
        <v>33</v>
      </c>
      <c r="D118" s="42">
        <v>1001094053215</v>
      </c>
      <c r="E118" s="24">
        <v>40</v>
      </c>
      <c r="F118" s="23">
        <v>0.4</v>
      </c>
      <c r="G118" s="23">
        <f>E118*F118</f>
        <v>16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4"/>
        <v>5452</v>
      </c>
      <c r="B119" s="51" t="s">
        <v>133</v>
      </c>
      <c r="C119" s="73" t="s">
        <v>24</v>
      </c>
      <c r="D119" s="42">
        <v>1001092485452</v>
      </c>
      <c r="E119" s="24"/>
      <c r="F119" s="23">
        <v>1.367</v>
      </c>
      <c r="G119" s="23">
        <f>E119</f>
        <v>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4"/>
        <v>5495</v>
      </c>
      <c r="B120" s="51" t="s">
        <v>134</v>
      </c>
      <c r="C120" s="73" t="s">
        <v>22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4"/>
        <v>6495</v>
      </c>
      <c r="B121" s="51" t="s">
        <v>135</v>
      </c>
      <c r="C121" s="73" t="s">
        <v>22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4"/>
        <v/>
      </c>
      <c r="B122" s="47" t="s">
        <v>136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ref="A123:A130" si="6">RIGHT(D123,4)</f>
        <v>6448</v>
      </c>
      <c r="B123" s="37" t="s">
        <v>137</v>
      </c>
      <c r="C123" s="73" t="s">
        <v>33</v>
      </c>
      <c r="D123" s="74">
        <v>1001234146448</v>
      </c>
      <c r="E123" s="24">
        <v>100</v>
      </c>
      <c r="F123" s="23">
        <v>0.1</v>
      </c>
      <c r="G123" s="23">
        <f>E123*F123</f>
        <v>10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6"/>
        <v>6620</v>
      </c>
      <c r="B124" s="37" t="s">
        <v>138</v>
      </c>
      <c r="C124" s="73" t="s">
        <v>24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6"/>
        <v>6279</v>
      </c>
      <c r="B125" s="37" t="s">
        <v>139</v>
      </c>
      <c r="C125" s="73" t="s">
        <v>22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6208</v>
      </c>
      <c r="B126" s="37" t="s">
        <v>140</v>
      </c>
      <c r="C126" s="73" t="s">
        <v>22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6"/>
        <v>7090</v>
      </c>
      <c r="B127" s="37" t="s">
        <v>141</v>
      </c>
      <c r="C127" s="73" t="s">
        <v>33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6"/>
        <v>7187</v>
      </c>
      <c r="B128" s="37" t="s">
        <v>142</v>
      </c>
      <c r="C128" s="73" t="s">
        <v>33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6"/>
        <v>7103</v>
      </c>
      <c r="B129" s="59" t="s">
        <v>143</v>
      </c>
      <c r="C129" s="54" t="s">
        <v>33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6"/>
        <v>6872</v>
      </c>
      <c r="B130" s="37" t="s">
        <v>144</v>
      </c>
      <c r="C130" s="73" t="s">
        <v>24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145</v>
      </c>
      <c r="C131" s="16"/>
      <c r="D131" s="38"/>
      <c r="E131" s="17">
        <f>SUM(E10:E130)</f>
        <v>1865</v>
      </c>
      <c r="F131" s="17"/>
      <c r="G131" s="17">
        <f>SUM(G11:G130)</f>
        <v>1100.1500000000001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2025-11-12T10:28:48Z</dcterms:modified>
</cp:coreProperties>
</file>