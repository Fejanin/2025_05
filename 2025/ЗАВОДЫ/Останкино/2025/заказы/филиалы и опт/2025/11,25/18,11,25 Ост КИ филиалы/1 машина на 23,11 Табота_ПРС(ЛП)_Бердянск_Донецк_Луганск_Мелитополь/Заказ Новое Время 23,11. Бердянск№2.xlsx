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1 машина на 23,11 Табота_ПРС(ЛП)_Бердянск_Донецк_Луганск_Мелитополь\"/>
    </mc:Choice>
  </mc:AlternateContent>
  <xr:revisionPtr revIDLastSave="0" documentId="13_ncr:1_{36FDF75F-D0F8-467C-9D50-0200027CEC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<sst xmlns="http://schemas.openxmlformats.org/spreadsheetml/2006/main" count="257" uniqueCount="146">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</sst>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45984</v>
      </c>
      <c r="E3" s="7" t="s">
        <v>3</v>
      </c>
      <c r="F3" s="84">
        <f>D3+3</f>
        <v>45987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>
        <v>8</v>
      </c>
      <c r="F11" s="23">
        <v>0.84</v>
      </c>
      <c r="G11" s="23">
        <f>E11*F11</f>
        <v>6.72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120</v>
      </c>
      <c r="F12" s="23">
        <v>1.3340000000000001</v>
      </c>
      <c r="G12" s="23">
        <f>E12</f>
        <v>120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114</v>
      </c>
      <c r="F13" s="23">
        <v>0.4</v>
      </c>
      <c r="G13" s="23">
        <f>E13*F13</f>
        <v>45.6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260</v>
      </c>
      <c r="F22" s="23">
        <v>1.35</v>
      </c>
      <c r="G22" s="23">
        <f>E22</f>
        <v>260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225</v>
      </c>
      <c r="F23" s="23">
        <v>0.4</v>
      </c>
      <c r="G23" s="23">
        <f>E23*F23</f>
        <v>90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40</v>
      </c>
      <c r="F24" s="23">
        <v>1.3540000000000001</v>
      </c>
      <c r="G24" s="23">
        <f>E24</f>
        <v>40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57</v>
      </c>
      <c r="F25" s="23">
        <v>0.4</v>
      </c>
      <c r="G25" s="23">
        <f>E25*F25</f>
        <v>22.8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19</v>
      </c>
      <c r="F27" s="23">
        <v>0.4</v>
      </c>
      <c r="G27" s="23">
        <f>E27*F27</f>
        <v>7.6000000000000005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34</v>
      </c>
      <c r="F30" s="23">
        <v>1</v>
      </c>
      <c r="G30" s="23">
        <f>E30</f>
        <v>34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33</v>
      </c>
      <c r="F32" s="23">
        <v>1</v>
      </c>
      <c r="G32" s="23">
        <f>E32</f>
        <v>33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40</v>
      </c>
      <c r="F34" s="23">
        <v>0.4</v>
      </c>
      <c r="G34" s="23">
        <f>E34*F34</f>
        <v>16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>
        <v>24</v>
      </c>
      <c r="F37" s="23">
        <v>0.35</v>
      </c>
      <c r="G37" s="23">
        <f>E37*F37</f>
        <v>8.3999999999999986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31</v>
      </c>
      <c r="F38" s="23">
        <v>1.05</v>
      </c>
      <c r="G38" s="23">
        <f>E38</f>
        <v>31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3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>
        <v>16</v>
      </c>
      <c r="F40" s="23">
        <v>0.4</v>
      </c>
      <c r="G40" s="23">
        <f t="shared" si="3"/>
        <v>6.4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105</v>
      </c>
      <c r="F42" s="23">
        <v>0.36</v>
      </c>
      <c r="G42" s="23">
        <f t="shared" si="3"/>
        <v>37.799999999999997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142</v>
      </c>
      <c r="F44" s="23">
        <v>0.3</v>
      </c>
      <c r="G44" s="23">
        <f t="shared" si="3"/>
        <v>42.6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>
        <v>64</v>
      </c>
      <c r="F45" s="23">
        <v>2.125</v>
      </c>
      <c r="G45" s="23">
        <f>E45</f>
        <v>64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64</v>
      </c>
      <c r="F47" s="23"/>
      <c r="G47" s="23">
        <f>E47</f>
        <v>64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>
        <v>34</v>
      </c>
      <c r="F48" s="23">
        <v>1</v>
      </c>
      <c r="G48" s="23">
        <f>E48</f>
        <v>34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>
        <v>175</v>
      </c>
      <c r="F49" s="23">
        <v>0.4</v>
      </c>
      <c r="G49" s="23">
        <f>E49*F49</f>
        <v>70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>
        <v>153</v>
      </c>
      <c r="F50" s="23">
        <v>0.41</v>
      </c>
      <c r="G50" s="23">
        <f>E50*F50</f>
        <v>62.73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>
        <v>15</v>
      </c>
      <c r="F52" s="23">
        <v>0.33</v>
      </c>
      <c r="G52" s="23">
        <f>E52*F52</f>
        <v>4.95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15</v>
      </c>
      <c r="F54" s="23">
        <v>1.0249999999999999</v>
      </c>
      <c r="G54" s="23">
        <f>E54</f>
        <v>15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11</v>
      </c>
      <c r="F57" s="23">
        <v>0.41</v>
      </c>
      <c r="G57" s="23">
        <f>F57*E57</f>
        <v>4.51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300</v>
      </c>
      <c r="F59" s="23">
        <v>0.41</v>
      </c>
      <c r="G59" s="23">
        <f>E59*F59</f>
        <v>122.99999999999999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450</v>
      </c>
      <c r="F61" s="23">
        <v>0.41</v>
      </c>
      <c r="G61" s="23">
        <f>E61*F61</f>
        <v>184.5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>
        <v>28</v>
      </c>
      <c r="F64" s="23">
        <v>1</v>
      </c>
      <c r="G64" s="23">
        <f>E64</f>
        <v>28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>
        <v>20</v>
      </c>
      <c r="F65" s="23">
        <v>1</v>
      </c>
      <c r="G65" s="23">
        <f>E65</f>
        <v>20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>
        <v>59</v>
      </c>
      <c r="F66" s="23">
        <v>0.99</v>
      </c>
      <c r="G66" s="23">
        <f>E66</f>
        <v>59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122</v>
      </c>
      <c r="F70" s="23">
        <v>0.28000000000000003</v>
      </c>
      <c r="G70" s="23">
        <f t="shared" si="4"/>
        <v>34.160000000000004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>
        <v>29</v>
      </c>
      <c r="F71" s="23">
        <v>0.28000000000000003</v>
      </c>
      <c r="G71" s="23">
        <f t="shared" si="4"/>
        <v>8.120000000000001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>
        <v>255</v>
      </c>
      <c r="F72" s="23">
        <v>0.28000000000000003</v>
      </c>
      <c r="G72" s="23">
        <f t="shared" si="4"/>
        <v>71.400000000000006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177</v>
      </c>
      <c r="F73" s="23">
        <v>0.35</v>
      </c>
      <c r="G73" s="23">
        <f t="shared" si="4"/>
        <v>61.949999999999996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>
        <v>8</v>
      </c>
      <c r="F74" s="75">
        <v>0.33</v>
      </c>
      <c r="G74" s="23">
        <f t="shared" si="4"/>
        <v>2.64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127</v>
      </c>
      <c r="F75" s="23">
        <v>0.35</v>
      </c>
      <c r="G75" s="23">
        <f t="shared" si="4"/>
        <v>44.449999999999996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>
        <v>57</v>
      </c>
      <c r="F76" s="23">
        <v>0.28000000000000003</v>
      </c>
      <c r="G76" s="23">
        <f t="shared" si="4"/>
        <v>15.96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108</v>
      </c>
      <c r="F77" s="23">
        <v>0.28000000000000003</v>
      </c>
      <c r="G77" s="23">
        <f t="shared" si="4"/>
        <v>30.240000000000002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>
        <v>8</v>
      </c>
      <c r="F78" s="23">
        <v>0.28000000000000003</v>
      </c>
      <c r="G78" s="23">
        <f t="shared" si="4"/>
        <v>2.2400000000000002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360</v>
      </c>
      <c r="F79" s="23">
        <v>0.35</v>
      </c>
      <c r="G79" s="23">
        <f t="shared" si="4"/>
        <v>125.99999999999999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116</v>
      </c>
      <c r="F80" s="23">
        <v>1</v>
      </c>
      <c r="G80" s="23">
        <f>E80</f>
        <v>116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77</v>
      </c>
      <c r="F81" s="23">
        <v>0.83399999999999996</v>
      </c>
      <c r="G81" s="23">
        <f>E81</f>
        <v>77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8</v>
      </c>
      <c r="F85" s="23">
        <v>1</v>
      </c>
      <c r="G85" s="23">
        <f>E85</f>
        <v>8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>
        <v>51</v>
      </c>
      <c r="F86" s="23">
        <v>0.33</v>
      </c>
      <c r="G86" s="23">
        <f>E86*F86</f>
        <v>16.830000000000002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>
        <v>50</v>
      </c>
      <c r="F87" s="23">
        <v>1</v>
      </c>
      <c r="G87" s="23">
        <f>E87</f>
        <v>50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26</v>
      </c>
      <c r="F94" s="67">
        <v>0.22</v>
      </c>
      <c r="G94" s="23">
        <f>E94*F94</f>
        <v>5.72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17</v>
      </c>
      <c r="F95" s="75">
        <v>0.1</v>
      </c>
      <c r="G95" s="23">
        <f>E95*F95</f>
        <v>1.7000000000000002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105</v>
      </c>
      <c r="F97" s="23">
        <v>0.1</v>
      </c>
      <c r="G97" s="23">
        <f>E97*F97</f>
        <v>10.5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50</v>
      </c>
      <c r="F98" s="23">
        <v>0.25</v>
      </c>
      <c r="G98" s="23">
        <f>E98*F98</f>
        <v>12.5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>
        <v>28</v>
      </c>
      <c r="F99" s="23">
        <v>0.52500000000000002</v>
      </c>
      <c r="G99" s="23">
        <f>E99</f>
        <v>28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>
        <v>5</v>
      </c>
      <c r="F101" s="23"/>
      <c r="G101" s="23">
        <f>E101</f>
        <v>5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>
        <v>81</v>
      </c>
      <c r="F102" s="23">
        <v>0.25</v>
      </c>
      <c r="G102" s="23">
        <f t="shared" ref="G102:G111" si="7">E102*F102</f>
        <v>20.25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21</v>
      </c>
      <c r="F103" s="23">
        <v>0.25</v>
      </c>
      <c r="G103" s="23">
        <f t="shared" si="7"/>
        <v>5.25</v>
      </c>
      <c r="H103" s="14"/>
      <c r="I103" s="14"/>
      <c r="J103" s="29"/>
    </row>
    <row r="104" spans="1:10" ht="16.5" customHeight="1" x14ac:dyDescent="0.25">
      <c r="A104" s="60" t="str">
        <f t="shared" si="6"/>
        <v>5682</v>
      </c>
      <c r="B104" s="80" t="s">
        <v>117</v>
      </c>
      <c r="C104" s="73" t="s">
        <v>21</v>
      </c>
      <c r="D104" s="74">
        <v>1001193115682</v>
      </c>
      <c r="E104" s="24">
        <v>100</v>
      </c>
      <c r="F104" s="23">
        <v>0.12</v>
      </c>
      <c r="G104" s="23">
        <f t="shared" si="7"/>
        <v>12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>
        <v>27</v>
      </c>
      <c r="F111" s="23">
        <v>0.09</v>
      </c>
      <c r="G111" s="23">
        <f t="shared" si="7"/>
        <v>2.4299999999999997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>
        <v>16</v>
      </c>
      <c r="F112" s="23">
        <v>0.50700000000000001</v>
      </c>
      <c r="G112" s="23">
        <f>E112</f>
        <v>16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>
        <v>50</v>
      </c>
      <c r="F114" s="23">
        <v>0.1</v>
      </c>
      <c r="G114" s="23">
        <f>E114*F114</f>
        <v>5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33</v>
      </c>
      <c r="F115" s="23">
        <v>0.09</v>
      </c>
      <c r="G115" s="23">
        <f>E115*F115</f>
        <v>2.9699999999999998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>
        <v>120</v>
      </c>
      <c r="F119" s="23">
        <v>0.4</v>
      </c>
      <c r="G119" s="23">
        <f>E119*F119</f>
        <v>48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25</v>
      </c>
      <c r="F120" s="23">
        <v>1.367</v>
      </c>
      <c r="G120" s="23">
        <f>E120</f>
        <v>25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>
        <v>12</v>
      </c>
      <c r="F121" s="23">
        <v>0.4</v>
      </c>
      <c r="G121" s="23">
        <f>E121*F121</f>
        <v>4.8000000000000007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>
        <v>31</v>
      </c>
      <c r="F129" s="23">
        <v>0.3</v>
      </c>
      <c r="G129" s="23">
        <f>E129*F129</f>
        <v>9.2999999999999989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>
        <v>67</v>
      </c>
      <c r="F130" s="75">
        <v>0.18</v>
      </c>
      <c r="G130" s="23">
        <f>E130*F130</f>
        <v>12.059999999999999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5023</v>
      </c>
      <c r="F132" s="17"/>
      <c r="G132" s="17">
        <f>SUM(G11:G131)</f>
        <v>2427.08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2025-11-19T09:43:37Z</dcterms:modified>
</cp:coreProperties>
</file>