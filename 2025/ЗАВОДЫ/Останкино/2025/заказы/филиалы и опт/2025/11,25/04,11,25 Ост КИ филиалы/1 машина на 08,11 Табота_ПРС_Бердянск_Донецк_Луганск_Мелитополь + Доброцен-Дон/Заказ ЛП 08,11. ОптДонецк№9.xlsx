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11,25 Ост КИ ПРС(ЛП)\"/>
    </mc:Choice>
  </mc:AlternateContent>
  <xr:revisionPtr revIDLastSave="0" documentId="13_ncr:1_{EF779C72-9009-4F73-99F8-06C13A5711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Бланк!$A$9:$K$154</definedName>
    <definedName name="кол_во_инд.__упак_к">Бланк!$AC$3:$AC$590</definedName>
    <definedName name="номин.вес_нетто__кг">Бланк!$W$3:$W$590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4" i="1" l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4" i="1" s="1"/>
  <c r="A11" i="1"/>
  <c r="F3" i="1"/>
</calcChain>
</file>

<file path=xl/sharedStrings.xml><?xml version="1.0" encoding="utf-8"?>
<sst xmlns="http://schemas.openxmlformats.org/spreadsheetml/2006/main" count="302" uniqueCount="164">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</sst>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8"/>
  <sheetViews>
    <sheetView tabSelected="1" zoomScale="87" zoomScaleNormal="87" workbookViewId="0">
      <pane ySplit="9" topLeftCell="A151" activePane="bottomLeft" state="frozen"/>
      <selection pane="bottomLeft" activeCell="H161" sqref="H161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45969</v>
      </c>
      <c r="E3" s="7" t="s">
        <v>3</v>
      </c>
      <c r="F3" s="82">
        <f>D3+3</f>
        <v>45972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200</v>
      </c>
      <c r="F13" s="23">
        <v>0.4</v>
      </c>
      <c r="G13" s="23">
        <f>E13*F13</f>
        <v>80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400</v>
      </c>
      <c r="F17" s="23">
        <v>0.4</v>
      </c>
      <c r="G17" s="23">
        <f>F17*E17</f>
        <v>160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350</v>
      </c>
      <c r="F27" s="23">
        <v>0.4</v>
      </c>
      <c r="G27" s="23">
        <f>E27*F27</f>
        <v>140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300</v>
      </c>
      <c r="F29" s="23">
        <v>0.4</v>
      </c>
      <c r="G29" s="23">
        <f>E29*F29</f>
        <v>120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>
        <v>200</v>
      </c>
      <c r="F32" s="23">
        <v>0.4</v>
      </c>
      <c r="G32" s="23">
        <f>E32*F32</f>
        <v>80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>
        <v>300</v>
      </c>
      <c r="F39" s="23">
        <v>0.35</v>
      </c>
      <c r="G39" s="23">
        <f>E39*F39</f>
        <v>105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300</v>
      </c>
      <c r="F49" s="23">
        <v>0.4</v>
      </c>
      <c r="G49" s="23">
        <f>E49*F49</f>
        <v>120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300</v>
      </c>
      <c r="F50" s="23">
        <v>0.41</v>
      </c>
      <c r="G50" s="23">
        <f>E50*F50</f>
        <v>122.99999999999999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400</v>
      </c>
      <c r="F57" s="23">
        <v>0.6</v>
      </c>
      <c r="G57" s="23">
        <f>E57*F57</f>
        <v>240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250</v>
      </c>
      <c r="F58" s="23">
        <v>0.33</v>
      </c>
      <c r="G58" s="23">
        <f>E58*F58</f>
        <v>82.5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380</v>
      </c>
      <c r="F62" s="23">
        <v>0.41</v>
      </c>
      <c r="G62" s="23">
        <f>E62*F62</f>
        <v>155.79999999999998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300</v>
      </c>
      <c r="F63" s="23">
        <v>0.41</v>
      </c>
      <c r="G63" s="23">
        <f>E63*F63</f>
        <v>122.99999999999999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240</v>
      </c>
      <c r="F75" s="23">
        <v>0.31</v>
      </c>
      <c r="G75" s="23">
        <f>F75*E75</f>
        <v>74.400000000000006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350</v>
      </c>
      <c r="F80" s="23">
        <v>0.28000000000000003</v>
      </c>
      <c r="G80" s="23">
        <f t="shared" si="3"/>
        <v>98.000000000000014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350</v>
      </c>
      <c r="F91" s="23">
        <v>0.35</v>
      </c>
      <c r="G91" s="23">
        <f>E91*F91</f>
        <v>122.49999999999999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235</v>
      </c>
      <c r="F104" s="23">
        <v>0.35</v>
      </c>
      <c r="G104" s="23">
        <f t="shared" si="5"/>
        <v>82.25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250</v>
      </c>
      <c r="F115" s="75">
        <v>0.1</v>
      </c>
      <c r="G115" s="23">
        <f>E115*F115</f>
        <v>25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250</v>
      </c>
      <c r="F123" s="23">
        <v>0.25</v>
      </c>
      <c r="G123" s="23">
        <f>E123*F123</f>
        <v>62.5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163</v>
      </c>
      <c r="C124" s="73" t="s">
        <v>22</v>
      </c>
      <c r="D124" s="74">
        <v>1001203117382</v>
      </c>
      <c r="E124" s="24">
        <v>300</v>
      </c>
      <c r="F124" s="23">
        <v>0.12</v>
      </c>
      <c r="G124" s="23">
        <f>E124*F124</f>
        <v>36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5679</v>
      </c>
      <c r="B125" s="80" t="s">
        <v>136</v>
      </c>
      <c r="C125" s="73" t="s">
        <v>22</v>
      </c>
      <c r="D125" s="74">
        <v>1001190765679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4117</v>
      </c>
      <c r="B126" s="80" t="s">
        <v>137</v>
      </c>
      <c r="C126" s="73" t="s">
        <v>24</v>
      </c>
      <c r="D126" s="74">
        <v>1001062504117</v>
      </c>
      <c r="E126" s="24"/>
      <c r="F126" s="23">
        <v>0.50700000000000001</v>
      </c>
      <c r="G126" s="23">
        <f>E126</f>
        <v>0</v>
      </c>
      <c r="H126" s="14">
        <v>4.05</v>
      </c>
      <c r="I126" s="14">
        <v>120</v>
      </c>
      <c r="J126" s="29"/>
    </row>
    <row r="127" spans="1:11" ht="16.5" customHeight="1" x14ac:dyDescent="0.25">
      <c r="A127" s="59" t="str">
        <f t="shared" si="6"/>
        <v>5483</v>
      </c>
      <c r="B127" s="80" t="s">
        <v>138</v>
      </c>
      <c r="C127" s="73" t="s">
        <v>22</v>
      </c>
      <c r="D127" s="74">
        <v>1001062505483</v>
      </c>
      <c r="E127" s="24">
        <v>210</v>
      </c>
      <c r="F127" s="23">
        <v>0.25</v>
      </c>
      <c r="G127" s="23">
        <f t="shared" ref="G127:G132" si="7">E127*F127</f>
        <v>52.5</v>
      </c>
      <c r="H127" s="14">
        <v>2</v>
      </c>
      <c r="I127" s="14">
        <v>120</v>
      </c>
      <c r="J127" s="29"/>
    </row>
    <row r="128" spans="1:11" ht="16.5" customHeight="1" x14ac:dyDescent="0.25">
      <c r="A128" s="59" t="str">
        <f t="shared" si="6"/>
        <v>6453</v>
      </c>
      <c r="B128" s="80" t="s">
        <v>139</v>
      </c>
      <c r="C128" s="73" t="s">
        <v>37</v>
      </c>
      <c r="D128" s="74">
        <v>1001202506453</v>
      </c>
      <c r="E128" s="24"/>
      <c r="F128" s="23">
        <v>0.1</v>
      </c>
      <c r="G128" s="23">
        <f t="shared" si="7"/>
        <v>0</v>
      </c>
      <c r="H128" s="14">
        <v>1.4</v>
      </c>
      <c r="I128" s="14">
        <v>60</v>
      </c>
      <c r="J128" s="29"/>
    </row>
    <row r="129" spans="1:10" ht="16.5" customHeight="1" x14ac:dyDescent="0.25">
      <c r="A129" s="59" t="str">
        <f t="shared" si="6"/>
        <v>6557</v>
      </c>
      <c r="B129" s="80" t="s">
        <v>140</v>
      </c>
      <c r="C129" s="73" t="s">
        <v>37</v>
      </c>
      <c r="D129" s="74">
        <v>1001200756557</v>
      </c>
      <c r="E129" s="24"/>
      <c r="F129" s="23">
        <v>0.1</v>
      </c>
      <c r="G129" s="23">
        <f t="shared" si="7"/>
        <v>0</v>
      </c>
      <c r="H129" s="14"/>
      <c r="I129" s="14"/>
      <c r="J129" s="29"/>
    </row>
    <row r="130" spans="1:10" ht="16.5" customHeight="1" x14ac:dyDescent="0.25">
      <c r="A130" s="59" t="str">
        <f t="shared" si="6"/>
        <v>5931</v>
      </c>
      <c r="B130" s="80" t="s">
        <v>126</v>
      </c>
      <c r="C130" s="73" t="s">
        <v>37</v>
      </c>
      <c r="D130" s="74">
        <v>1001060755931</v>
      </c>
      <c r="E130" s="24">
        <v>300</v>
      </c>
      <c r="F130" s="23">
        <v>0.22</v>
      </c>
      <c r="G130" s="23">
        <f t="shared" si="7"/>
        <v>66</v>
      </c>
      <c r="H130" s="14"/>
      <c r="I130" s="14"/>
      <c r="J130" s="29"/>
    </row>
    <row r="131" spans="1:10" ht="16.5" customHeight="1" x14ac:dyDescent="0.25">
      <c r="A131" s="59" t="str">
        <f t="shared" si="6"/>
        <v>6228</v>
      </c>
      <c r="B131" s="80" t="s">
        <v>141</v>
      </c>
      <c r="C131" s="73" t="s">
        <v>37</v>
      </c>
      <c r="D131" s="74">
        <v>1001225416228</v>
      </c>
      <c r="E131" s="24"/>
      <c r="F131" s="23">
        <v>0.09</v>
      </c>
      <c r="G131" s="23">
        <f t="shared" si="7"/>
        <v>0</v>
      </c>
      <c r="H131" s="14"/>
      <c r="I131" s="14"/>
      <c r="J131" s="29"/>
    </row>
    <row r="132" spans="1:10" ht="16.5" customHeight="1" x14ac:dyDescent="0.25">
      <c r="A132" s="59" t="str">
        <f t="shared" si="6"/>
        <v>6221</v>
      </c>
      <c r="B132" s="80" t="s">
        <v>142</v>
      </c>
      <c r="C132" s="73" t="s">
        <v>37</v>
      </c>
      <c r="D132" s="74">
        <v>1001205376221</v>
      </c>
      <c r="E132" s="24">
        <v>280</v>
      </c>
      <c r="F132" s="23">
        <v>0.09</v>
      </c>
      <c r="G132" s="23">
        <f t="shared" si="7"/>
        <v>25.2</v>
      </c>
      <c r="H132" s="14"/>
      <c r="I132" s="14"/>
      <c r="J132" s="29"/>
    </row>
    <row r="133" spans="1:10" ht="16.5" customHeight="1" thickBot="1" x14ac:dyDescent="0.3">
      <c r="A133" s="59" t="str">
        <f t="shared" si="6"/>
        <v>3287</v>
      </c>
      <c r="B133" s="80" t="s">
        <v>143</v>
      </c>
      <c r="C133" s="73" t="s">
        <v>24</v>
      </c>
      <c r="D133" s="74">
        <v>1001060763287</v>
      </c>
      <c r="E133" s="24"/>
      <c r="F133" s="23">
        <v>0.51300000000000001</v>
      </c>
      <c r="G133" s="23">
        <f>E133</f>
        <v>0</v>
      </c>
      <c r="H133" s="14">
        <v>4.0999999999999996</v>
      </c>
      <c r="I133" s="14">
        <v>120</v>
      </c>
      <c r="J133" s="29"/>
    </row>
    <row r="134" spans="1:10" ht="16.5" customHeight="1" thickTop="1" thickBot="1" x14ac:dyDescent="0.3">
      <c r="A134" s="59" t="str">
        <f t="shared" si="6"/>
        <v/>
      </c>
      <c r="B134" s="46" t="s">
        <v>144</v>
      </c>
      <c r="C134" s="46"/>
      <c r="D134" s="46"/>
      <c r="E134" s="46"/>
      <c r="F134" s="46"/>
      <c r="G134" s="23"/>
      <c r="H134" s="46"/>
      <c r="I134" s="46"/>
      <c r="J134" s="47"/>
    </row>
    <row r="135" spans="1:10" ht="16.5" customHeight="1" thickTop="1" x14ac:dyDescent="0.25">
      <c r="A135" s="59" t="str">
        <f t="shared" si="6"/>
        <v>6866</v>
      </c>
      <c r="B135" s="77" t="s">
        <v>145</v>
      </c>
      <c r="C135" s="73" t="s">
        <v>42</v>
      </c>
      <c r="D135" s="79">
        <v>1001095716866</v>
      </c>
      <c r="E135" s="24"/>
      <c r="F135" s="23"/>
      <c r="G135" s="23">
        <f>E135</f>
        <v>0</v>
      </c>
      <c r="H135" s="14"/>
      <c r="I135" s="14"/>
      <c r="J135" s="29"/>
    </row>
    <row r="136" spans="1:10" ht="16.5" customHeight="1" x14ac:dyDescent="0.25">
      <c r="A136" s="59" t="str">
        <f t="shared" si="6"/>
        <v>3215</v>
      </c>
      <c r="B136" s="80" t="s">
        <v>146</v>
      </c>
      <c r="C136" s="73" t="s">
        <v>37</v>
      </c>
      <c r="D136" s="42">
        <v>1001094053215</v>
      </c>
      <c r="E136" s="24">
        <v>300</v>
      </c>
      <c r="F136" s="23">
        <v>0.4</v>
      </c>
      <c r="G136" s="23">
        <f>E136*F136</f>
        <v>120</v>
      </c>
      <c r="H136" s="14">
        <v>3.2</v>
      </c>
      <c r="I136" s="14">
        <v>60</v>
      </c>
      <c r="J136" s="29"/>
    </row>
    <row r="137" spans="1:10" ht="16.5" customHeight="1" x14ac:dyDescent="0.25">
      <c r="A137" s="59" t="str">
        <f t="shared" si="6"/>
        <v>6025</v>
      </c>
      <c r="B137" s="80" t="s">
        <v>147</v>
      </c>
      <c r="C137" s="73" t="s">
        <v>24</v>
      </c>
      <c r="D137" s="42">
        <v>1001094966025</v>
      </c>
      <c r="E137" s="24"/>
      <c r="F137" s="23"/>
      <c r="G137" s="23">
        <f>E137</f>
        <v>0</v>
      </c>
      <c r="H137" s="14"/>
      <c r="I137" s="14"/>
      <c r="J137" s="29"/>
    </row>
    <row r="138" spans="1:10" ht="16.5" customHeight="1" x14ac:dyDescent="0.25">
      <c r="A138" s="59" t="str">
        <f t="shared" si="6"/>
        <v>6470</v>
      </c>
      <c r="B138" s="80" t="s">
        <v>148</v>
      </c>
      <c r="C138" s="73" t="s">
        <v>24</v>
      </c>
      <c r="D138" s="42">
        <v>1001092436470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3" si="8">RIGHT(D139,4)</f>
        <v>4584</v>
      </c>
      <c r="B139" s="80" t="s">
        <v>149</v>
      </c>
      <c r="C139" s="73" t="s">
        <v>24</v>
      </c>
      <c r="D139" s="42">
        <v>1001092674584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6472</v>
      </c>
      <c r="B140" s="80" t="s">
        <v>150</v>
      </c>
      <c r="C140" s="73" t="s">
        <v>24</v>
      </c>
      <c r="D140" s="42">
        <v>1001092436472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5452</v>
      </c>
      <c r="B141" s="50" t="s">
        <v>151</v>
      </c>
      <c r="C141" s="73" t="s">
        <v>24</v>
      </c>
      <c r="D141" s="42">
        <v>1001092485452</v>
      </c>
      <c r="E141" s="24"/>
      <c r="F141" s="23">
        <v>1.367</v>
      </c>
      <c r="G141" s="23">
        <f>E141</f>
        <v>0</v>
      </c>
      <c r="H141" s="14">
        <v>4.0999999999999996</v>
      </c>
      <c r="I141" s="14">
        <v>60</v>
      </c>
      <c r="J141" s="29"/>
    </row>
    <row r="142" spans="1:10" ht="16.5" customHeight="1" x14ac:dyDescent="0.25">
      <c r="A142" s="59" t="str">
        <f t="shared" si="8"/>
        <v>5495</v>
      </c>
      <c r="B142" s="50" t="s">
        <v>152</v>
      </c>
      <c r="C142" s="73" t="s">
        <v>22</v>
      </c>
      <c r="D142" s="42">
        <v>1001093345495</v>
      </c>
      <c r="E142" s="24"/>
      <c r="F142" s="23">
        <v>0.4</v>
      </c>
      <c r="G142" s="23">
        <f>E142*F142</f>
        <v>0</v>
      </c>
      <c r="H142" s="14">
        <v>2.4</v>
      </c>
      <c r="I142" s="14">
        <v>60</v>
      </c>
      <c r="J142" s="29"/>
    </row>
    <row r="143" spans="1:10" ht="15.75" customHeight="1" thickBot="1" x14ac:dyDescent="0.3">
      <c r="A143" s="59" t="str">
        <f t="shared" si="8"/>
        <v>6495</v>
      </c>
      <c r="B143" s="50" t="s">
        <v>153</v>
      </c>
      <c r="C143" s="73" t="s">
        <v>22</v>
      </c>
      <c r="D143" s="42">
        <v>1001092436495</v>
      </c>
      <c r="E143" s="24"/>
      <c r="F143" s="23">
        <v>0.3</v>
      </c>
      <c r="G143" s="23">
        <f>E143*F143</f>
        <v>0</v>
      </c>
      <c r="H143" s="14">
        <v>1.8</v>
      </c>
      <c r="I143" s="14">
        <v>45</v>
      </c>
      <c r="J143" s="29"/>
    </row>
    <row r="144" spans="1:10" ht="16.5" customHeight="1" thickTop="1" thickBot="1" x14ac:dyDescent="0.3">
      <c r="A144" s="59" t="str">
        <f t="shared" si="8"/>
        <v/>
      </c>
      <c r="B144" s="46" t="s">
        <v>154</v>
      </c>
      <c r="C144" s="46"/>
      <c r="D144" s="46"/>
      <c r="E144" s="46"/>
      <c r="F144" s="46"/>
      <c r="G144" s="23"/>
      <c r="H144" s="46"/>
      <c r="I144" s="46"/>
      <c r="J144" s="47"/>
    </row>
    <row r="145" spans="1:11" ht="16.5" customHeight="1" thickTop="1" x14ac:dyDescent="0.25">
      <c r="A145" s="59" t="str">
        <f t="shared" si="8"/>
        <v>6448</v>
      </c>
      <c r="B145" s="37" t="s">
        <v>155</v>
      </c>
      <c r="C145" s="73" t="s">
        <v>37</v>
      </c>
      <c r="D145" s="74">
        <v>1001234146448</v>
      </c>
      <c r="E145" s="24"/>
      <c r="F145" s="23">
        <v>0.1</v>
      </c>
      <c r="G145" s="23">
        <f t="shared" ref="G145:G150" si="9">E145*F145</f>
        <v>0</v>
      </c>
      <c r="H145" s="14">
        <v>1</v>
      </c>
      <c r="I145" s="14">
        <v>45</v>
      </c>
      <c r="J145" s="29"/>
    </row>
    <row r="146" spans="1:11" ht="16.5" customHeight="1" x14ac:dyDescent="0.25">
      <c r="A146" s="59" t="str">
        <f t="shared" si="8"/>
        <v>6586</v>
      </c>
      <c r="B146" s="37" t="s">
        <v>82</v>
      </c>
      <c r="C146" s="73" t="s">
        <v>37</v>
      </c>
      <c r="D146" s="74">
        <v>1001215576586</v>
      </c>
      <c r="E146" s="24"/>
      <c r="F146" s="23">
        <v>0.09</v>
      </c>
      <c r="G146" s="23">
        <f t="shared" si="9"/>
        <v>0</v>
      </c>
      <c r="H146" s="14"/>
      <c r="I146" s="14"/>
      <c r="J146" s="29"/>
    </row>
    <row r="147" spans="1:11" ht="16.5" customHeight="1" x14ac:dyDescent="0.25">
      <c r="A147" s="59" t="str">
        <f t="shared" si="8"/>
        <v>6228</v>
      </c>
      <c r="B147" s="37" t="s">
        <v>141</v>
      </c>
      <c r="C147" s="73" t="s">
        <v>37</v>
      </c>
      <c r="D147" s="74">
        <v>1001225416228</v>
      </c>
      <c r="E147" s="24">
        <v>320</v>
      </c>
      <c r="F147" s="23">
        <v>0.09</v>
      </c>
      <c r="G147" s="23">
        <f t="shared" si="9"/>
        <v>28.799999999999997</v>
      </c>
      <c r="H147" s="14"/>
      <c r="I147" s="14"/>
      <c r="J147" s="29"/>
    </row>
    <row r="148" spans="1:11" ht="16.5" customHeight="1" x14ac:dyDescent="0.25">
      <c r="A148" s="59" t="str">
        <f t="shared" si="8"/>
        <v>6222</v>
      </c>
      <c r="B148" s="37" t="s">
        <v>156</v>
      </c>
      <c r="C148" s="73" t="s">
        <v>37</v>
      </c>
      <c r="D148" s="74">
        <v>1001205386222</v>
      </c>
      <c r="E148" s="24">
        <v>200</v>
      </c>
      <c r="F148" s="23">
        <v>0.09</v>
      </c>
      <c r="G148" s="23">
        <f t="shared" si="9"/>
        <v>18</v>
      </c>
      <c r="H148" s="14"/>
      <c r="I148" s="14"/>
      <c r="J148" s="29"/>
    </row>
    <row r="149" spans="1:11" ht="16.5" customHeight="1" x14ac:dyDescent="0.25">
      <c r="A149" s="59" t="str">
        <f t="shared" si="8"/>
        <v>6754</v>
      </c>
      <c r="B149" s="37" t="s">
        <v>157</v>
      </c>
      <c r="C149" s="73" t="s">
        <v>37</v>
      </c>
      <c r="D149" s="74">
        <v>1001225406754</v>
      </c>
      <c r="E149" s="24">
        <v>350</v>
      </c>
      <c r="F149" s="23">
        <v>0.09</v>
      </c>
      <c r="G149" s="23">
        <f t="shared" si="9"/>
        <v>31.5</v>
      </c>
      <c r="H149" s="14"/>
      <c r="I149" s="14"/>
      <c r="J149" s="29"/>
    </row>
    <row r="150" spans="1:11" ht="16.5" customHeight="1" x14ac:dyDescent="0.25">
      <c r="A150" s="59" t="str">
        <f t="shared" si="8"/>
        <v>7090</v>
      </c>
      <c r="B150" s="37" t="s">
        <v>158</v>
      </c>
      <c r="C150" s="73" t="s">
        <v>37</v>
      </c>
      <c r="D150" s="74">
        <v>1001084217090</v>
      </c>
      <c r="E150" s="24"/>
      <c r="F150" s="23">
        <v>0.3</v>
      </c>
      <c r="G150" s="23">
        <f t="shared" si="9"/>
        <v>0</v>
      </c>
      <c r="H150" s="14">
        <v>1.8</v>
      </c>
      <c r="I150" s="14">
        <v>45</v>
      </c>
      <c r="J150" s="29"/>
    </row>
    <row r="151" spans="1:11" ht="16.5" customHeight="1" x14ac:dyDescent="0.25">
      <c r="A151" s="59" t="str">
        <f t="shared" si="8"/>
        <v>6208</v>
      </c>
      <c r="B151" s="37" t="s">
        <v>159</v>
      </c>
      <c r="C151" s="73" t="s">
        <v>22</v>
      </c>
      <c r="D151" s="74">
        <v>1001220226208</v>
      </c>
      <c r="E151" s="24">
        <v>235</v>
      </c>
      <c r="F151" s="23">
        <v>0.15</v>
      </c>
      <c r="G151" s="23">
        <f>F151*E151</f>
        <v>35.25</v>
      </c>
      <c r="H151" s="14"/>
      <c r="I151" s="14"/>
      <c r="J151" s="29"/>
    </row>
    <row r="152" spans="1:11" ht="16.5" customHeight="1" x14ac:dyDescent="0.25">
      <c r="A152" s="59" t="str">
        <f t="shared" si="8"/>
        <v>7053</v>
      </c>
      <c r="B152" s="37" t="s">
        <v>160</v>
      </c>
      <c r="C152" s="73" t="s">
        <v>24</v>
      </c>
      <c r="D152" s="74">
        <v>1001223297053</v>
      </c>
      <c r="E152" s="24"/>
      <c r="F152" s="23"/>
      <c r="G152" s="23">
        <f>E152</f>
        <v>0</v>
      </c>
      <c r="H152" s="14"/>
      <c r="I152" s="14"/>
      <c r="J152" s="29"/>
    </row>
    <row r="153" spans="1:11" s="70" customFormat="1" ht="16.5" customHeight="1" thickBot="1" x14ac:dyDescent="0.3">
      <c r="A153" s="59" t="str">
        <f t="shared" si="8"/>
        <v>7103</v>
      </c>
      <c r="B153" s="58" t="s">
        <v>161</v>
      </c>
      <c r="C153" s="53" t="s">
        <v>37</v>
      </c>
      <c r="D153" s="54">
        <v>1001223297103</v>
      </c>
      <c r="E153" s="24">
        <v>350</v>
      </c>
      <c r="F153" s="75">
        <v>0.18</v>
      </c>
      <c r="G153" s="23">
        <f>E153*F153</f>
        <v>63</v>
      </c>
      <c r="H153" s="76">
        <v>1.8</v>
      </c>
      <c r="I153" s="76">
        <v>45</v>
      </c>
      <c r="J153" s="76"/>
      <c r="K153" s="27"/>
    </row>
    <row r="154" spans="1:11" ht="16.5" customHeight="1" thickTop="1" thickBot="1" x14ac:dyDescent="0.3">
      <c r="A154" s="62"/>
      <c r="B154" s="49" t="s">
        <v>162</v>
      </c>
      <c r="C154" s="16"/>
      <c r="D154" s="38"/>
      <c r="E154" s="17">
        <f>SUM(E10:E153)</f>
        <v>8400</v>
      </c>
      <c r="F154" s="17"/>
      <c r="G154" s="17">
        <f>SUM(G11:G153)</f>
        <v>2550.1999999999998</v>
      </c>
      <c r="H154" s="17"/>
      <c r="I154" s="17"/>
      <c r="J154" s="17"/>
    </row>
    <row r="155" spans="1:11" ht="15.75" customHeight="1" thickTop="1" x14ac:dyDescent="0.25">
      <c r="B155" s="39"/>
      <c r="C155" s="18"/>
      <c r="D155" s="43"/>
      <c r="F155" s="19"/>
      <c r="G155" s="19"/>
      <c r="H155" s="20"/>
      <c r="I155" s="20"/>
      <c r="J155" s="21"/>
    </row>
    <row r="156" spans="1:1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</sheetData>
  <autoFilter ref="A9:K154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2025-11-05T10:47:30Z</dcterms:modified>
</cp:coreProperties>
</file>