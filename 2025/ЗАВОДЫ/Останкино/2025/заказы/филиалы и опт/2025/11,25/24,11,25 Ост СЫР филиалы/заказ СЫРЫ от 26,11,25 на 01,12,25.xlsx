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6B81062A-3002-4571-BFFA-2C3E70DE69A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Бердянск!$A$3:$I$48</definedName>
    <definedName name="_xlnm._FilterDatabase" localSheetId="2" hidden="1">Донецк!$A$3:$I$48</definedName>
    <definedName name="_xlnm._FilterDatabase" localSheetId="3" hidden="1">Луганск!$A$3:$I$48</definedName>
    <definedName name="_xlnm._FilterDatabase" localSheetId="0" hidden="1">Мелитополь!$A$3:$I$48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7" i="4" l="1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48" i="4" s="1"/>
  <c r="F4" i="4"/>
  <c r="H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48" i="2" s="1"/>
  <c r="F4" i="2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48" i="1" s="1"/>
  <c r="F4" i="1"/>
  <c r="A50" i="1" l="1"/>
</calcChain>
</file>

<file path=xl/sharedStrings.xml><?xml version="1.0" encoding="utf-8"?>
<sst xmlns="http://schemas.openxmlformats.org/spreadsheetml/2006/main" count="276" uniqueCount="67">
  <si>
    <t>пример заполнения</t>
  </si>
  <si>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</si>
  <si>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</si>
  <si>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</si>
  <si>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</si>
  <si>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</si>
  <si>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</si>
  <si>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</si>
  <si>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</si>
  <si>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</si>
  <si>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</si>
  <si>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</si>
  <si>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</si>
  <si>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</si>
  <si>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</si>
  <si>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</si>
  <si>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</si>
  <si>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 xml:space="preserve">Сыр полутвердый "Голландский" с массовой долей жира в пересчете на сухое 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</si>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</sst>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ySplit="3" topLeftCell="A28" activePane="bottomLeft" state="frozen"/>
      <selection pane="bottomLeft" activeCell="C58" sqref="C5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250</v>
      </c>
      <c r="E4" s="20"/>
      <c r="F4" s="11">
        <f>D4/C4</f>
        <v>25</v>
      </c>
      <c r="G4" s="15">
        <v>0.18</v>
      </c>
      <c r="H4" s="11">
        <f>G4*D4</f>
        <v>45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115.5</v>
      </c>
      <c r="F5" s="11">
        <f>E5/16.5</f>
        <v>7</v>
      </c>
      <c r="G5" s="15">
        <v>3.2</v>
      </c>
      <c r="H5" s="11">
        <f>E5</f>
        <v>115.5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350</v>
      </c>
      <c r="E6" s="20"/>
      <c r="F6" s="11">
        <f>D6/C6</f>
        <v>35</v>
      </c>
      <c r="G6" s="15">
        <v>0.18</v>
      </c>
      <c r="H6" s="11">
        <f>G6*D6</f>
        <v>63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350</v>
      </c>
      <c r="E8" s="20"/>
      <c r="F8" s="11">
        <f>D8/C8</f>
        <v>35</v>
      </c>
      <c r="G8" s="15">
        <v>0.18</v>
      </c>
      <c r="H8" s="11">
        <f>G8*D8</f>
        <v>63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150</v>
      </c>
      <c r="E19" s="20"/>
      <c r="F19" s="11">
        <f t="shared" si="0"/>
        <v>15</v>
      </c>
      <c r="G19" s="15">
        <v>0.2</v>
      </c>
      <c r="H19" s="11">
        <f t="shared" si="1"/>
        <v>30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/>
      <c r="E21" s="20"/>
      <c r="F21" s="11">
        <f>D21/C21</f>
        <v>0</v>
      </c>
      <c r="G21" s="15">
        <v>0.2</v>
      </c>
      <c r="H21" s="11">
        <f>G21*D21</f>
        <v>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105</v>
      </c>
      <c r="F22" s="11">
        <f>E22/15</f>
        <v>7</v>
      </c>
      <c r="G22" s="15">
        <v>3.5</v>
      </c>
      <c r="H22" s="11">
        <f>E22</f>
        <v>105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162</v>
      </c>
      <c r="E24" s="20"/>
      <c r="F24" s="11">
        <f t="shared" si="2"/>
        <v>27</v>
      </c>
      <c r="G24" s="15">
        <v>0.1</v>
      </c>
      <c r="H24" s="11">
        <f t="shared" si="3"/>
        <v>16.2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>
        <v>198</v>
      </c>
      <c r="F31" s="11">
        <f>E31/16.5</f>
        <v>12</v>
      </c>
      <c r="G31" s="15">
        <v>3.2</v>
      </c>
      <c r="H31" s="11">
        <f>E31</f>
        <v>198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>
        <v>40</v>
      </c>
      <c r="E32" s="20"/>
      <c r="F32" s="11">
        <f t="shared" ref="F32:F46" si="4">D32/C32</f>
        <v>5</v>
      </c>
      <c r="G32" s="15">
        <v>0.4</v>
      </c>
      <c r="H32" s="11">
        <f t="shared" ref="H32:H37" si="5">G32*D32</f>
        <v>16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96</v>
      </c>
      <c r="E34" s="20"/>
      <c r="F34" s="11">
        <f t="shared" si="4"/>
        <v>6</v>
      </c>
      <c r="G34" s="15">
        <v>0.18</v>
      </c>
      <c r="H34" s="11">
        <f t="shared" si="5"/>
        <v>17.28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48</v>
      </c>
      <c r="E35" s="20"/>
      <c r="F35" s="11">
        <f t="shared" si="4"/>
        <v>3</v>
      </c>
      <c r="G35" s="15">
        <v>0.18</v>
      </c>
      <c r="H35" s="11">
        <f t="shared" si="5"/>
        <v>8.64</v>
      </c>
      <c r="I35" s="11"/>
    </row>
    <row r="36" spans="1:9">
      <c r="A36" s="2">
        <v>9988445</v>
      </c>
      <c r="B36" s="3" t="s">
        <v>53</v>
      </c>
      <c r="C36" s="9">
        <v>16</v>
      </c>
      <c r="D36" s="20">
        <v>48</v>
      </c>
      <c r="E36" s="20"/>
      <c r="F36" s="11">
        <f t="shared" si="4"/>
        <v>3</v>
      </c>
      <c r="G36" s="15">
        <v>0.18</v>
      </c>
      <c r="H36" s="11">
        <f t="shared" si="5"/>
        <v>8.64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699.69999999999993</v>
      </c>
      <c r="I48" s="11"/>
    </row>
    <row r="50" spans="1:1">
      <c r="A50" s="10">
        <f>H48+Бердянск!H48+Донецк!H48+Луганск!H48</f>
        <v>2135.66</v>
      </c>
    </row>
  </sheetData>
  <autoFilter ref="A3:I48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pane ySplit="3" topLeftCell="A14" activePane="bottomLeft" state="frozen"/>
      <selection pane="bottomLeft" activeCell="B52" sqref="B52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950</v>
      </c>
      <c r="E4" s="20"/>
      <c r="F4" s="11">
        <f>D4/C4</f>
        <v>95</v>
      </c>
      <c r="G4" s="15">
        <v>0.18</v>
      </c>
      <c r="H4" s="11">
        <f>G4*D4</f>
        <v>171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49.5</v>
      </c>
      <c r="F5" s="11">
        <f>E5/16.5</f>
        <v>3</v>
      </c>
      <c r="G5" s="15">
        <v>3.2</v>
      </c>
      <c r="H5" s="11">
        <f>E5</f>
        <v>49.5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360</v>
      </c>
      <c r="E6" s="20"/>
      <c r="F6" s="11">
        <f>D6/C6</f>
        <v>36</v>
      </c>
      <c r="G6" s="15">
        <v>0.18</v>
      </c>
      <c r="H6" s="11">
        <f>G6*D6</f>
        <v>64.8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/>
      <c r="E8" s="20"/>
      <c r="F8" s="11">
        <f>D8/C8</f>
        <v>0</v>
      </c>
      <c r="G8" s="15">
        <v>0.18</v>
      </c>
      <c r="H8" s="11">
        <f>G8*D8</f>
        <v>0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270</v>
      </c>
      <c r="E10" s="20"/>
      <c r="F10" s="11">
        <f>D10/C10</f>
        <v>27</v>
      </c>
      <c r="G10" s="15">
        <v>0.18</v>
      </c>
      <c r="H10" s="11">
        <f>G10*D10</f>
        <v>48.6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220</v>
      </c>
      <c r="E15" s="20"/>
      <c r="F15" s="11">
        <f t="shared" si="0"/>
        <v>22</v>
      </c>
      <c r="G15" s="15">
        <v>0.18</v>
      </c>
      <c r="H15" s="11">
        <f t="shared" si="1"/>
        <v>39.6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160</v>
      </c>
      <c r="E19" s="20"/>
      <c r="F19" s="11">
        <f t="shared" si="0"/>
        <v>16</v>
      </c>
      <c r="G19" s="15">
        <v>0.2</v>
      </c>
      <c r="H19" s="11">
        <f t="shared" si="1"/>
        <v>32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45</v>
      </c>
      <c r="F20" s="11">
        <f>E20/15</f>
        <v>3</v>
      </c>
      <c r="G20" s="15">
        <v>3.5</v>
      </c>
      <c r="H20" s="11">
        <f>E20</f>
        <v>45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70</v>
      </c>
      <c r="E21" s="20"/>
      <c r="F21" s="11">
        <f>D21/C21</f>
        <v>7</v>
      </c>
      <c r="G21" s="15">
        <v>0.2</v>
      </c>
      <c r="H21" s="11">
        <f>G21*D21</f>
        <v>14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135</v>
      </c>
      <c r="F22" s="11">
        <f>E22/15</f>
        <v>9</v>
      </c>
      <c r="G22" s="15">
        <v>3.5</v>
      </c>
      <c r="H22" s="11">
        <f>E22</f>
        <v>135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120</v>
      </c>
      <c r="E23" s="20"/>
      <c r="F23" s="11">
        <f t="shared" ref="F23:F29" si="2">D23/C23</f>
        <v>20</v>
      </c>
      <c r="G23" s="15">
        <v>0.1</v>
      </c>
      <c r="H23" s="11">
        <f t="shared" ref="H23:H29" si="3">G23*D23</f>
        <v>12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9988391</v>
      </c>
      <c r="B28" s="3" t="s">
        <v>44</v>
      </c>
      <c r="C28" s="9">
        <v>16</v>
      </c>
      <c r="D28" s="20">
        <v>48</v>
      </c>
      <c r="E28" s="20"/>
      <c r="F28" s="11">
        <f t="shared" si="2"/>
        <v>3</v>
      </c>
      <c r="G28" s="15">
        <v>0.14000000000000001</v>
      </c>
      <c r="H28" s="11">
        <f t="shared" si="3"/>
        <v>6.7200000000000006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>
        <v>16</v>
      </c>
      <c r="E32" s="20"/>
      <c r="F32" s="11">
        <f t="shared" ref="F32:F46" si="4">D32/C32</f>
        <v>2</v>
      </c>
      <c r="G32" s="15">
        <v>0.4</v>
      </c>
      <c r="H32" s="11">
        <f t="shared" ref="H32:H37" si="5">G32*D32</f>
        <v>6.4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144</v>
      </c>
      <c r="E34" s="20"/>
      <c r="F34" s="11">
        <f t="shared" si="4"/>
        <v>9</v>
      </c>
      <c r="G34" s="15">
        <v>0.18</v>
      </c>
      <c r="H34" s="11">
        <f t="shared" si="5"/>
        <v>25.919999999999998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112</v>
      </c>
      <c r="E35" s="20"/>
      <c r="F35" s="11">
        <f t="shared" si="4"/>
        <v>7</v>
      </c>
      <c r="G35" s="15">
        <v>0.18</v>
      </c>
      <c r="H35" s="11">
        <f t="shared" si="5"/>
        <v>20.16</v>
      </c>
      <c r="I35" s="11"/>
    </row>
    <row r="36" spans="1:9">
      <c r="A36" s="2">
        <v>9988445</v>
      </c>
      <c r="B36" s="3" t="s">
        <v>53</v>
      </c>
      <c r="C36" s="9">
        <v>16</v>
      </c>
      <c r="D36" s="20">
        <v>112</v>
      </c>
      <c r="E36" s="20"/>
      <c r="F36" s="11">
        <f t="shared" si="4"/>
        <v>7</v>
      </c>
      <c r="G36" s="15">
        <v>0.18</v>
      </c>
      <c r="H36" s="11">
        <f t="shared" si="5"/>
        <v>20.16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704.3</v>
      </c>
      <c r="I48" s="11"/>
    </row>
  </sheetData>
  <autoFilter ref="A3:I4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pane ySplit="3" topLeftCell="A16" activePane="bottomLeft" state="frozen"/>
      <selection pane="bottomLeft" activeCell="D27" sqref="D27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66</v>
      </c>
      <c r="F5" s="11">
        <f>E5/16.5</f>
        <v>4</v>
      </c>
      <c r="G5" s="15">
        <v>3.2</v>
      </c>
      <c r="H5" s="11">
        <f>E5</f>
        <v>66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80</v>
      </c>
      <c r="E6" s="20"/>
      <c r="F6" s="11">
        <f>D6/C6</f>
        <v>8</v>
      </c>
      <c r="G6" s="15">
        <v>0.18</v>
      </c>
      <c r="H6" s="11">
        <f>G6*D6</f>
        <v>14.399999999999999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/>
      <c r="E8" s="20"/>
      <c r="F8" s="11">
        <f>D8/C8</f>
        <v>0</v>
      </c>
      <c r="G8" s="15">
        <v>0.18</v>
      </c>
      <c r="H8" s="11">
        <f>G8*D8</f>
        <v>0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>
        <v>16.5</v>
      </c>
      <c r="F9" s="11">
        <f>E9/16.5</f>
        <v>1</v>
      </c>
      <c r="G9" s="11">
        <v>3.5</v>
      </c>
      <c r="H9" s="11">
        <f>E9</f>
        <v>16.5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60</v>
      </c>
      <c r="E15" s="20"/>
      <c r="F15" s="11">
        <f t="shared" si="0"/>
        <v>6</v>
      </c>
      <c r="G15" s="15">
        <v>0.18</v>
      </c>
      <c r="H15" s="11">
        <f t="shared" si="1"/>
        <v>10.799999999999999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/>
      <c r="E19" s="20"/>
      <c r="F19" s="11">
        <f t="shared" si="0"/>
        <v>0</v>
      </c>
      <c r="G19" s="15">
        <v>0.2</v>
      </c>
      <c r="H19" s="11">
        <f t="shared" si="1"/>
        <v>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/>
      <c r="E21" s="20"/>
      <c r="F21" s="11">
        <f>D21/C21</f>
        <v>0</v>
      </c>
      <c r="G21" s="15">
        <v>0.2</v>
      </c>
      <c r="H21" s="11">
        <f>G21*D21</f>
        <v>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150</v>
      </c>
      <c r="F22" s="11">
        <f>E22/15</f>
        <v>10</v>
      </c>
      <c r="G22" s="15">
        <v>3.5</v>
      </c>
      <c r="H22" s="11">
        <f>E22</f>
        <v>150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42</v>
      </c>
      <c r="E23" s="20"/>
      <c r="F23" s="11">
        <f t="shared" ref="F23:F29" si="2">D23/C23</f>
        <v>7</v>
      </c>
      <c r="G23" s="15">
        <v>0.1</v>
      </c>
      <c r="H23" s="11">
        <f t="shared" ref="H23:H29" si="3">G23*D23</f>
        <v>4.2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312</v>
      </c>
      <c r="E24" s="20"/>
      <c r="F24" s="11">
        <f t="shared" si="2"/>
        <v>52</v>
      </c>
      <c r="G24" s="15">
        <v>0.1</v>
      </c>
      <c r="H24" s="11">
        <f t="shared" si="3"/>
        <v>31.200000000000003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>
        <v>48</v>
      </c>
      <c r="E27" s="20"/>
      <c r="F27" s="11">
        <f t="shared" si="2"/>
        <v>3</v>
      </c>
      <c r="G27" s="15">
        <v>0.14000000000000001</v>
      </c>
      <c r="H27" s="11">
        <f t="shared" si="3"/>
        <v>6.7200000000000006</v>
      </c>
      <c r="I27" s="11"/>
    </row>
    <row r="28" spans="1:9">
      <c r="A28" s="2">
        <v>9988391</v>
      </c>
      <c r="B28" s="3" t="s">
        <v>44</v>
      </c>
      <c r="C28" s="9">
        <v>16</v>
      </c>
      <c r="D28" s="20">
        <v>80</v>
      </c>
      <c r="E28" s="20"/>
      <c r="F28" s="11">
        <f t="shared" si="2"/>
        <v>5</v>
      </c>
      <c r="G28" s="15">
        <v>0.14000000000000001</v>
      </c>
      <c r="H28" s="11">
        <f t="shared" si="3"/>
        <v>11.200000000000001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>
        <v>165</v>
      </c>
      <c r="F31" s="11">
        <f>E31/16.5</f>
        <v>10</v>
      </c>
      <c r="G31" s="15">
        <v>3.2</v>
      </c>
      <c r="H31" s="11">
        <f>E31</f>
        <v>165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>
        <v>48</v>
      </c>
      <c r="E32" s="20"/>
      <c r="F32" s="11">
        <f t="shared" ref="F32:F46" si="4">D32/C32</f>
        <v>6</v>
      </c>
      <c r="G32" s="15">
        <v>0.4</v>
      </c>
      <c r="H32" s="11">
        <f t="shared" ref="H32:H37" si="5">G32*D32</f>
        <v>19.200000000000003</v>
      </c>
      <c r="I32" s="11"/>
    </row>
    <row r="33" spans="1:9">
      <c r="A33" s="2">
        <v>9988476</v>
      </c>
      <c r="B33" s="3" t="s">
        <v>50</v>
      </c>
      <c r="C33" s="9">
        <v>28</v>
      </c>
      <c r="D33" s="20">
        <v>56</v>
      </c>
      <c r="E33" s="20"/>
      <c r="F33" s="11">
        <f t="shared" si="4"/>
        <v>2</v>
      </c>
      <c r="G33" s="15">
        <v>0.4</v>
      </c>
      <c r="H33" s="11">
        <f t="shared" si="5"/>
        <v>22.400000000000002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16</v>
      </c>
      <c r="E34" s="20"/>
      <c r="F34" s="11">
        <f t="shared" si="4"/>
        <v>1</v>
      </c>
      <c r="G34" s="15">
        <v>0.18</v>
      </c>
      <c r="H34" s="11">
        <f t="shared" si="5"/>
        <v>2.88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32</v>
      </c>
      <c r="E35" s="20"/>
      <c r="F35" s="11">
        <f t="shared" si="4"/>
        <v>2</v>
      </c>
      <c r="G35" s="15">
        <v>0.18</v>
      </c>
      <c r="H35" s="11">
        <f t="shared" si="5"/>
        <v>5.76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526.26</v>
      </c>
      <c r="I48" s="11"/>
    </row>
  </sheetData>
  <autoFilter ref="A3:I4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>
      <pane ySplit="3" topLeftCell="A38" activePane="bottomLeft" state="frozen"/>
      <selection pane="bottomLeft" activeCell="B51" sqref="B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400</v>
      </c>
      <c r="E4" s="20"/>
      <c r="F4" s="11">
        <f>D4/C4</f>
        <v>40</v>
      </c>
      <c r="G4" s="15">
        <v>0.18</v>
      </c>
      <c r="H4" s="11">
        <f>G4*D4</f>
        <v>72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220</v>
      </c>
      <c r="E6" s="20"/>
      <c r="F6" s="11">
        <f>D6/C6</f>
        <v>22</v>
      </c>
      <c r="G6" s="15">
        <v>0.18</v>
      </c>
      <c r="H6" s="11">
        <f>G6*D6</f>
        <v>39.6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280</v>
      </c>
      <c r="E8" s="20"/>
      <c r="F8" s="11">
        <f>D8/C8</f>
        <v>28</v>
      </c>
      <c r="G8" s="15">
        <v>0.18</v>
      </c>
      <c r="H8" s="11">
        <f>G8*D8</f>
        <v>50.4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30</v>
      </c>
      <c r="E10" s="20"/>
      <c r="F10" s="11">
        <f>D10/C10</f>
        <v>3</v>
      </c>
      <c r="G10" s="15">
        <v>0.18</v>
      </c>
      <c r="H10" s="11">
        <f>G10*D10</f>
        <v>5.3999999999999995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40</v>
      </c>
      <c r="E19" s="20"/>
      <c r="F19" s="11">
        <f t="shared" si="0"/>
        <v>4</v>
      </c>
      <c r="G19" s="15">
        <v>0.2</v>
      </c>
      <c r="H19" s="11">
        <f t="shared" si="1"/>
        <v>8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/>
      <c r="E21" s="20"/>
      <c r="F21" s="11">
        <f>D21/C21</f>
        <v>0</v>
      </c>
      <c r="G21" s="15">
        <v>0.2</v>
      </c>
      <c r="H21" s="11">
        <f>G21*D21</f>
        <v>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30</v>
      </c>
      <c r="F22" s="11">
        <f>E22/15</f>
        <v>2</v>
      </c>
      <c r="G22" s="15">
        <v>3.5</v>
      </c>
      <c r="H22" s="11">
        <f>E22</f>
        <v>30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205.4</v>
      </c>
      <c r="I48" s="11"/>
    </row>
  </sheetData>
  <autoFilter ref="A3:I4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2025-11-26T09:37:43Z</dcterms:modified>
</cp:coreProperties>
</file>