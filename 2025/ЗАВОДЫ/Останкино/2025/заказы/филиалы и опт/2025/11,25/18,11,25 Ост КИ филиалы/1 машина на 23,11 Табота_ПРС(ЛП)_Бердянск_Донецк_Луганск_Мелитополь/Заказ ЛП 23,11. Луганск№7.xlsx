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1 машина на 23,11 Табота_ПРС(ЛП)_Бердянск_Донецк_Луганск_Мелитополь\"/>
    </mc:Choice>
  </mc:AlternateContent>
  <xr:revisionPtr revIDLastSave="0" documentId="13_ncr:1_{74F412E8-D2A0-49E3-955C-0E6C4D7D65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<sst xmlns="http://schemas.openxmlformats.org/spreadsheetml/2006/main" count="256" uniqueCount="146">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</sst>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45984</v>
      </c>
      <c r="E3" s="7" t="s">
        <v>3</v>
      </c>
      <c r="F3" s="83">
        <f>D3+3</f>
        <v>45987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136</v>
      </c>
      <c r="F12" s="23">
        <v>1.3340000000000001</v>
      </c>
      <c r="G12" s="23">
        <f>E12</f>
        <v>136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124</v>
      </c>
      <c r="F13" s="23">
        <v>0.4</v>
      </c>
      <c r="G13" s="23">
        <f>E13*F13</f>
        <v>49.6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81</v>
      </c>
      <c r="F15" s="23">
        <v>1.35</v>
      </c>
      <c r="G15" s="23">
        <f>E15</f>
        <v>81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133</v>
      </c>
      <c r="F22" s="23">
        <v>1.35</v>
      </c>
      <c r="G22" s="23">
        <f>E22</f>
        <v>133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70</v>
      </c>
      <c r="F23" s="23">
        <v>0.4</v>
      </c>
      <c r="G23" s="23">
        <f>E23*F23</f>
        <v>28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64</v>
      </c>
      <c r="F24" s="23">
        <v>1.3540000000000001</v>
      </c>
      <c r="G24" s="23">
        <f>E24</f>
        <v>64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>
        <v>94</v>
      </c>
      <c r="F25" s="23">
        <v>0.4</v>
      </c>
      <c r="G25" s="23">
        <f>E25*F25</f>
        <v>37.6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100</v>
      </c>
      <c r="F27" s="23">
        <v>0.4</v>
      </c>
      <c r="G27" s="23">
        <f>E27*F27</f>
        <v>40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>
        <v>59</v>
      </c>
      <c r="F30" s="23">
        <v>1</v>
      </c>
      <c r="G30" s="23">
        <f>E30</f>
        <v>59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>
        <v>24</v>
      </c>
      <c r="F36" s="67">
        <v>0.4</v>
      </c>
      <c r="G36" s="23">
        <f>E36*F36</f>
        <v>9.6000000000000014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54</v>
      </c>
      <c r="F38" s="23">
        <v>1.05</v>
      </c>
      <c r="G38" s="23">
        <f>E38</f>
        <v>54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>
        <v>75</v>
      </c>
      <c r="F39" s="23">
        <v>0.4</v>
      </c>
      <c r="G39" s="23">
        <f>E39*F39</f>
        <v>30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95</v>
      </c>
      <c r="F43" s="23">
        <v>0.3</v>
      </c>
      <c r="G43" s="23">
        <f>E43*F43</f>
        <v>28.5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88</v>
      </c>
      <c r="F44" s="23">
        <v>2.125</v>
      </c>
      <c r="G44" s="23">
        <f>E44</f>
        <v>88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100</v>
      </c>
      <c r="F46" s="23"/>
      <c r="G46" s="23">
        <f>E46</f>
        <v>100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80</v>
      </c>
      <c r="F47" s="23">
        <v>1</v>
      </c>
      <c r="G47" s="23">
        <f>E47</f>
        <v>80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>
        <v>85</v>
      </c>
      <c r="F48" s="23">
        <v>0.4</v>
      </c>
      <c r="G48" s="23">
        <f>E48*F48</f>
        <v>34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89</v>
      </c>
      <c r="F49" s="23">
        <v>0.41</v>
      </c>
      <c r="G49" s="23">
        <f>E49*F49</f>
        <v>36.489999999999995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53</v>
      </c>
      <c r="F50" s="23">
        <v>0.4</v>
      </c>
      <c r="G50" s="23">
        <f>E50*F50</f>
        <v>21.200000000000003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155</v>
      </c>
      <c r="F53" s="23">
        <v>1.0249999999999999</v>
      </c>
      <c r="G53" s="23">
        <f>E53</f>
        <v>155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>
        <v>39</v>
      </c>
      <c r="F55" s="23">
        <v>0.35</v>
      </c>
      <c r="G55" s="23">
        <f>E55*F55</f>
        <v>13.649999999999999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>
        <v>80</v>
      </c>
      <c r="F56" s="23">
        <v>0.41</v>
      </c>
      <c r="G56" s="23">
        <f>F56*E56</f>
        <v>32.799999999999997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>
        <v>45</v>
      </c>
      <c r="F59" s="23">
        <v>0.3</v>
      </c>
      <c r="G59" s="23">
        <f>E59*F59</f>
        <v>13.5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128</v>
      </c>
      <c r="F60" s="23">
        <v>0.41</v>
      </c>
      <c r="G60" s="23">
        <f>E60*F60</f>
        <v>52.48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>
        <v>45</v>
      </c>
      <c r="F62" s="75">
        <v>0.98699999999999999</v>
      </c>
      <c r="G62" s="23">
        <f>E62</f>
        <v>45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>
        <v>77</v>
      </c>
      <c r="F63" s="23">
        <v>1</v>
      </c>
      <c r="G63" s="23">
        <f>E63</f>
        <v>77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30</v>
      </c>
      <c r="F64" s="23">
        <v>1</v>
      </c>
      <c r="G64" s="23">
        <f>E64</f>
        <v>30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80</v>
      </c>
      <c r="F65" s="23">
        <v>0.99</v>
      </c>
      <c r="G65" s="23">
        <f>E65</f>
        <v>80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/>
      <c r="F68" s="23">
        <v>0.1</v>
      </c>
      <c r="G68" s="23">
        <f t="shared" si="3"/>
        <v>0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76</v>
      </c>
      <c r="F69" s="23">
        <v>0.28000000000000003</v>
      </c>
      <c r="G69" s="23">
        <f t="shared" si="3"/>
        <v>21.28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189</v>
      </c>
      <c r="F71" s="23">
        <v>0.28000000000000003</v>
      </c>
      <c r="G71" s="23">
        <f t="shared" si="3"/>
        <v>52.92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115</v>
      </c>
      <c r="F72" s="23">
        <v>0.35</v>
      </c>
      <c r="G72" s="23">
        <f t="shared" si="3"/>
        <v>40.25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87</v>
      </c>
      <c r="F73" s="75">
        <v>0.33</v>
      </c>
      <c r="G73" s="23">
        <f t="shared" si="3"/>
        <v>28.71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111</v>
      </c>
      <c r="F74" s="23">
        <v>0.35</v>
      </c>
      <c r="G74" s="23">
        <f t="shared" si="3"/>
        <v>38.849999999999994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52</v>
      </c>
      <c r="F75" s="23">
        <v>0.28000000000000003</v>
      </c>
      <c r="G75" s="23">
        <f t="shared" si="3"/>
        <v>14.560000000000002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111</v>
      </c>
      <c r="F76" s="23">
        <v>0.28000000000000003</v>
      </c>
      <c r="G76" s="23">
        <f t="shared" si="3"/>
        <v>31.080000000000002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100</v>
      </c>
      <c r="F78" s="23">
        <v>0.35</v>
      </c>
      <c r="G78" s="23">
        <f t="shared" si="3"/>
        <v>35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126</v>
      </c>
      <c r="F79" s="23">
        <v>1</v>
      </c>
      <c r="G79" s="23">
        <f>E79</f>
        <v>126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97</v>
      </c>
      <c r="F80" s="23">
        <v>0.83399999999999996</v>
      </c>
      <c r="G80" s="23">
        <f>E80</f>
        <v>97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>
        <v>16</v>
      </c>
      <c r="F82" s="23">
        <v>0.33</v>
      </c>
      <c r="G82" s="23">
        <f>E82*F82</f>
        <v>5.28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168</v>
      </c>
      <c r="F96" s="23">
        <v>0.1</v>
      </c>
      <c r="G96" s="23">
        <f>E96*F96</f>
        <v>16.8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>
        <v>20</v>
      </c>
      <c r="F97" s="23">
        <v>0.25</v>
      </c>
      <c r="G97" s="23">
        <f>E97*F97</f>
        <v>5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>
        <v>4</v>
      </c>
      <c r="F100" s="23"/>
      <c r="G100" s="23">
        <f>E100</f>
        <v>4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5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5682</v>
      </c>
      <c r="B103" s="80" t="s">
        <v>117</v>
      </c>
      <c r="C103" s="73" t="s">
        <v>22</v>
      </c>
      <c r="D103" s="74">
        <v>1001193115682</v>
      </c>
      <c r="E103" s="24">
        <v>70</v>
      </c>
      <c r="F103" s="23">
        <v>0.12</v>
      </c>
      <c r="G103" s="23">
        <f t="shared" si="5"/>
        <v>8.4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>
        <v>52</v>
      </c>
      <c r="F110" s="23">
        <v>0.09</v>
      </c>
      <c r="G110" s="23">
        <f t="shared" si="5"/>
        <v>4.68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>
        <v>51</v>
      </c>
      <c r="F112" s="23">
        <v>0.25</v>
      </c>
      <c r="G112" s="23">
        <f>E112*F112</f>
        <v>12.75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>
        <v>94</v>
      </c>
      <c r="F114" s="23">
        <v>0.09</v>
      </c>
      <c r="G114" s="23">
        <f>E114*F114</f>
        <v>8.4599999999999991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>
        <v>50</v>
      </c>
      <c r="F117" s="23"/>
      <c r="G117" s="23">
        <f>E117</f>
        <v>50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>
        <v>48</v>
      </c>
      <c r="F120" s="23">
        <v>0.4</v>
      </c>
      <c r="G120" s="23">
        <f>E120*F120</f>
        <v>19.200000000000003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>
        <v>79</v>
      </c>
      <c r="F125" s="23">
        <v>0.15</v>
      </c>
      <c r="G125" s="23">
        <f>F125*E125</f>
        <v>11.85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>
        <v>57</v>
      </c>
      <c r="F127" s="23">
        <v>0.3</v>
      </c>
      <c r="G127" s="23">
        <f>E127*F127</f>
        <v>17.099999999999998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>
        <v>46</v>
      </c>
      <c r="F128" s="23">
        <v>0.3</v>
      </c>
      <c r="G128" s="23">
        <f>E128*F128</f>
        <v>13.799999999999999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>
        <v>61</v>
      </c>
      <c r="F129" s="75">
        <v>0.18</v>
      </c>
      <c r="G129" s="23">
        <f>E129*F129</f>
        <v>10.98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4163</v>
      </c>
      <c r="F131" s="17"/>
      <c r="G131" s="17">
        <f>SUM(G11:G130)</f>
        <v>2283.3700000000003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2025-11-19T09:42:44Z</dcterms:modified>
</cp:coreProperties>
</file>