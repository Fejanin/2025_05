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CC1F43A9-7BCF-464F-AA86-C0968E68A0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Бланк!$A$9:$K$144</definedName>
    <definedName name="кол_во_инд.__упак_к">Бланк!$AC$3:$AC$580</definedName>
    <definedName name="номин.вес_нетто__кг">Бланк!$W$3:$W$580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4" i="1" l="1"/>
  <c r="G143" i="1"/>
  <c r="A143" i="1"/>
  <c r="G142" i="1"/>
  <c r="A142" i="1"/>
  <c r="G141" i="1"/>
  <c r="A141" i="1"/>
  <c r="G140" i="1"/>
  <c r="A140" i="1"/>
  <c r="G139" i="1"/>
  <c r="A139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4" i="1" s="1"/>
  <c r="A11" i="1"/>
  <c r="F3" i="1"/>
</calcChain>
</file>

<file path=xl/sharedStrings.xml><?xml version="1.0" encoding="utf-8"?>
<sst xmlns="http://schemas.openxmlformats.org/spreadsheetml/2006/main" count="281" uniqueCount="158">
  <si>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</si>
  <si>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</si>
  <si>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</si>
  <si>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</si>
  <si>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</si>
  <si>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</si>
  <si>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</si>
  <si>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</si>
  <si>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</si>
  <si>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</si>
  <si>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</si>
  <si>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</si>
  <si>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</si>
  <si>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</si>
  <si>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</si>
  <si>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</si>
  <si>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</si>
  <si>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</si>
  <si>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</si>
  <si>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</si>
  <si>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</si>
  <si>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</si>
  <si>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</si>
  <si>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</si>
  <si>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</si>
  <si>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</si>
  <si>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</si>
  <si>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</si>
  <si>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</si>
  <si>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</si>
  <si>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</si>
  <si>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</si>
  <si>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</si>
  <si>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</si>
  <si>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</si>
  <si>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</si>
  <si>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</si>
  <si>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</si>
  <si>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</si>
  <si>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</si>
  <si>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</si>
  <si>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</si>
  <si>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</si>
  <si>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</si>
  <si>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</si>
  <si>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</si>
  <si>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</si>
  <si>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</si>
  <si>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</si>
  <si>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</si>
  <si>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</si>
  <si>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</si>
  <si>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</si>
  <si>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</si>
  <si>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</si>
  <si>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</si>
  <si>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</si>
  <si>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</si>
  <si>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</si>
  <si>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</si>
  <si>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</si>
  <si>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ФИЛЕЙНЫЕ ПМ сос ц/о мгс 0.33кг 8шт.</t>
  </si>
  <si>
    <t>ФИЛЕЙНЫЕ Папа Может сос ц/о мгс 0.4кг</t>
  </si>
  <si>
    <t>ДЛЯ ДЕТЕЙ сос п/о мгс 0.33кг 6шт.</t>
  </si>
  <si>
    <t>ДЛЯ ДЕТЕЙ сос п/о мгс 0.33кг 8шт.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</si>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</sst>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8"/>
  <sheetViews>
    <sheetView tabSelected="1" zoomScale="87" zoomScaleNormal="87" workbookViewId="0">
      <pane ySplit="9" topLeftCell="A138" activePane="bottomLeft" state="frozen"/>
      <selection pane="bottomLeft" activeCell="I149" sqref="I149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45971</v>
      </c>
      <c r="E3" s="7" t="s">
        <v>3</v>
      </c>
      <c r="F3" s="82">
        <f>D3+3</f>
        <v>45974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>
        <v>180</v>
      </c>
      <c r="F26" s="23">
        <v>0.4</v>
      </c>
      <c r="G26" s="23">
        <f>E26*F26</f>
        <v>72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>
        <v>50</v>
      </c>
      <c r="F33" s="66">
        <v>0.4</v>
      </c>
      <c r="G33" s="23">
        <f>E33*F33</f>
        <v>20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8" si="2">RIGHT(D34,4)</f>
        <v>6602</v>
      </c>
      <c r="B34" s="79" t="s">
        <v>47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6776</v>
      </c>
      <c r="B35" s="79" t="s">
        <v>48</v>
      </c>
      <c r="C35" s="72" t="s">
        <v>33</v>
      </c>
      <c r="D35" s="73">
        <v>1001025166776</v>
      </c>
      <c r="E35" s="24">
        <v>60.000000000000007</v>
      </c>
      <c r="F35" s="23">
        <v>0.35</v>
      </c>
      <c r="G35" s="23">
        <f>E35*F35</f>
        <v>21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2"/>
        <v>6303</v>
      </c>
      <c r="B36" s="55" t="s">
        <v>49</v>
      </c>
      <c r="C36" s="53" t="s">
        <v>23</v>
      </c>
      <c r="D36" s="54">
        <v>1001022726303</v>
      </c>
      <c r="E36" s="24">
        <v>300</v>
      </c>
      <c r="F36" s="23">
        <v>1.05</v>
      </c>
      <c r="G36" s="23">
        <f>E36</f>
        <v>300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5819</v>
      </c>
      <c r="B37" s="36" t="s">
        <v>50</v>
      </c>
      <c r="C37" s="72" t="s">
        <v>21</v>
      </c>
      <c r="D37" s="73">
        <v>1001022725819</v>
      </c>
      <c r="E37" s="24"/>
      <c r="F37" s="23">
        <v>0.4</v>
      </c>
      <c r="G37" s="23">
        <f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2"/>
        <v>6762</v>
      </c>
      <c r="B38" s="36" t="s">
        <v>51</v>
      </c>
      <c r="C38" s="72" t="s">
        <v>21</v>
      </c>
      <c r="D38" s="73">
        <v>1001020846762</v>
      </c>
      <c r="E38" s="24"/>
      <c r="F38" s="23">
        <v>0.41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6765</v>
      </c>
      <c r="B39" s="36" t="s">
        <v>52</v>
      </c>
      <c r="C39" s="72" t="s">
        <v>21</v>
      </c>
      <c r="D39" s="73">
        <v>1001023696765</v>
      </c>
      <c r="E39" s="24"/>
      <c r="F39" s="23">
        <v>0.36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2"/>
        <v>6759</v>
      </c>
      <c r="B40" s="36" t="s">
        <v>53</v>
      </c>
      <c r="C40" s="72" t="s">
        <v>21</v>
      </c>
      <c r="D40" s="73">
        <v>1001020836759</v>
      </c>
      <c r="E40" s="24"/>
      <c r="F40" s="23">
        <v>0.4</v>
      </c>
      <c r="G40" s="23">
        <f>E40*F40</f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2"/>
        <v>7082</v>
      </c>
      <c r="B41" s="35" t="s">
        <v>54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2"/>
        <v>6767</v>
      </c>
      <c r="B42" s="35" t="s">
        <v>55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2"/>
        <v>7070</v>
      </c>
      <c r="B43" s="35" t="s">
        <v>56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2"/>
        <v>6661</v>
      </c>
      <c r="B44" s="52" t="s">
        <v>57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2"/>
        <v>6475</v>
      </c>
      <c r="B45" s="79" t="s">
        <v>58</v>
      </c>
      <c r="C45" s="72" t="s">
        <v>21</v>
      </c>
      <c r="D45" s="73">
        <v>1001025176475</v>
      </c>
      <c r="E45" s="24">
        <v>120</v>
      </c>
      <c r="F45" s="23">
        <v>0.4</v>
      </c>
      <c r="G45" s="23">
        <f t="shared" ref="G45:G51" si="3">E45*F45</f>
        <v>48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2"/>
        <v>6713</v>
      </c>
      <c r="B46" s="56" t="s">
        <v>59</v>
      </c>
      <c r="C46" s="53" t="s">
        <v>21</v>
      </c>
      <c r="D46" s="54">
        <v>1001022246713</v>
      </c>
      <c r="E46" s="24">
        <v>160</v>
      </c>
      <c r="F46" s="23">
        <v>0.41</v>
      </c>
      <c r="G46" s="23">
        <f t="shared" si="3"/>
        <v>65.599999999999994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2"/>
        <v>6069</v>
      </c>
      <c r="B47" s="51" t="s">
        <v>60</v>
      </c>
      <c r="C47" s="72" t="s">
        <v>21</v>
      </c>
      <c r="D47" s="73">
        <v>1001022556069</v>
      </c>
      <c r="E47" s="24"/>
      <c r="F47" s="23">
        <v>0.33</v>
      </c>
      <c r="G47" s="23">
        <f t="shared" si="3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2"/>
        <v>7257</v>
      </c>
      <c r="B48" s="51" t="s">
        <v>61</v>
      </c>
      <c r="C48" s="72" t="s">
        <v>21</v>
      </c>
      <c r="D48" s="73">
        <v>1001022557257</v>
      </c>
      <c r="E48" s="24">
        <v>136</v>
      </c>
      <c r="F48" s="23">
        <v>0.33</v>
      </c>
      <c r="G48" s="23">
        <f t="shared" si="3"/>
        <v>44.88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62</v>
      </c>
      <c r="C49" s="72" t="s">
        <v>21</v>
      </c>
      <c r="D49" s="73">
        <v>1001022556837</v>
      </c>
      <c r="E49" s="24"/>
      <c r="F49" s="23">
        <v>0.33</v>
      </c>
      <c r="G49" s="23">
        <f t="shared" si="3"/>
        <v>0</v>
      </c>
      <c r="H49" s="14"/>
      <c r="I49" s="14"/>
      <c r="J49" s="29"/>
    </row>
    <row r="50" spans="1:10" ht="16.5" customHeight="1" x14ac:dyDescent="0.25">
      <c r="A50" s="59" t="str">
        <f t="shared" ref="A50:A81" si="4">RIGHT(D50,4)</f>
        <v>7284</v>
      </c>
      <c r="B50" s="51" t="s">
        <v>63</v>
      </c>
      <c r="C50" s="72" t="s">
        <v>21</v>
      </c>
      <c r="D50" s="73">
        <v>1001025767284</v>
      </c>
      <c r="E50" s="24"/>
      <c r="F50" s="23">
        <v>0.33</v>
      </c>
      <c r="G50" s="23">
        <f t="shared" si="3"/>
        <v>0</v>
      </c>
      <c r="H50" s="14"/>
      <c r="I50" s="14"/>
      <c r="J50" s="29"/>
    </row>
    <row r="51" spans="1:10" ht="16.5" customHeight="1" x14ac:dyDescent="0.25">
      <c r="A51" s="59" t="str">
        <f t="shared" si="4"/>
        <v>6909</v>
      </c>
      <c r="B51" s="51" t="s">
        <v>64</v>
      </c>
      <c r="C51" s="72" t="s">
        <v>21</v>
      </c>
      <c r="D51" s="73">
        <v>1001025766909</v>
      </c>
      <c r="E51" s="24">
        <v>120</v>
      </c>
      <c r="F51" s="23">
        <v>0.33</v>
      </c>
      <c r="G51" s="23">
        <f t="shared" si="3"/>
        <v>39.6</v>
      </c>
      <c r="H51" s="14"/>
      <c r="I51" s="14"/>
      <c r="J51" s="29"/>
    </row>
    <row r="52" spans="1:10" ht="16.5" customHeight="1" x14ac:dyDescent="0.25">
      <c r="A52" s="59" t="str">
        <f t="shared" si="4"/>
        <v>6764</v>
      </c>
      <c r="B52" s="51" t="s">
        <v>65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4"/>
        <v>6829</v>
      </c>
      <c r="B53" s="56" t="s">
        <v>66</v>
      </c>
      <c r="C53" s="53" t="s">
        <v>23</v>
      </c>
      <c r="D53" s="54">
        <v>1001024976829</v>
      </c>
      <c r="E53" s="24">
        <v>600</v>
      </c>
      <c r="F53" s="23">
        <v>1.0249999999999999</v>
      </c>
      <c r="G53" s="23">
        <f>E53</f>
        <v>600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4"/>
        <v>7075</v>
      </c>
      <c r="B54" s="81" t="s">
        <v>67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4"/>
        <v>7073</v>
      </c>
      <c r="B55" s="81" t="s">
        <v>68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4"/>
        <v>6761</v>
      </c>
      <c r="B56" s="51" t="s">
        <v>69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4"/>
        <v>7080</v>
      </c>
      <c r="B57" s="56" t="s">
        <v>70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4"/>
        <v>7066</v>
      </c>
      <c r="B58" s="56" t="s">
        <v>71</v>
      </c>
      <c r="C58" s="53" t="s">
        <v>21</v>
      </c>
      <c r="D58" s="54">
        <v>1001022377066</v>
      </c>
      <c r="E58" s="24">
        <v>200</v>
      </c>
      <c r="F58" s="23">
        <v>0.41</v>
      </c>
      <c r="G58" s="23">
        <f>E58*F58</f>
        <v>82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4"/>
        <v/>
      </c>
      <c r="B59" s="46" t="s">
        <v>72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4"/>
        <v>7001</v>
      </c>
      <c r="B60" s="80" t="s">
        <v>73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4"/>
        <v>6527</v>
      </c>
      <c r="B61" s="81" t="s">
        <v>74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4"/>
        <v>6550</v>
      </c>
      <c r="B62" s="51" t="s">
        <v>75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4"/>
        <v>6608</v>
      </c>
      <c r="B63" s="51" t="s">
        <v>76</v>
      </c>
      <c r="C63" s="72" t="s">
        <v>23</v>
      </c>
      <c r="D63" s="73">
        <v>1001033856608</v>
      </c>
      <c r="E63" s="24">
        <v>150</v>
      </c>
      <c r="F63" s="23">
        <v>0.99</v>
      </c>
      <c r="G63" s="23">
        <f>E63</f>
        <v>150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4"/>
        <v/>
      </c>
      <c r="B64" s="46" t="s">
        <v>77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4"/>
        <v>6586</v>
      </c>
      <c r="B65" s="79" t="s">
        <v>78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4"/>
        <v>7144</v>
      </c>
      <c r="B66" s="79" t="s">
        <v>79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4"/>
        <v>7146</v>
      </c>
      <c r="B67" s="79" t="s">
        <v>80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4"/>
        <v>7149</v>
      </c>
      <c r="B68" s="79" t="s">
        <v>81</v>
      </c>
      <c r="C68" s="72" t="s">
        <v>23</v>
      </c>
      <c r="D68" s="73">
        <v>1001303637149</v>
      </c>
      <c r="E68" s="24">
        <v>100</v>
      </c>
      <c r="F68" s="23"/>
      <c r="G68" s="23">
        <f>E68</f>
        <v>100</v>
      </c>
      <c r="H68" s="14"/>
      <c r="I68" s="14"/>
      <c r="J68" s="29"/>
    </row>
    <row r="69" spans="1:10" ht="16.5" customHeight="1" x14ac:dyDescent="0.25">
      <c r="A69" s="59" t="str">
        <f t="shared" si="4"/>
        <v>7131</v>
      </c>
      <c r="B69" s="79" t="s">
        <v>82</v>
      </c>
      <c r="C69" s="72" t="s">
        <v>23</v>
      </c>
      <c r="D69" s="73">
        <v>1001303637131</v>
      </c>
      <c r="E69" s="24">
        <v>120</v>
      </c>
      <c r="F69" s="23"/>
      <c r="G69" s="23">
        <f>E69</f>
        <v>120</v>
      </c>
      <c r="H69" s="14"/>
      <c r="I69" s="14"/>
      <c r="J69" s="29"/>
    </row>
    <row r="70" spans="1:10" ht="16.5" customHeight="1" x14ac:dyDescent="0.25">
      <c r="A70" s="59" t="str">
        <f t="shared" si="4"/>
        <v>7233</v>
      </c>
      <c r="B70" s="79" t="s">
        <v>83</v>
      </c>
      <c r="C70" s="72" t="s">
        <v>21</v>
      </c>
      <c r="D70" s="73">
        <v>1001303637233</v>
      </c>
      <c r="E70" s="24"/>
      <c r="F70" s="23">
        <v>0.31</v>
      </c>
      <c r="G70" s="23">
        <f>F70*E70</f>
        <v>0</v>
      </c>
      <c r="H70" s="14"/>
      <c r="I70" s="14"/>
      <c r="J70" s="29"/>
    </row>
    <row r="71" spans="1:10" ht="16.5" customHeight="1" x14ac:dyDescent="0.25">
      <c r="A71" s="59" t="str">
        <f t="shared" si="4"/>
        <v>6666</v>
      </c>
      <c r="B71" s="50" t="s">
        <v>84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4"/>
        <v>7173</v>
      </c>
      <c r="B72" s="79" t="s">
        <v>85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si="4"/>
        <v>7232</v>
      </c>
      <c r="B73" s="79" t="s">
        <v>86</v>
      </c>
      <c r="C73" s="72" t="s">
        <v>21</v>
      </c>
      <c r="D73" s="73">
        <v>1001302277232</v>
      </c>
      <c r="E73" s="24">
        <v>260</v>
      </c>
      <c r="F73" s="23">
        <v>0.28000000000000003</v>
      </c>
      <c r="G73" s="23">
        <f t="shared" si="5"/>
        <v>72.800000000000011</v>
      </c>
      <c r="H73" s="14"/>
      <c r="I73" s="14"/>
      <c r="J73" s="29"/>
    </row>
    <row r="74" spans="1:10" ht="16.5" customHeight="1" x14ac:dyDescent="0.25">
      <c r="A74" s="59" t="str">
        <f t="shared" si="4"/>
        <v>6773</v>
      </c>
      <c r="B74" s="50" t="s">
        <v>87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4"/>
        <v>7241</v>
      </c>
      <c r="B75" s="50" t="s">
        <v>88</v>
      </c>
      <c r="C75" s="72" t="s">
        <v>21</v>
      </c>
      <c r="D75" s="73">
        <v>1001303107241</v>
      </c>
      <c r="E75" s="24">
        <v>320</v>
      </c>
      <c r="F75" s="23">
        <v>0.28000000000000003</v>
      </c>
      <c r="G75" s="23">
        <f t="shared" si="5"/>
        <v>89.600000000000009</v>
      </c>
      <c r="H75" s="14"/>
      <c r="I75" s="14"/>
      <c r="J75" s="29"/>
    </row>
    <row r="76" spans="1:10" ht="16.5" customHeight="1" x14ac:dyDescent="0.25">
      <c r="A76" s="59" t="str">
        <f t="shared" si="4"/>
        <v>6683</v>
      </c>
      <c r="B76" s="50" t="s">
        <v>89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4"/>
        <v>5489</v>
      </c>
      <c r="B77" s="79" t="s">
        <v>90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4"/>
        <v>6787</v>
      </c>
      <c r="B78" s="52" t="s">
        <v>91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6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4"/>
        <v>6697</v>
      </c>
      <c r="B79" s="50" t="s">
        <v>92</v>
      </c>
      <c r="C79" s="72" t="s">
        <v>21</v>
      </c>
      <c r="D79" s="73">
        <v>1001301876697</v>
      </c>
      <c r="E79" s="24">
        <v>320</v>
      </c>
      <c r="F79" s="23">
        <v>0.35</v>
      </c>
      <c r="G79" s="23">
        <f t="shared" si="6"/>
        <v>112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4"/>
        <v>6701</v>
      </c>
      <c r="B80" s="50" t="s">
        <v>93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6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4"/>
        <v>7237</v>
      </c>
      <c r="B81" s="50" t="s">
        <v>94</v>
      </c>
      <c r="C81" s="72" t="s">
        <v>21</v>
      </c>
      <c r="D81" s="73">
        <v>1001304497237</v>
      </c>
      <c r="E81" s="24">
        <v>40</v>
      </c>
      <c r="F81" s="23">
        <v>0.28000000000000003</v>
      </c>
      <c r="G81" s="23">
        <f t="shared" si="6"/>
        <v>11.200000000000001</v>
      </c>
      <c r="H81" s="14"/>
      <c r="I81" s="14"/>
      <c r="J81" s="29"/>
    </row>
    <row r="82" spans="1:10" ht="16.5" customHeight="1" x14ac:dyDescent="0.25">
      <c r="A82" s="59" t="str">
        <f t="shared" ref="A82:A113" si="7">RIGHT(D82,4)</f>
        <v>6684</v>
      </c>
      <c r="B82" s="52" t="s">
        <v>95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6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7"/>
        <v>6689</v>
      </c>
      <c r="B83" s="57" t="s">
        <v>96</v>
      </c>
      <c r="C83" s="53" t="s">
        <v>33</v>
      </c>
      <c r="D83" s="54">
        <v>1001303986689</v>
      </c>
      <c r="E83" s="24"/>
      <c r="F83" s="23">
        <v>0.35</v>
      </c>
      <c r="G83" s="23">
        <f t="shared" si="6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7"/>
        <v>7157</v>
      </c>
      <c r="B84" s="79" t="s">
        <v>97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7"/>
        <v>7166</v>
      </c>
      <c r="B85" s="79" t="s">
        <v>98</v>
      </c>
      <c r="C85" s="72" t="s">
        <v>23</v>
      </c>
      <c r="D85" s="73">
        <v>1001303987166</v>
      </c>
      <c r="E85" s="24"/>
      <c r="F85" s="23"/>
      <c r="G85" s="23">
        <f>E85</f>
        <v>0</v>
      </c>
      <c r="H85" s="14"/>
      <c r="I85" s="14"/>
      <c r="J85" s="29"/>
    </row>
    <row r="86" spans="1:10" ht="16.5" customHeight="1" x14ac:dyDescent="0.25">
      <c r="A86" s="59" t="str">
        <f t="shared" si="7"/>
        <v>7154</v>
      </c>
      <c r="B86" s="79" t="s">
        <v>99</v>
      </c>
      <c r="C86" s="72" t="s">
        <v>21</v>
      </c>
      <c r="D86" s="73">
        <v>1001300387154</v>
      </c>
      <c r="E86" s="24"/>
      <c r="F86" s="23">
        <v>0.35</v>
      </c>
      <c r="G86" s="23">
        <f>E86*F86</f>
        <v>0</v>
      </c>
      <c r="H86" s="14"/>
      <c r="I86" s="14"/>
      <c r="J86" s="29"/>
    </row>
    <row r="87" spans="1:10" ht="16.5" customHeight="1" x14ac:dyDescent="0.25">
      <c r="A87" s="59" t="str">
        <f t="shared" si="7"/>
        <v>7169</v>
      </c>
      <c r="B87" s="79" t="s">
        <v>100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7"/>
        <v>5341</v>
      </c>
      <c r="B88" s="79" t="s">
        <v>101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7"/>
        <v>5544</v>
      </c>
      <c r="B89" s="79" t="s">
        <v>102</v>
      </c>
      <c r="C89" s="72" t="s">
        <v>23</v>
      </c>
      <c r="D89" s="73">
        <v>1001051875544</v>
      </c>
      <c r="E89" s="24"/>
      <c r="F89" s="23">
        <v>0.83399999999999996</v>
      </c>
      <c r="G89" s="23">
        <f>E89</f>
        <v>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7"/>
        <v>6790</v>
      </c>
      <c r="B90" s="79" t="s">
        <v>103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7"/>
        <v>7133</v>
      </c>
      <c r="B91" s="79" t="s">
        <v>104</v>
      </c>
      <c r="C91" s="72" t="s">
        <v>23</v>
      </c>
      <c r="D91" s="73">
        <v>1001300367133</v>
      </c>
      <c r="E91" s="24"/>
      <c r="F91" s="23"/>
      <c r="G91" s="23">
        <f>E91</f>
        <v>0</v>
      </c>
      <c r="H91" s="14"/>
      <c r="I91" s="14"/>
      <c r="J91" s="71"/>
    </row>
    <row r="92" spans="1:10" ht="15.75" customHeight="1" x14ac:dyDescent="0.25">
      <c r="A92" s="59" t="str">
        <f t="shared" si="7"/>
        <v>6791</v>
      </c>
      <c r="B92" s="79" t="s">
        <v>105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7"/>
        <v>6792</v>
      </c>
      <c r="B93" s="79" t="s">
        <v>106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7"/>
        <v>6564</v>
      </c>
      <c r="B94" s="79" t="s">
        <v>107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7"/>
        <v>7238</v>
      </c>
      <c r="B95" s="79" t="s">
        <v>108</v>
      </c>
      <c r="C95" s="72" t="s">
        <v>21</v>
      </c>
      <c r="D95" s="73">
        <v>1001305197238</v>
      </c>
      <c r="E95" s="24">
        <v>48</v>
      </c>
      <c r="F95" s="23">
        <v>0.31</v>
      </c>
      <c r="G95" s="23">
        <f t="shared" si="8"/>
        <v>14.879999999999999</v>
      </c>
      <c r="H95" s="14"/>
      <c r="I95" s="14"/>
      <c r="J95" s="71"/>
    </row>
    <row r="96" spans="1:10" ht="15.75" customHeight="1" x14ac:dyDescent="0.25">
      <c r="A96" s="59" t="str">
        <f t="shared" si="7"/>
        <v>6565</v>
      </c>
      <c r="B96" s="79" t="s">
        <v>109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7"/>
        <v>7240</v>
      </c>
      <c r="B97" s="79" t="s">
        <v>110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7"/>
        <v>7236</v>
      </c>
      <c r="B98" s="79" t="s">
        <v>111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7"/>
        <v>7177</v>
      </c>
      <c r="B99" s="79" t="s">
        <v>112</v>
      </c>
      <c r="C99" s="72" t="s">
        <v>21</v>
      </c>
      <c r="D99" s="73">
        <v>1001302347177</v>
      </c>
      <c r="E99" s="24"/>
      <c r="F99" s="23">
        <v>0.35</v>
      </c>
      <c r="G99" s="23">
        <f t="shared" si="8"/>
        <v>0</v>
      </c>
      <c r="H99" s="14"/>
      <c r="I99" s="14"/>
      <c r="J99" s="71"/>
    </row>
    <row r="100" spans="1:11" ht="15.75" customHeight="1" x14ac:dyDescent="0.25">
      <c r="A100" s="59" t="str">
        <f t="shared" si="7"/>
        <v>6793</v>
      </c>
      <c r="B100" s="79" t="s">
        <v>113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7"/>
        <v>6794</v>
      </c>
      <c r="B101" s="79" t="s">
        <v>114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7"/>
        <v>6665</v>
      </c>
      <c r="B102" s="79" t="s">
        <v>115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7"/>
        <v>6795</v>
      </c>
      <c r="B103" s="79" t="s">
        <v>116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7"/>
        <v>6796</v>
      </c>
      <c r="B104" s="79" t="s">
        <v>117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7"/>
        <v>6804</v>
      </c>
      <c r="B105" s="79" t="s">
        <v>118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7"/>
        <v>6803</v>
      </c>
      <c r="B106" s="79" t="s">
        <v>119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7"/>
        <v>6807</v>
      </c>
      <c r="B107" s="79" t="s">
        <v>120</v>
      </c>
      <c r="C107" s="72" t="s">
        <v>21</v>
      </c>
      <c r="D107" s="73">
        <v>1001300366807</v>
      </c>
      <c r="E107" s="24">
        <v>60</v>
      </c>
      <c r="F107" s="23">
        <v>0.33</v>
      </c>
      <c r="G107" s="23">
        <f>E107*F107</f>
        <v>19.8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7"/>
        <v/>
      </c>
      <c r="B108" s="46" t="s">
        <v>121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7"/>
        <v>5931</v>
      </c>
      <c r="B109" s="63" t="s">
        <v>122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7"/>
        <v>6834</v>
      </c>
      <c r="B110" s="52" t="s">
        <v>123</v>
      </c>
      <c r="C110" s="53" t="s">
        <v>21</v>
      </c>
      <c r="D110" s="54">
        <v>1001203146834</v>
      </c>
      <c r="E110" s="24">
        <v>60</v>
      </c>
      <c r="F110" s="74">
        <v>0.1</v>
      </c>
      <c r="G110" s="23">
        <f>E110*F110</f>
        <v>6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7"/>
        <v>6454</v>
      </c>
      <c r="B111" s="79" t="s">
        <v>124</v>
      </c>
      <c r="C111" s="72" t="s">
        <v>33</v>
      </c>
      <c r="D111" s="73">
        <v>1001201976454</v>
      </c>
      <c r="E111" s="24">
        <v>150</v>
      </c>
      <c r="F111" s="23">
        <v>0.1</v>
      </c>
      <c r="G111" s="23">
        <f>E111*F111</f>
        <v>15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7"/>
        <v>5708</v>
      </c>
      <c r="B112" s="79" t="s">
        <v>125</v>
      </c>
      <c r="C112" s="72" t="s">
        <v>23</v>
      </c>
      <c r="D112" s="73">
        <v>1001063145708</v>
      </c>
      <c r="E112" s="24">
        <v>40</v>
      </c>
      <c r="F112" s="23">
        <v>0.52500000000000002</v>
      </c>
      <c r="G112" s="23">
        <f>E112</f>
        <v>40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7"/>
        <v>0614</v>
      </c>
      <c r="B113" s="79" t="s">
        <v>126</v>
      </c>
      <c r="C113" s="72" t="s">
        <v>23</v>
      </c>
      <c r="D113" s="73">
        <v>1001060720614</v>
      </c>
      <c r="E113" s="24">
        <v>10</v>
      </c>
      <c r="F113" s="23"/>
      <c r="G113" s="23">
        <f>E113</f>
        <v>10</v>
      </c>
      <c r="H113" s="14"/>
      <c r="I113" s="14"/>
      <c r="J113" s="29"/>
    </row>
    <row r="114" spans="1:10" ht="16.5" customHeight="1" x14ac:dyDescent="0.25">
      <c r="A114" s="59" t="str">
        <f t="shared" ref="A114:A143" si="9">RIGHT(D114,4)</f>
        <v>1146</v>
      </c>
      <c r="B114" s="79" t="s">
        <v>127</v>
      </c>
      <c r="C114" s="72" t="s">
        <v>23</v>
      </c>
      <c r="D114" s="73">
        <v>1001061971146</v>
      </c>
      <c r="E114" s="24">
        <v>40</v>
      </c>
      <c r="F114" s="23"/>
      <c r="G114" s="23">
        <f>E114</f>
        <v>40</v>
      </c>
      <c r="H114" s="14"/>
      <c r="I114" s="14"/>
      <c r="J114" s="29"/>
    </row>
    <row r="115" spans="1:10" ht="16.5" customHeight="1" x14ac:dyDescent="0.25">
      <c r="A115" s="59" t="str">
        <f t="shared" si="9"/>
        <v>4154</v>
      </c>
      <c r="B115" s="79" t="s">
        <v>128</v>
      </c>
      <c r="C115" s="72" t="s">
        <v>23</v>
      </c>
      <c r="D115" s="73">
        <v>1001062474154</v>
      </c>
      <c r="E115" s="24"/>
      <c r="F115" s="23"/>
      <c r="G115" s="23">
        <f>E115</f>
        <v>0</v>
      </c>
      <c r="H115" s="14"/>
      <c r="I115" s="14"/>
      <c r="J115" s="29"/>
    </row>
    <row r="116" spans="1:10" ht="16.5" customHeight="1" x14ac:dyDescent="0.25">
      <c r="A116" s="59" t="str">
        <f t="shared" si="9"/>
        <v>6967</v>
      </c>
      <c r="B116" s="79" t="s">
        <v>129</v>
      </c>
      <c r="C116" s="72" t="s">
        <v>21</v>
      </c>
      <c r="D116" s="73">
        <v>1001063656967</v>
      </c>
      <c r="E116" s="24">
        <v>80</v>
      </c>
      <c r="F116" s="23">
        <v>0.25</v>
      </c>
      <c r="G116" s="23">
        <f>F116*E116</f>
        <v>20</v>
      </c>
      <c r="H116" s="14"/>
      <c r="I116" s="14"/>
      <c r="J116" s="29"/>
    </row>
    <row r="117" spans="1:10" ht="16.5" customHeight="1" x14ac:dyDescent="0.25">
      <c r="A117" s="59" t="str">
        <f t="shared" si="9"/>
        <v>4993</v>
      </c>
      <c r="B117" s="79" t="s">
        <v>130</v>
      </c>
      <c r="C117" s="72" t="s">
        <v>33</v>
      </c>
      <c r="D117" s="73">
        <v>1001060764993</v>
      </c>
      <c r="E117" s="24">
        <v>160</v>
      </c>
      <c r="F117" s="23">
        <v>0.25</v>
      </c>
      <c r="G117" s="23">
        <f>E117*F117</f>
        <v>40</v>
      </c>
      <c r="H117" s="14">
        <v>2</v>
      </c>
      <c r="I117" s="14">
        <v>120</v>
      </c>
      <c r="J117" s="29"/>
    </row>
    <row r="118" spans="1:10" ht="16.5" customHeight="1" x14ac:dyDescent="0.25">
      <c r="A118" s="59" t="str">
        <f t="shared" si="9"/>
        <v>6937</v>
      </c>
      <c r="B118" s="79" t="s">
        <v>131</v>
      </c>
      <c r="C118" s="72" t="s">
        <v>33</v>
      </c>
      <c r="D118" s="73">
        <v>1001063106937</v>
      </c>
      <c r="E118" s="24">
        <v>240</v>
      </c>
      <c r="F118" s="23">
        <v>0.25</v>
      </c>
      <c r="G118" s="23">
        <f>E118*F118</f>
        <v>60</v>
      </c>
      <c r="H118" s="14"/>
      <c r="I118" s="14"/>
      <c r="J118" s="29"/>
    </row>
    <row r="119" spans="1:10" ht="16.5" customHeight="1" x14ac:dyDescent="0.25">
      <c r="A119" s="59" t="str">
        <f t="shared" si="9"/>
        <v>5682</v>
      </c>
      <c r="B119" s="79" t="s">
        <v>132</v>
      </c>
      <c r="C119" s="72" t="s">
        <v>21</v>
      </c>
      <c r="D119" s="73">
        <v>1001193115682</v>
      </c>
      <c r="E119" s="24">
        <v>150</v>
      </c>
      <c r="F119" s="23">
        <v>0.12</v>
      </c>
      <c r="G119" s="23">
        <f>E119*F119</f>
        <v>18</v>
      </c>
      <c r="H119" s="14">
        <v>0.96</v>
      </c>
      <c r="I119" s="14">
        <v>60</v>
      </c>
      <c r="J119" s="29"/>
    </row>
    <row r="120" spans="1:10" ht="16.5" customHeight="1" x14ac:dyDescent="0.25">
      <c r="A120" s="59" t="str">
        <f t="shared" si="9"/>
        <v>5679</v>
      </c>
      <c r="B120" s="79" t="s">
        <v>133</v>
      </c>
      <c r="C120" s="72" t="s">
        <v>21</v>
      </c>
      <c r="D120" s="73">
        <v>1001190765679</v>
      </c>
      <c r="E120" s="24">
        <v>120</v>
      </c>
      <c r="F120" s="23">
        <v>0.15</v>
      </c>
      <c r="G120" s="23">
        <f>F120*E120</f>
        <v>18</v>
      </c>
      <c r="H120" s="14"/>
      <c r="I120" s="14"/>
      <c r="J120" s="29"/>
    </row>
    <row r="121" spans="1:10" ht="16.5" customHeight="1" x14ac:dyDescent="0.25">
      <c r="A121" s="59" t="str">
        <f t="shared" si="9"/>
        <v>4117</v>
      </c>
      <c r="B121" s="79" t="s">
        <v>134</v>
      </c>
      <c r="C121" s="72" t="s">
        <v>23</v>
      </c>
      <c r="D121" s="73">
        <v>1001062504117</v>
      </c>
      <c r="E121" s="24">
        <v>40</v>
      </c>
      <c r="F121" s="23">
        <v>0.50700000000000001</v>
      </c>
      <c r="G121" s="23">
        <f>E121</f>
        <v>40</v>
      </c>
      <c r="H121" s="14">
        <v>4.05</v>
      </c>
      <c r="I121" s="14">
        <v>120</v>
      </c>
      <c r="J121" s="29"/>
    </row>
    <row r="122" spans="1:10" ht="16.5" customHeight="1" x14ac:dyDescent="0.25">
      <c r="A122" s="59" t="str">
        <f t="shared" si="9"/>
        <v>5483</v>
      </c>
      <c r="B122" s="79" t="s">
        <v>135</v>
      </c>
      <c r="C122" s="72" t="s">
        <v>21</v>
      </c>
      <c r="D122" s="73">
        <v>1001062505483</v>
      </c>
      <c r="E122" s="24">
        <v>240</v>
      </c>
      <c r="F122" s="23">
        <v>0.25</v>
      </c>
      <c r="G122" s="23">
        <f>E122*F122</f>
        <v>60</v>
      </c>
      <c r="H122" s="14">
        <v>2</v>
      </c>
      <c r="I122" s="14">
        <v>120</v>
      </c>
      <c r="J122" s="29"/>
    </row>
    <row r="123" spans="1:10" ht="16.5" customHeight="1" x14ac:dyDescent="0.25">
      <c r="A123" s="59" t="str">
        <f t="shared" si="9"/>
        <v>6453</v>
      </c>
      <c r="B123" s="79" t="s">
        <v>136</v>
      </c>
      <c r="C123" s="72" t="s">
        <v>33</v>
      </c>
      <c r="D123" s="73">
        <v>1001202506453</v>
      </c>
      <c r="E123" s="24"/>
      <c r="F123" s="23">
        <v>0.1</v>
      </c>
      <c r="G123" s="23">
        <f>E123*F123</f>
        <v>0</v>
      </c>
      <c r="H123" s="14">
        <v>1.4</v>
      </c>
      <c r="I123" s="14">
        <v>60</v>
      </c>
      <c r="J123" s="29"/>
    </row>
    <row r="124" spans="1:10" ht="16.5" customHeight="1" x14ac:dyDescent="0.25">
      <c r="A124" s="59" t="str">
        <f t="shared" si="9"/>
        <v>6557</v>
      </c>
      <c r="B124" s="79" t="s">
        <v>137</v>
      </c>
      <c r="C124" s="72" t="s">
        <v>33</v>
      </c>
      <c r="D124" s="73">
        <v>1001200756557</v>
      </c>
      <c r="E124" s="24">
        <v>60</v>
      </c>
      <c r="F124" s="23">
        <v>0.1</v>
      </c>
      <c r="G124" s="23">
        <f>E124*F124</f>
        <v>6</v>
      </c>
      <c r="H124" s="14"/>
      <c r="I124" s="14"/>
      <c r="J124" s="29"/>
    </row>
    <row r="125" spans="1:10" ht="16.5" customHeight="1" x14ac:dyDescent="0.25">
      <c r="A125" s="59" t="str">
        <f t="shared" si="9"/>
        <v>6228</v>
      </c>
      <c r="B125" s="79" t="s">
        <v>138</v>
      </c>
      <c r="C125" s="72" t="s">
        <v>33</v>
      </c>
      <c r="D125" s="73">
        <v>1001225416228</v>
      </c>
      <c r="E125" s="24"/>
      <c r="F125" s="23">
        <v>0.09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9"/>
        <v>6221</v>
      </c>
      <c r="B126" s="79" t="s">
        <v>139</v>
      </c>
      <c r="C126" s="72" t="s">
        <v>33</v>
      </c>
      <c r="D126" s="73">
        <v>1001205376221</v>
      </c>
      <c r="E126" s="24">
        <v>220</v>
      </c>
      <c r="F126" s="23">
        <v>0.09</v>
      </c>
      <c r="G126" s="23">
        <f>E126*F126</f>
        <v>19.8</v>
      </c>
      <c r="H126" s="14"/>
      <c r="I126" s="14"/>
      <c r="J126" s="29"/>
    </row>
    <row r="127" spans="1:10" ht="16.5" customHeight="1" thickBot="1" x14ac:dyDescent="0.3">
      <c r="A127" s="59" t="str">
        <f t="shared" si="9"/>
        <v>3287</v>
      </c>
      <c r="B127" s="79" t="s">
        <v>140</v>
      </c>
      <c r="C127" s="72" t="s">
        <v>23</v>
      </c>
      <c r="D127" s="73">
        <v>1001060763287</v>
      </c>
      <c r="E127" s="24">
        <v>40</v>
      </c>
      <c r="F127" s="23">
        <v>0.51300000000000001</v>
      </c>
      <c r="G127" s="23">
        <f>E127</f>
        <v>40</v>
      </c>
      <c r="H127" s="14">
        <v>4.0999999999999996</v>
      </c>
      <c r="I127" s="14">
        <v>120</v>
      </c>
      <c r="J127" s="29"/>
    </row>
    <row r="128" spans="1:10" ht="16.5" customHeight="1" thickTop="1" thickBot="1" x14ac:dyDescent="0.3">
      <c r="A128" s="59" t="str">
        <f t="shared" si="9"/>
        <v/>
      </c>
      <c r="B128" s="46" t="s">
        <v>141</v>
      </c>
      <c r="C128" s="46"/>
      <c r="D128" s="46"/>
      <c r="E128" s="46"/>
      <c r="F128" s="46"/>
      <c r="G128" s="23"/>
      <c r="H128" s="46"/>
      <c r="I128" s="46"/>
      <c r="J128" s="47"/>
    </row>
    <row r="129" spans="1:11" ht="16.5" customHeight="1" thickTop="1" x14ac:dyDescent="0.25">
      <c r="A129" s="59" t="str">
        <f t="shared" si="9"/>
        <v>6866</v>
      </c>
      <c r="B129" s="76" t="s">
        <v>142</v>
      </c>
      <c r="C129" s="72" t="s">
        <v>38</v>
      </c>
      <c r="D129" s="78">
        <v>1001095716866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9"/>
        <v>3215</v>
      </c>
      <c r="B130" s="79" t="s">
        <v>143</v>
      </c>
      <c r="C130" s="72" t="s">
        <v>33</v>
      </c>
      <c r="D130" s="42">
        <v>1001094053215</v>
      </c>
      <c r="E130" s="24">
        <v>140</v>
      </c>
      <c r="F130" s="23">
        <v>0.4</v>
      </c>
      <c r="G130" s="23">
        <f>E130*F130</f>
        <v>56</v>
      </c>
      <c r="H130" s="14">
        <v>3.2</v>
      </c>
      <c r="I130" s="14">
        <v>60</v>
      </c>
      <c r="J130" s="29"/>
    </row>
    <row r="131" spans="1:11" ht="16.5" customHeight="1" x14ac:dyDescent="0.25">
      <c r="A131" s="59" t="str">
        <f t="shared" si="9"/>
        <v>6025</v>
      </c>
      <c r="B131" s="79" t="s">
        <v>144</v>
      </c>
      <c r="C131" s="72" t="s">
        <v>23</v>
      </c>
      <c r="D131" s="42">
        <v>1001094966025</v>
      </c>
      <c r="E131" s="24"/>
      <c r="F131" s="23"/>
      <c r="G131" s="23">
        <f>E131</f>
        <v>0</v>
      </c>
      <c r="H131" s="14"/>
      <c r="I131" s="14"/>
      <c r="J131" s="29"/>
    </row>
    <row r="132" spans="1:11" ht="16.5" customHeight="1" x14ac:dyDescent="0.25">
      <c r="A132" s="59" t="str">
        <f t="shared" si="9"/>
        <v>6470</v>
      </c>
      <c r="B132" s="79" t="s">
        <v>145</v>
      </c>
      <c r="C132" s="72" t="s">
        <v>23</v>
      </c>
      <c r="D132" s="42">
        <v>1001092436470</v>
      </c>
      <c r="E132" s="24"/>
      <c r="F132" s="23"/>
      <c r="G132" s="23">
        <f>E132</f>
        <v>0</v>
      </c>
      <c r="H132" s="14"/>
      <c r="I132" s="14"/>
      <c r="J132" s="29"/>
    </row>
    <row r="133" spans="1:11" ht="16.5" customHeight="1" x14ac:dyDescent="0.25">
      <c r="A133" s="59" t="str">
        <f t="shared" si="9"/>
        <v>4584</v>
      </c>
      <c r="B133" s="79" t="s">
        <v>146</v>
      </c>
      <c r="C133" s="72" t="s">
        <v>23</v>
      </c>
      <c r="D133" s="42">
        <v>1001092674584</v>
      </c>
      <c r="E133" s="24"/>
      <c r="F133" s="23"/>
      <c r="G133" s="23">
        <f>E133</f>
        <v>0</v>
      </c>
      <c r="H133" s="14"/>
      <c r="I133" s="14"/>
      <c r="J133" s="29"/>
    </row>
    <row r="134" spans="1:11" ht="16.5" customHeight="1" x14ac:dyDescent="0.25">
      <c r="A134" s="59" t="str">
        <f t="shared" si="9"/>
        <v>6472</v>
      </c>
      <c r="B134" s="79" t="s">
        <v>147</v>
      </c>
      <c r="C134" s="72" t="s">
        <v>23</v>
      </c>
      <c r="D134" s="42">
        <v>1001092436472</v>
      </c>
      <c r="E134" s="24"/>
      <c r="F134" s="23"/>
      <c r="G134" s="23">
        <f>E134</f>
        <v>0</v>
      </c>
      <c r="H134" s="14"/>
      <c r="I134" s="14"/>
      <c r="J134" s="29"/>
    </row>
    <row r="135" spans="1:11" ht="16.5" customHeight="1" x14ac:dyDescent="0.25">
      <c r="A135" s="59" t="str">
        <f t="shared" si="9"/>
        <v>5452</v>
      </c>
      <c r="B135" s="50" t="s">
        <v>148</v>
      </c>
      <c r="C135" s="72" t="s">
        <v>23</v>
      </c>
      <c r="D135" s="42">
        <v>1001092485452</v>
      </c>
      <c r="E135" s="24">
        <v>100</v>
      </c>
      <c r="F135" s="23">
        <v>1.367</v>
      </c>
      <c r="G135" s="23">
        <f>E135</f>
        <v>100</v>
      </c>
      <c r="H135" s="14">
        <v>4.0999999999999996</v>
      </c>
      <c r="I135" s="14">
        <v>60</v>
      </c>
      <c r="J135" s="29"/>
    </row>
    <row r="136" spans="1:11" ht="16.5" customHeight="1" x14ac:dyDescent="0.25">
      <c r="A136" s="59" t="str">
        <f t="shared" si="9"/>
        <v>5495</v>
      </c>
      <c r="B136" s="50" t="s">
        <v>149</v>
      </c>
      <c r="C136" s="72" t="s">
        <v>21</v>
      </c>
      <c r="D136" s="42">
        <v>1001093345495</v>
      </c>
      <c r="E136" s="24"/>
      <c r="F136" s="23">
        <v>0.4</v>
      </c>
      <c r="G136" s="23">
        <f>E136*F136</f>
        <v>0</v>
      </c>
      <c r="H136" s="14">
        <v>2.4</v>
      </c>
      <c r="I136" s="14">
        <v>60</v>
      </c>
      <c r="J136" s="29"/>
    </row>
    <row r="137" spans="1:11" ht="15.75" customHeight="1" thickBot="1" x14ac:dyDescent="0.3">
      <c r="A137" s="59" t="str">
        <f t="shared" si="9"/>
        <v>6495</v>
      </c>
      <c r="B137" s="50" t="s">
        <v>150</v>
      </c>
      <c r="C137" s="72" t="s">
        <v>21</v>
      </c>
      <c r="D137" s="42">
        <v>1001092436495</v>
      </c>
      <c r="E137" s="24"/>
      <c r="F137" s="23">
        <v>0.3</v>
      </c>
      <c r="G137" s="23">
        <f>E137*F137</f>
        <v>0</v>
      </c>
      <c r="H137" s="14">
        <v>1.8</v>
      </c>
      <c r="I137" s="14">
        <v>45</v>
      </c>
      <c r="J137" s="29"/>
    </row>
    <row r="138" spans="1:11" ht="16.5" customHeight="1" thickTop="1" thickBot="1" x14ac:dyDescent="0.3">
      <c r="A138" s="59" t="str">
        <f t="shared" si="9"/>
        <v/>
      </c>
      <c r="B138" s="46" t="s">
        <v>151</v>
      </c>
      <c r="C138" s="46"/>
      <c r="D138" s="46"/>
      <c r="E138" s="46"/>
      <c r="F138" s="46"/>
      <c r="G138" s="23"/>
      <c r="H138" s="46"/>
      <c r="I138" s="46"/>
      <c r="J138" s="47"/>
    </row>
    <row r="139" spans="1:11" ht="16.5" customHeight="1" thickTop="1" x14ac:dyDescent="0.25">
      <c r="A139" s="59" t="str">
        <f t="shared" si="9"/>
        <v>6448</v>
      </c>
      <c r="B139" s="37" t="s">
        <v>152</v>
      </c>
      <c r="C139" s="72" t="s">
        <v>33</v>
      </c>
      <c r="D139" s="73">
        <v>1001234146448</v>
      </c>
      <c r="E139" s="24"/>
      <c r="F139" s="23">
        <v>0.1</v>
      </c>
      <c r="G139" s="23">
        <f>E139*F139</f>
        <v>0</v>
      </c>
      <c r="H139" s="14">
        <v>1</v>
      </c>
      <c r="I139" s="14">
        <v>45</v>
      </c>
      <c r="J139" s="29"/>
    </row>
    <row r="140" spans="1:11" ht="16.5" customHeight="1" x14ac:dyDescent="0.25">
      <c r="A140" s="59" t="str">
        <f t="shared" si="9"/>
        <v>7090</v>
      </c>
      <c r="B140" s="37" t="s">
        <v>153</v>
      </c>
      <c r="C140" s="72" t="s">
        <v>33</v>
      </c>
      <c r="D140" s="73">
        <v>1001084217090</v>
      </c>
      <c r="E140" s="24"/>
      <c r="F140" s="23">
        <v>0.3</v>
      </c>
      <c r="G140" s="23">
        <f>E140*F140</f>
        <v>0</v>
      </c>
      <c r="H140" s="14">
        <v>1.8</v>
      </c>
      <c r="I140" s="14">
        <v>45</v>
      </c>
      <c r="J140" s="29"/>
    </row>
    <row r="141" spans="1:11" ht="16.5" customHeight="1" x14ac:dyDescent="0.25">
      <c r="A141" s="59" t="str">
        <f t="shared" si="9"/>
        <v>6208</v>
      </c>
      <c r="B141" s="37" t="s">
        <v>154</v>
      </c>
      <c r="C141" s="72" t="s">
        <v>21</v>
      </c>
      <c r="D141" s="73">
        <v>1001220226208</v>
      </c>
      <c r="E141" s="24"/>
      <c r="F141" s="23">
        <v>0.15</v>
      </c>
      <c r="G141" s="23">
        <f>F141*E141</f>
        <v>0</v>
      </c>
      <c r="H141" s="14"/>
      <c r="I141" s="14"/>
      <c r="J141" s="29"/>
    </row>
    <row r="142" spans="1:11" ht="16.5" customHeight="1" x14ac:dyDescent="0.25">
      <c r="A142" s="59" t="str">
        <f t="shared" si="9"/>
        <v>7053</v>
      </c>
      <c r="B142" s="37" t="s">
        <v>155</v>
      </c>
      <c r="C142" s="72" t="s">
        <v>23</v>
      </c>
      <c r="D142" s="73">
        <v>1001223297053</v>
      </c>
      <c r="E142" s="24"/>
      <c r="F142" s="23"/>
      <c r="G142" s="23">
        <f>E142</f>
        <v>0</v>
      </c>
      <c r="H142" s="14"/>
      <c r="I142" s="14"/>
      <c r="J142" s="29"/>
    </row>
    <row r="143" spans="1:11" s="70" customFormat="1" ht="16.5" customHeight="1" thickBot="1" x14ac:dyDescent="0.3">
      <c r="A143" s="59" t="str">
        <f t="shared" si="9"/>
        <v>7103</v>
      </c>
      <c r="B143" s="58" t="s">
        <v>156</v>
      </c>
      <c r="C143" s="53" t="s">
        <v>33</v>
      </c>
      <c r="D143" s="54">
        <v>1001223297103</v>
      </c>
      <c r="E143" s="24"/>
      <c r="F143" s="74">
        <v>0.18</v>
      </c>
      <c r="G143" s="23">
        <f>E143*F143</f>
        <v>0</v>
      </c>
      <c r="H143" s="75">
        <v>1.8</v>
      </c>
      <c r="I143" s="75">
        <v>45</v>
      </c>
      <c r="J143" s="75"/>
      <c r="K143" s="27"/>
    </row>
    <row r="144" spans="1:11" ht="16.5" customHeight="1" thickTop="1" thickBot="1" x14ac:dyDescent="0.3">
      <c r="A144" s="62"/>
      <c r="B144" s="49" t="s">
        <v>157</v>
      </c>
      <c r="C144" s="16"/>
      <c r="D144" s="38"/>
      <c r="E144" s="17">
        <f>SUM(E10:E143)</f>
        <v>5234</v>
      </c>
      <c r="F144" s="17"/>
      <c r="G144" s="17">
        <f>SUM(G11:G143)</f>
        <v>2572.16</v>
      </c>
      <c r="H144" s="17"/>
      <c r="I144" s="17"/>
      <c r="J144" s="17"/>
    </row>
    <row r="145" spans="2:10" ht="15.75" customHeight="1" thickTop="1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</sheetData>
  <autoFilter ref="A9:K144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2025-11-05T09:19:59Z</dcterms:modified>
</cp:coreProperties>
</file>