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B22511AA-2183-43A3-9985-DAAC6955F3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<sst xmlns="http://schemas.openxmlformats.org/spreadsheetml/2006/main" count="257" uniqueCount="146">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</sst>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7" activePane="bottomLeft" state="frozen"/>
      <selection pane="bottomLeft" activeCell="K135" sqref="K13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45991</v>
      </c>
      <c r="E3" s="7" t="s">
        <v>3</v>
      </c>
      <c r="F3" s="83">
        <f>D3+3</f>
        <v>45994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254</v>
      </c>
      <c r="F13" s="23">
        <v>0.4</v>
      </c>
      <c r="G13" s="23">
        <f>E13*F13</f>
        <v>101.60000000000001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283</v>
      </c>
      <c r="F23" s="23">
        <v>0.4</v>
      </c>
      <c r="G23" s="23">
        <f>E23*F23</f>
        <v>113.2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150</v>
      </c>
      <c r="F24" s="23">
        <v>1.3540000000000001</v>
      </c>
      <c r="G24" s="23">
        <f>E24</f>
        <v>150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339</v>
      </c>
      <c r="F25" s="23">
        <v>0.4</v>
      </c>
      <c r="G25" s="23">
        <f>E25*F25</f>
        <v>135.6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13</v>
      </c>
      <c r="F26" s="23">
        <v>0.4</v>
      </c>
      <c r="G26" s="23">
        <f>E26*F26</f>
        <v>5.2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40</v>
      </c>
      <c r="C27" s="73" t="s">
        <v>21</v>
      </c>
      <c r="D27" s="74">
        <v>1001010106325</v>
      </c>
      <c r="E27" s="24">
        <v>17</v>
      </c>
      <c r="F27" s="23">
        <v>0.4</v>
      </c>
      <c r="G27" s="23">
        <f>E27*F27</f>
        <v>6.8000000000000007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50</v>
      </c>
      <c r="F29" s="23">
        <v>0.4</v>
      </c>
      <c r="G29" s="23">
        <f>E29*F29</f>
        <v>20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60</v>
      </c>
      <c r="F30" s="23">
        <v>1</v>
      </c>
      <c r="G30" s="23">
        <f>E30</f>
        <v>60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150</v>
      </c>
      <c r="F32" s="23">
        <v>1</v>
      </c>
      <c r="G32" s="23">
        <f>E32</f>
        <v>150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250</v>
      </c>
      <c r="F34" s="23">
        <v>0.4</v>
      </c>
      <c r="G34" s="23">
        <f>E34*F34</f>
        <v>100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1"/>
        <v>7255</v>
      </c>
      <c r="B36" s="64" t="s">
        <v>49</v>
      </c>
      <c r="C36" s="65" t="s">
        <v>32</v>
      </c>
      <c r="D36" s="66">
        <v>1001025507255</v>
      </c>
      <c r="E36" s="24">
        <v>273</v>
      </c>
      <c r="F36" s="67">
        <v>0.4</v>
      </c>
      <c r="G36" s="23">
        <f>E36*F36</f>
        <v>109.2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50</v>
      </c>
      <c r="C37" s="73" t="s">
        <v>32</v>
      </c>
      <c r="D37" s="74">
        <v>1001021966602</v>
      </c>
      <c r="E37" s="24">
        <v>40</v>
      </c>
      <c r="F37" s="23">
        <v>0.35</v>
      </c>
      <c r="G37" s="23">
        <f>E37*F37</f>
        <v>14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51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52</v>
      </c>
      <c r="C39" s="73" t="s">
        <v>21</v>
      </c>
      <c r="D39" s="74">
        <v>1001022725819</v>
      </c>
      <c r="E39" s="24">
        <v>198</v>
      </c>
      <c r="F39" s="23">
        <v>0.4</v>
      </c>
      <c r="G39" s="23">
        <f t="shared" ref="G39:G44" si="2">E39*F39</f>
        <v>79.2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6837</v>
      </c>
      <c r="B40" s="36" t="s">
        <v>53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6765</v>
      </c>
      <c r="B42" s="36" t="s">
        <v>55</v>
      </c>
      <c r="C42" s="73" t="s">
        <v>21</v>
      </c>
      <c r="D42" s="74">
        <v>1001023696765</v>
      </c>
      <c r="E42" s="24">
        <v>100</v>
      </c>
      <c r="F42" s="23">
        <v>0.36</v>
      </c>
      <c r="G42" s="23">
        <f t="shared" si="2"/>
        <v>36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1"/>
        <v>6616</v>
      </c>
      <c r="B44" s="36" t="s">
        <v>57</v>
      </c>
      <c r="C44" s="73" t="s">
        <v>21</v>
      </c>
      <c r="D44" s="74">
        <v>1001024976616</v>
      </c>
      <c r="E44" s="24">
        <v>109</v>
      </c>
      <c r="F44" s="23">
        <v>0.3</v>
      </c>
      <c r="G44" s="23">
        <f t="shared" si="2"/>
        <v>32.699999999999996</v>
      </c>
      <c r="H44" s="14"/>
      <c r="I44" s="14"/>
      <c r="J44" s="29"/>
      <c r="K44" s="27"/>
    </row>
    <row r="45" spans="1:11" ht="16.5" customHeight="1" x14ac:dyDescent="0.25">
      <c r="A45" s="60" t="str">
        <f t="shared" si="1"/>
        <v>7082</v>
      </c>
      <c r="B45" s="35" t="s">
        <v>58</v>
      </c>
      <c r="C45" s="73" t="s">
        <v>23</v>
      </c>
      <c r="D45" s="74">
        <v>1001022467082</v>
      </c>
      <c r="E45" s="24">
        <v>136</v>
      </c>
      <c r="F45" s="23">
        <v>2.125</v>
      </c>
      <c r="G45" s="23">
        <f>E45</f>
        <v>136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1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1"/>
        <v>7070</v>
      </c>
      <c r="B47" s="35" t="s">
        <v>60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1"/>
        <v>6661</v>
      </c>
      <c r="B48" s="53" t="s">
        <v>61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1"/>
        <v>6475</v>
      </c>
      <c r="B49" s="80" t="s">
        <v>62</v>
      </c>
      <c r="C49" s="73" t="s">
        <v>21</v>
      </c>
      <c r="D49" s="74">
        <v>1001025176475</v>
      </c>
      <c r="E49" s="24">
        <v>218</v>
      </c>
      <c r="F49" s="23">
        <v>0.4</v>
      </c>
      <c r="G49" s="23">
        <f>E49*F49</f>
        <v>87.2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1"/>
        <v>6713</v>
      </c>
      <c r="B50" s="57" t="s">
        <v>63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1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1"/>
        <v>7284</v>
      </c>
      <c r="B52" s="82" t="s">
        <v>65</v>
      </c>
      <c r="C52" s="73" t="s">
        <v>21</v>
      </c>
      <c r="D52" s="74">
        <v>1001025767284</v>
      </c>
      <c r="E52" s="24">
        <v>50</v>
      </c>
      <c r="F52" s="23">
        <v>0.33</v>
      </c>
      <c r="G52" s="23">
        <f>E52*F52</f>
        <v>16.5</v>
      </c>
      <c r="H52" s="14"/>
      <c r="I52" s="14"/>
      <c r="J52" s="29"/>
    </row>
    <row r="53" spans="1:11" ht="16.5" customHeight="1" x14ac:dyDescent="0.25">
      <c r="A53" s="60" t="str">
        <f t="shared" si="1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1"/>
        <v>6829</v>
      </c>
      <c r="B54" s="57" t="s">
        <v>67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1"/>
        <v>7075</v>
      </c>
      <c r="B55" s="82" t="s">
        <v>68</v>
      </c>
      <c r="C55" s="73" t="s">
        <v>23</v>
      </c>
      <c r="D55" s="74">
        <v>1001022657075</v>
      </c>
      <c r="E55" s="24">
        <v>60</v>
      </c>
      <c r="F55" s="23"/>
      <c r="G55" s="23">
        <f>E55</f>
        <v>60</v>
      </c>
      <c r="H55" s="14"/>
      <c r="I55" s="14"/>
      <c r="J55" s="29"/>
    </row>
    <row r="56" spans="1:11" ht="16.5" customHeight="1" x14ac:dyDescent="0.25">
      <c r="A56" s="60" t="str">
        <f t="shared" si="1"/>
        <v>7073</v>
      </c>
      <c r="B56" s="82" t="s">
        <v>69</v>
      </c>
      <c r="C56" s="73" t="s">
        <v>21</v>
      </c>
      <c r="D56" s="74">
        <v>1001022657073</v>
      </c>
      <c r="E56" s="24">
        <v>17</v>
      </c>
      <c r="F56" s="23">
        <v>0.35</v>
      </c>
      <c r="G56" s="23">
        <f>E56*F56</f>
        <v>5.9499999999999993</v>
      </c>
      <c r="H56" s="14"/>
      <c r="I56" s="14"/>
      <c r="J56" s="29"/>
    </row>
    <row r="57" spans="1:11" ht="16.5" customHeight="1" x14ac:dyDescent="0.25">
      <c r="A57" s="60" t="str">
        <f t="shared" si="1"/>
        <v>6724</v>
      </c>
      <c r="B57" s="82" t="s">
        <v>70</v>
      </c>
      <c r="C57" s="73" t="s">
        <v>21</v>
      </c>
      <c r="D57" s="74">
        <v>1001020836724</v>
      </c>
      <c r="E57" s="24">
        <v>250</v>
      </c>
      <c r="F57" s="23">
        <v>0.41</v>
      </c>
      <c r="G57" s="23">
        <f>F57*E57</f>
        <v>102.5</v>
      </c>
      <c r="H57" s="14"/>
      <c r="I57" s="14"/>
      <c r="J57" s="29"/>
    </row>
    <row r="58" spans="1:11" ht="16.5" customHeight="1" x14ac:dyDescent="0.25">
      <c r="A58" s="60" t="str">
        <f t="shared" si="1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ref="A59:A90" si="3">RIGHT(D59,4)</f>
        <v>7080</v>
      </c>
      <c r="B59" s="57" t="s">
        <v>72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73</v>
      </c>
      <c r="C60" s="54" t="s">
        <v>21</v>
      </c>
      <c r="D60" s="55">
        <v>1001022467276</v>
      </c>
      <c r="E60" s="24">
        <v>12</v>
      </c>
      <c r="F60" s="23">
        <v>0.3</v>
      </c>
      <c r="G60" s="23">
        <f>E60*F60</f>
        <v>3.5999999999999996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74</v>
      </c>
      <c r="C61" s="54" t="s">
        <v>21</v>
      </c>
      <c r="D61" s="55">
        <v>1001022377066</v>
      </c>
      <c r="E61" s="24">
        <v>273</v>
      </c>
      <c r="F61" s="23">
        <v>0.41</v>
      </c>
      <c r="G61" s="23">
        <f>E61*F61</f>
        <v>111.92999999999999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76</v>
      </c>
      <c r="C63" s="54" t="s">
        <v>37</v>
      </c>
      <c r="D63" s="55">
        <v>1001035937001</v>
      </c>
      <c r="E63" s="24">
        <v>60</v>
      </c>
      <c r="F63" s="75">
        <v>0.98699999999999999</v>
      </c>
      <c r="G63" s="23">
        <f>E63</f>
        <v>60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77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78</v>
      </c>
      <c r="C65" s="73" t="s">
        <v>23</v>
      </c>
      <c r="D65" s="74">
        <v>1001032736550</v>
      </c>
      <c r="E65" s="24">
        <v>16</v>
      </c>
      <c r="F65" s="23">
        <v>1</v>
      </c>
      <c r="G65" s="23">
        <f>E65</f>
        <v>16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79</v>
      </c>
      <c r="C66" s="73" t="s">
        <v>23</v>
      </c>
      <c r="D66" s="74">
        <v>1001033856608</v>
      </c>
      <c r="E66" s="24">
        <v>80</v>
      </c>
      <c r="F66" s="23">
        <v>0.99</v>
      </c>
      <c r="G66" s="23">
        <f>E66</f>
        <v>80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82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si="3"/>
        <v>7232</v>
      </c>
      <c r="B70" s="51" t="s">
        <v>83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3"/>
        <v>7332</v>
      </c>
      <c r="B71" s="51" t="s">
        <v>84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3"/>
        <v>7241</v>
      </c>
      <c r="B72" s="51" t="s">
        <v>85</v>
      </c>
      <c r="C72" s="73" t="s">
        <v>21</v>
      </c>
      <c r="D72" s="74">
        <v>1001303107241</v>
      </c>
      <c r="E72" s="24">
        <v>218</v>
      </c>
      <c r="F72" s="23">
        <v>0.28000000000000003</v>
      </c>
      <c r="G72" s="23">
        <f t="shared" si="4"/>
        <v>61.040000000000006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3"/>
        <v>7154</v>
      </c>
      <c r="B73" s="51" t="s">
        <v>86</v>
      </c>
      <c r="C73" s="73" t="s">
        <v>21</v>
      </c>
      <c r="D73" s="74">
        <v>1001300387154</v>
      </c>
      <c r="E73" s="24">
        <v>245</v>
      </c>
      <c r="F73" s="23">
        <v>0.35</v>
      </c>
      <c r="G73" s="23">
        <f t="shared" si="4"/>
        <v>85.75</v>
      </c>
      <c r="H73" s="14"/>
      <c r="I73" s="14">
        <v>50</v>
      </c>
      <c r="J73" s="29"/>
    </row>
    <row r="74" spans="1:10" ht="16.5" customHeight="1" x14ac:dyDescent="0.25">
      <c r="A74" s="60" t="str">
        <f t="shared" si="3"/>
        <v>6787</v>
      </c>
      <c r="B74" s="53" t="s">
        <v>87</v>
      </c>
      <c r="C74" s="54" t="s">
        <v>21</v>
      </c>
      <c r="D74" s="55">
        <v>1001300456787</v>
      </c>
      <c r="E74" s="24">
        <v>50</v>
      </c>
      <c r="F74" s="75">
        <v>0.33</v>
      </c>
      <c r="G74" s="23">
        <f t="shared" si="4"/>
        <v>16.5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3"/>
        <v>6697</v>
      </c>
      <c r="B75" s="51" t="s">
        <v>88</v>
      </c>
      <c r="C75" s="73" t="s">
        <v>21</v>
      </c>
      <c r="D75" s="74">
        <v>1001301876697</v>
      </c>
      <c r="E75" s="24">
        <v>245</v>
      </c>
      <c r="F75" s="23">
        <v>0.35</v>
      </c>
      <c r="G75" s="23">
        <f t="shared" si="4"/>
        <v>85.75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3"/>
        <v>7237</v>
      </c>
      <c r="B76" s="51" t="s">
        <v>89</v>
      </c>
      <c r="C76" s="73" t="s">
        <v>21</v>
      </c>
      <c r="D76" s="74">
        <v>1001304497237</v>
      </c>
      <c r="E76" s="24">
        <v>200</v>
      </c>
      <c r="F76" s="23">
        <v>0.28000000000000003</v>
      </c>
      <c r="G76" s="23">
        <f t="shared" si="4"/>
        <v>56.000000000000007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7236</v>
      </c>
      <c r="B77" s="53" t="s">
        <v>90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3"/>
        <v>7333</v>
      </c>
      <c r="B78" s="53" t="s">
        <v>91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3"/>
        <v>7169</v>
      </c>
      <c r="B79" s="58" t="s">
        <v>92</v>
      </c>
      <c r="C79" s="54" t="s">
        <v>32</v>
      </c>
      <c r="D79" s="55">
        <v>1001303987169</v>
      </c>
      <c r="E79" s="24">
        <v>300</v>
      </c>
      <c r="F79" s="23">
        <v>0.35</v>
      </c>
      <c r="G79" s="23">
        <f t="shared" si="4"/>
        <v>105</v>
      </c>
      <c r="H79" s="14"/>
      <c r="I79" s="14">
        <v>50</v>
      </c>
      <c r="J79" s="29"/>
    </row>
    <row r="80" spans="1:10" ht="16.5" customHeight="1" x14ac:dyDescent="0.25">
      <c r="A80" s="60" t="str">
        <f t="shared" si="3"/>
        <v>7166</v>
      </c>
      <c r="B80" s="45" t="s">
        <v>93</v>
      </c>
      <c r="C80" s="73" t="s">
        <v>23</v>
      </c>
      <c r="D80" s="74">
        <v>1001303987166</v>
      </c>
      <c r="E80" s="24">
        <v>191</v>
      </c>
      <c r="F80" s="23">
        <v>1</v>
      </c>
      <c r="G80" s="23">
        <f>E80</f>
        <v>191</v>
      </c>
      <c r="H80" s="14"/>
      <c r="I80" s="14">
        <v>50</v>
      </c>
      <c r="J80" s="29"/>
    </row>
    <row r="81" spans="1:11" ht="15.75" customHeight="1" x14ac:dyDescent="0.25">
      <c r="A81" s="60" t="str">
        <f t="shared" si="3"/>
        <v>5544</v>
      </c>
      <c r="B81" s="80" t="s">
        <v>94</v>
      </c>
      <c r="C81" s="73" t="s">
        <v>23</v>
      </c>
      <c r="D81" s="74">
        <v>1001051875544</v>
      </c>
      <c r="E81" s="24">
        <v>311</v>
      </c>
      <c r="F81" s="23">
        <v>0.83399999999999996</v>
      </c>
      <c r="G81" s="23">
        <f>E81</f>
        <v>311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3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3"/>
        <v>6791</v>
      </c>
      <c r="B83" s="80" t="s">
        <v>96</v>
      </c>
      <c r="C83" s="73" t="s">
        <v>21</v>
      </c>
      <c r="D83" s="74">
        <v>1001304096791</v>
      </c>
      <c r="E83" s="24">
        <v>50</v>
      </c>
      <c r="F83" s="23">
        <v>0.33</v>
      </c>
      <c r="G83" s="23">
        <f>E83*F83</f>
        <v>16.5</v>
      </c>
      <c r="H83" s="14"/>
      <c r="I83" s="14">
        <v>45</v>
      </c>
      <c r="J83" s="72"/>
    </row>
    <row r="84" spans="1:11" ht="15.75" customHeight="1" x14ac:dyDescent="0.25">
      <c r="A84" s="60" t="str">
        <f t="shared" si="3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3"/>
        <v>7157</v>
      </c>
      <c r="B85" s="80" t="s">
        <v>98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3"/>
        <v>6793</v>
      </c>
      <c r="B86" s="80" t="s">
        <v>99</v>
      </c>
      <c r="C86" s="73" t="s">
        <v>21</v>
      </c>
      <c r="D86" s="74">
        <v>1001303636793</v>
      </c>
      <c r="E86" s="24">
        <v>100</v>
      </c>
      <c r="F86" s="23">
        <v>0.33</v>
      </c>
      <c r="G86" s="23">
        <f>E86*F86</f>
        <v>33</v>
      </c>
      <c r="H86" s="14"/>
      <c r="I86" s="14">
        <v>45</v>
      </c>
      <c r="J86" s="72"/>
    </row>
    <row r="87" spans="1:11" ht="15.75" customHeight="1" x14ac:dyDescent="0.25">
      <c r="A87" s="60" t="str">
        <f t="shared" si="3"/>
        <v>7131</v>
      </c>
      <c r="B87" s="80" t="s">
        <v>100</v>
      </c>
      <c r="C87" s="73" t="s">
        <v>23</v>
      </c>
      <c r="D87" s="74">
        <v>1001303637131</v>
      </c>
      <c r="E87" s="24">
        <v>80</v>
      </c>
      <c r="F87" s="23">
        <v>1</v>
      </c>
      <c r="G87" s="23">
        <f>E87</f>
        <v>80</v>
      </c>
      <c r="H87" s="14"/>
      <c r="I87" s="14">
        <v>45</v>
      </c>
      <c r="J87" s="72"/>
    </row>
    <row r="88" spans="1:11" ht="15.75" customHeight="1" x14ac:dyDescent="0.25">
      <c r="A88" s="60" t="str">
        <f t="shared" si="3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3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3"/>
        <v>7135</v>
      </c>
      <c r="B90" s="80" t="s">
        <v>103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ref="A91:A122" si="5">RIGHT(D91,4)</f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>
        <v>50</v>
      </c>
      <c r="F92" s="23">
        <v>0.33</v>
      </c>
      <c r="G92" s="23">
        <f>E92*F92</f>
        <v>16.5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>
        <v>6</v>
      </c>
      <c r="F96" s="23">
        <v>0.14000000000000001</v>
      </c>
      <c r="G96" s="23">
        <f>E96*F96</f>
        <v>0.84000000000000008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164</v>
      </c>
      <c r="F97" s="23">
        <v>0.1</v>
      </c>
      <c r="G97" s="23">
        <f>E97*F97</f>
        <v>16.400000000000002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>
        <v>100</v>
      </c>
      <c r="F98" s="23">
        <v>0.25</v>
      </c>
      <c r="G98" s="23">
        <f>E98*F98</f>
        <v>25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115</v>
      </c>
      <c r="C102" s="73" t="s">
        <v>32</v>
      </c>
      <c r="D102" s="74">
        <v>1001060764993</v>
      </c>
      <c r="E102" s="24">
        <v>141</v>
      </c>
      <c r="F102" s="23">
        <v>0.25</v>
      </c>
      <c r="G102" s="23">
        <f t="shared" ref="G102:G111" si="6">E102*F102</f>
        <v>35.25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116</v>
      </c>
      <c r="C103" s="73" t="s">
        <v>32</v>
      </c>
      <c r="D103" s="74">
        <v>1001063656967</v>
      </c>
      <c r="E103" s="24">
        <v>100</v>
      </c>
      <c r="F103" s="23">
        <v>0.25</v>
      </c>
      <c r="G103" s="23">
        <f t="shared" si="6"/>
        <v>25</v>
      </c>
      <c r="H103" s="14"/>
      <c r="I103" s="14"/>
      <c r="J103" s="29"/>
    </row>
    <row r="104" spans="1:10" ht="16.5" customHeight="1" x14ac:dyDescent="0.25">
      <c r="A104" s="60" t="str">
        <f t="shared" si="5"/>
        <v>5682</v>
      </c>
      <c r="B104" s="80" t="s">
        <v>117</v>
      </c>
      <c r="C104" s="73" t="s">
        <v>21</v>
      </c>
      <c r="D104" s="74">
        <v>1001193115682</v>
      </c>
      <c r="E104" s="24"/>
      <c r="F104" s="23">
        <v>0.12</v>
      </c>
      <c r="G104" s="23">
        <f t="shared" si="6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5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6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6221</v>
      </c>
      <c r="B111" s="80" t="s">
        <v>124</v>
      </c>
      <c r="C111" s="73" t="s">
        <v>21</v>
      </c>
      <c r="D111" s="74">
        <v>1001205376221</v>
      </c>
      <c r="E111" s="24">
        <v>30</v>
      </c>
      <c r="F111" s="23">
        <v>0.09</v>
      </c>
      <c r="G111" s="23">
        <f t="shared" si="6"/>
        <v>2.6999999999999997</v>
      </c>
      <c r="H111" s="14"/>
      <c r="I111" s="14"/>
      <c r="J111" s="29"/>
    </row>
    <row r="112" spans="1:10" ht="16.5" customHeight="1" x14ac:dyDescent="0.25">
      <c r="A112" s="60" t="str">
        <f t="shared" si="5"/>
        <v>4117</v>
      </c>
      <c r="B112" s="80" t="s">
        <v>125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5"/>
        <v>5483</v>
      </c>
      <c r="B113" s="80" t="s">
        <v>126</v>
      </c>
      <c r="C113" s="73" t="s">
        <v>21</v>
      </c>
      <c r="D113" s="74">
        <v>1001062505483</v>
      </c>
      <c r="E113" s="24">
        <v>226</v>
      </c>
      <c r="F113" s="23">
        <v>0.25</v>
      </c>
      <c r="G113" s="23">
        <f>E113*F113</f>
        <v>56.5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5"/>
        <v>6453</v>
      </c>
      <c r="B114" s="80" t="s">
        <v>127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5"/>
        <v>6228</v>
      </c>
      <c r="B115" s="80" t="s">
        <v>128</v>
      </c>
      <c r="C115" s="73" t="s">
        <v>32</v>
      </c>
      <c r="D115" s="74">
        <v>1001225416228</v>
      </c>
      <c r="E115" s="24">
        <v>60</v>
      </c>
      <c r="F115" s="23">
        <v>0.09</v>
      </c>
      <c r="G115" s="23">
        <f>E115*F115</f>
        <v>5.3999999999999995</v>
      </c>
      <c r="H115" s="14"/>
      <c r="I115" s="14"/>
      <c r="J115" s="29"/>
    </row>
    <row r="116" spans="1:10" ht="16.5" customHeight="1" thickBot="1" x14ac:dyDescent="0.3">
      <c r="A116" s="60" t="str">
        <f t="shared" si="5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5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5"/>
        <v>6866</v>
      </c>
      <c r="B118" s="77" t="s">
        <v>131</v>
      </c>
      <c r="C118" s="73" t="s">
        <v>37</v>
      </c>
      <c r="D118" s="79">
        <v>1001095716866</v>
      </c>
      <c r="E118" s="24">
        <v>50</v>
      </c>
      <c r="F118" s="23"/>
      <c r="G118" s="23">
        <f>E118</f>
        <v>50</v>
      </c>
      <c r="H118" s="14"/>
      <c r="I118" s="14"/>
      <c r="J118" s="29"/>
    </row>
    <row r="119" spans="1:10" ht="16.5" customHeight="1" x14ac:dyDescent="0.25">
      <c r="A119" s="60" t="str">
        <f t="shared" si="5"/>
        <v>3215</v>
      </c>
      <c r="B119" s="80" t="s">
        <v>132</v>
      </c>
      <c r="C119" s="73" t="s">
        <v>32</v>
      </c>
      <c r="D119" s="42">
        <v>1001094053215</v>
      </c>
      <c r="E119" s="24">
        <v>198</v>
      </c>
      <c r="F119" s="23">
        <v>0.4</v>
      </c>
      <c r="G119" s="23">
        <f>E119*F119</f>
        <v>79.2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5"/>
        <v>5452</v>
      </c>
      <c r="B120" s="51" t="s">
        <v>133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5"/>
        <v>5495</v>
      </c>
      <c r="B121" s="51" t="s">
        <v>134</v>
      </c>
      <c r="C121" s="73" t="s">
        <v>21</v>
      </c>
      <c r="D121" s="42">
        <v>1001093345495</v>
      </c>
      <c r="E121" s="24">
        <v>100</v>
      </c>
      <c r="F121" s="23">
        <v>0.4</v>
      </c>
      <c r="G121" s="23">
        <f>E121*F121</f>
        <v>40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5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ref="A123:A131" si="7">RIGHT(D123,4)</f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7"/>
        <v>6448</v>
      </c>
      <c r="B124" s="37" t="s">
        <v>137</v>
      </c>
      <c r="C124" s="73" t="s">
        <v>32</v>
      </c>
      <c r="D124" s="74">
        <v>1001234146448</v>
      </c>
      <c r="E124" s="24">
        <v>60</v>
      </c>
      <c r="F124" s="23">
        <v>0.1</v>
      </c>
      <c r="G124" s="23">
        <f>E124*F124</f>
        <v>6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7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7"/>
        <v>6279</v>
      </c>
      <c r="B126" s="37" t="s">
        <v>139</v>
      </c>
      <c r="C126" s="73" t="s">
        <v>21</v>
      </c>
      <c r="D126" s="74">
        <v>1001220286279</v>
      </c>
      <c r="E126" s="24">
        <v>50</v>
      </c>
      <c r="F126" s="23">
        <v>0.15</v>
      </c>
      <c r="G126" s="23">
        <f>F126*E126</f>
        <v>7.5</v>
      </c>
      <c r="H126" s="14"/>
      <c r="I126" s="14"/>
      <c r="J126" s="29"/>
    </row>
    <row r="127" spans="1:10" ht="16.5" customHeight="1" x14ac:dyDescent="0.25">
      <c r="A127" s="60" t="str">
        <f t="shared" si="7"/>
        <v>6208</v>
      </c>
      <c r="B127" s="37" t="s">
        <v>140</v>
      </c>
      <c r="C127" s="73" t="s">
        <v>21</v>
      </c>
      <c r="D127" s="74">
        <v>1001220226208</v>
      </c>
      <c r="E127" s="24">
        <v>20</v>
      </c>
      <c r="F127" s="23">
        <v>0.15</v>
      </c>
      <c r="G127" s="23">
        <f>F127*E127</f>
        <v>3</v>
      </c>
      <c r="H127" s="14"/>
      <c r="I127" s="14"/>
      <c r="J127" s="29"/>
    </row>
    <row r="128" spans="1:10" ht="16.5" customHeight="1" x14ac:dyDescent="0.25">
      <c r="A128" s="60" t="str">
        <f t="shared" si="7"/>
        <v>7090</v>
      </c>
      <c r="B128" s="37" t="s">
        <v>141</v>
      </c>
      <c r="C128" s="73" t="s">
        <v>32</v>
      </c>
      <c r="D128" s="74">
        <v>1001084217090</v>
      </c>
      <c r="E128" s="24">
        <v>60</v>
      </c>
      <c r="F128" s="23">
        <v>0.3</v>
      </c>
      <c r="G128" s="23">
        <f>E128*F128</f>
        <v>18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7"/>
        <v>7187</v>
      </c>
      <c r="B129" s="37" t="s">
        <v>142</v>
      </c>
      <c r="C129" s="73" t="s">
        <v>32</v>
      </c>
      <c r="D129" s="74">
        <v>1001085637187</v>
      </c>
      <c r="E129" s="24">
        <v>60</v>
      </c>
      <c r="F129" s="23">
        <v>0.3</v>
      </c>
      <c r="G129" s="23">
        <f>E129*F129</f>
        <v>18</v>
      </c>
      <c r="H129" s="14"/>
      <c r="I129" s="14"/>
      <c r="J129" s="29"/>
    </row>
    <row r="130" spans="1:11" s="71" customFormat="1" ht="16.5" customHeight="1" x14ac:dyDescent="0.25">
      <c r="A130" s="60" t="str">
        <f t="shared" si="7"/>
        <v>7103</v>
      </c>
      <c r="B130" s="59" t="s">
        <v>143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7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6923</v>
      </c>
      <c r="F132" s="17"/>
      <c r="G132" s="17">
        <f>SUM(G11:G131)</f>
        <v>3240.01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2025-11-26T08:43:31Z</dcterms:modified>
</cp:coreProperties>
</file>