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4DF33339-CBDD-41FE-A6C6-4717B6CE74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<sst xmlns="http://schemas.openxmlformats.org/spreadsheetml/2006/main" count="255" uniqueCount="145">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</sst>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4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45992</v>
      </c>
      <c r="E3" s="7" t="s">
        <v>3</v>
      </c>
      <c r="F3" s="84">
        <f>D3+3</f>
        <v>45995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450</v>
      </c>
      <c r="F12" s="23">
        <v>1.3340000000000001</v>
      </c>
      <c r="G12" s="23">
        <f>E12</f>
        <v>450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82</v>
      </c>
      <c r="F13" s="23">
        <v>0.4</v>
      </c>
      <c r="G13" s="23">
        <f>E13*F13</f>
        <v>32.800000000000004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337</v>
      </c>
      <c r="F22" s="23">
        <v>1.35</v>
      </c>
      <c r="G22" s="23">
        <f>E22</f>
        <v>337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86</v>
      </c>
      <c r="F24" s="23">
        <v>1.3540000000000001</v>
      </c>
      <c r="G24" s="23">
        <f>E24</f>
        <v>86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194</v>
      </c>
      <c r="F25" s="23">
        <v>0.4</v>
      </c>
      <c r="G25" s="23">
        <f>E25*F25</f>
        <v>77.600000000000009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125</v>
      </c>
      <c r="F29" s="23">
        <v>0.4</v>
      </c>
      <c r="G29" s="23">
        <f>E29*F29</f>
        <v>50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>
        <v>342</v>
      </c>
      <c r="F36" s="67">
        <v>0.4</v>
      </c>
      <c r="G36" s="23">
        <f>E36*F36</f>
        <v>136.80000000000001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153</v>
      </c>
      <c r="F38" s="23">
        <v>1.05</v>
      </c>
      <c r="G38" s="23">
        <f>E38</f>
        <v>153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/>
      <c r="F39" s="23">
        <v>0.4</v>
      </c>
      <c r="G39" s="23">
        <f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>
        <v>198</v>
      </c>
      <c r="F41" s="23">
        <v>0.36</v>
      </c>
      <c r="G41" s="23">
        <f>E41*F41</f>
        <v>71.28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>
        <v>144</v>
      </c>
      <c r="F43" s="23">
        <v>0.3</v>
      </c>
      <c r="G43" s="23">
        <f>E43*F43</f>
        <v>43.199999999999996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>
        <v>81</v>
      </c>
      <c r="F44" s="23">
        <v>2.125</v>
      </c>
      <c r="G44" s="23">
        <f>E44</f>
        <v>81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>
        <v>156</v>
      </c>
      <c r="F46" s="23"/>
      <c r="G46" s="23">
        <f>E46</f>
        <v>156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>
        <v>87</v>
      </c>
      <c r="F49" s="23">
        <v>0.41</v>
      </c>
      <c r="G49" s="23">
        <f>E49*F49</f>
        <v>35.669999999999995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203</v>
      </c>
      <c r="F53" s="23">
        <v>1.0249999999999999</v>
      </c>
      <c r="G53" s="23">
        <f>E53</f>
        <v>203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>
        <v>105</v>
      </c>
      <c r="F55" s="23">
        <v>0.35</v>
      </c>
      <c r="G55" s="23">
        <f>E55*F55</f>
        <v>36.75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>
        <v>291</v>
      </c>
      <c r="F58" s="23">
        <v>0.41</v>
      </c>
      <c r="G58" s="23">
        <f>E58*F58</f>
        <v>119.30999999999999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177</v>
      </c>
      <c r="F72" s="23">
        <v>0.35</v>
      </c>
      <c r="G72" s="23">
        <f t="shared" si="4"/>
        <v>61.949999999999996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462</v>
      </c>
      <c r="F74" s="23">
        <v>0.35</v>
      </c>
      <c r="G74" s="23">
        <f t="shared" si="4"/>
        <v>161.69999999999999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>
        <v>100</v>
      </c>
      <c r="F76" s="23">
        <v>0.28000000000000003</v>
      </c>
      <c r="G76" s="23">
        <f t="shared" si="4"/>
        <v>28.000000000000004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325</v>
      </c>
      <c r="F78" s="23">
        <v>0.35</v>
      </c>
      <c r="G78" s="23">
        <f t="shared" si="4"/>
        <v>113.74999999999999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272</v>
      </c>
      <c r="F79" s="23">
        <v>1</v>
      </c>
      <c r="G79" s="23">
        <f>E79</f>
        <v>272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252</v>
      </c>
      <c r="F80" s="23">
        <v>0.83399999999999996</v>
      </c>
      <c r="G80" s="23">
        <f>E80</f>
        <v>252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>
        <v>80</v>
      </c>
      <c r="F85" s="23">
        <v>0.33</v>
      </c>
      <c r="G85" s="23">
        <f>E85*F85</f>
        <v>26.400000000000002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>
        <v>190</v>
      </c>
      <c r="F96" s="23">
        <v>0.1</v>
      </c>
      <c r="G96" s="23">
        <f>E96*F96</f>
        <v>19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110</v>
      </c>
      <c r="C97" s="73" t="s">
        <v>32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111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112</v>
      </c>
      <c r="C99" s="73" t="s">
        <v>23</v>
      </c>
      <c r="D99" s="74">
        <v>1001065616832</v>
      </c>
      <c r="E99" s="24"/>
      <c r="F99" s="23"/>
      <c r="G99" s="23">
        <f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113</v>
      </c>
      <c r="C100" s="73" t="s">
        <v>23</v>
      </c>
      <c r="D100" s="74">
        <v>1001060677299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114</v>
      </c>
      <c r="C101" s="73" t="s">
        <v>32</v>
      </c>
      <c r="D101" s="74">
        <v>1001060764993</v>
      </c>
      <c r="E101" s="24"/>
      <c r="F101" s="23">
        <v>0.25</v>
      </c>
      <c r="G101" s="23">
        <f t="shared" ref="G101:G110" si="6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115</v>
      </c>
      <c r="C102" s="73" t="s">
        <v>32</v>
      </c>
      <c r="D102" s="74">
        <v>1001063656967</v>
      </c>
      <c r="E102" s="24"/>
      <c r="F102" s="23">
        <v>0.25</v>
      </c>
      <c r="G102" s="23">
        <f t="shared" si="6"/>
        <v>0</v>
      </c>
      <c r="H102" s="14"/>
      <c r="I102" s="14"/>
      <c r="J102" s="29"/>
    </row>
    <row r="103" spans="1:10" ht="16.5" customHeight="1" x14ac:dyDescent="0.25">
      <c r="A103" s="60" t="str">
        <f t="shared" si="5"/>
        <v>5682</v>
      </c>
      <c r="B103" s="80" t="s">
        <v>116</v>
      </c>
      <c r="C103" s="73" t="s">
        <v>21</v>
      </c>
      <c r="D103" s="74">
        <v>1001193115682</v>
      </c>
      <c r="E103" s="24">
        <v>147</v>
      </c>
      <c r="F103" s="23">
        <v>0.12</v>
      </c>
      <c r="G103" s="23">
        <f t="shared" si="6"/>
        <v>17.64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5"/>
        <v>7147</v>
      </c>
      <c r="B104" s="80" t="s">
        <v>117</v>
      </c>
      <c r="C104" s="73" t="s">
        <v>21</v>
      </c>
      <c r="D104" s="74">
        <v>1001063237147</v>
      </c>
      <c r="E104" s="24"/>
      <c r="F104" s="23">
        <v>0.22</v>
      </c>
      <c r="G104" s="23">
        <f t="shared" si="6"/>
        <v>0</v>
      </c>
      <c r="H104" s="14"/>
      <c r="I104" s="14"/>
      <c r="J104" s="29"/>
    </row>
    <row r="105" spans="1:10" ht="16.5" customHeight="1" x14ac:dyDescent="0.25">
      <c r="A105" s="60" t="str">
        <f t="shared" si="5"/>
        <v>7229</v>
      </c>
      <c r="B105" s="80" t="s">
        <v>118</v>
      </c>
      <c r="C105" s="73" t="s">
        <v>21</v>
      </c>
      <c r="D105" s="74">
        <v>1001063237229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7150</v>
      </c>
      <c r="B106" s="80" t="s">
        <v>119</v>
      </c>
      <c r="C106" s="73" t="s">
        <v>23</v>
      </c>
      <c r="D106" s="74">
        <v>1001063237150</v>
      </c>
      <c r="E106" s="24"/>
      <c r="F106" s="23">
        <v>1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7227</v>
      </c>
      <c r="B107" s="80" t="s">
        <v>120</v>
      </c>
      <c r="C107" s="73" t="s">
        <v>21</v>
      </c>
      <c r="D107" s="74">
        <v>1001063097227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7225</v>
      </c>
      <c r="B108" s="80" t="s">
        <v>121</v>
      </c>
      <c r="C108" s="73" t="s">
        <v>21</v>
      </c>
      <c r="D108" s="74">
        <v>1001066537225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7228</v>
      </c>
      <c r="B109" s="80" t="s">
        <v>122</v>
      </c>
      <c r="C109" s="73" t="s">
        <v>21</v>
      </c>
      <c r="D109" s="74">
        <v>1001066547228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6221</v>
      </c>
      <c r="B110" s="80" t="s">
        <v>123</v>
      </c>
      <c r="C110" s="73" t="s">
        <v>21</v>
      </c>
      <c r="D110" s="74">
        <v>1001205376221</v>
      </c>
      <c r="E110" s="24"/>
      <c r="F110" s="23">
        <v>0.09</v>
      </c>
      <c r="G110" s="23">
        <f t="shared" si="6"/>
        <v>0</v>
      </c>
      <c r="H110" s="14"/>
      <c r="I110" s="14"/>
      <c r="J110" s="29"/>
    </row>
    <row r="111" spans="1:10" ht="16.5" customHeight="1" x14ac:dyDescent="0.25">
      <c r="A111" s="60" t="str">
        <f t="shared" si="5"/>
        <v>4117</v>
      </c>
      <c r="B111" s="80" t="s">
        <v>124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5"/>
        <v>5483</v>
      </c>
      <c r="B112" s="80" t="s">
        <v>125</v>
      </c>
      <c r="C112" s="73" t="s">
        <v>21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5"/>
        <v>6453</v>
      </c>
      <c r="B113" s="80" t="s">
        <v>126</v>
      </c>
      <c r="C113" s="73" t="s">
        <v>32</v>
      </c>
      <c r="D113" s="74">
        <v>1001202506453</v>
      </c>
      <c r="E113" s="24">
        <v>103</v>
      </c>
      <c r="F113" s="23">
        <v>0.1</v>
      </c>
      <c r="G113" s="23">
        <f>E113*F113</f>
        <v>10.3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5"/>
        <v>6228</v>
      </c>
      <c r="B114" s="80" t="s">
        <v>127</v>
      </c>
      <c r="C114" s="73" t="s">
        <v>32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ref="A115:A130" si="7">RIGHT(D115,4)</f>
        <v>3287</v>
      </c>
      <c r="B115" s="80" t="s">
        <v>128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7"/>
        <v/>
      </c>
      <c r="B116" s="47" t="s">
        <v>129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7"/>
        <v>6866</v>
      </c>
      <c r="B117" s="77" t="s">
        <v>130</v>
      </c>
      <c r="C117" s="73" t="s">
        <v>37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7"/>
        <v>3215</v>
      </c>
      <c r="B118" s="80" t="s">
        <v>131</v>
      </c>
      <c r="C118" s="73" t="s">
        <v>32</v>
      </c>
      <c r="D118" s="42">
        <v>1001094053215</v>
      </c>
      <c r="E118" s="24">
        <v>191</v>
      </c>
      <c r="F118" s="23">
        <v>0.4</v>
      </c>
      <c r="G118" s="23">
        <f>E118*F118</f>
        <v>76.400000000000006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7"/>
        <v>5452</v>
      </c>
      <c r="B119" s="51" t="s">
        <v>132</v>
      </c>
      <c r="C119" s="73" t="s">
        <v>23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7"/>
        <v>5495</v>
      </c>
      <c r="B120" s="51" t="s">
        <v>133</v>
      </c>
      <c r="C120" s="73" t="s">
        <v>21</v>
      </c>
      <c r="D120" s="42">
        <v>1001093345495</v>
      </c>
      <c r="E120" s="24">
        <v>157</v>
      </c>
      <c r="F120" s="23">
        <v>0.4</v>
      </c>
      <c r="G120" s="23">
        <f>E120*F120</f>
        <v>62.800000000000004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7"/>
        <v>6495</v>
      </c>
      <c r="B121" s="51" t="s">
        <v>134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7"/>
        <v/>
      </c>
      <c r="B122" s="47" t="s">
        <v>135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7"/>
        <v>6448</v>
      </c>
      <c r="B123" s="37" t="s">
        <v>136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7"/>
        <v>6620</v>
      </c>
      <c r="B124" s="37" t="s">
        <v>137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7"/>
        <v>6279</v>
      </c>
      <c r="B125" s="37" t="s">
        <v>138</v>
      </c>
      <c r="C125" s="73" t="s">
        <v>21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7"/>
        <v>6208</v>
      </c>
      <c r="B126" s="37" t="s">
        <v>139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7"/>
        <v>7090</v>
      </c>
      <c r="B127" s="37" t="s">
        <v>140</v>
      </c>
      <c r="C127" s="73" t="s">
        <v>32</v>
      </c>
      <c r="D127" s="74">
        <v>1001084217090</v>
      </c>
      <c r="E127" s="24">
        <v>127</v>
      </c>
      <c r="F127" s="23">
        <v>0.3</v>
      </c>
      <c r="G127" s="23">
        <f>E127*F127</f>
        <v>38.1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7"/>
        <v>7187</v>
      </c>
      <c r="B128" s="37" t="s">
        <v>141</v>
      </c>
      <c r="C128" s="73" t="s">
        <v>32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7"/>
        <v>7103</v>
      </c>
      <c r="B129" s="59" t="s">
        <v>142</v>
      </c>
      <c r="C129" s="54" t="s">
        <v>32</v>
      </c>
      <c r="D129" s="55">
        <v>1001223297103</v>
      </c>
      <c r="E129" s="24">
        <v>67</v>
      </c>
      <c r="F129" s="75">
        <v>0.18</v>
      </c>
      <c r="G129" s="23">
        <f>E129*F129</f>
        <v>12.059999999999999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7"/>
        <v>6872</v>
      </c>
      <c r="B130" s="37" t="s">
        <v>143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144</v>
      </c>
      <c r="C131" s="16"/>
      <c r="D131" s="38"/>
      <c r="E131" s="17">
        <f>SUM(E10:E130)</f>
        <v>5684</v>
      </c>
      <c r="F131" s="17"/>
      <c r="G131" s="17">
        <f>SUM(G11:G130)</f>
        <v>3221.51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2025-11-26T08:54:03Z</dcterms:modified>
</cp:coreProperties>
</file>