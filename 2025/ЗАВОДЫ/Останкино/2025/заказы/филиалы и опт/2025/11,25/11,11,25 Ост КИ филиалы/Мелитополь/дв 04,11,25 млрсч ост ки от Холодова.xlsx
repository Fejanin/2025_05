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C68C78F7-1292-4CF6-BE7D-8AD18A708E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6" i="1"/>
  <c r="W5" i="1"/>
  <c r="V5" i="1" l="1"/>
  <c r="AM5" i="1"/>
  <c r="S88" i="1"/>
  <c r="S87" i="1"/>
  <c r="S86" i="1"/>
  <c r="S85" i="1"/>
  <c r="S84" i="1"/>
  <c r="S83" i="1"/>
  <c r="S79" i="1"/>
  <c r="S78" i="1"/>
  <c r="S76" i="1"/>
  <c r="S75" i="1"/>
  <c r="S73" i="1"/>
  <c r="S70" i="1"/>
  <c r="S69" i="1"/>
  <c r="S68" i="1"/>
  <c r="S66" i="1"/>
  <c r="S64" i="1"/>
  <c r="S63" i="1"/>
  <c r="S62" i="1"/>
  <c r="S61" i="1"/>
  <c r="S60" i="1"/>
  <c r="S59" i="1"/>
  <c r="S57" i="1"/>
  <c r="S56" i="1"/>
  <c r="S54" i="1"/>
  <c r="U54" i="1" s="1"/>
  <c r="S53" i="1"/>
  <c r="S51" i="1"/>
  <c r="S50" i="1"/>
  <c r="S49" i="1"/>
  <c r="S48" i="1"/>
  <c r="S46" i="1"/>
  <c r="S44" i="1"/>
  <c r="S43" i="1"/>
  <c r="S42" i="1"/>
  <c r="S41" i="1"/>
  <c r="S40" i="1"/>
  <c r="S39" i="1"/>
  <c r="S38" i="1"/>
  <c r="S37" i="1"/>
  <c r="S36" i="1"/>
  <c r="S34" i="1"/>
  <c r="S33" i="1"/>
  <c r="S32" i="1"/>
  <c r="S31" i="1"/>
  <c r="S30" i="1"/>
  <c r="S29" i="1"/>
  <c r="S28" i="1"/>
  <c r="S27" i="1"/>
  <c r="S26" i="1"/>
  <c r="S25" i="1"/>
  <c r="S22" i="1"/>
  <c r="S21" i="1"/>
  <c r="S20" i="1"/>
  <c r="S18" i="1"/>
  <c r="S17" i="1"/>
  <c r="S16" i="1"/>
  <c r="S15" i="1"/>
  <c r="S14" i="1"/>
  <c r="S13" i="1"/>
  <c r="S12" i="1"/>
  <c r="S11" i="1"/>
  <c r="S10" i="1"/>
  <c r="S8" i="1"/>
  <c r="S6" i="1"/>
  <c r="S7" i="1"/>
  <c r="U7" i="1" s="1"/>
  <c r="S9" i="1"/>
  <c r="U16" i="1"/>
  <c r="U18" i="1"/>
  <c r="S19" i="1"/>
  <c r="U19" i="1" s="1"/>
  <c r="S23" i="1"/>
  <c r="S24" i="1"/>
  <c r="U24" i="1" s="1"/>
  <c r="S35" i="1"/>
  <c r="U38" i="1"/>
  <c r="S45" i="1"/>
  <c r="U46" i="1"/>
  <c r="S47" i="1"/>
  <c r="S52" i="1"/>
  <c r="U52" i="1" s="1"/>
  <c r="S58" i="1"/>
  <c r="U58" i="1" s="1"/>
  <c r="S65" i="1"/>
  <c r="U65" i="1" s="1"/>
  <c r="S67" i="1"/>
  <c r="S71" i="1"/>
  <c r="U71" i="1" s="1"/>
  <c r="S74" i="1"/>
  <c r="U74" i="1" s="1"/>
  <c r="S77" i="1"/>
  <c r="S80" i="1"/>
  <c r="U80" i="1" s="1"/>
  <c r="S81" i="1"/>
  <c r="U81" i="1" s="1"/>
  <c r="S82" i="1"/>
  <c r="U82" i="1" s="1"/>
  <c r="S89" i="1"/>
  <c r="U89" i="1" s="1"/>
  <c r="S90" i="1"/>
  <c r="U90" i="1" s="1"/>
  <c r="S91" i="1"/>
  <c r="U91" i="1" s="1"/>
  <c r="S92" i="1"/>
  <c r="U92" i="1" s="1"/>
  <c r="S93" i="1"/>
  <c r="U93" i="1" s="1"/>
  <c r="U9" i="1"/>
  <c r="U23" i="1"/>
  <c r="U25" i="1"/>
  <c r="U35" i="1"/>
  <c r="U45" i="1"/>
  <c r="U47" i="1"/>
  <c r="U67" i="1"/>
  <c r="U77" i="1"/>
  <c r="M93" i="1" l="1"/>
  <c r="Q93" i="1" s="1"/>
  <c r="AB93" i="1" s="1"/>
  <c r="L93" i="1"/>
  <c r="M92" i="1"/>
  <c r="Q92" i="1" s="1"/>
  <c r="AA92" i="1" s="1"/>
  <c r="L92" i="1"/>
  <c r="M91" i="1"/>
  <c r="Q91" i="1" s="1"/>
  <c r="AA91" i="1" s="1"/>
  <c r="L91" i="1"/>
  <c r="M90" i="1"/>
  <c r="Q90" i="1" s="1"/>
  <c r="AB90" i="1" s="1"/>
  <c r="L90" i="1"/>
  <c r="M89" i="1"/>
  <c r="Q89" i="1" s="1"/>
  <c r="AA89" i="1" s="1"/>
  <c r="L89" i="1"/>
  <c r="M88" i="1"/>
  <c r="Q88" i="1" s="1"/>
  <c r="AB88" i="1" s="1"/>
  <c r="L88" i="1"/>
  <c r="M87" i="1"/>
  <c r="Q87" i="1" s="1"/>
  <c r="R87" i="1" s="1"/>
  <c r="U87" i="1" s="1"/>
  <c r="L87" i="1"/>
  <c r="M86" i="1"/>
  <c r="Q86" i="1" s="1"/>
  <c r="AB86" i="1" s="1"/>
  <c r="L86" i="1"/>
  <c r="M85" i="1"/>
  <c r="Q85" i="1" s="1"/>
  <c r="L85" i="1"/>
  <c r="M84" i="1"/>
  <c r="Q84" i="1" s="1"/>
  <c r="L84" i="1"/>
  <c r="M83" i="1"/>
  <c r="Q83" i="1" s="1"/>
  <c r="T83" i="1" s="1"/>
  <c r="L83" i="1"/>
  <c r="M82" i="1"/>
  <c r="Q82" i="1" s="1"/>
  <c r="AB82" i="1" s="1"/>
  <c r="L82" i="1"/>
  <c r="M81" i="1"/>
  <c r="Q81" i="1" s="1"/>
  <c r="AA81" i="1" s="1"/>
  <c r="L81" i="1"/>
  <c r="M80" i="1"/>
  <c r="Q80" i="1" s="1"/>
  <c r="AA80" i="1" s="1"/>
  <c r="L80" i="1"/>
  <c r="M79" i="1"/>
  <c r="Q79" i="1" s="1"/>
  <c r="L79" i="1"/>
  <c r="M78" i="1"/>
  <c r="Q78" i="1" s="1"/>
  <c r="L78" i="1"/>
  <c r="M77" i="1"/>
  <c r="Q77" i="1" s="1"/>
  <c r="AA77" i="1" s="1"/>
  <c r="L77" i="1"/>
  <c r="M76" i="1"/>
  <c r="Q76" i="1" s="1"/>
  <c r="R76" i="1" s="1"/>
  <c r="U76" i="1" s="1"/>
  <c r="AA76" i="1" s="1"/>
  <c r="L76" i="1"/>
  <c r="M75" i="1"/>
  <c r="Q75" i="1" s="1"/>
  <c r="R75" i="1" s="1"/>
  <c r="U75" i="1" s="1"/>
  <c r="L75" i="1"/>
  <c r="M74" i="1"/>
  <c r="Q74" i="1" s="1"/>
  <c r="AA74" i="1" s="1"/>
  <c r="L74" i="1"/>
  <c r="M73" i="1"/>
  <c r="Q73" i="1" s="1"/>
  <c r="R73" i="1" s="1"/>
  <c r="U73" i="1" s="1"/>
  <c r="L73" i="1"/>
  <c r="M72" i="1"/>
  <c r="Q72" i="1" s="1"/>
  <c r="R72" i="1" s="1"/>
  <c r="S72" i="1" s="1"/>
  <c r="U72" i="1" s="1"/>
  <c r="AA72" i="1" s="1"/>
  <c r="L72" i="1"/>
  <c r="M71" i="1"/>
  <c r="Q71" i="1" s="1"/>
  <c r="AA71" i="1" s="1"/>
  <c r="L71" i="1"/>
  <c r="M70" i="1"/>
  <c r="Q70" i="1" s="1"/>
  <c r="R70" i="1" s="1"/>
  <c r="U70" i="1" s="1"/>
  <c r="AA70" i="1" s="1"/>
  <c r="L70" i="1"/>
  <c r="M69" i="1"/>
  <c r="Q69" i="1" s="1"/>
  <c r="R69" i="1" s="1"/>
  <c r="U69" i="1" s="1"/>
  <c r="L69" i="1"/>
  <c r="M68" i="1"/>
  <c r="Q68" i="1" s="1"/>
  <c r="L68" i="1"/>
  <c r="M67" i="1"/>
  <c r="Q67" i="1" s="1"/>
  <c r="AA67" i="1" s="1"/>
  <c r="L67" i="1"/>
  <c r="M66" i="1"/>
  <c r="Q66" i="1" s="1"/>
  <c r="L66" i="1"/>
  <c r="M65" i="1"/>
  <c r="Q65" i="1" s="1"/>
  <c r="AA65" i="1" s="1"/>
  <c r="L65" i="1"/>
  <c r="F64" i="1"/>
  <c r="E64" i="1"/>
  <c r="M64" i="1" s="1"/>
  <c r="Q64" i="1" s="1"/>
  <c r="T64" i="1" s="1"/>
  <c r="F63" i="1"/>
  <c r="E63" i="1"/>
  <c r="M63" i="1" s="1"/>
  <c r="Q63" i="1" s="1"/>
  <c r="M62" i="1"/>
  <c r="Q62" i="1" s="1"/>
  <c r="R62" i="1" s="1"/>
  <c r="U62" i="1" s="1"/>
  <c r="AA62" i="1" s="1"/>
  <c r="L62" i="1"/>
  <c r="M61" i="1"/>
  <c r="Q61" i="1" s="1"/>
  <c r="L61" i="1"/>
  <c r="M60" i="1"/>
  <c r="Q60" i="1" s="1"/>
  <c r="L60" i="1"/>
  <c r="M59" i="1"/>
  <c r="Q59" i="1" s="1"/>
  <c r="R59" i="1" s="1"/>
  <c r="U59" i="1" s="1"/>
  <c r="L59" i="1"/>
  <c r="M58" i="1"/>
  <c r="Q58" i="1" s="1"/>
  <c r="AA58" i="1" s="1"/>
  <c r="L58" i="1"/>
  <c r="M57" i="1"/>
  <c r="Q57" i="1" s="1"/>
  <c r="L57" i="1"/>
  <c r="M56" i="1"/>
  <c r="Q56" i="1" s="1"/>
  <c r="L56" i="1"/>
  <c r="M55" i="1"/>
  <c r="Q55" i="1" s="1"/>
  <c r="R55" i="1" s="1"/>
  <c r="S55" i="1" s="1"/>
  <c r="U55" i="1" s="1"/>
  <c r="L55" i="1"/>
  <c r="M54" i="1"/>
  <c r="Q54" i="1" s="1"/>
  <c r="AA54" i="1" s="1"/>
  <c r="L54" i="1"/>
  <c r="M53" i="1"/>
  <c r="Q53" i="1" s="1"/>
  <c r="R53" i="1" s="1"/>
  <c r="U53" i="1" s="1"/>
  <c r="L53" i="1"/>
  <c r="M52" i="1"/>
  <c r="Q52" i="1" s="1"/>
  <c r="AB52" i="1" s="1"/>
  <c r="L52" i="1"/>
  <c r="M51" i="1"/>
  <c r="Q51" i="1" s="1"/>
  <c r="L51" i="1"/>
  <c r="M50" i="1"/>
  <c r="Q50" i="1" s="1"/>
  <c r="AB50" i="1" s="1"/>
  <c r="L50" i="1"/>
  <c r="M49" i="1"/>
  <c r="Q49" i="1" s="1"/>
  <c r="T49" i="1" s="1"/>
  <c r="L49" i="1"/>
  <c r="M48" i="1"/>
  <c r="Q48" i="1" s="1"/>
  <c r="AB48" i="1" s="1"/>
  <c r="L48" i="1"/>
  <c r="M47" i="1"/>
  <c r="Q47" i="1" s="1"/>
  <c r="AA47" i="1" s="1"/>
  <c r="L47" i="1"/>
  <c r="M46" i="1"/>
  <c r="Q46" i="1" s="1"/>
  <c r="AB46" i="1" s="1"/>
  <c r="L46" i="1"/>
  <c r="M45" i="1"/>
  <c r="Q45" i="1" s="1"/>
  <c r="AA45" i="1" s="1"/>
  <c r="L45" i="1"/>
  <c r="M44" i="1"/>
  <c r="Q44" i="1" s="1"/>
  <c r="L44" i="1"/>
  <c r="M43" i="1"/>
  <c r="Q43" i="1" s="1"/>
  <c r="R43" i="1" s="1"/>
  <c r="U43" i="1" s="1"/>
  <c r="L43" i="1"/>
  <c r="M42" i="1"/>
  <c r="Q42" i="1" s="1"/>
  <c r="L42" i="1"/>
  <c r="M41" i="1"/>
  <c r="Q41" i="1" s="1"/>
  <c r="R41" i="1" s="1"/>
  <c r="U41" i="1" s="1"/>
  <c r="L41" i="1"/>
  <c r="M40" i="1"/>
  <c r="Q40" i="1" s="1"/>
  <c r="L40" i="1"/>
  <c r="M39" i="1"/>
  <c r="Q39" i="1" s="1"/>
  <c r="L39" i="1"/>
  <c r="M38" i="1"/>
  <c r="Q38" i="1" s="1"/>
  <c r="AA38" i="1" s="1"/>
  <c r="L38" i="1"/>
  <c r="M37" i="1"/>
  <c r="Q37" i="1" s="1"/>
  <c r="R37" i="1" s="1"/>
  <c r="U37" i="1" s="1"/>
  <c r="L37" i="1"/>
  <c r="M36" i="1"/>
  <c r="Q36" i="1" s="1"/>
  <c r="L36" i="1"/>
  <c r="M35" i="1"/>
  <c r="Q35" i="1" s="1"/>
  <c r="AA35" i="1" s="1"/>
  <c r="L35" i="1"/>
  <c r="M34" i="1"/>
  <c r="Q34" i="1" s="1"/>
  <c r="L34" i="1"/>
  <c r="M33" i="1"/>
  <c r="Q33" i="1" s="1"/>
  <c r="L33" i="1"/>
  <c r="M32" i="1"/>
  <c r="Q32" i="1" s="1"/>
  <c r="L32" i="1"/>
  <c r="M31" i="1"/>
  <c r="Q31" i="1" s="1"/>
  <c r="L31" i="1"/>
  <c r="M30" i="1"/>
  <c r="Q30" i="1" s="1"/>
  <c r="L30" i="1"/>
  <c r="M29" i="1"/>
  <c r="Q29" i="1" s="1"/>
  <c r="R29" i="1" s="1"/>
  <c r="U29" i="1" s="1"/>
  <c r="L29" i="1"/>
  <c r="M28" i="1"/>
  <c r="Q28" i="1" s="1"/>
  <c r="R28" i="1" s="1"/>
  <c r="U28" i="1" s="1"/>
  <c r="AA28" i="1" s="1"/>
  <c r="L28" i="1"/>
  <c r="M27" i="1"/>
  <c r="Q27" i="1" s="1"/>
  <c r="R27" i="1" s="1"/>
  <c r="U27" i="1" s="1"/>
  <c r="L27" i="1"/>
  <c r="M26" i="1"/>
  <c r="Q26" i="1" s="1"/>
  <c r="R26" i="1" s="1"/>
  <c r="U26" i="1" s="1"/>
  <c r="AA26" i="1" s="1"/>
  <c r="L26" i="1"/>
  <c r="M25" i="1"/>
  <c r="Q25" i="1" s="1"/>
  <c r="AA25" i="1" s="1"/>
  <c r="L25" i="1"/>
  <c r="M24" i="1"/>
  <c r="Q24" i="1" s="1"/>
  <c r="AA24" i="1" s="1"/>
  <c r="L24" i="1"/>
  <c r="M23" i="1"/>
  <c r="Q23" i="1" s="1"/>
  <c r="AA23" i="1" s="1"/>
  <c r="L23" i="1"/>
  <c r="M22" i="1"/>
  <c r="Q22" i="1" s="1"/>
  <c r="R22" i="1" s="1"/>
  <c r="U22" i="1" s="1"/>
  <c r="AA22" i="1" s="1"/>
  <c r="L22" i="1"/>
  <c r="M21" i="1"/>
  <c r="Q21" i="1" s="1"/>
  <c r="R21" i="1" s="1"/>
  <c r="U21" i="1" s="1"/>
  <c r="L21" i="1"/>
  <c r="M20" i="1"/>
  <c r="Q20" i="1" s="1"/>
  <c r="R20" i="1" s="1"/>
  <c r="U20" i="1" s="1"/>
  <c r="AA20" i="1" s="1"/>
  <c r="L20" i="1"/>
  <c r="M19" i="1"/>
  <c r="Q19" i="1" s="1"/>
  <c r="AA19" i="1" s="1"/>
  <c r="L19" i="1"/>
  <c r="M18" i="1"/>
  <c r="Q18" i="1" s="1"/>
  <c r="AA18" i="1" s="1"/>
  <c r="L18" i="1"/>
  <c r="M17" i="1"/>
  <c r="Q17" i="1" s="1"/>
  <c r="R17" i="1" s="1"/>
  <c r="U17" i="1" s="1"/>
  <c r="L17" i="1"/>
  <c r="M16" i="1"/>
  <c r="Q16" i="1" s="1"/>
  <c r="AA16" i="1" s="1"/>
  <c r="L16" i="1"/>
  <c r="M15" i="1"/>
  <c r="Q15" i="1" s="1"/>
  <c r="R15" i="1" s="1"/>
  <c r="U15" i="1" s="1"/>
  <c r="L15" i="1"/>
  <c r="M14" i="1"/>
  <c r="Q14" i="1" s="1"/>
  <c r="R14" i="1" s="1"/>
  <c r="U14" i="1" s="1"/>
  <c r="AA14" i="1" s="1"/>
  <c r="L14" i="1"/>
  <c r="M13" i="1"/>
  <c r="Q13" i="1" s="1"/>
  <c r="R13" i="1" s="1"/>
  <c r="U13" i="1" s="1"/>
  <c r="L13" i="1"/>
  <c r="M12" i="1"/>
  <c r="Q12" i="1" s="1"/>
  <c r="R12" i="1" s="1"/>
  <c r="U12" i="1" s="1"/>
  <c r="AA12" i="1" s="1"/>
  <c r="L12" i="1"/>
  <c r="M11" i="1"/>
  <c r="Q11" i="1" s="1"/>
  <c r="R11" i="1" s="1"/>
  <c r="U11" i="1" s="1"/>
  <c r="L11" i="1"/>
  <c r="M10" i="1"/>
  <c r="Q10" i="1" s="1"/>
  <c r="R10" i="1" s="1"/>
  <c r="U10" i="1" s="1"/>
  <c r="AA10" i="1" s="1"/>
  <c r="L10" i="1"/>
  <c r="M9" i="1"/>
  <c r="Q9" i="1" s="1"/>
  <c r="AA9" i="1" s="1"/>
  <c r="L9" i="1"/>
  <c r="M8" i="1"/>
  <c r="Q8" i="1" s="1"/>
  <c r="R8" i="1" s="1"/>
  <c r="U8" i="1" s="1"/>
  <c r="AA8" i="1" s="1"/>
  <c r="L8" i="1"/>
  <c r="M7" i="1"/>
  <c r="Q7" i="1" s="1"/>
  <c r="AA7" i="1" s="1"/>
  <c r="L7" i="1"/>
  <c r="M6" i="1"/>
  <c r="Q6" i="1" s="1"/>
  <c r="R6" i="1" s="1"/>
  <c r="U6" i="1" s="1"/>
  <c r="L6" i="1"/>
  <c r="AJ5" i="1"/>
  <c r="AI5" i="1"/>
  <c r="AH5" i="1"/>
  <c r="AG5" i="1"/>
  <c r="AF5" i="1"/>
  <c r="AE5" i="1"/>
  <c r="AD5" i="1"/>
  <c r="AC5" i="1"/>
  <c r="Z5" i="1"/>
  <c r="X5" i="1"/>
  <c r="P5" i="1"/>
  <c r="O5" i="1"/>
  <c r="N5" i="1"/>
  <c r="K5" i="1"/>
  <c r="R33" i="1" l="1"/>
  <c r="T33" i="1"/>
  <c r="R39" i="1"/>
  <c r="T39" i="1"/>
  <c r="R57" i="1"/>
  <c r="T57" i="1"/>
  <c r="R68" i="1"/>
  <c r="T68" i="1"/>
  <c r="R79" i="1"/>
  <c r="T79" i="1"/>
  <c r="AB84" i="1"/>
  <c r="T84" i="1"/>
  <c r="AA17" i="1"/>
  <c r="AA93" i="1"/>
  <c r="AA73" i="1"/>
  <c r="AA11" i="1"/>
  <c r="AA27" i="1"/>
  <c r="AA43" i="1"/>
  <c r="AA90" i="1"/>
  <c r="AA41" i="1"/>
  <c r="AA59" i="1"/>
  <c r="AA75" i="1"/>
  <c r="AA6" i="1"/>
  <c r="AA13" i="1"/>
  <c r="AA21" i="1"/>
  <c r="AA29" i="1"/>
  <c r="AA37" i="1"/>
  <c r="AA53" i="1"/>
  <c r="AA69" i="1"/>
  <c r="AA15" i="1"/>
  <c r="AA55" i="1"/>
  <c r="AA87" i="1"/>
  <c r="AA46" i="1"/>
  <c r="AA52" i="1"/>
  <c r="AA82" i="1"/>
  <c r="R50" i="1"/>
  <c r="U50" i="1" s="1"/>
  <c r="R31" i="1"/>
  <c r="U31" i="1" s="1"/>
  <c r="R61" i="1"/>
  <c r="U61" i="1" s="1"/>
  <c r="R63" i="1"/>
  <c r="U63" i="1" s="1"/>
  <c r="R86" i="1"/>
  <c r="U86" i="1" s="1"/>
  <c r="R64" i="1"/>
  <c r="U64" i="1" s="1"/>
  <c r="R48" i="1"/>
  <c r="U48" i="1" s="1"/>
  <c r="R84" i="1"/>
  <c r="R88" i="1"/>
  <c r="U88" i="1" s="1"/>
  <c r="R34" i="1"/>
  <c r="U34" i="1" s="1"/>
  <c r="R36" i="1"/>
  <c r="U36" i="1" s="1"/>
  <c r="R42" i="1"/>
  <c r="U42" i="1" s="1"/>
  <c r="R44" i="1"/>
  <c r="U44" i="1" s="1"/>
  <c r="AB49" i="1"/>
  <c r="R49" i="1"/>
  <c r="U49" i="1" s="1"/>
  <c r="R66" i="1"/>
  <c r="U66" i="1" s="1"/>
  <c r="R78" i="1"/>
  <c r="U78" i="1" s="1"/>
  <c r="AB83" i="1"/>
  <c r="R83" i="1"/>
  <c r="U83" i="1" s="1"/>
  <c r="AB87" i="1"/>
  <c r="AB91" i="1"/>
  <c r="R30" i="1"/>
  <c r="R32" i="1"/>
  <c r="U32" i="1" s="1"/>
  <c r="R40" i="1"/>
  <c r="U40" i="1" s="1"/>
  <c r="AB47" i="1"/>
  <c r="AB51" i="1"/>
  <c r="R51" i="1"/>
  <c r="U51" i="1" s="1"/>
  <c r="R56" i="1"/>
  <c r="U56" i="1" s="1"/>
  <c r="R60" i="1"/>
  <c r="U60" i="1" s="1"/>
  <c r="AB85" i="1"/>
  <c r="R85" i="1"/>
  <c r="U85" i="1" s="1"/>
  <c r="AB89" i="1"/>
  <c r="F5" i="1"/>
  <c r="M5" i="1"/>
  <c r="AB63" i="1"/>
  <c r="AB54" i="1"/>
  <c r="AB58" i="1"/>
  <c r="AB62" i="1"/>
  <c r="AB68" i="1"/>
  <c r="AB72" i="1"/>
  <c r="AB76" i="1"/>
  <c r="AB80" i="1"/>
  <c r="AB33" i="1"/>
  <c r="AB37" i="1"/>
  <c r="AB41" i="1"/>
  <c r="AB45" i="1"/>
  <c r="E5" i="1"/>
  <c r="AB31" i="1"/>
  <c r="AB35" i="1"/>
  <c r="AB39" i="1"/>
  <c r="AB43" i="1"/>
  <c r="AB56" i="1"/>
  <c r="AB60" i="1"/>
  <c r="AB64" i="1"/>
  <c r="AB66" i="1"/>
  <c r="AB70" i="1"/>
  <c r="AB74" i="1"/>
  <c r="AB78" i="1"/>
  <c r="AB92" i="1"/>
  <c r="AB7" i="1"/>
  <c r="AB13" i="1"/>
  <c r="AB15" i="1"/>
  <c r="AB17" i="1"/>
  <c r="AB19" i="1"/>
  <c r="AB21" i="1"/>
  <c r="AB23" i="1"/>
  <c r="AB25" i="1"/>
  <c r="AB27" i="1"/>
  <c r="AB29" i="1"/>
  <c r="AB9" i="1"/>
  <c r="AB11" i="1"/>
  <c r="AB6" i="1"/>
  <c r="Q5" i="1"/>
  <c r="AB8" i="1"/>
  <c r="AB10" i="1"/>
  <c r="AB12" i="1"/>
  <c r="AB14" i="1"/>
  <c r="AB16" i="1"/>
  <c r="AB18" i="1"/>
  <c r="AB20" i="1"/>
  <c r="AB22" i="1"/>
  <c r="AB24" i="1"/>
  <c r="AB26" i="1"/>
  <c r="AB28" i="1"/>
  <c r="L63" i="1"/>
  <c r="L64" i="1"/>
  <c r="AB30" i="1"/>
  <c r="AB32" i="1"/>
  <c r="AB34" i="1"/>
  <c r="AB36" i="1"/>
  <c r="AB38" i="1"/>
  <c r="AB40" i="1"/>
  <c r="AB42" i="1"/>
  <c r="AB44" i="1"/>
  <c r="AB53" i="1"/>
  <c r="AB55" i="1"/>
  <c r="AB57" i="1"/>
  <c r="AB59" i="1"/>
  <c r="AB61" i="1"/>
  <c r="AB65" i="1"/>
  <c r="AB67" i="1"/>
  <c r="AB69" i="1"/>
  <c r="AB71" i="1"/>
  <c r="AB73" i="1"/>
  <c r="AB75" i="1"/>
  <c r="AB77" i="1"/>
  <c r="AB79" i="1"/>
  <c r="AB81" i="1"/>
  <c r="U84" i="1" l="1"/>
  <c r="U79" i="1"/>
  <c r="U68" i="1"/>
  <c r="AA68" i="1" s="1"/>
  <c r="U57" i="1"/>
  <c r="U39" i="1"/>
  <c r="U33" i="1"/>
  <c r="T5" i="1"/>
  <c r="AA56" i="1"/>
  <c r="AA40" i="1"/>
  <c r="U30" i="1"/>
  <c r="S5" i="1"/>
  <c r="AA66" i="1"/>
  <c r="AA42" i="1"/>
  <c r="AA34" i="1"/>
  <c r="AA31" i="1"/>
  <c r="AA63" i="1"/>
  <c r="AA85" i="1"/>
  <c r="AA60" i="1"/>
  <c r="AA51" i="1"/>
  <c r="AA32" i="1"/>
  <c r="AA83" i="1"/>
  <c r="AA78" i="1"/>
  <c r="AA49" i="1"/>
  <c r="AA44" i="1"/>
  <c r="AA36" i="1"/>
  <c r="AA88" i="1"/>
  <c r="AA48" i="1"/>
  <c r="AA86" i="1"/>
  <c r="AA61" i="1"/>
  <c r="AA50" i="1"/>
  <c r="AA64" i="1"/>
  <c r="R5" i="1"/>
  <c r="L5" i="1"/>
  <c r="AA57" i="1" l="1"/>
  <c r="AA33" i="1"/>
  <c r="AA79" i="1"/>
  <c r="AA84" i="1"/>
  <c r="AA39" i="1"/>
  <c r="AA30" i="1"/>
  <c r="U5" i="1"/>
  <c r="AL5" i="1" l="1"/>
</calcChain>
</file>

<file path=xl/sharedStrings.xml><?xml version="1.0" encoding="utf-8"?>
<sst xmlns="http://schemas.openxmlformats.org/spreadsheetml/2006/main" count="335" uniqueCount="145">
  <si>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</si>
  <si>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</si>
  <si>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</si>
  <si>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</si>
  <si>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</si>
  <si>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</si>
  <si>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</si>
  <si>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</si>
  <si>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</si>
  <si>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</si>
  <si>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</si>
  <si>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</si>
  <si>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</si>
  <si>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</si>
  <si>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</si>
  <si>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</si>
  <si>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</si>
  <si>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</si>
  <si>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</si>
  <si>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</si>
  <si>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</si>
  <si>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</si>
  <si>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</si>
  <si>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</si>
  <si>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</si>
  <si>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</si>
  <si>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</si>
  <si>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</si>
  <si>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29,10,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</si>
  <si>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</si>
  <si>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</si>
  <si>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</si>
  <si>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</si>
  <si>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</si>
  <si>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</si>
  <si>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</si>
  <si>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</si>
  <si>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</si>
  <si>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</si>
  <si>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</si>
  <si>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</si>
  <si>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</si>
  <si>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</si>
  <si>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</si>
  <si>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</si>
  <si>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</si>
  <si>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</si>
  <si>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</si>
  <si>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</si>
  <si>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</si>
  <si>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</si>
  <si>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</si>
  <si>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</si>
  <si>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</si>
  <si>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</si>
  <si>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</si>
  <si>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</si>
  <si>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</si>
  <si>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</si>
  <si>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</si>
  <si>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</si>
  <si>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</si>
  <si>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</si>
  <si>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</si>
  <si>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</si>
  <si>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</si>
  <si>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</si>
  <si>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</si>
  <si>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</si>
  <si>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</si>
  <si>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</si>
  <si>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</si>
  <si>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</si>
  <si>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</si>
  <si>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</si>
  <si>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</si>
  <si>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</si>
  <si>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</si>
  <si>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</si>
  <si>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</si>
  <si>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</si>
  <si>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</si>
  <si>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</si>
  <si>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</si>
  <si>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</si>
  <si>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</si>
  <si>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</si>
  <si>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</si>
  <si>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</si>
  <si>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</si>
  <si>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24,10,25 списание 24шт. (сроки)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</si>
  <si>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</si>
  <si>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</si>
  <si>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</si>
  <si>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</si>
  <si>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</si>
  <si>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</si>
  <si>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</si>
  <si>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</si>
  <si>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</si>
  <si>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</si>
  <si>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</si>
  <si>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</si>
  <si>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</si>
  <si>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нужно увеличить продажи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</si>
  <si>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</si>
  <si>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</si>
  <si>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</si>
  <si>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</si>
  <si>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</si>
  <si>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</si>
  <si>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</si>
  <si>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</si>
  <si>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</si>
  <si>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</si>
  <si>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</si>
  <si>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</si>
  <si>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</si>
  <si>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</si>
  <si>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</si>
  <si>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</si>
  <si>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</si>
  <si>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не в матрице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</si>
  <si>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</si>
  <si>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</si>
  <si>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</si>
  <si>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</si>
  <si>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</si>
  <si>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</si>
  <si>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</si>
  <si>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</si>
  <si>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</si>
  <si>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</si>
  <si>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</si>
  <si>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</si>
  <si>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</si>
  <si>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</si>
  <si>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06,03,25 в уценку 85шт.</t>
    </r>
  </si>
  <si>
    <t>нужно увеличить продажи!!!</t>
  </si>
  <si>
    <t>с учетом ТК</t>
  </si>
  <si>
    <t>до машины</t>
  </si>
  <si>
    <t>итого</t>
  </si>
  <si>
    <t>заказ</t>
  </si>
  <si>
    <t>08,11,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</si>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</sst>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0" borderId="1" xfId="1" applyNumberFormat="1"/>
    <xf numFmtId="164" fontId="5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5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7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3" sqref="Y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3" width="7" style="23" customWidth="1"/>
    <col min="24" max="24" width="7" customWidth="1"/>
    <col min="25" max="25" width="8.85546875" customWidth="1"/>
    <col min="26" max="26" width="7" customWidth="1"/>
    <col min="27" max="28" width="5" customWidth="1"/>
    <col min="29" max="36" width="6" customWidth="1"/>
    <col min="37" max="37" width="11.5703125" customWidth="1"/>
    <col min="38" max="39" width="7" customWidth="1"/>
    <col min="40" max="55" width="3" customWidth="1"/>
  </cols>
  <sheetData>
    <row r="1" spans="1:55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4">
        <v>2.2000000000000002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</row>
    <row r="2" spans="1:55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</row>
    <row r="3" spans="1:5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139</v>
      </c>
      <c r="T3" s="2" t="s">
        <v>140</v>
      </c>
      <c r="U3" s="2" t="s">
        <v>141</v>
      </c>
      <c r="V3" s="2" t="s">
        <v>142</v>
      </c>
      <c r="W3" s="2" t="s">
        <v>142</v>
      </c>
      <c r="X3" s="6" t="s">
        <v>17</v>
      </c>
      <c r="Y3" s="6" t="s">
        <v>18</v>
      </c>
      <c r="Z3" s="9" t="s">
        <v>19</v>
      </c>
      <c r="AA3" s="1" t="s">
        <v>20</v>
      </c>
      <c r="AB3" s="1" t="s">
        <v>21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23</v>
      </c>
      <c r="AL3" s="1" t="s">
        <v>24</v>
      </c>
      <c r="AM3" s="1" t="s">
        <v>24</v>
      </c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</row>
    <row r="4" spans="1:55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 t="s">
        <v>27</v>
      </c>
      <c r="R4" s="10"/>
      <c r="S4" s="10"/>
      <c r="T4" s="10"/>
      <c r="U4" s="10"/>
      <c r="V4" s="10" t="s">
        <v>143</v>
      </c>
      <c r="W4" s="10" t="s">
        <v>144</v>
      </c>
      <c r="X4" s="10"/>
      <c r="Y4" s="10"/>
      <c r="Z4" s="10"/>
      <c r="AA4" s="10"/>
      <c r="AB4" s="10"/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  <c r="AI4" s="10" t="s">
        <v>34</v>
      </c>
      <c r="AJ4" s="10" t="s">
        <v>35</v>
      </c>
      <c r="AK4" s="10"/>
      <c r="AL4" s="10" t="s">
        <v>143</v>
      </c>
      <c r="AM4" s="10" t="s">
        <v>144</v>
      </c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</row>
    <row r="5" spans="1:55" x14ac:dyDescent="0.25">
      <c r="A5" s="10"/>
      <c r="B5" s="10"/>
      <c r="C5" s="10"/>
      <c r="D5" s="10"/>
      <c r="E5" s="3">
        <f>SUM(E6:E494)</f>
        <v>13432.651</v>
      </c>
      <c r="F5" s="3">
        <f>SUM(F6:F494)</f>
        <v>16254.216999999997</v>
      </c>
      <c r="G5" s="7"/>
      <c r="H5" s="10"/>
      <c r="I5" s="10"/>
      <c r="J5" s="10"/>
      <c r="K5" s="3">
        <f t="shared" ref="K5:X5" si="0">SUM(K6:K494)</f>
        <v>13691.279999999999</v>
      </c>
      <c r="L5" s="3">
        <f t="shared" si="0"/>
        <v>-258.62899999999996</v>
      </c>
      <c r="M5" s="3">
        <f t="shared" si="0"/>
        <v>13220.651</v>
      </c>
      <c r="N5" s="3">
        <f t="shared" si="0"/>
        <v>212</v>
      </c>
      <c r="O5" s="3">
        <f t="shared" si="0"/>
        <v>6109</v>
      </c>
      <c r="P5" s="3">
        <f t="shared" si="0"/>
        <v>4824</v>
      </c>
      <c r="Q5" s="3">
        <f t="shared" si="0"/>
        <v>2644.1302000000001</v>
      </c>
      <c r="R5" s="3">
        <f t="shared" si="0"/>
        <v>11482.574399999998</v>
      </c>
      <c r="S5" s="3">
        <f t="shared" si="0"/>
        <v>12578.2</v>
      </c>
      <c r="T5" s="3">
        <f t="shared" si="0"/>
        <v>1536.6903200000002</v>
      </c>
      <c r="U5" s="3">
        <f t="shared" si="0"/>
        <v>14115</v>
      </c>
      <c r="V5" s="3">
        <f t="shared" si="0"/>
        <v>6832</v>
      </c>
      <c r="W5" s="3">
        <f t="shared" ref="W5" si="1">SUM(W6:W494)</f>
        <v>7283</v>
      </c>
      <c r="X5" s="3">
        <f t="shared" si="0"/>
        <v>12320</v>
      </c>
      <c r="Y5" s="10"/>
      <c r="Z5" s="3">
        <f>SUM(Z6:Z494)</f>
        <v>0</v>
      </c>
      <c r="AA5" s="10"/>
      <c r="AB5" s="10"/>
      <c r="AC5" s="3">
        <f t="shared" ref="AC5:AJ5" si="2">SUM(AC6:AC494)</f>
        <v>2430.6713999999997</v>
      </c>
      <c r="AD5" s="3">
        <f t="shared" si="2"/>
        <v>3027.4846000000002</v>
      </c>
      <c r="AE5" s="3">
        <f t="shared" si="2"/>
        <v>2996.8149999999996</v>
      </c>
      <c r="AF5" s="3">
        <f t="shared" si="2"/>
        <v>2635.2085999999995</v>
      </c>
      <c r="AG5" s="3">
        <f t="shared" si="2"/>
        <v>2712.4443999999985</v>
      </c>
      <c r="AH5" s="3">
        <f t="shared" si="2"/>
        <v>2860.1234000000004</v>
      </c>
      <c r="AI5" s="3">
        <f t="shared" si="2"/>
        <v>2809.5257999999999</v>
      </c>
      <c r="AJ5" s="3">
        <f t="shared" si="2"/>
        <v>3065.7614000000008</v>
      </c>
      <c r="AK5" s="10"/>
      <c r="AL5" s="3">
        <f>SUM(AL6:AL494)</f>
        <v>3438.3300000000008</v>
      </c>
      <c r="AM5" s="3">
        <f>SUM(AM6:AM494)</f>
        <v>3760.39</v>
      </c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</row>
    <row r="6" spans="1:55" x14ac:dyDescent="0.25">
      <c r="A6" s="10" t="s">
        <v>36</v>
      </c>
      <c r="B6" s="10" t="s">
        <v>37</v>
      </c>
      <c r="C6" s="10">
        <v>186</v>
      </c>
      <c r="D6" s="10">
        <v>706</v>
      </c>
      <c r="E6" s="10">
        <v>244</v>
      </c>
      <c r="F6" s="10">
        <v>503</v>
      </c>
      <c r="G6" s="7">
        <v>0.4</v>
      </c>
      <c r="H6" s="10">
        <v>60</v>
      </c>
      <c r="I6" s="10" t="s">
        <v>38</v>
      </c>
      <c r="J6" s="10"/>
      <c r="K6" s="10">
        <v>247</v>
      </c>
      <c r="L6" s="10">
        <f t="shared" ref="L6:L37" si="3">E6-K6</f>
        <v>-3</v>
      </c>
      <c r="M6" s="10">
        <f t="shared" ref="M6:M37" si="4">E6-N6</f>
        <v>244</v>
      </c>
      <c r="N6" s="10"/>
      <c r="O6" s="10">
        <v>0</v>
      </c>
      <c r="P6" s="10"/>
      <c r="Q6" s="10">
        <f t="shared" ref="Q6:Q37" si="5">M6/5</f>
        <v>48.8</v>
      </c>
      <c r="R6" s="4">
        <f>14*Q6-P6-O6-F6</f>
        <v>180.19999999999993</v>
      </c>
      <c r="S6" s="4">
        <f>X6</f>
        <v>250</v>
      </c>
      <c r="T6" s="4"/>
      <c r="U6" s="4">
        <f>ROUND(T6+S6,0)</f>
        <v>250</v>
      </c>
      <c r="V6" s="4">
        <f>U6-W6</f>
        <v>130</v>
      </c>
      <c r="W6" s="4">
        <v>120</v>
      </c>
      <c r="X6" s="4">
        <v>250</v>
      </c>
      <c r="Y6" s="10"/>
      <c r="Z6" s="10"/>
      <c r="AA6" s="10">
        <f>(F6+O6+P6+U6)/Q6</f>
        <v>15.43032786885246</v>
      </c>
      <c r="AB6" s="10">
        <f t="shared" ref="AB6:AB37" si="6">(F6+O6+P6)/Q6</f>
        <v>10.307377049180328</v>
      </c>
      <c r="AC6" s="10">
        <v>36.200000000000003</v>
      </c>
      <c r="AD6" s="10">
        <v>78.599999999999994</v>
      </c>
      <c r="AE6" s="10">
        <v>50.2</v>
      </c>
      <c r="AF6" s="10">
        <v>59.2</v>
      </c>
      <c r="AG6" s="10">
        <v>40</v>
      </c>
      <c r="AH6" s="10">
        <v>63.2</v>
      </c>
      <c r="AI6" s="10">
        <v>62.8</v>
      </c>
      <c r="AJ6" s="10">
        <v>54</v>
      </c>
      <c r="AK6" s="10"/>
      <c r="AL6" s="10">
        <f>G6*V6</f>
        <v>52</v>
      </c>
      <c r="AM6" s="10">
        <f>G6*W6</f>
        <v>48</v>
      </c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</row>
    <row r="7" spans="1:55" x14ac:dyDescent="0.25">
      <c r="A7" s="10" t="s">
        <v>39</v>
      </c>
      <c r="B7" s="10" t="s">
        <v>40</v>
      </c>
      <c r="C7" s="10">
        <v>34.966999999999999</v>
      </c>
      <c r="D7" s="10">
        <v>36.502000000000002</v>
      </c>
      <c r="E7" s="10">
        <v>13.223000000000001</v>
      </c>
      <c r="F7" s="10">
        <v>51.142000000000003</v>
      </c>
      <c r="G7" s="7">
        <v>1</v>
      </c>
      <c r="H7" s="10">
        <v>120</v>
      </c>
      <c r="I7" s="10" t="s">
        <v>38</v>
      </c>
      <c r="J7" s="10"/>
      <c r="K7" s="10">
        <v>12.5</v>
      </c>
      <c r="L7" s="10">
        <f t="shared" si="3"/>
        <v>0.72300000000000075</v>
      </c>
      <c r="M7" s="10">
        <f t="shared" si="4"/>
        <v>13.223000000000001</v>
      </c>
      <c r="N7" s="10"/>
      <c r="O7" s="10">
        <v>0</v>
      </c>
      <c r="P7" s="10"/>
      <c r="Q7" s="10">
        <f t="shared" si="5"/>
        <v>2.6446000000000001</v>
      </c>
      <c r="R7" s="4"/>
      <c r="S7" s="4">
        <f t="shared" ref="S7:S67" si="7">R7</f>
        <v>0</v>
      </c>
      <c r="T7" s="4"/>
      <c r="U7" s="4">
        <f t="shared" ref="U7:U70" si="8">ROUND(T7+S7,0)</f>
        <v>0</v>
      </c>
      <c r="V7" s="4">
        <f t="shared" ref="V7:V70" si="9">U7-W7</f>
        <v>0</v>
      </c>
      <c r="W7" s="4"/>
      <c r="X7" s="4"/>
      <c r="Y7" s="10"/>
      <c r="Z7" s="10"/>
      <c r="AA7" s="10">
        <f t="shared" ref="AA7:AA70" si="10">(F7+O7+P7+U7)/Q7</f>
        <v>19.33827421916358</v>
      </c>
      <c r="AB7" s="10">
        <f t="shared" si="6"/>
        <v>19.33827421916358</v>
      </c>
      <c r="AC7" s="10">
        <v>2.63</v>
      </c>
      <c r="AD7" s="10">
        <v>5.5464000000000002</v>
      </c>
      <c r="AE7" s="10">
        <v>3.7913999999999999</v>
      </c>
      <c r="AF7" s="10">
        <v>4.9935999999999998</v>
      </c>
      <c r="AG7" s="10">
        <v>4.2587999999999999</v>
      </c>
      <c r="AH7" s="10">
        <v>4.2799999999999994</v>
      </c>
      <c r="AI7" s="10">
        <v>4.9272</v>
      </c>
      <c r="AJ7" s="10">
        <v>4.306</v>
      </c>
      <c r="AK7" s="10"/>
      <c r="AL7" s="10">
        <f t="shared" ref="AL7:AL70" si="11">G7*V7</f>
        <v>0</v>
      </c>
      <c r="AM7" s="10">
        <f t="shared" ref="AM7:AM70" si="12">G7*W7</f>
        <v>0</v>
      </c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</row>
    <row r="8" spans="1:55" x14ac:dyDescent="0.25">
      <c r="A8" s="10" t="s">
        <v>41</v>
      </c>
      <c r="B8" s="10" t="s">
        <v>40</v>
      </c>
      <c r="C8" s="10">
        <v>507.791</v>
      </c>
      <c r="D8" s="10">
        <v>876.72</v>
      </c>
      <c r="E8" s="10">
        <v>340.50799999999998</v>
      </c>
      <c r="F8" s="10">
        <v>565.86900000000003</v>
      </c>
      <c r="G8" s="7">
        <v>1</v>
      </c>
      <c r="H8" s="10">
        <v>60</v>
      </c>
      <c r="I8" s="10" t="s">
        <v>38</v>
      </c>
      <c r="J8" s="10"/>
      <c r="K8" s="10">
        <v>339.9</v>
      </c>
      <c r="L8" s="10">
        <f t="shared" si="3"/>
        <v>0.60800000000000409</v>
      </c>
      <c r="M8" s="10">
        <f t="shared" si="4"/>
        <v>340.50799999999998</v>
      </c>
      <c r="N8" s="10"/>
      <c r="O8" s="10">
        <v>200</v>
      </c>
      <c r="P8" s="10">
        <v>180</v>
      </c>
      <c r="Q8" s="10">
        <f t="shared" si="5"/>
        <v>68.101599999999991</v>
      </c>
      <c r="R8" s="4">
        <f t="shared" ref="R8:R44" si="13">14*Q8-P8-O8-F8</f>
        <v>7.5533999999998969</v>
      </c>
      <c r="S8" s="4">
        <f>X8</f>
        <v>200</v>
      </c>
      <c r="T8" s="4"/>
      <c r="U8" s="4">
        <f t="shared" si="8"/>
        <v>200</v>
      </c>
      <c r="V8" s="4">
        <f t="shared" si="9"/>
        <v>100</v>
      </c>
      <c r="W8" s="4">
        <v>100</v>
      </c>
      <c r="X8" s="4">
        <v>200</v>
      </c>
      <c r="Y8" s="10"/>
      <c r="Z8" s="10"/>
      <c r="AA8" s="10">
        <f t="shared" si="10"/>
        <v>16.825874869312912</v>
      </c>
      <c r="AB8" s="10">
        <f t="shared" si="6"/>
        <v>13.889086306342291</v>
      </c>
      <c r="AC8" s="10">
        <v>80.230199999999996</v>
      </c>
      <c r="AD8" s="10">
        <v>90.258200000000002</v>
      </c>
      <c r="AE8" s="10">
        <v>85.118600000000001</v>
      </c>
      <c r="AF8" s="10">
        <v>89.773399999999995</v>
      </c>
      <c r="AG8" s="10">
        <v>91.094000000000008</v>
      </c>
      <c r="AH8" s="10">
        <v>78.89500000000001</v>
      </c>
      <c r="AI8" s="10">
        <v>78.157399999999996</v>
      </c>
      <c r="AJ8" s="10">
        <v>78.814599999999999</v>
      </c>
      <c r="AK8" s="10"/>
      <c r="AL8" s="10">
        <f t="shared" si="11"/>
        <v>100</v>
      </c>
      <c r="AM8" s="10">
        <f t="shared" si="12"/>
        <v>100</v>
      </c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</row>
    <row r="9" spans="1:55" x14ac:dyDescent="0.25">
      <c r="A9" s="10" t="s">
        <v>42</v>
      </c>
      <c r="B9" s="10" t="s">
        <v>40</v>
      </c>
      <c r="C9" s="10">
        <v>49.749000000000002</v>
      </c>
      <c r="D9" s="10">
        <v>56.875999999999998</v>
      </c>
      <c r="E9" s="10">
        <v>6.4480000000000004</v>
      </c>
      <c r="F9" s="10">
        <v>50.984999999999999</v>
      </c>
      <c r="G9" s="7">
        <v>1</v>
      </c>
      <c r="H9" s="10">
        <v>120</v>
      </c>
      <c r="I9" s="10" t="s">
        <v>38</v>
      </c>
      <c r="J9" s="10"/>
      <c r="K9" s="10">
        <v>6.5</v>
      </c>
      <c r="L9" s="10">
        <f t="shared" si="3"/>
        <v>-5.1999999999999602E-2</v>
      </c>
      <c r="M9" s="10">
        <f t="shared" si="4"/>
        <v>6.4480000000000004</v>
      </c>
      <c r="N9" s="10"/>
      <c r="O9" s="10">
        <v>0</v>
      </c>
      <c r="P9" s="10"/>
      <c r="Q9" s="10">
        <f t="shared" si="5"/>
        <v>1.2896000000000001</v>
      </c>
      <c r="R9" s="4"/>
      <c r="S9" s="4">
        <f t="shared" si="7"/>
        <v>0</v>
      </c>
      <c r="T9" s="4"/>
      <c r="U9" s="4">
        <f t="shared" si="8"/>
        <v>0</v>
      </c>
      <c r="V9" s="4">
        <f t="shared" si="9"/>
        <v>0</v>
      </c>
      <c r="W9" s="4"/>
      <c r="X9" s="4"/>
      <c r="Y9" s="10"/>
      <c r="Z9" s="10"/>
      <c r="AA9" s="10">
        <f t="shared" si="10"/>
        <v>39.535514888337467</v>
      </c>
      <c r="AB9" s="10">
        <f t="shared" si="6"/>
        <v>39.535514888337467</v>
      </c>
      <c r="AC9" s="10">
        <v>2.3702000000000001</v>
      </c>
      <c r="AD9" s="10">
        <v>4.4546000000000001</v>
      </c>
      <c r="AE9" s="10">
        <v>5.0002000000000004</v>
      </c>
      <c r="AF9" s="10">
        <v>4.0398000000000014</v>
      </c>
      <c r="AG9" s="10">
        <v>4.0202</v>
      </c>
      <c r="AH9" s="10">
        <v>3.9077999999999999</v>
      </c>
      <c r="AI9" s="10">
        <v>4.6116000000000001</v>
      </c>
      <c r="AJ9" s="10">
        <v>3.9628000000000001</v>
      </c>
      <c r="AK9" s="10"/>
      <c r="AL9" s="10">
        <f t="shared" si="11"/>
        <v>0</v>
      </c>
      <c r="AM9" s="10">
        <f t="shared" si="12"/>
        <v>0</v>
      </c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</row>
    <row r="10" spans="1:55" x14ac:dyDescent="0.25">
      <c r="A10" s="10" t="s">
        <v>43</v>
      </c>
      <c r="B10" s="10" t="s">
        <v>40</v>
      </c>
      <c r="C10" s="10">
        <v>48.738</v>
      </c>
      <c r="D10" s="10">
        <v>90.555999999999997</v>
      </c>
      <c r="E10" s="10">
        <v>45.829000000000001</v>
      </c>
      <c r="F10" s="10">
        <v>77.153000000000006</v>
      </c>
      <c r="G10" s="7">
        <v>1</v>
      </c>
      <c r="H10" s="10">
        <v>60</v>
      </c>
      <c r="I10" s="10" t="s">
        <v>38</v>
      </c>
      <c r="J10" s="10"/>
      <c r="K10" s="10">
        <v>59.6</v>
      </c>
      <c r="L10" s="10">
        <f t="shared" si="3"/>
        <v>-13.771000000000001</v>
      </c>
      <c r="M10" s="10">
        <f t="shared" si="4"/>
        <v>45.829000000000001</v>
      </c>
      <c r="N10" s="10"/>
      <c r="O10" s="10">
        <v>0</v>
      </c>
      <c r="P10" s="10">
        <v>30</v>
      </c>
      <c r="Q10" s="10">
        <f t="shared" si="5"/>
        <v>9.1658000000000008</v>
      </c>
      <c r="R10" s="4">
        <f t="shared" si="13"/>
        <v>21.168199999999999</v>
      </c>
      <c r="S10" s="4">
        <f t="shared" ref="S10:S18" si="14">X10</f>
        <v>30</v>
      </c>
      <c r="T10" s="4"/>
      <c r="U10" s="4">
        <f t="shared" si="8"/>
        <v>30</v>
      </c>
      <c r="V10" s="4">
        <f t="shared" si="9"/>
        <v>0</v>
      </c>
      <c r="W10" s="4">
        <v>30</v>
      </c>
      <c r="X10" s="4">
        <v>30</v>
      </c>
      <c r="Y10" s="10"/>
      <c r="Z10" s="10"/>
      <c r="AA10" s="10">
        <f t="shared" si="10"/>
        <v>14.963560191145346</v>
      </c>
      <c r="AB10" s="10">
        <f t="shared" si="6"/>
        <v>11.690523467673307</v>
      </c>
      <c r="AC10" s="10">
        <v>10.244</v>
      </c>
      <c r="AD10" s="10">
        <v>12.7936</v>
      </c>
      <c r="AE10" s="10">
        <v>10.8612</v>
      </c>
      <c r="AF10" s="10">
        <v>13.260999999999999</v>
      </c>
      <c r="AG10" s="10">
        <v>12.6198</v>
      </c>
      <c r="AH10" s="10">
        <v>10.8278</v>
      </c>
      <c r="AI10" s="10">
        <v>11.9008</v>
      </c>
      <c r="AJ10" s="10">
        <v>10.1404</v>
      </c>
      <c r="AK10" s="10"/>
      <c r="AL10" s="10">
        <f t="shared" si="11"/>
        <v>0</v>
      </c>
      <c r="AM10" s="10">
        <f t="shared" si="12"/>
        <v>30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</row>
    <row r="11" spans="1:55" x14ac:dyDescent="0.25">
      <c r="A11" s="10" t="s">
        <v>44</v>
      </c>
      <c r="B11" s="10" t="s">
        <v>40</v>
      </c>
      <c r="C11" s="10">
        <v>437.84100000000001</v>
      </c>
      <c r="D11" s="10">
        <v>308.64600000000002</v>
      </c>
      <c r="E11" s="10">
        <v>231.14699999999999</v>
      </c>
      <c r="F11" s="10">
        <v>329.065</v>
      </c>
      <c r="G11" s="7">
        <v>1</v>
      </c>
      <c r="H11" s="10">
        <v>60</v>
      </c>
      <c r="I11" s="10" t="s">
        <v>38</v>
      </c>
      <c r="J11" s="10"/>
      <c r="K11" s="10">
        <v>231</v>
      </c>
      <c r="L11" s="10">
        <f t="shared" si="3"/>
        <v>0.14699999999999136</v>
      </c>
      <c r="M11" s="10">
        <f t="shared" si="4"/>
        <v>231.14699999999999</v>
      </c>
      <c r="N11" s="10"/>
      <c r="O11" s="10">
        <v>0</v>
      </c>
      <c r="P11" s="10">
        <v>145</v>
      </c>
      <c r="Q11" s="10">
        <f t="shared" si="5"/>
        <v>46.229399999999998</v>
      </c>
      <c r="R11" s="4">
        <f t="shared" si="13"/>
        <v>173.14659999999998</v>
      </c>
      <c r="S11" s="4">
        <f t="shared" si="14"/>
        <v>200</v>
      </c>
      <c r="T11" s="4"/>
      <c r="U11" s="4">
        <f t="shared" si="8"/>
        <v>200</v>
      </c>
      <c r="V11" s="4">
        <f t="shared" si="9"/>
        <v>100</v>
      </c>
      <c r="W11" s="4">
        <v>100</v>
      </c>
      <c r="X11" s="4">
        <v>200</v>
      </c>
      <c r="Y11" s="10"/>
      <c r="Z11" s="10"/>
      <c r="AA11" s="10">
        <f t="shared" si="10"/>
        <v>14.580872777929198</v>
      </c>
      <c r="AB11" s="10">
        <f t="shared" si="6"/>
        <v>10.254621517908518</v>
      </c>
      <c r="AC11" s="10">
        <v>44.822400000000002</v>
      </c>
      <c r="AD11" s="10">
        <v>56.105600000000003</v>
      </c>
      <c r="AE11" s="10">
        <v>61.675199999999997</v>
      </c>
      <c r="AF11" s="10">
        <v>34.746400000000008</v>
      </c>
      <c r="AG11" s="10">
        <v>26.501000000000001</v>
      </c>
      <c r="AH11" s="10">
        <v>56.067799999999998</v>
      </c>
      <c r="AI11" s="10">
        <v>54.839799999999997</v>
      </c>
      <c r="AJ11" s="10">
        <v>61.588200000000008</v>
      </c>
      <c r="AK11" s="10"/>
      <c r="AL11" s="10">
        <f t="shared" si="11"/>
        <v>100</v>
      </c>
      <c r="AM11" s="10">
        <f t="shared" si="12"/>
        <v>100</v>
      </c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</row>
    <row r="12" spans="1:55" x14ac:dyDescent="0.25">
      <c r="A12" s="10" t="s">
        <v>45</v>
      </c>
      <c r="B12" s="10" t="s">
        <v>37</v>
      </c>
      <c r="C12" s="10">
        <v>106</v>
      </c>
      <c r="D12" s="10">
        <v>273</v>
      </c>
      <c r="E12" s="10">
        <v>186</v>
      </c>
      <c r="F12" s="10">
        <v>121</v>
      </c>
      <c r="G12" s="7">
        <v>0.25</v>
      </c>
      <c r="H12" s="10">
        <v>120</v>
      </c>
      <c r="I12" s="10" t="s">
        <v>38</v>
      </c>
      <c r="J12" s="10"/>
      <c r="K12" s="10">
        <v>182</v>
      </c>
      <c r="L12" s="10">
        <f t="shared" si="3"/>
        <v>4</v>
      </c>
      <c r="M12" s="10">
        <f t="shared" si="4"/>
        <v>154</v>
      </c>
      <c r="N12" s="10">
        <v>32</v>
      </c>
      <c r="O12" s="10">
        <v>0</v>
      </c>
      <c r="P12" s="10">
        <v>100</v>
      </c>
      <c r="Q12" s="10">
        <f t="shared" si="5"/>
        <v>30.8</v>
      </c>
      <c r="R12" s="4">
        <f t="shared" si="13"/>
        <v>210.2</v>
      </c>
      <c r="S12" s="4">
        <f t="shared" si="14"/>
        <v>300</v>
      </c>
      <c r="T12" s="4"/>
      <c r="U12" s="4">
        <f t="shared" si="8"/>
        <v>300</v>
      </c>
      <c r="V12" s="4">
        <f t="shared" si="9"/>
        <v>150</v>
      </c>
      <c r="W12" s="4">
        <v>150</v>
      </c>
      <c r="X12" s="4">
        <v>300</v>
      </c>
      <c r="Y12" s="10"/>
      <c r="Z12" s="10"/>
      <c r="AA12" s="10">
        <f t="shared" si="10"/>
        <v>16.915584415584416</v>
      </c>
      <c r="AB12" s="10">
        <f t="shared" si="6"/>
        <v>7.1753246753246751</v>
      </c>
      <c r="AC12" s="10">
        <v>23.4</v>
      </c>
      <c r="AD12" s="10">
        <v>35.799999999999997</v>
      </c>
      <c r="AE12" s="10">
        <v>31.8</v>
      </c>
      <c r="AF12" s="10">
        <v>26.8</v>
      </c>
      <c r="AG12" s="10">
        <v>29.8</v>
      </c>
      <c r="AH12" s="10">
        <v>25.6</v>
      </c>
      <c r="AI12" s="10">
        <v>34</v>
      </c>
      <c r="AJ12" s="10">
        <v>39.4</v>
      </c>
      <c r="AK12" s="10"/>
      <c r="AL12" s="10">
        <f t="shared" si="11"/>
        <v>37.5</v>
      </c>
      <c r="AM12" s="10">
        <f t="shared" si="12"/>
        <v>37.5</v>
      </c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</row>
    <row r="13" spans="1:55" x14ac:dyDescent="0.25">
      <c r="A13" s="10" t="s">
        <v>46</v>
      </c>
      <c r="B13" s="10" t="s">
        <v>40</v>
      </c>
      <c r="C13" s="10">
        <v>71.861999999999995</v>
      </c>
      <c r="D13" s="10">
        <v>97.087999999999994</v>
      </c>
      <c r="E13" s="10">
        <v>73.287000000000006</v>
      </c>
      <c r="F13" s="10">
        <v>92.936000000000007</v>
      </c>
      <c r="G13" s="7">
        <v>1</v>
      </c>
      <c r="H13" s="10">
        <v>60</v>
      </c>
      <c r="I13" s="10" t="s">
        <v>38</v>
      </c>
      <c r="J13" s="10"/>
      <c r="K13" s="10">
        <v>72.2</v>
      </c>
      <c r="L13" s="10">
        <f t="shared" si="3"/>
        <v>1.0870000000000033</v>
      </c>
      <c r="M13" s="10">
        <f t="shared" si="4"/>
        <v>73.287000000000006</v>
      </c>
      <c r="N13" s="10"/>
      <c r="O13" s="10">
        <v>60</v>
      </c>
      <c r="P13" s="10">
        <v>40</v>
      </c>
      <c r="Q13" s="10">
        <f t="shared" si="5"/>
        <v>14.657400000000001</v>
      </c>
      <c r="R13" s="4">
        <f t="shared" si="13"/>
        <v>12.267600000000016</v>
      </c>
      <c r="S13" s="4">
        <f t="shared" si="14"/>
        <v>60</v>
      </c>
      <c r="T13" s="4"/>
      <c r="U13" s="4">
        <f t="shared" si="8"/>
        <v>60</v>
      </c>
      <c r="V13" s="4">
        <f t="shared" si="9"/>
        <v>0</v>
      </c>
      <c r="W13" s="4">
        <v>60</v>
      </c>
      <c r="X13" s="4">
        <v>60</v>
      </c>
      <c r="Y13" s="10"/>
      <c r="Z13" s="10"/>
      <c r="AA13" s="10">
        <f t="shared" si="10"/>
        <v>17.256539358958616</v>
      </c>
      <c r="AB13" s="10">
        <f t="shared" si="6"/>
        <v>13.163043923206025</v>
      </c>
      <c r="AC13" s="10">
        <v>12.036</v>
      </c>
      <c r="AD13" s="10">
        <v>14.9726</v>
      </c>
      <c r="AE13" s="10">
        <v>16.823399999999999</v>
      </c>
      <c r="AF13" s="10">
        <v>17.8232</v>
      </c>
      <c r="AG13" s="10">
        <v>16.494</v>
      </c>
      <c r="AH13" s="10">
        <v>16.262799999999999</v>
      </c>
      <c r="AI13" s="10">
        <v>20.638999999999999</v>
      </c>
      <c r="AJ13" s="10">
        <v>13.877599999999999</v>
      </c>
      <c r="AK13" s="10"/>
      <c r="AL13" s="10">
        <f t="shared" si="11"/>
        <v>0</v>
      </c>
      <c r="AM13" s="10">
        <f t="shared" si="12"/>
        <v>60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</row>
    <row r="14" spans="1:55" x14ac:dyDescent="0.25">
      <c r="A14" s="10" t="s">
        <v>47</v>
      </c>
      <c r="B14" s="10" t="s">
        <v>37</v>
      </c>
      <c r="C14" s="10">
        <v>484</v>
      </c>
      <c r="D14" s="10">
        <v>197</v>
      </c>
      <c r="E14" s="10">
        <v>307</v>
      </c>
      <c r="F14" s="10">
        <v>138</v>
      </c>
      <c r="G14" s="7">
        <v>0.25</v>
      </c>
      <c r="H14" s="10">
        <v>120</v>
      </c>
      <c r="I14" s="10" t="s">
        <v>38</v>
      </c>
      <c r="J14" s="10"/>
      <c r="K14" s="10">
        <v>306</v>
      </c>
      <c r="L14" s="10">
        <f t="shared" si="3"/>
        <v>1</v>
      </c>
      <c r="M14" s="10">
        <f t="shared" si="4"/>
        <v>307</v>
      </c>
      <c r="N14" s="10"/>
      <c r="O14" s="10">
        <v>88</v>
      </c>
      <c r="P14" s="10">
        <v>100</v>
      </c>
      <c r="Q14" s="10">
        <f t="shared" si="5"/>
        <v>61.4</v>
      </c>
      <c r="R14" s="4">
        <f t="shared" si="13"/>
        <v>533.6</v>
      </c>
      <c r="S14" s="4">
        <f t="shared" si="14"/>
        <v>400</v>
      </c>
      <c r="T14" s="4"/>
      <c r="U14" s="4">
        <f t="shared" si="8"/>
        <v>400</v>
      </c>
      <c r="V14" s="4">
        <f t="shared" si="9"/>
        <v>200</v>
      </c>
      <c r="W14" s="4">
        <v>200</v>
      </c>
      <c r="X14" s="4">
        <v>400</v>
      </c>
      <c r="Y14" s="10"/>
      <c r="Z14" s="10"/>
      <c r="AA14" s="10">
        <f t="shared" si="10"/>
        <v>11.824104234527688</v>
      </c>
      <c r="AB14" s="10">
        <f t="shared" si="6"/>
        <v>5.3094462540716609</v>
      </c>
      <c r="AC14" s="10">
        <v>37.6</v>
      </c>
      <c r="AD14" s="10">
        <v>38.6</v>
      </c>
      <c r="AE14" s="10">
        <v>58.8</v>
      </c>
      <c r="AF14" s="10">
        <v>38</v>
      </c>
      <c r="AG14" s="10">
        <v>37.799999999999997</v>
      </c>
      <c r="AH14" s="10">
        <v>58</v>
      </c>
      <c r="AI14" s="10">
        <v>42.4</v>
      </c>
      <c r="AJ14" s="10">
        <v>47.6</v>
      </c>
      <c r="AK14" s="10"/>
      <c r="AL14" s="10">
        <f t="shared" si="11"/>
        <v>50</v>
      </c>
      <c r="AM14" s="10">
        <f t="shared" si="12"/>
        <v>50</v>
      </c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</row>
    <row r="15" spans="1:55" x14ac:dyDescent="0.25">
      <c r="A15" s="10" t="s">
        <v>48</v>
      </c>
      <c r="B15" s="10" t="s">
        <v>37</v>
      </c>
      <c r="C15" s="10">
        <v>145</v>
      </c>
      <c r="D15" s="10">
        <v>58</v>
      </c>
      <c r="E15" s="10">
        <v>121</v>
      </c>
      <c r="F15" s="10">
        <v>59</v>
      </c>
      <c r="G15" s="7">
        <v>0.4</v>
      </c>
      <c r="H15" s="10">
        <v>60</v>
      </c>
      <c r="I15" s="10" t="s">
        <v>38</v>
      </c>
      <c r="J15" s="10"/>
      <c r="K15" s="10">
        <v>121</v>
      </c>
      <c r="L15" s="10">
        <f t="shared" si="3"/>
        <v>0</v>
      </c>
      <c r="M15" s="10">
        <f t="shared" si="4"/>
        <v>121</v>
      </c>
      <c r="N15" s="10"/>
      <c r="O15" s="10">
        <v>52</v>
      </c>
      <c r="P15" s="10">
        <v>70</v>
      </c>
      <c r="Q15" s="10">
        <f t="shared" si="5"/>
        <v>24.2</v>
      </c>
      <c r="R15" s="4">
        <f t="shared" si="13"/>
        <v>157.80000000000001</v>
      </c>
      <c r="S15" s="4">
        <f t="shared" si="14"/>
        <v>200</v>
      </c>
      <c r="T15" s="4"/>
      <c r="U15" s="4">
        <f t="shared" si="8"/>
        <v>200</v>
      </c>
      <c r="V15" s="4">
        <f t="shared" si="9"/>
        <v>100</v>
      </c>
      <c r="W15" s="4">
        <v>100</v>
      </c>
      <c r="X15" s="4">
        <v>200</v>
      </c>
      <c r="Y15" s="10"/>
      <c r="Z15" s="10"/>
      <c r="AA15" s="10">
        <f t="shared" si="10"/>
        <v>15.743801652892563</v>
      </c>
      <c r="AB15" s="10">
        <f t="shared" si="6"/>
        <v>7.4793388429752072</v>
      </c>
      <c r="AC15" s="10">
        <v>22</v>
      </c>
      <c r="AD15" s="10">
        <v>22.6</v>
      </c>
      <c r="AE15" s="10">
        <v>25.6</v>
      </c>
      <c r="AF15" s="10">
        <v>24.2</v>
      </c>
      <c r="AG15" s="10">
        <v>22.6</v>
      </c>
      <c r="AH15" s="10">
        <v>22.6</v>
      </c>
      <c r="AI15" s="10">
        <v>28.4</v>
      </c>
      <c r="AJ15" s="10">
        <v>22.8</v>
      </c>
      <c r="AK15" s="10"/>
      <c r="AL15" s="10">
        <f t="shared" si="11"/>
        <v>40</v>
      </c>
      <c r="AM15" s="10">
        <f t="shared" si="12"/>
        <v>40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</row>
    <row r="16" spans="1:55" x14ac:dyDescent="0.25">
      <c r="A16" s="10" t="s">
        <v>49</v>
      </c>
      <c r="B16" s="10" t="s">
        <v>40</v>
      </c>
      <c r="C16" s="10">
        <v>489.10700000000003</v>
      </c>
      <c r="D16" s="10">
        <v>447.85500000000002</v>
      </c>
      <c r="E16" s="10">
        <v>274.14999999999998</v>
      </c>
      <c r="F16" s="10">
        <v>316.81900000000002</v>
      </c>
      <c r="G16" s="7">
        <v>1</v>
      </c>
      <c r="H16" s="10">
        <v>45</v>
      </c>
      <c r="I16" s="10" t="s">
        <v>38</v>
      </c>
      <c r="J16" s="10"/>
      <c r="K16" s="10">
        <v>249.7</v>
      </c>
      <c r="L16" s="10">
        <f t="shared" si="3"/>
        <v>24.449999999999989</v>
      </c>
      <c r="M16" s="10">
        <f t="shared" si="4"/>
        <v>274.14999999999998</v>
      </c>
      <c r="N16" s="10"/>
      <c r="O16" s="10">
        <v>250</v>
      </c>
      <c r="P16" s="10">
        <v>250</v>
      </c>
      <c r="Q16" s="10">
        <f t="shared" si="5"/>
        <v>54.83</v>
      </c>
      <c r="R16" s="4"/>
      <c r="S16" s="4">
        <f t="shared" si="14"/>
        <v>200</v>
      </c>
      <c r="T16" s="4"/>
      <c r="U16" s="4">
        <f t="shared" si="8"/>
        <v>200</v>
      </c>
      <c r="V16" s="4">
        <f t="shared" si="9"/>
        <v>100</v>
      </c>
      <c r="W16" s="4">
        <v>100</v>
      </c>
      <c r="X16" s="4">
        <v>200</v>
      </c>
      <c r="Y16" s="10"/>
      <c r="Z16" s="10"/>
      <c r="AA16" s="10">
        <f t="shared" si="10"/>
        <v>18.544938902060917</v>
      </c>
      <c r="AB16" s="10">
        <f t="shared" si="6"/>
        <v>14.897300747765822</v>
      </c>
      <c r="AC16" s="10">
        <v>69.053799999999995</v>
      </c>
      <c r="AD16" s="10">
        <v>65.913399999999996</v>
      </c>
      <c r="AE16" s="10">
        <v>77.592999999999989</v>
      </c>
      <c r="AF16" s="10">
        <v>71.2286</v>
      </c>
      <c r="AG16" s="10">
        <v>65.796399999999991</v>
      </c>
      <c r="AH16" s="10">
        <v>84.121200000000016</v>
      </c>
      <c r="AI16" s="10">
        <v>73.148200000000003</v>
      </c>
      <c r="AJ16" s="10">
        <v>78.522800000000004</v>
      </c>
      <c r="AK16" s="10"/>
      <c r="AL16" s="10">
        <f t="shared" si="11"/>
        <v>100</v>
      </c>
      <c r="AM16" s="10">
        <f t="shared" si="12"/>
        <v>100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</row>
    <row r="17" spans="1:55" x14ac:dyDescent="0.25">
      <c r="A17" s="10" t="s">
        <v>50</v>
      </c>
      <c r="B17" s="10" t="s">
        <v>37</v>
      </c>
      <c r="C17" s="10">
        <v>352</v>
      </c>
      <c r="D17" s="10">
        <v>467</v>
      </c>
      <c r="E17" s="10">
        <v>214</v>
      </c>
      <c r="F17" s="10">
        <v>375</v>
      </c>
      <c r="G17" s="7">
        <v>0.12</v>
      </c>
      <c r="H17" s="10">
        <v>60</v>
      </c>
      <c r="I17" s="10" t="s">
        <v>38</v>
      </c>
      <c r="J17" s="10"/>
      <c r="K17" s="10">
        <v>232</v>
      </c>
      <c r="L17" s="10">
        <f t="shared" si="3"/>
        <v>-18</v>
      </c>
      <c r="M17" s="10">
        <f t="shared" si="4"/>
        <v>214</v>
      </c>
      <c r="N17" s="10"/>
      <c r="O17" s="10">
        <v>0</v>
      </c>
      <c r="P17" s="10"/>
      <c r="Q17" s="10">
        <f t="shared" si="5"/>
        <v>42.8</v>
      </c>
      <c r="R17" s="4">
        <f t="shared" si="13"/>
        <v>224.19999999999993</v>
      </c>
      <c r="S17" s="4">
        <f t="shared" si="14"/>
        <v>250</v>
      </c>
      <c r="T17" s="4"/>
      <c r="U17" s="4">
        <f t="shared" si="8"/>
        <v>250</v>
      </c>
      <c r="V17" s="4">
        <f t="shared" si="9"/>
        <v>130</v>
      </c>
      <c r="W17" s="4">
        <v>120</v>
      </c>
      <c r="X17" s="4">
        <v>250</v>
      </c>
      <c r="Y17" s="10"/>
      <c r="Z17" s="10"/>
      <c r="AA17" s="10">
        <f t="shared" si="10"/>
        <v>14.602803738317759</v>
      </c>
      <c r="AB17" s="10">
        <f t="shared" si="6"/>
        <v>8.7616822429906556</v>
      </c>
      <c r="AC17" s="10">
        <v>33.4</v>
      </c>
      <c r="AD17" s="10">
        <v>55</v>
      </c>
      <c r="AE17" s="10">
        <v>52.6</v>
      </c>
      <c r="AF17" s="10">
        <v>39</v>
      </c>
      <c r="AG17" s="10">
        <v>47.2</v>
      </c>
      <c r="AH17" s="10">
        <v>46.6</v>
      </c>
      <c r="AI17" s="10">
        <v>57.4</v>
      </c>
      <c r="AJ17" s="10">
        <v>61.4</v>
      </c>
      <c r="AK17" s="10"/>
      <c r="AL17" s="10">
        <f t="shared" si="11"/>
        <v>15.6</v>
      </c>
      <c r="AM17" s="10">
        <f t="shared" si="12"/>
        <v>14.399999999999999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</row>
    <row r="18" spans="1:55" x14ac:dyDescent="0.25">
      <c r="A18" s="10" t="s">
        <v>51</v>
      </c>
      <c r="B18" s="10" t="s">
        <v>37</v>
      </c>
      <c r="C18" s="10">
        <v>3</v>
      </c>
      <c r="D18" s="10"/>
      <c r="E18" s="10">
        <v>-5</v>
      </c>
      <c r="F18" s="10"/>
      <c r="G18" s="7">
        <v>0.25</v>
      </c>
      <c r="H18" s="10">
        <v>120</v>
      </c>
      <c r="I18" s="10" t="s">
        <v>38</v>
      </c>
      <c r="J18" s="10"/>
      <c r="K18" s="10"/>
      <c r="L18" s="10">
        <f t="shared" si="3"/>
        <v>-5</v>
      </c>
      <c r="M18" s="10">
        <f t="shared" si="4"/>
        <v>-5</v>
      </c>
      <c r="N18" s="10"/>
      <c r="O18" s="10">
        <v>180</v>
      </c>
      <c r="P18" s="10">
        <v>120</v>
      </c>
      <c r="Q18" s="10">
        <f t="shared" si="5"/>
        <v>-1</v>
      </c>
      <c r="R18" s="4"/>
      <c r="S18" s="4">
        <f t="shared" si="14"/>
        <v>100</v>
      </c>
      <c r="T18" s="4"/>
      <c r="U18" s="4">
        <f t="shared" si="8"/>
        <v>100</v>
      </c>
      <c r="V18" s="4">
        <f t="shared" si="9"/>
        <v>50</v>
      </c>
      <c r="W18" s="4">
        <v>50</v>
      </c>
      <c r="X18" s="4">
        <v>100</v>
      </c>
      <c r="Y18" s="10"/>
      <c r="Z18" s="10"/>
      <c r="AA18" s="10">
        <f t="shared" si="10"/>
        <v>-400</v>
      </c>
      <c r="AB18" s="10">
        <f t="shared" si="6"/>
        <v>-300</v>
      </c>
      <c r="AC18" s="10">
        <v>0.8</v>
      </c>
      <c r="AD18" s="10">
        <v>61.8</v>
      </c>
      <c r="AE18" s="10">
        <v>57.6</v>
      </c>
      <c r="AF18" s="10">
        <v>25.6</v>
      </c>
      <c r="AG18" s="10">
        <v>46.2</v>
      </c>
      <c r="AH18" s="10">
        <v>73</v>
      </c>
      <c r="AI18" s="10">
        <v>50.6</v>
      </c>
      <c r="AJ18" s="10">
        <v>56.8</v>
      </c>
      <c r="AK18" s="11" t="s">
        <v>52</v>
      </c>
      <c r="AL18" s="10">
        <f t="shared" si="11"/>
        <v>12.5</v>
      </c>
      <c r="AM18" s="10">
        <f t="shared" si="12"/>
        <v>12.5</v>
      </c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</row>
    <row r="19" spans="1:55" x14ac:dyDescent="0.25">
      <c r="A19" s="10" t="s">
        <v>53</v>
      </c>
      <c r="B19" s="10" t="s">
        <v>40</v>
      </c>
      <c r="C19" s="10">
        <v>24.9</v>
      </c>
      <c r="D19" s="10">
        <v>57.502000000000002</v>
      </c>
      <c r="E19" s="10">
        <v>11.028</v>
      </c>
      <c r="F19" s="10">
        <v>50.866</v>
      </c>
      <c r="G19" s="7">
        <v>1</v>
      </c>
      <c r="H19" s="10">
        <v>120</v>
      </c>
      <c r="I19" s="10" t="s">
        <v>38</v>
      </c>
      <c r="J19" s="10"/>
      <c r="K19" s="10">
        <v>11.2</v>
      </c>
      <c r="L19" s="10">
        <f t="shared" si="3"/>
        <v>-0.17199999999999882</v>
      </c>
      <c r="M19" s="10">
        <f t="shared" si="4"/>
        <v>11.028</v>
      </c>
      <c r="N19" s="10"/>
      <c r="O19" s="10">
        <v>0</v>
      </c>
      <c r="P19" s="10"/>
      <c r="Q19" s="10">
        <f t="shared" si="5"/>
        <v>2.2056</v>
      </c>
      <c r="R19" s="4"/>
      <c r="S19" s="4">
        <f t="shared" si="7"/>
        <v>0</v>
      </c>
      <c r="T19" s="4"/>
      <c r="U19" s="4">
        <f t="shared" si="8"/>
        <v>0</v>
      </c>
      <c r="V19" s="4">
        <f t="shared" si="9"/>
        <v>0</v>
      </c>
      <c r="W19" s="4"/>
      <c r="X19" s="4"/>
      <c r="Y19" s="10"/>
      <c r="Z19" s="10"/>
      <c r="AA19" s="10">
        <f t="shared" si="10"/>
        <v>23.062205295611172</v>
      </c>
      <c r="AB19" s="10">
        <f t="shared" si="6"/>
        <v>23.062205295611172</v>
      </c>
      <c r="AC19" s="10">
        <v>3.289000000000001</v>
      </c>
      <c r="AD19" s="10">
        <v>5.5347999999999997</v>
      </c>
      <c r="AE19" s="10">
        <v>4.4236000000000004</v>
      </c>
      <c r="AF19" s="10">
        <v>4.6758000000000006</v>
      </c>
      <c r="AG19" s="10">
        <v>4.3420000000000014</v>
      </c>
      <c r="AH19" s="10">
        <v>4.1029999999999998</v>
      </c>
      <c r="AI19" s="10">
        <v>4.3810000000000002</v>
      </c>
      <c r="AJ19" s="10">
        <v>4.2796000000000003</v>
      </c>
      <c r="AK19" s="10"/>
      <c r="AL19" s="10">
        <f t="shared" si="11"/>
        <v>0</v>
      </c>
      <c r="AM19" s="10">
        <f t="shared" si="12"/>
        <v>0</v>
      </c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</row>
    <row r="20" spans="1:55" x14ac:dyDescent="0.25">
      <c r="A20" s="10" t="s">
        <v>54</v>
      </c>
      <c r="B20" s="10" t="s">
        <v>37</v>
      </c>
      <c r="C20" s="10">
        <v>231</v>
      </c>
      <c r="D20" s="10">
        <v>215</v>
      </c>
      <c r="E20" s="10">
        <v>277</v>
      </c>
      <c r="F20" s="10">
        <v>98</v>
      </c>
      <c r="G20" s="7">
        <v>0.4</v>
      </c>
      <c r="H20" s="10">
        <v>45</v>
      </c>
      <c r="I20" s="10" t="s">
        <v>38</v>
      </c>
      <c r="J20" s="10"/>
      <c r="K20" s="10">
        <v>283</v>
      </c>
      <c r="L20" s="10">
        <f t="shared" si="3"/>
        <v>-6</v>
      </c>
      <c r="M20" s="10">
        <f t="shared" si="4"/>
        <v>277</v>
      </c>
      <c r="N20" s="10"/>
      <c r="O20" s="10">
        <v>0</v>
      </c>
      <c r="P20" s="10"/>
      <c r="Q20" s="10">
        <f t="shared" si="5"/>
        <v>55.4</v>
      </c>
      <c r="R20" s="4">
        <f>11*Q20-P20-O20-F20</f>
        <v>511.4</v>
      </c>
      <c r="S20" s="4">
        <f t="shared" ref="S20:S22" si="15">X20</f>
        <v>400</v>
      </c>
      <c r="T20" s="4"/>
      <c r="U20" s="4">
        <f t="shared" si="8"/>
        <v>400</v>
      </c>
      <c r="V20" s="4">
        <f t="shared" si="9"/>
        <v>200</v>
      </c>
      <c r="W20" s="4">
        <v>200</v>
      </c>
      <c r="X20" s="4">
        <v>400</v>
      </c>
      <c r="Y20" s="10"/>
      <c r="Z20" s="10"/>
      <c r="AA20" s="10">
        <f t="shared" si="10"/>
        <v>8.9891696750902526</v>
      </c>
      <c r="AB20" s="10">
        <f t="shared" si="6"/>
        <v>1.7689530685920578</v>
      </c>
      <c r="AC20" s="10">
        <v>21</v>
      </c>
      <c r="AD20" s="10">
        <v>39.6</v>
      </c>
      <c r="AE20" s="10">
        <v>38.6</v>
      </c>
      <c r="AF20" s="10">
        <v>26.4</v>
      </c>
      <c r="AG20" s="10">
        <v>42.2</v>
      </c>
      <c r="AH20" s="10">
        <v>41</v>
      </c>
      <c r="AI20" s="10">
        <v>32.200000000000003</v>
      </c>
      <c r="AJ20" s="10">
        <v>47.2</v>
      </c>
      <c r="AK20" s="10"/>
      <c r="AL20" s="10">
        <f t="shared" si="11"/>
        <v>80</v>
      </c>
      <c r="AM20" s="10">
        <f t="shared" si="12"/>
        <v>80</v>
      </c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</row>
    <row r="21" spans="1:55" x14ac:dyDescent="0.25">
      <c r="A21" s="10" t="s">
        <v>55</v>
      </c>
      <c r="B21" s="10" t="s">
        <v>40</v>
      </c>
      <c r="C21" s="10">
        <v>270.64299999999997</v>
      </c>
      <c r="D21" s="10">
        <v>172.83699999999999</v>
      </c>
      <c r="E21" s="10">
        <v>155.93600000000001</v>
      </c>
      <c r="F21" s="10">
        <v>152.46199999999999</v>
      </c>
      <c r="G21" s="7">
        <v>1</v>
      </c>
      <c r="H21" s="10">
        <v>60</v>
      </c>
      <c r="I21" s="10" t="s">
        <v>38</v>
      </c>
      <c r="J21" s="10"/>
      <c r="K21" s="10">
        <v>159.19999999999999</v>
      </c>
      <c r="L21" s="10">
        <f t="shared" si="3"/>
        <v>-3.2639999999999816</v>
      </c>
      <c r="M21" s="10">
        <f t="shared" si="4"/>
        <v>155.93600000000001</v>
      </c>
      <c r="N21" s="10"/>
      <c r="O21" s="10">
        <v>46</v>
      </c>
      <c r="P21" s="10">
        <v>80</v>
      </c>
      <c r="Q21" s="10">
        <f t="shared" si="5"/>
        <v>31.187200000000001</v>
      </c>
      <c r="R21" s="4">
        <f t="shared" si="13"/>
        <v>158.15880000000004</v>
      </c>
      <c r="S21" s="4">
        <f t="shared" si="15"/>
        <v>250</v>
      </c>
      <c r="T21" s="4"/>
      <c r="U21" s="4">
        <f t="shared" si="8"/>
        <v>250</v>
      </c>
      <c r="V21" s="4">
        <f t="shared" si="9"/>
        <v>130</v>
      </c>
      <c r="W21" s="4">
        <v>120</v>
      </c>
      <c r="X21" s="4">
        <v>250</v>
      </c>
      <c r="Y21" s="10"/>
      <c r="Z21" s="10"/>
      <c r="AA21" s="10">
        <f t="shared" si="10"/>
        <v>16.944836343115124</v>
      </c>
      <c r="AB21" s="10">
        <f t="shared" si="6"/>
        <v>8.9287271701210749</v>
      </c>
      <c r="AC21" s="10">
        <v>26.022200000000002</v>
      </c>
      <c r="AD21" s="10">
        <v>32.539200000000001</v>
      </c>
      <c r="AE21" s="10">
        <v>35.8842</v>
      </c>
      <c r="AF21" s="10">
        <v>37.9206</v>
      </c>
      <c r="AG21" s="10">
        <v>20.790800000000001</v>
      </c>
      <c r="AH21" s="10">
        <v>37.610399999999998</v>
      </c>
      <c r="AI21" s="10">
        <v>35.351999999999997</v>
      </c>
      <c r="AJ21" s="10">
        <v>33.281599999999997</v>
      </c>
      <c r="AK21" s="10"/>
      <c r="AL21" s="10">
        <f t="shared" si="11"/>
        <v>130</v>
      </c>
      <c r="AM21" s="10">
        <f t="shared" si="12"/>
        <v>120</v>
      </c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</row>
    <row r="22" spans="1:55" x14ac:dyDescent="0.25">
      <c r="A22" s="10" t="s">
        <v>56</v>
      </c>
      <c r="B22" s="10" t="s">
        <v>37</v>
      </c>
      <c r="C22" s="10">
        <v>183</v>
      </c>
      <c r="D22" s="10">
        <v>210</v>
      </c>
      <c r="E22" s="10">
        <v>170</v>
      </c>
      <c r="F22" s="10">
        <v>121</v>
      </c>
      <c r="G22" s="7">
        <v>0.22</v>
      </c>
      <c r="H22" s="10">
        <v>120</v>
      </c>
      <c r="I22" s="10" t="s">
        <v>38</v>
      </c>
      <c r="J22" s="10"/>
      <c r="K22" s="10">
        <v>171.5</v>
      </c>
      <c r="L22" s="10">
        <f t="shared" si="3"/>
        <v>-1.5</v>
      </c>
      <c r="M22" s="10">
        <f t="shared" si="4"/>
        <v>170</v>
      </c>
      <c r="N22" s="10"/>
      <c r="O22" s="10">
        <v>60</v>
      </c>
      <c r="P22" s="10">
        <v>90</v>
      </c>
      <c r="Q22" s="10">
        <f t="shared" si="5"/>
        <v>34</v>
      </c>
      <c r="R22" s="4">
        <f t="shared" si="13"/>
        <v>205</v>
      </c>
      <c r="S22" s="4">
        <f t="shared" si="15"/>
        <v>200</v>
      </c>
      <c r="T22" s="4"/>
      <c r="U22" s="4">
        <f t="shared" si="8"/>
        <v>200</v>
      </c>
      <c r="V22" s="4">
        <f t="shared" si="9"/>
        <v>100</v>
      </c>
      <c r="W22" s="4">
        <v>100</v>
      </c>
      <c r="X22" s="4">
        <v>200</v>
      </c>
      <c r="Y22" s="10"/>
      <c r="Z22" s="10"/>
      <c r="AA22" s="10">
        <f t="shared" si="10"/>
        <v>13.852941176470589</v>
      </c>
      <c r="AB22" s="10">
        <f t="shared" si="6"/>
        <v>7.9705882352941178</v>
      </c>
      <c r="AC22" s="10">
        <v>27.4</v>
      </c>
      <c r="AD22" s="10">
        <v>30.2</v>
      </c>
      <c r="AE22" s="10">
        <v>29.8</v>
      </c>
      <c r="AF22" s="10">
        <v>19.8</v>
      </c>
      <c r="AG22" s="10">
        <v>26.6</v>
      </c>
      <c r="AH22" s="10">
        <v>21.8</v>
      </c>
      <c r="AI22" s="10">
        <v>22.6</v>
      </c>
      <c r="AJ22" s="10">
        <v>27.6</v>
      </c>
      <c r="AK22" s="10"/>
      <c r="AL22" s="10">
        <f t="shared" si="11"/>
        <v>22</v>
      </c>
      <c r="AM22" s="10">
        <f t="shared" si="12"/>
        <v>22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</row>
    <row r="23" spans="1:55" x14ac:dyDescent="0.25">
      <c r="A23" s="10" t="s">
        <v>57</v>
      </c>
      <c r="B23" s="10" t="s">
        <v>37</v>
      </c>
      <c r="C23" s="10"/>
      <c r="D23" s="10">
        <v>50</v>
      </c>
      <c r="E23" s="10"/>
      <c r="F23" s="10">
        <v>49</v>
      </c>
      <c r="G23" s="7">
        <v>0.15</v>
      </c>
      <c r="H23" s="10">
        <v>45</v>
      </c>
      <c r="I23" s="10" t="s">
        <v>38</v>
      </c>
      <c r="J23" s="10"/>
      <c r="K23" s="10"/>
      <c r="L23" s="10">
        <f t="shared" si="3"/>
        <v>0</v>
      </c>
      <c r="M23" s="10">
        <f t="shared" si="4"/>
        <v>0</v>
      </c>
      <c r="N23" s="10"/>
      <c r="O23" s="10">
        <v>50</v>
      </c>
      <c r="P23" s="10">
        <v>50</v>
      </c>
      <c r="Q23" s="10">
        <f t="shared" si="5"/>
        <v>0</v>
      </c>
      <c r="R23" s="4"/>
      <c r="S23" s="4">
        <f t="shared" si="7"/>
        <v>0</v>
      </c>
      <c r="T23" s="4"/>
      <c r="U23" s="4">
        <f t="shared" si="8"/>
        <v>0</v>
      </c>
      <c r="V23" s="4">
        <f t="shared" si="9"/>
        <v>0</v>
      </c>
      <c r="W23" s="4"/>
      <c r="X23" s="4"/>
      <c r="Y23" s="10"/>
      <c r="Z23" s="10"/>
      <c r="AA23" s="10" t="e">
        <f t="shared" si="10"/>
        <v>#DIV/0!</v>
      </c>
      <c r="AB23" s="10" t="e">
        <f t="shared" si="6"/>
        <v>#DIV/0!</v>
      </c>
      <c r="AC23" s="10">
        <v>0</v>
      </c>
      <c r="AD23" s="10">
        <v>3.6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 t="s">
        <v>58</v>
      </c>
      <c r="AL23" s="10">
        <f t="shared" si="11"/>
        <v>0</v>
      </c>
      <c r="AM23" s="10">
        <f t="shared" si="12"/>
        <v>0</v>
      </c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</row>
    <row r="24" spans="1:55" x14ac:dyDescent="0.25">
      <c r="A24" s="10" t="s">
        <v>59</v>
      </c>
      <c r="B24" s="10" t="s">
        <v>40</v>
      </c>
      <c r="C24" s="10"/>
      <c r="D24" s="10">
        <v>80.47</v>
      </c>
      <c r="E24" s="10"/>
      <c r="F24" s="10">
        <v>79.132999999999996</v>
      </c>
      <c r="G24" s="7">
        <v>1</v>
      </c>
      <c r="H24" s="10">
        <v>60</v>
      </c>
      <c r="I24" s="10" t="s">
        <v>38</v>
      </c>
      <c r="J24" s="10"/>
      <c r="K24" s="10"/>
      <c r="L24" s="10">
        <f t="shared" si="3"/>
        <v>0</v>
      </c>
      <c r="M24" s="10">
        <f t="shared" si="4"/>
        <v>0</v>
      </c>
      <c r="N24" s="10"/>
      <c r="O24" s="10">
        <v>70</v>
      </c>
      <c r="P24" s="10">
        <v>80</v>
      </c>
      <c r="Q24" s="10">
        <f t="shared" si="5"/>
        <v>0</v>
      </c>
      <c r="R24" s="4"/>
      <c r="S24" s="4">
        <f t="shared" si="7"/>
        <v>0</v>
      </c>
      <c r="T24" s="4"/>
      <c r="U24" s="4">
        <f t="shared" si="8"/>
        <v>0</v>
      </c>
      <c r="V24" s="4">
        <f t="shared" si="9"/>
        <v>0</v>
      </c>
      <c r="W24" s="4"/>
      <c r="X24" s="4"/>
      <c r="Y24" s="10"/>
      <c r="Z24" s="10"/>
      <c r="AA24" s="10" t="e">
        <f t="shared" si="10"/>
        <v>#DIV/0!</v>
      </c>
      <c r="AB24" s="10" t="e">
        <f t="shared" si="6"/>
        <v>#DIV/0!</v>
      </c>
      <c r="AC24" s="10">
        <v>0</v>
      </c>
      <c r="AD24" s="10">
        <v>9.6677999999999997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 t="s">
        <v>58</v>
      </c>
      <c r="AL24" s="10">
        <f t="shared" si="11"/>
        <v>0</v>
      </c>
      <c r="AM24" s="10">
        <f t="shared" si="12"/>
        <v>0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</row>
    <row r="25" spans="1:55" x14ac:dyDescent="0.25">
      <c r="A25" s="10" t="s">
        <v>60</v>
      </c>
      <c r="B25" s="10" t="s">
        <v>37</v>
      </c>
      <c r="C25" s="10">
        <v>181</v>
      </c>
      <c r="D25" s="10">
        <v>185</v>
      </c>
      <c r="E25" s="10">
        <v>113</v>
      </c>
      <c r="F25" s="10">
        <v>135</v>
      </c>
      <c r="G25" s="7">
        <v>0.09</v>
      </c>
      <c r="H25" s="10">
        <v>60</v>
      </c>
      <c r="I25" s="10" t="s">
        <v>38</v>
      </c>
      <c r="J25" s="10"/>
      <c r="K25" s="10">
        <v>118</v>
      </c>
      <c r="L25" s="10">
        <f t="shared" si="3"/>
        <v>-5</v>
      </c>
      <c r="M25" s="10">
        <f t="shared" si="4"/>
        <v>73</v>
      </c>
      <c r="N25" s="10">
        <v>40</v>
      </c>
      <c r="O25" s="10">
        <v>0</v>
      </c>
      <c r="P25" s="10">
        <v>80</v>
      </c>
      <c r="Q25" s="10">
        <f t="shared" si="5"/>
        <v>14.6</v>
      </c>
      <c r="R25" s="4"/>
      <c r="S25" s="4">
        <f t="shared" ref="S25:S34" si="16">X25</f>
        <v>60</v>
      </c>
      <c r="T25" s="4"/>
      <c r="U25" s="4">
        <f t="shared" si="8"/>
        <v>60</v>
      </c>
      <c r="V25" s="4">
        <f t="shared" si="9"/>
        <v>0</v>
      </c>
      <c r="W25" s="4">
        <v>60</v>
      </c>
      <c r="X25" s="4">
        <v>60</v>
      </c>
      <c r="Y25" s="10"/>
      <c r="Z25" s="10"/>
      <c r="AA25" s="10">
        <f t="shared" si="10"/>
        <v>18.835616438356166</v>
      </c>
      <c r="AB25" s="10">
        <f t="shared" si="6"/>
        <v>14.726027397260275</v>
      </c>
      <c r="AC25" s="10">
        <v>14</v>
      </c>
      <c r="AD25" s="10">
        <v>16.399999999999999</v>
      </c>
      <c r="AE25" s="10">
        <v>23.4</v>
      </c>
      <c r="AF25" s="10">
        <v>16.8</v>
      </c>
      <c r="AG25" s="10">
        <v>5.6</v>
      </c>
      <c r="AH25" s="10">
        <v>8.8000000000000007</v>
      </c>
      <c r="AI25" s="10">
        <v>27.2</v>
      </c>
      <c r="AJ25" s="10">
        <v>9.6</v>
      </c>
      <c r="AK25" s="10"/>
      <c r="AL25" s="10">
        <f t="shared" si="11"/>
        <v>0</v>
      </c>
      <c r="AM25" s="10">
        <f t="shared" si="12"/>
        <v>5.3999999999999995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</row>
    <row r="26" spans="1:55" x14ac:dyDescent="0.25">
      <c r="A26" s="10" t="s">
        <v>61</v>
      </c>
      <c r="B26" s="10" t="s">
        <v>37</v>
      </c>
      <c r="C26" s="10">
        <v>63</v>
      </c>
      <c r="D26" s="10">
        <v>55</v>
      </c>
      <c r="E26" s="10">
        <v>56</v>
      </c>
      <c r="F26" s="10">
        <v>48</v>
      </c>
      <c r="G26" s="7">
        <v>0.09</v>
      </c>
      <c r="H26" s="10">
        <v>45</v>
      </c>
      <c r="I26" s="10" t="s">
        <v>38</v>
      </c>
      <c r="J26" s="10"/>
      <c r="K26" s="10">
        <v>61</v>
      </c>
      <c r="L26" s="10">
        <f t="shared" si="3"/>
        <v>-5</v>
      </c>
      <c r="M26" s="10">
        <f t="shared" si="4"/>
        <v>56</v>
      </c>
      <c r="N26" s="10"/>
      <c r="O26" s="10">
        <v>20</v>
      </c>
      <c r="P26" s="10">
        <v>30</v>
      </c>
      <c r="Q26" s="10">
        <f t="shared" si="5"/>
        <v>11.2</v>
      </c>
      <c r="R26" s="4">
        <f t="shared" si="13"/>
        <v>58.799999999999983</v>
      </c>
      <c r="S26" s="4">
        <f t="shared" si="16"/>
        <v>80</v>
      </c>
      <c r="T26" s="4"/>
      <c r="U26" s="4">
        <f t="shared" si="8"/>
        <v>80</v>
      </c>
      <c r="V26" s="4">
        <f t="shared" si="9"/>
        <v>40</v>
      </c>
      <c r="W26" s="4">
        <v>40</v>
      </c>
      <c r="X26" s="4">
        <v>80</v>
      </c>
      <c r="Y26" s="10"/>
      <c r="Z26" s="10"/>
      <c r="AA26" s="10">
        <f t="shared" si="10"/>
        <v>15.892857142857144</v>
      </c>
      <c r="AB26" s="10">
        <f t="shared" si="6"/>
        <v>8.75</v>
      </c>
      <c r="AC26" s="10">
        <v>10.199999999999999</v>
      </c>
      <c r="AD26" s="10">
        <v>11.4</v>
      </c>
      <c r="AE26" s="10">
        <v>9.1999999999999993</v>
      </c>
      <c r="AF26" s="10">
        <v>10.6</v>
      </c>
      <c r="AG26" s="10">
        <v>15.8</v>
      </c>
      <c r="AH26" s="10">
        <v>10.4</v>
      </c>
      <c r="AI26" s="10">
        <v>19.2</v>
      </c>
      <c r="AJ26" s="10">
        <v>24.2</v>
      </c>
      <c r="AK26" s="10"/>
      <c r="AL26" s="10">
        <f t="shared" si="11"/>
        <v>3.5999999999999996</v>
      </c>
      <c r="AM26" s="10">
        <f t="shared" si="12"/>
        <v>3.5999999999999996</v>
      </c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</row>
    <row r="27" spans="1:55" x14ac:dyDescent="0.25">
      <c r="A27" s="10" t="s">
        <v>62</v>
      </c>
      <c r="B27" s="10" t="s">
        <v>37</v>
      </c>
      <c r="C27" s="10">
        <v>234</v>
      </c>
      <c r="D27" s="10">
        <v>236</v>
      </c>
      <c r="E27" s="10">
        <v>121</v>
      </c>
      <c r="F27" s="10">
        <v>179</v>
      </c>
      <c r="G27" s="7">
        <v>0.4</v>
      </c>
      <c r="H27" s="10" t="e">
        <v>#N/A</v>
      </c>
      <c r="I27" s="10" t="s">
        <v>38</v>
      </c>
      <c r="J27" s="10"/>
      <c r="K27" s="10">
        <v>124</v>
      </c>
      <c r="L27" s="10">
        <f t="shared" si="3"/>
        <v>-3</v>
      </c>
      <c r="M27" s="10">
        <f t="shared" si="4"/>
        <v>121</v>
      </c>
      <c r="N27" s="10"/>
      <c r="O27" s="10">
        <v>0</v>
      </c>
      <c r="P27" s="10">
        <v>100</v>
      </c>
      <c r="Q27" s="10">
        <f t="shared" si="5"/>
        <v>24.2</v>
      </c>
      <c r="R27" s="4">
        <f t="shared" si="13"/>
        <v>59.800000000000011</v>
      </c>
      <c r="S27" s="4">
        <f t="shared" si="16"/>
        <v>100</v>
      </c>
      <c r="T27" s="4"/>
      <c r="U27" s="4">
        <f t="shared" si="8"/>
        <v>100</v>
      </c>
      <c r="V27" s="4">
        <f t="shared" si="9"/>
        <v>50</v>
      </c>
      <c r="W27" s="4">
        <v>50</v>
      </c>
      <c r="X27" s="4">
        <v>100</v>
      </c>
      <c r="Y27" s="10"/>
      <c r="Z27" s="10"/>
      <c r="AA27" s="10">
        <f t="shared" si="10"/>
        <v>15.661157024793388</v>
      </c>
      <c r="AB27" s="10">
        <f t="shared" si="6"/>
        <v>11.528925619834711</v>
      </c>
      <c r="AC27" s="10">
        <v>25.4</v>
      </c>
      <c r="AD27" s="10">
        <v>22</v>
      </c>
      <c r="AE27" s="10">
        <v>34</v>
      </c>
      <c r="AF27" s="10">
        <v>31</v>
      </c>
      <c r="AG27" s="10">
        <v>27.4</v>
      </c>
      <c r="AH27" s="10">
        <v>25.2</v>
      </c>
      <c r="AI27" s="10">
        <v>29.6</v>
      </c>
      <c r="AJ27" s="10">
        <v>32.4</v>
      </c>
      <c r="AK27" s="10"/>
      <c r="AL27" s="10">
        <f t="shared" si="11"/>
        <v>20</v>
      </c>
      <c r="AM27" s="10">
        <f t="shared" si="12"/>
        <v>20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</row>
    <row r="28" spans="1:55" x14ac:dyDescent="0.25">
      <c r="A28" s="10" t="s">
        <v>63</v>
      </c>
      <c r="B28" s="10" t="s">
        <v>37</v>
      </c>
      <c r="C28" s="10">
        <v>200</v>
      </c>
      <c r="D28" s="10">
        <v>63</v>
      </c>
      <c r="E28" s="10">
        <v>58</v>
      </c>
      <c r="F28" s="10">
        <v>132</v>
      </c>
      <c r="G28" s="7">
        <v>0.15</v>
      </c>
      <c r="H28" s="10">
        <v>45</v>
      </c>
      <c r="I28" s="10" t="s">
        <v>38</v>
      </c>
      <c r="J28" s="10"/>
      <c r="K28" s="10">
        <v>66</v>
      </c>
      <c r="L28" s="10">
        <f t="shared" si="3"/>
        <v>-8</v>
      </c>
      <c r="M28" s="10">
        <f t="shared" si="4"/>
        <v>58</v>
      </c>
      <c r="N28" s="10"/>
      <c r="O28" s="10">
        <v>0</v>
      </c>
      <c r="P28" s="10"/>
      <c r="Q28" s="10">
        <f t="shared" si="5"/>
        <v>11.6</v>
      </c>
      <c r="R28" s="4">
        <f t="shared" si="13"/>
        <v>30.400000000000006</v>
      </c>
      <c r="S28" s="4">
        <f t="shared" si="16"/>
        <v>30</v>
      </c>
      <c r="T28" s="4"/>
      <c r="U28" s="4">
        <f t="shared" si="8"/>
        <v>30</v>
      </c>
      <c r="V28" s="4">
        <f t="shared" si="9"/>
        <v>0</v>
      </c>
      <c r="W28" s="4">
        <v>30</v>
      </c>
      <c r="X28" s="4">
        <v>30</v>
      </c>
      <c r="Y28" s="10"/>
      <c r="Z28" s="10"/>
      <c r="AA28" s="10">
        <f t="shared" si="10"/>
        <v>13.965517241379311</v>
      </c>
      <c r="AB28" s="10">
        <f t="shared" si="6"/>
        <v>11.379310344827587</v>
      </c>
      <c r="AC28" s="10">
        <v>2.8</v>
      </c>
      <c r="AD28" s="10">
        <v>4.8</v>
      </c>
      <c r="AE28" s="10">
        <v>17.399999999999999</v>
      </c>
      <c r="AF28" s="10">
        <v>8.4</v>
      </c>
      <c r="AG28" s="10">
        <v>10.8</v>
      </c>
      <c r="AH28" s="10">
        <v>9.8000000000000007</v>
      </c>
      <c r="AI28" s="10">
        <v>14</v>
      </c>
      <c r="AJ28" s="10">
        <v>12.2</v>
      </c>
      <c r="AK28" s="10"/>
      <c r="AL28" s="10">
        <f t="shared" si="11"/>
        <v>0</v>
      </c>
      <c r="AM28" s="10">
        <f t="shared" si="12"/>
        <v>4.5</v>
      </c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</row>
    <row r="29" spans="1:55" x14ac:dyDescent="0.25">
      <c r="A29" s="10" t="s">
        <v>64</v>
      </c>
      <c r="B29" s="10" t="s">
        <v>40</v>
      </c>
      <c r="C29" s="10">
        <v>295.53300000000002</v>
      </c>
      <c r="D29" s="10">
        <v>365.91899999999998</v>
      </c>
      <c r="E29" s="10">
        <v>357.67899999999997</v>
      </c>
      <c r="F29" s="10">
        <v>181.14400000000001</v>
      </c>
      <c r="G29" s="7">
        <v>1</v>
      </c>
      <c r="H29" s="10">
        <v>45</v>
      </c>
      <c r="I29" s="10" t="s">
        <v>38</v>
      </c>
      <c r="J29" s="10"/>
      <c r="K29" s="10">
        <v>345</v>
      </c>
      <c r="L29" s="10">
        <f t="shared" si="3"/>
        <v>12.678999999999974</v>
      </c>
      <c r="M29" s="10">
        <f t="shared" si="4"/>
        <v>357.67899999999997</v>
      </c>
      <c r="N29" s="10"/>
      <c r="O29" s="10">
        <v>40</v>
      </c>
      <c r="P29" s="10">
        <v>160</v>
      </c>
      <c r="Q29" s="10">
        <f t="shared" si="5"/>
        <v>71.535799999999995</v>
      </c>
      <c r="R29" s="4">
        <f t="shared" si="13"/>
        <v>620.35719999999992</v>
      </c>
      <c r="S29" s="4">
        <f t="shared" si="16"/>
        <v>500</v>
      </c>
      <c r="T29" s="4"/>
      <c r="U29" s="4">
        <f t="shared" si="8"/>
        <v>500</v>
      </c>
      <c r="V29" s="4">
        <f t="shared" si="9"/>
        <v>250</v>
      </c>
      <c r="W29" s="4">
        <v>250</v>
      </c>
      <c r="X29" s="4">
        <v>500</v>
      </c>
      <c r="Y29" s="10"/>
      <c r="Z29" s="10"/>
      <c r="AA29" s="10">
        <f t="shared" si="10"/>
        <v>12.317524931572724</v>
      </c>
      <c r="AB29" s="10">
        <f t="shared" si="6"/>
        <v>5.3280175800088907</v>
      </c>
      <c r="AC29" s="10">
        <v>49.277199999999993</v>
      </c>
      <c r="AD29" s="10">
        <v>58.217200000000012</v>
      </c>
      <c r="AE29" s="10">
        <v>51.249600000000008</v>
      </c>
      <c r="AF29" s="10">
        <v>53.863799999999991</v>
      </c>
      <c r="AG29" s="10">
        <v>39.744600000000013</v>
      </c>
      <c r="AH29" s="10">
        <v>52.104599999999991</v>
      </c>
      <c r="AI29" s="10">
        <v>60.456800000000001</v>
      </c>
      <c r="AJ29" s="10">
        <v>36.925400000000003</v>
      </c>
      <c r="AK29" s="10"/>
      <c r="AL29" s="10">
        <f t="shared" si="11"/>
        <v>250</v>
      </c>
      <c r="AM29" s="10">
        <f t="shared" si="12"/>
        <v>250</v>
      </c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</row>
    <row r="30" spans="1:55" x14ac:dyDescent="0.25">
      <c r="A30" s="10" t="s">
        <v>65</v>
      </c>
      <c r="B30" s="10" t="s">
        <v>37</v>
      </c>
      <c r="C30" s="10">
        <v>50</v>
      </c>
      <c r="D30" s="10">
        <v>36</v>
      </c>
      <c r="E30" s="10">
        <v>33</v>
      </c>
      <c r="F30" s="10">
        <v>50</v>
      </c>
      <c r="G30" s="7">
        <v>0.4</v>
      </c>
      <c r="H30" s="10" t="e">
        <v>#N/A</v>
      </c>
      <c r="I30" s="10" t="s">
        <v>38</v>
      </c>
      <c r="J30" s="10"/>
      <c r="K30" s="10">
        <v>33</v>
      </c>
      <c r="L30" s="10">
        <f t="shared" si="3"/>
        <v>0</v>
      </c>
      <c r="M30" s="10">
        <f t="shared" si="4"/>
        <v>33</v>
      </c>
      <c r="N30" s="10"/>
      <c r="O30" s="10">
        <v>0</v>
      </c>
      <c r="P30" s="10"/>
      <c r="Q30" s="10">
        <f t="shared" si="5"/>
        <v>6.6</v>
      </c>
      <c r="R30" s="4">
        <f t="shared" si="13"/>
        <v>42.399999999999991</v>
      </c>
      <c r="S30" s="4">
        <f t="shared" si="16"/>
        <v>50</v>
      </c>
      <c r="T30" s="4"/>
      <c r="U30" s="4">
        <f t="shared" si="8"/>
        <v>50</v>
      </c>
      <c r="V30" s="4">
        <f t="shared" si="9"/>
        <v>50</v>
      </c>
      <c r="W30" s="4"/>
      <c r="X30" s="4">
        <v>50</v>
      </c>
      <c r="Y30" s="10"/>
      <c r="Z30" s="10"/>
      <c r="AA30" s="10">
        <f t="shared" si="10"/>
        <v>15.151515151515152</v>
      </c>
      <c r="AB30" s="10">
        <f t="shared" si="6"/>
        <v>7.5757575757575761</v>
      </c>
      <c r="AC30" s="10">
        <v>5</v>
      </c>
      <c r="AD30" s="10">
        <v>6.8</v>
      </c>
      <c r="AE30" s="10">
        <v>5.6</v>
      </c>
      <c r="AF30" s="10">
        <v>7.4</v>
      </c>
      <c r="AG30" s="10">
        <v>1.2</v>
      </c>
      <c r="AH30" s="10">
        <v>5.6</v>
      </c>
      <c r="AI30" s="10">
        <v>8.8000000000000007</v>
      </c>
      <c r="AJ30" s="10">
        <v>7</v>
      </c>
      <c r="AK30" s="10"/>
      <c r="AL30" s="10">
        <f t="shared" si="11"/>
        <v>20</v>
      </c>
      <c r="AM30" s="10">
        <f t="shared" si="12"/>
        <v>0</v>
      </c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</row>
    <row r="31" spans="1:55" x14ac:dyDescent="0.25">
      <c r="A31" s="10" t="s">
        <v>66</v>
      </c>
      <c r="B31" s="10" t="s">
        <v>37</v>
      </c>
      <c r="C31" s="10">
        <v>70</v>
      </c>
      <c r="D31" s="10">
        <v>1</v>
      </c>
      <c r="E31" s="10">
        <v>68</v>
      </c>
      <c r="F31" s="10"/>
      <c r="G31" s="7">
        <v>0.4</v>
      </c>
      <c r="H31" s="10">
        <v>60</v>
      </c>
      <c r="I31" s="10" t="s">
        <v>38</v>
      </c>
      <c r="J31" s="10"/>
      <c r="K31" s="10">
        <v>76</v>
      </c>
      <c r="L31" s="10">
        <f t="shared" si="3"/>
        <v>-8</v>
      </c>
      <c r="M31" s="10">
        <f t="shared" si="4"/>
        <v>68</v>
      </c>
      <c r="N31" s="10"/>
      <c r="O31" s="10">
        <v>30</v>
      </c>
      <c r="P31" s="10"/>
      <c r="Q31" s="10">
        <f t="shared" si="5"/>
        <v>13.6</v>
      </c>
      <c r="R31" s="4">
        <f>11*Q31-P31-O31-F31</f>
        <v>119.6</v>
      </c>
      <c r="S31" s="4">
        <f t="shared" si="16"/>
        <v>50</v>
      </c>
      <c r="T31" s="4"/>
      <c r="U31" s="4">
        <f t="shared" si="8"/>
        <v>50</v>
      </c>
      <c r="V31" s="4">
        <f t="shared" si="9"/>
        <v>50</v>
      </c>
      <c r="W31" s="4"/>
      <c r="X31" s="4">
        <v>50</v>
      </c>
      <c r="Y31" s="10"/>
      <c r="Z31" s="10"/>
      <c r="AA31" s="10">
        <f t="shared" si="10"/>
        <v>5.882352941176471</v>
      </c>
      <c r="AB31" s="10">
        <f t="shared" si="6"/>
        <v>2.2058823529411766</v>
      </c>
      <c r="AC31" s="10">
        <v>6</v>
      </c>
      <c r="AD31" s="10">
        <v>6.4</v>
      </c>
      <c r="AE31" s="10">
        <v>8.4</v>
      </c>
      <c r="AF31" s="10">
        <v>5</v>
      </c>
      <c r="AG31" s="10">
        <v>8.4</v>
      </c>
      <c r="AH31" s="10">
        <v>6</v>
      </c>
      <c r="AI31" s="10">
        <v>4.4000000000000004</v>
      </c>
      <c r="AJ31" s="10">
        <v>12</v>
      </c>
      <c r="AK31" s="10"/>
      <c r="AL31" s="10">
        <f t="shared" si="11"/>
        <v>20</v>
      </c>
      <c r="AM31" s="10">
        <f t="shared" si="12"/>
        <v>0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spans="1:55" x14ac:dyDescent="0.25">
      <c r="A32" s="10" t="s">
        <v>67</v>
      </c>
      <c r="B32" s="10" t="s">
        <v>37</v>
      </c>
      <c r="C32" s="10">
        <v>387</v>
      </c>
      <c r="D32" s="10">
        <v>765</v>
      </c>
      <c r="E32" s="10">
        <v>390</v>
      </c>
      <c r="F32" s="10">
        <v>569</v>
      </c>
      <c r="G32" s="7">
        <v>0.4</v>
      </c>
      <c r="H32" s="10">
        <v>60</v>
      </c>
      <c r="I32" s="10" t="s">
        <v>38</v>
      </c>
      <c r="J32" s="10"/>
      <c r="K32" s="10">
        <v>389</v>
      </c>
      <c r="L32" s="10">
        <f t="shared" si="3"/>
        <v>1</v>
      </c>
      <c r="M32" s="10">
        <f t="shared" si="4"/>
        <v>390</v>
      </c>
      <c r="N32" s="10"/>
      <c r="O32" s="10">
        <v>0</v>
      </c>
      <c r="P32" s="10">
        <v>280</v>
      </c>
      <c r="Q32" s="10">
        <f t="shared" si="5"/>
        <v>78</v>
      </c>
      <c r="R32" s="4">
        <f t="shared" si="13"/>
        <v>243</v>
      </c>
      <c r="S32" s="4">
        <f t="shared" si="16"/>
        <v>300</v>
      </c>
      <c r="T32" s="4"/>
      <c r="U32" s="4">
        <f t="shared" si="8"/>
        <v>300</v>
      </c>
      <c r="V32" s="4">
        <f t="shared" si="9"/>
        <v>150</v>
      </c>
      <c r="W32" s="4">
        <v>150</v>
      </c>
      <c r="X32" s="4">
        <v>300</v>
      </c>
      <c r="Y32" s="10"/>
      <c r="Z32" s="10"/>
      <c r="AA32" s="10">
        <f t="shared" si="10"/>
        <v>14.73076923076923</v>
      </c>
      <c r="AB32" s="10">
        <f t="shared" si="6"/>
        <v>10.884615384615385</v>
      </c>
      <c r="AC32" s="10">
        <v>80</v>
      </c>
      <c r="AD32" s="10">
        <v>97.6</v>
      </c>
      <c r="AE32" s="10">
        <v>87</v>
      </c>
      <c r="AF32" s="10">
        <v>70.2</v>
      </c>
      <c r="AG32" s="10">
        <v>94.8</v>
      </c>
      <c r="AH32" s="10">
        <v>76.2</v>
      </c>
      <c r="AI32" s="10">
        <v>78</v>
      </c>
      <c r="AJ32" s="10">
        <v>85.4</v>
      </c>
      <c r="AK32" s="10"/>
      <c r="AL32" s="10">
        <f t="shared" si="11"/>
        <v>60</v>
      </c>
      <c r="AM32" s="10">
        <f t="shared" si="12"/>
        <v>60</v>
      </c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spans="1:55" x14ac:dyDescent="0.25">
      <c r="A33" s="10" t="s">
        <v>68</v>
      </c>
      <c r="B33" s="10" t="s">
        <v>37</v>
      </c>
      <c r="C33" s="10">
        <v>100</v>
      </c>
      <c r="D33" s="10">
        <v>582</v>
      </c>
      <c r="E33" s="10">
        <v>249</v>
      </c>
      <c r="F33" s="10">
        <v>371</v>
      </c>
      <c r="G33" s="7">
        <v>0.4</v>
      </c>
      <c r="H33" s="10">
        <v>60</v>
      </c>
      <c r="I33" s="10" t="s">
        <v>38</v>
      </c>
      <c r="J33" s="10"/>
      <c r="K33" s="10">
        <v>275</v>
      </c>
      <c r="L33" s="10">
        <f t="shared" si="3"/>
        <v>-26</v>
      </c>
      <c r="M33" s="10">
        <f t="shared" si="4"/>
        <v>249</v>
      </c>
      <c r="N33" s="10"/>
      <c r="O33" s="10">
        <v>0</v>
      </c>
      <c r="P33" s="10"/>
      <c r="Q33" s="10">
        <f t="shared" si="5"/>
        <v>49.8</v>
      </c>
      <c r="R33" s="4">
        <f t="shared" si="13"/>
        <v>326.19999999999993</v>
      </c>
      <c r="S33" s="4">
        <f t="shared" si="16"/>
        <v>300</v>
      </c>
      <c r="T33" s="4">
        <f>$T$1*Q33</f>
        <v>109.56</v>
      </c>
      <c r="U33" s="4">
        <f t="shared" si="8"/>
        <v>410</v>
      </c>
      <c r="V33" s="4">
        <f t="shared" si="9"/>
        <v>160</v>
      </c>
      <c r="W33" s="4">
        <v>250</v>
      </c>
      <c r="X33" s="4">
        <v>300</v>
      </c>
      <c r="Y33" s="10"/>
      <c r="Z33" s="10"/>
      <c r="AA33" s="10">
        <f t="shared" si="10"/>
        <v>15.682730923694781</v>
      </c>
      <c r="AB33" s="10">
        <f t="shared" si="6"/>
        <v>7.4497991967871489</v>
      </c>
      <c r="AC33" s="10">
        <v>24.8</v>
      </c>
      <c r="AD33" s="10">
        <v>62</v>
      </c>
      <c r="AE33" s="10">
        <v>35</v>
      </c>
      <c r="AF33" s="10">
        <v>33.799999999999997</v>
      </c>
      <c r="AG33" s="10">
        <v>41</v>
      </c>
      <c r="AH33" s="10">
        <v>22</v>
      </c>
      <c r="AI33" s="10">
        <v>38.799999999999997</v>
      </c>
      <c r="AJ33" s="10">
        <v>33.4</v>
      </c>
      <c r="AK33" s="10"/>
      <c r="AL33" s="10">
        <f t="shared" si="11"/>
        <v>64</v>
      </c>
      <c r="AM33" s="10">
        <f t="shared" si="12"/>
        <v>100</v>
      </c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spans="1:55" x14ac:dyDescent="0.25">
      <c r="A34" s="10" t="s">
        <v>69</v>
      </c>
      <c r="B34" s="10" t="s">
        <v>37</v>
      </c>
      <c r="C34" s="10">
        <v>390</v>
      </c>
      <c r="D34" s="10">
        <v>825</v>
      </c>
      <c r="E34" s="10">
        <v>396</v>
      </c>
      <c r="F34" s="10">
        <v>578</v>
      </c>
      <c r="G34" s="7">
        <v>0.4</v>
      </c>
      <c r="H34" s="10">
        <v>60</v>
      </c>
      <c r="I34" s="10" t="s">
        <v>38</v>
      </c>
      <c r="J34" s="10"/>
      <c r="K34" s="10">
        <v>396</v>
      </c>
      <c r="L34" s="10">
        <f t="shared" si="3"/>
        <v>0</v>
      </c>
      <c r="M34" s="10">
        <f t="shared" si="4"/>
        <v>396</v>
      </c>
      <c r="N34" s="10"/>
      <c r="O34" s="10">
        <v>240</v>
      </c>
      <c r="P34" s="10">
        <v>240</v>
      </c>
      <c r="Q34" s="10">
        <f t="shared" si="5"/>
        <v>79.2</v>
      </c>
      <c r="R34" s="4">
        <f t="shared" si="13"/>
        <v>50.799999999999955</v>
      </c>
      <c r="S34" s="4">
        <f t="shared" si="16"/>
        <v>100</v>
      </c>
      <c r="T34" s="4"/>
      <c r="U34" s="4">
        <f t="shared" si="8"/>
        <v>100</v>
      </c>
      <c r="V34" s="4">
        <f t="shared" si="9"/>
        <v>50</v>
      </c>
      <c r="W34" s="4">
        <v>50</v>
      </c>
      <c r="X34" s="4">
        <v>100</v>
      </c>
      <c r="Y34" s="10"/>
      <c r="Z34" s="10"/>
      <c r="AA34" s="10">
        <f t="shared" si="10"/>
        <v>14.621212121212121</v>
      </c>
      <c r="AB34" s="10">
        <f t="shared" si="6"/>
        <v>13.358585858585858</v>
      </c>
      <c r="AC34" s="10">
        <v>74</v>
      </c>
      <c r="AD34" s="10">
        <v>99.6</v>
      </c>
      <c r="AE34" s="10">
        <v>81.8</v>
      </c>
      <c r="AF34" s="10">
        <v>67.400000000000006</v>
      </c>
      <c r="AG34" s="10">
        <v>78.599999999999994</v>
      </c>
      <c r="AH34" s="10">
        <v>66.8</v>
      </c>
      <c r="AI34" s="10">
        <v>78.2</v>
      </c>
      <c r="AJ34" s="10">
        <v>91.8</v>
      </c>
      <c r="AK34" s="10"/>
      <c r="AL34" s="10">
        <f t="shared" si="11"/>
        <v>20</v>
      </c>
      <c r="AM34" s="10">
        <f t="shared" si="12"/>
        <v>20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spans="1:55" x14ac:dyDescent="0.25">
      <c r="A35" s="10" t="s">
        <v>70</v>
      </c>
      <c r="B35" s="10" t="s">
        <v>37</v>
      </c>
      <c r="C35" s="10">
        <v>42</v>
      </c>
      <c r="D35" s="10">
        <v>15</v>
      </c>
      <c r="E35" s="10">
        <v>30</v>
      </c>
      <c r="F35" s="10">
        <v>8</v>
      </c>
      <c r="G35" s="7">
        <v>0.1</v>
      </c>
      <c r="H35" s="10">
        <v>45</v>
      </c>
      <c r="I35" s="10" t="s">
        <v>38</v>
      </c>
      <c r="J35" s="10"/>
      <c r="K35" s="10">
        <v>35</v>
      </c>
      <c r="L35" s="10">
        <f t="shared" si="3"/>
        <v>-5</v>
      </c>
      <c r="M35" s="10">
        <f t="shared" si="4"/>
        <v>30</v>
      </c>
      <c r="N35" s="10"/>
      <c r="O35" s="10">
        <v>80</v>
      </c>
      <c r="P35" s="10">
        <v>70</v>
      </c>
      <c r="Q35" s="10">
        <f t="shared" si="5"/>
        <v>6</v>
      </c>
      <c r="R35" s="4"/>
      <c r="S35" s="4">
        <f t="shared" si="7"/>
        <v>0</v>
      </c>
      <c r="T35" s="4"/>
      <c r="U35" s="4">
        <f t="shared" si="8"/>
        <v>0</v>
      </c>
      <c r="V35" s="4">
        <f t="shared" si="9"/>
        <v>0</v>
      </c>
      <c r="W35" s="4"/>
      <c r="X35" s="4"/>
      <c r="Y35" s="10"/>
      <c r="Z35" s="10"/>
      <c r="AA35" s="10">
        <f t="shared" si="10"/>
        <v>26.333333333333332</v>
      </c>
      <c r="AB35" s="10">
        <f t="shared" si="6"/>
        <v>26.333333333333332</v>
      </c>
      <c r="AC35" s="10">
        <v>14.6</v>
      </c>
      <c r="AD35" s="10">
        <v>0.6</v>
      </c>
      <c r="AE35" s="10">
        <v>-1.6</v>
      </c>
      <c r="AF35" s="10">
        <v>14.8</v>
      </c>
      <c r="AG35" s="10">
        <v>26</v>
      </c>
      <c r="AH35" s="10">
        <v>13.8</v>
      </c>
      <c r="AI35" s="10">
        <v>15.8</v>
      </c>
      <c r="AJ35" s="10">
        <v>25.8</v>
      </c>
      <c r="AK35" s="10"/>
      <c r="AL35" s="10">
        <f t="shared" si="11"/>
        <v>0</v>
      </c>
      <c r="AM35" s="10">
        <f t="shared" si="12"/>
        <v>0</v>
      </c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  <row r="36" spans="1:55" x14ac:dyDescent="0.25">
      <c r="A36" s="10" t="s">
        <v>71</v>
      </c>
      <c r="B36" s="10" t="s">
        <v>37</v>
      </c>
      <c r="C36" s="10">
        <v>161</v>
      </c>
      <c r="D36" s="10">
        <v>15</v>
      </c>
      <c r="E36" s="10">
        <v>159</v>
      </c>
      <c r="F36" s="10"/>
      <c r="G36" s="7">
        <v>0.1</v>
      </c>
      <c r="H36" s="10">
        <v>60</v>
      </c>
      <c r="I36" s="10" t="s">
        <v>38</v>
      </c>
      <c r="J36" s="10"/>
      <c r="K36" s="10">
        <v>203</v>
      </c>
      <c r="L36" s="10">
        <f t="shared" si="3"/>
        <v>-44</v>
      </c>
      <c r="M36" s="10">
        <f t="shared" si="4"/>
        <v>159</v>
      </c>
      <c r="N36" s="10"/>
      <c r="O36" s="10">
        <v>207</v>
      </c>
      <c r="P36" s="10">
        <v>180</v>
      </c>
      <c r="Q36" s="10">
        <f t="shared" si="5"/>
        <v>31.8</v>
      </c>
      <c r="R36" s="4">
        <f t="shared" si="13"/>
        <v>58.199999999999989</v>
      </c>
      <c r="S36" s="4">
        <f t="shared" ref="S36:S44" si="17">X36</f>
        <v>50</v>
      </c>
      <c r="T36" s="4"/>
      <c r="U36" s="4">
        <f t="shared" si="8"/>
        <v>50</v>
      </c>
      <c r="V36" s="4">
        <f t="shared" si="9"/>
        <v>0</v>
      </c>
      <c r="W36" s="4">
        <v>50</v>
      </c>
      <c r="X36" s="4">
        <v>50</v>
      </c>
      <c r="Y36" s="10"/>
      <c r="Z36" s="10"/>
      <c r="AA36" s="10">
        <f t="shared" si="10"/>
        <v>13.742138364779874</v>
      </c>
      <c r="AB36" s="10">
        <f t="shared" si="6"/>
        <v>12.169811320754716</v>
      </c>
      <c r="AC36" s="10">
        <v>37.200000000000003</v>
      </c>
      <c r="AD36" s="10">
        <v>19.399999999999999</v>
      </c>
      <c r="AE36" s="10">
        <v>30.2</v>
      </c>
      <c r="AF36" s="10">
        <v>39.4</v>
      </c>
      <c r="AG36" s="10">
        <v>8.4</v>
      </c>
      <c r="AH36" s="10">
        <v>27.4</v>
      </c>
      <c r="AI36" s="10">
        <v>49.4</v>
      </c>
      <c r="AJ36" s="10">
        <v>9.6</v>
      </c>
      <c r="AK36" s="10"/>
      <c r="AL36" s="10">
        <f t="shared" si="11"/>
        <v>0</v>
      </c>
      <c r="AM36" s="10">
        <f t="shared" si="12"/>
        <v>5</v>
      </c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spans="1:55" x14ac:dyDescent="0.25">
      <c r="A37" s="10" t="s">
        <v>72</v>
      </c>
      <c r="B37" s="10" t="s">
        <v>37</v>
      </c>
      <c r="C37" s="10">
        <v>175</v>
      </c>
      <c r="D37" s="10"/>
      <c r="E37" s="10">
        <v>166</v>
      </c>
      <c r="F37" s="10"/>
      <c r="G37" s="7">
        <v>0.1</v>
      </c>
      <c r="H37" s="10">
        <v>60</v>
      </c>
      <c r="I37" s="10" t="s">
        <v>38</v>
      </c>
      <c r="J37" s="10"/>
      <c r="K37" s="10">
        <v>191</v>
      </c>
      <c r="L37" s="10">
        <f t="shared" si="3"/>
        <v>-25</v>
      </c>
      <c r="M37" s="10">
        <f t="shared" si="4"/>
        <v>166</v>
      </c>
      <c r="N37" s="10"/>
      <c r="O37" s="10">
        <v>229</v>
      </c>
      <c r="P37" s="10">
        <v>210</v>
      </c>
      <c r="Q37" s="10">
        <f t="shared" si="5"/>
        <v>33.200000000000003</v>
      </c>
      <c r="R37" s="4">
        <f t="shared" si="13"/>
        <v>25.800000000000068</v>
      </c>
      <c r="S37" s="4">
        <f t="shared" si="17"/>
        <v>50</v>
      </c>
      <c r="T37" s="4"/>
      <c r="U37" s="4">
        <f t="shared" si="8"/>
        <v>50</v>
      </c>
      <c r="V37" s="4">
        <f t="shared" si="9"/>
        <v>0</v>
      </c>
      <c r="W37" s="4">
        <v>50</v>
      </c>
      <c r="X37" s="4">
        <v>50</v>
      </c>
      <c r="Y37" s="10"/>
      <c r="Z37" s="10"/>
      <c r="AA37" s="10">
        <f t="shared" si="10"/>
        <v>14.728915662650602</v>
      </c>
      <c r="AB37" s="10">
        <f t="shared" si="6"/>
        <v>13.222891566265059</v>
      </c>
      <c r="AC37" s="10">
        <v>39.200000000000003</v>
      </c>
      <c r="AD37" s="10">
        <v>15.2</v>
      </c>
      <c r="AE37" s="10">
        <v>20.8</v>
      </c>
      <c r="AF37" s="10">
        <v>38.6</v>
      </c>
      <c r="AG37" s="10">
        <v>13.6</v>
      </c>
      <c r="AH37" s="10">
        <v>25.8</v>
      </c>
      <c r="AI37" s="10">
        <v>40.6</v>
      </c>
      <c r="AJ37" s="10">
        <v>-0.6</v>
      </c>
      <c r="AK37" s="10"/>
      <c r="AL37" s="10">
        <f t="shared" si="11"/>
        <v>0</v>
      </c>
      <c r="AM37" s="10">
        <f t="shared" si="12"/>
        <v>5</v>
      </c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spans="1:55" x14ac:dyDescent="0.25">
      <c r="A38" s="10" t="s">
        <v>73</v>
      </c>
      <c r="B38" s="10" t="s">
        <v>37</v>
      </c>
      <c r="C38" s="10">
        <v>110</v>
      </c>
      <c r="D38" s="10">
        <v>180</v>
      </c>
      <c r="E38" s="10">
        <v>58</v>
      </c>
      <c r="F38" s="10">
        <v>127</v>
      </c>
      <c r="G38" s="7">
        <v>0.1</v>
      </c>
      <c r="H38" s="10">
        <v>45</v>
      </c>
      <c r="I38" s="10" t="s">
        <v>38</v>
      </c>
      <c r="J38" s="10"/>
      <c r="K38" s="10">
        <v>62</v>
      </c>
      <c r="L38" s="10">
        <f t="shared" ref="L38:L69" si="18">E38-K38</f>
        <v>-4</v>
      </c>
      <c r="M38" s="10">
        <f t="shared" ref="M38:M69" si="19">E38-N38</f>
        <v>58</v>
      </c>
      <c r="N38" s="10"/>
      <c r="O38" s="10">
        <v>50</v>
      </c>
      <c r="P38" s="10"/>
      <c r="Q38" s="10">
        <f t="shared" ref="Q38:Q69" si="20">M38/5</f>
        <v>11.6</v>
      </c>
      <c r="R38" s="4"/>
      <c r="S38" s="4">
        <f t="shared" si="17"/>
        <v>50</v>
      </c>
      <c r="T38" s="4"/>
      <c r="U38" s="4">
        <f t="shared" si="8"/>
        <v>50</v>
      </c>
      <c r="V38" s="4">
        <f t="shared" si="9"/>
        <v>0</v>
      </c>
      <c r="W38" s="4">
        <v>50</v>
      </c>
      <c r="X38" s="4">
        <v>50</v>
      </c>
      <c r="Y38" s="10"/>
      <c r="Z38" s="10"/>
      <c r="AA38" s="10">
        <f t="shared" si="10"/>
        <v>19.568965517241381</v>
      </c>
      <c r="AB38" s="10">
        <f t="shared" ref="AB38:AB69" si="21">(F38+O38+P38)/Q38</f>
        <v>15.258620689655173</v>
      </c>
      <c r="AC38" s="10">
        <v>12.6</v>
      </c>
      <c r="AD38" s="10">
        <v>16.600000000000001</v>
      </c>
      <c r="AE38" s="10">
        <v>14.8</v>
      </c>
      <c r="AF38" s="10">
        <v>8</v>
      </c>
      <c r="AG38" s="10">
        <v>23.4</v>
      </c>
      <c r="AH38" s="10">
        <v>12.2</v>
      </c>
      <c r="AI38" s="10">
        <v>22.8</v>
      </c>
      <c r="AJ38" s="10">
        <v>14.6</v>
      </c>
      <c r="AK38" s="10"/>
      <c r="AL38" s="10">
        <f t="shared" si="11"/>
        <v>0</v>
      </c>
      <c r="AM38" s="10">
        <f t="shared" si="12"/>
        <v>5</v>
      </c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</row>
    <row r="39" spans="1:55" x14ac:dyDescent="0.25">
      <c r="A39" s="10" t="s">
        <v>74</v>
      </c>
      <c r="B39" s="10" t="s">
        <v>37</v>
      </c>
      <c r="C39" s="10">
        <v>153</v>
      </c>
      <c r="D39" s="10">
        <v>402</v>
      </c>
      <c r="E39" s="10">
        <v>240</v>
      </c>
      <c r="F39" s="10">
        <v>209</v>
      </c>
      <c r="G39" s="7">
        <v>0.4</v>
      </c>
      <c r="H39" s="10">
        <v>45</v>
      </c>
      <c r="I39" s="10" t="s">
        <v>38</v>
      </c>
      <c r="J39" s="10"/>
      <c r="K39" s="10">
        <v>244</v>
      </c>
      <c r="L39" s="10">
        <f t="shared" si="18"/>
        <v>-4</v>
      </c>
      <c r="M39" s="10">
        <f t="shared" si="19"/>
        <v>240</v>
      </c>
      <c r="N39" s="10"/>
      <c r="O39" s="10">
        <v>50</v>
      </c>
      <c r="P39" s="10">
        <v>100</v>
      </c>
      <c r="Q39" s="10">
        <f t="shared" si="20"/>
        <v>48</v>
      </c>
      <c r="R39" s="4">
        <f t="shared" si="13"/>
        <v>313</v>
      </c>
      <c r="S39" s="4">
        <f t="shared" si="17"/>
        <v>250</v>
      </c>
      <c r="T39" s="4">
        <f>$T$1*Q39</f>
        <v>105.60000000000001</v>
      </c>
      <c r="U39" s="4">
        <f t="shared" si="8"/>
        <v>356</v>
      </c>
      <c r="V39" s="4">
        <f t="shared" si="9"/>
        <v>156</v>
      </c>
      <c r="W39" s="4">
        <v>200</v>
      </c>
      <c r="X39" s="4">
        <v>250</v>
      </c>
      <c r="Y39" s="10"/>
      <c r="Z39" s="10"/>
      <c r="AA39" s="10">
        <f t="shared" si="10"/>
        <v>14.895833333333334</v>
      </c>
      <c r="AB39" s="10">
        <f t="shared" si="21"/>
        <v>7.479166666666667</v>
      </c>
      <c r="AC39" s="10">
        <v>43.4</v>
      </c>
      <c r="AD39" s="10">
        <v>62.8</v>
      </c>
      <c r="AE39" s="10">
        <v>45</v>
      </c>
      <c r="AF39" s="10">
        <v>37.799999999999997</v>
      </c>
      <c r="AG39" s="10">
        <v>54.829199999999993</v>
      </c>
      <c r="AH39" s="10">
        <v>51.8</v>
      </c>
      <c r="AI39" s="10">
        <v>39.6</v>
      </c>
      <c r="AJ39" s="10">
        <v>57.6</v>
      </c>
      <c r="AK39" s="10"/>
      <c r="AL39" s="10">
        <f t="shared" si="11"/>
        <v>62.400000000000006</v>
      </c>
      <c r="AM39" s="10">
        <f t="shared" si="12"/>
        <v>80</v>
      </c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</row>
    <row r="40" spans="1:55" x14ac:dyDescent="0.25">
      <c r="A40" s="10" t="s">
        <v>75</v>
      </c>
      <c r="B40" s="10" t="s">
        <v>40</v>
      </c>
      <c r="C40" s="10">
        <v>126.91500000000001</v>
      </c>
      <c r="D40" s="10">
        <v>154.786</v>
      </c>
      <c r="E40" s="10">
        <v>113.568</v>
      </c>
      <c r="F40" s="10">
        <v>95.674999999999997</v>
      </c>
      <c r="G40" s="7">
        <v>1</v>
      </c>
      <c r="H40" s="10">
        <v>60</v>
      </c>
      <c r="I40" s="10" t="s">
        <v>38</v>
      </c>
      <c r="J40" s="10"/>
      <c r="K40" s="10">
        <v>111.2</v>
      </c>
      <c r="L40" s="10">
        <f t="shared" si="18"/>
        <v>2.367999999999995</v>
      </c>
      <c r="M40" s="10">
        <f t="shared" si="19"/>
        <v>113.568</v>
      </c>
      <c r="N40" s="10"/>
      <c r="O40" s="10">
        <v>96</v>
      </c>
      <c r="P40" s="10">
        <v>30</v>
      </c>
      <c r="Q40" s="10">
        <f t="shared" si="20"/>
        <v>22.7136</v>
      </c>
      <c r="R40" s="4">
        <f t="shared" si="13"/>
        <v>96.315400000000025</v>
      </c>
      <c r="S40" s="4">
        <f t="shared" si="17"/>
        <v>100</v>
      </c>
      <c r="T40" s="4"/>
      <c r="U40" s="4">
        <f t="shared" si="8"/>
        <v>100</v>
      </c>
      <c r="V40" s="4">
        <f t="shared" si="9"/>
        <v>50</v>
      </c>
      <c r="W40" s="4">
        <v>50</v>
      </c>
      <c r="X40" s="4">
        <v>100</v>
      </c>
      <c r="Y40" s="10"/>
      <c r="Z40" s="10"/>
      <c r="AA40" s="10">
        <f t="shared" si="10"/>
        <v>14.162219991546916</v>
      </c>
      <c r="AB40" s="10">
        <f t="shared" si="21"/>
        <v>9.7595713581290511</v>
      </c>
      <c r="AC40" s="10">
        <v>26.207799999999999</v>
      </c>
      <c r="AD40" s="10">
        <v>24.388000000000002</v>
      </c>
      <c r="AE40" s="10">
        <v>26.569199999999999</v>
      </c>
      <c r="AF40" s="10">
        <v>33.116999999999997</v>
      </c>
      <c r="AG40" s="10">
        <v>21.5748</v>
      </c>
      <c r="AH40" s="10">
        <v>27.645800000000001</v>
      </c>
      <c r="AI40" s="10">
        <v>30.088999999999999</v>
      </c>
      <c r="AJ40" s="10">
        <v>31.218599999999999</v>
      </c>
      <c r="AK40" s="10"/>
      <c r="AL40" s="10">
        <f t="shared" si="11"/>
        <v>50</v>
      </c>
      <c r="AM40" s="10">
        <f t="shared" si="12"/>
        <v>50</v>
      </c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</row>
    <row r="41" spans="1:55" x14ac:dyDescent="0.25">
      <c r="A41" s="10" t="s">
        <v>76</v>
      </c>
      <c r="B41" s="10" t="s">
        <v>40</v>
      </c>
      <c r="C41" s="10">
        <v>208.87</v>
      </c>
      <c r="D41" s="10">
        <v>225.02</v>
      </c>
      <c r="E41" s="10">
        <v>104.476</v>
      </c>
      <c r="F41" s="10">
        <v>170.767</v>
      </c>
      <c r="G41" s="7">
        <v>1</v>
      </c>
      <c r="H41" s="10">
        <v>45</v>
      </c>
      <c r="I41" s="10" t="s">
        <v>38</v>
      </c>
      <c r="J41" s="10"/>
      <c r="K41" s="10">
        <v>110.5</v>
      </c>
      <c r="L41" s="10">
        <f t="shared" si="18"/>
        <v>-6.0240000000000009</v>
      </c>
      <c r="M41" s="10">
        <f t="shared" si="19"/>
        <v>104.476</v>
      </c>
      <c r="N41" s="10"/>
      <c r="O41" s="10">
        <v>70</v>
      </c>
      <c r="P41" s="10">
        <v>30</v>
      </c>
      <c r="Q41" s="10">
        <f t="shared" si="20"/>
        <v>20.895199999999999</v>
      </c>
      <c r="R41" s="4">
        <f t="shared" si="13"/>
        <v>21.765800000000013</v>
      </c>
      <c r="S41" s="4">
        <f t="shared" si="17"/>
        <v>30</v>
      </c>
      <c r="T41" s="4"/>
      <c r="U41" s="4">
        <f t="shared" si="8"/>
        <v>30</v>
      </c>
      <c r="V41" s="4">
        <f t="shared" si="9"/>
        <v>0</v>
      </c>
      <c r="W41" s="4">
        <v>30</v>
      </c>
      <c r="X41" s="4">
        <v>30</v>
      </c>
      <c r="Y41" s="10"/>
      <c r="Z41" s="10"/>
      <c r="AA41" s="10">
        <f t="shared" si="10"/>
        <v>14.394071365672499</v>
      </c>
      <c r="AB41" s="10">
        <f t="shared" si="21"/>
        <v>12.958334928596042</v>
      </c>
      <c r="AC41" s="10">
        <v>26.303599999999999</v>
      </c>
      <c r="AD41" s="10">
        <v>29.85</v>
      </c>
      <c r="AE41" s="10">
        <v>32.853400000000001</v>
      </c>
      <c r="AF41" s="10">
        <v>36.1952</v>
      </c>
      <c r="AG41" s="10">
        <v>33.2834</v>
      </c>
      <c r="AH41" s="10">
        <v>30.3398</v>
      </c>
      <c r="AI41" s="10">
        <v>34.756599999999999</v>
      </c>
      <c r="AJ41" s="10">
        <v>42.209200000000003</v>
      </c>
      <c r="AK41" s="10"/>
      <c r="AL41" s="10">
        <f t="shared" si="11"/>
        <v>0</v>
      </c>
      <c r="AM41" s="10">
        <f t="shared" si="12"/>
        <v>30</v>
      </c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</row>
    <row r="42" spans="1:55" x14ac:dyDescent="0.25">
      <c r="A42" s="10" t="s">
        <v>77</v>
      </c>
      <c r="B42" s="10" t="s">
        <v>40</v>
      </c>
      <c r="C42" s="10">
        <v>252.29499999999999</v>
      </c>
      <c r="D42" s="10">
        <v>256.40800000000002</v>
      </c>
      <c r="E42" s="10">
        <v>130.84100000000001</v>
      </c>
      <c r="F42" s="10">
        <v>185.56800000000001</v>
      </c>
      <c r="G42" s="7">
        <v>1</v>
      </c>
      <c r="H42" s="10">
        <v>45</v>
      </c>
      <c r="I42" s="10" t="s">
        <v>38</v>
      </c>
      <c r="J42" s="10"/>
      <c r="K42" s="10">
        <v>129.5</v>
      </c>
      <c r="L42" s="10">
        <f t="shared" si="18"/>
        <v>1.3410000000000082</v>
      </c>
      <c r="M42" s="10">
        <f t="shared" si="19"/>
        <v>130.84100000000001</v>
      </c>
      <c r="N42" s="10"/>
      <c r="O42" s="10">
        <v>70</v>
      </c>
      <c r="P42" s="10">
        <v>30</v>
      </c>
      <c r="Q42" s="10">
        <f t="shared" si="20"/>
        <v>26.168200000000002</v>
      </c>
      <c r="R42" s="4">
        <f t="shared" si="13"/>
        <v>80.786799999999999</v>
      </c>
      <c r="S42" s="4">
        <f t="shared" si="17"/>
        <v>80</v>
      </c>
      <c r="T42" s="4"/>
      <c r="U42" s="4">
        <f t="shared" si="8"/>
        <v>80</v>
      </c>
      <c r="V42" s="4">
        <f t="shared" si="9"/>
        <v>40</v>
      </c>
      <c r="W42" s="4">
        <v>40</v>
      </c>
      <c r="X42" s="4">
        <v>80</v>
      </c>
      <c r="Y42" s="10"/>
      <c r="Z42" s="10"/>
      <c r="AA42" s="10">
        <f t="shared" si="10"/>
        <v>13.969932972080615</v>
      </c>
      <c r="AB42" s="10">
        <f t="shared" si="21"/>
        <v>10.912787276159612</v>
      </c>
      <c r="AC42" s="10">
        <v>27.88</v>
      </c>
      <c r="AD42" s="10">
        <v>31.876200000000001</v>
      </c>
      <c r="AE42" s="10">
        <v>36.763599999999997</v>
      </c>
      <c r="AF42" s="10">
        <v>31.847999999999999</v>
      </c>
      <c r="AG42" s="10">
        <v>30.515000000000001</v>
      </c>
      <c r="AH42" s="10">
        <v>29.633199999999999</v>
      </c>
      <c r="AI42" s="10">
        <v>38.248199999999997</v>
      </c>
      <c r="AJ42" s="10">
        <v>39.535400000000003</v>
      </c>
      <c r="AK42" s="10"/>
      <c r="AL42" s="10">
        <f t="shared" si="11"/>
        <v>40</v>
      </c>
      <c r="AM42" s="10">
        <f t="shared" si="12"/>
        <v>40</v>
      </c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</row>
    <row r="43" spans="1:55" x14ac:dyDescent="0.25">
      <c r="A43" s="10" t="s">
        <v>78</v>
      </c>
      <c r="B43" s="10" t="s">
        <v>37</v>
      </c>
      <c r="C43" s="10">
        <v>50</v>
      </c>
      <c r="D43" s="10"/>
      <c r="E43" s="10">
        <v>44</v>
      </c>
      <c r="F43" s="10">
        <v>3</v>
      </c>
      <c r="G43" s="7">
        <v>0.35</v>
      </c>
      <c r="H43" s="10">
        <v>45</v>
      </c>
      <c r="I43" s="10" t="s">
        <v>38</v>
      </c>
      <c r="J43" s="10"/>
      <c r="K43" s="10">
        <v>47</v>
      </c>
      <c r="L43" s="10">
        <f t="shared" si="18"/>
        <v>-3</v>
      </c>
      <c r="M43" s="10">
        <f t="shared" si="19"/>
        <v>44</v>
      </c>
      <c r="N43" s="10"/>
      <c r="O43" s="10">
        <v>100</v>
      </c>
      <c r="P43" s="10"/>
      <c r="Q43" s="10">
        <f t="shared" si="20"/>
        <v>8.8000000000000007</v>
      </c>
      <c r="R43" s="4">
        <f t="shared" si="13"/>
        <v>20.200000000000017</v>
      </c>
      <c r="S43" s="4">
        <f t="shared" si="17"/>
        <v>30</v>
      </c>
      <c r="T43" s="4"/>
      <c r="U43" s="4">
        <f t="shared" si="8"/>
        <v>30</v>
      </c>
      <c r="V43" s="4">
        <f t="shared" si="9"/>
        <v>0</v>
      </c>
      <c r="W43" s="4">
        <v>30</v>
      </c>
      <c r="X43" s="4">
        <v>30</v>
      </c>
      <c r="Y43" s="10"/>
      <c r="Z43" s="10"/>
      <c r="AA43" s="10">
        <f t="shared" si="10"/>
        <v>15.113636363636362</v>
      </c>
      <c r="AB43" s="10">
        <f t="shared" si="21"/>
        <v>11.704545454545453</v>
      </c>
      <c r="AC43" s="10">
        <v>16</v>
      </c>
      <c r="AD43" s="10">
        <v>5</v>
      </c>
      <c r="AE43" s="10">
        <v>12.2</v>
      </c>
      <c r="AF43" s="10">
        <v>8.4</v>
      </c>
      <c r="AG43" s="10">
        <v>10.6</v>
      </c>
      <c r="AH43" s="10">
        <v>12.8</v>
      </c>
      <c r="AI43" s="10">
        <v>12.6</v>
      </c>
      <c r="AJ43" s="10">
        <v>16.2</v>
      </c>
      <c r="AK43" s="10" t="s">
        <v>79</v>
      </c>
      <c r="AL43" s="10">
        <f t="shared" si="11"/>
        <v>0</v>
      </c>
      <c r="AM43" s="10">
        <f t="shared" si="12"/>
        <v>10.5</v>
      </c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</row>
    <row r="44" spans="1:55" x14ac:dyDescent="0.25">
      <c r="A44" s="10" t="s">
        <v>80</v>
      </c>
      <c r="B44" s="10" t="s">
        <v>40</v>
      </c>
      <c r="C44" s="10">
        <v>180.61799999999999</v>
      </c>
      <c r="D44" s="10">
        <v>11.52</v>
      </c>
      <c r="E44" s="10">
        <v>86.438000000000002</v>
      </c>
      <c r="F44" s="10">
        <v>69.308999999999997</v>
      </c>
      <c r="G44" s="7">
        <v>1</v>
      </c>
      <c r="H44" s="10">
        <v>45</v>
      </c>
      <c r="I44" s="10" t="s">
        <v>38</v>
      </c>
      <c r="J44" s="10"/>
      <c r="K44" s="10">
        <v>93</v>
      </c>
      <c r="L44" s="10">
        <f t="shared" si="18"/>
        <v>-6.5619999999999976</v>
      </c>
      <c r="M44" s="10">
        <f t="shared" si="19"/>
        <v>86.438000000000002</v>
      </c>
      <c r="N44" s="10"/>
      <c r="O44" s="10">
        <v>60</v>
      </c>
      <c r="P44" s="10">
        <v>40</v>
      </c>
      <c r="Q44" s="10">
        <f t="shared" si="20"/>
        <v>17.287600000000001</v>
      </c>
      <c r="R44" s="4">
        <f t="shared" si="13"/>
        <v>72.717400000000026</v>
      </c>
      <c r="S44" s="4">
        <f t="shared" si="17"/>
        <v>80</v>
      </c>
      <c r="T44" s="4"/>
      <c r="U44" s="4">
        <f t="shared" si="8"/>
        <v>80</v>
      </c>
      <c r="V44" s="4">
        <f t="shared" si="9"/>
        <v>40</v>
      </c>
      <c r="W44" s="4">
        <v>40</v>
      </c>
      <c r="X44" s="4">
        <v>80</v>
      </c>
      <c r="Y44" s="10"/>
      <c r="Z44" s="10"/>
      <c r="AA44" s="10">
        <f t="shared" si="10"/>
        <v>14.421261482218467</v>
      </c>
      <c r="AB44" s="10">
        <f t="shared" si="21"/>
        <v>9.7936671371387582</v>
      </c>
      <c r="AC44" s="10">
        <v>17.792999999999999</v>
      </c>
      <c r="AD44" s="10">
        <v>13.156599999999999</v>
      </c>
      <c r="AE44" s="10">
        <v>23.368600000000001</v>
      </c>
      <c r="AF44" s="10">
        <v>17.3978</v>
      </c>
      <c r="AG44" s="10">
        <v>23.3308</v>
      </c>
      <c r="AH44" s="10">
        <v>25.700800000000001</v>
      </c>
      <c r="AI44" s="10">
        <v>28.7956</v>
      </c>
      <c r="AJ44" s="10">
        <v>28.547599999999999</v>
      </c>
      <c r="AK44" s="10"/>
      <c r="AL44" s="10">
        <f t="shared" si="11"/>
        <v>40</v>
      </c>
      <c r="AM44" s="10">
        <f t="shared" si="12"/>
        <v>40</v>
      </c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</row>
    <row r="45" spans="1:55" x14ac:dyDescent="0.25">
      <c r="A45" s="12" t="s">
        <v>81</v>
      </c>
      <c r="B45" s="12" t="s">
        <v>37</v>
      </c>
      <c r="C45" s="12">
        <v>-1</v>
      </c>
      <c r="D45" s="12">
        <v>98</v>
      </c>
      <c r="E45" s="12">
        <v>17</v>
      </c>
      <c r="F45" s="12">
        <v>66</v>
      </c>
      <c r="G45" s="13">
        <v>0</v>
      </c>
      <c r="H45" s="12">
        <v>45</v>
      </c>
      <c r="I45" s="14" t="s">
        <v>82</v>
      </c>
      <c r="J45" s="12"/>
      <c r="K45" s="12">
        <v>42</v>
      </c>
      <c r="L45" s="12">
        <f t="shared" si="18"/>
        <v>-25</v>
      </c>
      <c r="M45" s="12">
        <f t="shared" si="19"/>
        <v>17</v>
      </c>
      <c r="N45" s="12"/>
      <c r="O45" s="12">
        <v>60</v>
      </c>
      <c r="P45" s="12"/>
      <c r="Q45" s="12">
        <f t="shared" si="20"/>
        <v>3.4</v>
      </c>
      <c r="R45" s="15"/>
      <c r="S45" s="4">
        <f t="shared" si="7"/>
        <v>0</v>
      </c>
      <c r="T45" s="15"/>
      <c r="U45" s="4">
        <f t="shared" si="8"/>
        <v>0</v>
      </c>
      <c r="V45" s="4">
        <f t="shared" si="9"/>
        <v>0</v>
      </c>
      <c r="W45" s="4"/>
      <c r="X45" s="15"/>
      <c r="Y45" s="12"/>
      <c r="Z45" s="12"/>
      <c r="AA45" s="10">
        <f t="shared" si="10"/>
        <v>37.058823529411768</v>
      </c>
      <c r="AB45" s="12">
        <f t="shared" si="21"/>
        <v>37.058823529411768</v>
      </c>
      <c r="AC45" s="12">
        <v>10.199999999999999</v>
      </c>
      <c r="AD45" s="12">
        <v>13</v>
      </c>
      <c r="AE45" s="12">
        <v>7.2</v>
      </c>
      <c r="AF45" s="12">
        <v>16.600000000000001</v>
      </c>
      <c r="AG45" s="12">
        <v>21.4</v>
      </c>
      <c r="AH45" s="12">
        <v>15.6</v>
      </c>
      <c r="AI45" s="12">
        <v>19.399999999999999</v>
      </c>
      <c r="AJ45" s="12">
        <v>18.399999999999999</v>
      </c>
      <c r="AK45" s="12"/>
      <c r="AL45" s="10">
        <f t="shared" si="11"/>
        <v>0</v>
      </c>
      <c r="AM45" s="10">
        <f t="shared" si="12"/>
        <v>0</v>
      </c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</row>
    <row r="46" spans="1:55" x14ac:dyDescent="0.25">
      <c r="A46" s="10" t="s">
        <v>83</v>
      </c>
      <c r="B46" s="10" t="s">
        <v>37</v>
      </c>
      <c r="C46" s="10">
        <v>319</v>
      </c>
      <c r="D46" s="10">
        <v>325</v>
      </c>
      <c r="E46" s="10">
        <v>211</v>
      </c>
      <c r="F46" s="10">
        <v>230</v>
      </c>
      <c r="G46" s="7">
        <v>0.3</v>
      </c>
      <c r="H46" s="10" t="e">
        <v>#N/A</v>
      </c>
      <c r="I46" s="10" t="s">
        <v>38</v>
      </c>
      <c r="J46" s="10"/>
      <c r="K46" s="10">
        <v>220</v>
      </c>
      <c r="L46" s="10">
        <f t="shared" si="18"/>
        <v>-9</v>
      </c>
      <c r="M46" s="10">
        <f t="shared" si="19"/>
        <v>211</v>
      </c>
      <c r="N46" s="10"/>
      <c r="O46" s="10">
        <v>400</v>
      </c>
      <c r="P46" s="10"/>
      <c r="Q46" s="10">
        <f t="shared" si="20"/>
        <v>42.2</v>
      </c>
      <c r="R46" s="4"/>
      <c r="S46" s="4">
        <f>X46</f>
        <v>100</v>
      </c>
      <c r="T46" s="4"/>
      <c r="U46" s="4">
        <f t="shared" si="8"/>
        <v>100</v>
      </c>
      <c r="V46" s="4">
        <f t="shared" si="9"/>
        <v>50</v>
      </c>
      <c r="W46" s="4">
        <v>50</v>
      </c>
      <c r="X46" s="4">
        <v>100</v>
      </c>
      <c r="Y46" s="10"/>
      <c r="Z46" s="10"/>
      <c r="AA46" s="10">
        <f t="shared" si="10"/>
        <v>17.29857819905213</v>
      </c>
      <c r="AB46" s="10">
        <f t="shared" si="21"/>
        <v>14.928909952606634</v>
      </c>
      <c r="AC46" s="10">
        <v>52.4</v>
      </c>
      <c r="AD46" s="10">
        <v>46.4</v>
      </c>
      <c r="AE46" s="10">
        <v>55.963999999999999</v>
      </c>
      <c r="AF46" s="10">
        <v>56.2</v>
      </c>
      <c r="AG46" s="10">
        <v>44.6</v>
      </c>
      <c r="AH46" s="10">
        <v>51.2</v>
      </c>
      <c r="AI46" s="10">
        <v>54.4</v>
      </c>
      <c r="AJ46" s="10">
        <v>68.2</v>
      </c>
      <c r="AK46" s="10"/>
      <c r="AL46" s="10">
        <f t="shared" si="11"/>
        <v>15</v>
      </c>
      <c r="AM46" s="10">
        <f t="shared" si="12"/>
        <v>15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</row>
    <row r="47" spans="1:55" x14ac:dyDescent="0.25">
      <c r="A47" s="10" t="s">
        <v>84</v>
      </c>
      <c r="B47" s="10" t="s">
        <v>40</v>
      </c>
      <c r="C47" s="10">
        <v>67.13</v>
      </c>
      <c r="D47" s="10">
        <v>200.392</v>
      </c>
      <c r="E47" s="10">
        <v>61.557000000000002</v>
      </c>
      <c r="F47" s="10">
        <v>175.298</v>
      </c>
      <c r="G47" s="7">
        <v>1</v>
      </c>
      <c r="H47" s="10">
        <v>45</v>
      </c>
      <c r="I47" s="10" t="s">
        <v>38</v>
      </c>
      <c r="J47" s="10"/>
      <c r="K47" s="10">
        <v>79.5</v>
      </c>
      <c r="L47" s="10">
        <f t="shared" si="18"/>
        <v>-17.942999999999998</v>
      </c>
      <c r="M47" s="10">
        <f t="shared" si="19"/>
        <v>61.557000000000002</v>
      </c>
      <c r="N47" s="10"/>
      <c r="O47" s="10">
        <v>150</v>
      </c>
      <c r="P47" s="10"/>
      <c r="Q47" s="10">
        <f t="shared" si="20"/>
        <v>12.311400000000001</v>
      </c>
      <c r="R47" s="4"/>
      <c r="S47" s="4">
        <f t="shared" si="7"/>
        <v>0</v>
      </c>
      <c r="T47" s="4"/>
      <c r="U47" s="4">
        <f t="shared" si="8"/>
        <v>0</v>
      </c>
      <c r="V47" s="4">
        <f t="shared" si="9"/>
        <v>0</v>
      </c>
      <c r="W47" s="4"/>
      <c r="X47" s="4"/>
      <c r="Y47" s="10"/>
      <c r="Z47" s="10"/>
      <c r="AA47" s="10">
        <f t="shared" si="10"/>
        <v>26.422502721055281</v>
      </c>
      <c r="AB47" s="10">
        <f t="shared" si="21"/>
        <v>26.422502721055281</v>
      </c>
      <c r="AC47" s="10">
        <v>25.706</v>
      </c>
      <c r="AD47" s="10">
        <v>30.495200000000001</v>
      </c>
      <c r="AE47" s="10">
        <v>18.703800000000001</v>
      </c>
      <c r="AF47" s="10">
        <v>22.310400000000001</v>
      </c>
      <c r="AG47" s="10">
        <v>39.084200000000003</v>
      </c>
      <c r="AH47" s="10">
        <v>17.9542</v>
      </c>
      <c r="AI47" s="10">
        <v>34.256399999999999</v>
      </c>
      <c r="AJ47" s="10">
        <v>27.555599999999998</v>
      </c>
      <c r="AK47" s="10"/>
      <c r="AL47" s="10">
        <f t="shared" si="11"/>
        <v>0</v>
      </c>
      <c r="AM47" s="10">
        <f t="shared" si="12"/>
        <v>0</v>
      </c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spans="1:55" x14ac:dyDescent="0.25">
      <c r="A48" s="10" t="s">
        <v>85</v>
      </c>
      <c r="B48" s="10" t="s">
        <v>37</v>
      </c>
      <c r="C48" s="10">
        <v>532</v>
      </c>
      <c r="D48" s="10">
        <v>788</v>
      </c>
      <c r="E48" s="10">
        <v>488</v>
      </c>
      <c r="F48" s="10">
        <v>539</v>
      </c>
      <c r="G48" s="7">
        <v>0.35</v>
      </c>
      <c r="H48" s="10">
        <v>45</v>
      </c>
      <c r="I48" s="10" t="s">
        <v>38</v>
      </c>
      <c r="J48" s="10"/>
      <c r="K48" s="10">
        <v>496.4</v>
      </c>
      <c r="L48" s="10">
        <f t="shared" si="18"/>
        <v>-8.3999999999999773</v>
      </c>
      <c r="M48" s="10">
        <f t="shared" si="19"/>
        <v>488</v>
      </c>
      <c r="N48" s="10"/>
      <c r="O48" s="10">
        <v>300</v>
      </c>
      <c r="P48" s="10"/>
      <c r="Q48" s="10">
        <f t="shared" si="20"/>
        <v>97.6</v>
      </c>
      <c r="R48" s="4">
        <f t="shared" ref="R48:R51" si="22">14*Q48-P48-O48-F48</f>
        <v>527.39999999999986</v>
      </c>
      <c r="S48" s="4">
        <f t="shared" ref="S48:S51" si="23">X48</f>
        <v>600</v>
      </c>
      <c r="T48" s="4"/>
      <c r="U48" s="4">
        <f t="shared" si="8"/>
        <v>600</v>
      </c>
      <c r="V48" s="4">
        <f t="shared" si="9"/>
        <v>300</v>
      </c>
      <c r="W48" s="4">
        <v>300</v>
      </c>
      <c r="X48" s="4">
        <v>600</v>
      </c>
      <c r="Y48" s="10"/>
      <c r="Z48" s="10"/>
      <c r="AA48" s="10">
        <f t="shared" si="10"/>
        <v>14.743852459016395</v>
      </c>
      <c r="AB48" s="10">
        <f t="shared" si="21"/>
        <v>8.596311475409836</v>
      </c>
      <c r="AC48" s="10">
        <v>88.2</v>
      </c>
      <c r="AD48" s="10">
        <v>109.6</v>
      </c>
      <c r="AE48" s="10">
        <v>109.4</v>
      </c>
      <c r="AF48" s="10">
        <v>103</v>
      </c>
      <c r="AG48" s="10">
        <v>110.6</v>
      </c>
      <c r="AH48" s="10">
        <v>109</v>
      </c>
      <c r="AI48" s="10">
        <v>73.8</v>
      </c>
      <c r="AJ48" s="10">
        <v>130.19999999999999</v>
      </c>
      <c r="AK48" s="10"/>
      <c r="AL48" s="10">
        <f t="shared" si="11"/>
        <v>105</v>
      </c>
      <c r="AM48" s="10">
        <f t="shared" si="12"/>
        <v>105</v>
      </c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</row>
    <row r="49" spans="1:55" x14ac:dyDescent="0.25">
      <c r="A49" s="10" t="s">
        <v>86</v>
      </c>
      <c r="B49" s="10" t="s">
        <v>37</v>
      </c>
      <c r="C49" s="10">
        <v>169</v>
      </c>
      <c r="D49" s="10">
        <v>618</v>
      </c>
      <c r="E49" s="10">
        <v>252</v>
      </c>
      <c r="F49" s="10">
        <v>434</v>
      </c>
      <c r="G49" s="7">
        <v>0.41</v>
      </c>
      <c r="H49" s="10">
        <v>45</v>
      </c>
      <c r="I49" s="10" t="s">
        <v>38</v>
      </c>
      <c r="J49" s="10"/>
      <c r="K49" s="10">
        <v>287</v>
      </c>
      <c r="L49" s="10">
        <f t="shared" si="18"/>
        <v>-35</v>
      </c>
      <c r="M49" s="10">
        <f t="shared" si="19"/>
        <v>252</v>
      </c>
      <c r="N49" s="10"/>
      <c r="O49" s="10">
        <v>200</v>
      </c>
      <c r="P49" s="10"/>
      <c r="Q49" s="10">
        <f t="shared" si="20"/>
        <v>50.4</v>
      </c>
      <c r="R49" s="4">
        <f t="shared" si="22"/>
        <v>71.600000000000023</v>
      </c>
      <c r="S49" s="4">
        <f t="shared" si="23"/>
        <v>60</v>
      </c>
      <c r="T49" s="4">
        <f>$T$1*Q49</f>
        <v>110.88000000000001</v>
      </c>
      <c r="U49" s="4">
        <f t="shared" si="8"/>
        <v>171</v>
      </c>
      <c r="V49" s="4">
        <f t="shared" si="9"/>
        <v>71</v>
      </c>
      <c r="W49" s="4">
        <v>100</v>
      </c>
      <c r="X49" s="4">
        <v>60</v>
      </c>
      <c r="Y49" s="10"/>
      <c r="Z49" s="10"/>
      <c r="AA49" s="10">
        <f t="shared" si="10"/>
        <v>15.972222222222223</v>
      </c>
      <c r="AB49" s="10">
        <f t="shared" si="21"/>
        <v>12.579365079365079</v>
      </c>
      <c r="AC49" s="10">
        <v>57.8</v>
      </c>
      <c r="AD49" s="10">
        <v>77.8</v>
      </c>
      <c r="AE49" s="10">
        <v>56.8</v>
      </c>
      <c r="AF49" s="10">
        <v>57.2</v>
      </c>
      <c r="AG49" s="10">
        <v>56.2</v>
      </c>
      <c r="AH49" s="10">
        <v>82.4</v>
      </c>
      <c r="AI49" s="10">
        <v>22</v>
      </c>
      <c r="AJ49" s="10">
        <v>74.8</v>
      </c>
      <c r="AK49" s="10"/>
      <c r="AL49" s="10">
        <f t="shared" si="11"/>
        <v>29.11</v>
      </c>
      <c r="AM49" s="10">
        <f t="shared" si="12"/>
        <v>41</v>
      </c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spans="1:55" x14ac:dyDescent="0.25">
      <c r="A50" s="10" t="s">
        <v>87</v>
      </c>
      <c r="B50" s="10" t="s">
        <v>37</v>
      </c>
      <c r="C50" s="10">
        <v>200</v>
      </c>
      <c r="D50" s="10">
        <v>4</v>
      </c>
      <c r="E50" s="10">
        <v>152</v>
      </c>
      <c r="F50" s="10">
        <v>20</v>
      </c>
      <c r="G50" s="7">
        <v>0.41</v>
      </c>
      <c r="H50" s="10">
        <v>45</v>
      </c>
      <c r="I50" s="10" t="s">
        <v>38</v>
      </c>
      <c r="J50" s="10"/>
      <c r="K50" s="10">
        <v>157</v>
      </c>
      <c r="L50" s="10">
        <f t="shared" si="18"/>
        <v>-5</v>
      </c>
      <c r="M50" s="10">
        <f t="shared" si="19"/>
        <v>152</v>
      </c>
      <c r="N50" s="10"/>
      <c r="O50" s="10">
        <v>0</v>
      </c>
      <c r="P50" s="10"/>
      <c r="Q50" s="10">
        <f t="shared" si="20"/>
        <v>30.4</v>
      </c>
      <c r="R50" s="4">
        <f>10*Q50-P50-O50-F50</f>
        <v>284</v>
      </c>
      <c r="S50" s="4">
        <f t="shared" si="23"/>
        <v>300</v>
      </c>
      <c r="T50" s="4"/>
      <c r="U50" s="4">
        <f t="shared" si="8"/>
        <v>300</v>
      </c>
      <c r="V50" s="4">
        <f t="shared" si="9"/>
        <v>180</v>
      </c>
      <c r="W50" s="4">
        <v>120</v>
      </c>
      <c r="X50" s="4">
        <v>300</v>
      </c>
      <c r="Y50" s="10"/>
      <c r="Z50" s="10"/>
      <c r="AA50" s="10">
        <f t="shared" si="10"/>
        <v>10.526315789473685</v>
      </c>
      <c r="AB50" s="10">
        <f t="shared" si="21"/>
        <v>0.65789473684210531</v>
      </c>
      <c r="AC50" s="10">
        <v>10.6</v>
      </c>
      <c r="AD50" s="10">
        <v>10.199999999999999</v>
      </c>
      <c r="AE50" s="10">
        <v>23.8</v>
      </c>
      <c r="AF50" s="10">
        <v>12</v>
      </c>
      <c r="AG50" s="10">
        <v>15.6</v>
      </c>
      <c r="AH50" s="10">
        <v>9.6</v>
      </c>
      <c r="AI50" s="10">
        <v>22.4</v>
      </c>
      <c r="AJ50" s="10">
        <v>22</v>
      </c>
      <c r="AK50" s="10"/>
      <c r="AL50" s="10">
        <f t="shared" si="11"/>
        <v>73.8</v>
      </c>
      <c r="AM50" s="10">
        <f t="shared" si="12"/>
        <v>49.199999999999996</v>
      </c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</row>
    <row r="51" spans="1:55" x14ac:dyDescent="0.25">
      <c r="A51" s="10" t="s">
        <v>88</v>
      </c>
      <c r="B51" s="10" t="s">
        <v>37</v>
      </c>
      <c r="C51" s="10">
        <v>247</v>
      </c>
      <c r="D51" s="10">
        <v>450</v>
      </c>
      <c r="E51" s="10">
        <v>153</v>
      </c>
      <c r="F51" s="10">
        <v>360</v>
      </c>
      <c r="G51" s="7">
        <v>0.36</v>
      </c>
      <c r="H51" s="10">
        <v>45</v>
      </c>
      <c r="I51" s="10" t="s">
        <v>38</v>
      </c>
      <c r="J51" s="10"/>
      <c r="K51" s="10">
        <v>160</v>
      </c>
      <c r="L51" s="10">
        <f t="shared" si="18"/>
        <v>-7</v>
      </c>
      <c r="M51" s="10">
        <f t="shared" si="19"/>
        <v>153</v>
      </c>
      <c r="N51" s="10"/>
      <c r="O51" s="10">
        <v>0</v>
      </c>
      <c r="P51" s="10"/>
      <c r="Q51" s="10">
        <f t="shared" si="20"/>
        <v>30.6</v>
      </c>
      <c r="R51" s="4">
        <f t="shared" si="22"/>
        <v>68.400000000000034</v>
      </c>
      <c r="S51" s="4">
        <f t="shared" si="23"/>
        <v>50</v>
      </c>
      <c r="T51" s="4"/>
      <c r="U51" s="4">
        <f t="shared" si="8"/>
        <v>50</v>
      </c>
      <c r="V51" s="4">
        <f t="shared" si="9"/>
        <v>0</v>
      </c>
      <c r="W51" s="4">
        <v>50</v>
      </c>
      <c r="X51" s="4">
        <v>50</v>
      </c>
      <c r="Y51" s="10"/>
      <c r="Z51" s="10"/>
      <c r="AA51" s="10">
        <f t="shared" si="10"/>
        <v>13.398692810457515</v>
      </c>
      <c r="AB51" s="10">
        <f t="shared" si="21"/>
        <v>11.76470588235294</v>
      </c>
      <c r="AC51" s="10">
        <v>10</v>
      </c>
      <c r="AD51" s="10">
        <v>46</v>
      </c>
      <c r="AE51" s="10">
        <v>32.6</v>
      </c>
      <c r="AF51" s="10">
        <v>20.399999999999999</v>
      </c>
      <c r="AG51" s="10">
        <v>33.4</v>
      </c>
      <c r="AH51" s="10">
        <v>35.4</v>
      </c>
      <c r="AI51" s="10">
        <v>27.4</v>
      </c>
      <c r="AJ51" s="10">
        <v>24</v>
      </c>
      <c r="AK51" s="10"/>
      <c r="AL51" s="10">
        <f t="shared" si="11"/>
        <v>0</v>
      </c>
      <c r="AM51" s="10">
        <f t="shared" si="12"/>
        <v>18</v>
      </c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</row>
    <row r="52" spans="1:55" x14ac:dyDescent="0.25">
      <c r="A52" s="12" t="s">
        <v>89</v>
      </c>
      <c r="B52" s="12" t="s">
        <v>37</v>
      </c>
      <c r="C52" s="12">
        <v>6</v>
      </c>
      <c r="D52" s="12"/>
      <c r="E52" s="12">
        <v>-8</v>
      </c>
      <c r="F52" s="12"/>
      <c r="G52" s="13">
        <v>0</v>
      </c>
      <c r="H52" s="12">
        <v>45</v>
      </c>
      <c r="I52" s="14" t="s">
        <v>82</v>
      </c>
      <c r="J52" s="12"/>
      <c r="K52" s="12"/>
      <c r="L52" s="12">
        <f t="shared" si="18"/>
        <v>-8</v>
      </c>
      <c r="M52" s="12">
        <f t="shared" si="19"/>
        <v>-8</v>
      </c>
      <c r="N52" s="12"/>
      <c r="O52" s="12">
        <v>18</v>
      </c>
      <c r="P52" s="12"/>
      <c r="Q52" s="12">
        <f t="shared" si="20"/>
        <v>-1.6</v>
      </c>
      <c r="R52" s="15"/>
      <c r="S52" s="4">
        <f t="shared" si="7"/>
        <v>0</v>
      </c>
      <c r="T52" s="15"/>
      <c r="U52" s="4">
        <f t="shared" si="8"/>
        <v>0</v>
      </c>
      <c r="V52" s="4">
        <f t="shared" si="9"/>
        <v>0</v>
      </c>
      <c r="W52" s="4"/>
      <c r="X52" s="15"/>
      <c r="Y52" s="12"/>
      <c r="Z52" s="12"/>
      <c r="AA52" s="10">
        <f t="shared" si="10"/>
        <v>-11.25</v>
      </c>
      <c r="AB52" s="12">
        <f t="shared" si="21"/>
        <v>-11.25</v>
      </c>
      <c r="AC52" s="12">
        <v>-0.8</v>
      </c>
      <c r="AD52" s="12">
        <v>0.2</v>
      </c>
      <c r="AE52" s="12">
        <v>8</v>
      </c>
      <c r="AF52" s="12">
        <v>6.2</v>
      </c>
      <c r="AG52" s="12">
        <v>8.4</v>
      </c>
      <c r="AH52" s="12">
        <v>5.6</v>
      </c>
      <c r="AI52" s="12">
        <v>5.4</v>
      </c>
      <c r="AJ52" s="12">
        <v>8.4</v>
      </c>
      <c r="AK52" s="12" t="s">
        <v>90</v>
      </c>
      <c r="AL52" s="10">
        <f t="shared" si="11"/>
        <v>0</v>
      </c>
      <c r="AM52" s="10">
        <f t="shared" si="12"/>
        <v>0</v>
      </c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</row>
    <row r="53" spans="1:55" x14ac:dyDescent="0.25">
      <c r="A53" s="10" t="s">
        <v>91</v>
      </c>
      <c r="B53" s="10" t="s">
        <v>37</v>
      </c>
      <c r="C53" s="10">
        <v>43</v>
      </c>
      <c r="D53" s="10">
        <v>48</v>
      </c>
      <c r="E53" s="10">
        <v>34</v>
      </c>
      <c r="F53" s="10">
        <v>47</v>
      </c>
      <c r="G53" s="7">
        <v>0.33</v>
      </c>
      <c r="H53" s="10" t="e">
        <v>#N/A</v>
      </c>
      <c r="I53" s="10" t="s">
        <v>38</v>
      </c>
      <c r="J53" s="10"/>
      <c r="K53" s="10">
        <v>39</v>
      </c>
      <c r="L53" s="10">
        <f t="shared" si="18"/>
        <v>-5</v>
      </c>
      <c r="M53" s="10">
        <f t="shared" si="19"/>
        <v>34</v>
      </c>
      <c r="N53" s="10"/>
      <c r="O53" s="10">
        <v>24</v>
      </c>
      <c r="P53" s="10"/>
      <c r="Q53" s="10">
        <f t="shared" si="20"/>
        <v>6.8</v>
      </c>
      <c r="R53" s="4">
        <f t="shared" ref="R53:R79" si="24">14*Q53-P53-O53-F53</f>
        <v>24.200000000000003</v>
      </c>
      <c r="S53" s="4">
        <f t="shared" ref="S53:S54" si="25">X53</f>
        <v>30</v>
      </c>
      <c r="T53" s="4"/>
      <c r="U53" s="4">
        <f t="shared" si="8"/>
        <v>30</v>
      </c>
      <c r="V53" s="4">
        <f t="shared" si="9"/>
        <v>30</v>
      </c>
      <c r="W53" s="4"/>
      <c r="X53" s="4">
        <v>30</v>
      </c>
      <c r="Y53" s="10"/>
      <c r="Z53" s="10"/>
      <c r="AA53" s="10">
        <f t="shared" si="10"/>
        <v>14.852941176470589</v>
      </c>
      <c r="AB53" s="10">
        <f t="shared" si="21"/>
        <v>10.441176470588236</v>
      </c>
      <c r="AC53" s="10">
        <v>2.4</v>
      </c>
      <c r="AD53" s="10">
        <v>6</v>
      </c>
      <c r="AE53" s="10">
        <v>5.4</v>
      </c>
      <c r="AF53" s="10">
        <v>4</v>
      </c>
      <c r="AG53" s="10">
        <v>4.2</v>
      </c>
      <c r="AH53" s="10">
        <v>5.6</v>
      </c>
      <c r="AI53" s="10">
        <v>6.6</v>
      </c>
      <c r="AJ53" s="10">
        <v>5.2</v>
      </c>
      <c r="AK53" s="10"/>
      <c r="AL53" s="10">
        <f t="shared" si="11"/>
        <v>9.9</v>
      </c>
      <c r="AM53" s="10">
        <f t="shared" si="12"/>
        <v>0</v>
      </c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</row>
    <row r="54" spans="1:55" x14ac:dyDescent="0.25">
      <c r="A54" s="10" t="s">
        <v>92</v>
      </c>
      <c r="B54" s="10" t="s">
        <v>37</v>
      </c>
      <c r="C54" s="10">
        <v>7</v>
      </c>
      <c r="D54" s="10">
        <v>24</v>
      </c>
      <c r="E54" s="10">
        <v>6</v>
      </c>
      <c r="F54" s="10">
        <v>23</v>
      </c>
      <c r="G54" s="7">
        <v>0.33</v>
      </c>
      <c r="H54" s="10">
        <v>45</v>
      </c>
      <c r="I54" s="10" t="s">
        <v>38</v>
      </c>
      <c r="J54" s="10"/>
      <c r="K54" s="10">
        <v>7</v>
      </c>
      <c r="L54" s="10">
        <f t="shared" si="18"/>
        <v>-1</v>
      </c>
      <c r="M54" s="10">
        <f t="shared" si="19"/>
        <v>6</v>
      </c>
      <c r="N54" s="10"/>
      <c r="O54" s="10">
        <v>30</v>
      </c>
      <c r="P54" s="10"/>
      <c r="Q54" s="10">
        <f t="shared" si="20"/>
        <v>1.2</v>
      </c>
      <c r="R54" s="4"/>
      <c r="S54" s="4">
        <f t="shared" si="25"/>
        <v>30</v>
      </c>
      <c r="T54" s="4"/>
      <c r="U54" s="4">
        <f t="shared" si="8"/>
        <v>30</v>
      </c>
      <c r="V54" s="4">
        <f t="shared" si="9"/>
        <v>30</v>
      </c>
      <c r="W54" s="4"/>
      <c r="X54" s="4">
        <v>30</v>
      </c>
      <c r="Y54" s="10"/>
      <c r="Z54" s="10"/>
      <c r="AA54" s="10">
        <f t="shared" si="10"/>
        <v>69.166666666666671</v>
      </c>
      <c r="AB54" s="10">
        <f t="shared" si="21"/>
        <v>44.166666666666671</v>
      </c>
      <c r="AC54" s="10">
        <v>3.4</v>
      </c>
      <c r="AD54" s="10">
        <v>0</v>
      </c>
      <c r="AE54" s="10">
        <v>6.2</v>
      </c>
      <c r="AF54" s="10">
        <v>5.8</v>
      </c>
      <c r="AG54" s="10">
        <v>-0.2</v>
      </c>
      <c r="AH54" s="10">
        <v>-0.2</v>
      </c>
      <c r="AI54" s="10">
        <v>3.8</v>
      </c>
      <c r="AJ54" s="10">
        <v>2</v>
      </c>
      <c r="AK54" s="10"/>
      <c r="AL54" s="10">
        <f t="shared" si="11"/>
        <v>9.9</v>
      </c>
      <c r="AM54" s="10">
        <f t="shared" si="12"/>
        <v>0</v>
      </c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</row>
    <row r="55" spans="1:55" x14ac:dyDescent="0.25">
      <c r="A55" s="10" t="s">
        <v>93</v>
      </c>
      <c r="B55" s="10" t="s">
        <v>37</v>
      </c>
      <c r="C55" s="10">
        <v>56</v>
      </c>
      <c r="D55" s="10">
        <v>429</v>
      </c>
      <c r="E55" s="10">
        <v>120</v>
      </c>
      <c r="F55" s="10">
        <v>313</v>
      </c>
      <c r="G55" s="7">
        <v>0.33</v>
      </c>
      <c r="H55" s="10">
        <v>45</v>
      </c>
      <c r="I55" s="10" t="s">
        <v>38</v>
      </c>
      <c r="J55" s="10"/>
      <c r="K55" s="10">
        <v>134</v>
      </c>
      <c r="L55" s="10">
        <f t="shared" si="18"/>
        <v>-14</v>
      </c>
      <c r="M55" s="10">
        <f t="shared" si="19"/>
        <v>120</v>
      </c>
      <c r="N55" s="10"/>
      <c r="O55" s="10">
        <v>0</v>
      </c>
      <c r="P55" s="10"/>
      <c r="Q55" s="10">
        <f t="shared" si="20"/>
        <v>24</v>
      </c>
      <c r="R55" s="4">
        <f t="shared" si="24"/>
        <v>23</v>
      </c>
      <c r="S55" s="4">
        <f t="shared" si="7"/>
        <v>23</v>
      </c>
      <c r="T55" s="4"/>
      <c r="U55" s="4">
        <f t="shared" si="8"/>
        <v>23</v>
      </c>
      <c r="V55" s="4">
        <f t="shared" si="9"/>
        <v>0</v>
      </c>
      <c r="W55" s="4">
        <v>23</v>
      </c>
      <c r="X55" s="4"/>
      <c r="Y55" s="10"/>
      <c r="Z55" s="10"/>
      <c r="AA55" s="10">
        <f t="shared" si="10"/>
        <v>14</v>
      </c>
      <c r="AB55" s="10">
        <f t="shared" si="21"/>
        <v>13.041666666666666</v>
      </c>
      <c r="AC55" s="10">
        <v>13.8</v>
      </c>
      <c r="AD55" s="10">
        <v>44</v>
      </c>
      <c r="AE55" s="10">
        <v>17.8</v>
      </c>
      <c r="AF55" s="10">
        <v>22.4</v>
      </c>
      <c r="AG55" s="10">
        <v>29.8</v>
      </c>
      <c r="AH55" s="10">
        <v>35.6</v>
      </c>
      <c r="AI55" s="10">
        <v>16.8</v>
      </c>
      <c r="AJ55" s="10">
        <v>51.6</v>
      </c>
      <c r="AK55" s="10"/>
      <c r="AL55" s="10">
        <f t="shared" si="11"/>
        <v>0</v>
      </c>
      <c r="AM55" s="10">
        <f t="shared" si="12"/>
        <v>7.5900000000000007</v>
      </c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</row>
    <row r="56" spans="1:55" x14ac:dyDescent="0.25">
      <c r="A56" s="10" t="s">
        <v>94</v>
      </c>
      <c r="B56" s="10" t="s">
        <v>37</v>
      </c>
      <c r="C56" s="10">
        <v>55</v>
      </c>
      <c r="D56" s="10">
        <v>16</v>
      </c>
      <c r="E56" s="10">
        <v>48</v>
      </c>
      <c r="F56" s="10">
        <v>5</v>
      </c>
      <c r="G56" s="7">
        <v>0.33</v>
      </c>
      <c r="H56" s="10">
        <v>45</v>
      </c>
      <c r="I56" s="10" t="s">
        <v>38</v>
      </c>
      <c r="J56" s="10"/>
      <c r="K56" s="10">
        <v>50</v>
      </c>
      <c r="L56" s="10">
        <f t="shared" si="18"/>
        <v>-2</v>
      </c>
      <c r="M56" s="10">
        <f t="shared" si="19"/>
        <v>48</v>
      </c>
      <c r="N56" s="10"/>
      <c r="O56" s="10">
        <v>50</v>
      </c>
      <c r="P56" s="10"/>
      <c r="Q56" s="10">
        <f t="shared" si="20"/>
        <v>9.6</v>
      </c>
      <c r="R56" s="4">
        <f t="shared" si="24"/>
        <v>79.400000000000006</v>
      </c>
      <c r="S56" s="4">
        <f t="shared" ref="S56:S57" si="26">X56</f>
        <v>50</v>
      </c>
      <c r="T56" s="4"/>
      <c r="U56" s="4">
        <f t="shared" si="8"/>
        <v>50</v>
      </c>
      <c r="V56" s="4">
        <f t="shared" si="9"/>
        <v>50</v>
      </c>
      <c r="W56" s="4"/>
      <c r="X56" s="4">
        <v>50</v>
      </c>
      <c r="Y56" s="10"/>
      <c r="Z56" s="10"/>
      <c r="AA56" s="10">
        <f t="shared" si="10"/>
        <v>10.9375</v>
      </c>
      <c r="AB56" s="10">
        <f t="shared" si="21"/>
        <v>5.729166666666667</v>
      </c>
      <c r="AC56" s="10">
        <v>7</v>
      </c>
      <c r="AD56" s="10">
        <v>3.2</v>
      </c>
      <c r="AE56" s="10">
        <v>6.8</v>
      </c>
      <c r="AF56" s="10">
        <v>7.4</v>
      </c>
      <c r="AG56" s="10">
        <v>2</v>
      </c>
      <c r="AH56" s="10">
        <v>6.4</v>
      </c>
      <c r="AI56" s="10">
        <v>8.8000000000000007</v>
      </c>
      <c r="AJ56" s="10">
        <v>2</v>
      </c>
      <c r="AK56" s="10"/>
      <c r="AL56" s="10">
        <f t="shared" si="11"/>
        <v>16.5</v>
      </c>
      <c r="AM56" s="10">
        <f t="shared" si="12"/>
        <v>0</v>
      </c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</row>
    <row r="57" spans="1:55" x14ac:dyDescent="0.25">
      <c r="A57" s="10" t="s">
        <v>95</v>
      </c>
      <c r="B57" s="10" t="s">
        <v>40</v>
      </c>
      <c r="C57" s="10">
        <v>1069.058</v>
      </c>
      <c r="D57" s="10">
        <v>794.827</v>
      </c>
      <c r="E57" s="10">
        <v>615.88</v>
      </c>
      <c r="F57" s="10">
        <v>575.37199999999996</v>
      </c>
      <c r="G57" s="7">
        <v>1</v>
      </c>
      <c r="H57" s="10">
        <v>45</v>
      </c>
      <c r="I57" s="10" t="s">
        <v>38</v>
      </c>
      <c r="J57" s="10"/>
      <c r="K57" s="10">
        <v>568</v>
      </c>
      <c r="L57" s="10">
        <f t="shared" si="18"/>
        <v>47.879999999999995</v>
      </c>
      <c r="M57" s="10">
        <f t="shared" si="19"/>
        <v>615.88</v>
      </c>
      <c r="N57" s="10"/>
      <c r="O57" s="10">
        <v>250</v>
      </c>
      <c r="P57" s="10">
        <v>250</v>
      </c>
      <c r="Q57" s="10">
        <f t="shared" si="20"/>
        <v>123.176</v>
      </c>
      <c r="R57" s="4">
        <f t="shared" si="24"/>
        <v>649.09199999999998</v>
      </c>
      <c r="S57" s="4">
        <f t="shared" si="26"/>
        <v>600</v>
      </c>
      <c r="T57" s="4">
        <f>$T$1*Q57</f>
        <v>270.98720000000003</v>
      </c>
      <c r="U57" s="4">
        <f t="shared" si="8"/>
        <v>871</v>
      </c>
      <c r="V57" s="4">
        <f t="shared" si="9"/>
        <v>371</v>
      </c>
      <c r="W57" s="4">
        <v>500</v>
      </c>
      <c r="X57" s="4">
        <v>600</v>
      </c>
      <c r="Y57" s="10"/>
      <c r="Z57" s="10"/>
      <c r="AA57" s="10">
        <f t="shared" si="10"/>
        <v>15.801552250438396</v>
      </c>
      <c r="AB57" s="10">
        <f t="shared" si="21"/>
        <v>8.7303695525102274</v>
      </c>
      <c r="AC57" s="10">
        <v>111.364</v>
      </c>
      <c r="AD57" s="10">
        <v>125.2668</v>
      </c>
      <c r="AE57" s="10">
        <v>145.46960000000001</v>
      </c>
      <c r="AF57" s="10">
        <v>126.71559999999999</v>
      </c>
      <c r="AG57" s="10">
        <v>137.16640000000001</v>
      </c>
      <c r="AH57" s="10">
        <v>134.31819999999999</v>
      </c>
      <c r="AI57" s="10">
        <v>138.85640000000001</v>
      </c>
      <c r="AJ57" s="10">
        <v>149.1952</v>
      </c>
      <c r="AK57" s="10"/>
      <c r="AL57" s="10">
        <f t="shared" si="11"/>
        <v>371</v>
      </c>
      <c r="AM57" s="10">
        <f t="shared" si="12"/>
        <v>500</v>
      </c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</row>
    <row r="58" spans="1:55" x14ac:dyDescent="0.25">
      <c r="A58" s="10" t="s">
        <v>96</v>
      </c>
      <c r="B58" s="10" t="s">
        <v>37</v>
      </c>
      <c r="C58" s="10">
        <v>45</v>
      </c>
      <c r="D58" s="10">
        <v>80</v>
      </c>
      <c r="E58" s="10">
        <v>19</v>
      </c>
      <c r="F58" s="10">
        <v>103</v>
      </c>
      <c r="G58" s="7">
        <v>0.1</v>
      </c>
      <c r="H58" s="10">
        <v>60</v>
      </c>
      <c r="I58" s="10" t="s">
        <v>38</v>
      </c>
      <c r="J58" s="10"/>
      <c r="K58" s="10">
        <v>22</v>
      </c>
      <c r="L58" s="10">
        <f t="shared" si="18"/>
        <v>-3</v>
      </c>
      <c r="M58" s="10">
        <f t="shared" si="19"/>
        <v>19</v>
      </c>
      <c r="N58" s="10"/>
      <c r="O58" s="10">
        <v>0</v>
      </c>
      <c r="P58" s="10"/>
      <c r="Q58" s="10">
        <f t="shared" si="20"/>
        <v>3.8</v>
      </c>
      <c r="R58" s="4"/>
      <c r="S58" s="4">
        <f t="shared" si="7"/>
        <v>0</v>
      </c>
      <c r="T58" s="4"/>
      <c r="U58" s="4">
        <f t="shared" si="8"/>
        <v>0</v>
      </c>
      <c r="V58" s="4">
        <f t="shared" si="9"/>
        <v>0</v>
      </c>
      <c r="W58" s="4"/>
      <c r="X58" s="4"/>
      <c r="Y58" s="10"/>
      <c r="Z58" s="10"/>
      <c r="AA58" s="10">
        <f t="shared" si="10"/>
        <v>27.10526315789474</v>
      </c>
      <c r="AB58" s="10">
        <f t="shared" si="21"/>
        <v>27.10526315789474</v>
      </c>
      <c r="AC58" s="10">
        <v>1</v>
      </c>
      <c r="AD58" s="10">
        <v>6.4</v>
      </c>
      <c r="AE58" s="10">
        <v>4.8</v>
      </c>
      <c r="AF58" s="10">
        <v>3.2</v>
      </c>
      <c r="AG58" s="10">
        <v>3.4</v>
      </c>
      <c r="AH58" s="10">
        <v>5.8</v>
      </c>
      <c r="AI58" s="10">
        <v>5.8</v>
      </c>
      <c r="AJ58" s="10">
        <v>4.4000000000000004</v>
      </c>
      <c r="AK58" s="21" t="s">
        <v>137</v>
      </c>
      <c r="AL58" s="10">
        <f t="shared" si="11"/>
        <v>0</v>
      </c>
      <c r="AM58" s="10">
        <f t="shared" si="12"/>
        <v>0</v>
      </c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</row>
    <row r="59" spans="1:55" x14ac:dyDescent="0.25">
      <c r="A59" s="10" t="s">
        <v>97</v>
      </c>
      <c r="B59" s="10" t="s">
        <v>37</v>
      </c>
      <c r="C59" s="10">
        <v>220</v>
      </c>
      <c r="D59" s="10">
        <v>9</v>
      </c>
      <c r="E59" s="10">
        <v>129</v>
      </c>
      <c r="F59" s="10">
        <v>61</v>
      </c>
      <c r="G59" s="7">
        <v>0.4</v>
      </c>
      <c r="H59" s="10">
        <v>45</v>
      </c>
      <c r="I59" s="10" t="s">
        <v>38</v>
      </c>
      <c r="J59" s="10"/>
      <c r="K59" s="10">
        <v>125</v>
      </c>
      <c r="L59" s="10">
        <f t="shared" si="18"/>
        <v>4</v>
      </c>
      <c r="M59" s="10">
        <f t="shared" si="19"/>
        <v>129</v>
      </c>
      <c r="N59" s="10"/>
      <c r="O59" s="10">
        <v>100</v>
      </c>
      <c r="P59" s="10"/>
      <c r="Q59" s="10">
        <f t="shared" si="20"/>
        <v>25.8</v>
      </c>
      <c r="R59" s="4">
        <f t="shared" si="24"/>
        <v>200.2</v>
      </c>
      <c r="S59" s="4">
        <f t="shared" ref="S59:S64" si="27">X59</f>
        <v>100</v>
      </c>
      <c r="T59" s="4"/>
      <c r="U59" s="4">
        <f t="shared" si="8"/>
        <v>100</v>
      </c>
      <c r="V59" s="4">
        <f t="shared" si="9"/>
        <v>50</v>
      </c>
      <c r="W59" s="4">
        <v>50</v>
      </c>
      <c r="X59" s="4">
        <v>100</v>
      </c>
      <c r="Y59" s="10"/>
      <c r="Z59" s="10"/>
      <c r="AA59" s="10">
        <f t="shared" si="10"/>
        <v>10.116279069767442</v>
      </c>
      <c r="AB59" s="10">
        <f t="shared" si="21"/>
        <v>6.2403100775193794</v>
      </c>
      <c r="AC59" s="10">
        <v>20.399999999999999</v>
      </c>
      <c r="AD59" s="10">
        <v>19.8</v>
      </c>
      <c r="AE59" s="10">
        <v>27.6</v>
      </c>
      <c r="AF59" s="10">
        <v>15.8</v>
      </c>
      <c r="AG59" s="10">
        <v>19.8</v>
      </c>
      <c r="AH59" s="10">
        <v>23</v>
      </c>
      <c r="AI59" s="10">
        <v>12</v>
      </c>
      <c r="AJ59" s="10">
        <v>19.8</v>
      </c>
      <c r="AK59" s="10"/>
      <c r="AL59" s="10">
        <f t="shared" si="11"/>
        <v>20</v>
      </c>
      <c r="AM59" s="10">
        <f t="shared" si="12"/>
        <v>20</v>
      </c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</row>
    <row r="60" spans="1:55" x14ac:dyDescent="0.25">
      <c r="A60" s="10" t="s">
        <v>98</v>
      </c>
      <c r="B60" s="10" t="s">
        <v>40</v>
      </c>
      <c r="C60" s="10">
        <v>102.65</v>
      </c>
      <c r="D60" s="10">
        <v>114.77</v>
      </c>
      <c r="E60" s="10">
        <v>48.378999999999998</v>
      </c>
      <c r="F60" s="10">
        <v>32.984999999999999</v>
      </c>
      <c r="G60" s="7">
        <v>1</v>
      </c>
      <c r="H60" s="10">
        <v>60</v>
      </c>
      <c r="I60" s="10" t="s">
        <v>38</v>
      </c>
      <c r="J60" s="10"/>
      <c r="K60" s="10">
        <v>49.1</v>
      </c>
      <c r="L60" s="10">
        <f t="shared" si="18"/>
        <v>-0.72100000000000364</v>
      </c>
      <c r="M60" s="10">
        <f t="shared" si="19"/>
        <v>48.378999999999998</v>
      </c>
      <c r="N60" s="10"/>
      <c r="O60" s="10">
        <v>40</v>
      </c>
      <c r="P60" s="10"/>
      <c r="Q60" s="10">
        <f t="shared" si="20"/>
        <v>9.6757999999999988</v>
      </c>
      <c r="R60" s="4">
        <f t="shared" si="24"/>
        <v>62.476199999999992</v>
      </c>
      <c r="S60" s="4">
        <f t="shared" si="27"/>
        <v>80</v>
      </c>
      <c r="T60" s="4"/>
      <c r="U60" s="4">
        <f t="shared" si="8"/>
        <v>80</v>
      </c>
      <c r="V60" s="4">
        <f t="shared" si="9"/>
        <v>40</v>
      </c>
      <c r="W60" s="4">
        <v>40</v>
      </c>
      <c r="X60" s="4">
        <v>80</v>
      </c>
      <c r="Y60" s="10"/>
      <c r="Z60" s="10"/>
      <c r="AA60" s="10">
        <f t="shared" si="10"/>
        <v>15.811095723351045</v>
      </c>
      <c r="AB60" s="10">
        <f t="shared" si="21"/>
        <v>7.5430455362864057</v>
      </c>
      <c r="AC60" s="10">
        <v>9.0990000000000002</v>
      </c>
      <c r="AD60" s="10">
        <v>9.6590000000000007</v>
      </c>
      <c r="AE60" s="10">
        <v>11.2742</v>
      </c>
      <c r="AF60" s="10">
        <v>10.0428</v>
      </c>
      <c r="AG60" s="10">
        <v>8.7577999999999996</v>
      </c>
      <c r="AH60" s="10">
        <v>10.8238</v>
      </c>
      <c r="AI60" s="10">
        <v>12.757</v>
      </c>
      <c r="AJ60" s="10">
        <v>5.726</v>
      </c>
      <c r="AK60" s="10"/>
      <c r="AL60" s="10">
        <f t="shared" si="11"/>
        <v>40</v>
      </c>
      <c r="AM60" s="10">
        <f t="shared" si="12"/>
        <v>40</v>
      </c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</row>
    <row r="61" spans="1:55" x14ac:dyDescent="0.25">
      <c r="A61" s="10" t="s">
        <v>99</v>
      </c>
      <c r="B61" s="10" t="s">
        <v>37</v>
      </c>
      <c r="C61" s="10">
        <v>102</v>
      </c>
      <c r="D61" s="10">
        <v>41</v>
      </c>
      <c r="E61" s="10">
        <v>84</v>
      </c>
      <c r="F61" s="10">
        <v>14</v>
      </c>
      <c r="G61" s="7">
        <v>0.25</v>
      </c>
      <c r="H61" s="10">
        <v>120</v>
      </c>
      <c r="I61" s="10" t="s">
        <v>38</v>
      </c>
      <c r="J61" s="10"/>
      <c r="K61" s="10">
        <v>82</v>
      </c>
      <c r="L61" s="10">
        <f t="shared" si="18"/>
        <v>2</v>
      </c>
      <c r="M61" s="10">
        <f t="shared" si="19"/>
        <v>84</v>
      </c>
      <c r="N61" s="10"/>
      <c r="O61" s="10">
        <v>8</v>
      </c>
      <c r="P61" s="10"/>
      <c r="Q61" s="10">
        <f t="shared" si="20"/>
        <v>16.8</v>
      </c>
      <c r="R61" s="4">
        <f>10*Q61-P61-O61-F61</f>
        <v>146</v>
      </c>
      <c r="S61" s="4">
        <f t="shared" si="27"/>
        <v>100</v>
      </c>
      <c r="T61" s="4"/>
      <c r="U61" s="4">
        <f t="shared" si="8"/>
        <v>100</v>
      </c>
      <c r="V61" s="4">
        <f t="shared" si="9"/>
        <v>50</v>
      </c>
      <c r="W61" s="4">
        <v>50</v>
      </c>
      <c r="X61" s="4">
        <v>100</v>
      </c>
      <c r="Y61" s="10"/>
      <c r="Z61" s="10"/>
      <c r="AA61" s="10">
        <f t="shared" si="10"/>
        <v>7.2619047619047619</v>
      </c>
      <c r="AB61" s="10">
        <f t="shared" si="21"/>
        <v>1.3095238095238095</v>
      </c>
      <c r="AC61" s="10">
        <v>7</v>
      </c>
      <c r="AD61" s="10">
        <v>11</v>
      </c>
      <c r="AE61" s="10">
        <v>15</v>
      </c>
      <c r="AF61" s="10">
        <v>0.8</v>
      </c>
      <c r="AG61" s="10">
        <v>0</v>
      </c>
      <c r="AH61" s="10">
        <v>0</v>
      </c>
      <c r="AI61" s="10">
        <v>0</v>
      </c>
      <c r="AJ61" s="10">
        <v>0</v>
      </c>
      <c r="AK61" s="10" t="s">
        <v>58</v>
      </c>
      <c r="AL61" s="10">
        <f t="shared" si="11"/>
        <v>12.5</v>
      </c>
      <c r="AM61" s="10">
        <f t="shared" si="12"/>
        <v>12.5</v>
      </c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</row>
    <row r="62" spans="1:55" x14ac:dyDescent="0.25">
      <c r="A62" s="10" t="s">
        <v>100</v>
      </c>
      <c r="B62" s="10" t="s">
        <v>40</v>
      </c>
      <c r="C62" s="10">
        <v>96.489000000000004</v>
      </c>
      <c r="D62" s="10">
        <v>274.36500000000001</v>
      </c>
      <c r="E62" s="10">
        <v>78.956999999999994</v>
      </c>
      <c r="F62" s="10">
        <v>197.58799999999999</v>
      </c>
      <c r="G62" s="7">
        <v>1</v>
      </c>
      <c r="H62" s="10">
        <v>45</v>
      </c>
      <c r="I62" s="10" t="s">
        <v>38</v>
      </c>
      <c r="J62" s="10"/>
      <c r="K62" s="10">
        <v>78</v>
      </c>
      <c r="L62" s="10">
        <f t="shared" si="18"/>
        <v>0.95699999999999363</v>
      </c>
      <c r="M62" s="10">
        <f t="shared" si="19"/>
        <v>78.956999999999994</v>
      </c>
      <c r="N62" s="10"/>
      <c r="O62" s="10">
        <v>0</v>
      </c>
      <c r="P62" s="10"/>
      <c r="Q62" s="10">
        <f t="shared" si="20"/>
        <v>15.791399999999999</v>
      </c>
      <c r="R62" s="4">
        <f t="shared" si="24"/>
        <v>23.491600000000005</v>
      </c>
      <c r="S62" s="4">
        <f t="shared" si="27"/>
        <v>30</v>
      </c>
      <c r="T62" s="4"/>
      <c r="U62" s="4">
        <f t="shared" si="8"/>
        <v>30</v>
      </c>
      <c r="V62" s="4">
        <f t="shared" si="9"/>
        <v>0</v>
      </c>
      <c r="W62" s="4">
        <v>30</v>
      </c>
      <c r="X62" s="4">
        <v>30</v>
      </c>
      <c r="Y62" s="10"/>
      <c r="Z62" s="10"/>
      <c r="AA62" s="10">
        <f t="shared" si="10"/>
        <v>14.41214838456375</v>
      </c>
      <c r="AB62" s="10">
        <f t="shared" si="21"/>
        <v>12.5123801562876</v>
      </c>
      <c r="AC62" s="10">
        <v>16.674399999999999</v>
      </c>
      <c r="AD62" s="10">
        <v>22.286200000000001</v>
      </c>
      <c r="AE62" s="10">
        <v>19.5428</v>
      </c>
      <c r="AF62" s="10">
        <v>17.291399999999999</v>
      </c>
      <c r="AG62" s="10">
        <v>19.669599999999999</v>
      </c>
      <c r="AH62" s="10">
        <v>19.529199999999999</v>
      </c>
      <c r="AI62" s="10">
        <v>20.8658</v>
      </c>
      <c r="AJ62" s="10">
        <v>27.0518</v>
      </c>
      <c r="AK62" s="10"/>
      <c r="AL62" s="10">
        <f t="shared" si="11"/>
        <v>0</v>
      </c>
      <c r="AM62" s="10">
        <f t="shared" si="12"/>
        <v>30</v>
      </c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</row>
    <row r="63" spans="1:55" x14ac:dyDescent="0.25">
      <c r="A63" s="10" t="s">
        <v>101</v>
      </c>
      <c r="B63" s="10" t="s">
        <v>37</v>
      </c>
      <c r="C63" s="10">
        <v>562</v>
      </c>
      <c r="D63" s="10">
        <v>738</v>
      </c>
      <c r="E63" s="19">
        <f>572+E92</f>
        <v>604</v>
      </c>
      <c r="F63" s="19">
        <f>471+F92</f>
        <v>504</v>
      </c>
      <c r="G63" s="7">
        <v>0.41</v>
      </c>
      <c r="H63" s="10">
        <v>50</v>
      </c>
      <c r="I63" s="10" t="s">
        <v>38</v>
      </c>
      <c r="J63" s="10"/>
      <c r="K63" s="10">
        <v>584</v>
      </c>
      <c r="L63" s="10">
        <f t="shared" si="18"/>
        <v>20</v>
      </c>
      <c r="M63" s="10">
        <f t="shared" si="19"/>
        <v>504</v>
      </c>
      <c r="N63" s="10">
        <v>100</v>
      </c>
      <c r="O63" s="10">
        <v>247</v>
      </c>
      <c r="P63" s="10">
        <v>250</v>
      </c>
      <c r="Q63" s="10">
        <f t="shared" si="20"/>
        <v>100.8</v>
      </c>
      <c r="R63" s="4">
        <f t="shared" si="24"/>
        <v>410.20000000000005</v>
      </c>
      <c r="S63" s="4">
        <f t="shared" si="27"/>
        <v>500</v>
      </c>
      <c r="T63" s="4"/>
      <c r="U63" s="4">
        <f t="shared" si="8"/>
        <v>500</v>
      </c>
      <c r="V63" s="4">
        <f t="shared" si="9"/>
        <v>250</v>
      </c>
      <c r="W63" s="4">
        <v>250</v>
      </c>
      <c r="X63" s="4">
        <v>500</v>
      </c>
      <c r="Y63" s="10"/>
      <c r="Z63" s="10"/>
      <c r="AA63" s="10">
        <f t="shared" si="10"/>
        <v>14.890873015873016</v>
      </c>
      <c r="AB63" s="10">
        <f t="shared" si="21"/>
        <v>9.9305555555555554</v>
      </c>
      <c r="AC63" s="10">
        <v>97.4</v>
      </c>
      <c r="AD63" s="10">
        <v>120.2</v>
      </c>
      <c r="AE63" s="10">
        <v>111.4</v>
      </c>
      <c r="AF63" s="10">
        <v>102.6</v>
      </c>
      <c r="AG63" s="10">
        <v>91.2</v>
      </c>
      <c r="AH63" s="10">
        <v>113.4</v>
      </c>
      <c r="AI63" s="10">
        <v>108</v>
      </c>
      <c r="AJ63" s="10">
        <v>111.4</v>
      </c>
      <c r="AK63" s="10"/>
      <c r="AL63" s="10">
        <f t="shared" si="11"/>
        <v>102.5</v>
      </c>
      <c r="AM63" s="10">
        <f t="shared" si="12"/>
        <v>102.5</v>
      </c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</row>
    <row r="64" spans="1:55" x14ac:dyDescent="0.25">
      <c r="A64" s="10" t="s">
        <v>102</v>
      </c>
      <c r="B64" s="10" t="s">
        <v>40</v>
      </c>
      <c r="C64" s="10">
        <v>755.48299999999995</v>
      </c>
      <c r="D64" s="10">
        <v>212.00200000000001</v>
      </c>
      <c r="E64" s="19">
        <f>284.211+E93</f>
        <v>320.59800000000001</v>
      </c>
      <c r="F64" s="19">
        <f>351.832+F93</f>
        <v>391.33100000000002</v>
      </c>
      <c r="G64" s="7">
        <v>1</v>
      </c>
      <c r="H64" s="10">
        <v>50</v>
      </c>
      <c r="I64" s="10" t="s">
        <v>38</v>
      </c>
      <c r="J64" s="10"/>
      <c r="K64" s="10">
        <v>263.10000000000002</v>
      </c>
      <c r="L64" s="10">
        <f t="shared" si="18"/>
        <v>57.49799999999999</v>
      </c>
      <c r="M64" s="10">
        <f t="shared" si="19"/>
        <v>320.59800000000001</v>
      </c>
      <c r="N64" s="10"/>
      <c r="O64" s="10">
        <v>100</v>
      </c>
      <c r="P64" s="10"/>
      <c r="Q64" s="10">
        <f t="shared" si="20"/>
        <v>64.119600000000005</v>
      </c>
      <c r="R64" s="4">
        <f t="shared" si="24"/>
        <v>406.34340000000009</v>
      </c>
      <c r="S64" s="4">
        <f t="shared" si="27"/>
        <v>400</v>
      </c>
      <c r="T64" s="4">
        <f>$T$1*Q64</f>
        <v>141.06312000000003</v>
      </c>
      <c r="U64" s="4">
        <f t="shared" si="8"/>
        <v>541</v>
      </c>
      <c r="V64" s="4">
        <f t="shared" si="9"/>
        <v>261</v>
      </c>
      <c r="W64" s="4">
        <v>280</v>
      </c>
      <c r="X64" s="4">
        <v>400</v>
      </c>
      <c r="Y64" s="10"/>
      <c r="Z64" s="10"/>
      <c r="AA64" s="10">
        <f t="shared" si="10"/>
        <v>16.100084841452535</v>
      </c>
      <c r="AB64" s="10">
        <f t="shared" si="21"/>
        <v>7.6627271536316508</v>
      </c>
      <c r="AC64" s="10">
        <v>51.177999999999997</v>
      </c>
      <c r="AD64" s="10">
        <v>66.072599999999994</v>
      </c>
      <c r="AE64" s="10">
        <v>89.318200000000004</v>
      </c>
      <c r="AF64" s="10">
        <v>62.905200000000001</v>
      </c>
      <c r="AG64" s="10">
        <v>64.453000000000003</v>
      </c>
      <c r="AH64" s="10">
        <v>64.389199999999988</v>
      </c>
      <c r="AI64" s="10">
        <v>74.6738</v>
      </c>
      <c r="AJ64" s="10">
        <v>78.798199999999994</v>
      </c>
      <c r="AK64" s="10"/>
      <c r="AL64" s="10">
        <f t="shared" si="11"/>
        <v>261</v>
      </c>
      <c r="AM64" s="10">
        <f t="shared" si="12"/>
        <v>280</v>
      </c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</row>
    <row r="65" spans="1:55" x14ac:dyDescent="0.25">
      <c r="A65" s="10" t="s">
        <v>103</v>
      </c>
      <c r="B65" s="10" t="s">
        <v>37</v>
      </c>
      <c r="C65" s="10">
        <v>20</v>
      </c>
      <c r="D65" s="10">
        <v>220</v>
      </c>
      <c r="E65" s="10">
        <v>10</v>
      </c>
      <c r="F65" s="10">
        <v>199</v>
      </c>
      <c r="G65" s="7">
        <v>0.35</v>
      </c>
      <c r="H65" s="10">
        <v>50</v>
      </c>
      <c r="I65" s="10" t="s">
        <v>38</v>
      </c>
      <c r="J65" s="10"/>
      <c r="K65" s="10">
        <v>16</v>
      </c>
      <c r="L65" s="10">
        <f t="shared" si="18"/>
        <v>-6</v>
      </c>
      <c r="M65" s="10">
        <f t="shared" si="19"/>
        <v>10</v>
      </c>
      <c r="N65" s="10"/>
      <c r="O65" s="10">
        <v>0</v>
      </c>
      <c r="P65" s="10"/>
      <c r="Q65" s="10">
        <f t="shared" si="20"/>
        <v>2</v>
      </c>
      <c r="R65" s="4"/>
      <c r="S65" s="4">
        <f t="shared" si="7"/>
        <v>0</v>
      </c>
      <c r="T65" s="4"/>
      <c r="U65" s="4">
        <f t="shared" si="8"/>
        <v>0</v>
      </c>
      <c r="V65" s="4">
        <f t="shared" si="9"/>
        <v>0</v>
      </c>
      <c r="W65" s="4"/>
      <c r="X65" s="4"/>
      <c r="Y65" s="10"/>
      <c r="Z65" s="10"/>
      <c r="AA65" s="10">
        <f t="shared" si="10"/>
        <v>99.5</v>
      </c>
      <c r="AB65" s="10">
        <f t="shared" si="21"/>
        <v>99.5</v>
      </c>
      <c r="AC65" s="10">
        <v>4.8</v>
      </c>
      <c r="AD65" s="10">
        <v>15.4</v>
      </c>
      <c r="AE65" s="10">
        <v>8.8000000000000007</v>
      </c>
      <c r="AF65" s="10">
        <v>11.6</v>
      </c>
      <c r="AG65" s="10">
        <v>10.8</v>
      </c>
      <c r="AH65" s="10">
        <v>7.8</v>
      </c>
      <c r="AI65" s="10">
        <v>10.199999999999999</v>
      </c>
      <c r="AJ65" s="10">
        <v>4</v>
      </c>
      <c r="AK65" s="20" t="s">
        <v>104</v>
      </c>
      <c r="AL65" s="10">
        <f t="shared" si="11"/>
        <v>0</v>
      </c>
      <c r="AM65" s="10">
        <f t="shared" si="12"/>
        <v>0</v>
      </c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</row>
    <row r="66" spans="1:55" x14ac:dyDescent="0.25">
      <c r="A66" s="10" t="s">
        <v>105</v>
      </c>
      <c r="B66" s="10" t="s">
        <v>40</v>
      </c>
      <c r="C66" s="10">
        <v>121.10599999999999</v>
      </c>
      <c r="D66" s="10">
        <v>83.474999999999994</v>
      </c>
      <c r="E66" s="10">
        <v>95.566999999999993</v>
      </c>
      <c r="F66" s="10">
        <v>82.122</v>
      </c>
      <c r="G66" s="7">
        <v>1</v>
      </c>
      <c r="H66" s="10">
        <v>50</v>
      </c>
      <c r="I66" s="10" t="s">
        <v>38</v>
      </c>
      <c r="J66" s="10"/>
      <c r="K66" s="10">
        <v>91</v>
      </c>
      <c r="L66" s="10">
        <f t="shared" si="18"/>
        <v>4.5669999999999931</v>
      </c>
      <c r="M66" s="10">
        <f t="shared" si="19"/>
        <v>95.566999999999993</v>
      </c>
      <c r="N66" s="10"/>
      <c r="O66" s="10">
        <v>80</v>
      </c>
      <c r="P66" s="10"/>
      <c r="Q66" s="10">
        <f t="shared" si="20"/>
        <v>19.113399999999999</v>
      </c>
      <c r="R66" s="4">
        <f t="shared" si="24"/>
        <v>105.46559999999995</v>
      </c>
      <c r="S66" s="4">
        <f>X66</f>
        <v>80</v>
      </c>
      <c r="T66" s="4"/>
      <c r="U66" s="4">
        <f t="shared" si="8"/>
        <v>80</v>
      </c>
      <c r="V66" s="4">
        <f t="shared" si="9"/>
        <v>40</v>
      </c>
      <c r="W66" s="4">
        <v>40</v>
      </c>
      <c r="X66" s="4">
        <v>80</v>
      </c>
      <c r="Y66" s="10"/>
      <c r="Z66" s="10"/>
      <c r="AA66" s="10">
        <f t="shared" si="10"/>
        <v>12.667657245701969</v>
      </c>
      <c r="AB66" s="10">
        <f t="shared" si="21"/>
        <v>8.4821120261178038</v>
      </c>
      <c r="AC66" s="10">
        <v>16.910599999999999</v>
      </c>
      <c r="AD66" s="10">
        <v>19.037800000000001</v>
      </c>
      <c r="AE66" s="10">
        <v>18.141200000000001</v>
      </c>
      <c r="AF66" s="10">
        <v>21.473400000000002</v>
      </c>
      <c r="AG66" s="10">
        <v>18.667000000000002</v>
      </c>
      <c r="AH66" s="10">
        <v>14.3124</v>
      </c>
      <c r="AI66" s="10">
        <v>8.8277999999999999</v>
      </c>
      <c r="AJ66" s="10">
        <v>13.273999999999999</v>
      </c>
      <c r="AK66" s="10"/>
      <c r="AL66" s="10">
        <f t="shared" si="11"/>
        <v>40</v>
      </c>
      <c r="AM66" s="10">
        <f t="shared" si="12"/>
        <v>40</v>
      </c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</row>
    <row r="67" spans="1:55" x14ac:dyDescent="0.25">
      <c r="A67" s="10" t="s">
        <v>106</v>
      </c>
      <c r="B67" s="10" t="s">
        <v>37</v>
      </c>
      <c r="C67" s="10">
        <v>455</v>
      </c>
      <c r="D67" s="10">
        <v>759</v>
      </c>
      <c r="E67" s="10">
        <v>298</v>
      </c>
      <c r="F67" s="10">
        <v>632</v>
      </c>
      <c r="G67" s="7">
        <v>0.4</v>
      </c>
      <c r="H67" s="10">
        <v>50</v>
      </c>
      <c r="I67" s="10" t="s">
        <v>38</v>
      </c>
      <c r="J67" s="10"/>
      <c r="K67" s="10">
        <v>310</v>
      </c>
      <c r="L67" s="10">
        <f t="shared" si="18"/>
        <v>-12</v>
      </c>
      <c r="M67" s="10">
        <f t="shared" si="19"/>
        <v>298</v>
      </c>
      <c r="N67" s="10"/>
      <c r="O67" s="10">
        <v>0</v>
      </c>
      <c r="P67" s="10">
        <v>276</v>
      </c>
      <c r="Q67" s="10">
        <f t="shared" si="20"/>
        <v>59.6</v>
      </c>
      <c r="R67" s="4"/>
      <c r="S67" s="4">
        <f t="shared" si="7"/>
        <v>0</v>
      </c>
      <c r="T67" s="4"/>
      <c r="U67" s="4">
        <f t="shared" si="8"/>
        <v>0</v>
      </c>
      <c r="V67" s="4">
        <f t="shared" si="9"/>
        <v>0</v>
      </c>
      <c r="W67" s="4"/>
      <c r="X67" s="4"/>
      <c r="Y67" s="10"/>
      <c r="Z67" s="10"/>
      <c r="AA67" s="10">
        <f t="shared" si="10"/>
        <v>15.23489932885906</v>
      </c>
      <c r="AB67" s="10">
        <f t="shared" si="21"/>
        <v>15.23489932885906</v>
      </c>
      <c r="AC67" s="10">
        <v>76</v>
      </c>
      <c r="AD67" s="10">
        <v>89.8</v>
      </c>
      <c r="AE67" s="10">
        <v>88</v>
      </c>
      <c r="AF67" s="10">
        <v>79</v>
      </c>
      <c r="AG67" s="10">
        <v>80.599999999999994</v>
      </c>
      <c r="AH67" s="10">
        <v>79.2</v>
      </c>
      <c r="AI67" s="10">
        <v>66.2</v>
      </c>
      <c r="AJ67" s="10">
        <v>85.8</v>
      </c>
      <c r="AK67" s="11" t="s">
        <v>107</v>
      </c>
      <c r="AL67" s="10">
        <f t="shared" si="11"/>
        <v>0</v>
      </c>
      <c r="AM67" s="10">
        <f t="shared" si="12"/>
        <v>0</v>
      </c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</row>
    <row r="68" spans="1:55" x14ac:dyDescent="0.25">
      <c r="A68" s="10" t="s">
        <v>108</v>
      </c>
      <c r="B68" s="10" t="s">
        <v>37</v>
      </c>
      <c r="C68" s="10">
        <v>517</v>
      </c>
      <c r="D68" s="10">
        <v>948</v>
      </c>
      <c r="E68" s="10">
        <v>396</v>
      </c>
      <c r="F68" s="10">
        <v>773</v>
      </c>
      <c r="G68" s="7">
        <v>0.41</v>
      </c>
      <c r="H68" s="10">
        <v>50</v>
      </c>
      <c r="I68" s="10" t="s">
        <v>38</v>
      </c>
      <c r="J68" s="10"/>
      <c r="K68" s="10">
        <v>399</v>
      </c>
      <c r="L68" s="10">
        <f t="shared" si="18"/>
        <v>-3</v>
      </c>
      <c r="M68" s="10">
        <f t="shared" si="19"/>
        <v>396</v>
      </c>
      <c r="N68" s="10"/>
      <c r="O68" s="10">
        <v>0</v>
      </c>
      <c r="P68" s="10">
        <v>190</v>
      </c>
      <c r="Q68" s="10">
        <f t="shared" si="20"/>
        <v>79.2</v>
      </c>
      <c r="R68" s="4">
        <f t="shared" si="24"/>
        <v>145.79999999999995</v>
      </c>
      <c r="S68" s="4">
        <f t="shared" ref="S68:S70" si="28">X68</f>
        <v>150</v>
      </c>
      <c r="T68" s="4">
        <f>$T$1*Q68</f>
        <v>174.24</v>
      </c>
      <c r="U68" s="4">
        <f t="shared" si="8"/>
        <v>324</v>
      </c>
      <c r="V68" s="4">
        <f t="shared" si="9"/>
        <v>124</v>
      </c>
      <c r="W68" s="4">
        <v>200</v>
      </c>
      <c r="X68" s="4">
        <v>150</v>
      </c>
      <c r="Y68" s="10"/>
      <c r="Z68" s="10"/>
      <c r="AA68" s="10">
        <f t="shared" si="10"/>
        <v>16.25</v>
      </c>
      <c r="AB68" s="10">
        <f t="shared" si="21"/>
        <v>12.159090909090908</v>
      </c>
      <c r="AC68" s="10">
        <v>89.6</v>
      </c>
      <c r="AD68" s="10">
        <v>118.2</v>
      </c>
      <c r="AE68" s="10">
        <v>100.4</v>
      </c>
      <c r="AF68" s="10">
        <v>93</v>
      </c>
      <c r="AG68" s="10">
        <v>98</v>
      </c>
      <c r="AH68" s="10">
        <v>103</v>
      </c>
      <c r="AI68" s="10">
        <v>89.8</v>
      </c>
      <c r="AJ68" s="10">
        <v>100.6</v>
      </c>
      <c r="AK68" s="10"/>
      <c r="AL68" s="10">
        <f t="shared" si="11"/>
        <v>50.839999999999996</v>
      </c>
      <c r="AM68" s="10">
        <f t="shared" si="12"/>
        <v>82</v>
      </c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</row>
    <row r="69" spans="1:55" x14ac:dyDescent="0.25">
      <c r="A69" s="10" t="s">
        <v>109</v>
      </c>
      <c r="B69" s="10" t="s">
        <v>40</v>
      </c>
      <c r="C69" s="10">
        <v>564.04200000000003</v>
      </c>
      <c r="D69" s="10">
        <v>215.99600000000001</v>
      </c>
      <c r="E69" s="10">
        <v>251.024</v>
      </c>
      <c r="F69" s="10">
        <v>289.68200000000002</v>
      </c>
      <c r="G69" s="7">
        <v>1</v>
      </c>
      <c r="H69" s="10">
        <v>50</v>
      </c>
      <c r="I69" s="10" t="s">
        <v>38</v>
      </c>
      <c r="J69" s="10"/>
      <c r="K69" s="10">
        <v>230.8</v>
      </c>
      <c r="L69" s="10">
        <f t="shared" si="18"/>
        <v>20.22399999999999</v>
      </c>
      <c r="M69" s="10">
        <f t="shared" si="19"/>
        <v>251.024</v>
      </c>
      <c r="N69" s="10"/>
      <c r="O69" s="10">
        <v>0</v>
      </c>
      <c r="P69" s="10">
        <v>143</v>
      </c>
      <c r="Q69" s="10">
        <f t="shared" si="20"/>
        <v>50.204799999999999</v>
      </c>
      <c r="R69" s="4">
        <f t="shared" si="24"/>
        <v>270.18520000000001</v>
      </c>
      <c r="S69" s="4">
        <f t="shared" si="28"/>
        <v>300</v>
      </c>
      <c r="T69" s="4"/>
      <c r="U69" s="4">
        <f t="shared" si="8"/>
        <v>300</v>
      </c>
      <c r="V69" s="4">
        <f t="shared" si="9"/>
        <v>150</v>
      </c>
      <c r="W69" s="4">
        <v>150</v>
      </c>
      <c r="X69" s="4">
        <v>300</v>
      </c>
      <c r="Y69" s="10"/>
      <c r="Z69" s="10"/>
      <c r="AA69" s="10">
        <f t="shared" si="10"/>
        <v>14.593863534960802</v>
      </c>
      <c r="AB69" s="10">
        <f t="shared" si="21"/>
        <v>8.6183392822997007</v>
      </c>
      <c r="AC69" s="10">
        <v>42.810199999999988</v>
      </c>
      <c r="AD69" s="10">
        <v>42.6494</v>
      </c>
      <c r="AE69" s="10">
        <v>65.701999999999998</v>
      </c>
      <c r="AF69" s="10">
        <v>57.389400000000002</v>
      </c>
      <c r="AG69" s="10">
        <v>53.626600000000003</v>
      </c>
      <c r="AH69" s="10">
        <v>53.664400000000001</v>
      </c>
      <c r="AI69" s="10">
        <v>56.102800000000002</v>
      </c>
      <c r="AJ69" s="10">
        <v>63.061800000000012</v>
      </c>
      <c r="AK69" s="10"/>
      <c r="AL69" s="10">
        <f t="shared" si="11"/>
        <v>150</v>
      </c>
      <c r="AM69" s="10">
        <f t="shared" si="12"/>
        <v>150</v>
      </c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</row>
    <row r="70" spans="1:55" x14ac:dyDescent="0.25">
      <c r="A70" s="10" t="s">
        <v>110</v>
      </c>
      <c r="B70" s="10" t="s">
        <v>37</v>
      </c>
      <c r="C70" s="10">
        <v>122</v>
      </c>
      <c r="D70" s="10">
        <v>7</v>
      </c>
      <c r="E70" s="10">
        <v>95</v>
      </c>
      <c r="F70" s="10">
        <v>17</v>
      </c>
      <c r="G70" s="7">
        <v>0.3</v>
      </c>
      <c r="H70" s="10">
        <v>50</v>
      </c>
      <c r="I70" s="10" t="s">
        <v>38</v>
      </c>
      <c r="J70" s="10"/>
      <c r="K70" s="10">
        <v>92</v>
      </c>
      <c r="L70" s="10">
        <f t="shared" ref="L70:L93" si="29">E70-K70</f>
        <v>3</v>
      </c>
      <c r="M70" s="10">
        <f t="shared" ref="M70:M93" si="30">E70-N70</f>
        <v>95</v>
      </c>
      <c r="N70" s="10"/>
      <c r="O70" s="10">
        <v>50</v>
      </c>
      <c r="P70" s="10"/>
      <c r="Q70" s="10">
        <f t="shared" ref="Q70:Q93" si="31">M70/5</f>
        <v>19</v>
      </c>
      <c r="R70" s="4">
        <f>13*Q70-P70-O70-F70</f>
        <v>180</v>
      </c>
      <c r="S70" s="4">
        <f t="shared" si="28"/>
        <v>180</v>
      </c>
      <c r="T70" s="4"/>
      <c r="U70" s="4">
        <f t="shared" si="8"/>
        <v>180</v>
      </c>
      <c r="V70" s="4">
        <f t="shared" si="9"/>
        <v>90</v>
      </c>
      <c r="W70" s="4">
        <v>90</v>
      </c>
      <c r="X70" s="4">
        <v>180</v>
      </c>
      <c r="Y70" s="10"/>
      <c r="Z70" s="10"/>
      <c r="AA70" s="10">
        <f t="shared" si="10"/>
        <v>13</v>
      </c>
      <c r="AB70" s="10">
        <f t="shared" ref="AB70:AB93" si="32">(F70+O70+P70)/Q70</f>
        <v>3.5263157894736841</v>
      </c>
      <c r="AC70" s="10">
        <v>9.8000000000000007</v>
      </c>
      <c r="AD70" s="10">
        <v>8</v>
      </c>
      <c r="AE70" s="10">
        <v>16.600000000000001</v>
      </c>
      <c r="AF70" s="10">
        <v>17.8</v>
      </c>
      <c r="AG70" s="10">
        <v>7.8</v>
      </c>
      <c r="AH70" s="10">
        <v>17</v>
      </c>
      <c r="AI70" s="10">
        <v>16</v>
      </c>
      <c r="AJ70" s="10">
        <v>14.8</v>
      </c>
      <c r="AK70" s="10"/>
      <c r="AL70" s="10">
        <f t="shared" si="11"/>
        <v>27</v>
      </c>
      <c r="AM70" s="10">
        <f t="shared" si="12"/>
        <v>27</v>
      </c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</row>
    <row r="71" spans="1:55" x14ac:dyDescent="0.25">
      <c r="A71" s="10" t="s">
        <v>111</v>
      </c>
      <c r="B71" s="10" t="s">
        <v>37</v>
      </c>
      <c r="C71" s="10">
        <v>217</v>
      </c>
      <c r="D71" s="10">
        <v>70</v>
      </c>
      <c r="E71" s="10">
        <v>35</v>
      </c>
      <c r="F71" s="10">
        <v>174</v>
      </c>
      <c r="G71" s="7">
        <v>0.14000000000000001</v>
      </c>
      <c r="H71" s="10">
        <v>50</v>
      </c>
      <c r="I71" s="10" t="s">
        <v>38</v>
      </c>
      <c r="J71" s="10"/>
      <c r="K71" s="10">
        <v>42</v>
      </c>
      <c r="L71" s="10">
        <f t="shared" si="29"/>
        <v>-7</v>
      </c>
      <c r="M71" s="10">
        <f t="shared" si="30"/>
        <v>35</v>
      </c>
      <c r="N71" s="10"/>
      <c r="O71" s="10">
        <v>0</v>
      </c>
      <c r="P71" s="10"/>
      <c r="Q71" s="10">
        <f t="shared" si="31"/>
        <v>7</v>
      </c>
      <c r="R71" s="4"/>
      <c r="S71" s="4">
        <f t="shared" ref="S71:S93" si="33">R71</f>
        <v>0</v>
      </c>
      <c r="T71" s="4"/>
      <c r="U71" s="4">
        <f t="shared" ref="U71:U93" si="34">ROUND(T71+S71,0)</f>
        <v>0</v>
      </c>
      <c r="V71" s="4">
        <f t="shared" ref="V71:V93" si="35">U71-W71</f>
        <v>0</v>
      </c>
      <c r="W71" s="4"/>
      <c r="X71" s="4"/>
      <c r="Y71" s="10"/>
      <c r="Z71" s="10"/>
      <c r="AA71" s="10">
        <f t="shared" ref="AA71:AA93" si="36">(F71+O71+P71+U71)/Q71</f>
        <v>24.857142857142858</v>
      </c>
      <c r="AB71" s="10">
        <f t="shared" si="32"/>
        <v>24.857142857142858</v>
      </c>
      <c r="AC71" s="10">
        <v>4.2</v>
      </c>
      <c r="AD71" s="10">
        <v>3.6</v>
      </c>
      <c r="AE71" s="10">
        <v>21.6</v>
      </c>
      <c r="AF71" s="10">
        <v>12.2</v>
      </c>
      <c r="AG71" s="10">
        <v>4.2</v>
      </c>
      <c r="AH71" s="10">
        <v>12.8</v>
      </c>
      <c r="AI71" s="10">
        <v>23.6</v>
      </c>
      <c r="AJ71" s="10">
        <v>20.6</v>
      </c>
      <c r="AK71" s="22" t="s">
        <v>138</v>
      </c>
      <c r="AL71" s="10">
        <f t="shared" ref="AL71:AL93" si="37">G71*V71</f>
        <v>0</v>
      </c>
      <c r="AM71" s="10">
        <f t="shared" ref="AM71:AM93" si="38">G71*W71</f>
        <v>0</v>
      </c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</row>
    <row r="72" spans="1:55" x14ac:dyDescent="0.25">
      <c r="A72" s="10" t="s">
        <v>112</v>
      </c>
      <c r="B72" s="10" t="s">
        <v>37</v>
      </c>
      <c r="C72" s="10">
        <v>215</v>
      </c>
      <c r="D72" s="10">
        <v>320</v>
      </c>
      <c r="E72" s="10">
        <v>164</v>
      </c>
      <c r="F72" s="10">
        <v>232</v>
      </c>
      <c r="G72" s="7">
        <v>0.18</v>
      </c>
      <c r="H72" s="10">
        <v>50</v>
      </c>
      <c r="I72" s="10" t="s">
        <v>38</v>
      </c>
      <c r="J72" s="10"/>
      <c r="K72" s="10">
        <v>165</v>
      </c>
      <c r="L72" s="10">
        <f t="shared" si="29"/>
        <v>-1</v>
      </c>
      <c r="M72" s="10">
        <f t="shared" si="30"/>
        <v>164</v>
      </c>
      <c r="N72" s="10"/>
      <c r="O72" s="10">
        <v>0</v>
      </c>
      <c r="P72" s="10"/>
      <c r="Q72" s="10">
        <f t="shared" si="31"/>
        <v>32.799999999999997</v>
      </c>
      <c r="R72" s="4">
        <f t="shared" si="24"/>
        <v>227.19999999999993</v>
      </c>
      <c r="S72" s="4">
        <f t="shared" si="33"/>
        <v>227.19999999999993</v>
      </c>
      <c r="T72" s="4"/>
      <c r="U72" s="4">
        <f t="shared" si="34"/>
        <v>227</v>
      </c>
      <c r="V72" s="4">
        <f t="shared" si="35"/>
        <v>127</v>
      </c>
      <c r="W72" s="4">
        <v>100</v>
      </c>
      <c r="X72" s="4"/>
      <c r="Y72" s="10"/>
      <c r="Z72" s="10"/>
      <c r="AA72" s="10">
        <f t="shared" si="36"/>
        <v>13.993902439024392</v>
      </c>
      <c r="AB72" s="10">
        <f t="shared" si="32"/>
        <v>7.073170731707318</v>
      </c>
      <c r="AC72" s="10">
        <v>23</v>
      </c>
      <c r="AD72" s="10">
        <v>36</v>
      </c>
      <c r="AE72" s="10">
        <v>33</v>
      </c>
      <c r="AF72" s="10">
        <v>11.6</v>
      </c>
      <c r="AG72" s="10">
        <v>30</v>
      </c>
      <c r="AH72" s="10">
        <v>33.4</v>
      </c>
      <c r="AI72" s="10">
        <v>17.2</v>
      </c>
      <c r="AJ72" s="10">
        <v>20.6</v>
      </c>
      <c r="AK72" s="10"/>
      <c r="AL72" s="10">
        <f t="shared" si="37"/>
        <v>22.86</v>
      </c>
      <c r="AM72" s="10">
        <f t="shared" si="38"/>
        <v>18</v>
      </c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</row>
    <row r="73" spans="1:55" x14ac:dyDescent="0.25">
      <c r="A73" s="10" t="s">
        <v>113</v>
      </c>
      <c r="B73" s="10" t="s">
        <v>40</v>
      </c>
      <c r="C73" s="10">
        <v>155.27000000000001</v>
      </c>
      <c r="D73" s="10">
        <v>67.260999999999996</v>
      </c>
      <c r="E73" s="10">
        <v>61.817</v>
      </c>
      <c r="F73" s="10">
        <v>79.578999999999994</v>
      </c>
      <c r="G73" s="7">
        <v>1</v>
      </c>
      <c r="H73" s="10" t="e">
        <v>#N/A</v>
      </c>
      <c r="I73" s="10" t="s">
        <v>38</v>
      </c>
      <c r="J73" s="10"/>
      <c r="K73" s="10">
        <v>57.28</v>
      </c>
      <c r="L73" s="10">
        <f t="shared" si="29"/>
        <v>4.536999999999999</v>
      </c>
      <c r="M73" s="10">
        <f t="shared" si="30"/>
        <v>61.817</v>
      </c>
      <c r="N73" s="10"/>
      <c r="O73" s="10">
        <v>50</v>
      </c>
      <c r="P73" s="10"/>
      <c r="Q73" s="10">
        <f t="shared" si="31"/>
        <v>12.3634</v>
      </c>
      <c r="R73" s="4">
        <f t="shared" si="24"/>
        <v>43.508600000000015</v>
      </c>
      <c r="S73" s="4">
        <f>X73</f>
        <v>60</v>
      </c>
      <c r="T73" s="4"/>
      <c r="U73" s="4">
        <f t="shared" si="34"/>
        <v>60</v>
      </c>
      <c r="V73" s="4">
        <f t="shared" si="35"/>
        <v>30</v>
      </c>
      <c r="W73" s="4">
        <v>30</v>
      </c>
      <c r="X73" s="4">
        <v>60</v>
      </c>
      <c r="Y73" s="10"/>
      <c r="Z73" s="10"/>
      <c r="AA73" s="10">
        <f t="shared" si="36"/>
        <v>15.333888736108191</v>
      </c>
      <c r="AB73" s="10">
        <f t="shared" si="32"/>
        <v>10.480854781047285</v>
      </c>
      <c r="AC73" s="10">
        <v>13.888</v>
      </c>
      <c r="AD73" s="10">
        <v>7.4112000000000027</v>
      </c>
      <c r="AE73" s="10">
        <v>18.095199999999998</v>
      </c>
      <c r="AF73" s="10">
        <v>14.6356</v>
      </c>
      <c r="AG73" s="10">
        <v>11.7346</v>
      </c>
      <c r="AH73" s="10">
        <v>10.8156</v>
      </c>
      <c r="AI73" s="10">
        <v>5.6125999999999996</v>
      </c>
      <c r="AJ73" s="10">
        <v>18.335999999999999</v>
      </c>
      <c r="AK73" s="10"/>
      <c r="AL73" s="10">
        <f t="shared" si="37"/>
        <v>30</v>
      </c>
      <c r="AM73" s="10">
        <f t="shared" si="38"/>
        <v>30</v>
      </c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</row>
    <row r="74" spans="1:55" x14ac:dyDescent="0.25">
      <c r="A74" s="10" t="s">
        <v>114</v>
      </c>
      <c r="B74" s="10" t="s">
        <v>37</v>
      </c>
      <c r="C74" s="10"/>
      <c r="D74" s="10">
        <v>16</v>
      </c>
      <c r="E74" s="10">
        <v>-4</v>
      </c>
      <c r="F74" s="10">
        <v>16</v>
      </c>
      <c r="G74" s="7">
        <v>0.22</v>
      </c>
      <c r="H74" s="10" t="e">
        <v>#N/A</v>
      </c>
      <c r="I74" s="10" t="s">
        <v>38</v>
      </c>
      <c r="J74" s="10"/>
      <c r="K74" s="10"/>
      <c r="L74" s="10">
        <f t="shared" si="29"/>
        <v>-4</v>
      </c>
      <c r="M74" s="10">
        <f t="shared" si="30"/>
        <v>-4</v>
      </c>
      <c r="N74" s="10"/>
      <c r="O74" s="10">
        <v>20</v>
      </c>
      <c r="P74" s="10"/>
      <c r="Q74" s="10">
        <f t="shared" si="31"/>
        <v>-0.8</v>
      </c>
      <c r="R74" s="4"/>
      <c r="S74" s="4">
        <f t="shared" si="33"/>
        <v>0</v>
      </c>
      <c r="T74" s="4"/>
      <c r="U74" s="4">
        <f t="shared" si="34"/>
        <v>0</v>
      </c>
      <c r="V74" s="4">
        <f t="shared" si="35"/>
        <v>0</v>
      </c>
      <c r="W74" s="4"/>
      <c r="X74" s="4"/>
      <c r="Y74" s="10"/>
      <c r="Z74" s="10"/>
      <c r="AA74" s="10">
        <f t="shared" si="36"/>
        <v>-45</v>
      </c>
      <c r="AB74" s="10">
        <f t="shared" si="32"/>
        <v>-45</v>
      </c>
      <c r="AC74" s="10">
        <v>-0.4</v>
      </c>
      <c r="AD74" s="10">
        <v>-0.2</v>
      </c>
      <c r="AE74" s="10">
        <v>0.4</v>
      </c>
      <c r="AF74" s="10">
        <v>1</v>
      </c>
      <c r="AG74" s="10">
        <v>0.4</v>
      </c>
      <c r="AH74" s="10">
        <v>1</v>
      </c>
      <c r="AI74" s="10">
        <v>-0.4</v>
      </c>
      <c r="AJ74" s="10">
        <v>0.6</v>
      </c>
      <c r="AK74" s="10"/>
      <c r="AL74" s="10">
        <f t="shared" si="37"/>
        <v>0</v>
      </c>
      <c r="AM74" s="10">
        <f t="shared" si="38"/>
        <v>0</v>
      </c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</row>
    <row r="75" spans="1:55" x14ac:dyDescent="0.25">
      <c r="A75" s="10" t="s">
        <v>115</v>
      </c>
      <c r="B75" s="10" t="s">
        <v>37</v>
      </c>
      <c r="C75" s="10">
        <v>49</v>
      </c>
      <c r="D75" s="10">
        <v>73</v>
      </c>
      <c r="E75" s="10">
        <v>40</v>
      </c>
      <c r="F75" s="10">
        <v>48</v>
      </c>
      <c r="G75" s="7">
        <v>0.84</v>
      </c>
      <c r="H75" s="10">
        <v>50</v>
      </c>
      <c r="I75" s="10" t="s">
        <v>38</v>
      </c>
      <c r="J75" s="10"/>
      <c r="K75" s="10">
        <v>40</v>
      </c>
      <c r="L75" s="10">
        <f t="shared" si="29"/>
        <v>0</v>
      </c>
      <c r="M75" s="10">
        <f t="shared" si="30"/>
        <v>40</v>
      </c>
      <c r="N75" s="10"/>
      <c r="O75" s="10">
        <v>30</v>
      </c>
      <c r="P75" s="10"/>
      <c r="Q75" s="10">
        <f t="shared" si="31"/>
        <v>8</v>
      </c>
      <c r="R75" s="4">
        <f t="shared" si="24"/>
        <v>34</v>
      </c>
      <c r="S75" s="4">
        <f t="shared" ref="S75:S76" si="39">X75</f>
        <v>40</v>
      </c>
      <c r="T75" s="4"/>
      <c r="U75" s="4">
        <f t="shared" si="34"/>
        <v>40</v>
      </c>
      <c r="V75" s="4">
        <f t="shared" si="35"/>
        <v>40</v>
      </c>
      <c r="W75" s="4"/>
      <c r="X75" s="4">
        <v>40</v>
      </c>
      <c r="Y75" s="10"/>
      <c r="Z75" s="10"/>
      <c r="AA75" s="10">
        <f t="shared" si="36"/>
        <v>14.75</v>
      </c>
      <c r="AB75" s="10">
        <f t="shared" si="32"/>
        <v>9.75</v>
      </c>
      <c r="AC75" s="10">
        <v>6.8</v>
      </c>
      <c r="AD75" s="10">
        <v>5.8</v>
      </c>
      <c r="AE75" s="10">
        <v>7</v>
      </c>
      <c r="AF75" s="10">
        <v>6.8</v>
      </c>
      <c r="AG75" s="10">
        <v>6.6</v>
      </c>
      <c r="AH75" s="10">
        <v>8.8000000000000007</v>
      </c>
      <c r="AI75" s="10">
        <v>4.8</v>
      </c>
      <c r="AJ75" s="10">
        <v>9.6</v>
      </c>
      <c r="AK75" s="10"/>
      <c r="AL75" s="10">
        <f t="shared" si="37"/>
        <v>33.6</v>
      </c>
      <c r="AM75" s="10">
        <f t="shared" si="38"/>
        <v>0</v>
      </c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</row>
    <row r="76" spans="1:55" x14ac:dyDescent="0.25">
      <c r="A76" s="10" t="s">
        <v>116</v>
      </c>
      <c r="B76" s="10" t="s">
        <v>37</v>
      </c>
      <c r="C76" s="10">
        <v>507</v>
      </c>
      <c r="D76" s="10">
        <v>935</v>
      </c>
      <c r="E76" s="10">
        <v>448</v>
      </c>
      <c r="F76" s="10">
        <v>669</v>
      </c>
      <c r="G76" s="7">
        <v>0.35</v>
      </c>
      <c r="H76" s="10">
        <v>50</v>
      </c>
      <c r="I76" s="10" t="s">
        <v>38</v>
      </c>
      <c r="J76" s="10"/>
      <c r="K76" s="10">
        <v>458</v>
      </c>
      <c r="L76" s="10">
        <f t="shared" si="29"/>
        <v>-10</v>
      </c>
      <c r="M76" s="10">
        <f t="shared" si="30"/>
        <v>448</v>
      </c>
      <c r="N76" s="10"/>
      <c r="O76" s="10">
        <v>138</v>
      </c>
      <c r="P76" s="10">
        <v>100</v>
      </c>
      <c r="Q76" s="10">
        <f t="shared" si="31"/>
        <v>89.6</v>
      </c>
      <c r="R76" s="4">
        <f t="shared" si="24"/>
        <v>347.39999999999986</v>
      </c>
      <c r="S76" s="4">
        <f t="shared" si="39"/>
        <v>400</v>
      </c>
      <c r="T76" s="4"/>
      <c r="U76" s="4">
        <f t="shared" si="34"/>
        <v>400</v>
      </c>
      <c r="V76" s="4">
        <f t="shared" si="35"/>
        <v>200</v>
      </c>
      <c r="W76" s="4">
        <v>200</v>
      </c>
      <c r="X76" s="4">
        <v>400</v>
      </c>
      <c r="Y76" s="10"/>
      <c r="Z76" s="10"/>
      <c r="AA76" s="10">
        <f t="shared" si="36"/>
        <v>14.587053571428573</v>
      </c>
      <c r="AB76" s="10">
        <f t="shared" si="32"/>
        <v>10.122767857142858</v>
      </c>
      <c r="AC76" s="10">
        <v>87.6</v>
      </c>
      <c r="AD76" s="10">
        <v>114</v>
      </c>
      <c r="AE76" s="10">
        <v>98.8</v>
      </c>
      <c r="AF76" s="10">
        <v>80.599999999999994</v>
      </c>
      <c r="AG76" s="10">
        <v>97.4</v>
      </c>
      <c r="AH76" s="10">
        <v>94.8</v>
      </c>
      <c r="AI76" s="10">
        <v>82.6</v>
      </c>
      <c r="AJ76" s="10">
        <v>99.6</v>
      </c>
      <c r="AK76" s="10"/>
      <c r="AL76" s="10">
        <f t="shared" si="37"/>
        <v>70</v>
      </c>
      <c r="AM76" s="10">
        <f t="shared" si="38"/>
        <v>70</v>
      </c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</row>
    <row r="77" spans="1:55" x14ac:dyDescent="0.25">
      <c r="A77" s="10" t="s">
        <v>117</v>
      </c>
      <c r="B77" s="10" t="s">
        <v>40</v>
      </c>
      <c r="C77" s="10">
        <v>-0.86199999999999999</v>
      </c>
      <c r="D77" s="10">
        <v>473.77600000000001</v>
      </c>
      <c r="E77" s="10">
        <v>72.555000000000007</v>
      </c>
      <c r="F77" s="10">
        <v>351.80099999999999</v>
      </c>
      <c r="G77" s="7">
        <v>1</v>
      </c>
      <c r="H77" s="10">
        <v>50</v>
      </c>
      <c r="I77" s="10" t="s">
        <v>38</v>
      </c>
      <c r="J77" s="10"/>
      <c r="K77" s="10">
        <v>70.099999999999994</v>
      </c>
      <c r="L77" s="10">
        <f t="shared" si="29"/>
        <v>2.4550000000000125</v>
      </c>
      <c r="M77" s="10">
        <f t="shared" si="30"/>
        <v>72.555000000000007</v>
      </c>
      <c r="N77" s="10"/>
      <c r="O77" s="10">
        <v>100</v>
      </c>
      <c r="P77" s="10"/>
      <c r="Q77" s="10">
        <f t="shared" si="31"/>
        <v>14.511000000000001</v>
      </c>
      <c r="R77" s="4"/>
      <c r="S77" s="4">
        <f t="shared" si="33"/>
        <v>0</v>
      </c>
      <c r="T77" s="4"/>
      <c r="U77" s="4">
        <f t="shared" si="34"/>
        <v>0</v>
      </c>
      <c r="V77" s="4">
        <f t="shared" si="35"/>
        <v>0</v>
      </c>
      <c r="W77" s="4"/>
      <c r="X77" s="4"/>
      <c r="Y77" s="10"/>
      <c r="Z77" s="10"/>
      <c r="AA77" s="10">
        <f t="shared" si="36"/>
        <v>31.135069946936802</v>
      </c>
      <c r="AB77" s="10">
        <f t="shared" si="32"/>
        <v>31.135069946936802</v>
      </c>
      <c r="AC77" s="10">
        <v>28.582999999999998</v>
      </c>
      <c r="AD77" s="10">
        <v>27.069800000000001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 t="s">
        <v>58</v>
      </c>
      <c r="AL77" s="10">
        <f t="shared" si="37"/>
        <v>0</v>
      </c>
      <c r="AM77" s="10">
        <f t="shared" si="38"/>
        <v>0</v>
      </c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</row>
    <row r="78" spans="1:55" x14ac:dyDescent="0.25">
      <c r="A78" s="10" t="s">
        <v>118</v>
      </c>
      <c r="B78" s="10" t="s">
        <v>40</v>
      </c>
      <c r="C78" s="10">
        <v>549.37400000000002</v>
      </c>
      <c r="D78" s="10">
        <v>474.39800000000002</v>
      </c>
      <c r="E78" s="10">
        <v>270.37200000000001</v>
      </c>
      <c r="F78" s="10">
        <v>336.06700000000001</v>
      </c>
      <c r="G78" s="7">
        <v>1</v>
      </c>
      <c r="H78" s="10">
        <v>50</v>
      </c>
      <c r="I78" s="10" t="s">
        <v>38</v>
      </c>
      <c r="J78" s="10"/>
      <c r="K78" s="10">
        <v>258.5</v>
      </c>
      <c r="L78" s="10">
        <f t="shared" si="29"/>
        <v>11.872000000000014</v>
      </c>
      <c r="M78" s="10">
        <f t="shared" si="30"/>
        <v>270.37200000000001</v>
      </c>
      <c r="N78" s="10"/>
      <c r="O78" s="10">
        <v>215</v>
      </c>
      <c r="P78" s="10">
        <v>200</v>
      </c>
      <c r="Q78" s="10">
        <f t="shared" si="31"/>
        <v>54.074400000000004</v>
      </c>
      <c r="R78" s="4">
        <f t="shared" si="24"/>
        <v>5.9746000000000095</v>
      </c>
      <c r="S78" s="4">
        <f t="shared" ref="S78:S79" si="40">X78</f>
        <v>200</v>
      </c>
      <c r="T78" s="4"/>
      <c r="U78" s="4">
        <f t="shared" si="34"/>
        <v>200</v>
      </c>
      <c r="V78" s="4">
        <f t="shared" si="35"/>
        <v>80</v>
      </c>
      <c r="W78" s="4">
        <v>120</v>
      </c>
      <c r="X78" s="4">
        <v>200</v>
      </c>
      <c r="Y78" s="10"/>
      <c r="Z78" s="10"/>
      <c r="AA78" s="10">
        <f t="shared" si="36"/>
        <v>17.588119331883476</v>
      </c>
      <c r="AB78" s="10">
        <f t="shared" si="32"/>
        <v>13.889511487875962</v>
      </c>
      <c r="AC78" s="10">
        <v>65.099199999999996</v>
      </c>
      <c r="AD78" s="10">
        <v>67.461600000000004</v>
      </c>
      <c r="AE78" s="10">
        <v>81.076800000000006</v>
      </c>
      <c r="AF78" s="10">
        <v>67.440399999999997</v>
      </c>
      <c r="AG78" s="10">
        <v>67.703800000000001</v>
      </c>
      <c r="AH78" s="10">
        <v>79.288800000000009</v>
      </c>
      <c r="AI78" s="10">
        <v>47.412599999999998</v>
      </c>
      <c r="AJ78" s="10">
        <v>79.828999999999994</v>
      </c>
      <c r="AK78" s="10"/>
      <c r="AL78" s="10">
        <f t="shared" si="37"/>
        <v>80</v>
      </c>
      <c r="AM78" s="10">
        <f t="shared" si="38"/>
        <v>120</v>
      </c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</row>
    <row r="79" spans="1:55" x14ac:dyDescent="0.25">
      <c r="A79" s="10" t="s">
        <v>119</v>
      </c>
      <c r="B79" s="10" t="s">
        <v>37</v>
      </c>
      <c r="C79" s="10">
        <v>687</v>
      </c>
      <c r="D79" s="10">
        <v>559</v>
      </c>
      <c r="E79" s="10">
        <v>454</v>
      </c>
      <c r="F79" s="10">
        <v>501</v>
      </c>
      <c r="G79" s="7">
        <v>0.35</v>
      </c>
      <c r="H79" s="10">
        <v>50</v>
      </c>
      <c r="I79" s="10" t="s">
        <v>38</v>
      </c>
      <c r="J79" s="10"/>
      <c r="K79" s="10">
        <v>472</v>
      </c>
      <c r="L79" s="10">
        <f t="shared" si="29"/>
        <v>-18</v>
      </c>
      <c r="M79" s="10">
        <f t="shared" si="30"/>
        <v>454</v>
      </c>
      <c r="N79" s="10"/>
      <c r="O79" s="10">
        <v>191</v>
      </c>
      <c r="P79" s="10">
        <v>200</v>
      </c>
      <c r="Q79" s="10">
        <f t="shared" si="31"/>
        <v>90.8</v>
      </c>
      <c r="R79" s="4">
        <f t="shared" si="24"/>
        <v>379.20000000000005</v>
      </c>
      <c r="S79" s="4">
        <f t="shared" si="40"/>
        <v>400</v>
      </c>
      <c r="T79" s="4">
        <f>$T$1*Q79</f>
        <v>199.76000000000002</v>
      </c>
      <c r="U79" s="4">
        <f t="shared" si="34"/>
        <v>600</v>
      </c>
      <c r="V79" s="4">
        <f t="shared" si="35"/>
        <v>200</v>
      </c>
      <c r="W79" s="4">
        <v>400</v>
      </c>
      <c r="X79" s="4">
        <v>400</v>
      </c>
      <c r="Y79" s="10"/>
      <c r="Z79" s="10"/>
      <c r="AA79" s="10">
        <f t="shared" si="36"/>
        <v>16.431718061674008</v>
      </c>
      <c r="AB79" s="10">
        <f t="shared" si="32"/>
        <v>9.823788546255507</v>
      </c>
      <c r="AC79" s="10">
        <v>90.8</v>
      </c>
      <c r="AD79" s="10">
        <v>105.6</v>
      </c>
      <c r="AE79" s="10">
        <v>115</v>
      </c>
      <c r="AF79" s="10">
        <v>94.4</v>
      </c>
      <c r="AG79" s="10">
        <v>108.2</v>
      </c>
      <c r="AH79" s="10">
        <v>110.4</v>
      </c>
      <c r="AI79" s="10">
        <v>99.8</v>
      </c>
      <c r="AJ79" s="10">
        <v>107.8</v>
      </c>
      <c r="AK79" s="10"/>
      <c r="AL79" s="10">
        <f t="shared" si="37"/>
        <v>70</v>
      </c>
      <c r="AM79" s="10">
        <f t="shared" si="38"/>
        <v>140</v>
      </c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</row>
    <row r="80" spans="1:55" x14ac:dyDescent="0.25">
      <c r="A80" s="10" t="s">
        <v>120</v>
      </c>
      <c r="B80" s="10" t="s">
        <v>37</v>
      </c>
      <c r="C80" s="10">
        <v>28</v>
      </c>
      <c r="D80" s="10">
        <v>102</v>
      </c>
      <c r="E80" s="10">
        <v>15</v>
      </c>
      <c r="F80" s="10">
        <v>99</v>
      </c>
      <c r="G80" s="7">
        <v>0.3</v>
      </c>
      <c r="H80" s="10">
        <v>45</v>
      </c>
      <c r="I80" s="10" t="s">
        <v>38</v>
      </c>
      <c r="J80" s="10"/>
      <c r="K80" s="10">
        <v>38</v>
      </c>
      <c r="L80" s="10">
        <f t="shared" si="29"/>
        <v>-23</v>
      </c>
      <c r="M80" s="10">
        <f t="shared" si="30"/>
        <v>15</v>
      </c>
      <c r="N80" s="10"/>
      <c r="O80" s="10">
        <v>80</v>
      </c>
      <c r="P80" s="10"/>
      <c r="Q80" s="10">
        <f t="shared" si="31"/>
        <v>3</v>
      </c>
      <c r="R80" s="4"/>
      <c r="S80" s="4">
        <f t="shared" si="33"/>
        <v>0</v>
      </c>
      <c r="T80" s="4"/>
      <c r="U80" s="4">
        <f t="shared" si="34"/>
        <v>0</v>
      </c>
      <c r="V80" s="4">
        <f t="shared" si="35"/>
        <v>0</v>
      </c>
      <c r="W80" s="4"/>
      <c r="X80" s="4"/>
      <c r="Y80" s="10"/>
      <c r="Z80" s="10"/>
      <c r="AA80" s="10">
        <f t="shared" si="36"/>
        <v>59.666666666666664</v>
      </c>
      <c r="AB80" s="10">
        <f t="shared" si="32"/>
        <v>59.666666666666664</v>
      </c>
      <c r="AC80" s="10">
        <v>14.2</v>
      </c>
      <c r="AD80" s="10">
        <v>12.8</v>
      </c>
      <c r="AE80" s="10">
        <v>10</v>
      </c>
      <c r="AF80" s="10">
        <v>12</v>
      </c>
      <c r="AG80" s="10">
        <v>15.6</v>
      </c>
      <c r="AH80" s="10">
        <v>7</v>
      </c>
      <c r="AI80" s="10">
        <v>7.2</v>
      </c>
      <c r="AJ80" s="10">
        <v>13.8</v>
      </c>
      <c r="AK80" s="10"/>
      <c r="AL80" s="10">
        <f t="shared" si="37"/>
        <v>0</v>
      </c>
      <c r="AM80" s="10">
        <f t="shared" si="38"/>
        <v>0</v>
      </c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</row>
    <row r="81" spans="1:55" x14ac:dyDescent="0.25">
      <c r="A81" s="12" t="s">
        <v>121</v>
      </c>
      <c r="B81" s="12" t="s">
        <v>37</v>
      </c>
      <c r="C81" s="12">
        <v>2</v>
      </c>
      <c r="D81" s="12"/>
      <c r="E81" s="12"/>
      <c r="F81" s="12"/>
      <c r="G81" s="13">
        <v>0</v>
      </c>
      <c r="H81" s="12">
        <v>120</v>
      </c>
      <c r="I81" s="12" t="s">
        <v>122</v>
      </c>
      <c r="J81" s="12"/>
      <c r="K81" s="12">
        <v>12</v>
      </c>
      <c r="L81" s="12">
        <f t="shared" si="29"/>
        <v>-12</v>
      </c>
      <c r="M81" s="12">
        <f t="shared" si="30"/>
        <v>0</v>
      </c>
      <c r="N81" s="12"/>
      <c r="O81" s="12">
        <v>0</v>
      </c>
      <c r="P81" s="12"/>
      <c r="Q81" s="12">
        <f t="shared" si="31"/>
        <v>0</v>
      </c>
      <c r="R81" s="15"/>
      <c r="S81" s="4">
        <f t="shared" si="33"/>
        <v>0</v>
      </c>
      <c r="T81" s="15"/>
      <c r="U81" s="4">
        <f t="shared" si="34"/>
        <v>0</v>
      </c>
      <c r="V81" s="4">
        <f t="shared" si="35"/>
        <v>0</v>
      </c>
      <c r="W81" s="4"/>
      <c r="X81" s="15"/>
      <c r="Y81" s="12"/>
      <c r="Z81" s="12"/>
      <c r="AA81" s="10" t="e">
        <f t="shared" si="36"/>
        <v>#DIV/0!</v>
      </c>
      <c r="AB81" s="12" t="e">
        <f t="shared" si="32"/>
        <v>#DIV/0!</v>
      </c>
      <c r="AC81" s="12">
        <v>0</v>
      </c>
      <c r="AD81" s="12">
        <v>0</v>
      </c>
      <c r="AE81" s="12">
        <v>1.4</v>
      </c>
      <c r="AF81" s="12">
        <v>0</v>
      </c>
      <c r="AG81" s="12">
        <v>0.2</v>
      </c>
      <c r="AH81" s="12">
        <v>0.4</v>
      </c>
      <c r="AI81" s="12">
        <v>-0.2</v>
      </c>
      <c r="AJ81" s="12">
        <v>0.6</v>
      </c>
      <c r="AK81" s="12" t="s">
        <v>82</v>
      </c>
      <c r="AL81" s="10">
        <f t="shared" si="37"/>
        <v>0</v>
      </c>
      <c r="AM81" s="10">
        <f t="shared" si="38"/>
        <v>0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</row>
    <row r="82" spans="1:55" x14ac:dyDescent="0.25">
      <c r="A82" s="10" t="s">
        <v>123</v>
      </c>
      <c r="B82" s="10" t="s">
        <v>37</v>
      </c>
      <c r="C82" s="10">
        <v>12</v>
      </c>
      <c r="D82" s="10">
        <v>48</v>
      </c>
      <c r="E82" s="10">
        <v>11</v>
      </c>
      <c r="F82" s="10">
        <v>44</v>
      </c>
      <c r="G82" s="7">
        <v>0.3</v>
      </c>
      <c r="H82" s="10">
        <v>60</v>
      </c>
      <c r="I82" s="10" t="s">
        <v>38</v>
      </c>
      <c r="J82" s="10"/>
      <c r="K82" s="10">
        <v>13</v>
      </c>
      <c r="L82" s="10">
        <f t="shared" si="29"/>
        <v>-2</v>
      </c>
      <c r="M82" s="10">
        <f t="shared" si="30"/>
        <v>11</v>
      </c>
      <c r="N82" s="10"/>
      <c r="O82" s="10">
        <v>0</v>
      </c>
      <c r="P82" s="10"/>
      <c r="Q82" s="10">
        <f t="shared" si="31"/>
        <v>2.2000000000000002</v>
      </c>
      <c r="R82" s="4"/>
      <c r="S82" s="4">
        <f t="shared" si="33"/>
        <v>0</v>
      </c>
      <c r="T82" s="4"/>
      <c r="U82" s="4">
        <f t="shared" si="34"/>
        <v>0</v>
      </c>
      <c r="V82" s="4">
        <f t="shared" si="35"/>
        <v>0</v>
      </c>
      <c r="W82" s="4"/>
      <c r="X82" s="4"/>
      <c r="Y82" s="10"/>
      <c r="Z82" s="10"/>
      <c r="AA82" s="10">
        <f t="shared" si="36"/>
        <v>20</v>
      </c>
      <c r="AB82" s="10">
        <f t="shared" si="32"/>
        <v>20</v>
      </c>
      <c r="AC82" s="10">
        <v>3.6</v>
      </c>
      <c r="AD82" s="10">
        <v>5.6</v>
      </c>
      <c r="AE82" s="10">
        <v>0.6</v>
      </c>
      <c r="AF82" s="10">
        <v>3.2</v>
      </c>
      <c r="AG82" s="10">
        <v>6.8</v>
      </c>
      <c r="AH82" s="10">
        <v>3.6</v>
      </c>
      <c r="AI82" s="10">
        <v>5.4</v>
      </c>
      <c r="AJ82" s="10">
        <v>4.8</v>
      </c>
      <c r="AK82" s="10"/>
      <c r="AL82" s="10">
        <f t="shared" si="37"/>
        <v>0</v>
      </c>
      <c r="AM82" s="10">
        <f t="shared" si="38"/>
        <v>0</v>
      </c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</row>
    <row r="83" spans="1:55" x14ac:dyDescent="0.25">
      <c r="A83" s="10" t="s">
        <v>124</v>
      </c>
      <c r="B83" s="10" t="s">
        <v>37</v>
      </c>
      <c r="C83" s="10">
        <v>546</v>
      </c>
      <c r="D83" s="10">
        <v>467</v>
      </c>
      <c r="E83" s="10">
        <v>475</v>
      </c>
      <c r="F83" s="10">
        <v>129</v>
      </c>
      <c r="G83" s="7">
        <v>0.28000000000000003</v>
      </c>
      <c r="H83" s="10">
        <v>50</v>
      </c>
      <c r="I83" s="10" t="s">
        <v>38</v>
      </c>
      <c r="J83" s="10"/>
      <c r="K83" s="10">
        <v>485</v>
      </c>
      <c r="L83" s="10">
        <f t="shared" si="29"/>
        <v>-10</v>
      </c>
      <c r="M83" s="10">
        <f t="shared" si="30"/>
        <v>435</v>
      </c>
      <c r="N83" s="10">
        <v>40</v>
      </c>
      <c r="O83" s="10">
        <v>272</v>
      </c>
      <c r="P83" s="10">
        <v>200</v>
      </c>
      <c r="Q83" s="10">
        <f t="shared" si="31"/>
        <v>87</v>
      </c>
      <c r="R83" s="4">
        <f t="shared" ref="R83:R88" si="41">14*Q83-P83-O83-F83</f>
        <v>617</v>
      </c>
      <c r="S83" s="4">
        <f t="shared" ref="S83:S88" si="42">X83</f>
        <v>600</v>
      </c>
      <c r="T83" s="4">
        <f t="shared" ref="T83:T84" si="43">$T$1*Q83</f>
        <v>191.4</v>
      </c>
      <c r="U83" s="4">
        <f t="shared" si="34"/>
        <v>791</v>
      </c>
      <c r="V83" s="4">
        <f t="shared" si="35"/>
        <v>441</v>
      </c>
      <c r="W83" s="4">
        <v>350</v>
      </c>
      <c r="X83" s="4">
        <v>600</v>
      </c>
      <c r="Y83" s="10"/>
      <c r="Z83" s="10"/>
      <c r="AA83" s="10">
        <f t="shared" si="36"/>
        <v>16</v>
      </c>
      <c r="AB83" s="10">
        <f t="shared" si="32"/>
        <v>6.9080459770114944</v>
      </c>
      <c r="AC83" s="10">
        <v>72.2</v>
      </c>
      <c r="AD83" s="10">
        <v>73.599999999999994</v>
      </c>
      <c r="AE83" s="10">
        <v>86.8</v>
      </c>
      <c r="AF83" s="10">
        <v>69</v>
      </c>
      <c r="AG83" s="10">
        <v>80.2</v>
      </c>
      <c r="AH83" s="10">
        <v>84.2</v>
      </c>
      <c r="AI83" s="10">
        <v>83.2</v>
      </c>
      <c r="AJ83" s="10">
        <v>87.4</v>
      </c>
      <c r="AK83" s="10"/>
      <c r="AL83" s="10">
        <f t="shared" si="37"/>
        <v>123.48000000000002</v>
      </c>
      <c r="AM83" s="10">
        <f t="shared" si="38"/>
        <v>98.000000000000014</v>
      </c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</row>
    <row r="84" spans="1:55" x14ac:dyDescent="0.25">
      <c r="A84" s="10" t="s">
        <v>125</v>
      </c>
      <c r="B84" s="10" t="s">
        <v>37</v>
      </c>
      <c r="C84" s="10">
        <v>410</v>
      </c>
      <c r="D84" s="10">
        <v>828</v>
      </c>
      <c r="E84" s="10">
        <v>530</v>
      </c>
      <c r="F84" s="10">
        <v>530</v>
      </c>
      <c r="G84" s="7">
        <v>0.28000000000000003</v>
      </c>
      <c r="H84" s="10">
        <v>45</v>
      </c>
      <c r="I84" s="10" t="s">
        <v>38</v>
      </c>
      <c r="J84" s="10"/>
      <c r="K84" s="10">
        <v>532</v>
      </c>
      <c r="L84" s="10">
        <f t="shared" si="29"/>
        <v>-2</v>
      </c>
      <c r="M84" s="10">
        <f t="shared" si="30"/>
        <v>530</v>
      </c>
      <c r="N84" s="10"/>
      <c r="O84" s="10">
        <v>150</v>
      </c>
      <c r="P84" s="10">
        <v>100</v>
      </c>
      <c r="Q84" s="10">
        <f t="shared" si="31"/>
        <v>106</v>
      </c>
      <c r="R84" s="4">
        <f t="shared" si="41"/>
        <v>704</v>
      </c>
      <c r="S84" s="4">
        <f t="shared" si="42"/>
        <v>750</v>
      </c>
      <c r="T84" s="4">
        <f t="shared" si="43"/>
        <v>233.20000000000002</v>
      </c>
      <c r="U84" s="4">
        <f t="shared" si="34"/>
        <v>983</v>
      </c>
      <c r="V84" s="4">
        <f t="shared" si="35"/>
        <v>533</v>
      </c>
      <c r="W84" s="4">
        <v>450</v>
      </c>
      <c r="X84" s="4">
        <v>750</v>
      </c>
      <c r="Y84" s="10"/>
      <c r="Z84" s="10"/>
      <c r="AA84" s="10">
        <f t="shared" si="36"/>
        <v>16.632075471698112</v>
      </c>
      <c r="AB84" s="10">
        <f t="shared" si="32"/>
        <v>7.3584905660377355</v>
      </c>
      <c r="AC84" s="10">
        <v>85.8</v>
      </c>
      <c r="AD84" s="10">
        <v>111</v>
      </c>
      <c r="AE84" s="10">
        <v>93</v>
      </c>
      <c r="AF84" s="10">
        <v>95.2</v>
      </c>
      <c r="AG84" s="10">
        <v>96.6</v>
      </c>
      <c r="AH84" s="10">
        <v>101.8</v>
      </c>
      <c r="AI84" s="10">
        <v>98.4</v>
      </c>
      <c r="AJ84" s="10">
        <v>112.4</v>
      </c>
      <c r="AK84" s="10"/>
      <c r="AL84" s="10">
        <f t="shared" si="37"/>
        <v>149.24</v>
      </c>
      <c r="AM84" s="10">
        <f t="shared" si="38"/>
        <v>126.00000000000001</v>
      </c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</row>
    <row r="85" spans="1:55" x14ac:dyDescent="0.25">
      <c r="A85" s="10" t="s">
        <v>126</v>
      </c>
      <c r="B85" s="10" t="s">
        <v>37</v>
      </c>
      <c r="C85" s="10">
        <v>175</v>
      </c>
      <c r="D85" s="10">
        <v>2</v>
      </c>
      <c r="E85" s="10">
        <v>145</v>
      </c>
      <c r="F85" s="10">
        <v>11</v>
      </c>
      <c r="G85" s="7">
        <v>0.28000000000000003</v>
      </c>
      <c r="H85" s="10">
        <v>45</v>
      </c>
      <c r="I85" s="10" t="s">
        <v>38</v>
      </c>
      <c r="J85" s="10"/>
      <c r="K85" s="10">
        <v>155</v>
      </c>
      <c r="L85" s="10">
        <f t="shared" si="29"/>
        <v>-10</v>
      </c>
      <c r="M85" s="10">
        <f t="shared" si="30"/>
        <v>145</v>
      </c>
      <c r="N85" s="10"/>
      <c r="O85" s="10">
        <v>150</v>
      </c>
      <c r="P85" s="10"/>
      <c r="Q85" s="10">
        <f t="shared" si="31"/>
        <v>29</v>
      </c>
      <c r="R85" s="4">
        <f t="shared" si="41"/>
        <v>245</v>
      </c>
      <c r="S85" s="4">
        <f t="shared" si="42"/>
        <v>250</v>
      </c>
      <c r="T85" s="4"/>
      <c r="U85" s="4">
        <f t="shared" si="34"/>
        <v>250</v>
      </c>
      <c r="V85" s="4">
        <f t="shared" si="35"/>
        <v>130</v>
      </c>
      <c r="W85" s="4">
        <v>120</v>
      </c>
      <c r="X85" s="4">
        <v>250</v>
      </c>
      <c r="Y85" s="10"/>
      <c r="Z85" s="10"/>
      <c r="AA85" s="10">
        <f t="shared" si="36"/>
        <v>14.172413793103448</v>
      </c>
      <c r="AB85" s="10">
        <f t="shared" si="32"/>
        <v>5.5517241379310347</v>
      </c>
      <c r="AC85" s="10">
        <v>21.4</v>
      </c>
      <c r="AD85" s="10">
        <v>19.399999999999999</v>
      </c>
      <c r="AE85" s="10">
        <v>27.8</v>
      </c>
      <c r="AF85" s="10">
        <v>26</v>
      </c>
      <c r="AG85" s="10">
        <v>27</v>
      </c>
      <c r="AH85" s="10">
        <v>17.8</v>
      </c>
      <c r="AI85" s="10">
        <v>29.8</v>
      </c>
      <c r="AJ85" s="10">
        <v>31.2</v>
      </c>
      <c r="AK85" s="10"/>
      <c r="AL85" s="10">
        <f t="shared" si="37"/>
        <v>36.400000000000006</v>
      </c>
      <c r="AM85" s="10">
        <f t="shared" si="38"/>
        <v>33.6</v>
      </c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</row>
    <row r="86" spans="1:55" x14ac:dyDescent="0.25">
      <c r="A86" s="10" t="s">
        <v>127</v>
      </c>
      <c r="B86" s="10" t="s">
        <v>37</v>
      </c>
      <c r="C86" s="10">
        <v>185</v>
      </c>
      <c r="D86" s="10">
        <v>800</v>
      </c>
      <c r="E86" s="10">
        <v>325</v>
      </c>
      <c r="F86" s="10">
        <v>360</v>
      </c>
      <c r="G86" s="7">
        <v>0.28000000000000003</v>
      </c>
      <c r="H86" s="10">
        <v>45</v>
      </c>
      <c r="I86" s="10" t="s">
        <v>38</v>
      </c>
      <c r="J86" s="10"/>
      <c r="K86" s="10">
        <v>326</v>
      </c>
      <c r="L86" s="10">
        <f t="shared" si="29"/>
        <v>-1</v>
      </c>
      <c r="M86" s="10">
        <f t="shared" si="30"/>
        <v>325</v>
      </c>
      <c r="N86" s="10"/>
      <c r="O86" s="10">
        <v>150</v>
      </c>
      <c r="P86" s="10"/>
      <c r="Q86" s="10">
        <f t="shared" si="31"/>
        <v>65</v>
      </c>
      <c r="R86" s="4">
        <f t="shared" si="41"/>
        <v>400</v>
      </c>
      <c r="S86" s="4">
        <f t="shared" si="42"/>
        <v>450</v>
      </c>
      <c r="T86" s="4"/>
      <c r="U86" s="4">
        <f t="shared" si="34"/>
        <v>450</v>
      </c>
      <c r="V86" s="4">
        <f t="shared" si="35"/>
        <v>230</v>
      </c>
      <c r="W86" s="4">
        <v>220</v>
      </c>
      <c r="X86" s="4">
        <v>450</v>
      </c>
      <c r="Y86" s="10"/>
      <c r="Z86" s="10"/>
      <c r="AA86" s="10">
        <f t="shared" si="36"/>
        <v>14.76923076923077</v>
      </c>
      <c r="AB86" s="10">
        <f t="shared" si="32"/>
        <v>7.8461538461538458</v>
      </c>
      <c r="AC86" s="10">
        <v>47.8</v>
      </c>
      <c r="AD86" s="10">
        <v>66.2</v>
      </c>
      <c r="AE86" s="10">
        <v>50.4</v>
      </c>
      <c r="AF86" s="10">
        <v>57.6</v>
      </c>
      <c r="AG86" s="10">
        <v>52.4</v>
      </c>
      <c r="AH86" s="10">
        <v>58.8</v>
      </c>
      <c r="AI86" s="10">
        <v>57.8</v>
      </c>
      <c r="AJ86" s="10">
        <v>64.400000000000006</v>
      </c>
      <c r="AK86" s="10"/>
      <c r="AL86" s="10">
        <f t="shared" si="37"/>
        <v>64.400000000000006</v>
      </c>
      <c r="AM86" s="10">
        <f t="shared" si="38"/>
        <v>61.600000000000009</v>
      </c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</row>
    <row r="87" spans="1:55" x14ac:dyDescent="0.25">
      <c r="A87" s="10" t="s">
        <v>128</v>
      </c>
      <c r="B87" s="10" t="s">
        <v>37</v>
      </c>
      <c r="C87" s="10">
        <v>89</v>
      </c>
      <c r="D87" s="10">
        <v>4</v>
      </c>
      <c r="E87" s="10">
        <v>49</v>
      </c>
      <c r="F87" s="10">
        <v>38</v>
      </c>
      <c r="G87" s="7">
        <v>0.3</v>
      </c>
      <c r="H87" s="10" t="e">
        <v>#N/A</v>
      </c>
      <c r="I87" s="10" t="s">
        <v>38</v>
      </c>
      <c r="J87" s="10"/>
      <c r="K87" s="10">
        <v>51</v>
      </c>
      <c r="L87" s="10">
        <f t="shared" si="29"/>
        <v>-2</v>
      </c>
      <c r="M87" s="10">
        <f t="shared" si="30"/>
        <v>49</v>
      </c>
      <c r="N87" s="10"/>
      <c r="O87" s="10">
        <v>0</v>
      </c>
      <c r="P87" s="10"/>
      <c r="Q87" s="10">
        <f t="shared" si="31"/>
        <v>9.8000000000000007</v>
      </c>
      <c r="R87" s="4">
        <f>13*Q87-P87-O87-F87</f>
        <v>89.4</v>
      </c>
      <c r="S87" s="4">
        <f t="shared" si="42"/>
        <v>50</v>
      </c>
      <c r="T87" s="4"/>
      <c r="U87" s="4">
        <f t="shared" si="34"/>
        <v>50</v>
      </c>
      <c r="V87" s="4">
        <f t="shared" si="35"/>
        <v>50</v>
      </c>
      <c r="W87" s="4"/>
      <c r="X87" s="4">
        <v>50</v>
      </c>
      <c r="Y87" s="10"/>
      <c r="Z87" s="10"/>
      <c r="AA87" s="10">
        <f t="shared" si="36"/>
        <v>8.9795918367346932</v>
      </c>
      <c r="AB87" s="10">
        <f t="shared" si="32"/>
        <v>3.8775510204081631</v>
      </c>
      <c r="AC87" s="10">
        <v>0.6</v>
      </c>
      <c r="AD87" s="10">
        <v>6.2</v>
      </c>
      <c r="AE87" s="10">
        <v>12.4</v>
      </c>
      <c r="AF87" s="10">
        <v>5</v>
      </c>
      <c r="AG87" s="10">
        <v>4.2</v>
      </c>
      <c r="AH87" s="10">
        <v>9</v>
      </c>
      <c r="AI87" s="10">
        <v>12.4</v>
      </c>
      <c r="AJ87" s="10">
        <v>6</v>
      </c>
      <c r="AK87" s="10"/>
      <c r="AL87" s="10">
        <f t="shared" si="37"/>
        <v>15</v>
      </c>
      <c r="AM87" s="10">
        <f t="shared" si="38"/>
        <v>0</v>
      </c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</row>
    <row r="88" spans="1:55" x14ac:dyDescent="0.25">
      <c r="A88" s="10" t="s">
        <v>129</v>
      </c>
      <c r="B88" s="10" t="s">
        <v>37</v>
      </c>
      <c r="C88" s="10">
        <v>59</v>
      </c>
      <c r="D88" s="10">
        <v>4</v>
      </c>
      <c r="E88" s="10">
        <v>46</v>
      </c>
      <c r="F88" s="10">
        <v>1</v>
      </c>
      <c r="G88" s="7">
        <v>0.33</v>
      </c>
      <c r="H88" s="10">
        <v>30</v>
      </c>
      <c r="I88" s="10" t="s">
        <v>38</v>
      </c>
      <c r="J88" s="10"/>
      <c r="K88" s="10">
        <v>56</v>
      </c>
      <c r="L88" s="10">
        <f t="shared" si="29"/>
        <v>-10</v>
      </c>
      <c r="M88" s="10">
        <f t="shared" si="30"/>
        <v>46</v>
      </c>
      <c r="N88" s="10"/>
      <c r="O88" s="10">
        <v>58</v>
      </c>
      <c r="P88" s="10"/>
      <c r="Q88" s="10">
        <f t="shared" si="31"/>
        <v>9.1999999999999993</v>
      </c>
      <c r="R88" s="4">
        <f t="shared" si="41"/>
        <v>69.799999999999983</v>
      </c>
      <c r="S88" s="4">
        <f t="shared" si="42"/>
        <v>50</v>
      </c>
      <c r="T88" s="4"/>
      <c r="U88" s="4">
        <f t="shared" si="34"/>
        <v>50</v>
      </c>
      <c r="V88" s="4">
        <f t="shared" si="35"/>
        <v>50</v>
      </c>
      <c r="W88" s="4"/>
      <c r="X88" s="4">
        <v>50</v>
      </c>
      <c r="Y88" s="10"/>
      <c r="Z88" s="10"/>
      <c r="AA88" s="10">
        <f t="shared" si="36"/>
        <v>11.847826086956523</v>
      </c>
      <c r="AB88" s="10">
        <f t="shared" si="32"/>
        <v>6.4130434782608701</v>
      </c>
      <c r="AC88" s="10">
        <v>8</v>
      </c>
      <c r="AD88" s="10">
        <v>4.4000000000000004</v>
      </c>
      <c r="AE88" s="10">
        <v>8.1999999999999993</v>
      </c>
      <c r="AF88" s="10">
        <v>4.5999999999999996</v>
      </c>
      <c r="AG88" s="10">
        <v>4</v>
      </c>
      <c r="AH88" s="10">
        <v>6.2</v>
      </c>
      <c r="AI88" s="10">
        <v>10.199999999999999</v>
      </c>
      <c r="AJ88" s="10">
        <v>4</v>
      </c>
      <c r="AK88" s="10"/>
      <c r="AL88" s="10">
        <f t="shared" si="37"/>
        <v>16.5</v>
      </c>
      <c r="AM88" s="10">
        <f t="shared" si="38"/>
        <v>0</v>
      </c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</row>
    <row r="89" spans="1:55" x14ac:dyDescent="0.25">
      <c r="A89" s="10" t="s">
        <v>130</v>
      </c>
      <c r="B89" s="10" t="s">
        <v>37</v>
      </c>
      <c r="C89" s="10">
        <v>1</v>
      </c>
      <c r="D89" s="10">
        <v>72</v>
      </c>
      <c r="E89" s="10"/>
      <c r="F89" s="10">
        <v>66</v>
      </c>
      <c r="G89" s="7">
        <v>0.28000000000000003</v>
      </c>
      <c r="H89" s="10">
        <v>50</v>
      </c>
      <c r="I89" s="10" t="s">
        <v>38</v>
      </c>
      <c r="J89" s="10"/>
      <c r="K89" s="10">
        <v>11</v>
      </c>
      <c r="L89" s="10">
        <f t="shared" si="29"/>
        <v>-11</v>
      </c>
      <c r="M89" s="10">
        <f t="shared" si="30"/>
        <v>0</v>
      </c>
      <c r="N89" s="10"/>
      <c r="O89" s="10">
        <v>0</v>
      </c>
      <c r="P89" s="10"/>
      <c r="Q89" s="10">
        <f t="shared" si="31"/>
        <v>0</v>
      </c>
      <c r="R89" s="4"/>
      <c r="S89" s="4">
        <f t="shared" si="33"/>
        <v>0</v>
      </c>
      <c r="T89" s="4"/>
      <c r="U89" s="4">
        <f t="shared" si="34"/>
        <v>0</v>
      </c>
      <c r="V89" s="4">
        <f t="shared" si="35"/>
        <v>0</v>
      </c>
      <c r="W89" s="4"/>
      <c r="X89" s="4"/>
      <c r="Y89" s="10"/>
      <c r="Z89" s="10"/>
      <c r="AA89" s="10" t="e">
        <f t="shared" si="36"/>
        <v>#DIV/0!</v>
      </c>
      <c r="AB89" s="10" t="e">
        <f t="shared" si="32"/>
        <v>#DIV/0!</v>
      </c>
      <c r="AC89" s="10">
        <v>4</v>
      </c>
      <c r="AD89" s="10">
        <v>8.6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 t="s">
        <v>58</v>
      </c>
      <c r="AL89" s="10">
        <f t="shared" si="37"/>
        <v>0</v>
      </c>
      <c r="AM89" s="10">
        <f t="shared" si="38"/>
        <v>0</v>
      </c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</row>
    <row r="90" spans="1:55" x14ac:dyDescent="0.25">
      <c r="A90" s="10" t="s">
        <v>131</v>
      </c>
      <c r="B90" s="10" t="s">
        <v>37</v>
      </c>
      <c r="C90" s="10"/>
      <c r="D90" s="10">
        <v>56</v>
      </c>
      <c r="E90" s="10"/>
      <c r="F90" s="10">
        <v>53</v>
      </c>
      <c r="G90" s="7">
        <v>0.28000000000000003</v>
      </c>
      <c r="H90" s="10">
        <v>50</v>
      </c>
      <c r="I90" s="10" t="s">
        <v>38</v>
      </c>
      <c r="J90" s="10"/>
      <c r="K90" s="10"/>
      <c r="L90" s="10">
        <f t="shared" si="29"/>
        <v>0</v>
      </c>
      <c r="M90" s="10">
        <f t="shared" si="30"/>
        <v>0</v>
      </c>
      <c r="N90" s="10"/>
      <c r="O90" s="10">
        <v>0</v>
      </c>
      <c r="P90" s="10"/>
      <c r="Q90" s="10">
        <f t="shared" si="31"/>
        <v>0</v>
      </c>
      <c r="R90" s="4"/>
      <c r="S90" s="4">
        <f t="shared" si="33"/>
        <v>0</v>
      </c>
      <c r="T90" s="4"/>
      <c r="U90" s="4">
        <f t="shared" si="34"/>
        <v>0</v>
      </c>
      <c r="V90" s="4">
        <f t="shared" si="35"/>
        <v>0</v>
      </c>
      <c r="W90" s="4"/>
      <c r="X90" s="4"/>
      <c r="Y90" s="10"/>
      <c r="Z90" s="10"/>
      <c r="AA90" s="10" t="e">
        <f t="shared" si="36"/>
        <v>#DIV/0!</v>
      </c>
      <c r="AB90" s="10" t="e">
        <f t="shared" si="32"/>
        <v>#DIV/0!</v>
      </c>
      <c r="AC90" s="10">
        <v>0</v>
      </c>
      <c r="AD90" s="10">
        <v>4.5999999999999996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 t="s">
        <v>58</v>
      </c>
      <c r="AL90" s="10">
        <f t="shared" si="37"/>
        <v>0</v>
      </c>
      <c r="AM90" s="10">
        <f t="shared" si="38"/>
        <v>0</v>
      </c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</row>
    <row r="91" spans="1:55" x14ac:dyDescent="0.25">
      <c r="A91" s="10" t="s">
        <v>132</v>
      </c>
      <c r="B91" s="10" t="s">
        <v>37</v>
      </c>
      <c r="C91" s="10">
        <v>16</v>
      </c>
      <c r="D91" s="10">
        <v>19</v>
      </c>
      <c r="E91" s="10">
        <v>7</v>
      </c>
      <c r="F91" s="10">
        <v>17</v>
      </c>
      <c r="G91" s="7">
        <v>0.4</v>
      </c>
      <c r="H91" s="10" t="e">
        <v>#N/A</v>
      </c>
      <c r="I91" s="10" t="s">
        <v>38</v>
      </c>
      <c r="J91" s="10"/>
      <c r="K91" s="10">
        <v>7</v>
      </c>
      <c r="L91" s="10">
        <f t="shared" si="29"/>
        <v>0</v>
      </c>
      <c r="M91" s="10">
        <f t="shared" si="30"/>
        <v>7</v>
      </c>
      <c r="N91" s="10"/>
      <c r="O91" s="10">
        <v>0</v>
      </c>
      <c r="P91" s="10"/>
      <c r="Q91" s="10">
        <f t="shared" si="31"/>
        <v>1.4</v>
      </c>
      <c r="R91" s="4">
        <v>8</v>
      </c>
      <c r="S91" s="4">
        <f t="shared" si="33"/>
        <v>8</v>
      </c>
      <c r="T91" s="4"/>
      <c r="U91" s="4">
        <f t="shared" si="34"/>
        <v>8</v>
      </c>
      <c r="V91" s="4">
        <f t="shared" si="35"/>
        <v>8</v>
      </c>
      <c r="W91" s="4"/>
      <c r="X91" s="4"/>
      <c r="Y91" s="10"/>
      <c r="Z91" s="10"/>
      <c r="AA91" s="10">
        <f t="shared" si="36"/>
        <v>17.857142857142858</v>
      </c>
      <c r="AB91" s="10">
        <f t="shared" si="32"/>
        <v>12.142857142857144</v>
      </c>
      <c r="AC91" s="10">
        <v>1.6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1" t="s">
        <v>133</v>
      </c>
      <c r="AL91" s="10">
        <f t="shared" si="37"/>
        <v>3.2</v>
      </c>
      <c r="AM91" s="10">
        <f t="shared" si="38"/>
        <v>0</v>
      </c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</row>
    <row r="92" spans="1:55" x14ac:dyDescent="0.25">
      <c r="A92" s="16" t="s">
        <v>134</v>
      </c>
      <c r="B92" s="16" t="s">
        <v>37</v>
      </c>
      <c r="C92" s="16">
        <v>18</v>
      </c>
      <c r="D92" s="16">
        <v>50</v>
      </c>
      <c r="E92" s="19">
        <v>32</v>
      </c>
      <c r="F92" s="19">
        <v>33</v>
      </c>
      <c r="G92" s="17">
        <v>0</v>
      </c>
      <c r="H92" s="16" t="e">
        <v>#N/A</v>
      </c>
      <c r="I92" s="16" t="s">
        <v>135</v>
      </c>
      <c r="J92" s="16" t="s">
        <v>101</v>
      </c>
      <c r="K92" s="16">
        <v>32</v>
      </c>
      <c r="L92" s="16">
        <f t="shared" si="29"/>
        <v>0</v>
      </c>
      <c r="M92" s="16">
        <f t="shared" si="30"/>
        <v>32</v>
      </c>
      <c r="N92" s="16"/>
      <c r="O92" s="16">
        <v>0</v>
      </c>
      <c r="P92" s="16"/>
      <c r="Q92" s="16">
        <f t="shared" si="31"/>
        <v>6.4</v>
      </c>
      <c r="R92" s="18"/>
      <c r="S92" s="4">
        <f t="shared" si="33"/>
        <v>0</v>
      </c>
      <c r="T92" s="18"/>
      <c r="U92" s="4">
        <f t="shared" si="34"/>
        <v>0</v>
      </c>
      <c r="V92" s="4">
        <f t="shared" si="35"/>
        <v>0</v>
      </c>
      <c r="W92" s="4"/>
      <c r="X92" s="18"/>
      <c r="Y92" s="16"/>
      <c r="Z92" s="16"/>
      <c r="AA92" s="10">
        <f t="shared" si="36"/>
        <v>5.15625</v>
      </c>
      <c r="AB92" s="16">
        <f t="shared" si="32"/>
        <v>5.15625</v>
      </c>
      <c r="AC92" s="16">
        <v>5.6</v>
      </c>
      <c r="AD92" s="16">
        <v>9.4</v>
      </c>
      <c r="AE92" s="16">
        <v>10</v>
      </c>
      <c r="AF92" s="16">
        <v>5.8</v>
      </c>
      <c r="AG92" s="16">
        <v>5.2</v>
      </c>
      <c r="AH92" s="16">
        <v>3.4</v>
      </c>
      <c r="AI92" s="16">
        <v>10</v>
      </c>
      <c r="AJ92" s="16">
        <v>6</v>
      </c>
      <c r="AK92" s="16"/>
      <c r="AL92" s="10">
        <f t="shared" si="37"/>
        <v>0</v>
      </c>
      <c r="AM92" s="10">
        <f t="shared" si="38"/>
        <v>0</v>
      </c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</row>
    <row r="93" spans="1:55" x14ac:dyDescent="0.25">
      <c r="A93" s="16" t="s">
        <v>136</v>
      </c>
      <c r="B93" s="16" t="s">
        <v>40</v>
      </c>
      <c r="C93" s="16">
        <v>5.8860000000000001</v>
      </c>
      <c r="D93" s="16">
        <v>74.302000000000007</v>
      </c>
      <c r="E93" s="19">
        <v>36.387</v>
      </c>
      <c r="F93" s="19">
        <v>39.499000000000002</v>
      </c>
      <c r="G93" s="17">
        <v>0</v>
      </c>
      <c r="H93" s="16" t="e">
        <v>#N/A</v>
      </c>
      <c r="I93" s="16" t="s">
        <v>135</v>
      </c>
      <c r="J93" s="16" t="s">
        <v>102</v>
      </c>
      <c r="K93" s="16">
        <v>35</v>
      </c>
      <c r="L93" s="16">
        <f t="shared" si="29"/>
        <v>1.3870000000000005</v>
      </c>
      <c r="M93" s="16">
        <f t="shared" si="30"/>
        <v>36.387</v>
      </c>
      <c r="N93" s="16"/>
      <c r="O93" s="16">
        <v>0</v>
      </c>
      <c r="P93" s="16"/>
      <c r="Q93" s="16">
        <f t="shared" si="31"/>
        <v>7.2774000000000001</v>
      </c>
      <c r="R93" s="18"/>
      <c r="S93" s="4">
        <f t="shared" si="33"/>
        <v>0</v>
      </c>
      <c r="T93" s="18"/>
      <c r="U93" s="4">
        <f t="shared" si="34"/>
        <v>0</v>
      </c>
      <c r="V93" s="4">
        <f t="shared" si="35"/>
        <v>0</v>
      </c>
      <c r="W93" s="4"/>
      <c r="X93" s="18"/>
      <c r="Y93" s="16"/>
      <c r="Z93" s="16"/>
      <c r="AA93" s="10">
        <f t="shared" si="36"/>
        <v>5.4276252507763765</v>
      </c>
      <c r="AB93" s="16">
        <f t="shared" si="32"/>
        <v>5.4276252507763765</v>
      </c>
      <c r="AC93" s="16">
        <v>6.3996000000000004</v>
      </c>
      <c r="AD93" s="16">
        <v>10.6008</v>
      </c>
      <c r="AE93" s="16">
        <v>10.352</v>
      </c>
      <c r="AF93" s="16">
        <v>7.5202</v>
      </c>
      <c r="AG93" s="16">
        <v>7.7866</v>
      </c>
      <c r="AH93" s="16">
        <v>8.3276000000000003</v>
      </c>
      <c r="AI93" s="16">
        <v>9.8574000000000002</v>
      </c>
      <c r="AJ93" s="16">
        <v>10.724</v>
      </c>
      <c r="AK93" s="16"/>
      <c r="AL93" s="10">
        <f t="shared" si="37"/>
        <v>0</v>
      </c>
      <c r="AM93" s="10">
        <f t="shared" si="38"/>
        <v>0</v>
      </c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</row>
    <row r="94" spans="1:55" x14ac:dyDescent="0.25">
      <c r="A94" s="10"/>
      <c r="B94" s="10"/>
      <c r="C94" s="10"/>
      <c r="D94" s="10"/>
      <c r="E94" s="10"/>
      <c r="F94" s="10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</row>
    <row r="95" spans="1:55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</row>
    <row r="96" spans="1:55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</row>
    <row r="97" spans="1:55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</row>
    <row r="98" spans="1:55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</row>
    <row r="99" spans="1:55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</row>
    <row r="100" spans="1:55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</row>
    <row r="101" spans="1:55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</row>
    <row r="102" spans="1:55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</row>
    <row r="103" spans="1:55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</row>
    <row r="104" spans="1:55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</row>
    <row r="105" spans="1:55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</row>
    <row r="106" spans="1:55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</row>
    <row r="107" spans="1:55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</row>
    <row r="108" spans="1:55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</row>
    <row r="109" spans="1:55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</row>
    <row r="110" spans="1:55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</row>
    <row r="111" spans="1:55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</row>
    <row r="112" spans="1:55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</row>
    <row r="113" spans="1:55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</row>
    <row r="114" spans="1:55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</row>
    <row r="115" spans="1:55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</row>
    <row r="116" spans="1:55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</row>
    <row r="117" spans="1:55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</row>
    <row r="118" spans="1:55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</row>
    <row r="119" spans="1:55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</row>
    <row r="120" spans="1:55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</row>
    <row r="121" spans="1:55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</row>
    <row r="122" spans="1:55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</row>
    <row r="123" spans="1:55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</row>
    <row r="124" spans="1:55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</row>
    <row r="125" spans="1:55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</row>
    <row r="126" spans="1:55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</row>
    <row r="127" spans="1:55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</row>
    <row r="128" spans="1:55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</row>
    <row r="129" spans="1:55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</row>
    <row r="130" spans="1:55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</row>
    <row r="131" spans="1:55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</row>
    <row r="132" spans="1:55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</row>
    <row r="133" spans="1:55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</row>
    <row r="134" spans="1:55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</row>
    <row r="135" spans="1:55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</row>
    <row r="136" spans="1:55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</row>
    <row r="137" spans="1:55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</row>
    <row r="138" spans="1:55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</row>
    <row r="139" spans="1:55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</row>
    <row r="140" spans="1:55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</row>
    <row r="141" spans="1:55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</row>
    <row r="142" spans="1:55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</row>
    <row r="143" spans="1:55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</row>
    <row r="144" spans="1:55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</row>
    <row r="145" spans="1:55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</row>
    <row r="146" spans="1:55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</row>
    <row r="147" spans="1:55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</row>
    <row r="148" spans="1:55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</row>
    <row r="149" spans="1:55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</row>
    <row r="150" spans="1:55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</row>
    <row r="151" spans="1:55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</row>
    <row r="152" spans="1:55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</row>
    <row r="153" spans="1:55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</row>
    <row r="154" spans="1:55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</row>
    <row r="155" spans="1:55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</row>
    <row r="156" spans="1:55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</row>
    <row r="157" spans="1:55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</row>
    <row r="158" spans="1:55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</row>
    <row r="159" spans="1:55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</row>
    <row r="160" spans="1:55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</row>
    <row r="161" spans="1:55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</row>
    <row r="162" spans="1:55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</row>
    <row r="163" spans="1:55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</row>
    <row r="164" spans="1:55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</row>
    <row r="165" spans="1:55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</row>
    <row r="166" spans="1:55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</row>
    <row r="167" spans="1:55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</row>
    <row r="168" spans="1:55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</row>
    <row r="169" spans="1:55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</row>
    <row r="170" spans="1:55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</row>
    <row r="171" spans="1:55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</row>
    <row r="172" spans="1:55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</row>
    <row r="173" spans="1:55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</row>
    <row r="174" spans="1:55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</row>
    <row r="175" spans="1:55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</row>
    <row r="176" spans="1:55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</row>
    <row r="177" spans="1:55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</row>
    <row r="178" spans="1:55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</row>
    <row r="179" spans="1:55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</row>
    <row r="180" spans="1:55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</row>
    <row r="181" spans="1:55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</row>
    <row r="182" spans="1:55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</row>
    <row r="183" spans="1:55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</row>
    <row r="184" spans="1:55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</row>
    <row r="185" spans="1:55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</row>
    <row r="186" spans="1:55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</row>
    <row r="187" spans="1:55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</row>
    <row r="188" spans="1:55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</row>
    <row r="189" spans="1:55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</row>
    <row r="190" spans="1:55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</row>
    <row r="191" spans="1:55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</row>
    <row r="192" spans="1:55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</row>
    <row r="193" spans="1:55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</row>
    <row r="194" spans="1:55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</row>
    <row r="195" spans="1:55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</row>
    <row r="196" spans="1:55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</row>
    <row r="197" spans="1:55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</row>
    <row r="198" spans="1:55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</row>
    <row r="199" spans="1:55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</row>
    <row r="200" spans="1:55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</row>
    <row r="201" spans="1:55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</row>
    <row r="202" spans="1:55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</row>
    <row r="203" spans="1:55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</row>
    <row r="204" spans="1:55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</row>
    <row r="205" spans="1:55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</row>
    <row r="206" spans="1:55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</row>
    <row r="207" spans="1:55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</row>
    <row r="208" spans="1:55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</row>
    <row r="209" spans="1:55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</row>
    <row r="210" spans="1:55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</row>
    <row r="211" spans="1:55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</row>
    <row r="212" spans="1:55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</row>
    <row r="213" spans="1:55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</row>
    <row r="214" spans="1:55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</row>
    <row r="215" spans="1:55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</row>
    <row r="216" spans="1:55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</row>
    <row r="217" spans="1:55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</row>
    <row r="218" spans="1:55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</row>
    <row r="219" spans="1:55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</row>
    <row r="220" spans="1:55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</row>
    <row r="221" spans="1:55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</row>
    <row r="222" spans="1:55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</row>
    <row r="223" spans="1:55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</row>
    <row r="224" spans="1:55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</row>
    <row r="225" spans="1:55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</row>
    <row r="226" spans="1:55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</row>
    <row r="227" spans="1:55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</row>
    <row r="228" spans="1:55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</row>
    <row r="229" spans="1:55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</row>
    <row r="230" spans="1:55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</row>
    <row r="231" spans="1:55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</row>
    <row r="232" spans="1:55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</row>
    <row r="233" spans="1:55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</row>
    <row r="234" spans="1:55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</row>
    <row r="235" spans="1:55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</row>
    <row r="236" spans="1:55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</row>
    <row r="237" spans="1:55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</row>
    <row r="238" spans="1:55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</row>
    <row r="239" spans="1:55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</row>
    <row r="240" spans="1:55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</row>
    <row r="241" spans="1:55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</row>
    <row r="242" spans="1:55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</row>
    <row r="243" spans="1:55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</row>
    <row r="244" spans="1:55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</row>
    <row r="245" spans="1:55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</row>
    <row r="246" spans="1:55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</row>
    <row r="247" spans="1:55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</row>
    <row r="248" spans="1:55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</row>
    <row r="249" spans="1:55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</row>
    <row r="250" spans="1:55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</row>
    <row r="251" spans="1:55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</row>
    <row r="252" spans="1:55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</row>
    <row r="253" spans="1:55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</row>
    <row r="254" spans="1:55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</row>
    <row r="255" spans="1:55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</row>
    <row r="256" spans="1:55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</row>
    <row r="257" spans="1:55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</row>
    <row r="258" spans="1:55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</row>
    <row r="259" spans="1:55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</row>
    <row r="260" spans="1:55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</row>
    <row r="261" spans="1:55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</row>
    <row r="262" spans="1:55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</row>
    <row r="263" spans="1:55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</row>
    <row r="264" spans="1:55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</row>
    <row r="265" spans="1:55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</row>
    <row r="266" spans="1:55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</row>
    <row r="267" spans="1:55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</row>
    <row r="268" spans="1:55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</row>
    <row r="269" spans="1:55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</row>
    <row r="270" spans="1:55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</row>
    <row r="271" spans="1:55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</row>
    <row r="272" spans="1:55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</row>
    <row r="273" spans="1:55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</row>
    <row r="274" spans="1:55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</row>
    <row r="275" spans="1:55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</row>
    <row r="276" spans="1:55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</row>
    <row r="277" spans="1:55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</row>
    <row r="278" spans="1:55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</row>
    <row r="279" spans="1:55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</row>
    <row r="280" spans="1:55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</row>
    <row r="281" spans="1:55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</row>
    <row r="282" spans="1:55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</row>
    <row r="283" spans="1:55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</row>
    <row r="284" spans="1:55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</row>
    <row r="285" spans="1:55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</row>
    <row r="286" spans="1:55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</row>
    <row r="287" spans="1:55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</row>
    <row r="288" spans="1:55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</row>
    <row r="289" spans="1:55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</row>
    <row r="290" spans="1:55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</row>
    <row r="291" spans="1:55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</row>
    <row r="292" spans="1:55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</row>
    <row r="293" spans="1:55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</row>
    <row r="294" spans="1:55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</row>
    <row r="295" spans="1:55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</row>
    <row r="296" spans="1:55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</row>
    <row r="297" spans="1:55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</row>
    <row r="298" spans="1:55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</row>
    <row r="299" spans="1:55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</row>
    <row r="300" spans="1:55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</row>
    <row r="301" spans="1:55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</row>
    <row r="302" spans="1:55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</row>
    <row r="303" spans="1:55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</row>
    <row r="304" spans="1:55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</row>
    <row r="305" spans="1:55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</row>
    <row r="306" spans="1:55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</row>
    <row r="307" spans="1:55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</row>
    <row r="308" spans="1:55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</row>
    <row r="309" spans="1:55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</row>
    <row r="310" spans="1:55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</row>
    <row r="311" spans="1:55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</row>
    <row r="312" spans="1:55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</row>
    <row r="313" spans="1:55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</row>
    <row r="314" spans="1:55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</row>
    <row r="315" spans="1:55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</row>
    <row r="316" spans="1:55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</row>
    <row r="317" spans="1:55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</row>
    <row r="318" spans="1:55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</row>
    <row r="319" spans="1:55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</row>
    <row r="320" spans="1:55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</row>
    <row r="321" spans="1:55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</row>
    <row r="322" spans="1:55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</row>
    <row r="323" spans="1:55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</row>
    <row r="324" spans="1:55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</row>
    <row r="325" spans="1:55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</row>
    <row r="326" spans="1:55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</row>
    <row r="327" spans="1:55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</row>
    <row r="328" spans="1:55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</row>
    <row r="329" spans="1:55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</row>
    <row r="330" spans="1:55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</row>
    <row r="331" spans="1:55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</row>
    <row r="332" spans="1:55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</row>
    <row r="333" spans="1:55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</row>
    <row r="334" spans="1:55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</row>
    <row r="335" spans="1:55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</row>
    <row r="336" spans="1:55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</row>
    <row r="337" spans="1:55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</row>
    <row r="338" spans="1:55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</row>
    <row r="339" spans="1:55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</row>
    <row r="340" spans="1:55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</row>
    <row r="341" spans="1:55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</row>
    <row r="342" spans="1:55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</row>
    <row r="343" spans="1:55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</row>
    <row r="344" spans="1:55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</row>
    <row r="345" spans="1:55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</row>
    <row r="346" spans="1:55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</row>
    <row r="347" spans="1:55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</row>
    <row r="348" spans="1:55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</row>
    <row r="349" spans="1:55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</row>
    <row r="350" spans="1:55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</row>
    <row r="351" spans="1:55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</row>
    <row r="352" spans="1:55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</row>
    <row r="353" spans="1:55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</row>
    <row r="354" spans="1:55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</row>
    <row r="355" spans="1:55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</row>
    <row r="356" spans="1:55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</row>
    <row r="357" spans="1:55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</row>
    <row r="358" spans="1:55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</row>
    <row r="359" spans="1:55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</row>
    <row r="360" spans="1:55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</row>
    <row r="361" spans="1:55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</row>
    <row r="362" spans="1:55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</row>
    <row r="363" spans="1:55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</row>
    <row r="364" spans="1:55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</row>
    <row r="365" spans="1:55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</row>
    <row r="366" spans="1:55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</row>
    <row r="367" spans="1:55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</row>
    <row r="368" spans="1:55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</row>
    <row r="369" spans="1:55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</row>
    <row r="370" spans="1:55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</row>
    <row r="371" spans="1:55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</row>
    <row r="372" spans="1:55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</row>
    <row r="373" spans="1:55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</row>
    <row r="374" spans="1:55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</row>
    <row r="375" spans="1:55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</row>
    <row r="376" spans="1:55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</row>
    <row r="377" spans="1:55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</row>
    <row r="378" spans="1:55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</row>
    <row r="379" spans="1:55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</row>
    <row r="380" spans="1:55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</row>
    <row r="381" spans="1:55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</row>
    <row r="382" spans="1:55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</row>
    <row r="383" spans="1:55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</row>
    <row r="384" spans="1:55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</row>
    <row r="385" spans="1:55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</row>
    <row r="386" spans="1:55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</row>
    <row r="387" spans="1:55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</row>
    <row r="388" spans="1:55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</row>
    <row r="389" spans="1:55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</row>
    <row r="390" spans="1:55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</row>
    <row r="391" spans="1:55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</row>
    <row r="392" spans="1:55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</row>
    <row r="393" spans="1:55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</row>
    <row r="394" spans="1:55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</row>
    <row r="395" spans="1:55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</row>
    <row r="396" spans="1:55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</row>
    <row r="397" spans="1:55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</row>
    <row r="398" spans="1:55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</row>
    <row r="399" spans="1:55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</row>
    <row r="400" spans="1:55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</row>
    <row r="401" spans="1:55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</row>
    <row r="402" spans="1:55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</row>
    <row r="403" spans="1:55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</row>
    <row r="404" spans="1:55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</row>
    <row r="405" spans="1:55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</row>
    <row r="406" spans="1:55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</row>
    <row r="407" spans="1:55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</row>
    <row r="408" spans="1:55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</row>
    <row r="409" spans="1:55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</row>
    <row r="410" spans="1:55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</row>
    <row r="411" spans="1:55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</row>
    <row r="412" spans="1:55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</row>
    <row r="413" spans="1:55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</row>
    <row r="414" spans="1:55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</row>
    <row r="415" spans="1:55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</row>
    <row r="416" spans="1:55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</row>
    <row r="417" spans="1:55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</row>
    <row r="418" spans="1:55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</row>
    <row r="419" spans="1:55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</row>
    <row r="420" spans="1:55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</row>
    <row r="421" spans="1:55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</row>
    <row r="422" spans="1:55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</row>
    <row r="423" spans="1:55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</row>
    <row r="424" spans="1:55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</row>
    <row r="425" spans="1:55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</row>
    <row r="426" spans="1:55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</row>
    <row r="427" spans="1:55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</row>
    <row r="428" spans="1:55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</row>
    <row r="429" spans="1:55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</row>
    <row r="430" spans="1:55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</row>
    <row r="431" spans="1:55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</row>
    <row r="432" spans="1:55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</row>
    <row r="433" spans="1:55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</row>
    <row r="434" spans="1:55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</row>
    <row r="435" spans="1:55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</row>
    <row r="436" spans="1:55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</row>
    <row r="437" spans="1:55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</row>
    <row r="438" spans="1:55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</row>
    <row r="439" spans="1:55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</row>
    <row r="440" spans="1:55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</row>
    <row r="441" spans="1:55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</row>
    <row r="442" spans="1:55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</row>
    <row r="443" spans="1:55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</row>
    <row r="444" spans="1:55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</row>
    <row r="445" spans="1:55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</row>
    <row r="446" spans="1:55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</row>
    <row r="447" spans="1:55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</row>
    <row r="448" spans="1:55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</row>
    <row r="449" spans="1:55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</row>
    <row r="450" spans="1:55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</row>
    <row r="451" spans="1:55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</row>
    <row r="452" spans="1:55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</row>
    <row r="453" spans="1:55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</row>
    <row r="454" spans="1:55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</row>
    <row r="455" spans="1:55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</row>
    <row r="456" spans="1:55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</row>
    <row r="457" spans="1:55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</row>
    <row r="458" spans="1:55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</row>
    <row r="459" spans="1:55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</row>
    <row r="460" spans="1:55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</row>
    <row r="461" spans="1:55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</row>
    <row r="462" spans="1:55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</row>
    <row r="463" spans="1:55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</row>
    <row r="464" spans="1:55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</row>
    <row r="465" spans="1:55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</row>
    <row r="466" spans="1:55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</row>
    <row r="467" spans="1:55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</row>
    <row r="468" spans="1:55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</row>
    <row r="469" spans="1:55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</row>
    <row r="470" spans="1:55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</row>
    <row r="471" spans="1:55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</row>
    <row r="472" spans="1:55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</row>
    <row r="473" spans="1:55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</row>
    <row r="474" spans="1:55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</row>
    <row r="475" spans="1:55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</row>
    <row r="476" spans="1:55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</row>
    <row r="477" spans="1:55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</row>
    <row r="478" spans="1:55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</row>
    <row r="479" spans="1:55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</row>
    <row r="480" spans="1:55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</row>
    <row r="481" spans="1:55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</row>
    <row r="482" spans="1:55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</row>
    <row r="483" spans="1:55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</row>
    <row r="484" spans="1:55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</row>
    <row r="485" spans="1:55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</row>
    <row r="486" spans="1:55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</row>
    <row r="487" spans="1:55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</row>
    <row r="488" spans="1:55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</row>
    <row r="489" spans="1:55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</row>
    <row r="490" spans="1:55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</row>
    <row r="491" spans="1:55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</row>
    <row r="492" spans="1:55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</row>
    <row r="493" spans="1:55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</row>
    <row r="494" spans="1:55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</row>
  </sheetData>
  <autoFilter ref="A3:AL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2025-11-04T13:42:37Z</dcterms:created>
  <dcterms:modified xsi:type="dcterms:W3CDTF">2025-11-05T12:36:10Z</dcterms:modified>
</cp:coreProperties>
</file>