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23A2DAF1-1470-4062-B5F9-7964B248610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4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6" i="1"/>
  <c r="S5" i="1" l="1"/>
  <c r="R41" i="1"/>
  <c r="R37" i="1"/>
  <c r="R33" i="1"/>
  <c r="R34" i="1"/>
  <c r="R30" i="1"/>
  <c r="R29" i="1"/>
  <c r="AG29" i="1" s="1"/>
  <c r="R28" i="1"/>
  <c r="R23" i="1"/>
  <c r="R16" i="1"/>
  <c r="R12" i="1"/>
  <c r="R11" i="1"/>
  <c r="AG11" i="1" s="1"/>
  <c r="R7" i="1"/>
  <c r="R6" i="1"/>
  <c r="AG7" i="1"/>
  <c r="AG8" i="1"/>
  <c r="AG9" i="1"/>
  <c r="AG10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4" i="1"/>
  <c r="AG45" i="1"/>
  <c r="AG46" i="1"/>
  <c r="AG47" i="1"/>
  <c r="AG48" i="1"/>
  <c r="AG6" i="1"/>
  <c r="V48" i="1"/>
  <c r="V47" i="1"/>
  <c r="V46" i="1"/>
  <c r="V45" i="1"/>
  <c r="V44" i="1"/>
  <c r="R8" i="1"/>
  <c r="R9" i="1"/>
  <c r="R10" i="1"/>
  <c r="R13" i="1"/>
  <c r="R14" i="1"/>
  <c r="R15" i="1"/>
  <c r="R17" i="1"/>
  <c r="R18" i="1"/>
  <c r="R19" i="1"/>
  <c r="R20" i="1"/>
  <c r="R21" i="1"/>
  <c r="R22" i="1"/>
  <c r="R24" i="1"/>
  <c r="R25" i="1"/>
  <c r="R26" i="1"/>
  <c r="R27" i="1"/>
  <c r="R31" i="1"/>
  <c r="R32" i="1"/>
  <c r="R35" i="1"/>
  <c r="R36" i="1"/>
  <c r="R38" i="1"/>
  <c r="R39" i="1"/>
  <c r="R40" i="1"/>
  <c r="R42" i="1"/>
  <c r="R5" i="1" l="1"/>
  <c r="P36" i="1"/>
  <c r="Q41" i="1"/>
  <c r="Q12" i="1"/>
  <c r="Q7" i="1"/>
  <c r="P48" i="1"/>
  <c r="P6" i="1"/>
  <c r="P7" i="1"/>
  <c r="P44" i="1"/>
  <c r="Q44" i="1" s="1"/>
  <c r="P45" i="1"/>
  <c r="P4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Q23" i="1" s="1"/>
  <c r="P24" i="1"/>
  <c r="P25" i="1"/>
  <c r="P26" i="1"/>
  <c r="P27" i="1"/>
  <c r="P28" i="1"/>
  <c r="P29" i="1"/>
  <c r="P30" i="1"/>
  <c r="Q30" i="1" s="1"/>
  <c r="P31" i="1"/>
  <c r="P32" i="1"/>
  <c r="P33" i="1"/>
  <c r="P34" i="1"/>
  <c r="Q34" i="1" s="1"/>
  <c r="P35" i="1"/>
  <c r="P37" i="1"/>
  <c r="P38" i="1"/>
  <c r="P39" i="1"/>
  <c r="P40" i="1"/>
  <c r="P41" i="1"/>
  <c r="P42" i="1"/>
  <c r="P47" i="1"/>
  <c r="W47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46" i="1"/>
  <c r="L45" i="1"/>
  <c r="L44" i="1"/>
  <c r="L7" i="1"/>
  <c r="L6" i="1"/>
  <c r="L48" i="1"/>
  <c r="L47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6" i="1" l="1"/>
  <c r="Q28" i="1"/>
  <c r="Q33" i="1"/>
  <c r="Q29" i="1"/>
  <c r="W40" i="1"/>
  <c r="W36" i="1"/>
  <c r="W32" i="1"/>
  <c r="W28" i="1"/>
  <c r="W24" i="1"/>
  <c r="W20" i="1"/>
  <c r="W16" i="1"/>
  <c r="W12" i="1"/>
  <c r="W8" i="1"/>
  <c r="W7" i="1"/>
  <c r="W42" i="1"/>
  <c r="W38" i="1"/>
  <c r="W34" i="1"/>
  <c r="W30" i="1"/>
  <c r="W26" i="1"/>
  <c r="W22" i="1"/>
  <c r="W18" i="1"/>
  <c r="W14" i="1"/>
  <c r="W10" i="1"/>
  <c r="W45" i="1"/>
  <c r="W48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46" i="1"/>
  <c r="W44" i="1"/>
  <c r="W6" i="1"/>
  <c r="L5" i="1"/>
  <c r="AG5" i="1"/>
  <c r="P5" i="1"/>
  <c r="Q5" i="1" l="1"/>
</calcChain>
</file>

<file path=xl/sharedStrings.xml><?xml version="1.0" encoding="utf-8"?>
<sst xmlns="http://schemas.openxmlformats.org/spreadsheetml/2006/main" count="203" uniqueCount="106">
  <si>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</si>
  <si>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</si>
  <si>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</si>
  <si>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</si>
  <si>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</si>
  <si>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</si>
  <si>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</si>
  <si>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</si>
  <si>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</si>
  <si>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</si>
  <si>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</si>
  <si>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</si>
  <si>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</si>
  <si>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</si>
  <si>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</si>
  <si>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</si>
  <si>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</si>
  <si>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</si>
  <si>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</si>
  <si>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</si>
  <si>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</si>
  <si>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</si>
  <si>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</si>
  <si>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</si>
  <si>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27,10,</t>
  </si>
  <si>
    <t>03,11,</t>
  </si>
  <si>
    <t>20,10,</t>
  </si>
  <si>
    <t>13,10,</t>
  </si>
  <si>
    <t>06,10,</t>
  </si>
  <si>
    <t>29,09,</t>
  </si>
  <si>
    <t>22,09,</t>
  </si>
  <si>
    <t>15,09,</t>
  </si>
  <si>
    <t>08,09,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</si>
  <si>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</si>
  <si>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</si>
  <si>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</si>
  <si>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</si>
  <si>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</si>
  <si>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</si>
  <si>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</si>
  <si>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нужно увеличить продажи</t>
  </si>
  <si>
    <t>Масло сливочное ж.82,5% 180г фольга ТМ Папа Может (вл 12)  Останкино</t>
  </si>
  <si>
    <t>дубль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</si>
  <si>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</si>
  <si>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</si>
  <si>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</si>
  <si>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</si>
  <si>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</si>
  <si>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"Пармезан" с массовой долей жира в сухом веществе 40%  Останкино</t>
  </si>
  <si>
    <t>кг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</si>
  <si>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</si>
  <si>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</si>
  <si>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</si>
  <si>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</si>
  <si>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</si>
  <si>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</si>
  <si>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</si>
  <si>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</si>
  <si>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</si>
  <si>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</si>
  <si>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</si>
  <si>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продажи!!!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</si>
  <si>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</si>
  <si>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</si>
  <si>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</si>
  <si>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</si>
  <si>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</si>
  <si>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</si>
  <si>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</si>
  <si>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</si>
  <si>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</si>
  <si>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</si>
  <si>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перемещение из Мелитополя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</si>
  <si>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</si>
  <si>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</si>
  <si>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</si>
  <si>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</si>
  <si>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вывод</t>
  </si>
  <si>
    <t>не заказывали (поступление от 03,07,25)</t>
  </si>
  <si>
    <t>Сыр Папа Может "Тильзитер" массовая доля жира в сухом веществе 45 %.брусок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</si>
  <si>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</si>
  <si>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</si>
  <si>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</si>
  <si>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</si>
  <si>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</si>
  <si>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</si>
  <si>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</si>
  <si>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</si>
  <si>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</si>
  <si>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</si>
  <si>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</si>
  <si>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</si>
  <si>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</si>
  <si>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</si>
  <si>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</si>
  <si>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</si>
  <si>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</si>
  <si>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</si>
  <si>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03,11,25 завод не отгрузит / 27,10,25 завод не отгрузит / 13,10,25 завод не отгрузит / 06,10,25 завод не отгрузит / 29,09,25 завод не отгрузит / 22,09,25 завод не отгрузит / 15,09,25 завод не отгрузит / 08,09,25 завод не отгрузит /  01,09,25 завод не отгрузит / 18,08,25 завод не отгрузил</t>
  </si>
  <si>
    <t>03,11,25 завод не отгрузит / на заводе брак, следующие отгрузки не раньше ноября</t>
  </si>
  <si>
    <t>29,09,25 завод не отгрузит</t>
  </si>
  <si>
    <t>28,07,25 в уценку - 57кг</t>
  </si>
  <si>
    <t>в связи с увеличенными планами на ноябрь месяц</t>
  </si>
  <si>
    <t>итого</t>
  </si>
  <si>
    <t>заказ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</si>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</sst>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0" fontId="0" fillId="0" borderId="0" xfId="0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7" borderId="3" xfId="1" applyNumberFormat="1" applyFill="1" applyBorder="1"/>
    <xf numFmtId="164" fontId="1" fillId="7" borderId="4" xfId="1" applyNumberFormat="1" applyFill="1" applyBorder="1"/>
    <xf numFmtId="164" fontId="1" fillId="7" borderId="5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4" fillId="9" borderId="1" xfId="1" applyNumberFormat="1" applyFont="1" applyFill="1"/>
    <xf numFmtId="164" fontId="5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4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9" sqref="U9"/>
    </sheetView>
  </sheetViews>
  <sheetFormatPr defaultRowHeight="15" x14ac:dyDescent="0.25"/>
  <cols>
    <col min="1" max="1" width="60" style="5" customWidth="1"/>
    <col min="2" max="2" width="3" style="5" customWidth="1"/>
    <col min="3" max="4" width="6" style="5" customWidth="1"/>
    <col min="5" max="6" width="7" style="5" customWidth="1"/>
    <col min="7" max="7" width="5" style="6" customWidth="1"/>
    <col min="8" max="8" width="5" style="5" customWidth="1"/>
    <col min="9" max="9" width="12" style="5" customWidth="1"/>
    <col min="10" max="10" width="1" style="5" customWidth="1"/>
    <col min="11" max="12" width="7" style="5" customWidth="1"/>
    <col min="13" max="14" width="0.5703125" style="5" customWidth="1"/>
    <col min="15" max="17" width="7" style="5" customWidth="1"/>
    <col min="18" max="19" width="7" style="32" customWidth="1"/>
    <col min="20" max="20" width="7" style="5" customWidth="1"/>
    <col min="21" max="21" width="25.7109375" style="5" customWidth="1"/>
    <col min="22" max="23" width="5" style="5" customWidth="1"/>
    <col min="24" max="31" width="6" style="5" customWidth="1"/>
    <col min="32" max="32" width="46.42578125" style="5" customWidth="1"/>
    <col min="33" max="33" width="7" style="5" customWidth="1"/>
    <col min="34" max="52" width="3" style="5" customWidth="1"/>
  </cols>
  <sheetData>
    <row r="1" spans="1:52" x14ac:dyDescent="0.25">
      <c r="A1" s="4"/>
      <c r="B1" s="4"/>
      <c r="C1" s="4"/>
      <c r="D1" s="4"/>
      <c r="E1" s="4"/>
      <c r="F1" s="4"/>
      <c r="G1" s="8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A2" s="4"/>
      <c r="B2" s="4"/>
      <c r="C2" s="4"/>
      <c r="D2" s="4"/>
      <c r="E2" s="4"/>
      <c r="F2" s="4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103</v>
      </c>
      <c r="S3" s="2" t="s">
        <v>104</v>
      </c>
      <c r="T3" s="7" t="s">
        <v>17</v>
      </c>
      <c r="U3" s="7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A4" s="4"/>
      <c r="B4" s="4"/>
      <c r="C4" s="4"/>
      <c r="D4" s="4"/>
      <c r="E4" s="4"/>
      <c r="F4" s="4"/>
      <c r="G4" s="8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 t="s">
        <v>105</v>
      </c>
      <c r="T4" s="4"/>
      <c r="U4" s="4"/>
      <c r="V4" s="4"/>
      <c r="W4" s="4"/>
      <c r="X4" s="4" t="s">
        <v>24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5" s="4"/>
      <c r="B5" s="4"/>
      <c r="C5" s="4"/>
      <c r="D5" s="4"/>
      <c r="E5" s="3">
        <f>SUM(E6:E494)</f>
        <v>1447.7089999999998</v>
      </c>
      <c r="F5" s="3">
        <f>SUM(F6:F494)</f>
        <v>3609.873</v>
      </c>
      <c r="G5" s="8"/>
      <c r="H5" s="4"/>
      <c r="I5" s="4"/>
      <c r="J5" s="4"/>
      <c r="K5" s="3">
        <f t="shared" ref="K5:T5" si="0">SUM(K6:K494)</f>
        <v>1602.13</v>
      </c>
      <c r="L5" s="3">
        <f t="shared" si="0"/>
        <v>-154.42100000000005</v>
      </c>
      <c r="M5" s="3">
        <f t="shared" si="0"/>
        <v>0</v>
      </c>
      <c r="N5" s="3">
        <f t="shared" si="0"/>
        <v>0</v>
      </c>
      <c r="O5" s="3">
        <f t="shared" si="0"/>
        <v>809</v>
      </c>
      <c r="P5" s="3">
        <f t="shared" si="0"/>
        <v>289.54180000000002</v>
      </c>
      <c r="Q5" s="3">
        <f t="shared" si="0"/>
        <v>1534.2701999999999</v>
      </c>
      <c r="R5" s="3">
        <f t="shared" si="0"/>
        <v>2132.1999999999998</v>
      </c>
      <c r="S5" s="3">
        <f t="shared" si="0"/>
        <v>2096</v>
      </c>
      <c r="T5" s="3">
        <f t="shared" si="0"/>
        <v>1665</v>
      </c>
      <c r="U5" s="4"/>
      <c r="V5" s="4"/>
      <c r="W5" s="4"/>
      <c r="X5" s="3">
        <f t="shared" ref="X5:AE5" si="1">SUM(X6:X494)</f>
        <v>246.83859999999999</v>
      </c>
      <c r="Y5" s="3">
        <f t="shared" si="1"/>
        <v>286.33360000000005</v>
      </c>
      <c r="Z5" s="3">
        <f t="shared" si="1"/>
        <v>307.8954</v>
      </c>
      <c r="AA5" s="3">
        <f t="shared" si="1"/>
        <v>231.31100000000001</v>
      </c>
      <c r="AB5" s="3">
        <f t="shared" si="1"/>
        <v>194.03820000000002</v>
      </c>
      <c r="AC5" s="3">
        <f t="shared" si="1"/>
        <v>256.05579999999998</v>
      </c>
      <c r="AD5" s="3">
        <f t="shared" si="1"/>
        <v>214.93280000000001</v>
      </c>
      <c r="AE5" s="3">
        <f t="shared" si="1"/>
        <v>212.09320000000002</v>
      </c>
      <c r="AF5" s="4"/>
      <c r="AG5" s="3">
        <f>SUM(AG6:AG494)</f>
        <v>506.32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A6" s="4" t="s">
        <v>37</v>
      </c>
      <c r="B6" s="4" t="s">
        <v>34</v>
      </c>
      <c r="C6" s="4">
        <v>67</v>
      </c>
      <c r="D6" s="4">
        <v>47</v>
      </c>
      <c r="E6" s="4">
        <v>43</v>
      </c>
      <c r="F6" s="4">
        <v>57</v>
      </c>
      <c r="G6" s="8">
        <v>0.18</v>
      </c>
      <c r="H6" s="4">
        <v>270</v>
      </c>
      <c r="I6" s="4">
        <v>9988438</v>
      </c>
      <c r="J6" s="4"/>
      <c r="K6" s="4">
        <v>43</v>
      </c>
      <c r="L6" s="4">
        <f t="shared" ref="L6:L42" si="2">E6-K6</f>
        <v>0</v>
      </c>
      <c r="M6" s="4"/>
      <c r="N6" s="4"/>
      <c r="O6" s="4">
        <v>0</v>
      </c>
      <c r="P6" s="4">
        <f t="shared" ref="P6:P42" si="3">E6/5</f>
        <v>8.6</v>
      </c>
      <c r="Q6" s="10">
        <f>20*P6-O6-F6</f>
        <v>115</v>
      </c>
      <c r="R6" s="10">
        <f>T6</f>
        <v>200</v>
      </c>
      <c r="S6" s="10">
        <f>IFERROR(VLOOKUP(A6,заказ!A:B,2,0),0)</f>
        <v>192</v>
      </c>
      <c r="T6" s="10">
        <v>200</v>
      </c>
      <c r="U6" s="4" t="s">
        <v>102</v>
      </c>
      <c r="V6" s="4">
        <f>(F6+O6+S6)/P6</f>
        <v>28.953488372093023</v>
      </c>
      <c r="W6" s="4">
        <f t="shared" ref="W6:W42" si="4">(F6+O6)/P6</f>
        <v>6.6279069767441863</v>
      </c>
      <c r="X6" s="4">
        <v>4</v>
      </c>
      <c r="Y6" s="4">
        <v>5.2</v>
      </c>
      <c r="Z6" s="4">
        <v>5</v>
      </c>
      <c r="AA6" s="4">
        <v>5.6</v>
      </c>
      <c r="AB6" s="4">
        <v>4.4000000000000004</v>
      </c>
      <c r="AC6" s="4">
        <v>6.2</v>
      </c>
      <c r="AD6" s="4">
        <v>6.8</v>
      </c>
      <c r="AE6" s="4">
        <v>8.6</v>
      </c>
      <c r="AF6" s="4"/>
      <c r="AG6" s="4">
        <f>G6*R6</f>
        <v>36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x14ac:dyDescent="0.25">
      <c r="A7" s="4" t="s">
        <v>38</v>
      </c>
      <c r="B7" s="4" t="s">
        <v>34</v>
      </c>
      <c r="C7" s="4">
        <v>46</v>
      </c>
      <c r="D7" s="4">
        <v>32</v>
      </c>
      <c r="E7" s="4">
        <v>39</v>
      </c>
      <c r="F7" s="4">
        <v>39</v>
      </c>
      <c r="G7" s="8">
        <v>0.18</v>
      </c>
      <c r="H7" s="4">
        <v>270</v>
      </c>
      <c r="I7" s="4">
        <v>9988445</v>
      </c>
      <c r="J7" s="4"/>
      <c r="K7" s="4">
        <v>139</v>
      </c>
      <c r="L7" s="4">
        <f t="shared" si="2"/>
        <v>-100</v>
      </c>
      <c r="M7" s="4"/>
      <c r="N7" s="4"/>
      <c r="O7" s="4">
        <v>16</v>
      </c>
      <c r="P7" s="4">
        <f t="shared" si="3"/>
        <v>7.8</v>
      </c>
      <c r="Q7" s="10">
        <f t="shared" ref="Q7:Q12" si="5">20*P7-O7-F7</f>
        <v>101</v>
      </c>
      <c r="R7" s="10">
        <f>T7</f>
        <v>200</v>
      </c>
      <c r="S7" s="10">
        <f>IFERROR(VLOOKUP(A7,заказ!A:B,2,0),0)</f>
        <v>192</v>
      </c>
      <c r="T7" s="10">
        <v>200</v>
      </c>
      <c r="U7" s="4" t="s">
        <v>102</v>
      </c>
      <c r="V7" s="4">
        <f t="shared" ref="V7:V42" si="6">(F7+O7+S7)/P7</f>
        <v>31.666666666666668</v>
      </c>
      <c r="W7" s="4">
        <f t="shared" si="4"/>
        <v>7.0512820512820511</v>
      </c>
      <c r="X7" s="4">
        <v>4.2</v>
      </c>
      <c r="Y7" s="4">
        <v>4.8</v>
      </c>
      <c r="Z7" s="4">
        <v>4.2</v>
      </c>
      <c r="AA7" s="4">
        <v>5</v>
      </c>
      <c r="AB7" s="4">
        <v>4.2</v>
      </c>
      <c r="AC7" s="4">
        <v>3.6</v>
      </c>
      <c r="AD7" s="4">
        <v>5</v>
      </c>
      <c r="AE7" s="4">
        <v>8.6</v>
      </c>
      <c r="AF7" s="4"/>
      <c r="AG7" s="4">
        <f t="shared" ref="AG7:AG48" si="7">G7*R7</f>
        <v>36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x14ac:dyDescent="0.25">
      <c r="A8" s="4" t="s">
        <v>44</v>
      </c>
      <c r="B8" s="4" t="s">
        <v>34</v>
      </c>
      <c r="C8" s="4">
        <v>48</v>
      </c>
      <c r="D8" s="4">
        <v>52</v>
      </c>
      <c r="E8" s="4">
        <v>20</v>
      </c>
      <c r="F8" s="4">
        <v>75</v>
      </c>
      <c r="G8" s="8">
        <v>0.4</v>
      </c>
      <c r="H8" s="4">
        <v>270</v>
      </c>
      <c r="I8" s="4">
        <v>9988452</v>
      </c>
      <c r="J8" s="4"/>
      <c r="K8" s="4">
        <v>20</v>
      </c>
      <c r="L8" s="4">
        <f t="shared" si="2"/>
        <v>0</v>
      </c>
      <c r="M8" s="4"/>
      <c r="N8" s="4"/>
      <c r="O8" s="4">
        <v>0</v>
      </c>
      <c r="P8" s="4">
        <f t="shared" si="3"/>
        <v>4</v>
      </c>
      <c r="Q8" s="10"/>
      <c r="R8" s="10">
        <f t="shared" ref="R8:R42" si="8">Q8</f>
        <v>0</v>
      </c>
      <c r="S8" s="10">
        <f>IFERROR(VLOOKUP(A8,заказ!A:B,2,0),0)</f>
        <v>0</v>
      </c>
      <c r="T8" s="10"/>
      <c r="U8" s="4"/>
      <c r="V8" s="4">
        <f t="shared" si="6"/>
        <v>18.75</v>
      </c>
      <c r="W8" s="4">
        <f t="shared" si="4"/>
        <v>18.75</v>
      </c>
      <c r="X8" s="4">
        <v>3</v>
      </c>
      <c r="Y8" s="4">
        <v>5.4</v>
      </c>
      <c r="Z8" s="4">
        <v>1.6</v>
      </c>
      <c r="AA8" s="4">
        <v>4.8</v>
      </c>
      <c r="AB8" s="4">
        <v>3.8</v>
      </c>
      <c r="AC8" s="4">
        <v>3.6</v>
      </c>
      <c r="AD8" s="4">
        <v>0.8</v>
      </c>
      <c r="AE8" s="4">
        <v>3.4</v>
      </c>
      <c r="AF8" s="4" t="s">
        <v>100</v>
      </c>
      <c r="AG8" s="4">
        <f t="shared" si="7"/>
        <v>0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x14ac:dyDescent="0.25">
      <c r="A9" s="4" t="s">
        <v>45</v>
      </c>
      <c r="B9" s="4" t="s">
        <v>34</v>
      </c>
      <c r="C9" s="4">
        <v>19</v>
      </c>
      <c r="D9" s="4">
        <v>28</v>
      </c>
      <c r="E9" s="4">
        <v>14</v>
      </c>
      <c r="F9" s="4">
        <v>33</v>
      </c>
      <c r="G9" s="8">
        <v>0.4</v>
      </c>
      <c r="H9" s="4">
        <v>270</v>
      </c>
      <c r="I9" s="4">
        <v>9988476</v>
      </c>
      <c r="J9" s="4"/>
      <c r="K9" s="4">
        <v>14</v>
      </c>
      <c r="L9" s="4">
        <f t="shared" si="2"/>
        <v>0</v>
      </c>
      <c r="M9" s="4"/>
      <c r="N9" s="4"/>
      <c r="O9" s="4">
        <v>28</v>
      </c>
      <c r="P9" s="4">
        <f t="shared" si="3"/>
        <v>2.8</v>
      </c>
      <c r="Q9" s="10"/>
      <c r="R9" s="10">
        <f t="shared" si="8"/>
        <v>0</v>
      </c>
      <c r="S9" s="10">
        <f>IFERROR(VLOOKUP(A9,заказ!A:B,2,0),0)</f>
        <v>0</v>
      </c>
      <c r="T9" s="10"/>
      <c r="U9" s="4"/>
      <c r="V9" s="4">
        <f t="shared" si="6"/>
        <v>21.785714285714288</v>
      </c>
      <c r="W9" s="4">
        <f t="shared" si="4"/>
        <v>21.785714285714288</v>
      </c>
      <c r="X9" s="4">
        <v>4.4000000000000004</v>
      </c>
      <c r="Y9" s="4">
        <v>3</v>
      </c>
      <c r="Z9" s="4">
        <v>2.4</v>
      </c>
      <c r="AA9" s="4">
        <v>2.2000000000000002</v>
      </c>
      <c r="AB9" s="4">
        <v>0.8</v>
      </c>
      <c r="AC9" s="4">
        <v>0.2</v>
      </c>
      <c r="AD9" s="4">
        <v>1.2</v>
      </c>
      <c r="AE9" s="4">
        <v>4.8</v>
      </c>
      <c r="AF9" s="4"/>
      <c r="AG9" s="4">
        <f t="shared" si="7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x14ac:dyDescent="0.25">
      <c r="A10" s="4" t="s">
        <v>46</v>
      </c>
      <c r="B10" s="4" t="s">
        <v>34</v>
      </c>
      <c r="C10" s="4">
        <v>61</v>
      </c>
      <c r="D10" s="4">
        <v>46</v>
      </c>
      <c r="E10" s="4">
        <v>27</v>
      </c>
      <c r="F10" s="4">
        <v>73</v>
      </c>
      <c r="G10" s="8">
        <v>0.18</v>
      </c>
      <c r="H10" s="4">
        <v>150</v>
      </c>
      <c r="I10" s="4">
        <v>5034819</v>
      </c>
      <c r="J10" s="4"/>
      <c r="K10" s="4">
        <v>27</v>
      </c>
      <c r="L10" s="4">
        <f t="shared" si="2"/>
        <v>0</v>
      </c>
      <c r="M10" s="4"/>
      <c r="N10" s="4"/>
      <c r="O10" s="4">
        <v>60</v>
      </c>
      <c r="P10" s="4">
        <f t="shared" si="3"/>
        <v>5.4</v>
      </c>
      <c r="Q10" s="10"/>
      <c r="R10" s="10">
        <f t="shared" si="8"/>
        <v>0</v>
      </c>
      <c r="S10" s="10">
        <f>IFERROR(VLOOKUP(A10,заказ!A:B,2,0),0)</f>
        <v>0</v>
      </c>
      <c r="T10" s="10"/>
      <c r="U10" s="4"/>
      <c r="V10" s="4">
        <f t="shared" si="6"/>
        <v>24.62962962962963</v>
      </c>
      <c r="W10" s="4">
        <f t="shared" si="4"/>
        <v>24.62962962962963</v>
      </c>
      <c r="X10" s="4">
        <v>8.1999999999999993</v>
      </c>
      <c r="Y10" s="4">
        <v>7.2</v>
      </c>
      <c r="Z10" s="4">
        <v>6.4</v>
      </c>
      <c r="AA10" s="4">
        <v>4</v>
      </c>
      <c r="AB10" s="4">
        <v>0</v>
      </c>
      <c r="AC10" s="4">
        <v>0.4</v>
      </c>
      <c r="AD10" s="4">
        <v>8.4</v>
      </c>
      <c r="AE10" s="4">
        <v>4.2</v>
      </c>
      <c r="AF10" s="4" t="s">
        <v>47</v>
      </c>
      <c r="AG10" s="4">
        <f t="shared" si="7"/>
        <v>0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x14ac:dyDescent="0.25">
      <c r="A11" s="4" t="s">
        <v>48</v>
      </c>
      <c r="B11" s="4" t="s">
        <v>49</v>
      </c>
      <c r="C11" s="4"/>
      <c r="D11" s="4"/>
      <c r="E11" s="4"/>
      <c r="F11" s="4"/>
      <c r="G11" s="8">
        <v>1</v>
      </c>
      <c r="H11" s="4">
        <v>150</v>
      </c>
      <c r="I11" s="4">
        <v>5041251</v>
      </c>
      <c r="J11" s="4"/>
      <c r="K11" s="4"/>
      <c r="L11" s="4">
        <f t="shared" si="2"/>
        <v>0</v>
      </c>
      <c r="M11" s="4"/>
      <c r="N11" s="4"/>
      <c r="O11" s="14"/>
      <c r="P11" s="4">
        <f t="shared" si="3"/>
        <v>0</v>
      </c>
      <c r="Q11" s="10">
        <v>15</v>
      </c>
      <c r="R11" s="10">
        <f t="shared" ref="R11:R12" si="9">T11</f>
        <v>30</v>
      </c>
      <c r="S11" s="10">
        <f>IFERROR(VLOOKUP(A11,заказ!A:B,2,0),0)</f>
        <v>30</v>
      </c>
      <c r="T11" s="10">
        <v>30</v>
      </c>
      <c r="U11" s="4" t="s">
        <v>102</v>
      </c>
      <c r="V11" s="4" t="e">
        <f t="shared" si="6"/>
        <v>#DIV/0!</v>
      </c>
      <c r="W11" s="4" t="e">
        <f t="shared" si="4"/>
        <v>#DIV/0!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14" t="s">
        <v>98</v>
      </c>
      <c r="AG11" s="4">
        <f t="shared" si="7"/>
        <v>30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x14ac:dyDescent="0.25">
      <c r="A12" s="4" t="s">
        <v>50</v>
      </c>
      <c r="B12" s="4" t="s">
        <v>34</v>
      </c>
      <c r="C12" s="4">
        <v>385</v>
      </c>
      <c r="D12" s="4">
        <v>135</v>
      </c>
      <c r="E12" s="4">
        <v>161</v>
      </c>
      <c r="F12" s="4">
        <v>256</v>
      </c>
      <c r="G12" s="8">
        <v>0.1</v>
      </c>
      <c r="H12" s="4">
        <v>90</v>
      </c>
      <c r="I12" s="4">
        <v>8444163</v>
      </c>
      <c r="J12" s="4"/>
      <c r="K12" s="4">
        <v>161</v>
      </c>
      <c r="L12" s="4">
        <f t="shared" si="2"/>
        <v>0</v>
      </c>
      <c r="M12" s="4"/>
      <c r="N12" s="4"/>
      <c r="O12" s="4">
        <v>304</v>
      </c>
      <c r="P12" s="4">
        <f t="shared" si="3"/>
        <v>32.200000000000003</v>
      </c>
      <c r="Q12" s="10">
        <f t="shared" si="5"/>
        <v>84</v>
      </c>
      <c r="R12" s="10">
        <f t="shared" si="9"/>
        <v>130</v>
      </c>
      <c r="S12" s="10">
        <f>IFERROR(VLOOKUP(A12,заказ!A:B,2,0),0)</f>
        <v>128</v>
      </c>
      <c r="T12" s="10">
        <v>130</v>
      </c>
      <c r="U12" s="4" t="s">
        <v>102</v>
      </c>
      <c r="V12" s="4">
        <f t="shared" si="6"/>
        <v>21.366459627329192</v>
      </c>
      <c r="W12" s="4">
        <f t="shared" si="4"/>
        <v>17.391304347826086</v>
      </c>
      <c r="X12" s="4">
        <v>36.200000000000003</v>
      </c>
      <c r="Y12" s="4">
        <v>25.6</v>
      </c>
      <c r="Z12" s="4">
        <v>34.6</v>
      </c>
      <c r="AA12" s="4">
        <v>22.4</v>
      </c>
      <c r="AB12" s="4">
        <v>23.6</v>
      </c>
      <c r="AC12" s="4">
        <v>28</v>
      </c>
      <c r="AD12" s="4">
        <v>40</v>
      </c>
      <c r="AE12" s="4">
        <v>12</v>
      </c>
      <c r="AF12" s="4" t="s">
        <v>51</v>
      </c>
      <c r="AG12" s="4">
        <f t="shared" si="7"/>
        <v>13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x14ac:dyDescent="0.25">
      <c r="A13" s="4" t="s">
        <v>52</v>
      </c>
      <c r="B13" s="4" t="s">
        <v>34</v>
      </c>
      <c r="C13" s="4">
        <v>64</v>
      </c>
      <c r="D13" s="4">
        <v>64</v>
      </c>
      <c r="E13" s="4">
        <v>31</v>
      </c>
      <c r="F13" s="4">
        <v>86</v>
      </c>
      <c r="G13" s="8">
        <v>0.18</v>
      </c>
      <c r="H13" s="4">
        <v>150</v>
      </c>
      <c r="I13" s="4">
        <v>5038411</v>
      </c>
      <c r="J13" s="4"/>
      <c r="K13" s="4">
        <v>31</v>
      </c>
      <c r="L13" s="4">
        <f t="shared" si="2"/>
        <v>0</v>
      </c>
      <c r="M13" s="4"/>
      <c r="N13" s="4"/>
      <c r="O13" s="4">
        <v>50</v>
      </c>
      <c r="P13" s="4">
        <f t="shared" si="3"/>
        <v>6.2</v>
      </c>
      <c r="Q13" s="10"/>
      <c r="R13" s="10">
        <f t="shared" si="8"/>
        <v>0</v>
      </c>
      <c r="S13" s="10">
        <f>IFERROR(VLOOKUP(A13,заказ!A:B,2,0),0)</f>
        <v>0</v>
      </c>
      <c r="T13" s="10"/>
      <c r="U13" s="4"/>
      <c r="V13" s="4">
        <f t="shared" si="6"/>
        <v>21.93548387096774</v>
      </c>
      <c r="W13" s="4">
        <f t="shared" si="4"/>
        <v>21.93548387096774</v>
      </c>
      <c r="X13" s="4">
        <v>8.6</v>
      </c>
      <c r="Y13" s="4">
        <v>8</v>
      </c>
      <c r="Z13" s="4">
        <v>6.8</v>
      </c>
      <c r="AA13" s="4">
        <v>4.2</v>
      </c>
      <c r="AB13" s="4">
        <v>7</v>
      </c>
      <c r="AC13" s="4">
        <v>8</v>
      </c>
      <c r="AD13" s="4">
        <v>9.8000000000000007</v>
      </c>
      <c r="AE13" s="4">
        <v>6.4</v>
      </c>
      <c r="AF13" s="4"/>
      <c r="AG13" s="4">
        <f t="shared" si="7"/>
        <v>0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x14ac:dyDescent="0.25">
      <c r="A14" s="4" t="s">
        <v>53</v>
      </c>
      <c r="B14" s="4" t="s">
        <v>34</v>
      </c>
      <c r="C14" s="4">
        <v>93</v>
      </c>
      <c r="D14" s="4">
        <v>53</v>
      </c>
      <c r="E14" s="4">
        <v>36</v>
      </c>
      <c r="F14" s="4">
        <v>86</v>
      </c>
      <c r="G14" s="8">
        <v>0.18</v>
      </c>
      <c r="H14" s="4">
        <v>150</v>
      </c>
      <c r="I14" s="4">
        <v>5038459</v>
      </c>
      <c r="J14" s="4"/>
      <c r="K14" s="4">
        <v>38</v>
      </c>
      <c r="L14" s="4">
        <f t="shared" si="2"/>
        <v>-2</v>
      </c>
      <c r="M14" s="4"/>
      <c r="N14" s="4"/>
      <c r="O14" s="4">
        <v>90</v>
      </c>
      <c r="P14" s="4">
        <f t="shared" si="3"/>
        <v>7.2</v>
      </c>
      <c r="Q14" s="10"/>
      <c r="R14" s="10">
        <f t="shared" si="8"/>
        <v>0</v>
      </c>
      <c r="S14" s="10">
        <f>IFERROR(VLOOKUP(A14,заказ!A:B,2,0),0)</f>
        <v>0</v>
      </c>
      <c r="T14" s="10"/>
      <c r="U14" s="4"/>
      <c r="V14" s="4">
        <f t="shared" si="6"/>
        <v>24.444444444444443</v>
      </c>
      <c r="W14" s="4">
        <f t="shared" si="4"/>
        <v>24.444444444444443</v>
      </c>
      <c r="X14" s="4">
        <v>10.8</v>
      </c>
      <c r="Y14" s="4">
        <v>8.4</v>
      </c>
      <c r="Z14" s="4">
        <v>9.1999999999999993</v>
      </c>
      <c r="AA14" s="4">
        <v>8.6</v>
      </c>
      <c r="AB14" s="4">
        <v>8.4</v>
      </c>
      <c r="AC14" s="4">
        <v>12.4</v>
      </c>
      <c r="AD14" s="4">
        <v>10.8</v>
      </c>
      <c r="AE14" s="4">
        <v>11.6</v>
      </c>
      <c r="AF14" s="4"/>
      <c r="AG14" s="4">
        <f t="shared" si="7"/>
        <v>0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x14ac:dyDescent="0.25">
      <c r="A15" s="4" t="s">
        <v>54</v>
      </c>
      <c r="B15" s="4" t="s">
        <v>34</v>
      </c>
      <c r="C15" s="4">
        <v>47</v>
      </c>
      <c r="D15" s="4">
        <v>32</v>
      </c>
      <c r="E15" s="4">
        <v>24</v>
      </c>
      <c r="F15" s="4">
        <v>50</v>
      </c>
      <c r="G15" s="8">
        <v>0.18</v>
      </c>
      <c r="H15" s="4">
        <v>150</v>
      </c>
      <c r="I15" s="4">
        <v>5038831</v>
      </c>
      <c r="J15" s="4"/>
      <c r="K15" s="4">
        <v>24</v>
      </c>
      <c r="L15" s="4">
        <f t="shared" si="2"/>
        <v>0</v>
      </c>
      <c r="M15" s="4"/>
      <c r="N15" s="4"/>
      <c r="O15" s="4">
        <v>60</v>
      </c>
      <c r="P15" s="4">
        <f t="shared" si="3"/>
        <v>4.8</v>
      </c>
      <c r="Q15" s="10"/>
      <c r="R15" s="10">
        <f t="shared" si="8"/>
        <v>0</v>
      </c>
      <c r="S15" s="10">
        <f>IFERROR(VLOOKUP(A15,заказ!A:B,2,0),0)</f>
        <v>0</v>
      </c>
      <c r="T15" s="10"/>
      <c r="U15" s="4"/>
      <c r="V15" s="4">
        <f t="shared" si="6"/>
        <v>22.916666666666668</v>
      </c>
      <c r="W15" s="4">
        <f t="shared" si="4"/>
        <v>22.916666666666668</v>
      </c>
      <c r="X15" s="4">
        <v>6.6</v>
      </c>
      <c r="Y15" s="4">
        <v>5.2</v>
      </c>
      <c r="Z15" s="4">
        <v>4.8</v>
      </c>
      <c r="AA15" s="4">
        <v>5.6</v>
      </c>
      <c r="AB15" s="4">
        <v>4.4000000000000004</v>
      </c>
      <c r="AC15" s="4">
        <v>0.4</v>
      </c>
      <c r="AD15" s="4">
        <v>6.8</v>
      </c>
      <c r="AE15" s="4">
        <v>6.6</v>
      </c>
      <c r="AF15" s="4" t="s">
        <v>55</v>
      </c>
      <c r="AG15" s="4">
        <f t="shared" si="7"/>
        <v>0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x14ac:dyDescent="0.25">
      <c r="A16" s="4" t="s">
        <v>56</v>
      </c>
      <c r="B16" s="4" t="s">
        <v>34</v>
      </c>
      <c r="C16" s="4"/>
      <c r="D16" s="4"/>
      <c r="E16" s="4"/>
      <c r="F16" s="4"/>
      <c r="G16" s="8">
        <v>0.18</v>
      </c>
      <c r="H16" s="4">
        <v>120</v>
      </c>
      <c r="I16" s="4">
        <v>5038855</v>
      </c>
      <c r="J16" s="4"/>
      <c r="K16" s="4"/>
      <c r="L16" s="4">
        <f t="shared" si="2"/>
        <v>0</v>
      </c>
      <c r="M16" s="4"/>
      <c r="N16" s="4"/>
      <c r="O16" s="14"/>
      <c r="P16" s="4">
        <f t="shared" si="3"/>
        <v>0</v>
      </c>
      <c r="Q16" s="10">
        <v>40</v>
      </c>
      <c r="R16" s="10">
        <f>T16</f>
        <v>70</v>
      </c>
      <c r="S16" s="10">
        <f>IFERROR(VLOOKUP(A16,заказ!A:B,2,0),0)</f>
        <v>70</v>
      </c>
      <c r="T16" s="10">
        <v>70</v>
      </c>
      <c r="U16" s="4" t="s">
        <v>102</v>
      </c>
      <c r="V16" s="4" t="e">
        <f t="shared" si="6"/>
        <v>#DIV/0!</v>
      </c>
      <c r="W16" s="4" t="e">
        <f t="shared" si="4"/>
        <v>#DIV/0!</v>
      </c>
      <c r="X16" s="4">
        <v>0</v>
      </c>
      <c r="Y16" s="4">
        <v>1.4</v>
      </c>
      <c r="Z16" s="4">
        <v>5.6</v>
      </c>
      <c r="AA16" s="4">
        <v>5.8</v>
      </c>
      <c r="AB16" s="4">
        <v>4.5999999999999996</v>
      </c>
      <c r="AC16" s="4">
        <v>-0.2</v>
      </c>
      <c r="AD16" s="4">
        <v>5.2</v>
      </c>
      <c r="AE16" s="4">
        <v>4.8</v>
      </c>
      <c r="AF16" s="14" t="s">
        <v>99</v>
      </c>
      <c r="AG16" s="4">
        <f t="shared" si="7"/>
        <v>12.6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x14ac:dyDescent="0.25">
      <c r="A17" s="4" t="s">
        <v>57</v>
      </c>
      <c r="B17" s="4" t="s">
        <v>34</v>
      </c>
      <c r="C17" s="4">
        <v>90</v>
      </c>
      <c r="D17" s="4">
        <v>144</v>
      </c>
      <c r="E17" s="4">
        <v>44</v>
      </c>
      <c r="F17" s="4">
        <v>153</v>
      </c>
      <c r="G17" s="8">
        <v>0.18</v>
      </c>
      <c r="H17" s="4">
        <v>150</v>
      </c>
      <c r="I17" s="4">
        <v>5038435</v>
      </c>
      <c r="J17" s="4"/>
      <c r="K17" s="4">
        <v>44</v>
      </c>
      <c r="L17" s="4">
        <f t="shared" si="2"/>
        <v>0</v>
      </c>
      <c r="M17" s="4"/>
      <c r="N17" s="4"/>
      <c r="O17" s="4">
        <v>80</v>
      </c>
      <c r="P17" s="4">
        <f t="shared" si="3"/>
        <v>8.8000000000000007</v>
      </c>
      <c r="Q17" s="10"/>
      <c r="R17" s="10">
        <f t="shared" si="8"/>
        <v>0</v>
      </c>
      <c r="S17" s="10">
        <f>IFERROR(VLOOKUP(A17,заказ!A:B,2,0),0)</f>
        <v>0</v>
      </c>
      <c r="T17" s="10"/>
      <c r="U17" s="4"/>
      <c r="V17" s="4">
        <f t="shared" si="6"/>
        <v>26.477272727272727</v>
      </c>
      <c r="W17" s="4">
        <f t="shared" si="4"/>
        <v>26.477272727272727</v>
      </c>
      <c r="X17" s="4">
        <v>14.6</v>
      </c>
      <c r="Y17" s="4">
        <v>13</v>
      </c>
      <c r="Z17" s="4">
        <v>8.4</v>
      </c>
      <c r="AA17" s="4">
        <v>13.6</v>
      </c>
      <c r="AB17" s="4">
        <v>11.2</v>
      </c>
      <c r="AC17" s="4">
        <v>10.6</v>
      </c>
      <c r="AD17" s="4">
        <v>10</v>
      </c>
      <c r="AE17" s="4">
        <v>11.4</v>
      </c>
      <c r="AF17" s="4"/>
      <c r="AG17" s="4">
        <f t="shared" si="7"/>
        <v>0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ht="15.75" thickBot="1" x14ac:dyDescent="0.3">
      <c r="A18" s="4" t="s">
        <v>58</v>
      </c>
      <c r="B18" s="4" t="s">
        <v>34</v>
      </c>
      <c r="C18" s="4">
        <v>189</v>
      </c>
      <c r="D18" s="4">
        <v>15</v>
      </c>
      <c r="E18" s="4">
        <v>31</v>
      </c>
      <c r="F18" s="4">
        <v>171</v>
      </c>
      <c r="G18" s="8">
        <v>0.18</v>
      </c>
      <c r="H18" s="4">
        <v>120</v>
      </c>
      <c r="I18" s="4">
        <v>5038398</v>
      </c>
      <c r="J18" s="4"/>
      <c r="K18" s="4">
        <v>31</v>
      </c>
      <c r="L18" s="4">
        <f t="shared" si="2"/>
        <v>0</v>
      </c>
      <c r="M18" s="4"/>
      <c r="N18" s="4"/>
      <c r="O18" s="4">
        <v>0</v>
      </c>
      <c r="P18" s="4">
        <f t="shared" si="3"/>
        <v>6.2</v>
      </c>
      <c r="Q18" s="10"/>
      <c r="R18" s="10">
        <f t="shared" si="8"/>
        <v>0</v>
      </c>
      <c r="S18" s="10">
        <f>IFERROR(VLOOKUP(A18,заказ!A:B,2,0),0)</f>
        <v>0</v>
      </c>
      <c r="T18" s="10"/>
      <c r="U18" s="4"/>
      <c r="V18" s="4">
        <f t="shared" si="6"/>
        <v>27.58064516129032</v>
      </c>
      <c r="W18" s="4">
        <f t="shared" si="4"/>
        <v>27.58064516129032</v>
      </c>
      <c r="X18" s="4">
        <v>4.8</v>
      </c>
      <c r="Y18" s="4">
        <v>9</v>
      </c>
      <c r="Z18" s="4">
        <v>9.4</v>
      </c>
      <c r="AA18" s="4">
        <v>6.2</v>
      </c>
      <c r="AB18" s="4">
        <v>5.8</v>
      </c>
      <c r="AC18" s="4">
        <v>7.2</v>
      </c>
      <c r="AD18" s="4">
        <v>1</v>
      </c>
      <c r="AE18" s="4">
        <v>4.4000000000000004</v>
      </c>
      <c r="AF18" s="29" t="s">
        <v>40</v>
      </c>
      <c r="AG18" s="4">
        <f t="shared" si="7"/>
        <v>0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x14ac:dyDescent="0.25">
      <c r="A19" s="11" t="s">
        <v>59</v>
      </c>
      <c r="B19" s="12" t="s">
        <v>49</v>
      </c>
      <c r="C19" s="12"/>
      <c r="D19" s="12"/>
      <c r="E19" s="12"/>
      <c r="F19" s="13"/>
      <c r="G19" s="8">
        <v>1</v>
      </c>
      <c r="H19" s="4">
        <v>150</v>
      </c>
      <c r="I19" s="4">
        <v>8785242</v>
      </c>
      <c r="J19" s="4"/>
      <c r="K19" s="4"/>
      <c r="L19" s="4">
        <f t="shared" si="2"/>
        <v>0</v>
      </c>
      <c r="M19" s="4"/>
      <c r="N19" s="4"/>
      <c r="O19" s="4">
        <v>0</v>
      </c>
      <c r="P19" s="4">
        <f t="shared" si="3"/>
        <v>0</v>
      </c>
      <c r="Q19" s="10"/>
      <c r="R19" s="10">
        <f t="shared" si="8"/>
        <v>0</v>
      </c>
      <c r="S19" s="10">
        <f>IFERROR(VLOOKUP(A19,заказ!A:B,2,0),0)</f>
        <v>0</v>
      </c>
      <c r="T19" s="10"/>
      <c r="U19" s="4"/>
      <c r="V19" s="4" t="e">
        <f t="shared" si="6"/>
        <v>#DIV/0!</v>
      </c>
      <c r="W19" s="4" t="e">
        <f t="shared" si="4"/>
        <v>#DIV/0!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0.6452</v>
      </c>
      <c r="AE19" s="4">
        <v>0.63400000000000001</v>
      </c>
      <c r="AF19" s="4"/>
      <c r="AG19" s="4">
        <f t="shared" si="7"/>
        <v>0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ht="15.75" thickBot="1" x14ac:dyDescent="0.3">
      <c r="A20" s="17" t="s">
        <v>60</v>
      </c>
      <c r="B20" s="18" t="s">
        <v>49</v>
      </c>
      <c r="C20" s="18">
        <v>37.57</v>
      </c>
      <c r="D20" s="18">
        <v>3.4780000000000002</v>
      </c>
      <c r="E20" s="18">
        <v>3.4780000000000002</v>
      </c>
      <c r="F20" s="19">
        <v>34.091999999999999</v>
      </c>
      <c r="G20" s="20">
        <v>0</v>
      </c>
      <c r="H20" s="21" t="e">
        <v>#N/A</v>
      </c>
      <c r="I20" s="21" t="s">
        <v>42</v>
      </c>
      <c r="J20" s="21" t="s">
        <v>59</v>
      </c>
      <c r="K20" s="21">
        <v>3</v>
      </c>
      <c r="L20" s="21">
        <f t="shared" si="2"/>
        <v>0.4780000000000002</v>
      </c>
      <c r="M20" s="21"/>
      <c r="N20" s="21"/>
      <c r="O20" s="21">
        <v>0</v>
      </c>
      <c r="P20" s="21">
        <f t="shared" si="3"/>
        <v>0.6956</v>
      </c>
      <c r="Q20" s="22"/>
      <c r="R20" s="10">
        <f t="shared" si="8"/>
        <v>0</v>
      </c>
      <c r="S20" s="10">
        <f>IFERROR(VLOOKUP(A20,заказ!A:B,2,0),0)</f>
        <v>0</v>
      </c>
      <c r="T20" s="22"/>
      <c r="U20" s="21"/>
      <c r="V20" s="4">
        <f t="shared" si="6"/>
        <v>49.010925819436459</v>
      </c>
      <c r="W20" s="21">
        <f t="shared" si="4"/>
        <v>49.010925819436459</v>
      </c>
      <c r="X20" s="21">
        <v>0</v>
      </c>
      <c r="Y20" s="21">
        <v>0</v>
      </c>
      <c r="Z20" s="21">
        <v>1.9572000000000001</v>
      </c>
      <c r="AA20" s="21">
        <v>0.69900000000000007</v>
      </c>
      <c r="AB20" s="21">
        <v>0.64640000000000009</v>
      </c>
      <c r="AC20" s="21">
        <v>1.276</v>
      </c>
      <c r="AD20" s="21">
        <v>0</v>
      </c>
      <c r="AE20" s="21">
        <v>1.3680000000000001</v>
      </c>
      <c r="AF20" s="30" t="s">
        <v>61</v>
      </c>
      <c r="AG20" s="4">
        <f t="shared" si="7"/>
        <v>0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x14ac:dyDescent="0.25">
      <c r="A21" s="11" t="s">
        <v>62</v>
      </c>
      <c r="B21" s="12" t="s">
        <v>49</v>
      </c>
      <c r="C21" s="12"/>
      <c r="D21" s="12"/>
      <c r="E21" s="12"/>
      <c r="F21" s="13"/>
      <c r="G21" s="8">
        <v>1</v>
      </c>
      <c r="H21" s="4">
        <v>150</v>
      </c>
      <c r="I21" s="4">
        <v>8785235</v>
      </c>
      <c r="J21" s="4"/>
      <c r="K21" s="4"/>
      <c r="L21" s="4">
        <f t="shared" si="2"/>
        <v>0</v>
      </c>
      <c r="M21" s="4"/>
      <c r="N21" s="4"/>
      <c r="O21" s="4">
        <v>0</v>
      </c>
      <c r="P21" s="4">
        <f t="shared" si="3"/>
        <v>0</v>
      </c>
      <c r="Q21" s="10"/>
      <c r="R21" s="10">
        <f t="shared" si="8"/>
        <v>0</v>
      </c>
      <c r="S21" s="10">
        <f>IFERROR(VLOOKUP(A21,заказ!A:B,2,0),0)</f>
        <v>0</v>
      </c>
      <c r="T21" s="10"/>
      <c r="U21" s="4"/>
      <c r="V21" s="4" t="e">
        <f t="shared" si="6"/>
        <v>#DIV/0!</v>
      </c>
      <c r="W21" s="4" t="e">
        <f t="shared" si="4"/>
        <v>#DIV/0!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 t="s">
        <v>63</v>
      </c>
      <c r="AG21" s="4">
        <f t="shared" si="7"/>
        <v>0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ht="15.75" thickBot="1" x14ac:dyDescent="0.3">
      <c r="A22" s="17" t="s">
        <v>64</v>
      </c>
      <c r="B22" s="18" t="s">
        <v>49</v>
      </c>
      <c r="C22" s="18">
        <v>64.16</v>
      </c>
      <c r="D22" s="18">
        <v>3.0779999999999998</v>
      </c>
      <c r="E22" s="18">
        <v>6.8780000000000001</v>
      </c>
      <c r="F22" s="19">
        <v>54.281999999999996</v>
      </c>
      <c r="G22" s="20">
        <v>0</v>
      </c>
      <c r="H22" s="21" t="e">
        <v>#N/A</v>
      </c>
      <c r="I22" s="21" t="s">
        <v>42</v>
      </c>
      <c r="J22" s="21" t="s">
        <v>62</v>
      </c>
      <c r="K22" s="21">
        <v>6.31</v>
      </c>
      <c r="L22" s="21">
        <f t="shared" si="2"/>
        <v>0.5680000000000005</v>
      </c>
      <c r="M22" s="21"/>
      <c r="N22" s="21"/>
      <c r="O22" s="21">
        <v>0</v>
      </c>
      <c r="P22" s="21">
        <f t="shared" si="3"/>
        <v>1.3755999999999999</v>
      </c>
      <c r="Q22" s="22"/>
      <c r="R22" s="10">
        <f t="shared" si="8"/>
        <v>0</v>
      </c>
      <c r="S22" s="10">
        <f>IFERROR(VLOOKUP(A22,заказ!A:B,2,0),0)</f>
        <v>0</v>
      </c>
      <c r="T22" s="22"/>
      <c r="U22" s="21"/>
      <c r="V22" s="4">
        <f t="shared" si="6"/>
        <v>39.460599011340506</v>
      </c>
      <c r="W22" s="21">
        <f t="shared" si="4"/>
        <v>39.460599011340506</v>
      </c>
      <c r="X22" s="21">
        <v>2.6484000000000001</v>
      </c>
      <c r="Y22" s="21">
        <v>1.2607999999999999</v>
      </c>
      <c r="Z22" s="21">
        <v>4.1223999999999998</v>
      </c>
      <c r="AA22" s="21">
        <v>0</v>
      </c>
      <c r="AB22" s="21">
        <v>1.972</v>
      </c>
      <c r="AC22" s="21">
        <v>2.6160000000000001</v>
      </c>
      <c r="AD22" s="21">
        <v>0</v>
      </c>
      <c r="AE22" s="21">
        <v>1.2636000000000001</v>
      </c>
      <c r="AF22" s="30" t="s">
        <v>61</v>
      </c>
      <c r="AG22" s="4">
        <f t="shared" si="7"/>
        <v>0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x14ac:dyDescent="0.25">
      <c r="A23" s="11" t="s">
        <v>65</v>
      </c>
      <c r="B23" s="12" t="s">
        <v>49</v>
      </c>
      <c r="C23" s="12"/>
      <c r="D23" s="12"/>
      <c r="E23" s="12"/>
      <c r="F23" s="13"/>
      <c r="G23" s="8">
        <v>1</v>
      </c>
      <c r="H23" s="4">
        <v>120</v>
      </c>
      <c r="I23" s="4">
        <v>8785204</v>
      </c>
      <c r="J23" s="4"/>
      <c r="K23" s="4"/>
      <c r="L23" s="4">
        <f t="shared" si="2"/>
        <v>0</v>
      </c>
      <c r="M23" s="4"/>
      <c r="N23" s="4"/>
      <c r="O23" s="4">
        <v>0</v>
      </c>
      <c r="P23" s="4">
        <f t="shared" si="3"/>
        <v>0</v>
      </c>
      <c r="Q23" s="10">
        <f>20*(P23+P24)-O23-O24-F23-F24</f>
        <v>11.372</v>
      </c>
      <c r="R23" s="10">
        <f>T23</f>
        <v>20</v>
      </c>
      <c r="S23" s="10">
        <f>IFERROR(VLOOKUP(A23,заказ!A:B,2,0),0)</f>
        <v>16</v>
      </c>
      <c r="T23" s="10">
        <v>20</v>
      </c>
      <c r="U23" s="4" t="s">
        <v>102</v>
      </c>
      <c r="V23" s="4" t="e">
        <f t="shared" si="6"/>
        <v>#DIV/0!</v>
      </c>
      <c r="W23" s="4" t="e">
        <f t="shared" si="4"/>
        <v>#DIV/0!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 t="s">
        <v>66</v>
      </c>
      <c r="AG23" s="4">
        <f t="shared" si="7"/>
        <v>20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ht="15.75" thickBot="1" x14ac:dyDescent="0.3">
      <c r="A24" s="17" t="s">
        <v>67</v>
      </c>
      <c r="B24" s="18" t="s">
        <v>49</v>
      </c>
      <c r="C24" s="18">
        <v>36.658000000000001</v>
      </c>
      <c r="D24" s="18">
        <v>16.149999999999999</v>
      </c>
      <c r="E24" s="18">
        <v>12.836</v>
      </c>
      <c r="F24" s="19">
        <v>39.972000000000001</v>
      </c>
      <c r="G24" s="20">
        <v>0</v>
      </c>
      <c r="H24" s="21" t="e">
        <v>#N/A</v>
      </c>
      <c r="I24" s="21" t="s">
        <v>42</v>
      </c>
      <c r="J24" s="21" t="s">
        <v>65</v>
      </c>
      <c r="K24" s="21">
        <v>11.2</v>
      </c>
      <c r="L24" s="21">
        <f t="shared" si="2"/>
        <v>1.636000000000001</v>
      </c>
      <c r="M24" s="21"/>
      <c r="N24" s="21"/>
      <c r="O24" s="21">
        <v>0</v>
      </c>
      <c r="P24" s="21">
        <f t="shared" si="3"/>
        <v>2.5672000000000001</v>
      </c>
      <c r="Q24" s="22"/>
      <c r="R24" s="10">
        <f t="shared" si="8"/>
        <v>0</v>
      </c>
      <c r="S24" s="10">
        <f>IFERROR(VLOOKUP(A24,заказ!A:B,2,0),0)</f>
        <v>0</v>
      </c>
      <c r="T24" s="22"/>
      <c r="U24" s="21"/>
      <c r="V24" s="4">
        <f t="shared" si="6"/>
        <v>15.570271112496105</v>
      </c>
      <c r="W24" s="21">
        <f t="shared" si="4"/>
        <v>15.570271112496105</v>
      </c>
      <c r="X24" s="21">
        <v>1.1992</v>
      </c>
      <c r="Y24" s="21">
        <v>3.2320000000000002</v>
      </c>
      <c r="Z24" s="21">
        <v>3.0531999999999999</v>
      </c>
      <c r="AA24" s="21">
        <v>3.173</v>
      </c>
      <c r="AB24" s="21">
        <v>2.5344000000000002</v>
      </c>
      <c r="AC24" s="21">
        <v>3.1688000000000001</v>
      </c>
      <c r="AD24" s="21">
        <v>2.6511999999999998</v>
      </c>
      <c r="AE24" s="21">
        <v>2.6152000000000002</v>
      </c>
      <c r="AF24" s="21"/>
      <c r="AG24" s="4">
        <f t="shared" si="7"/>
        <v>0</v>
      </c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ht="15.75" thickBot="1" x14ac:dyDescent="0.3">
      <c r="A25" s="26" t="s">
        <v>68</v>
      </c>
      <c r="B25" s="26" t="s">
        <v>34</v>
      </c>
      <c r="C25" s="26"/>
      <c r="D25" s="26"/>
      <c r="E25" s="26"/>
      <c r="F25" s="26"/>
      <c r="G25" s="27">
        <v>0</v>
      </c>
      <c r="H25" s="26">
        <v>60</v>
      </c>
      <c r="I25" s="26">
        <v>8444170</v>
      </c>
      <c r="J25" s="26"/>
      <c r="K25" s="26">
        <v>49</v>
      </c>
      <c r="L25" s="26">
        <f t="shared" si="2"/>
        <v>-49</v>
      </c>
      <c r="M25" s="26"/>
      <c r="N25" s="26"/>
      <c r="O25" s="26">
        <v>0</v>
      </c>
      <c r="P25" s="26">
        <f t="shared" si="3"/>
        <v>0</v>
      </c>
      <c r="Q25" s="28"/>
      <c r="R25" s="10">
        <f t="shared" si="8"/>
        <v>0</v>
      </c>
      <c r="S25" s="10">
        <f>IFERROR(VLOOKUP(A25,заказ!A:B,2,0),0)</f>
        <v>0</v>
      </c>
      <c r="T25" s="28"/>
      <c r="U25" s="26"/>
      <c r="V25" s="4" t="e">
        <f t="shared" si="6"/>
        <v>#DIV/0!</v>
      </c>
      <c r="W25" s="26" t="e">
        <f t="shared" si="4"/>
        <v>#DIV/0!</v>
      </c>
      <c r="X25" s="26">
        <v>0</v>
      </c>
      <c r="Y25" s="26">
        <v>0</v>
      </c>
      <c r="Z25" s="26">
        <v>0</v>
      </c>
      <c r="AA25" s="26">
        <v>-0.4</v>
      </c>
      <c r="AB25" s="26">
        <v>-0.6</v>
      </c>
      <c r="AC25" s="26">
        <v>-0.4</v>
      </c>
      <c r="AD25" s="26">
        <v>-0.6</v>
      </c>
      <c r="AE25" s="26">
        <v>-0.2</v>
      </c>
      <c r="AF25" s="26" t="s">
        <v>69</v>
      </c>
      <c r="AG25" s="4">
        <f t="shared" si="7"/>
        <v>0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x14ac:dyDescent="0.25">
      <c r="A26" s="11" t="s">
        <v>70</v>
      </c>
      <c r="B26" s="12" t="s">
        <v>49</v>
      </c>
      <c r="C26" s="12">
        <v>24.599</v>
      </c>
      <c r="D26" s="12"/>
      <c r="E26" s="12">
        <v>2.7730000000000001</v>
      </c>
      <c r="F26" s="13">
        <v>21.826000000000001</v>
      </c>
      <c r="G26" s="8">
        <v>1</v>
      </c>
      <c r="H26" s="4">
        <v>120</v>
      </c>
      <c r="I26" s="4">
        <v>5522704</v>
      </c>
      <c r="J26" s="4"/>
      <c r="K26" s="4">
        <v>2.5</v>
      </c>
      <c r="L26" s="4">
        <f t="shared" si="2"/>
        <v>0.27300000000000013</v>
      </c>
      <c r="M26" s="4"/>
      <c r="N26" s="4"/>
      <c r="O26" s="4">
        <v>0</v>
      </c>
      <c r="P26" s="4">
        <f t="shared" si="3"/>
        <v>0.55459999999999998</v>
      </c>
      <c r="Q26" s="10"/>
      <c r="R26" s="10">
        <f t="shared" si="8"/>
        <v>0</v>
      </c>
      <c r="S26" s="10">
        <f>IFERROR(VLOOKUP(A26,заказ!A:B,2,0),0)</f>
        <v>0</v>
      </c>
      <c r="T26" s="10"/>
      <c r="U26" s="4"/>
      <c r="V26" s="4">
        <f t="shared" si="6"/>
        <v>39.354489722322398</v>
      </c>
      <c r="W26" s="4">
        <f t="shared" si="4"/>
        <v>39.354489722322398</v>
      </c>
      <c r="X26" s="4">
        <v>3.024</v>
      </c>
      <c r="Y26" s="4">
        <v>1.8468</v>
      </c>
      <c r="Z26" s="4">
        <v>0.58560000000000001</v>
      </c>
      <c r="AA26" s="4">
        <v>3.044</v>
      </c>
      <c r="AB26" s="4">
        <v>1.7718</v>
      </c>
      <c r="AC26" s="4">
        <v>2.4340000000000002</v>
      </c>
      <c r="AD26" s="4">
        <v>1.3031999999999999</v>
      </c>
      <c r="AE26" s="4">
        <v>0.60759999999999992</v>
      </c>
      <c r="AF26" s="30" t="s">
        <v>61</v>
      </c>
      <c r="AG26" s="4">
        <f t="shared" si="7"/>
        <v>0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ht="15.75" thickBot="1" x14ac:dyDescent="0.3">
      <c r="A27" s="17" t="s">
        <v>71</v>
      </c>
      <c r="B27" s="18" t="s">
        <v>49</v>
      </c>
      <c r="C27" s="18"/>
      <c r="D27" s="18">
        <v>102.934</v>
      </c>
      <c r="E27" s="18"/>
      <c r="F27" s="19"/>
      <c r="G27" s="20">
        <v>0</v>
      </c>
      <c r="H27" s="21" t="e">
        <v>#N/A</v>
      </c>
      <c r="I27" s="21" t="s">
        <v>42</v>
      </c>
      <c r="J27" s="21" t="s">
        <v>70</v>
      </c>
      <c r="K27" s="21"/>
      <c r="L27" s="21">
        <f t="shared" si="2"/>
        <v>0</v>
      </c>
      <c r="M27" s="21"/>
      <c r="N27" s="21"/>
      <c r="O27" s="21">
        <v>0</v>
      </c>
      <c r="P27" s="21">
        <f t="shared" si="3"/>
        <v>0</v>
      </c>
      <c r="Q27" s="22"/>
      <c r="R27" s="10">
        <f t="shared" si="8"/>
        <v>0</v>
      </c>
      <c r="S27" s="10">
        <f>IFERROR(VLOOKUP(A27,заказ!A:B,2,0),0)</f>
        <v>0</v>
      </c>
      <c r="T27" s="22"/>
      <c r="U27" s="21"/>
      <c r="V27" s="4" t="e">
        <f t="shared" si="6"/>
        <v>#DIV/0!</v>
      </c>
      <c r="W27" s="21" t="e">
        <f t="shared" si="4"/>
        <v>#DIV/0!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 t="s">
        <v>72</v>
      </c>
      <c r="AG27" s="4">
        <f t="shared" si="7"/>
        <v>0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x14ac:dyDescent="0.25">
      <c r="A28" s="4" t="s">
        <v>73</v>
      </c>
      <c r="B28" s="4" t="s">
        <v>34</v>
      </c>
      <c r="C28" s="4">
        <v>55</v>
      </c>
      <c r="D28" s="4">
        <v>64</v>
      </c>
      <c r="E28" s="4">
        <v>51</v>
      </c>
      <c r="F28" s="4">
        <v>68</v>
      </c>
      <c r="G28" s="8">
        <v>0.14000000000000001</v>
      </c>
      <c r="H28" s="4">
        <v>180</v>
      </c>
      <c r="I28" s="4">
        <v>9988391</v>
      </c>
      <c r="J28" s="4"/>
      <c r="K28" s="4">
        <v>51</v>
      </c>
      <c r="L28" s="4">
        <f t="shared" si="2"/>
        <v>0</v>
      </c>
      <c r="M28" s="4"/>
      <c r="N28" s="4"/>
      <c r="O28" s="4">
        <v>16</v>
      </c>
      <c r="P28" s="4">
        <f t="shared" si="3"/>
        <v>10.199999999999999</v>
      </c>
      <c r="Q28" s="10">
        <f t="shared" ref="Q28:Q29" si="10">20*P28-O28-F28</f>
        <v>120</v>
      </c>
      <c r="R28" s="10">
        <f t="shared" ref="R28:R30" si="11">T28</f>
        <v>200</v>
      </c>
      <c r="S28" s="10">
        <f>IFERROR(VLOOKUP(A28,заказ!A:B,2,0),0)</f>
        <v>192</v>
      </c>
      <c r="T28" s="10">
        <v>200</v>
      </c>
      <c r="U28" s="4" t="s">
        <v>102</v>
      </c>
      <c r="V28" s="4">
        <f t="shared" si="6"/>
        <v>27.058823529411768</v>
      </c>
      <c r="W28" s="4">
        <f t="shared" si="4"/>
        <v>8.2352941176470598</v>
      </c>
      <c r="X28" s="4">
        <v>6.4</v>
      </c>
      <c r="Y28" s="4">
        <v>7.4</v>
      </c>
      <c r="Z28" s="4">
        <v>6.2</v>
      </c>
      <c r="AA28" s="4">
        <v>7</v>
      </c>
      <c r="AB28" s="4">
        <v>5.6</v>
      </c>
      <c r="AC28" s="4">
        <v>6.6</v>
      </c>
      <c r="AD28" s="4">
        <v>8.1999999999999993</v>
      </c>
      <c r="AE28" s="4">
        <v>5.2</v>
      </c>
      <c r="AF28" s="4"/>
      <c r="AG28" s="4">
        <f t="shared" si="7"/>
        <v>28.000000000000004</v>
      </c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x14ac:dyDescent="0.25">
      <c r="A29" s="4" t="s">
        <v>74</v>
      </c>
      <c r="B29" s="4" t="s">
        <v>34</v>
      </c>
      <c r="C29" s="4">
        <v>74</v>
      </c>
      <c r="D29" s="4">
        <v>81</v>
      </c>
      <c r="E29" s="4">
        <v>54</v>
      </c>
      <c r="F29" s="4">
        <v>99</v>
      </c>
      <c r="G29" s="8">
        <v>0.18</v>
      </c>
      <c r="H29" s="4">
        <v>270</v>
      </c>
      <c r="I29" s="4">
        <v>9988681</v>
      </c>
      <c r="J29" s="4"/>
      <c r="K29" s="4">
        <v>54</v>
      </c>
      <c r="L29" s="4">
        <f t="shared" si="2"/>
        <v>0</v>
      </c>
      <c r="M29" s="4"/>
      <c r="N29" s="4"/>
      <c r="O29" s="4">
        <v>0</v>
      </c>
      <c r="P29" s="4">
        <f t="shared" si="3"/>
        <v>10.8</v>
      </c>
      <c r="Q29" s="10">
        <f t="shared" si="10"/>
        <v>117</v>
      </c>
      <c r="R29" s="10">
        <f t="shared" si="11"/>
        <v>200</v>
      </c>
      <c r="S29" s="10">
        <f>IFERROR(VLOOKUP(A29,заказ!A:B,2,0),0)</f>
        <v>192</v>
      </c>
      <c r="T29" s="10">
        <v>200</v>
      </c>
      <c r="U29" s="4" t="s">
        <v>102</v>
      </c>
      <c r="V29" s="4">
        <f t="shared" si="6"/>
        <v>26.944444444444443</v>
      </c>
      <c r="W29" s="4">
        <f t="shared" si="4"/>
        <v>9.1666666666666661</v>
      </c>
      <c r="X29" s="4">
        <v>6</v>
      </c>
      <c r="Y29" s="4">
        <v>8.8000000000000007</v>
      </c>
      <c r="Z29" s="4">
        <v>7.2</v>
      </c>
      <c r="AA29" s="4">
        <v>6.2</v>
      </c>
      <c r="AB29" s="4">
        <v>8.8000000000000007</v>
      </c>
      <c r="AC29" s="4">
        <v>6.6</v>
      </c>
      <c r="AD29" s="4">
        <v>5.2</v>
      </c>
      <c r="AE29" s="4">
        <v>11.2</v>
      </c>
      <c r="AF29" s="4"/>
      <c r="AG29" s="4">
        <f t="shared" si="7"/>
        <v>36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ht="15.75" thickBot="1" x14ac:dyDescent="0.3">
      <c r="A30" s="4" t="s">
        <v>75</v>
      </c>
      <c r="B30" s="4" t="s">
        <v>49</v>
      </c>
      <c r="C30" s="4">
        <v>32.957000000000001</v>
      </c>
      <c r="D30" s="4"/>
      <c r="E30" s="4">
        <v>16.582000000000001</v>
      </c>
      <c r="F30" s="4">
        <v>16.375</v>
      </c>
      <c r="G30" s="8">
        <v>1</v>
      </c>
      <c r="H30" s="4">
        <v>120</v>
      </c>
      <c r="I30" s="4">
        <v>8785198</v>
      </c>
      <c r="J30" s="4"/>
      <c r="K30" s="4">
        <v>17.5</v>
      </c>
      <c r="L30" s="4">
        <f t="shared" si="2"/>
        <v>-0.91799999999999926</v>
      </c>
      <c r="M30" s="4"/>
      <c r="N30" s="4"/>
      <c r="O30" s="4">
        <v>0</v>
      </c>
      <c r="P30" s="4">
        <f t="shared" si="3"/>
        <v>3.3164000000000002</v>
      </c>
      <c r="Q30" s="10">
        <f>18*P30-O30-F30</f>
        <v>43.320200000000007</v>
      </c>
      <c r="R30" s="10">
        <f t="shared" si="11"/>
        <v>65</v>
      </c>
      <c r="S30" s="10">
        <f>IFERROR(VLOOKUP(A30,заказ!A:B,2,0),0)</f>
        <v>66</v>
      </c>
      <c r="T30" s="10">
        <v>65</v>
      </c>
      <c r="U30" s="4" t="s">
        <v>102</v>
      </c>
      <c r="V30" s="4">
        <f t="shared" si="6"/>
        <v>24.838680496924376</v>
      </c>
      <c r="W30" s="4">
        <f t="shared" si="4"/>
        <v>4.9375829212398985</v>
      </c>
      <c r="X30" s="4">
        <v>1.24</v>
      </c>
      <c r="Y30" s="4">
        <v>1.2891999999999999</v>
      </c>
      <c r="Z30" s="4">
        <v>2.4512</v>
      </c>
      <c r="AA30" s="4">
        <v>2.0112000000000001</v>
      </c>
      <c r="AB30" s="4">
        <v>1.3160000000000001</v>
      </c>
      <c r="AC30" s="4">
        <v>2.5299999999999998</v>
      </c>
      <c r="AD30" s="4">
        <v>3.6892</v>
      </c>
      <c r="AE30" s="4">
        <v>0</v>
      </c>
      <c r="AF30" s="31" t="s">
        <v>101</v>
      </c>
      <c r="AG30" s="4">
        <f t="shared" si="7"/>
        <v>65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x14ac:dyDescent="0.25">
      <c r="A31" s="23" t="s">
        <v>76</v>
      </c>
      <c r="B31" s="24" t="s">
        <v>49</v>
      </c>
      <c r="C31" s="24">
        <v>19.2</v>
      </c>
      <c r="D31" s="24">
        <v>3.0249999999999999</v>
      </c>
      <c r="E31" s="24">
        <v>16.524999999999999</v>
      </c>
      <c r="F31" s="25"/>
      <c r="G31" s="20">
        <v>0</v>
      </c>
      <c r="H31" s="21" t="e">
        <v>#N/A</v>
      </c>
      <c r="I31" s="21" t="s">
        <v>77</v>
      </c>
      <c r="J31" s="21"/>
      <c r="K31" s="21">
        <v>14.12</v>
      </c>
      <c r="L31" s="21">
        <f t="shared" si="2"/>
        <v>2.4049999999999994</v>
      </c>
      <c r="M31" s="21"/>
      <c r="N31" s="21"/>
      <c r="O31" s="21">
        <v>0</v>
      </c>
      <c r="P31" s="21">
        <f t="shared" si="3"/>
        <v>3.3049999999999997</v>
      </c>
      <c r="Q31" s="22"/>
      <c r="R31" s="10">
        <f t="shared" si="8"/>
        <v>0</v>
      </c>
      <c r="S31" s="10">
        <f>IFERROR(VLOOKUP(A31,заказ!A:B,2,0),0)</f>
        <v>0</v>
      </c>
      <c r="T31" s="22"/>
      <c r="U31" s="21"/>
      <c r="V31" s="4">
        <f t="shared" si="6"/>
        <v>0</v>
      </c>
      <c r="W31" s="21">
        <f t="shared" si="4"/>
        <v>0</v>
      </c>
      <c r="X31" s="21">
        <v>2.4279999999999999</v>
      </c>
      <c r="Y31" s="21">
        <v>0.64200000000000002</v>
      </c>
      <c r="Z31" s="21">
        <v>0.73</v>
      </c>
      <c r="AA31" s="21">
        <v>0.74280000000000002</v>
      </c>
      <c r="AB31" s="21">
        <v>0.65199999999999991</v>
      </c>
      <c r="AC31" s="21">
        <v>1.9216</v>
      </c>
      <c r="AD31" s="21">
        <v>0</v>
      </c>
      <c r="AE31" s="21">
        <v>0</v>
      </c>
      <c r="AF31" s="21" t="s">
        <v>78</v>
      </c>
      <c r="AG31" s="4">
        <f t="shared" si="7"/>
        <v>0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ht="15.75" thickBot="1" x14ac:dyDescent="0.3">
      <c r="A32" s="17" t="s">
        <v>79</v>
      </c>
      <c r="B32" s="18" t="s">
        <v>49</v>
      </c>
      <c r="C32" s="18"/>
      <c r="D32" s="18">
        <v>2.7949999999999999</v>
      </c>
      <c r="E32" s="18">
        <v>2.7949999999999999</v>
      </c>
      <c r="F32" s="19"/>
      <c r="G32" s="20">
        <v>0</v>
      </c>
      <c r="H32" s="21" t="e">
        <v>#N/A</v>
      </c>
      <c r="I32" s="21" t="s">
        <v>77</v>
      </c>
      <c r="J32" s="21" t="s">
        <v>76</v>
      </c>
      <c r="K32" s="21">
        <v>2.5</v>
      </c>
      <c r="L32" s="21">
        <f t="shared" si="2"/>
        <v>0.29499999999999993</v>
      </c>
      <c r="M32" s="21"/>
      <c r="N32" s="21"/>
      <c r="O32" s="21"/>
      <c r="P32" s="21">
        <f t="shared" si="3"/>
        <v>0.55899999999999994</v>
      </c>
      <c r="Q32" s="22"/>
      <c r="R32" s="10">
        <f t="shared" si="8"/>
        <v>0</v>
      </c>
      <c r="S32" s="10">
        <f>IFERROR(VLOOKUP(A32,заказ!A:B,2,0),0)</f>
        <v>0</v>
      </c>
      <c r="T32" s="22"/>
      <c r="U32" s="21"/>
      <c r="V32" s="4">
        <f t="shared" si="6"/>
        <v>0</v>
      </c>
      <c r="W32" s="21">
        <f t="shared" si="4"/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/>
      <c r="AG32" s="4">
        <f t="shared" si="7"/>
        <v>0</v>
      </c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x14ac:dyDescent="0.25">
      <c r="A33" s="4" t="s">
        <v>80</v>
      </c>
      <c r="B33" s="4" t="s">
        <v>34</v>
      </c>
      <c r="C33" s="4">
        <v>352</v>
      </c>
      <c r="D33" s="4">
        <v>457</v>
      </c>
      <c r="E33" s="4">
        <v>249</v>
      </c>
      <c r="F33" s="4">
        <v>419</v>
      </c>
      <c r="G33" s="8">
        <v>0.1</v>
      </c>
      <c r="H33" s="4">
        <v>60</v>
      </c>
      <c r="I33" s="4">
        <v>8444187</v>
      </c>
      <c r="J33" s="4"/>
      <c r="K33" s="4">
        <v>252</v>
      </c>
      <c r="L33" s="4">
        <f t="shared" si="2"/>
        <v>-3</v>
      </c>
      <c r="M33" s="4"/>
      <c r="N33" s="4"/>
      <c r="O33" s="4">
        <v>0</v>
      </c>
      <c r="P33" s="4">
        <f t="shared" si="3"/>
        <v>49.8</v>
      </c>
      <c r="Q33" s="10">
        <f>16*P33-O33-F33</f>
        <v>377.79999999999995</v>
      </c>
      <c r="R33" s="10">
        <f>T33</f>
        <v>430</v>
      </c>
      <c r="S33" s="10">
        <f>IFERROR(VLOOKUP(A33,заказ!A:B,2,0),0)</f>
        <v>432</v>
      </c>
      <c r="T33" s="10">
        <v>430</v>
      </c>
      <c r="U33" s="4" t="s">
        <v>102</v>
      </c>
      <c r="V33" s="4">
        <f t="shared" si="6"/>
        <v>17.08835341365462</v>
      </c>
      <c r="W33" s="4">
        <f t="shared" si="4"/>
        <v>8.4136546184738954</v>
      </c>
      <c r="X33" s="4">
        <v>31.6</v>
      </c>
      <c r="Y33" s="4">
        <v>49.6</v>
      </c>
      <c r="Z33" s="4">
        <v>47</v>
      </c>
      <c r="AA33" s="4">
        <v>27.6</v>
      </c>
      <c r="AB33" s="4">
        <v>30</v>
      </c>
      <c r="AC33" s="4">
        <v>27.4</v>
      </c>
      <c r="AD33" s="4">
        <v>0.6</v>
      </c>
      <c r="AE33" s="4">
        <v>0.4</v>
      </c>
      <c r="AF33" s="4"/>
      <c r="AG33" s="4">
        <f t="shared" si="7"/>
        <v>43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ht="15.75" thickBot="1" x14ac:dyDescent="0.3">
      <c r="A34" s="4" t="s">
        <v>81</v>
      </c>
      <c r="B34" s="4" t="s">
        <v>34</v>
      </c>
      <c r="C34" s="4">
        <v>635</v>
      </c>
      <c r="D34" s="4">
        <v>70</v>
      </c>
      <c r="E34" s="4">
        <v>192</v>
      </c>
      <c r="F34" s="4">
        <v>474</v>
      </c>
      <c r="G34" s="8">
        <v>0.1</v>
      </c>
      <c r="H34" s="4">
        <v>90</v>
      </c>
      <c r="I34" s="4">
        <v>8444194</v>
      </c>
      <c r="J34" s="4"/>
      <c r="K34" s="4">
        <v>197</v>
      </c>
      <c r="L34" s="4">
        <f t="shared" si="2"/>
        <v>-5</v>
      </c>
      <c r="M34" s="4"/>
      <c r="N34" s="4"/>
      <c r="O34" s="4">
        <v>0</v>
      </c>
      <c r="P34" s="4">
        <f t="shared" si="3"/>
        <v>38.4</v>
      </c>
      <c r="Q34" s="10">
        <f>18*P34-O34-F34</f>
        <v>217.19999999999993</v>
      </c>
      <c r="R34" s="10">
        <f t="shared" si="8"/>
        <v>217.19999999999993</v>
      </c>
      <c r="S34" s="10">
        <f>IFERROR(VLOOKUP(A34,заказ!A:B,2,0),0)</f>
        <v>216</v>
      </c>
      <c r="T34" s="10"/>
      <c r="U34" s="4"/>
      <c r="V34" s="4">
        <f t="shared" si="6"/>
        <v>17.96875</v>
      </c>
      <c r="W34" s="4">
        <f t="shared" si="4"/>
        <v>12.34375</v>
      </c>
      <c r="X34" s="4">
        <v>7</v>
      </c>
      <c r="Y34" s="4">
        <v>29.2</v>
      </c>
      <c r="Z34" s="4">
        <v>37.4</v>
      </c>
      <c r="AA34" s="4">
        <v>15</v>
      </c>
      <c r="AB34" s="4">
        <v>-0.2</v>
      </c>
      <c r="AC34" s="4">
        <v>39</v>
      </c>
      <c r="AD34" s="4">
        <v>26.4</v>
      </c>
      <c r="AE34" s="4">
        <v>37.6</v>
      </c>
      <c r="AF34" s="4" t="s">
        <v>82</v>
      </c>
      <c r="AG34" s="4">
        <f t="shared" si="7"/>
        <v>21.719999999999995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x14ac:dyDescent="0.25">
      <c r="A35" s="11" t="s">
        <v>83</v>
      </c>
      <c r="B35" s="12" t="s">
        <v>34</v>
      </c>
      <c r="C35" s="12">
        <v>-2</v>
      </c>
      <c r="D35" s="12">
        <v>42</v>
      </c>
      <c r="E35" s="12">
        <v>40</v>
      </c>
      <c r="F35" s="13"/>
      <c r="G35" s="8">
        <v>0.2</v>
      </c>
      <c r="H35" s="4">
        <v>120</v>
      </c>
      <c r="I35" s="4" t="s">
        <v>84</v>
      </c>
      <c r="J35" s="4"/>
      <c r="K35" s="4">
        <v>42</v>
      </c>
      <c r="L35" s="4">
        <f t="shared" si="2"/>
        <v>-2</v>
      </c>
      <c r="M35" s="4"/>
      <c r="N35" s="4"/>
      <c r="O35" s="4">
        <v>0</v>
      </c>
      <c r="P35" s="4">
        <f t="shared" si="3"/>
        <v>8</v>
      </c>
      <c r="Q35" s="10"/>
      <c r="R35" s="10">
        <f t="shared" si="8"/>
        <v>0</v>
      </c>
      <c r="S35" s="10">
        <f>IFERROR(VLOOKUP(A35,заказ!A:B,2,0),0)</f>
        <v>0</v>
      </c>
      <c r="T35" s="10"/>
      <c r="U35" s="4"/>
      <c r="V35" s="4">
        <f t="shared" si="6"/>
        <v>0</v>
      </c>
      <c r="W35" s="4">
        <f t="shared" si="4"/>
        <v>0</v>
      </c>
      <c r="X35" s="4">
        <v>8.6</v>
      </c>
      <c r="Y35" s="4">
        <v>2</v>
      </c>
      <c r="Z35" s="4">
        <v>-0.2</v>
      </c>
      <c r="AA35" s="4">
        <v>0</v>
      </c>
      <c r="AB35" s="4">
        <v>0</v>
      </c>
      <c r="AC35" s="4">
        <v>0.6</v>
      </c>
      <c r="AD35" s="4">
        <v>0</v>
      </c>
      <c r="AE35" s="4">
        <v>0</v>
      </c>
      <c r="AF35" s="4" t="s">
        <v>85</v>
      </c>
      <c r="AG35" s="4">
        <f t="shared" si="7"/>
        <v>0</v>
      </c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ht="15.75" thickBot="1" x14ac:dyDescent="0.3">
      <c r="A36" s="17" t="s">
        <v>86</v>
      </c>
      <c r="B36" s="18" t="s">
        <v>34</v>
      </c>
      <c r="C36" s="18">
        <v>392</v>
      </c>
      <c r="D36" s="18"/>
      <c r="E36" s="18">
        <v>30</v>
      </c>
      <c r="F36" s="19">
        <v>280</v>
      </c>
      <c r="G36" s="20">
        <v>0</v>
      </c>
      <c r="H36" s="21" t="e">
        <v>#N/A</v>
      </c>
      <c r="I36" s="21" t="s">
        <v>42</v>
      </c>
      <c r="J36" s="21" t="s">
        <v>83</v>
      </c>
      <c r="K36" s="21">
        <v>28</v>
      </c>
      <c r="L36" s="21">
        <f t="shared" si="2"/>
        <v>2</v>
      </c>
      <c r="M36" s="21"/>
      <c r="N36" s="21"/>
      <c r="O36" s="21">
        <v>0</v>
      </c>
      <c r="P36" s="21">
        <f t="shared" si="3"/>
        <v>6</v>
      </c>
      <c r="Q36" s="22"/>
      <c r="R36" s="10">
        <f t="shared" si="8"/>
        <v>0</v>
      </c>
      <c r="S36" s="10">
        <f>IFERROR(VLOOKUP(A36,заказ!A:B,2,0),0)</f>
        <v>0</v>
      </c>
      <c r="T36" s="22"/>
      <c r="U36" s="21"/>
      <c r="V36" s="4">
        <f t="shared" si="6"/>
        <v>46.666666666666664</v>
      </c>
      <c r="W36" s="21">
        <f t="shared" si="4"/>
        <v>46.666666666666664</v>
      </c>
      <c r="X36" s="21">
        <v>9.6</v>
      </c>
      <c r="Y36" s="21">
        <v>13.4</v>
      </c>
      <c r="Z36" s="21">
        <v>22.2</v>
      </c>
      <c r="AA36" s="21">
        <v>12.2</v>
      </c>
      <c r="AB36" s="21">
        <v>0</v>
      </c>
      <c r="AC36" s="21">
        <v>10</v>
      </c>
      <c r="AD36" s="21">
        <v>9.4</v>
      </c>
      <c r="AE36" s="21">
        <v>4</v>
      </c>
      <c r="AF36" s="21"/>
      <c r="AG36" s="4">
        <f t="shared" si="7"/>
        <v>0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x14ac:dyDescent="0.25">
      <c r="A37" s="11" t="s">
        <v>87</v>
      </c>
      <c r="B37" s="12" t="s">
        <v>49</v>
      </c>
      <c r="C37" s="12">
        <v>9.6839999999999993</v>
      </c>
      <c r="D37" s="12">
        <v>3.3260000000000001</v>
      </c>
      <c r="E37" s="12">
        <v>13.01</v>
      </c>
      <c r="F37" s="13"/>
      <c r="G37" s="8">
        <v>1</v>
      </c>
      <c r="H37" s="4">
        <v>120</v>
      </c>
      <c r="I37" s="4" t="s">
        <v>88</v>
      </c>
      <c r="J37" s="4"/>
      <c r="K37" s="4">
        <v>14</v>
      </c>
      <c r="L37" s="4">
        <f t="shared" si="2"/>
        <v>-0.99000000000000021</v>
      </c>
      <c r="M37" s="4"/>
      <c r="N37" s="4"/>
      <c r="O37" s="4">
        <v>0</v>
      </c>
      <c r="P37" s="4">
        <f t="shared" si="3"/>
        <v>2.6019999999999999</v>
      </c>
      <c r="Q37" s="10">
        <v>15</v>
      </c>
      <c r="R37" s="10">
        <f>T37</f>
        <v>30</v>
      </c>
      <c r="S37" s="10">
        <f>IFERROR(VLOOKUP(A37,заказ!A:B,2,0),0)</f>
        <v>30</v>
      </c>
      <c r="T37" s="10">
        <v>30</v>
      </c>
      <c r="U37" s="4" t="s">
        <v>102</v>
      </c>
      <c r="V37" s="4">
        <f t="shared" si="6"/>
        <v>11.529592621060724</v>
      </c>
      <c r="W37" s="4">
        <f t="shared" si="4"/>
        <v>0</v>
      </c>
      <c r="X37" s="4">
        <v>2.5762</v>
      </c>
      <c r="Y37" s="4">
        <v>2.62</v>
      </c>
      <c r="Z37" s="4">
        <v>0</v>
      </c>
      <c r="AA37" s="4">
        <v>1.2569999999999999</v>
      </c>
      <c r="AB37" s="4">
        <v>0.6</v>
      </c>
      <c r="AC37" s="4">
        <v>0.66100000000000003</v>
      </c>
      <c r="AD37" s="4">
        <v>0</v>
      </c>
      <c r="AE37" s="4">
        <v>0</v>
      </c>
      <c r="AF37" s="4" t="s">
        <v>89</v>
      </c>
      <c r="AG37" s="4">
        <f t="shared" si="7"/>
        <v>30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ht="15.75" thickBot="1" x14ac:dyDescent="0.3">
      <c r="A38" s="17" t="s">
        <v>90</v>
      </c>
      <c r="B38" s="18" t="s">
        <v>49</v>
      </c>
      <c r="C38" s="18"/>
      <c r="D38" s="18">
        <v>48.176000000000002</v>
      </c>
      <c r="E38" s="18"/>
      <c r="F38" s="19">
        <v>48.176000000000002</v>
      </c>
      <c r="G38" s="20">
        <v>0</v>
      </c>
      <c r="H38" s="21" t="e">
        <v>#N/A</v>
      </c>
      <c r="I38" s="21" t="s">
        <v>42</v>
      </c>
      <c r="J38" s="21" t="s">
        <v>87</v>
      </c>
      <c r="K38" s="21"/>
      <c r="L38" s="21">
        <f t="shared" si="2"/>
        <v>0</v>
      </c>
      <c r="M38" s="21"/>
      <c r="N38" s="21"/>
      <c r="O38" s="21"/>
      <c r="P38" s="21">
        <f t="shared" si="3"/>
        <v>0</v>
      </c>
      <c r="Q38" s="22"/>
      <c r="R38" s="10">
        <f t="shared" si="8"/>
        <v>0</v>
      </c>
      <c r="S38" s="10">
        <f>IFERROR(VLOOKUP(A38,заказ!A:B,2,0),0)</f>
        <v>0</v>
      </c>
      <c r="T38" s="22"/>
      <c r="U38" s="21"/>
      <c r="V38" s="4" t="e">
        <f t="shared" si="6"/>
        <v>#DIV/0!</v>
      </c>
      <c r="W38" s="21" t="e">
        <f t="shared" si="4"/>
        <v>#DIV/0!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/>
      <c r="AG38" s="4">
        <f t="shared" si="7"/>
        <v>0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 x14ac:dyDescent="0.25">
      <c r="A39" s="11" t="s">
        <v>91</v>
      </c>
      <c r="B39" s="12" t="s">
        <v>34</v>
      </c>
      <c r="C39" s="12"/>
      <c r="D39" s="12"/>
      <c r="E39" s="12"/>
      <c r="F39" s="13"/>
      <c r="G39" s="8">
        <v>0.2</v>
      </c>
      <c r="H39" s="4">
        <v>120</v>
      </c>
      <c r="I39" s="4" t="s">
        <v>92</v>
      </c>
      <c r="J39" s="4"/>
      <c r="K39" s="4"/>
      <c r="L39" s="4">
        <f t="shared" si="2"/>
        <v>0</v>
      </c>
      <c r="M39" s="4"/>
      <c r="N39" s="4"/>
      <c r="O39" s="4">
        <v>0</v>
      </c>
      <c r="P39" s="4">
        <f t="shared" si="3"/>
        <v>0</v>
      </c>
      <c r="Q39" s="10"/>
      <c r="R39" s="10">
        <f t="shared" si="8"/>
        <v>0</v>
      </c>
      <c r="S39" s="10">
        <f>IFERROR(VLOOKUP(A39,заказ!A:B,2,0),0)</f>
        <v>0</v>
      </c>
      <c r="T39" s="10"/>
      <c r="U39" s="4"/>
      <c r="V39" s="4" t="e">
        <f t="shared" si="6"/>
        <v>#DIV/0!</v>
      </c>
      <c r="W39" s="4" t="e">
        <f t="shared" si="4"/>
        <v>#DIV/0!</v>
      </c>
      <c r="X39" s="4">
        <v>0</v>
      </c>
      <c r="Y39" s="4">
        <v>0</v>
      </c>
      <c r="Z39" s="4">
        <v>0.4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 t="s">
        <v>82</v>
      </c>
      <c r="AG39" s="4">
        <f t="shared" si="7"/>
        <v>0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 ht="15.75" thickBot="1" x14ac:dyDescent="0.3">
      <c r="A40" s="17" t="s">
        <v>93</v>
      </c>
      <c r="B40" s="18" t="s">
        <v>34</v>
      </c>
      <c r="C40" s="18">
        <v>466</v>
      </c>
      <c r="D40" s="18"/>
      <c r="E40" s="18">
        <v>61</v>
      </c>
      <c r="F40" s="19">
        <v>405</v>
      </c>
      <c r="G40" s="20">
        <v>0</v>
      </c>
      <c r="H40" s="21" t="e">
        <v>#N/A</v>
      </c>
      <c r="I40" s="21" t="s">
        <v>42</v>
      </c>
      <c r="J40" s="21" t="s">
        <v>91</v>
      </c>
      <c r="K40" s="21">
        <v>61</v>
      </c>
      <c r="L40" s="21">
        <f t="shared" si="2"/>
        <v>0</v>
      </c>
      <c r="M40" s="21"/>
      <c r="N40" s="21"/>
      <c r="O40" s="21">
        <v>0</v>
      </c>
      <c r="P40" s="21">
        <f t="shared" si="3"/>
        <v>12.2</v>
      </c>
      <c r="Q40" s="22"/>
      <c r="R40" s="10">
        <f t="shared" si="8"/>
        <v>0</v>
      </c>
      <c r="S40" s="10">
        <f>IFERROR(VLOOKUP(A40,заказ!A:B,2,0),0)</f>
        <v>0</v>
      </c>
      <c r="T40" s="22"/>
      <c r="U40" s="21"/>
      <c r="V40" s="4">
        <f t="shared" si="6"/>
        <v>33.196721311475414</v>
      </c>
      <c r="W40" s="21">
        <f t="shared" si="4"/>
        <v>33.196721311475414</v>
      </c>
      <c r="X40" s="21">
        <v>20</v>
      </c>
      <c r="Y40" s="21">
        <v>21.6</v>
      </c>
      <c r="Z40" s="21">
        <v>28</v>
      </c>
      <c r="AA40" s="21">
        <v>10.4</v>
      </c>
      <c r="AB40" s="21">
        <v>12</v>
      </c>
      <c r="AC40" s="21">
        <v>23</v>
      </c>
      <c r="AD40" s="21">
        <v>9.4</v>
      </c>
      <c r="AE40" s="21">
        <v>7</v>
      </c>
      <c r="AF40" s="30" t="s">
        <v>61</v>
      </c>
      <c r="AG40" s="4">
        <f t="shared" si="7"/>
        <v>0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 x14ac:dyDescent="0.25">
      <c r="A41" s="11" t="s">
        <v>94</v>
      </c>
      <c r="B41" s="12" t="s">
        <v>49</v>
      </c>
      <c r="C41" s="12">
        <v>67.86</v>
      </c>
      <c r="D41" s="12">
        <v>3.6240000000000001</v>
      </c>
      <c r="E41" s="12">
        <v>45.62</v>
      </c>
      <c r="F41" s="13">
        <v>18.884</v>
      </c>
      <c r="G41" s="8">
        <v>1</v>
      </c>
      <c r="H41" s="4">
        <v>120</v>
      </c>
      <c r="I41" s="4" t="s">
        <v>95</v>
      </c>
      <c r="J41" s="4"/>
      <c r="K41" s="4">
        <v>45.5</v>
      </c>
      <c r="L41" s="4">
        <f t="shared" si="2"/>
        <v>0.11999999999999744</v>
      </c>
      <c r="M41" s="4"/>
      <c r="N41" s="4"/>
      <c r="O41" s="4">
        <v>105</v>
      </c>
      <c r="P41" s="4">
        <f t="shared" si="3"/>
        <v>9.1239999999999988</v>
      </c>
      <c r="Q41" s="10">
        <f>20*(P41+P42)-O41-O42-F41-F42</f>
        <v>23.177999999999969</v>
      </c>
      <c r="R41" s="10">
        <f>T41</f>
        <v>90</v>
      </c>
      <c r="S41" s="10">
        <f>IFERROR(VLOOKUP(A41,заказ!A:B,2,0),0)</f>
        <v>90</v>
      </c>
      <c r="T41" s="10">
        <v>90</v>
      </c>
      <c r="U41" s="4" t="s">
        <v>102</v>
      </c>
      <c r="V41" s="4">
        <f t="shared" si="6"/>
        <v>23.441911442349852</v>
      </c>
      <c r="W41" s="4">
        <f t="shared" si="4"/>
        <v>13.577816747040773</v>
      </c>
      <c r="X41" s="4">
        <v>19.922799999999999</v>
      </c>
      <c r="Y41" s="4">
        <v>15.122400000000001</v>
      </c>
      <c r="Z41" s="4">
        <v>15.285399999999999</v>
      </c>
      <c r="AA41" s="4">
        <v>6.5324</v>
      </c>
      <c r="AB41" s="4">
        <v>6.6391999999999998</v>
      </c>
      <c r="AC41" s="4">
        <v>1.4379999999999999</v>
      </c>
      <c r="AD41" s="4">
        <v>0</v>
      </c>
      <c r="AE41" s="4">
        <v>0</v>
      </c>
      <c r="AF41" s="4" t="s">
        <v>96</v>
      </c>
      <c r="AG41" s="4">
        <f t="shared" si="7"/>
        <v>90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ht="15.75" thickBot="1" x14ac:dyDescent="0.3">
      <c r="A42" s="17" t="s">
        <v>97</v>
      </c>
      <c r="B42" s="18" t="s">
        <v>49</v>
      </c>
      <c r="C42" s="18">
        <v>100.898</v>
      </c>
      <c r="D42" s="18">
        <v>130.58000000000001</v>
      </c>
      <c r="E42" s="18">
        <v>39.212000000000003</v>
      </c>
      <c r="F42" s="19">
        <v>192.26599999999999</v>
      </c>
      <c r="G42" s="20">
        <v>0</v>
      </c>
      <c r="H42" s="21" t="e">
        <v>#N/A</v>
      </c>
      <c r="I42" s="21" t="s">
        <v>42</v>
      </c>
      <c r="J42" s="21" t="s">
        <v>94</v>
      </c>
      <c r="K42" s="21">
        <v>38.5</v>
      </c>
      <c r="L42" s="21">
        <f t="shared" si="2"/>
        <v>0.7120000000000033</v>
      </c>
      <c r="M42" s="21"/>
      <c r="N42" s="21"/>
      <c r="O42" s="21">
        <v>0</v>
      </c>
      <c r="P42" s="21">
        <f t="shared" si="3"/>
        <v>7.8424000000000005</v>
      </c>
      <c r="Q42" s="22"/>
      <c r="R42" s="10">
        <f t="shared" si="8"/>
        <v>0</v>
      </c>
      <c r="S42" s="10">
        <f>IFERROR(VLOOKUP(A42,заказ!A:B,2,0),0)</f>
        <v>0</v>
      </c>
      <c r="T42" s="22"/>
      <c r="U42" s="21"/>
      <c r="V42" s="4">
        <f t="shared" si="6"/>
        <v>24.516219524635314</v>
      </c>
      <c r="W42" s="21">
        <f t="shared" si="4"/>
        <v>24.516219524635314</v>
      </c>
      <c r="X42" s="21">
        <v>0</v>
      </c>
      <c r="Y42" s="21">
        <v>2.9203999999999999</v>
      </c>
      <c r="Z42" s="21">
        <v>1.5104</v>
      </c>
      <c r="AA42" s="21">
        <v>11.051600000000001</v>
      </c>
      <c r="AB42" s="21">
        <v>11.106400000000001</v>
      </c>
      <c r="AC42" s="21">
        <v>16.610399999999998</v>
      </c>
      <c r="AD42" s="21">
        <v>13.644</v>
      </c>
      <c r="AE42" s="21">
        <v>13.604799999999999</v>
      </c>
      <c r="AF42" s="21"/>
      <c r="AG42" s="4">
        <f t="shared" si="7"/>
        <v>0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 ht="15.75" thickBot="1" x14ac:dyDescent="0.3">
      <c r="A43" s="15"/>
      <c r="B43" s="15"/>
      <c r="C43" s="15"/>
      <c r="D43" s="15"/>
      <c r="E43" s="15"/>
      <c r="F43" s="15"/>
      <c r="G43" s="16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 x14ac:dyDescent="0.25">
      <c r="A44" s="11" t="s">
        <v>39</v>
      </c>
      <c r="B44" s="12" t="s">
        <v>34</v>
      </c>
      <c r="C44" s="12">
        <v>318</v>
      </c>
      <c r="D44" s="12">
        <v>1</v>
      </c>
      <c r="E44" s="12">
        <v>124</v>
      </c>
      <c r="F44" s="13">
        <v>192</v>
      </c>
      <c r="G44" s="8">
        <v>0.18</v>
      </c>
      <c r="H44" s="4">
        <v>120</v>
      </c>
      <c r="I44" s="4"/>
      <c r="J44" s="4"/>
      <c r="K44" s="4">
        <v>124</v>
      </c>
      <c r="L44" s="4">
        <f>E44-K44</f>
        <v>0</v>
      </c>
      <c r="M44" s="4"/>
      <c r="N44" s="4"/>
      <c r="O44" s="4"/>
      <c r="P44" s="4">
        <f>E44/5</f>
        <v>24.8</v>
      </c>
      <c r="Q44" s="10">
        <f>18*(P44+P45)-O44-O45-F44-F45</f>
        <v>254.40000000000003</v>
      </c>
      <c r="R44" s="10">
        <v>250</v>
      </c>
      <c r="S44" s="10">
        <f>R44</f>
        <v>250</v>
      </c>
      <c r="T44" s="10"/>
      <c r="U44" s="4"/>
      <c r="V44" s="4">
        <f t="shared" ref="V7:V48" si="12">(F44+O44+R44)/P44</f>
        <v>17.822580645161288</v>
      </c>
      <c r="W44" s="4">
        <f>(F44+O44)/P44</f>
        <v>7.7419354838709671</v>
      </c>
      <c r="X44" s="4">
        <v>12</v>
      </c>
      <c r="Y44" s="4">
        <v>18.600000000000001</v>
      </c>
      <c r="Z44" s="4">
        <v>17.399999999999999</v>
      </c>
      <c r="AA44" s="4">
        <v>26.4</v>
      </c>
      <c r="AB44" s="4">
        <v>21.6</v>
      </c>
      <c r="AC44" s="4">
        <v>14.6</v>
      </c>
      <c r="AD44" s="4">
        <v>15.6</v>
      </c>
      <c r="AE44" s="4">
        <v>26.2</v>
      </c>
      <c r="AF44" s="4"/>
      <c r="AG44" s="4">
        <f t="shared" si="7"/>
        <v>45</v>
      </c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 ht="15.75" thickBot="1" x14ac:dyDescent="0.3">
      <c r="A45" s="17" t="s">
        <v>41</v>
      </c>
      <c r="B45" s="18" t="s">
        <v>34</v>
      </c>
      <c r="C45" s="18">
        <v>-2</v>
      </c>
      <c r="D45" s="18">
        <v>2</v>
      </c>
      <c r="E45" s="18"/>
      <c r="F45" s="19"/>
      <c r="G45" s="20">
        <v>0</v>
      </c>
      <c r="H45" s="21" t="e">
        <v>#N/A</v>
      </c>
      <c r="I45" s="21" t="s">
        <v>42</v>
      </c>
      <c r="J45" s="21" t="s">
        <v>39</v>
      </c>
      <c r="K45" s="21"/>
      <c r="L45" s="21">
        <f>E45-K45</f>
        <v>0</v>
      </c>
      <c r="M45" s="21"/>
      <c r="N45" s="21"/>
      <c r="O45" s="21"/>
      <c r="P45" s="21">
        <f>E45/5</f>
        <v>0</v>
      </c>
      <c r="Q45" s="22"/>
      <c r="R45" s="22"/>
      <c r="S45" s="22"/>
      <c r="T45" s="22"/>
      <c r="U45" s="21"/>
      <c r="V45" s="4" t="e">
        <f t="shared" si="12"/>
        <v>#DIV/0!</v>
      </c>
      <c r="W45" s="21" t="e">
        <f>(F45+O45)/P45</f>
        <v>#DIV/0!</v>
      </c>
      <c r="X45" s="21">
        <v>0.4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/>
      <c r="AG45" s="4">
        <f t="shared" si="7"/>
        <v>0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x14ac:dyDescent="0.25">
      <c r="A46" s="4" t="s">
        <v>43</v>
      </c>
      <c r="B46" s="4" t="s">
        <v>34</v>
      </c>
      <c r="C46" s="4">
        <v>185</v>
      </c>
      <c r="D46" s="4"/>
      <c r="E46" s="4">
        <v>17</v>
      </c>
      <c r="F46" s="4">
        <v>168</v>
      </c>
      <c r="G46" s="8">
        <v>0.18</v>
      </c>
      <c r="H46" s="4">
        <v>120</v>
      </c>
      <c r="I46" s="4"/>
      <c r="J46" s="4"/>
      <c r="K46" s="4">
        <v>17</v>
      </c>
      <c r="L46" s="4">
        <f>E46-K46</f>
        <v>0</v>
      </c>
      <c r="M46" s="4"/>
      <c r="N46" s="4"/>
      <c r="O46" s="4"/>
      <c r="P46" s="4">
        <f>E46/5</f>
        <v>3.4</v>
      </c>
      <c r="Q46" s="10"/>
      <c r="R46" s="10"/>
      <c r="S46" s="10"/>
      <c r="T46" s="10"/>
      <c r="U46" s="4"/>
      <c r="V46" s="4">
        <f t="shared" si="12"/>
        <v>49.411764705882355</v>
      </c>
      <c r="W46" s="4">
        <f>(F46+O46)/P46</f>
        <v>49.411764705882355</v>
      </c>
      <c r="X46" s="4">
        <v>6.8</v>
      </c>
      <c r="Y46" s="4">
        <v>10.6</v>
      </c>
      <c r="Z46" s="4">
        <v>14.2</v>
      </c>
      <c r="AA46" s="4">
        <v>10.4</v>
      </c>
      <c r="AB46" s="4">
        <v>11.4</v>
      </c>
      <c r="AC46" s="4">
        <v>15.6</v>
      </c>
      <c r="AD46" s="4">
        <v>13</v>
      </c>
      <c r="AE46" s="4">
        <v>13.8</v>
      </c>
      <c r="AF46" s="30" t="s">
        <v>61</v>
      </c>
      <c r="AG46" s="4">
        <f t="shared" si="7"/>
        <v>0</v>
      </c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 x14ac:dyDescent="0.25">
      <c r="A47" s="26" t="s">
        <v>33</v>
      </c>
      <c r="B47" s="26" t="s">
        <v>34</v>
      </c>
      <c r="C47" s="26"/>
      <c r="D47" s="26"/>
      <c r="E47" s="26"/>
      <c r="F47" s="26"/>
      <c r="G47" s="27">
        <v>0</v>
      </c>
      <c r="H47" s="26"/>
      <c r="I47" s="26">
        <v>4421577</v>
      </c>
      <c r="J47" s="26"/>
      <c r="K47" s="26"/>
      <c r="L47" s="26">
        <f>E47-K47</f>
        <v>0</v>
      </c>
      <c r="M47" s="26"/>
      <c r="N47" s="26"/>
      <c r="O47" s="26"/>
      <c r="P47" s="26">
        <f>E47/5</f>
        <v>0</v>
      </c>
      <c r="Q47" s="28"/>
      <c r="R47" s="28"/>
      <c r="S47" s="28"/>
      <c r="T47" s="28"/>
      <c r="U47" s="26"/>
      <c r="V47" s="4" t="e">
        <f t="shared" si="12"/>
        <v>#DIV/0!</v>
      </c>
      <c r="W47" s="26" t="e">
        <f>(F47+O47)/P47</f>
        <v>#DIV/0!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 t="s">
        <v>35</v>
      </c>
      <c r="AG47" s="4">
        <f t="shared" si="7"/>
        <v>0</v>
      </c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 x14ac:dyDescent="0.25">
      <c r="A48" s="26" t="s">
        <v>36</v>
      </c>
      <c r="B48" s="26" t="s">
        <v>34</v>
      </c>
      <c r="C48" s="26"/>
      <c r="D48" s="26"/>
      <c r="E48" s="26"/>
      <c r="F48" s="26"/>
      <c r="G48" s="27">
        <v>0</v>
      </c>
      <c r="H48" s="26"/>
      <c r="I48" s="26">
        <v>4421584</v>
      </c>
      <c r="J48" s="26"/>
      <c r="K48" s="26"/>
      <c r="L48" s="26">
        <f>E48-K48</f>
        <v>0</v>
      </c>
      <c r="M48" s="26"/>
      <c r="N48" s="26"/>
      <c r="O48" s="26"/>
      <c r="P48" s="26">
        <f>E48/5</f>
        <v>0</v>
      </c>
      <c r="Q48" s="28"/>
      <c r="R48" s="28"/>
      <c r="S48" s="28"/>
      <c r="T48" s="28"/>
      <c r="U48" s="26"/>
      <c r="V48" s="4" t="e">
        <f t="shared" si="12"/>
        <v>#DIV/0!</v>
      </c>
      <c r="W48" s="26" t="e">
        <f>(F48+O48)/P48</f>
        <v>#DIV/0!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>
        <v>0</v>
      </c>
      <c r="AE48" s="26">
        <v>0</v>
      </c>
      <c r="AF48" s="26" t="s">
        <v>35</v>
      </c>
      <c r="AG48" s="4">
        <f t="shared" si="7"/>
        <v>0</v>
      </c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 x14ac:dyDescent="0.25">
      <c r="A49" s="4"/>
      <c r="B49" s="4"/>
      <c r="C49" s="4"/>
      <c r="D49" s="4"/>
      <c r="E49" s="4"/>
      <c r="F49" s="4"/>
      <c r="G49" s="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 x14ac:dyDescent="0.25">
      <c r="A50" s="4"/>
      <c r="B50" s="4"/>
      <c r="C50" s="4"/>
      <c r="D50" s="4"/>
      <c r="E50" s="4"/>
      <c r="F50" s="4"/>
      <c r="G50" s="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 x14ac:dyDescent="0.25">
      <c r="A51" s="4"/>
      <c r="B51" s="4"/>
      <c r="C51" s="4"/>
      <c r="D51" s="4"/>
      <c r="E51" s="4"/>
      <c r="F51" s="4"/>
      <c r="G51" s="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 x14ac:dyDescent="0.25">
      <c r="A52" s="4"/>
      <c r="B52" s="4"/>
      <c r="C52" s="4"/>
      <c r="D52" s="4"/>
      <c r="E52" s="4"/>
      <c r="F52" s="4"/>
      <c r="G52" s="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 x14ac:dyDescent="0.25">
      <c r="A53" s="4"/>
      <c r="B53" s="4"/>
      <c r="C53" s="4"/>
      <c r="D53" s="4"/>
      <c r="E53" s="4"/>
      <c r="F53" s="4"/>
      <c r="G53" s="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 x14ac:dyDescent="0.25">
      <c r="A54" s="4"/>
      <c r="B54" s="4"/>
      <c r="C54" s="4"/>
      <c r="D54" s="4"/>
      <c r="E54" s="4"/>
      <c r="F54" s="4"/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 x14ac:dyDescent="0.25">
      <c r="A55" s="4"/>
      <c r="B55" s="4"/>
      <c r="C55" s="4"/>
      <c r="D55" s="4"/>
      <c r="E55" s="4"/>
      <c r="F55" s="4"/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 x14ac:dyDescent="0.25">
      <c r="A56" s="4"/>
      <c r="B56" s="4"/>
      <c r="C56" s="4"/>
      <c r="D56" s="4"/>
      <c r="E56" s="4"/>
      <c r="F56" s="4"/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 x14ac:dyDescent="0.25">
      <c r="A57" s="4"/>
      <c r="B57" s="4"/>
      <c r="C57" s="4"/>
      <c r="D57" s="4"/>
      <c r="E57" s="4"/>
      <c r="F57" s="4"/>
      <c r="G57" s="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 x14ac:dyDescent="0.25">
      <c r="A58" s="4"/>
      <c r="B58" s="4"/>
      <c r="C58" s="4"/>
      <c r="D58" s="4"/>
      <c r="E58" s="4"/>
      <c r="F58" s="4"/>
      <c r="G58" s="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 x14ac:dyDescent="0.25">
      <c r="A59" s="4"/>
      <c r="B59" s="4"/>
      <c r="C59" s="4"/>
      <c r="D59" s="4"/>
      <c r="E59" s="4"/>
      <c r="F59" s="4"/>
      <c r="G59" s="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 x14ac:dyDescent="0.25">
      <c r="A60" s="4"/>
      <c r="B60" s="4"/>
      <c r="C60" s="4"/>
      <c r="D60" s="4"/>
      <c r="E60" s="4"/>
      <c r="F60" s="4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1:52" x14ac:dyDescent="0.25">
      <c r="A61" s="4"/>
      <c r="B61" s="4"/>
      <c r="C61" s="4"/>
      <c r="D61" s="4"/>
      <c r="E61" s="4"/>
      <c r="F61" s="4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1:52" x14ac:dyDescent="0.25">
      <c r="A62" s="4"/>
      <c r="B62" s="4"/>
      <c r="C62" s="4"/>
      <c r="D62" s="4"/>
      <c r="E62" s="4"/>
      <c r="F62" s="4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1:52" x14ac:dyDescent="0.25">
      <c r="A63" s="4"/>
      <c r="B63" s="4"/>
      <c r="C63" s="4"/>
      <c r="D63" s="4"/>
      <c r="E63" s="4"/>
      <c r="F63" s="4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1:52" x14ac:dyDescent="0.25">
      <c r="A64" s="4"/>
      <c r="B64" s="4"/>
      <c r="C64" s="4"/>
      <c r="D64" s="4"/>
      <c r="E64" s="4"/>
      <c r="F64" s="4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1:52" x14ac:dyDescent="0.25">
      <c r="A65" s="4"/>
      <c r="B65" s="4"/>
      <c r="C65" s="4"/>
      <c r="D65" s="4"/>
      <c r="E65" s="4"/>
      <c r="F65" s="4"/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1:52" x14ac:dyDescent="0.25">
      <c r="A66" s="4"/>
      <c r="B66" s="4"/>
      <c r="C66" s="4"/>
      <c r="D66" s="4"/>
      <c r="E66" s="4"/>
      <c r="F66" s="4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1:52" x14ac:dyDescent="0.25">
      <c r="A67" s="4"/>
      <c r="B67" s="4"/>
      <c r="C67" s="4"/>
      <c r="D67" s="4"/>
      <c r="E67" s="4"/>
      <c r="F67" s="4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1:52" x14ac:dyDescent="0.25">
      <c r="A68" s="4"/>
      <c r="B68" s="4"/>
      <c r="C68" s="4"/>
      <c r="D68" s="4"/>
      <c r="E68" s="4"/>
      <c r="F68" s="4"/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1:52" x14ac:dyDescent="0.25">
      <c r="A69" s="4"/>
      <c r="B69" s="4"/>
      <c r="C69" s="4"/>
      <c r="D69" s="4"/>
      <c r="E69" s="4"/>
      <c r="F69" s="4"/>
      <c r="G69" s="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1:52" x14ac:dyDescent="0.25">
      <c r="A70" s="4"/>
      <c r="B70" s="4"/>
      <c r="C70" s="4"/>
      <c r="D70" s="4"/>
      <c r="E70" s="4"/>
      <c r="F70" s="4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1:52" x14ac:dyDescent="0.25">
      <c r="A71" s="4"/>
      <c r="B71" s="4"/>
      <c r="C71" s="4"/>
      <c r="D71" s="4"/>
      <c r="E71" s="4"/>
      <c r="F71" s="4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1:52" x14ac:dyDescent="0.25">
      <c r="A72" s="4"/>
      <c r="B72" s="4"/>
      <c r="C72" s="4"/>
      <c r="D72" s="4"/>
      <c r="E72" s="4"/>
      <c r="F72" s="4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1:52" x14ac:dyDescent="0.25">
      <c r="A73" s="4"/>
      <c r="B73" s="4"/>
      <c r="C73" s="4"/>
      <c r="D73" s="4"/>
      <c r="E73" s="4"/>
      <c r="F73" s="4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1:52" x14ac:dyDescent="0.25">
      <c r="A74" s="4"/>
      <c r="B74" s="4"/>
      <c r="C74" s="4"/>
      <c r="D74" s="4"/>
      <c r="E74" s="4"/>
      <c r="F74" s="4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1:52" x14ac:dyDescent="0.25">
      <c r="A75" s="4"/>
      <c r="B75" s="4"/>
      <c r="C75" s="4"/>
      <c r="D75" s="4"/>
      <c r="E75" s="4"/>
      <c r="F75" s="4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1:52" x14ac:dyDescent="0.25">
      <c r="A76" s="4"/>
      <c r="B76" s="4"/>
      <c r="C76" s="4"/>
      <c r="D76" s="4"/>
      <c r="E76" s="4"/>
      <c r="F76" s="4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1:52" x14ac:dyDescent="0.25">
      <c r="A77" s="4"/>
      <c r="B77" s="4"/>
      <c r="C77" s="4"/>
      <c r="D77" s="4"/>
      <c r="E77" s="4"/>
      <c r="F77" s="4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1:52" x14ac:dyDescent="0.25">
      <c r="A78" s="4"/>
      <c r="B78" s="4"/>
      <c r="C78" s="4"/>
      <c r="D78" s="4"/>
      <c r="E78" s="4"/>
      <c r="F78" s="4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1:52" x14ac:dyDescent="0.25">
      <c r="A79" s="4"/>
      <c r="B79" s="4"/>
      <c r="C79" s="4"/>
      <c r="D79" s="4"/>
      <c r="E79" s="4"/>
      <c r="F79" s="4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1:52" x14ac:dyDescent="0.25">
      <c r="A80" s="4"/>
      <c r="B80" s="4"/>
      <c r="C80" s="4"/>
      <c r="D80" s="4"/>
      <c r="E80" s="4"/>
      <c r="F80" s="4"/>
      <c r="G80" s="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1:52" x14ac:dyDescent="0.25">
      <c r="A81" s="4"/>
      <c r="B81" s="4"/>
      <c r="C81" s="4"/>
      <c r="D81" s="4"/>
      <c r="E81" s="4"/>
      <c r="F81" s="4"/>
      <c r="G81" s="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1:52" x14ac:dyDescent="0.25">
      <c r="A82" s="4"/>
      <c r="B82" s="4"/>
      <c r="C82" s="4"/>
      <c r="D82" s="4"/>
      <c r="E82" s="4"/>
      <c r="F82" s="4"/>
      <c r="G82" s="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1:52" x14ac:dyDescent="0.25">
      <c r="A83" s="4"/>
      <c r="B83" s="4"/>
      <c r="C83" s="4"/>
      <c r="D83" s="4"/>
      <c r="E83" s="4"/>
      <c r="F83" s="4"/>
      <c r="G83" s="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1:52" x14ac:dyDescent="0.25">
      <c r="A84" s="4"/>
      <c r="B84" s="4"/>
      <c r="C84" s="4"/>
      <c r="D84" s="4"/>
      <c r="E84" s="4"/>
      <c r="F84" s="4"/>
      <c r="G84" s="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1:52" x14ac:dyDescent="0.25">
      <c r="A85" s="4"/>
      <c r="B85" s="4"/>
      <c r="C85" s="4"/>
      <c r="D85" s="4"/>
      <c r="E85" s="4"/>
      <c r="F85" s="4"/>
      <c r="G85" s="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1:52" x14ac:dyDescent="0.25">
      <c r="A86" s="4"/>
      <c r="B86" s="4"/>
      <c r="C86" s="4"/>
      <c r="D86" s="4"/>
      <c r="E86" s="4"/>
      <c r="F86" s="4"/>
      <c r="G86" s="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1:52" x14ac:dyDescent="0.25">
      <c r="A87" s="4"/>
      <c r="B87" s="4"/>
      <c r="C87" s="4"/>
      <c r="D87" s="4"/>
      <c r="E87" s="4"/>
      <c r="F87" s="4"/>
      <c r="G87" s="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1:52" x14ac:dyDescent="0.25">
      <c r="A88" s="4"/>
      <c r="B88" s="4"/>
      <c r="C88" s="4"/>
      <c r="D88" s="4"/>
      <c r="E88" s="4"/>
      <c r="F88" s="4"/>
      <c r="G88" s="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1:52" x14ac:dyDescent="0.25">
      <c r="A89" s="4"/>
      <c r="B89" s="4"/>
      <c r="C89" s="4"/>
      <c r="D89" s="4"/>
      <c r="E89" s="4"/>
      <c r="F89" s="4"/>
      <c r="G89" s="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1:52" x14ac:dyDescent="0.25">
      <c r="A90" s="4"/>
      <c r="B90" s="4"/>
      <c r="C90" s="4"/>
      <c r="D90" s="4"/>
      <c r="E90" s="4"/>
      <c r="F90" s="4"/>
      <c r="G90" s="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1:52" x14ac:dyDescent="0.25">
      <c r="A91" s="4"/>
      <c r="B91" s="4"/>
      <c r="C91" s="4"/>
      <c r="D91" s="4"/>
      <c r="E91" s="4"/>
      <c r="F91" s="4"/>
      <c r="G91" s="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1:52" x14ac:dyDescent="0.25">
      <c r="A92" s="4"/>
      <c r="B92" s="4"/>
      <c r="C92" s="4"/>
      <c r="D92" s="4"/>
      <c r="E92" s="4"/>
      <c r="F92" s="4"/>
      <c r="G92" s="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1:52" x14ac:dyDescent="0.25">
      <c r="A93" s="4"/>
      <c r="B93" s="4"/>
      <c r="C93" s="4"/>
      <c r="D93" s="4"/>
      <c r="E93" s="4"/>
      <c r="F93" s="4"/>
      <c r="G93" s="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1:52" x14ac:dyDescent="0.25">
      <c r="A94" s="4"/>
      <c r="B94" s="4"/>
      <c r="C94" s="4"/>
      <c r="D94" s="4"/>
      <c r="E94" s="4"/>
      <c r="F94" s="4"/>
      <c r="G94" s="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1:52" x14ac:dyDescent="0.25">
      <c r="A95" s="4"/>
      <c r="B95" s="4"/>
      <c r="C95" s="4"/>
      <c r="D95" s="4"/>
      <c r="E95" s="4"/>
      <c r="F95" s="4"/>
      <c r="G95" s="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1:52" x14ac:dyDescent="0.25">
      <c r="A96" s="4"/>
      <c r="B96" s="4"/>
      <c r="C96" s="4"/>
      <c r="D96" s="4"/>
      <c r="E96" s="4"/>
      <c r="F96" s="4"/>
      <c r="G96" s="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1:52" x14ac:dyDescent="0.25">
      <c r="A97" s="4"/>
      <c r="B97" s="4"/>
      <c r="C97" s="4"/>
      <c r="D97" s="4"/>
      <c r="E97" s="4"/>
      <c r="F97" s="4"/>
      <c r="G97" s="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1:52" x14ac:dyDescent="0.25">
      <c r="A98" s="4"/>
      <c r="B98" s="4"/>
      <c r="C98" s="4"/>
      <c r="D98" s="4"/>
      <c r="E98" s="4"/>
      <c r="F98" s="4"/>
      <c r="G98" s="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1:52" x14ac:dyDescent="0.25">
      <c r="A99" s="4"/>
      <c r="B99" s="4"/>
      <c r="C99" s="4"/>
      <c r="D99" s="4"/>
      <c r="E99" s="4"/>
      <c r="F99" s="4"/>
      <c r="G99" s="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1:52" x14ac:dyDescent="0.25">
      <c r="A100" s="4"/>
      <c r="B100" s="4"/>
      <c r="C100" s="4"/>
      <c r="D100" s="4"/>
      <c r="E100" s="4"/>
      <c r="F100" s="4"/>
      <c r="G100" s="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1:52" x14ac:dyDescent="0.25">
      <c r="A101" s="4"/>
      <c r="B101" s="4"/>
      <c r="C101" s="4"/>
      <c r="D101" s="4"/>
      <c r="E101" s="4"/>
      <c r="F101" s="4"/>
      <c r="G101" s="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1:52" x14ac:dyDescent="0.25">
      <c r="A102" s="4"/>
      <c r="B102" s="4"/>
      <c r="C102" s="4"/>
      <c r="D102" s="4"/>
      <c r="E102" s="4"/>
      <c r="F102" s="4"/>
      <c r="G102" s="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1:52" x14ac:dyDescent="0.25">
      <c r="A103" s="4"/>
      <c r="B103" s="4"/>
      <c r="C103" s="4"/>
      <c r="D103" s="4"/>
      <c r="E103" s="4"/>
      <c r="F103" s="4"/>
      <c r="G103" s="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1:52" x14ac:dyDescent="0.25">
      <c r="A104" s="4"/>
      <c r="B104" s="4"/>
      <c r="C104" s="4"/>
      <c r="D104" s="4"/>
      <c r="E104" s="4"/>
      <c r="F104" s="4"/>
      <c r="G104" s="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1:52" x14ac:dyDescent="0.25">
      <c r="A105" s="4"/>
      <c r="B105" s="4"/>
      <c r="C105" s="4"/>
      <c r="D105" s="4"/>
      <c r="E105" s="4"/>
      <c r="F105" s="4"/>
      <c r="G105" s="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1:52" x14ac:dyDescent="0.25">
      <c r="A106" s="4"/>
      <c r="B106" s="4"/>
      <c r="C106" s="4"/>
      <c r="D106" s="4"/>
      <c r="E106" s="4"/>
      <c r="F106" s="4"/>
      <c r="G106" s="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1:52" x14ac:dyDescent="0.25">
      <c r="A107" s="4"/>
      <c r="B107" s="4"/>
      <c r="C107" s="4"/>
      <c r="D107" s="4"/>
      <c r="E107" s="4"/>
      <c r="F107" s="4"/>
      <c r="G107" s="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1:52" x14ac:dyDescent="0.25">
      <c r="A108" s="4"/>
      <c r="B108" s="4"/>
      <c r="C108" s="4"/>
      <c r="D108" s="4"/>
      <c r="E108" s="4"/>
      <c r="F108" s="4"/>
      <c r="G108" s="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1:52" x14ac:dyDescent="0.25">
      <c r="A109" s="4"/>
      <c r="B109" s="4"/>
      <c r="C109" s="4"/>
      <c r="D109" s="4"/>
      <c r="E109" s="4"/>
      <c r="F109" s="4"/>
      <c r="G109" s="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1:52" x14ac:dyDescent="0.25">
      <c r="A110" s="4"/>
      <c r="B110" s="4"/>
      <c r="C110" s="4"/>
      <c r="D110" s="4"/>
      <c r="E110" s="4"/>
      <c r="F110" s="4"/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1:52" x14ac:dyDescent="0.25">
      <c r="A111" s="4"/>
      <c r="B111" s="4"/>
      <c r="C111" s="4"/>
      <c r="D111" s="4"/>
      <c r="E111" s="4"/>
      <c r="F111" s="4"/>
      <c r="G111" s="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1:52" x14ac:dyDescent="0.25">
      <c r="A112" s="4"/>
      <c r="B112" s="4"/>
      <c r="C112" s="4"/>
      <c r="D112" s="4"/>
      <c r="E112" s="4"/>
      <c r="F112" s="4"/>
      <c r="G112" s="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1:52" x14ac:dyDescent="0.25">
      <c r="A113" s="4"/>
      <c r="B113" s="4"/>
      <c r="C113" s="4"/>
      <c r="D113" s="4"/>
      <c r="E113" s="4"/>
      <c r="F113" s="4"/>
      <c r="G113" s="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1:52" x14ac:dyDescent="0.25">
      <c r="A114" s="4"/>
      <c r="B114" s="4"/>
      <c r="C114" s="4"/>
      <c r="D114" s="4"/>
      <c r="E114" s="4"/>
      <c r="F114" s="4"/>
      <c r="G114" s="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1:52" x14ac:dyDescent="0.25">
      <c r="A115" s="4"/>
      <c r="B115" s="4"/>
      <c r="C115" s="4"/>
      <c r="D115" s="4"/>
      <c r="E115" s="4"/>
      <c r="F115" s="4"/>
      <c r="G115" s="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1:52" x14ac:dyDescent="0.25">
      <c r="A116" s="4"/>
      <c r="B116" s="4"/>
      <c r="C116" s="4"/>
      <c r="D116" s="4"/>
      <c r="E116" s="4"/>
      <c r="F116" s="4"/>
      <c r="G116" s="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1:52" x14ac:dyDescent="0.25">
      <c r="A117" s="4"/>
      <c r="B117" s="4"/>
      <c r="C117" s="4"/>
      <c r="D117" s="4"/>
      <c r="E117" s="4"/>
      <c r="F117" s="4"/>
      <c r="G117" s="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1:52" x14ac:dyDescent="0.25">
      <c r="A118" s="4"/>
      <c r="B118" s="4"/>
      <c r="C118" s="4"/>
      <c r="D118" s="4"/>
      <c r="E118" s="4"/>
      <c r="F118" s="4"/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1:52" x14ac:dyDescent="0.25">
      <c r="A119" s="4"/>
      <c r="B119" s="4"/>
      <c r="C119" s="4"/>
      <c r="D119" s="4"/>
      <c r="E119" s="4"/>
      <c r="F119" s="4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1:52" x14ac:dyDescent="0.25">
      <c r="A120" s="4"/>
      <c r="B120" s="4"/>
      <c r="C120" s="4"/>
      <c r="D120" s="4"/>
      <c r="E120" s="4"/>
      <c r="F120" s="4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1:52" x14ac:dyDescent="0.25">
      <c r="A121" s="4"/>
      <c r="B121" s="4"/>
      <c r="C121" s="4"/>
      <c r="D121" s="4"/>
      <c r="E121" s="4"/>
      <c r="F121" s="4"/>
      <c r="G121" s="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1:52" x14ac:dyDescent="0.25">
      <c r="A122" s="4"/>
      <c r="B122" s="4"/>
      <c r="C122" s="4"/>
      <c r="D122" s="4"/>
      <c r="E122" s="4"/>
      <c r="F122" s="4"/>
      <c r="G122" s="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1:52" x14ac:dyDescent="0.25">
      <c r="A123" s="4"/>
      <c r="B123" s="4"/>
      <c r="C123" s="4"/>
      <c r="D123" s="4"/>
      <c r="E123" s="4"/>
      <c r="F123" s="4"/>
      <c r="G123" s="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1:52" x14ac:dyDescent="0.25">
      <c r="A124" s="4"/>
      <c r="B124" s="4"/>
      <c r="C124" s="4"/>
      <c r="D124" s="4"/>
      <c r="E124" s="4"/>
      <c r="F124" s="4"/>
      <c r="G124" s="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1:52" x14ac:dyDescent="0.25">
      <c r="A125" s="4"/>
      <c r="B125" s="4"/>
      <c r="C125" s="4"/>
      <c r="D125" s="4"/>
      <c r="E125" s="4"/>
      <c r="F125" s="4"/>
      <c r="G125" s="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1:52" x14ac:dyDescent="0.25">
      <c r="A126" s="4"/>
      <c r="B126" s="4"/>
      <c r="C126" s="4"/>
      <c r="D126" s="4"/>
      <c r="E126" s="4"/>
      <c r="F126" s="4"/>
      <c r="G126" s="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1:52" x14ac:dyDescent="0.25">
      <c r="A127" s="4"/>
      <c r="B127" s="4"/>
      <c r="C127" s="4"/>
      <c r="D127" s="4"/>
      <c r="E127" s="4"/>
      <c r="F127" s="4"/>
      <c r="G127" s="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1:52" x14ac:dyDescent="0.25">
      <c r="A128" s="4"/>
      <c r="B128" s="4"/>
      <c r="C128" s="4"/>
      <c r="D128" s="4"/>
      <c r="E128" s="4"/>
      <c r="F128" s="4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1:52" x14ac:dyDescent="0.25">
      <c r="A129" s="4"/>
      <c r="B129" s="4"/>
      <c r="C129" s="4"/>
      <c r="D129" s="4"/>
      <c r="E129" s="4"/>
      <c r="F129" s="4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1:52" x14ac:dyDescent="0.25">
      <c r="A130" s="4"/>
      <c r="B130" s="4"/>
      <c r="C130" s="4"/>
      <c r="D130" s="4"/>
      <c r="E130" s="4"/>
      <c r="F130" s="4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1:52" x14ac:dyDescent="0.25">
      <c r="A131" s="4"/>
      <c r="B131" s="4"/>
      <c r="C131" s="4"/>
      <c r="D131" s="4"/>
      <c r="E131" s="4"/>
      <c r="F131" s="4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1:52" x14ac:dyDescent="0.25">
      <c r="A132" s="4"/>
      <c r="B132" s="4"/>
      <c r="C132" s="4"/>
      <c r="D132" s="4"/>
      <c r="E132" s="4"/>
      <c r="F132" s="4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1:52" x14ac:dyDescent="0.25">
      <c r="A133" s="4"/>
      <c r="B133" s="4"/>
      <c r="C133" s="4"/>
      <c r="D133" s="4"/>
      <c r="E133" s="4"/>
      <c r="F133" s="4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1:52" x14ac:dyDescent="0.25">
      <c r="A134" s="4"/>
      <c r="B134" s="4"/>
      <c r="C134" s="4"/>
      <c r="D134" s="4"/>
      <c r="E134" s="4"/>
      <c r="F134" s="4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1:52" x14ac:dyDescent="0.25">
      <c r="A135" s="4"/>
      <c r="B135" s="4"/>
      <c r="C135" s="4"/>
      <c r="D135" s="4"/>
      <c r="E135" s="4"/>
      <c r="F135" s="4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1:52" x14ac:dyDescent="0.25">
      <c r="A136" s="4"/>
      <c r="B136" s="4"/>
      <c r="C136" s="4"/>
      <c r="D136" s="4"/>
      <c r="E136" s="4"/>
      <c r="F136" s="4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1:52" x14ac:dyDescent="0.25">
      <c r="A137" s="4"/>
      <c r="B137" s="4"/>
      <c r="C137" s="4"/>
      <c r="D137" s="4"/>
      <c r="E137" s="4"/>
      <c r="F137" s="4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1:52" x14ac:dyDescent="0.25">
      <c r="A138" s="4"/>
      <c r="B138" s="4"/>
      <c r="C138" s="4"/>
      <c r="D138" s="4"/>
      <c r="E138" s="4"/>
      <c r="F138" s="4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1:52" x14ac:dyDescent="0.25">
      <c r="A139" s="4"/>
      <c r="B139" s="4"/>
      <c r="C139" s="4"/>
      <c r="D139" s="4"/>
      <c r="E139" s="4"/>
      <c r="F139" s="4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1:52" x14ac:dyDescent="0.25">
      <c r="A140" s="4"/>
      <c r="B140" s="4"/>
      <c r="C140" s="4"/>
      <c r="D140" s="4"/>
      <c r="E140" s="4"/>
      <c r="F140" s="4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1:52" x14ac:dyDescent="0.25">
      <c r="A141" s="4"/>
      <c r="B141" s="4"/>
      <c r="C141" s="4"/>
      <c r="D141" s="4"/>
      <c r="E141" s="4"/>
      <c r="F141" s="4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1:52" x14ac:dyDescent="0.25">
      <c r="A142" s="4"/>
      <c r="B142" s="4"/>
      <c r="C142" s="4"/>
      <c r="D142" s="4"/>
      <c r="E142" s="4"/>
      <c r="F142" s="4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1:52" x14ac:dyDescent="0.25">
      <c r="A143" s="4"/>
      <c r="B143" s="4"/>
      <c r="C143" s="4"/>
      <c r="D143" s="4"/>
      <c r="E143" s="4"/>
      <c r="F143" s="4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1:52" x14ac:dyDescent="0.25">
      <c r="A144" s="4"/>
      <c r="B144" s="4"/>
      <c r="C144" s="4"/>
      <c r="D144" s="4"/>
      <c r="E144" s="4"/>
      <c r="F144" s="4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1:52" x14ac:dyDescent="0.25">
      <c r="A145" s="4"/>
      <c r="B145" s="4"/>
      <c r="C145" s="4"/>
      <c r="D145" s="4"/>
      <c r="E145" s="4"/>
      <c r="F145" s="4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1:52" x14ac:dyDescent="0.25">
      <c r="A146" s="4"/>
      <c r="B146" s="4"/>
      <c r="C146" s="4"/>
      <c r="D146" s="4"/>
      <c r="E146" s="4"/>
      <c r="F146" s="4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1:52" x14ac:dyDescent="0.25">
      <c r="A147" s="4"/>
      <c r="B147" s="4"/>
      <c r="C147" s="4"/>
      <c r="D147" s="4"/>
      <c r="E147" s="4"/>
      <c r="F147" s="4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1:52" x14ac:dyDescent="0.25">
      <c r="A148" s="4"/>
      <c r="B148" s="4"/>
      <c r="C148" s="4"/>
      <c r="D148" s="4"/>
      <c r="E148" s="4"/>
      <c r="F148" s="4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1:52" x14ac:dyDescent="0.25">
      <c r="A149" s="4"/>
      <c r="B149" s="4"/>
      <c r="C149" s="4"/>
      <c r="D149" s="4"/>
      <c r="E149" s="4"/>
      <c r="F149" s="4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1:52" x14ac:dyDescent="0.25">
      <c r="A150" s="4"/>
      <c r="B150" s="4"/>
      <c r="C150" s="4"/>
      <c r="D150" s="4"/>
      <c r="E150" s="4"/>
      <c r="F150" s="4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1:52" x14ac:dyDescent="0.25">
      <c r="A151" s="4"/>
      <c r="B151" s="4"/>
      <c r="C151" s="4"/>
      <c r="D151" s="4"/>
      <c r="E151" s="4"/>
      <c r="F151" s="4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1:52" x14ac:dyDescent="0.25">
      <c r="A152" s="4"/>
      <c r="B152" s="4"/>
      <c r="C152" s="4"/>
      <c r="D152" s="4"/>
      <c r="E152" s="4"/>
      <c r="F152" s="4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1:52" x14ac:dyDescent="0.25">
      <c r="A153" s="4"/>
      <c r="B153" s="4"/>
      <c r="C153" s="4"/>
      <c r="D153" s="4"/>
      <c r="E153" s="4"/>
      <c r="F153" s="4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1:52" x14ac:dyDescent="0.25">
      <c r="A154" s="4"/>
      <c r="B154" s="4"/>
      <c r="C154" s="4"/>
      <c r="D154" s="4"/>
      <c r="E154" s="4"/>
      <c r="F154" s="4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1:52" x14ac:dyDescent="0.25">
      <c r="A155" s="4"/>
      <c r="B155" s="4"/>
      <c r="C155" s="4"/>
      <c r="D155" s="4"/>
      <c r="E155" s="4"/>
      <c r="F155" s="4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1:52" x14ac:dyDescent="0.25">
      <c r="A156" s="4"/>
      <c r="B156" s="4"/>
      <c r="C156" s="4"/>
      <c r="D156" s="4"/>
      <c r="E156" s="4"/>
      <c r="F156" s="4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1:52" x14ac:dyDescent="0.25">
      <c r="A157" s="4"/>
      <c r="B157" s="4"/>
      <c r="C157" s="4"/>
      <c r="D157" s="4"/>
      <c r="E157" s="4"/>
      <c r="F157" s="4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1:52" x14ac:dyDescent="0.25">
      <c r="A158" s="4"/>
      <c r="B158" s="4"/>
      <c r="C158" s="4"/>
      <c r="D158" s="4"/>
      <c r="E158" s="4"/>
      <c r="F158" s="4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1:52" x14ac:dyDescent="0.25">
      <c r="A159" s="4"/>
      <c r="B159" s="4"/>
      <c r="C159" s="4"/>
      <c r="D159" s="4"/>
      <c r="E159" s="4"/>
      <c r="F159" s="4"/>
      <c r="G159" s="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1:52" x14ac:dyDescent="0.25">
      <c r="A160" s="4"/>
      <c r="B160" s="4"/>
      <c r="C160" s="4"/>
      <c r="D160" s="4"/>
      <c r="E160" s="4"/>
      <c r="F160" s="4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1:52" x14ac:dyDescent="0.25">
      <c r="A161" s="4"/>
      <c r="B161" s="4"/>
      <c r="C161" s="4"/>
      <c r="D161" s="4"/>
      <c r="E161" s="4"/>
      <c r="F161" s="4"/>
      <c r="G161" s="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1:52" x14ac:dyDescent="0.25">
      <c r="A162" s="4"/>
      <c r="B162" s="4"/>
      <c r="C162" s="4"/>
      <c r="D162" s="4"/>
      <c r="E162" s="4"/>
      <c r="F162" s="4"/>
      <c r="G162" s="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1:52" x14ac:dyDescent="0.25">
      <c r="A163" s="4"/>
      <c r="B163" s="4"/>
      <c r="C163" s="4"/>
      <c r="D163" s="4"/>
      <c r="E163" s="4"/>
      <c r="F163" s="4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1:52" x14ac:dyDescent="0.25">
      <c r="A164" s="4"/>
      <c r="B164" s="4"/>
      <c r="C164" s="4"/>
      <c r="D164" s="4"/>
      <c r="E164" s="4"/>
      <c r="F164" s="4"/>
      <c r="G164" s="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1:52" x14ac:dyDescent="0.25">
      <c r="A165" s="4"/>
      <c r="B165" s="4"/>
      <c r="C165" s="4"/>
      <c r="D165" s="4"/>
      <c r="E165" s="4"/>
      <c r="F165" s="4"/>
      <c r="G165" s="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1:52" x14ac:dyDescent="0.25">
      <c r="A166" s="4"/>
      <c r="B166" s="4"/>
      <c r="C166" s="4"/>
      <c r="D166" s="4"/>
      <c r="E166" s="4"/>
      <c r="F166" s="4"/>
      <c r="G166" s="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1:52" x14ac:dyDescent="0.25">
      <c r="A167" s="4"/>
      <c r="B167" s="4"/>
      <c r="C167" s="4"/>
      <c r="D167" s="4"/>
      <c r="E167" s="4"/>
      <c r="F167" s="4"/>
      <c r="G167" s="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1:52" x14ac:dyDescent="0.25">
      <c r="A168" s="4"/>
      <c r="B168" s="4"/>
      <c r="C168" s="4"/>
      <c r="D168" s="4"/>
      <c r="E168" s="4"/>
      <c r="F168" s="4"/>
      <c r="G168" s="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1:52" x14ac:dyDescent="0.25">
      <c r="A169" s="4"/>
      <c r="B169" s="4"/>
      <c r="C169" s="4"/>
      <c r="D169" s="4"/>
      <c r="E169" s="4"/>
      <c r="F169" s="4"/>
      <c r="G169" s="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1:52" x14ac:dyDescent="0.25">
      <c r="A170" s="4"/>
      <c r="B170" s="4"/>
      <c r="C170" s="4"/>
      <c r="D170" s="4"/>
      <c r="E170" s="4"/>
      <c r="F170" s="4"/>
      <c r="G170" s="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1:52" x14ac:dyDescent="0.25">
      <c r="A171" s="4"/>
      <c r="B171" s="4"/>
      <c r="C171" s="4"/>
      <c r="D171" s="4"/>
      <c r="E171" s="4"/>
      <c r="F171" s="4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1:52" x14ac:dyDescent="0.25">
      <c r="A172" s="4"/>
      <c r="B172" s="4"/>
      <c r="C172" s="4"/>
      <c r="D172" s="4"/>
      <c r="E172" s="4"/>
      <c r="F172" s="4"/>
      <c r="G172" s="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1:52" x14ac:dyDescent="0.25">
      <c r="A173" s="4"/>
      <c r="B173" s="4"/>
      <c r="C173" s="4"/>
      <c r="D173" s="4"/>
      <c r="E173" s="4"/>
      <c r="F173" s="4"/>
      <c r="G173" s="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1:52" x14ac:dyDescent="0.25">
      <c r="A174" s="4"/>
      <c r="B174" s="4"/>
      <c r="C174" s="4"/>
      <c r="D174" s="4"/>
      <c r="E174" s="4"/>
      <c r="F174" s="4"/>
      <c r="G174" s="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1:52" x14ac:dyDescent="0.25">
      <c r="A175" s="4"/>
      <c r="B175" s="4"/>
      <c r="C175" s="4"/>
      <c r="D175" s="4"/>
      <c r="E175" s="4"/>
      <c r="F175" s="4"/>
      <c r="G175" s="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1:52" x14ac:dyDescent="0.25">
      <c r="A176" s="4"/>
      <c r="B176" s="4"/>
      <c r="C176" s="4"/>
      <c r="D176" s="4"/>
      <c r="E176" s="4"/>
      <c r="F176" s="4"/>
      <c r="G176" s="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1:52" x14ac:dyDescent="0.25">
      <c r="A177" s="4"/>
      <c r="B177" s="4"/>
      <c r="C177" s="4"/>
      <c r="D177" s="4"/>
      <c r="E177" s="4"/>
      <c r="F177" s="4"/>
      <c r="G177" s="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1:52" x14ac:dyDescent="0.25">
      <c r="A178" s="4"/>
      <c r="B178" s="4"/>
      <c r="C178" s="4"/>
      <c r="D178" s="4"/>
      <c r="E178" s="4"/>
      <c r="F178" s="4"/>
      <c r="G178" s="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1:52" x14ac:dyDescent="0.25">
      <c r="A179" s="4"/>
      <c r="B179" s="4"/>
      <c r="C179" s="4"/>
      <c r="D179" s="4"/>
      <c r="E179" s="4"/>
      <c r="F179" s="4"/>
      <c r="G179" s="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1:52" x14ac:dyDescent="0.25">
      <c r="A180" s="4"/>
      <c r="B180" s="4"/>
      <c r="C180" s="4"/>
      <c r="D180" s="4"/>
      <c r="E180" s="4"/>
      <c r="F180" s="4"/>
      <c r="G180" s="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1:52" x14ac:dyDescent="0.25">
      <c r="A181" s="4"/>
      <c r="B181" s="4"/>
      <c r="C181" s="4"/>
      <c r="D181" s="4"/>
      <c r="E181" s="4"/>
      <c r="F181" s="4"/>
      <c r="G181" s="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1:52" x14ac:dyDescent="0.25">
      <c r="A182" s="4"/>
      <c r="B182" s="4"/>
      <c r="C182" s="4"/>
      <c r="D182" s="4"/>
      <c r="E182" s="4"/>
      <c r="F182" s="4"/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1:52" x14ac:dyDescent="0.25">
      <c r="A183" s="4"/>
      <c r="B183" s="4"/>
      <c r="C183" s="4"/>
      <c r="D183" s="4"/>
      <c r="E183" s="4"/>
      <c r="F183" s="4"/>
      <c r="G183" s="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1:52" x14ac:dyDescent="0.25">
      <c r="A184" s="4"/>
      <c r="B184" s="4"/>
      <c r="C184" s="4"/>
      <c r="D184" s="4"/>
      <c r="E184" s="4"/>
      <c r="F184" s="4"/>
      <c r="G184" s="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1:52" x14ac:dyDescent="0.25">
      <c r="A185" s="4"/>
      <c r="B185" s="4"/>
      <c r="C185" s="4"/>
      <c r="D185" s="4"/>
      <c r="E185" s="4"/>
      <c r="F185" s="4"/>
      <c r="G185" s="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1:52" x14ac:dyDescent="0.25">
      <c r="A186" s="4"/>
      <c r="B186" s="4"/>
      <c r="C186" s="4"/>
      <c r="D186" s="4"/>
      <c r="E186" s="4"/>
      <c r="F186" s="4"/>
      <c r="G186" s="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1:52" x14ac:dyDescent="0.25">
      <c r="A187" s="4"/>
      <c r="B187" s="4"/>
      <c r="C187" s="4"/>
      <c r="D187" s="4"/>
      <c r="E187" s="4"/>
      <c r="F187" s="4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1:52" x14ac:dyDescent="0.25">
      <c r="A188" s="4"/>
      <c r="B188" s="4"/>
      <c r="C188" s="4"/>
      <c r="D188" s="4"/>
      <c r="E188" s="4"/>
      <c r="F188" s="4"/>
      <c r="G188" s="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1:52" x14ac:dyDescent="0.25">
      <c r="A189" s="4"/>
      <c r="B189" s="4"/>
      <c r="C189" s="4"/>
      <c r="D189" s="4"/>
      <c r="E189" s="4"/>
      <c r="F189" s="4"/>
      <c r="G189" s="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1:52" x14ac:dyDescent="0.25">
      <c r="A190" s="4"/>
      <c r="B190" s="4"/>
      <c r="C190" s="4"/>
      <c r="D190" s="4"/>
      <c r="E190" s="4"/>
      <c r="F190" s="4"/>
      <c r="G190" s="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1:52" x14ac:dyDescent="0.25">
      <c r="A191" s="4"/>
      <c r="B191" s="4"/>
      <c r="C191" s="4"/>
      <c r="D191" s="4"/>
      <c r="E191" s="4"/>
      <c r="F191" s="4"/>
      <c r="G191" s="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1:52" x14ac:dyDescent="0.25">
      <c r="A192" s="4"/>
      <c r="B192" s="4"/>
      <c r="C192" s="4"/>
      <c r="D192" s="4"/>
      <c r="E192" s="4"/>
      <c r="F192" s="4"/>
      <c r="G192" s="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1:52" x14ac:dyDescent="0.25">
      <c r="A193" s="4"/>
      <c r="B193" s="4"/>
      <c r="C193" s="4"/>
      <c r="D193" s="4"/>
      <c r="E193" s="4"/>
      <c r="F193" s="4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1:52" x14ac:dyDescent="0.25">
      <c r="A194" s="4"/>
      <c r="B194" s="4"/>
      <c r="C194" s="4"/>
      <c r="D194" s="4"/>
      <c r="E194" s="4"/>
      <c r="F194" s="4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1:52" x14ac:dyDescent="0.25">
      <c r="A195" s="4"/>
      <c r="B195" s="4"/>
      <c r="C195" s="4"/>
      <c r="D195" s="4"/>
      <c r="E195" s="4"/>
      <c r="F195" s="4"/>
      <c r="G195" s="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1:52" x14ac:dyDescent="0.25">
      <c r="A196" s="4"/>
      <c r="B196" s="4"/>
      <c r="C196" s="4"/>
      <c r="D196" s="4"/>
      <c r="E196" s="4"/>
      <c r="F196" s="4"/>
      <c r="G196" s="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1:52" x14ac:dyDescent="0.25">
      <c r="A197" s="4"/>
      <c r="B197" s="4"/>
      <c r="C197" s="4"/>
      <c r="D197" s="4"/>
      <c r="E197" s="4"/>
      <c r="F197" s="4"/>
      <c r="G197" s="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1:52" x14ac:dyDescent="0.25">
      <c r="A198" s="4"/>
      <c r="B198" s="4"/>
      <c r="C198" s="4"/>
      <c r="D198" s="4"/>
      <c r="E198" s="4"/>
      <c r="F198" s="4"/>
      <c r="G198" s="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1:52" x14ac:dyDescent="0.25">
      <c r="A199" s="4"/>
      <c r="B199" s="4"/>
      <c r="C199" s="4"/>
      <c r="D199" s="4"/>
      <c r="E199" s="4"/>
      <c r="F199" s="4"/>
      <c r="G199" s="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1:52" x14ac:dyDescent="0.25">
      <c r="A200" s="4"/>
      <c r="B200" s="4"/>
      <c r="C200" s="4"/>
      <c r="D200" s="4"/>
      <c r="E200" s="4"/>
      <c r="F200" s="4"/>
      <c r="G200" s="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1:52" x14ac:dyDescent="0.25">
      <c r="A201" s="4"/>
      <c r="B201" s="4"/>
      <c r="C201" s="4"/>
      <c r="D201" s="4"/>
      <c r="E201" s="4"/>
      <c r="F201" s="4"/>
      <c r="G201" s="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1:52" x14ac:dyDescent="0.25">
      <c r="A202" s="4"/>
      <c r="B202" s="4"/>
      <c r="C202" s="4"/>
      <c r="D202" s="4"/>
      <c r="E202" s="4"/>
      <c r="F202" s="4"/>
      <c r="G202" s="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1:52" x14ac:dyDescent="0.25">
      <c r="A203" s="4"/>
      <c r="B203" s="4"/>
      <c r="C203" s="4"/>
      <c r="D203" s="4"/>
      <c r="E203" s="4"/>
      <c r="F203" s="4"/>
      <c r="G203" s="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1:52" x14ac:dyDescent="0.25">
      <c r="A204" s="4"/>
      <c r="B204" s="4"/>
      <c r="C204" s="4"/>
      <c r="D204" s="4"/>
      <c r="E204" s="4"/>
      <c r="F204" s="4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1:52" x14ac:dyDescent="0.25">
      <c r="A205" s="4"/>
      <c r="B205" s="4"/>
      <c r="C205" s="4"/>
      <c r="D205" s="4"/>
      <c r="E205" s="4"/>
      <c r="F205" s="4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1:52" x14ac:dyDescent="0.25">
      <c r="A206" s="4"/>
      <c r="B206" s="4"/>
      <c r="C206" s="4"/>
      <c r="D206" s="4"/>
      <c r="E206" s="4"/>
      <c r="F206" s="4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1:52" x14ac:dyDescent="0.25">
      <c r="A207" s="4"/>
      <c r="B207" s="4"/>
      <c r="C207" s="4"/>
      <c r="D207" s="4"/>
      <c r="E207" s="4"/>
      <c r="F207" s="4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1:52" x14ac:dyDescent="0.25">
      <c r="A208" s="4"/>
      <c r="B208" s="4"/>
      <c r="C208" s="4"/>
      <c r="D208" s="4"/>
      <c r="E208" s="4"/>
      <c r="F208" s="4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1:52" x14ac:dyDescent="0.25">
      <c r="A209" s="4"/>
      <c r="B209" s="4"/>
      <c r="C209" s="4"/>
      <c r="D209" s="4"/>
      <c r="E209" s="4"/>
      <c r="F209" s="4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1:52" x14ac:dyDescent="0.25">
      <c r="A210" s="4"/>
      <c r="B210" s="4"/>
      <c r="C210" s="4"/>
      <c r="D210" s="4"/>
      <c r="E210" s="4"/>
      <c r="F210" s="4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1:52" x14ac:dyDescent="0.25">
      <c r="A211" s="4"/>
      <c r="B211" s="4"/>
      <c r="C211" s="4"/>
      <c r="D211" s="4"/>
      <c r="E211" s="4"/>
      <c r="F211" s="4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1:52" x14ac:dyDescent="0.25">
      <c r="A212" s="4"/>
      <c r="B212" s="4"/>
      <c r="C212" s="4"/>
      <c r="D212" s="4"/>
      <c r="E212" s="4"/>
      <c r="F212" s="4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1:52" x14ac:dyDescent="0.25">
      <c r="A213" s="4"/>
      <c r="B213" s="4"/>
      <c r="C213" s="4"/>
      <c r="D213" s="4"/>
      <c r="E213" s="4"/>
      <c r="F213" s="4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1:52" x14ac:dyDescent="0.25">
      <c r="A214" s="4"/>
      <c r="B214" s="4"/>
      <c r="C214" s="4"/>
      <c r="D214" s="4"/>
      <c r="E214" s="4"/>
      <c r="F214" s="4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1:52" x14ac:dyDescent="0.25">
      <c r="A215" s="4"/>
      <c r="B215" s="4"/>
      <c r="C215" s="4"/>
      <c r="D215" s="4"/>
      <c r="E215" s="4"/>
      <c r="F215" s="4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1:52" x14ac:dyDescent="0.25">
      <c r="A216" s="4"/>
      <c r="B216" s="4"/>
      <c r="C216" s="4"/>
      <c r="D216" s="4"/>
      <c r="E216" s="4"/>
      <c r="F216" s="4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1:52" x14ac:dyDescent="0.25">
      <c r="A217" s="4"/>
      <c r="B217" s="4"/>
      <c r="C217" s="4"/>
      <c r="D217" s="4"/>
      <c r="E217" s="4"/>
      <c r="F217" s="4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1:52" x14ac:dyDescent="0.25">
      <c r="A218" s="4"/>
      <c r="B218" s="4"/>
      <c r="C218" s="4"/>
      <c r="D218" s="4"/>
      <c r="E218" s="4"/>
      <c r="F218" s="4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1:52" x14ac:dyDescent="0.25">
      <c r="A219" s="4"/>
      <c r="B219" s="4"/>
      <c r="C219" s="4"/>
      <c r="D219" s="4"/>
      <c r="E219" s="4"/>
      <c r="F219" s="4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1:52" x14ac:dyDescent="0.25">
      <c r="A220" s="4"/>
      <c r="B220" s="4"/>
      <c r="C220" s="4"/>
      <c r="D220" s="4"/>
      <c r="E220" s="4"/>
      <c r="F220" s="4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1:52" x14ac:dyDescent="0.25">
      <c r="A221" s="4"/>
      <c r="B221" s="4"/>
      <c r="C221" s="4"/>
      <c r="D221" s="4"/>
      <c r="E221" s="4"/>
      <c r="F221" s="4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1:52" x14ac:dyDescent="0.25">
      <c r="A222" s="4"/>
      <c r="B222" s="4"/>
      <c r="C222" s="4"/>
      <c r="D222" s="4"/>
      <c r="E222" s="4"/>
      <c r="F222" s="4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1:52" x14ac:dyDescent="0.25">
      <c r="A223" s="4"/>
      <c r="B223" s="4"/>
      <c r="C223" s="4"/>
      <c r="D223" s="4"/>
      <c r="E223" s="4"/>
      <c r="F223" s="4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1:52" x14ac:dyDescent="0.25">
      <c r="A224" s="4"/>
      <c r="B224" s="4"/>
      <c r="C224" s="4"/>
      <c r="D224" s="4"/>
      <c r="E224" s="4"/>
      <c r="F224" s="4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1:52" x14ac:dyDescent="0.25">
      <c r="A225" s="4"/>
      <c r="B225" s="4"/>
      <c r="C225" s="4"/>
      <c r="D225" s="4"/>
      <c r="E225" s="4"/>
      <c r="F225" s="4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1:52" x14ac:dyDescent="0.25">
      <c r="A226" s="4"/>
      <c r="B226" s="4"/>
      <c r="C226" s="4"/>
      <c r="D226" s="4"/>
      <c r="E226" s="4"/>
      <c r="F226" s="4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spans="1:52" x14ac:dyDescent="0.25">
      <c r="A227" s="4"/>
      <c r="B227" s="4"/>
      <c r="C227" s="4"/>
      <c r="D227" s="4"/>
      <c r="E227" s="4"/>
      <c r="F227" s="4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spans="1:52" x14ac:dyDescent="0.25">
      <c r="A228" s="4"/>
      <c r="B228" s="4"/>
      <c r="C228" s="4"/>
      <c r="D228" s="4"/>
      <c r="E228" s="4"/>
      <c r="F228" s="4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spans="1:52" x14ac:dyDescent="0.25">
      <c r="A229" s="4"/>
      <c r="B229" s="4"/>
      <c r="C229" s="4"/>
      <c r="D229" s="4"/>
      <c r="E229" s="4"/>
      <c r="F229" s="4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spans="1:52" x14ac:dyDescent="0.25">
      <c r="A230" s="4"/>
      <c r="B230" s="4"/>
      <c r="C230" s="4"/>
      <c r="D230" s="4"/>
      <c r="E230" s="4"/>
      <c r="F230" s="4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spans="1:52" x14ac:dyDescent="0.25">
      <c r="A231" s="4"/>
      <c r="B231" s="4"/>
      <c r="C231" s="4"/>
      <c r="D231" s="4"/>
      <c r="E231" s="4"/>
      <c r="F231" s="4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spans="1:52" x14ac:dyDescent="0.25">
      <c r="A232" s="4"/>
      <c r="B232" s="4"/>
      <c r="C232" s="4"/>
      <c r="D232" s="4"/>
      <c r="E232" s="4"/>
      <c r="F232" s="4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spans="1:52" x14ac:dyDescent="0.25">
      <c r="A233" s="4"/>
      <c r="B233" s="4"/>
      <c r="C233" s="4"/>
      <c r="D233" s="4"/>
      <c r="E233" s="4"/>
      <c r="F233" s="4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spans="1:52" x14ac:dyDescent="0.25">
      <c r="A234" s="4"/>
      <c r="B234" s="4"/>
      <c r="C234" s="4"/>
      <c r="D234" s="4"/>
      <c r="E234" s="4"/>
      <c r="F234" s="4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spans="1:52" x14ac:dyDescent="0.25">
      <c r="A235" s="4"/>
      <c r="B235" s="4"/>
      <c r="C235" s="4"/>
      <c r="D235" s="4"/>
      <c r="E235" s="4"/>
      <c r="F235" s="4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spans="1:52" x14ac:dyDescent="0.25">
      <c r="A236" s="4"/>
      <c r="B236" s="4"/>
      <c r="C236" s="4"/>
      <c r="D236" s="4"/>
      <c r="E236" s="4"/>
      <c r="F236" s="4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spans="1:52" x14ac:dyDescent="0.25">
      <c r="A237" s="4"/>
      <c r="B237" s="4"/>
      <c r="C237" s="4"/>
      <c r="D237" s="4"/>
      <c r="E237" s="4"/>
      <c r="F237" s="4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spans="1:52" x14ac:dyDescent="0.25">
      <c r="A238" s="4"/>
      <c r="B238" s="4"/>
      <c r="C238" s="4"/>
      <c r="D238" s="4"/>
      <c r="E238" s="4"/>
      <c r="F238" s="4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spans="1:52" x14ac:dyDescent="0.25">
      <c r="A239" s="4"/>
      <c r="B239" s="4"/>
      <c r="C239" s="4"/>
      <c r="D239" s="4"/>
      <c r="E239" s="4"/>
      <c r="F239" s="4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spans="1:52" x14ac:dyDescent="0.25">
      <c r="A240" s="4"/>
      <c r="B240" s="4"/>
      <c r="C240" s="4"/>
      <c r="D240" s="4"/>
      <c r="E240" s="4"/>
      <c r="F240" s="4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spans="1:52" x14ac:dyDescent="0.25">
      <c r="A241" s="4"/>
      <c r="B241" s="4"/>
      <c r="C241" s="4"/>
      <c r="D241" s="4"/>
      <c r="E241" s="4"/>
      <c r="F241" s="4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spans="1:52" x14ac:dyDescent="0.25">
      <c r="A242" s="4"/>
      <c r="B242" s="4"/>
      <c r="C242" s="4"/>
      <c r="D242" s="4"/>
      <c r="E242" s="4"/>
      <c r="F242" s="4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spans="1:52" x14ac:dyDescent="0.25">
      <c r="A243" s="4"/>
      <c r="B243" s="4"/>
      <c r="C243" s="4"/>
      <c r="D243" s="4"/>
      <c r="E243" s="4"/>
      <c r="F243" s="4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spans="1:52" x14ac:dyDescent="0.25">
      <c r="A244" s="4"/>
      <c r="B244" s="4"/>
      <c r="C244" s="4"/>
      <c r="D244" s="4"/>
      <c r="E244" s="4"/>
      <c r="F244" s="4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spans="1:52" x14ac:dyDescent="0.25">
      <c r="A245" s="4"/>
      <c r="B245" s="4"/>
      <c r="C245" s="4"/>
      <c r="D245" s="4"/>
      <c r="E245" s="4"/>
      <c r="F245" s="4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spans="1:52" x14ac:dyDescent="0.25">
      <c r="A246" s="4"/>
      <c r="B246" s="4"/>
      <c r="C246" s="4"/>
      <c r="D246" s="4"/>
      <c r="E246" s="4"/>
      <c r="F246" s="4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spans="1:52" x14ac:dyDescent="0.25">
      <c r="A247" s="4"/>
      <c r="B247" s="4"/>
      <c r="C247" s="4"/>
      <c r="D247" s="4"/>
      <c r="E247" s="4"/>
      <c r="F247" s="4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spans="1:52" x14ac:dyDescent="0.25">
      <c r="A248" s="4"/>
      <c r="B248" s="4"/>
      <c r="C248" s="4"/>
      <c r="D248" s="4"/>
      <c r="E248" s="4"/>
      <c r="F248" s="4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spans="1:52" x14ac:dyDescent="0.25">
      <c r="A249" s="4"/>
      <c r="B249" s="4"/>
      <c r="C249" s="4"/>
      <c r="D249" s="4"/>
      <c r="E249" s="4"/>
      <c r="F249" s="4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spans="1:52" x14ac:dyDescent="0.25">
      <c r="A250" s="4"/>
      <c r="B250" s="4"/>
      <c r="C250" s="4"/>
      <c r="D250" s="4"/>
      <c r="E250" s="4"/>
      <c r="F250" s="4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spans="1:52" x14ac:dyDescent="0.25">
      <c r="A251" s="4"/>
      <c r="B251" s="4"/>
      <c r="C251" s="4"/>
      <c r="D251" s="4"/>
      <c r="E251" s="4"/>
      <c r="F251" s="4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spans="1:52" x14ac:dyDescent="0.25">
      <c r="A252" s="4"/>
      <c r="B252" s="4"/>
      <c r="C252" s="4"/>
      <c r="D252" s="4"/>
      <c r="E252" s="4"/>
      <c r="F252" s="4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spans="1:52" x14ac:dyDescent="0.25">
      <c r="A253" s="4"/>
      <c r="B253" s="4"/>
      <c r="C253" s="4"/>
      <c r="D253" s="4"/>
      <c r="E253" s="4"/>
      <c r="F253" s="4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spans="1:52" x14ac:dyDescent="0.25">
      <c r="A254" s="4"/>
      <c r="B254" s="4"/>
      <c r="C254" s="4"/>
      <c r="D254" s="4"/>
      <c r="E254" s="4"/>
      <c r="F254" s="4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spans="1:52" x14ac:dyDescent="0.25">
      <c r="A255" s="4"/>
      <c r="B255" s="4"/>
      <c r="C255" s="4"/>
      <c r="D255" s="4"/>
      <c r="E255" s="4"/>
      <c r="F255" s="4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spans="1:52" x14ac:dyDescent="0.25">
      <c r="A256" s="4"/>
      <c r="B256" s="4"/>
      <c r="C256" s="4"/>
      <c r="D256" s="4"/>
      <c r="E256" s="4"/>
      <c r="F256" s="4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spans="1:52" x14ac:dyDescent="0.25">
      <c r="A257" s="4"/>
      <c r="B257" s="4"/>
      <c r="C257" s="4"/>
      <c r="D257" s="4"/>
      <c r="E257" s="4"/>
      <c r="F257" s="4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spans="1:52" x14ac:dyDescent="0.25">
      <c r="A258" s="4"/>
      <c r="B258" s="4"/>
      <c r="C258" s="4"/>
      <c r="D258" s="4"/>
      <c r="E258" s="4"/>
      <c r="F258" s="4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spans="1:52" x14ac:dyDescent="0.25">
      <c r="A259" s="4"/>
      <c r="B259" s="4"/>
      <c r="C259" s="4"/>
      <c r="D259" s="4"/>
      <c r="E259" s="4"/>
      <c r="F259" s="4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spans="1:52" x14ac:dyDescent="0.25">
      <c r="A260" s="4"/>
      <c r="B260" s="4"/>
      <c r="C260" s="4"/>
      <c r="D260" s="4"/>
      <c r="E260" s="4"/>
      <c r="F260" s="4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spans="1:52" x14ac:dyDescent="0.25">
      <c r="A261" s="4"/>
      <c r="B261" s="4"/>
      <c r="C261" s="4"/>
      <c r="D261" s="4"/>
      <c r="E261" s="4"/>
      <c r="F261" s="4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spans="1:52" x14ac:dyDescent="0.25">
      <c r="A262" s="4"/>
      <c r="B262" s="4"/>
      <c r="C262" s="4"/>
      <c r="D262" s="4"/>
      <c r="E262" s="4"/>
      <c r="F262" s="4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spans="1:52" x14ac:dyDescent="0.25">
      <c r="A263" s="4"/>
      <c r="B263" s="4"/>
      <c r="C263" s="4"/>
      <c r="D263" s="4"/>
      <c r="E263" s="4"/>
      <c r="F263" s="4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spans="1:52" x14ac:dyDescent="0.25">
      <c r="A264" s="4"/>
      <c r="B264" s="4"/>
      <c r="C264" s="4"/>
      <c r="D264" s="4"/>
      <c r="E264" s="4"/>
      <c r="F264" s="4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spans="1:52" x14ac:dyDescent="0.25">
      <c r="A265" s="4"/>
      <c r="B265" s="4"/>
      <c r="C265" s="4"/>
      <c r="D265" s="4"/>
      <c r="E265" s="4"/>
      <c r="F265" s="4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spans="1:52" x14ac:dyDescent="0.25">
      <c r="A266" s="4"/>
      <c r="B266" s="4"/>
      <c r="C266" s="4"/>
      <c r="D266" s="4"/>
      <c r="E266" s="4"/>
      <c r="F266" s="4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spans="1:52" x14ac:dyDescent="0.25">
      <c r="A267" s="4"/>
      <c r="B267" s="4"/>
      <c r="C267" s="4"/>
      <c r="D267" s="4"/>
      <c r="E267" s="4"/>
      <c r="F267" s="4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spans="1:52" x14ac:dyDescent="0.25">
      <c r="A268" s="4"/>
      <c r="B268" s="4"/>
      <c r="C268" s="4"/>
      <c r="D268" s="4"/>
      <c r="E268" s="4"/>
      <c r="F268" s="4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spans="1:52" x14ac:dyDescent="0.25">
      <c r="A269" s="4"/>
      <c r="B269" s="4"/>
      <c r="C269" s="4"/>
      <c r="D269" s="4"/>
      <c r="E269" s="4"/>
      <c r="F269" s="4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spans="1:52" x14ac:dyDescent="0.25">
      <c r="A270" s="4"/>
      <c r="B270" s="4"/>
      <c r="C270" s="4"/>
      <c r="D270" s="4"/>
      <c r="E270" s="4"/>
      <c r="F270" s="4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spans="1:52" x14ac:dyDescent="0.25">
      <c r="A271" s="4"/>
      <c r="B271" s="4"/>
      <c r="C271" s="4"/>
      <c r="D271" s="4"/>
      <c r="E271" s="4"/>
      <c r="F271" s="4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spans="1:52" x14ac:dyDescent="0.25">
      <c r="A272" s="4"/>
      <c r="B272" s="4"/>
      <c r="C272" s="4"/>
      <c r="D272" s="4"/>
      <c r="E272" s="4"/>
      <c r="F272" s="4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spans="1:52" x14ac:dyDescent="0.25">
      <c r="A273" s="4"/>
      <c r="B273" s="4"/>
      <c r="C273" s="4"/>
      <c r="D273" s="4"/>
      <c r="E273" s="4"/>
      <c r="F273" s="4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spans="1:52" x14ac:dyDescent="0.25">
      <c r="A274" s="4"/>
      <c r="B274" s="4"/>
      <c r="C274" s="4"/>
      <c r="D274" s="4"/>
      <c r="E274" s="4"/>
      <c r="F274" s="4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spans="1:52" x14ac:dyDescent="0.25">
      <c r="A275" s="4"/>
      <c r="B275" s="4"/>
      <c r="C275" s="4"/>
      <c r="D275" s="4"/>
      <c r="E275" s="4"/>
      <c r="F275" s="4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spans="1:52" x14ac:dyDescent="0.25">
      <c r="A276" s="4"/>
      <c r="B276" s="4"/>
      <c r="C276" s="4"/>
      <c r="D276" s="4"/>
      <c r="E276" s="4"/>
      <c r="F276" s="4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spans="1:52" x14ac:dyDescent="0.25">
      <c r="A277" s="4"/>
      <c r="B277" s="4"/>
      <c r="C277" s="4"/>
      <c r="D277" s="4"/>
      <c r="E277" s="4"/>
      <c r="F277" s="4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spans="1:52" x14ac:dyDescent="0.25">
      <c r="A278" s="4"/>
      <c r="B278" s="4"/>
      <c r="C278" s="4"/>
      <c r="D278" s="4"/>
      <c r="E278" s="4"/>
      <c r="F278" s="4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spans="1:52" x14ac:dyDescent="0.25">
      <c r="A279" s="4"/>
      <c r="B279" s="4"/>
      <c r="C279" s="4"/>
      <c r="D279" s="4"/>
      <c r="E279" s="4"/>
      <c r="F279" s="4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spans="1:52" x14ac:dyDescent="0.25">
      <c r="A280" s="4"/>
      <c r="B280" s="4"/>
      <c r="C280" s="4"/>
      <c r="D280" s="4"/>
      <c r="E280" s="4"/>
      <c r="F280" s="4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spans="1:52" x14ac:dyDescent="0.25">
      <c r="A281" s="4"/>
      <c r="B281" s="4"/>
      <c r="C281" s="4"/>
      <c r="D281" s="4"/>
      <c r="E281" s="4"/>
      <c r="F281" s="4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spans="1:52" x14ac:dyDescent="0.25">
      <c r="A282" s="4"/>
      <c r="B282" s="4"/>
      <c r="C282" s="4"/>
      <c r="D282" s="4"/>
      <c r="E282" s="4"/>
      <c r="F282" s="4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spans="1:52" x14ac:dyDescent="0.25">
      <c r="A283" s="4"/>
      <c r="B283" s="4"/>
      <c r="C283" s="4"/>
      <c r="D283" s="4"/>
      <c r="E283" s="4"/>
      <c r="F283" s="4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spans="1:52" x14ac:dyDescent="0.25">
      <c r="A284" s="4"/>
      <c r="B284" s="4"/>
      <c r="C284" s="4"/>
      <c r="D284" s="4"/>
      <c r="E284" s="4"/>
      <c r="F284" s="4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spans="1:52" x14ac:dyDescent="0.25">
      <c r="A285" s="4"/>
      <c r="B285" s="4"/>
      <c r="C285" s="4"/>
      <c r="D285" s="4"/>
      <c r="E285" s="4"/>
      <c r="F285" s="4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spans="1:52" x14ac:dyDescent="0.25">
      <c r="A286" s="4"/>
      <c r="B286" s="4"/>
      <c r="C286" s="4"/>
      <c r="D286" s="4"/>
      <c r="E286" s="4"/>
      <c r="F286" s="4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spans="1:52" x14ac:dyDescent="0.25">
      <c r="A287" s="4"/>
      <c r="B287" s="4"/>
      <c r="C287" s="4"/>
      <c r="D287" s="4"/>
      <c r="E287" s="4"/>
      <c r="F287" s="4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spans="1:52" x14ac:dyDescent="0.25">
      <c r="A288" s="4"/>
      <c r="B288" s="4"/>
      <c r="C288" s="4"/>
      <c r="D288" s="4"/>
      <c r="E288" s="4"/>
      <c r="F288" s="4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spans="1:52" x14ac:dyDescent="0.25">
      <c r="A289" s="4"/>
      <c r="B289" s="4"/>
      <c r="C289" s="4"/>
      <c r="D289" s="4"/>
      <c r="E289" s="4"/>
      <c r="F289" s="4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spans="1:52" x14ac:dyDescent="0.25">
      <c r="A290" s="4"/>
      <c r="B290" s="4"/>
      <c r="C290" s="4"/>
      <c r="D290" s="4"/>
      <c r="E290" s="4"/>
      <c r="F290" s="4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spans="1:52" x14ac:dyDescent="0.25">
      <c r="A291" s="4"/>
      <c r="B291" s="4"/>
      <c r="C291" s="4"/>
      <c r="D291" s="4"/>
      <c r="E291" s="4"/>
      <c r="F291" s="4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spans="1:52" x14ac:dyDescent="0.25">
      <c r="A292" s="4"/>
      <c r="B292" s="4"/>
      <c r="C292" s="4"/>
      <c r="D292" s="4"/>
      <c r="E292" s="4"/>
      <c r="F292" s="4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spans="1:52" x14ac:dyDescent="0.25">
      <c r="A293" s="4"/>
      <c r="B293" s="4"/>
      <c r="C293" s="4"/>
      <c r="D293" s="4"/>
      <c r="E293" s="4"/>
      <c r="F293" s="4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spans="1:52" x14ac:dyDescent="0.25">
      <c r="A294" s="4"/>
      <c r="B294" s="4"/>
      <c r="C294" s="4"/>
      <c r="D294" s="4"/>
      <c r="E294" s="4"/>
      <c r="F294" s="4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spans="1:52" x14ac:dyDescent="0.25">
      <c r="A295" s="4"/>
      <c r="B295" s="4"/>
      <c r="C295" s="4"/>
      <c r="D295" s="4"/>
      <c r="E295" s="4"/>
      <c r="F295" s="4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spans="1:52" x14ac:dyDescent="0.25">
      <c r="A296" s="4"/>
      <c r="B296" s="4"/>
      <c r="C296" s="4"/>
      <c r="D296" s="4"/>
      <c r="E296" s="4"/>
      <c r="F296" s="4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spans="1:52" x14ac:dyDescent="0.25">
      <c r="A297" s="4"/>
      <c r="B297" s="4"/>
      <c r="C297" s="4"/>
      <c r="D297" s="4"/>
      <c r="E297" s="4"/>
      <c r="F297" s="4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spans="1:52" x14ac:dyDescent="0.25">
      <c r="A298" s="4"/>
      <c r="B298" s="4"/>
      <c r="C298" s="4"/>
      <c r="D298" s="4"/>
      <c r="E298" s="4"/>
      <c r="F298" s="4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spans="1:52" x14ac:dyDescent="0.25">
      <c r="A299" s="4"/>
      <c r="B299" s="4"/>
      <c r="C299" s="4"/>
      <c r="D299" s="4"/>
      <c r="E299" s="4"/>
      <c r="F299" s="4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spans="1:52" x14ac:dyDescent="0.25">
      <c r="A300" s="4"/>
      <c r="B300" s="4"/>
      <c r="C300" s="4"/>
      <c r="D300" s="4"/>
      <c r="E300" s="4"/>
      <c r="F300" s="4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spans="1:52" x14ac:dyDescent="0.25">
      <c r="A301" s="4"/>
      <c r="B301" s="4"/>
      <c r="C301" s="4"/>
      <c r="D301" s="4"/>
      <c r="E301" s="4"/>
      <c r="F301" s="4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spans="1:52" x14ac:dyDescent="0.25">
      <c r="A302" s="4"/>
      <c r="B302" s="4"/>
      <c r="C302" s="4"/>
      <c r="D302" s="4"/>
      <c r="E302" s="4"/>
      <c r="F302" s="4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spans="1:52" x14ac:dyDescent="0.25">
      <c r="A303" s="4"/>
      <c r="B303" s="4"/>
      <c r="C303" s="4"/>
      <c r="D303" s="4"/>
      <c r="E303" s="4"/>
      <c r="F303" s="4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spans="1:52" x14ac:dyDescent="0.25">
      <c r="A304" s="4"/>
      <c r="B304" s="4"/>
      <c r="C304" s="4"/>
      <c r="D304" s="4"/>
      <c r="E304" s="4"/>
      <c r="F304" s="4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spans="1:52" x14ac:dyDescent="0.25">
      <c r="A305" s="4"/>
      <c r="B305" s="4"/>
      <c r="C305" s="4"/>
      <c r="D305" s="4"/>
      <c r="E305" s="4"/>
      <c r="F305" s="4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spans="1:52" x14ac:dyDescent="0.25">
      <c r="A306" s="4"/>
      <c r="B306" s="4"/>
      <c r="C306" s="4"/>
      <c r="D306" s="4"/>
      <c r="E306" s="4"/>
      <c r="F306" s="4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spans="1:52" x14ac:dyDescent="0.25">
      <c r="A307" s="4"/>
      <c r="B307" s="4"/>
      <c r="C307" s="4"/>
      <c r="D307" s="4"/>
      <c r="E307" s="4"/>
      <c r="F307" s="4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spans="1:52" x14ac:dyDescent="0.25">
      <c r="A308" s="4"/>
      <c r="B308" s="4"/>
      <c r="C308" s="4"/>
      <c r="D308" s="4"/>
      <c r="E308" s="4"/>
      <c r="F308" s="4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spans="1:52" x14ac:dyDescent="0.25">
      <c r="A309" s="4"/>
      <c r="B309" s="4"/>
      <c r="C309" s="4"/>
      <c r="D309" s="4"/>
      <c r="E309" s="4"/>
      <c r="F309" s="4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spans="1:52" x14ac:dyDescent="0.25">
      <c r="A310" s="4"/>
      <c r="B310" s="4"/>
      <c r="C310" s="4"/>
      <c r="D310" s="4"/>
      <c r="E310" s="4"/>
      <c r="F310" s="4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1:52" x14ac:dyDescent="0.25">
      <c r="A311" s="4"/>
      <c r="B311" s="4"/>
      <c r="C311" s="4"/>
      <c r="D311" s="4"/>
      <c r="E311" s="4"/>
      <c r="F311" s="4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1:52" x14ac:dyDescent="0.25">
      <c r="A312" s="4"/>
      <c r="B312" s="4"/>
      <c r="C312" s="4"/>
      <c r="D312" s="4"/>
      <c r="E312" s="4"/>
      <c r="F312" s="4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1:52" x14ac:dyDescent="0.25">
      <c r="A313" s="4"/>
      <c r="B313" s="4"/>
      <c r="C313" s="4"/>
      <c r="D313" s="4"/>
      <c r="E313" s="4"/>
      <c r="F313" s="4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1:52" x14ac:dyDescent="0.25">
      <c r="A314" s="4"/>
      <c r="B314" s="4"/>
      <c r="C314" s="4"/>
      <c r="D314" s="4"/>
      <c r="E314" s="4"/>
      <c r="F314" s="4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1:52" x14ac:dyDescent="0.25">
      <c r="A315" s="4"/>
      <c r="B315" s="4"/>
      <c r="C315" s="4"/>
      <c r="D315" s="4"/>
      <c r="E315" s="4"/>
      <c r="F315" s="4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1:52" x14ac:dyDescent="0.25">
      <c r="A316" s="4"/>
      <c r="B316" s="4"/>
      <c r="C316" s="4"/>
      <c r="D316" s="4"/>
      <c r="E316" s="4"/>
      <c r="F316" s="4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1:52" x14ac:dyDescent="0.25">
      <c r="A317" s="4"/>
      <c r="B317" s="4"/>
      <c r="C317" s="4"/>
      <c r="D317" s="4"/>
      <c r="E317" s="4"/>
      <c r="F317" s="4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1:52" x14ac:dyDescent="0.25">
      <c r="A318" s="4"/>
      <c r="B318" s="4"/>
      <c r="C318" s="4"/>
      <c r="D318" s="4"/>
      <c r="E318" s="4"/>
      <c r="F318" s="4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1:52" x14ac:dyDescent="0.25">
      <c r="A319" s="4"/>
      <c r="B319" s="4"/>
      <c r="C319" s="4"/>
      <c r="D319" s="4"/>
      <c r="E319" s="4"/>
      <c r="F319" s="4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1:52" x14ac:dyDescent="0.25">
      <c r="A320" s="4"/>
      <c r="B320" s="4"/>
      <c r="C320" s="4"/>
      <c r="D320" s="4"/>
      <c r="E320" s="4"/>
      <c r="F320" s="4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1:52" x14ac:dyDescent="0.25">
      <c r="A321" s="4"/>
      <c r="B321" s="4"/>
      <c r="C321" s="4"/>
      <c r="D321" s="4"/>
      <c r="E321" s="4"/>
      <c r="F321" s="4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1:52" x14ac:dyDescent="0.25">
      <c r="A322" s="4"/>
      <c r="B322" s="4"/>
      <c r="C322" s="4"/>
      <c r="D322" s="4"/>
      <c r="E322" s="4"/>
      <c r="F322" s="4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1:52" x14ac:dyDescent="0.25">
      <c r="A323" s="4"/>
      <c r="B323" s="4"/>
      <c r="C323" s="4"/>
      <c r="D323" s="4"/>
      <c r="E323" s="4"/>
      <c r="F323" s="4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1:52" x14ac:dyDescent="0.25">
      <c r="A324" s="4"/>
      <c r="B324" s="4"/>
      <c r="C324" s="4"/>
      <c r="D324" s="4"/>
      <c r="E324" s="4"/>
      <c r="F324" s="4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1:52" x14ac:dyDescent="0.25">
      <c r="A325" s="4"/>
      <c r="B325" s="4"/>
      <c r="C325" s="4"/>
      <c r="D325" s="4"/>
      <c r="E325" s="4"/>
      <c r="F325" s="4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1:52" x14ac:dyDescent="0.25">
      <c r="A326" s="4"/>
      <c r="B326" s="4"/>
      <c r="C326" s="4"/>
      <c r="D326" s="4"/>
      <c r="E326" s="4"/>
      <c r="F326" s="4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1:52" x14ac:dyDescent="0.25">
      <c r="A327" s="4"/>
      <c r="B327" s="4"/>
      <c r="C327" s="4"/>
      <c r="D327" s="4"/>
      <c r="E327" s="4"/>
      <c r="F327" s="4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1:52" x14ac:dyDescent="0.25">
      <c r="A328" s="4"/>
      <c r="B328" s="4"/>
      <c r="C328" s="4"/>
      <c r="D328" s="4"/>
      <c r="E328" s="4"/>
      <c r="F328" s="4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1:52" x14ac:dyDescent="0.25">
      <c r="A329" s="4"/>
      <c r="B329" s="4"/>
      <c r="C329" s="4"/>
      <c r="D329" s="4"/>
      <c r="E329" s="4"/>
      <c r="F329" s="4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1:52" x14ac:dyDescent="0.25">
      <c r="A330" s="4"/>
      <c r="B330" s="4"/>
      <c r="C330" s="4"/>
      <c r="D330" s="4"/>
      <c r="E330" s="4"/>
      <c r="F330" s="4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1:52" x14ac:dyDescent="0.25">
      <c r="A331" s="4"/>
      <c r="B331" s="4"/>
      <c r="C331" s="4"/>
      <c r="D331" s="4"/>
      <c r="E331" s="4"/>
      <c r="F331" s="4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1:52" x14ac:dyDescent="0.25">
      <c r="A332" s="4"/>
      <c r="B332" s="4"/>
      <c r="C332" s="4"/>
      <c r="D332" s="4"/>
      <c r="E332" s="4"/>
      <c r="F332" s="4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1:52" x14ac:dyDescent="0.25">
      <c r="A333" s="4"/>
      <c r="B333" s="4"/>
      <c r="C333" s="4"/>
      <c r="D333" s="4"/>
      <c r="E333" s="4"/>
      <c r="F333" s="4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1:52" x14ac:dyDescent="0.25">
      <c r="A334" s="4"/>
      <c r="B334" s="4"/>
      <c r="C334" s="4"/>
      <c r="D334" s="4"/>
      <c r="E334" s="4"/>
      <c r="F334" s="4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1:52" x14ac:dyDescent="0.25">
      <c r="A335" s="4"/>
      <c r="B335" s="4"/>
      <c r="C335" s="4"/>
      <c r="D335" s="4"/>
      <c r="E335" s="4"/>
      <c r="F335" s="4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1:52" x14ac:dyDescent="0.25">
      <c r="A336" s="4"/>
      <c r="B336" s="4"/>
      <c r="C336" s="4"/>
      <c r="D336" s="4"/>
      <c r="E336" s="4"/>
      <c r="F336" s="4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1:52" x14ac:dyDescent="0.25">
      <c r="A337" s="4"/>
      <c r="B337" s="4"/>
      <c r="C337" s="4"/>
      <c r="D337" s="4"/>
      <c r="E337" s="4"/>
      <c r="F337" s="4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1:52" x14ac:dyDescent="0.25">
      <c r="A338" s="4"/>
      <c r="B338" s="4"/>
      <c r="C338" s="4"/>
      <c r="D338" s="4"/>
      <c r="E338" s="4"/>
      <c r="F338" s="4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spans="1:52" x14ac:dyDescent="0.25">
      <c r="A339" s="4"/>
      <c r="B339" s="4"/>
      <c r="C339" s="4"/>
      <c r="D339" s="4"/>
      <c r="E339" s="4"/>
      <c r="F339" s="4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spans="1:52" x14ac:dyDescent="0.25">
      <c r="A340" s="4"/>
      <c r="B340" s="4"/>
      <c r="C340" s="4"/>
      <c r="D340" s="4"/>
      <c r="E340" s="4"/>
      <c r="F340" s="4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spans="1:52" x14ac:dyDescent="0.25">
      <c r="A341" s="4"/>
      <c r="B341" s="4"/>
      <c r="C341" s="4"/>
      <c r="D341" s="4"/>
      <c r="E341" s="4"/>
      <c r="F341" s="4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spans="1:52" x14ac:dyDescent="0.25">
      <c r="A342" s="4"/>
      <c r="B342" s="4"/>
      <c r="C342" s="4"/>
      <c r="D342" s="4"/>
      <c r="E342" s="4"/>
      <c r="F342" s="4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spans="1:52" x14ac:dyDescent="0.25">
      <c r="A343" s="4"/>
      <c r="B343" s="4"/>
      <c r="C343" s="4"/>
      <c r="D343" s="4"/>
      <c r="E343" s="4"/>
      <c r="F343" s="4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spans="1:52" x14ac:dyDescent="0.25">
      <c r="A344" s="4"/>
      <c r="B344" s="4"/>
      <c r="C344" s="4"/>
      <c r="D344" s="4"/>
      <c r="E344" s="4"/>
      <c r="F344" s="4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spans="1:52" x14ac:dyDescent="0.25">
      <c r="A345" s="4"/>
      <c r="B345" s="4"/>
      <c r="C345" s="4"/>
      <c r="D345" s="4"/>
      <c r="E345" s="4"/>
      <c r="F345" s="4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spans="1:52" x14ac:dyDescent="0.25">
      <c r="A346" s="4"/>
      <c r="B346" s="4"/>
      <c r="C346" s="4"/>
      <c r="D346" s="4"/>
      <c r="E346" s="4"/>
      <c r="F346" s="4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spans="1:52" x14ac:dyDescent="0.25">
      <c r="A347" s="4"/>
      <c r="B347" s="4"/>
      <c r="C347" s="4"/>
      <c r="D347" s="4"/>
      <c r="E347" s="4"/>
      <c r="F347" s="4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spans="1:52" x14ac:dyDescent="0.25">
      <c r="A348" s="4"/>
      <c r="B348" s="4"/>
      <c r="C348" s="4"/>
      <c r="D348" s="4"/>
      <c r="E348" s="4"/>
      <c r="F348" s="4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spans="1:52" x14ac:dyDescent="0.25">
      <c r="A349" s="4"/>
      <c r="B349" s="4"/>
      <c r="C349" s="4"/>
      <c r="D349" s="4"/>
      <c r="E349" s="4"/>
      <c r="F349" s="4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spans="1:52" x14ac:dyDescent="0.25">
      <c r="A350" s="4"/>
      <c r="B350" s="4"/>
      <c r="C350" s="4"/>
      <c r="D350" s="4"/>
      <c r="E350" s="4"/>
      <c r="F350" s="4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spans="1:52" x14ac:dyDescent="0.25">
      <c r="A351" s="4"/>
      <c r="B351" s="4"/>
      <c r="C351" s="4"/>
      <c r="D351" s="4"/>
      <c r="E351" s="4"/>
      <c r="F351" s="4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spans="1:52" x14ac:dyDescent="0.25">
      <c r="A352" s="4"/>
      <c r="B352" s="4"/>
      <c r="C352" s="4"/>
      <c r="D352" s="4"/>
      <c r="E352" s="4"/>
      <c r="F352" s="4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spans="1:52" x14ac:dyDescent="0.25">
      <c r="A353" s="4"/>
      <c r="B353" s="4"/>
      <c r="C353" s="4"/>
      <c r="D353" s="4"/>
      <c r="E353" s="4"/>
      <c r="F353" s="4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spans="1:52" x14ac:dyDescent="0.25">
      <c r="A354" s="4"/>
      <c r="B354" s="4"/>
      <c r="C354" s="4"/>
      <c r="D354" s="4"/>
      <c r="E354" s="4"/>
      <c r="F354" s="4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spans="1:52" x14ac:dyDescent="0.25">
      <c r="A355" s="4"/>
      <c r="B355" s="4"/>
      <c r="C355" s="4"/>
      <c r="D355" s="4"/>
      <c r="E355" s="4"/>
      <c r="F355" s="4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spans="1:52" x14ac:dyDescent="0.25">
      <c r="A356" s="4"/>
      <c r="B356" s="4"/>
      <c r="C356" s="4"/>
      <c r="D356" s="4"/>
      <c r="E356" s="4"/>
      <c r="F356" s="4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spans="1:52" x14ac:dyDescent="0.25">
      <c r="A357" s="4"/>
      <c r="B357" s="4"/>
      <c r="C357" s="4"/>
      <c r="D357" s="4"/>
      <c r="E357" s="4"/>
      <c r="F357" s="4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spans="1:52" x14ac:dyDescent="0.25">
      <c r="A358" s="4"/>
      <c r="B358" s="4"/>
      <c r="C358" s="4"/>
      <c r="D358" s="4"/>
      <c r="E358" s="4"/>
      <c r="F358" s="4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spans="1:52" x14ac:dyDescent="0.25">
      <c r="A359" s="4"/>
      <c r="B359" s="4"/>
      <c r="C359" s="4"/>
      <c r="D359" s="4"/>
      <c r="E359" s="4"/>
      <c r="F359" s="4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spans="1:52" x14ac:dyDescent="0.25">
      <c r="A360" s="4"/>
      <c r="B360" s="4"/>
      <c r="C360" s="4"/>
      <c r="D360" s="4"/>
      <c r="E360" s="4"/>
      <c r="F360" s="4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spans="1:52" x14ac:dyDescent="0.25">
      <c r="A361" s="4"/>
      <c r="B361" s="4"/>
      <c r="C361" s="4"/>
      <c r="D361" s="4"/>
      <c r="E361" s="4"/>
      <c r="F361" s="4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spans="1:52" x14ac:dyDescent="0.25">
      <c r="A362" s="4"/>
      <c r="B362" s="4"/>
      <c r="C362" s="4"/>
      <c r="D362" s="4"/>
      <c r="E362" s="4"/>
      <c r="F362" s="4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spans="1:52" x14ac:dyDescent="0.25">
      <c r="A363" s="4"/>
      <c r="B363" s="4"/>
      <c r="C363" s="4"/>
      <c r="D363" s="4"/>
      <c r="E363" s="4"/>
      <c r="F363" s="4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spans="1:52" x14ac:dyDescent="0.25">
      <c r="A364" s="4"/>
      <c r="B364" s="4"/>
      <c r="C364" s="4"/>
      <c r="D364" s="4"/>
      <c r="E364" s="4"/>
      <c r="F364" s="4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spans="1:52" x14ac:dyDescent="0.25">
      <c r="A365" s="4"/>
      <c r="B365" s="4"/>
      <c r="C365" s="4"/>
      <c r="D365" s="4"/>
      <c r="E365" s="4"/>
      <c r="F365" s="4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spans="1:52" x14ac:dyDescent="0.25">
      <c r="A366" s="4"/>
      <c r="B366" s="4"/>
      <c r="C366" s="4"/>
      <c r="D366" s="4"/>
      <c r="E366" s="4"/>
      <c r="F366" s="4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spans="1:52" x14ac:dyDescent="0.25">
      <c r="A367" s="4"/>
      <c r="B367" s="4"/>
      <c r="C367" s="4"/>
      <c r="D367" s="4"/>
      <c r="E367" s="4"/>
      <c r="F367" s="4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spans="1:52" x14ac:dyDescent="0.25">
      <c r="A368" s="4"/>
      <c r="B368" s="4"/>
      <c r="C368" s="4"/>
      <c r="D368" s="4"/>
      <c r="E368" s="4"/>
      <c r="F368" s="4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spans="1:52" x14ac:dyDescent="0.25">
      <c r="A369" s="4"/>
      <c r="B369" s="4"/>
      <c r="C369" s="4"/>
      <c r="D369" s="4"/>
      <c r="E369" s="4"/>
      <c r="F369" s="4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spans="1:52" x14ac:dyDescent="0.25">
      <c r="A370" s="4"/>
      <c r="B370" s="4"/>
      <c r="C370" s="4"/>
      <c r="D370" s="4"/>
      <c r="E370" s="4"/>
      <c r="F370" s="4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spans="1:52" x14ac:dyDescent="0.25">
      <c r="A371" s="4"/>
      <c r="B371" s="4"/>
      <c r="C371" s="4"/>
      <c r="D371" s="4"/>
      <c r="E371" s="4"/>
      <c r="F371" s="4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spans="1:52" x14ac:dyDescent="0.25">
      <c r="A372" s="4"/>
      <c r="B372" s="4"/>
      <c r="C372" s="4"/>
      <c r="D372" s="4"/>
      <c r="E372" s="4"/>
      <c r="F372" s="4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spans="1:52" x14ac:dyDescent="0.25">
      <c r="A373" s="4"/>
      <c r="B373" s="4"/>
      <c r="C373" s="4"/>
      <c r="D373" s="4"/>
      <c r="E373" s="4"/>
      <c r="F373" s="4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spans="1:52" x14ac:dyDescent="0.25">
      <c r="A374" s="4"/>
      <c r="B374" s="4"/>
      <c r="C374" s="4"/>
      <c r="D374" s="4"/>
      <c r="E374" s="4"/>
      <c r="F374" s="4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spans="1:52" x14ac:dyDescent="0.25">
      <c r="A375" s="4"/>
      <c r="B375" s="4"/>
      <c r="C375" s="4"/>
      <c r="D375" s="4"/>
      <c r="E375" s="4"/>
      <c r="F375" s="4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spans="1:52" x14ac:dyDescent="0.25">
      <c r="A376" s="4"/>
      <c r="B376" s="4"/>
      <c r="C376" s="4"/>
      <c r="D376" s="4"/>
      <c r="E376" s="4"/>
      <c r="F376" s="4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spans="1:52" x14ac:dyDescent="0.25">
      <c r="A377" s="4"/>
      <c r="B377" s="4"/>
      <c r="C377" s="4"/>
      <c r="D377" s="4"/>
      <c r="E377" s="4"/>
      <c r="F377" s="4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spans="1:52" x14ac:dyDescent="0.25">
      <c r="A378" s="4"/>
      <c r="B378" s="4"/>
      <c r="C378" s="4"/>
      <c r="D378" s="4"/>
      <c r="E378" s="4"/>
      <c r="F378" s="4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spans="1:52" x14ac:dyDescent="0.25">
      <c r="A379" s="4"/>
      <c r="B379" s="4"/>
      <c r="C379" s="4"/>
      <c r="D379" s="4"/>
      <c r="E379" s="4"/>
      <c r="F379" s="4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spans="1:52" x14ac:dyDescent="0.25">
      <c r="A380" s="4"/>
      <c r="B380" s="4"/>
      <c r="C380" s="4"/>
      <c r="D380" s="4"/>
      <c r="E380" s="4"/>
      <c r="F380" s="4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spans="1:52" x14ac:dyDescent="0.25">
      <c r="A381" s="4"/>
      <c r="B381" s="4"/>
      <c r="C381" s="4"/>
      <c r="D381" s="4"/>
      <c r="E381" s="4"/>
      <c r="F381" s="4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spans="1:52" x14ac:dyDescent="0.25">
      <c r="A382" s="4"/>
      <c r="B382" s="4"/>
      <c r="C382" s="4"/>
      <c r="D382" s="4"/>
      <c r="E382" s="4"/>
      <c r="F382" s="4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spans="1:52" x14ac:dyDescent="0.25">
      <c r="A383" s="4"/>
      <c r="B383" s="4"/>
      <c r="C383" s="4"/>
      <c r="D383" s="4"/>
      <c r="E383" s="4"/>
      <c r="F383" s="4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spans="1:52" x14ac:dyDescent="0.25">
      <c r="A384" s="4"/>
      <c r="B384" s="4"/>
      <c r="C384" s="4"/>
      <c r="D384" s="4"/>
      <c r="E384" s="4"/>
      <c r="F384" s="4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spans="1:52" x14ac:dyDescent="0.25">
      <c r="A385" s="4"/>
      <c r="B385" s="4"/>
      <c r="C385" s="4"/>
      <c r="D385" s="4"/>
      <c r="E385" s="4"/>
      <c r="F385" s="4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spans="1:52" x14ac:dyDescent="0.25">
      <c r="A386" s="4"/>
      <c r="B386" s="4"/>
      <c r="C386" s="4"/>
      <c r="D386" s="4"/>
      <c r="E386" s="4"/>
      <c r="F386" s="4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spans="1:52" x14ac:dyDescent="0.25">
      <c r="A387" s="4"/>
      <c r="B387" s="4"/>
      <c r="C387" s="4"/>
      <c r="D387" s="4"/>
      <c r="E387" s="4"/>
      <c r="F387" s="4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spans="1:52" x14ac:dyDescent="0.25">
      <c r="A388" s="4"/>
      <c r="B388" s="4"/>
      <c r="C388" s="4"/>
      <c r="D388" s="4"/>
      <c r="E388" s="4"/>
      <c r="F388" s="4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spans="1:52" x14ac:dyDescent="0.25">
      <c r="A389" s="4"/>
      <c r="B389" s="4"/>
      <c r="C389" s="4"/>
      <c r="D389" s="4"/>
      <c r="E389" s="4"/>
      <c r="F389" s="4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spans="1:52" x14ac:dyDescent="0.25">
      <c r="A390" s="4"/>
      <c r="B390" s="4"/>
      <c r="C390" s="4"/>
      <c r="D390" s="4"/>
      <c r="E390" s="4"/>
      <c r="F390" s="4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spans="1:52" x14ac:dyDescent="0.25">
      <c r="A391" s="4"/>
      <c r="B391" s="4"/>
      <c r="C391" s="4"/>
      <c r="D391" s="4"/>
      <c r="E391" s="4"/>
      <c r="F391" s="4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spans="1:52" x14ac:dyDescent="0.25">
      <c r="A392" s="4"/>
      <c r="B392" s="4"/>
      <c r="C392" s="4"/>
      <c r="D392" s="4"/>
      <c r="E392" s="4"/>
      <c r="F392" s="4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spans="1:52" x14ac:dyDescent="0.25">
      <c r="A393" s="4"/>
      <c r="B393" s="4"/>
      <c r="C393" s="4"/>
      <c r="D393" s="4"/>
      <c r="E393" s="4"/>
      <c r="F393" s="4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spans="1:52" x14ac:dyDescent="0.25">
      <c r="A394" s="4"/>
      <c r="B394" s="4"/>
      <c r="C394" s="4"/>
      <c r="D394" s="4"/>
      <c r="E394" s="4"/>
      <c r="F394" s="4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spans="1:52" x14ac:dyDescent="0.25">
      <c r="A395" s="4"/>
      <c r="B395" s="4"/>
      <c r="C395" s="4"/>
      <c r="D395" s="4"/>
      <c r="E395" s="4"/>
      <c r="F395" s="4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spans="1:52" x14ac:dyDescent="0.25">
      <c r="A396" s="4"/>
      <c r="B396" s="4"/>
      <c r="C396" s="4"/>
      <c r="D396" s="4"/>
      <c r="E396" s="4"/>
      <c r="F396" s="4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spans="1:52" x14ac:dyDescent="0.25">
      <c r="A397" s="4"/>
      <c r="B397" s="4"/>
      <c r="C397" s="4"/>
      <c r="D397" s="4"/>
      <c r="E397" s="4"/>
      <c r="F397" s="4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spans="1:52" x14ac:dyDescent="0.25">
      <c r="A398" s="4"/>
      <c r="B398" s="4"/>
      <c r="C398" s="4"/>
      <c r="D398" s="4"/>
      <c r="E398" s="4"/>
      <c r="F398" s="4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spans="1:52" x14ac:dyDescent="0.25">
      <c r="A399" s="4"/>
      <c r="B399" s="4"/>
      <c r="C399" s="4"/>
      <c r="D399" s="4"/>
      <c r="E399" s="4"/>
      <c r="F399" s="4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spans="1:52" x14ac:dyDescent="0.25">
      <c r="A400" s="4"/>
      <c r="B400" s="4"/>
      <c r="C400" s="4"/>
      <c r="D400" s="4"/>
      <c r="E400" s="4"/>
      <c r="F400" s="4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spans="1:52" x14ac:dyDescent="0.25">
      <c r="A401" s="4"/>
      <c r="B401" s="4"/>
      <c r="C401" s="4"/>
      <c r="D401" s="4"/>
      <c r="E401" s="4"/>
      <c r="F401" s="4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spans="1:52" x14ac:dyDescent="0.25">
      <c r="A402" s="4"/>
      <c r="B402" s="4"/>
      <c r="C402" s="4"/>
      <c r="D402" s="4"/>
      <c r="E402" s="4"/>
      <c r="F402" s="4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spans="1:52" x14ac:dyDescent="0.25">
      <c r="A403" s="4"/>
      <c r="B403" s="4"/>
      <c r="C403" s="4"/>
      <c r="D403" s="4"/>
      <c r="E403" s="4"/>
      <c r="F403" s="4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spans="1:52" x14ac:dyDescent="0.25">
      <c r="A404" s="4"/>
      <c r="B404" s="4"/>
      <c r="C404" s="4"/>
      <c r="D404" s="4"/>
      <c r="E404" s="4"/>
      <c r="F404" s="4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spans="1:52" x14ac:dyDescent="0.25">
      <c r="A405" s="4"/>
      <c r="B405" s="4"/>
      <c r="C405" s="4"/>
      <c r="D405" s="4"/>
      <c r="E405" s="4"/>
      <c r="F405" s="4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spans="1:52" x14ac:dyDescent="0.25">
      <c r="A406" s="4"/>
      <c r="B406" s="4"/>
      <c r="C406" s="4"/>
      <c r="D406" s="4"/>
      <c r="E406" s="4"/>
      <c r="F406" s="4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spans="1:52" x14ac:dyDescent="0.25">
      <c r="A407" s="4"/>
      <c r="B407" s="4"/>
      <c r="C407" s="4"/>
      <c r="D407" s="4"/>
      <c r="E407" s="4"/>
      <c r="F407" s="4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spans="1:52" x14ac:dyDescent="0.25">
      <c r="A408" s="4"/>
      <c r="B408" s="4"/>
      <c r="C408" s="4"/>
      <c r="D408" s="4"/>
      <c r="E408" s="4"/>
      <c r="F408" s="4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spans="1:52" x14ac:dyDescent="0.25">
      <c r="A409" s="4"/>
      <c r="B409" s="4"/>
      <c r="C409" s="4"/>
      <c r="D409" s="4"/>
      <c r="E409" s="4"/>
      <c r="F409" s="4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spans="1:52" x14ac:dyDescent="0.25">
      <c r="A410" s="4"/>
      <c r="B410" s="4"/>
      <c r="C410" s="4"/>
      <c r="D410" s="4"/>
      <c r="E410" s="4"/>
      <c r="F410" s="4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spans="1:52" x14ac:dyDescent="0.25">
      <c r="A411" s="4"/>
      <c r="B411" s="4"/>
      <c r="C411" s="4"/>
      <c r="D411" s="4"/>
      <c r="E411" s="4"/>
      <c r="F411" s="4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spans="1:52" x14ac:dyDescent="0.25">
      <c r="A412" s="4"/>
      <c r="B412" s="4"/>
      <c r="C412" s="4"/>
      <c r="D412" s="4"/>
      <c r="E412" s="4"/>
      <c r="F412" s="4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spans="1:52" x14ac:dyDescent="0.25">
      <c r="A413" s="4"/>
      <c r="B413" s="4"/>
      <c r="C413" s="4"/>
      <c r="D413" s="4"/>
      <c r="E413" s="4"/>
      <c r="F413" s="4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spans="1:52" x14ac:dyDescent="0.25">
      <c r="A414" s="4"/>
      <c r="B414" s="4"/>
      <c r="C414" s="4"/>
      <c r="D414" s="4"/>
      <c r="E414" s="4"/>
      <c r="F414" s="4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spans="1:52" x14ac:dyDescent="0.25">
      <c r="A415" s="4"/>
      <c r="B415" s="4"/>
      <c r="C415" s="4"/>
      <c r="D415" s="4"/>
      <c r="E415" s="4"/>
      <c r="F415" s="4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spans="1:52" x14ac:dyDescent="0.25">
      <c r="A416" s="4"/>
      <c r="B416" s="4"/>
      <c r="C416" s="4"/>
      <c r="D416" s="4"/>
      <c r="E416" s="4"/>
      <c r="F416" s="4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spans="1:52" x14ac:dyDescent="0.25">
      <c r="A417" s="4"/>
      <c r="B417" s="4"/>
      <c r="C417" s="4"/>
      <c r="D417" s="4"/>
      <c r="E417" s="4"/>
      <c r="F417" s="4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spans="1:52" x14ac:dyDescent="0.25">
      <c r="A418" s="4"/>
      <c r="B418" s="4"/>
      <c r="C418" s="4"/>
      <c r="D418" s="4"/>
      <c r="E418" s="4"/>
      <c r="F418" s="4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spans="1:52" x14ac:dyDescent="0.25">
      <c r="A419" s="4"/>
      <c r="B419" s="4"/>
      <c r="C419" s="4"/>
      <c r="D419" s="4"/>
      <c r="E419" s="4"/>
      <c r="F419" s="4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spans="1:52" x14ac:dyDescent="0.25">
      <c r="A420" s="4"/>
      <c r="B420" s="4"/>
      <c r="C420" s="4"/>
      <c r="D420" s="4"/>
      <c r="E420" s="4"/>
      <c r="F420" s="4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spans="1:52" x14ac:dyDescent="0.25">
      <c r="A421" s="4"/>
      <c r="B421" s="4"/>
      <c r="C421" s="4"/>
      <c r="D421" s="4"/>
      <c r="E421" s="4"/>
      <c r="F421" s="4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spans="1:52" x14ac:dyDescent="0.25">
      <c r="A422" s="4"/>
      <c r="B422" s="4"/>
      <c r="C422" s="4"/>
      <c r="D422" s="4"/>
      <c r="E422" s="4"/>
      <c r="F422" s="4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spans="1:52" x14ac:dyDescent="0.25">
      <c r="A423" s="4"/>
      <c r="B423" s="4"/>
      <c r="C423" s="4"/>
      <c r="D423" s="4"/>
      <c r="E423" s="4"/>
      <c r="F423" s="4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spans="1:52" x14ac:dyDescent="0.25">
      <c r="A424" s="4"/>
      <c r="B424" s="4"/>
      <c r="C424" s="4"/>
      <c r="D424" s="4"/>
      <c r="E424" s="4"/>
      <c r="F424" s="4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spans="1:52" x14ac:dyDescent="0.25">
      <c r="A425" s="4"/>
      <c r="B425" s="4"/>
      <c r="C425" s="4"/>
      <c r="D425" s="4"/>
      <c r="E425" s="4"/>
      <c r="F425" s="4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spans="1:52" x14ac:dyDescent="0.25">
      <c r="A426" s="4"/>
      <c r="B426" s="4"/>
      <c r="C426" s="4"/>
      <c r="D426" s="4"/>
      <c r="E426" s="4"/>
      <c r="F426" s="4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spans="1:52" x14ac:dyDescent="0.25">
      <c r="A427" s="4"/>
      <c r="B427" s="4"/>
      <c r="C427" s="4"/>
      <c r="D427" s="4"/>
      <c r="E427" s="4"/>
      <c r="F427" s="4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spans="1:52" x14ac:dyDescent="0.25">
      <c r="A428" s="4"/>
      <c r="B428" s="4"/>
      <c r="C428" s="4"/>
      <c r="D428" s="4"/>
      <c r="E428" s="4"/>
      <c r="F428" s="4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spans="1:52" x14ac:dyDescent="0.25">
      <c r="A429" s="4"/>
      <c r="B429" s="4"/>
      <c r="C429" s="4"/>
      <c r="D429" s="4"/>
      <c r="E429" s="4"/>
      <c r="F429" s="4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spans="1:52" x14ac:dyDescent="0.25">
      <c r="A430" s="4"/>
      <c r="B430" s="4"/>
      <c r="C430" s="4"/>
      <c r="D430" s="4"/>
      <c r="E430" s="4"/>
      <c r="F430" s="4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spans="1:52" x14ac:dyDescent="0.25">
      <c r="A431" s="4"/>
      <c r="B431" s="4"/>
      <c r="C431" s="4"/>
      <c r="D431" s="4"/>
      <c r="E431" s="4"/>
      <c r="F431" s="4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spans="1:52" x14ac:dyDescent="0.25">
      <c r="A432" s="4"/>
      <c r="B432" s="4"/>
      <c r="C432" s="4"/>
      <c r="D432" s="4"/>
      <c r="E432" s="4"/>
      <c r="F432" s="4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spans="1:52" x14ac:dyDescent="0.25">
      <c r="A433" s="4"/>
      <c r="B433" s="4"/>
      <c r="C433" s="4"/>
      <c r="D433" s="4"/>
      <c r="E433" s="4"/>
      <c r="F433" s="4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spans="1:52" x14ac:dyDescent="0.25">
      <c r="A434" s="4"/>
      <c r="B434" s="4"/>
      <c r="C434" s="4"/>
      <c r="D434" s="4"/>
      <c r="E434" s="4"/>
      <c r="F434" s="4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spans="1:52" x14ac:dyDescent="0.25">
      <c r="A435" s="4"/>
      <c r="B435" s="4"/>
      <c r="C435" s="4"/>
      <c r="D435" s="4"/>
      <c r="E435" s="4"/>
      <c r="F435" s="4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spans="1:52" x14ac:dyDescent="0.25">
      <c r="A436" s="4"/>
      <c r="B436" s="4"/>
      <c r="C436" s="4"/>
      <c r="D436" s="4"/>
      <c r="E436" s="4"/>
      <c r="F436" s="4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spans="1:52" x14ac:dyDescent="0.25">
      <c r="A437" s="4"/>
      <c r="B437" s="4"/>
      <c r="C437" s="4"/>
      <c r="D437" s="4"/>
      <c r="E437" s="4"/>
      <c r="F437" s="4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spans="1:52" x14ac:dyDescent="0.25">
      <c r="A438" s="4"/>
      <c r="B438" s="4"/>
      <c r="C438" s="4"/>
      <c r="D438" s="4"/>
      <c r="E438" s="4"/>
      <c r="F438" s="4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spans="1:52" x14ac:dyDescent="0.25">
      <c r="A439" s="4"/>
      <c r="B439" s="4"/>
      <c r="C439" s="4"/>
      <c r="D439" s="4"/>
      <c r="E439" s="4"/>
      <c r="F439" s="4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spans="1:52" x14ac:dyDescent="0.25">
      <c r="A440" s="4"/>
      <c r="B440" s="4"/>
      <c r="C440" s="4"/>
      <c r="D440" s="4"/>
      <c r="E440" s="4"/>
      <c r="F440" s="4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spans="1:52" x14ac:dyDescent="0.25">
      <c r="A441" s="4"/>
      <c r="B441" s="4"/>
      <c r="C441" s="4"/>
      <c r="D441" s="4"/>
      <c r="E441" s="4"/>
      <c r="F441" s="4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spans="1:52" x14ac:dyDescent="0.25">
      <c r="A442" s="4"/>
      <c r="B442" s="4"/>
      <c r="C442" s="4"/>
      <c r="D442" s="4"/>
      <c r="E442" s="4"/>
      <c r="F442" s="4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spans="1:52" x14ac:dyDescent="0.25">
      <c r="A443" s="4"/>
      <c r="B443" s="4"/>
      <c r="C443" s="4"/>
      <c r="D443" s="4"/>
      <c r="E443" s="4"/>
      <c r="F443" s="4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spans="1:52" x14ac:dyDescent="0.25">
      <c r="A444" s="4"/>
      <c r="B444" s="4"/>
      <c r="C444" s="4"/>
      <c r="D444" s="4"/>
      <c r="E444" s="4"/>
      <c r="F444" s="4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spans="1:52" x14ac:dyDescent="0.25">
      <c r="A445" s="4"/>
      <c r="B445" s="4"/>
      <c r="C445" s="4"/>
      <c r="D445" s="4"/>
      <c r="E445" s="4"/>
      <c r="F445" s="4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spans="1:52" x14ac:dyDescent="0.25">
      <c r="A446" s="4"/>
      <c r="B446" s="4"/>
      <c r="C446" s="4"/>
      <c r="D446" s="4"/>
      <c r="E446" s="4"/>
      <c r="F446" s="4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spans="1:52" x14ac:dyDescent="0.25">
      <c r="A447" s="4"/>
      <c r="B447" s="4"/>
      <c r="C447" s="4"/>
      <c r="D447" s="4"/>
      <c r="E447" s="4"/>
      <c r="F447" s="4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spans="1:52" x14ac:dyDescent="0.25">
      <c r="A448" s="4"/>
      <c r="B448" s="4"/>
      <c r="C448" s="4"/>
      <c r="D448" s="4"/>
      <c r="E448" s="4"/>
      <c r="F448" s="4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</sheetData>
  <autoFilter ref="A3:AG42" xr:uid="{A8FB90AC-6159-4859-A272-868154265F4B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CC7C-C140-4273-8A9F-B1EF4EBD5790}">
  <dimension ref="A1:B1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192</v>
      </c>
    </row>
    <row r="2" spans="1:2" x14ac:dyDescent="0.25">
      <c r="A2" t="s">
        <v>38</v>
      </c>
      <c r="B2">
        <v>192</v>
      </c>
    </row>
    <row r="3" spans="1:2" x14ac:dyDescent="0.25">
      <c r="A3" t="s">
        <v>48</v>
      </c>
      <c r="B3">
        <v>30</v>
      </c>
    </row>
    <row r="4" spans="1:2" x14ac:dyDescent="0.25">
      <c r="A4" t="s">
        <v>50</v>
      </c>
      <c r="B4">
        <v>128</v>
      </c>
    </row>
    <row r="5" spans="1:2" x14ac:dyDescent="0.25">
      <c r="A5" t="s">
        <v>56</v>
      </c>
      <c r="B5">
        <v>70</v>
      </c>
    </row>
    <row r="6" spans="1:2" x14ac:dyDescent="0.25">
      <c r="A6" t="s">
        <v>65</v>
      </c>
      <c r="B6">
        <v>16</v>
      </c>
    </row>
    <row r="7" spans="1:2" x14ac:dyDescent="0.25">
      <c r="A7" t="s">
        <v>73</v>
      </c>
      <c r="B7">
        <v>192</v>
      </c>
    </row>
    <row r="8" spans="1:2" x14ac:dyDescent="0.25">
      <c r="A8" t="s">
        <v>74</v>
      </c>
      <c r="B8">
        <v>192</v>
      </c>
    </row>
    <row r="9" spans="1:2" x14ac:dyDescent="0.25">
      <c r="A9" t="s">
        <v>75</v>
      </c>
      <c r="B9">
        <v>66</v>
      </c>
    </row>
    <row r="10" spans="1:2" x14ac:dyDescent="0.25">
      <c r="A10" t="s">
        <v>80</v>
      </c>
      <c r="B10">
        <v>432</v>
      </c>
    </row>
    <row r="11" spans="1:2" x14ac:dyDescent="0.25">
      <c r="A11" t="s">
        <v>81</v>
      </c>
      <c r="B11">
        <v>216</v>
      </c>
    </row>
    <row r="12" spans="1:2" x14ac:dyDescent="0.25">
      <c r="A12" t="s">
        <v>87</v>
      </c>
      <c r="B12">
        <v>30</v>
      </c>
    </row>
    <row r="13" spans="1:2" x14ac:dyDescent="0.25">
      <c r="A13" t="s">
        <v>94</v>
      </c>
      <c r="B1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2025-11-03T09:35:16Z</dcterms:created>
  <dcterms:modified xsi:type="dcterms:W3CDTF">2025-11-05T10:39:01Z</dcterms:modified>
</cp:coreProperties>
</file>