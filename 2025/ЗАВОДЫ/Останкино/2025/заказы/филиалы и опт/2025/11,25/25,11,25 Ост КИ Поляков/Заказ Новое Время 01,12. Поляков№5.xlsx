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Бланк!$AC$3:$AC$580</definedName>
    <definedName name="номин.вес_нетто__кг">Бланк!$W$3:$W$580</definedName>
    <definedName name="_xlnm._FilterDatabase" localSheetId="0" hidden="1">'Бланк'!$A$9:$K$144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8" borderId="0" applyAlignment="1" pivotButton="0" quotePrefix="0" xfId="0">
      <alignment vertical="center"/>
    </xf>
    <xf numFmtId="0" fontId="9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vertical="center"/>
    </xf>
    <xf numFmtId="0" fontId="12" fillId="9" borderId="7" applyAlignment="1" pivotButton="0" quotePrefix="0" xfId="0">
      <alignment horizontal="center" vertical="center"/>
    </xf>
    <xf numFmtId="1" fontId="9" fillId="9" borderId="0" applyAlignment="1" pivotButton="0" quotePrefix="0" xfId="0">
      <alignment horizontal="center" vertical="center"/>
    </xf>
    <xf numFmtId="0" fontId="21" fillId="9" borderId="0" pivotButton="0" quotePrefix="0" xfId="0"/>
    <xf numFmtId="0" fontId="9" fillId="9" borderId="0" applyAlignment="1" pivotButton="0" quotePrefix="0" xfId="0">
      <alignment horizontal="left" vertical="center"/>
    </xf>
    <xf numFmtId="49" fontId="9" fillId="10" borderId="0" applyAlignment="1" pivotButton="0" quotePrefix="0" xfId="0">
      <alignment horizontal="left" vertical="center"/>
    </xf>
    <xf numFmtId="1" fontId="9" fillId="9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1" borderId="0" applyAlignment="1" pivotButton="0" quotePrefix="0" xfId="0">
      <alignment vertical="center"/>
    </xf>
    <xf numFmtId="0" fontId="12" fillId="11" borderId="7" applyAlignment="1" pivotButton="0" quotePrefix="0" xfId="0">
      <alignment horizontal="center" vertical="center"/>
    </xf>
    <xf numFmtId="1" fontId="9" fillId="11" borderId="0" applyAlignment="1" pivotButton="0" quotePrefix="0" xfId="0">
      <alignment horizontal="center" vertical="center"/>
    </xf>
    <xf numFmtId="2" fontId="7" fillId="11" borderId="4" applyAlignment="1" pivotButton="0" quotePrefix="0" xfId="0">
      <alignment horizontal="right"/>
    </xf>
    <xf numFmtId="0" fontId="7" fillId="11" borderId="4" applyAlignment="1" pivotButton="0" quotePrefix="0" xfId="0">
      <alignment horizontal="right"/>
    </xf>
    <xf numFmtId="0" fontId="0" fillId="11" borderId="0" pivotButton="0" quotePrefix="0" xfId="0"/>
    <xf numFmtId="2" fontId="0" fillId="11" borderId="8" applyAlignment="1" pivotButton="0" quotePrefix="0" xfId="0">
      <alignment vertical="top"/>
    </xf>
    <xf numFmtId="0" fontId="0" fillId="12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9" borderId="4" applyAlignment="1" pivotButton="0" quotePrefix="0" xfId="0">
      <alignment horizontal="right"/>
    </xf>
    <xf numFmtId="0" fontId="7" fillId="9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9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9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68"/>
  <sheetViews>
    <sheetView tabSelected="1" zoomScale="87" zoomScaleNormal="87" workbookViewId="0">
      <pane ySplit="9" topLeftCell="A141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3" t="inlineStr">
        <is>
          <t>ООО "НОВОЕ ВРЕМЯ"</t>
        </is>
      </c>
      <c r="F1" s="84" t="n"/>
      <c r="G1" s="84" t="n"/>
      <c r="H1" s="84" t="n"/>
      <c r="I1" s="84" t="n"/>
      <c r="J1" s="85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6" t="n">
        <v>45992</v>
      </c>
      <c r="E3" s="7" t="inlineStr">
        <is>
          <t xml:space="preserve">Доставка: </t>
        </is>
      </c>
      <c r="F3" s="86">
        <f>D3+3</f>
        <v/>
      </c>
      <c r="G3" s="86" t="n"/>
      <c r="H3" s="84" t="n"/>
      <c r="I3" s="84" t="n"/>
      <c r="J3" s="85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0" t="inlineStr">
        <is>
          <t>кратко</t>
        </is>
      </c>
      <c r="B9" s="48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1" t="n"/>
      <c r="B10" s="46" t="inlineStr">
        <is>
          <t>Вареные колбасы</t>
        </is>
      </c>
      <c r="C10" s="46" t="n"/>
      <c r="D10" s="46" t="n"/>
      <c r="E10" s="46" t="n"/>
      <c r="F10" s="45" t="n"/>
      <c r="G10" s="46" t="n"/>
      <c r="H10" s="46" t="n"/>
      <c r="I10" s="46" t="n"/>
      <c r="J10" s="47" t="n"/>
    </row>
    <row r="11" ht="16.5" customFormat="1" customHeight="1" s="15" thickTop="1">
      <c r="A11" s="59">
        <f>RIGHT(D11,4)</f>
        <v/>
      </c>
      <c r="B11" s="79" t="inlineStr">
        <is>
          <t>БАЛЫКОВАЯ Коровино п/к в/у 0.84кг 6шт.</t>
        </is>
      </c>
      <c r="C11" s="72" t="inlineStr">
        <is>
          <t>ШТ</t>
        </is>
      </c>
      <c r="D11" s="73" t="n">
        <v>1001303636415</v>
      </c>
      <c r="E11" s="24" t="n"/>
      <c r="F11" s="23" t="n">
        <v>0.84</v>
      </c>
      <c r="G11" s="23">
        <f>E11*F11</f>
        <v/>
      </c>
      <c r="H11" s="14" t="n">
        <v>5.04</v>
      </c>
      <c r="I11" s="14" t="n">
        <v>45</v>
      </c>
      <c r="J11" s="29" t="n"/>
      <c r="K11" s="27" t="n"/>
    </row>
    <row r="12" ht="16.5" customHeight="1">
      <c r="A12" s="59">
        <f>RIGHT(D12,4)</f>
        <v/>
      </c>
      <c r="B12" s="79" t="inlineStr">
        <is>
          <t>МЯСНАЯ Папа может вар п/о</t>
        </is>
      </c>
      <c r="C12" s="72" t="inlineStr">
        <is>
          <t>КГ</t>
        </is>
      </c>
      <c r="D12" s="73" t="n">
        <v>1001012484063</v>
      </c>
      <c r="E12" s="24" t="n">
        <v>460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59">
        <f>RIGHT(D13,4)</f>
        <v/>
      </c>
      <c r="B13" s="79" t="inlineStr">
        <is>
          <t>МЯСНАЯ Папа может вар п/о 0.4кг 8шт.</t>
        </is>
      </c>
      <c r="C13" s="72" t="inlineStr">
        <is>
          <t>ШТ</t>
        </is>
      </c>
      <c r="D13" s="73" t="n">
        <v>1001012486333</v>
      </c>
      <c r="E13" s="24" t="n"/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59">
        <f>RIGHT(D14,4)</f>
        <v/>
      </c>
      <c r="B14" s="79" t="inlineStr">
        <is>
          <t>ДОКТОРСКАЯ ГОСТ вар п/о_Л</t>
        </is>
      </c>
      <c r="C14" s="72" t="inlineStr">
        <is>
          <t>КГ</t>
        </is>
      </c>
      <c r="D14" s="73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59">
        <f>RIGHT(D15,4)</f>
        <v/>
      </c>
      <c r="B15" s="79" t="inlineStr">
        <is>
          <t>ДОКТОРСКАЯ ГОСТ вар б/о мгс</t>
        </is>
      </c>
      <c r="C15" s="72" t="inlineStr">
        <is>
          <t>КГ</t>
        </is>
      </c>
      <c r="D15" s="73" t="n">
        <v>1001010016978</v>
      </c>
      <c r="E15" s="24" t="n"/>
      <c r="F15" s="23" t="n"/>
      <c r="G15" s="23">
        <f>E15</f>
        <v/>
      </c>
      <c r="H15" s="14" t="n"/>
      <c r="I15" s="14" t="n"/>
      <c r="J15" s="29" t="n"/>
    </row>
    <row r="16" ht="16.5" customHeight="1">
      <c r="A16" s="59">
        <f>RIGHT(D16,4)</f>
        <v/>
      </c>
      <c r="B16" s="79" t="inlineStr">
        <is>
          <t>ДОКТОРСКАЯ ГОСТ Папа может вар п/о</t>
        </is>
      </c>
      <c r="C16" s="72" t="inlineStr">
        <is>
          <t>КГ</t>
        </is>
      </c>
      <c r="D16" s="73" t="n">
        <v>1001010014561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59">
        <f>RIGHT(D17,4)</f>
        <v/>
      </c>
      <c r="B17" s="79" t="inlineStr">
        <is>
          <t>МЯСНАЯ СО ШПИКОМ Папа может вар п/о</t>
        </is>
      </c>
      <c r="C17" s="72" t="inlineStr">
        <is>
          <t>КГ</t>
        </is>
      </c>
      <c r="D17" s="73" t="n">
        <v>1001012634574</v>
      </c>
      <c r="E17" s="24" t="n"/>
      <c r="F17" s="23" t="n">
        <v>1.35</v>
      </c>
      <c r="G17" s="23">
        <f>E17</f>
        <v/>
      </c>
      <c r="H17" s="14" t="n">
        <v>4.05</v>
      </c>
      <c r="I17" s="14" t="n">
        <v>60</v>
      </c>
      <c r="J17" s="29" t="n"/>
    </row>
    <row r="18" ht="16.5" customHeight="1">
      <c r="A18" s="59">
        <f>RIGHT(D18,4)</f>
        <v/>
      </c>
      <c r="B18" s="79" t="inlineStr">
        <is>
          <t>СЕМЕЙНАЯ вар п/о</t>
        </is>
      </c>
      <c r="C18" s="72" t="inlineStr">
        <is>
          <t>КГ</t>
        </is>
      </c>
      <c r="D18" s="73" t="n">
        <v>1001015496769</v>
      </c>
      <c r="E18" s="24" t="n"/>
      <c r="F18" s="23" t="n"/>
      <c r="G18" s="23">
        <f>E18</f>
        <v/>
      </c>
      <c r="H18" s="14" t="n"/>
      <c r="I18" s="14" t="n"/>
      <c r="J18" s="29" t="n"/>
    </row>
    <row r="19" ht="16.5" customHeight="1">
      <c r="A19" s="59">
        <f>RIGHT(D19,4)</f>
        <v/>
      </c>
      <c r="B19" s="79" t="inlineStr">
        <is>
          <t>ДОМАШНИЙ РЕЦЕПТ Коровино вар п/о</t>
        </is>
      </c>
      <c r="C19" s="72" t="inlineStr">
        <is>
          <t>КГ</t>
        </is>
      </c>
      <c r="D19" s="73" t="n">
        <v>1001015646861</v>
      </c>
      <c r="E19" s="24" t="n"/>
      <c r="F19" s="23" t="n">
        <v>2</v>
      </c>
      <c r="G19" s="23">
        <f>E19</f>
        <v/>
      </c>
      <c r="H19" s="14" t="n">
        <v>4</v>
      </c>
      <c r="I19" s="14" t="n">
        <v>60</v>
      </c>
      <c r="J19" s="29" t="n"/>
    </row>
    <row r="20" ht="16.5" customHeight="1">
      <c r="A20" s="59">
        <f>RIGHT(D20,4)</f>
        <v/>
      </c>
      <c r="B20" s="79" t="inlineStr">
        <is>
          <t>ДОМАШНИЙ РЕЦЕПТ Коровино 0.5кг 8шт.</t>
        </is>
      </c>
      <c r="C20" s="72" t="inlineStr">
        <is>
          <t>ШТ</t>
        </is>
      </c>
      <c r="D20" s="73" t="n">
        <v>1001012816340</v>
      </c>
      <c r="E20" s="24" t="n"/>
      <c r="F20" s="23" t="n">
        <v>0.5</v>
      </c>
      <c r="G20" s="23">
        <f>E20*F20</f>
        <v/>
      </c>
      <c r="H20" s="14" t="n"/>
      <c r="I20" s="14" t="n"/>
      <c r="J20" s="29" t="n"/>
    </row>
    <row r="21" ht="16.5" customHeight="1">
      <c r="A21" s="59">
        <f>RIGHT(D21,4)</f>
        <v/>
      </c>
      <c r="B21" s="52" t="inlineStr">
        <is>
          <t>ДОМАШНИЙ РЕЦЕПТ СО ШПИКОМ Коровино 0.5кг</t>
        </is>
      </c>
      <c r="C21" s="53" t="inlineStr">
        <is>
          <t>шт</t>
        </is>
      </c>
      <c r="D21" s="54" t="n">
        <v>1001012816341</v>
      </c>
      <c r="E21" s="24" t="n"/>
      <c r="F21" s="74" t="n">
        <v>0.5</v>
      </c>
      <c r="G21" s="23">
        <f>E21*F21</f>
        <v/>
      </c>
      <c r="H21" s="75" t="n"/>
      <c r="I21" s="75" t="n"/>
      <c r="J21" s="75" t="n"/>
    </row>
    <row r="22" ht="16.5" customHeight="1">
      <c r="A22" s="59">
        <f>RIGHT(D22,4)</f>
        <v/>
      </c>
      <c r="B22" s="79" t="inlineStr">
        <is>
          <t>ДОМАШНИЙ РЕЦЕПТ СО ШПИК.Коровино вар п/о</t>
        </is>
      </c>
      <c r="C22" s="72" t="inlineStr">
        <is>
          <t>КГ</t>
        </is>
      </c>
      <c r="D22" s="73" t="n">
        <v>1001015706862</v>
      </c>
      <c r="E22" s="24" t="n"/>
      <c r="F22" s="23" t="n">
        <v>2</v>
      </c>
      <c r="G22" s="23">
        <f>E22</f>
        <v/>
      </c>
      <c r="H22" s="14" t="n">
        <v>4</v>
      </c>
      <c r="I22" s="14" t="n">
        <v>60</v>
      </c>
      <c r="J22" s="29" t="n"/>
    </row>
    <row r="23" ht="16.5" customHeight="1">
      <c r="A23" s="59">
        <f>RIGHT(D23,4)</f>
        <v/>
      </c>
      <c r="B23" s="79" t="inlineStr">
        <is>
          <t>ФИЛЕЙНАЯ Папа может вар п/о</t>
        </is>
      </c>
      <c r="C23" s="72" t="inlineStr">
        <is>
          <t>КГ</t>
        </is>
      </c>
      <c r="D23" s="73" t="n">
        <v>1001012564813</v>
      </c>
      <c r="E23" s="24" t="n">
        <v>300</v>
      </c>
      <c r="F23" s="23" t="n">
        <v>1.35</v>
      </c>
      <c r="G23" s="23">
        <f>E23</f>
        <v/>
      </c>
      <c r="H23" s="14" t="n">
        <v>4.05</v>
      </c>
      <c r="I23" s="14" t="n">
        <v>60</v>
      </c>
      <c r="J23" s="29" t="n"/>
    </row>
    <row r="24" ht="16.5" customHeight="1">
      <c r="A24" s="59">
        <f>RIGHT(D24,4)</f>
        <v/>
      </c>
      <c r="B24" s="52" t="inlineStr">
        <is>
          <t>ФИЛЕЙНАЯ Папа может вар п/о 0.4кг 8шт.</t>
        </is>
      </c>
      <c r="C24" s="53" t="inlineStr">
        <is>
          <t>ШТ</t>
        </is>
      </c>
      <c r="D24" s="54" t="n">
        <v>1001012566392</v>
      </c>
      <c r="E24" s="24" t="n"/>
      <c r="F24" s="23" t="n">
        <v>0.4</v>
      </c>
      <c r="G24" s="23">
        <f>E24*F24</f>
        <v/>
      </c>
      <c r="H24" s="14" t="n">
        <v>3.2</v>
      </c>
      <c r="I24" s="14" t="n">
        <v>60</v>
      </c>
      <c r="J24" s="29" t="n"/>
    </row>
    <row r="25" ht="16.5" customHeight="1">
      <c r="A25" s="59">
        <f>RIGHT(D25,4)</f>
        <v/>
      </c>
      <c r="B25" s="79" t="inlineStr">
        <is>
          <t>ЭКСТРА Папа может вар п/о.</t>
        </is>
      </c>
      <c r="C25" s="72" t="inlineStr">
        <is>
          <t>кг</t>
        </is>
      </c>
      <c r="D25" s="73" t="n">
        <v>1001012505851</v>
      </c>
      <c r="E25" s="24" t="n"/>
      <c r="F25" s="23" t="n">
        <v>1.354</v>
      </c>
      <c r="G25" s="23">
        <f>E25</f>
        <v/>
      </c>
      <c r="H25" s="14" t="n">
        <v>4.06</v>
      </c>
      <c r="I25" s="14" t="n">
        <v>60</v>
      </c>
      <c r="J25" s="29" t="n"/>
    </row>
    <row r="26" ht="16.5" customHeight="1">
      <c r="A26" s="59">
        <f>RIGHT(D26,4)</f>
        <v/>
      </c>
      <c r="B26" s="79" t="inlineStr">
        <is>
          <t>ЭКСТРА Папа может вар п/о 0.4кг 8шт.</t>
        </is>
      </c>
      <c r="C26" s="72" t="inlineStr">
        <is>
          <t>ШТ</t>
        </is>
      </c>
      <c r="D26" s="73" t="n">
        <v>1001012506353</v>
      </c>
      <c r="E26" s="24" t="n">
        <v>160</v>
      </c>
      <c r="F26" s="23" t="n">
        <v>0.4</v>
      </c>
      <c r="G26" s="23">
        <f>E26*F26</f>
        <v/>
      </c>
      <c r="H26" s="14" t="n">
        <v>3.2</v>
      </c>
      <c r="I26" s="14" t="n">
        <v>60</v>
      </c>
      <c r="J26" s="29" t="n"/>
    </row>
    <row r="27" ht="16.5" customHeight="1">
      <c r="A27" s="59">
        <f>RIGHT(D27,4)</f>
        <v/>
      </c>
      <c r="B27" s="79" t="inlineStr">
        <is>
          <t>ГОВЯЖЬЯ Папа может вар п/о 0.4кг 8шт.</t>
        </is>
      </c>
      <c r="C27" s="72" t="inlineStr">
        <is>
          <t>ШТ</t>
        </is>
      </c>
      <c r="D27" s="73" t="n">
        <v>1001012426268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59">
        <f>RIGHT(D28,4)</f>
        <v/>
      </c>
      <c r="B28" s="50" t="inlineStr">
        <is>
          <t>ДОКТОРСКАЯ ГОСТ вар п/о 0.4кг 8шт.</t>
        </is>
      </c>
      <c r="C28" s="72" t="inlineStr">
        <is>
          <t>ШТ</t>
        </is>
      </c>
      <c r="D28" s="73" t="n">
        <v>1001010016324</v>
      </c>
      <c r="E28" s="24" t="n"/>
      <c r="F28" s="23" t="n">
        <v>0.4</v>
      </c>
      <c r="G28" s="23">
        <f>E28*F28</f>
        <v/>
      </c>
      <c r="H28" s="14" t="n">
        <v>3.2</v>
      </c>
      <c r="I28" s="14" t="n">
        <v>60</v>
      </c>
      <c r="J28" s="29" t="n"/>
    </row>
    <row r="29" ht="16.5" customHeight="1">
      <c r="A29" s="59">
        <f>RIGHT(D29,4)</f>
        <v/>
      </c>
      <c r="B29" s="50" t="inlineStr">
        <is>
          <t>МОЛОЧНАЯ Папа может вар п/о</t>
        </is>
      </c>
      <c r="C29" s="72" t="inlineStr">
        <is>
          <t>КГ</t>
        </is>
      </c>
      <c r="D29" s="73" t="n">
        <v>1001012456498</v>
      </c>
      <c r="E29" s="24" t="n"/>
      <c r="F29" s="23" t="n">
        <v>1</v>
      </c>
      <c r="G29" s="23">
        <f>E29</f>
        <v/>
      </c>
      <c r="H29" s="14" t="n">
        <v>4</v>
      </c>
      <c r="I29" s="14" t="n">
        <v>60</v>
      </c>
      <c r="J29" s="29" t="n"/>
    </row>
    <row r="30" ht="16.5" customHeight="1">
      <c r="A30" s="59">
        <f>RIGHT(D30,4)</f>
        <v/>
      </c>
      <c r="B30" s="50" t="inlineStr">
        <is>
          <t>МОЛОЧНАЯ Останкино вар п/о</t>
        </is>
      </c>
      <c r="C30" s="72" t="inlineStr">
        <is>
          <t>КГ</t>
        </is>
      </c>
      <c r="D30" s="73" t="n">
        <v>1001010027125</v>
      </c>
      <c r="E30" s="24" t="n"/>
      <c r="F30" s="23" t="n">
        <v>1</v>
      </c>
      <c r="G30" s="23">
        <f>E30</f>
        <v/>
      </c>
      <c r="H30" s="14" t="n"/>
      <c r="I30" s="14" t="n"/>
      <c r="J30" s="29" t="n"/>
    </row>
    <row r="31" ht="16.5" customHeight="1" thickBot="1">
      <c r="A31" s="59">
        <f>RIGHT(D31,4)</f>
        <v/>
      </c>
      <c r="B31" s="79" t="inlineStr">
        <is>
          <t>РУССКАЯ ГОСТ вар п/о</t>
        </is>
      </c>
      <c r="C31" s="72" t="inlineStr">
        <is>
          <t>КГ</t>
        </is>
      </c>
      <c r="D31" s="73" t="n">
        <v>1001010032675</v>
      </c>
      <c r="E31" s="24" t="n"/>
      <c r="F31" s="23" t="n"/>
      <c r="G31" s="23">
        <f>E31</f>
        <v/>
      </c>
      <c r="H31" s="14" t="n"/>
      <c r="I31" s="14" t="n"/>
      <c r="J31" s="29" t="n"/>
    </row>
    <row r="32" ht="16.5" customHeight="1" thickBot="1" thickTop="1">
      <c r="A32" s="59">
        <f>RIGHT(D32,4)</f>
        <v/>
      </c>
      <c r="B32" s="46" t="inlineStr">
        <is>
          <t>Сосиски</t>
        </is>
      </c>
      <c r="C32" s="46" t="n"/>
      <c r="D32" s="46" t="n"/>
      <c r="E32" s="46" t="n"/>
      <c r="F32" s="46" t="n"/>
      <c r="G32" s="23" t="n"/>
      <c r="H32" s="46" t="n"/>
      <c r="I32" s="46" t="n"/>
      <c r="J32" s="47" t="n"/>
    </row>
    <row r="33" ht="16.5" customFormat="1" customHeight="1" s="68" thickTop="1">
      <c r="A33" s="59" t="n">
        <v>7255</v>
      </c>
      <c r="B33" s="63" t="inlineStr">
        <is>
          <t>МЯСНЫЕ С ГОВЯД.ПМ сос п/о мгс 0.4кг 6шт.</t>
        </is>
      </c>
      <c r="C33" s="64" t="inlineStr">
        <is>
          <t>шт</t>
        </is>
      </c>
      <c r="D33" s="65" t="n">
        <v>1001025507255</v>
      </c>
      <c r="E33" s="24" t="n">
        <v>180</v>
      </c>
      <c r="F33" s="66" t="n">
        <v>0.4</v>
      </c>
      <c r="G33" s="23">
        <f>E33*F33</f>
        <v/>
      </c>
      <c r="H33" s="67" t="n">
        <v>4</v>
      </c>
      <c r="I33" s="67" t="n">
        <v>45</v>
      </c>
      <c r="J33" s="67" t="n"/>
      <c r="K33" s="27" t="n"/>
    </row>
    <row r="34" ht="16.5" customFormat="1" customHeight="1" s="15">
      <c r="A34" s="59">
        <f>RIGHT(D34,4)</f>
        <v/>
      </c>
      <c r="B34" s="79" t="inlineStr">
        <is>
          <t xml:space="preserve"> БАВАРСКИЕ ПМ сос ц/о мгс 0.35кг 8шт.</t>
        </is>
      </c>
      <c r="C34" s="72" t="inlineStr">
        <is>
          <t>шт</t>
        </is>
      </c>
      <c r="D34" s="73" t="n">
        <v>1001021966602</v>
      </c>
      <c r="E34" s="24" t="n"/>
      <c r="F34" s="23" t="n">
        <v>0.35</v>
      </c>
      <c r="G34" s="23">
        <f>E34*F34</f>
        <v/>
      </c>
      <c r="H34" s="14" t="n"/>
      <c r="I34" s="14" t="n"/>
      <c r="J34" s="29" t="n"/>
      <c r="K34" s="27" t="n"/>
    </row>
    <row r="35" ht="16.5" customFormat="1" customHeight="1" s="15">
      <c r="A35" s="59">
        <f>RIGHT(D35,4)</f>
        <v/>
      </c>
      <c r="B35" s="79" t="inlineStr">
        <is>
          <t>ХОТ-ДОГ Папа может сос п/о мгс 0.35кг</t>
        </is>
      </c>
      <c r="C35" s="72" t="inlineStr">
        <is>
          <t>шт</t>
        </is>
      </c>
      <c r="D35" s="73" t="n">
        <v>1001025166776</v>
      </c>
      <c r="E35" s="24" t="n"/>
      <c r="F35" s="23" t="n">
        <v>0.35</v>
      </c>
      <c r="G35" s="23">
        <f>E35*F35</f>
        <v/>
      </c>
      <c r="H35" s="14" t="n"/>
      <c r="I35" s="14" t="n"/>
      <c r="J35" s="29" t="n"/>
      <c r="K35" s="27" t="n"/>
    </row>
    <row r="36" ht="16.5" customFormat="1" customHeight="1" s="15">
      <c r="A36" s="59">
        <f>RIGHT(D36,4)</f>
        <v/>
      </c>
      <c r="B36" s="55" t="inlineStr">
        <is>
          <t>МЯСНЫЕ Папа может сос п/о мгс  1.5*3</t>
        </is>
      </c>
      <c r="C36" s="53" t="inlineStr">
        <is>
          <t>КГ</t>
        </is>
      </c>
      <c r="D36" s="54" t="n">
        <v>1001022726303</v>
      </c>
      <c r="E36" s="24" t="n">
        <v>550</v>
      </c>
      <c r="F36" s="23" t="n">
        <v>1.05</v>
      </c>
      <c r="G36" s="23">
        <f>E36</f>
        <v/>
      </c>
      <c r="H36" s="14" t="n">
        <v>3.15</v>
      </c>
      <c r="I36" s="14" t="n">
        <v>45</v>
      </c>
      <c r="J36" s="29" t="n"/>
      <c r="K36" s="27" t="n"/>
    </row>
    <row r="37" ht="16.5" customFormat="1" customHeight="1" s="15">
      <c r="A37" s="59">
        <f>RIGHT(D37,4)</f>
        <v/>
      </c>
      <c r="B37" s="36" t="inlineStr">
        <is>
          <t>МЯСНЫЕ Папа может сос п/о в/у 0.4кг_45с</t>
        </is>
      </c>
      <c r="C37" s="72" t="inlineStr">
        <is>
          <t>ШТ</t>
        </is>
      </c>
      <c r="D37" s="73" t="n">
        <v>1001022725819</v>
      </c>
      <c r="E37" s="24" t="n"/>
      <c r="F37" s="23" t="n">
        <v>0.4</v>
      </c>
      <c r="G37" s="23">
        <f>E37*F37</f>
        <v/>
      </c>
      <c r="H37" s="14" t="n">
        <v>3.2</v>
      </c>
      <c r="I37" s="14" t="n">
        <v>45</v>
      </c>
      <c r="J37" s="29" t="n"/>
      <c r="K37" s="27" t="n"/>
    </row>
    <row r="38" ht="16.5" customFormat="1" customHeight="1" s="15">
      <c r="A38" s="59">
        <f>RIGHT(D38,4)</f>
        <v/>
      </c>
      <c r="B38" s="36" t="inlineStr">
        <is>
          <t>СЛИВОЧНЫЕ сос ц/о мгс 0.41кг 8шт.</t>
        </is>
      </c>
      <c r="C38" s="72" t="inlineStr">
        <is>
          <t>ШТ</t>
        </is>
      </c>
      <c r="D38" s="73" t="n">
        <v>1001020846762</v>
      </c>
      <c r="E38" s="24" t="n"/>
      <c r="F38" s="23" t="n">
        <v>0.41</v>
      </c>
      <c r="G38" s="23">
        <f>E38*F38</f>
        <v/>
      </c>
      <c r="H38" s="14" t="n"/>
      <c r="I38" s="14" t="n"/>
      <c r="J38" s="29" t="n"/>
      <c r="K38" s="27" t="n"/>
    </row>
    <row r="39" ht="16.5" customFormat="1" customHeight="1" s="15">
      <c r="A39" s="59">
        <f>RIGHT(D39,4)</f>
        <v/>
      </c>
      <c r="B39" s="36" t="inlineStr">
        <is>
          <t>РУБЛЕНЫЕ сос ц/о мгс 0.36кг 6шт.</t>
        </is>
      </c>
      <c r="C39" s="72" t="inlineStr">
        <is>
          <t>ШТ</t>
        </is>
      </c>
      <c r="D39" s="73" t="n">
        <v>1001023696765</v>
      </c>
      <c r="E39" s="24" t="n"/>
      <c r="F39" s="23" t="n">
        <v>0.36</v>
      </c>
      <c r="G39" s="23">
        <f>E39*F39</f>
        <v/>
      </c>
      <c r="H39" s="14" t="n"/>
      <c r="I39" s="14" t="n"/>
      <c r="J39" s="29" t="n"/>
      <c r="K39" s="27" t="n"/>
    </row>
    <row r="40" ht="16.5" customFormat="1" customHeight="1" s="15">
      <c r="A40" s="59">
        <f>RIGHT(D40,4)</f>
        <v/>
      </c>
      <c r="B40" s="36" t="inlineStr">
        <is>
          <t>МОЛОЧНЫЕ ГОСТ сос ц/о мгс 0.4кг 7шт.</t>
        </is>
      </c>
      <c r="C40" s="72" t="inlineStr">
        <is>
          <t>ШТ</t>
        </is>
      </c>
      <c r="D40" s="73" t="n">
        <v>1001020836759</v>
      </c>
      <c r="E40" s="24" t="n"/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Height="1">
      <c r="A41" s="59">
        <f>RIGHT(D41,4)</f>
        <v/>
      </c>
      <c r="B41" s="35" t="inlineStr">
        <is>
          <t>СЛИВОЧНЫЕ ПМ сос п/о мгс 1.5*4_50с</t>
        </is>
      </c>
      <c r="C41" s="72" t="inlineStr">
        <is>
          <t>КГ</t>
        </is>
      </c>
      <c r="D41" s="73" t="n">
        <v>1001022467082</v>
      </c>
      <c r="E41" s="24" t="n"/>
      <c r="F41" s="23" t="n">
        <v>2.125</v>
      </c>
      <c r="G41" s="23">
        <f>E41</f>
        <v/>
      </c>
      <c r="H41" s="14" t="n">
        <v>4.25</v>
      </c>
      <c r="I41" s="14" t="n">
        <v>45</v>
      </c>
      <c r="J41" s="29" t="n"/>
    </row>
    <row r="42" ht="16.5" customHeight="1">
      <c r="A42" s="59">
        <f>RIGHT(D42,4)</f>
        <v/>
      </c>
      <c r="B42" s="35" t="inlineStr">
        <is>
          <t>РУБЛЕНЫЕ сос ц/о мгс 1*4</t>
        </is>
      </c>
      <c r="C42" s="72" t="inlineStr">
        <is>
          <t>КГ</t>
        </is>
      </c>
      <c r="D42" s="73" t="n">
        <v>1001023696767</v>
      </c>
      <c r="E42" s="24" t="n"/>
      <c r="F42" s="23" t="n"/>
      <c r="G42" s="23">
        <f>E42</f>
        <v/>
      </c>
      <c r="H42" s="14" t="n"/>
      <c r="I42" s="14" t="n"/>
      <c r="J42" s="29" t="n"/>
    </row>
    <row r="43" ht="16.5" customHeight="1">
      <c r="A43" s="59">
        <f>RIGHT(D43,4)</f>
        <v/>
      </c>
      <c r="B43" s="35" t="inlineStr">
        <is>
          <t>СОЧНЫЕ ПМ сос п/о мгс 1.5*4_А_50с</t>
        </is>
      </c>
      <c r="C43" s="72" t="inlineStr">
        <is>
          <t>КГ</t>
        </is>
      </c>
      <c r="D43" s="73" t="n">
        <v>1001022377070</v>
      </c>
      <c r="E43" s="24" t="n"/>
      <c r="F43" s="23" t="n"/>
      <c r="G43" s="23">
        <f>E43</f>
        <v/>
      </c>
      <c r="H43" s="14" t="n"/>
      <c r="I43" s="14" t="n"/>
      <c r="J43" s="29" t="n"/>
    </row>
    <row r="44" ht="16.5" customFormat="1" customHeight="1" s="15">
      <c r="A44" s="59">
        <f>RIGHT(D44,4)</f>
        <v/>
      </c>
      <c r="B44" s="52" t="inlineStr">
        <is>
          <t>СОЧНЫЙ ГРИЛЬ ПМ сос п/о мгс 1.5*4_Маяк</t>
        </is>
      </c>
      <c r="C44" s="53" t="inlineStr">
        <is>
          <t>КГ</t>
        </is>
      </c>
      <c r="D44" s="54" t="n">
        <v>1001022246661</v>
      </c>
      <c r="E44" s="24" t="n"/>
      <c r="F44" s="23" t="n">
        <v>1</v>
      </c>
      <c r="G44" s="23">
        <f>E44</f>
        <v/>
      </c>
      <c r="H44" s="14" t="n">
        <v>6.4</v>
      </c>
      <c r="I44" s="14" t="n">
        <v>45</v>
      </c>
      <c r="J44" s="29" t="n"/>
      <c r="K44" s="27" t="n"/>
    </row>
    <row r="45" ht="16.5" customFormat="1" customHeight="1" s="15">
      <c r="A45" s="59">
        <f>RIGHT(D45,4)</f>
        <v/>
      </c>
      <c r="B45" s="79" t="inlineStr">
        <is>
          <t>С СЫРОМ Папа может сос ц/о мгс 0.4кг 6шт</t>
        </is>
      </c>
      <c r="C45" s="72" t="inlineStr">
        <is>
          <t>ШТ</t>
        </is>
      </c>
      <c r="D45" s="73" t="n">
        <v>1001025176475</v>
      </c>
      <c r="E45" s="24" t="n"/>
      <c r="F45" s="23" t="n">
        <v>0.4</v>
      </c>
      <c r="G45" s="23">
        <f>E45*F45</f>
        <v/>
      </c>
      <c r="H45" s="14" t="n">
        <v>2.4</v>
      </c>
      <c r="I45" s="14" t="n">
        <v>45</v>
      </c>
      <c r="J45" s="29" t="n"/>
      <c r="K45" s="27" t="n"/>
    </row>
    <row r="46" ht="16.5" customHeight="1">
      <c r="A46" s="59">
        <f>RIGHT(D46,4)</f>
        <v/>
      </c>
      <c r="B46" s="56" t="inlineStr">
        <is>
          <t>СОЧНЫЙ ГРИЛЬ ПМ сос п/о мгс 0.41кг 8шт.</t>
        </is>
      </c>
      <c r="C46" s="53" t="inlineStr">
        <is>
          <t>ШТ</t>
        </is>
      </c>
      <c r="D46" s="54" t="n">
        <v>1001022246713</v>
      </c>
      <c r="E46" s="24" t="n">
        <v>140</v>
      </c>
      <c r="F46" s="23" t="n">
        <v>0.41</v>
      </c>
      <c r="G46" s="23">
        <f>E46*F46</f>
        <v/>
      </c>
      <c r="H46" s="14" t="n">
        <v>3.28</v>
      </c>
      <c r="I46" s="14" t="n">
        <v>45</v>
      </c>
      <c r="J46" s="29" t="n"/>
    </row>
    <row r="47" ht="16.5" customHeight="1">
      <c r="A47" s="59">
        <f>RIGHT(D47,4)</f>
        <v/>
      </c>
      <c r="B47" s="51" t="inlineStr">
        <is>
          <t>ФИЛЕЙНЫЕ Папа может сос ц/о мгс 0.33кг</t>
        </is>
      </c>
      <c r="C47" s="72" t="inlineStr">
        <is>
          <t>ШТ</t>
        </is>
      </c>
      <c r="D47" s="73" t="n">
        <v>1001022556069</v>
      </c>
      <c r="E47" s="24" t="n"/>
      <c r="F47" s="23" t="n">
        <v>0.33</v>
      </c>
      <c r="G47" s="23">
        <f>E47*F47</f>
        <v/>
      </c>
      <c r="H47" s="14" t="n">
        <v>2.64</v>
      </c>
      <c r="I47" s="14" t="n">
        <v>45</v>
      </c>
      <c r="J47" s="29" t="n"/>
    </row>
    <row r="48" ht="16.5" customHeight="1">
      <c r="A48" s="59">
        <f>RIGHT(D48,4)</f>
        <v/>
      </c>
      <c r="B48" s="51" t="inlineStr">
        <is>
          <t>ФИЛЕЙНЫЕ ПМ сос ц/о мгс 0.33кг 8шт.</t>
        </is>
      </c>
      <c r="C48" s="72" t="inlineStr">
        <is>
          <t>ШТ</t>
        </is>
      </c>
      <c r="D48" s="73" t="n">
        <v>1001022557257</v>
      </c>
      <c r="E48" s="24" t="n"/>
      <c r="F48" s="23" t="n">
        <v>0.33</v>
      </c>
      <c r="G48" s="23">
        <f>E48*F48</f>
        <v/>
      </c>
      <c r="H48" s="14" t="n"/>
      <c r="I48" s="14" t="n"/>
      <c r="J48" s="29" t="n"/>
    </row>
    <row r="49" ht="16.5" customHeight="1">
      <c r="A49" s="59" t="n">
        <v>6837</v>
      </c>
      <c r="B49" s="81" t="inlineStr">
        <is>
          <t>ФИЛЕЙНЫЕ Папа Может сос ц/о мгс 0.4кг</t>
        </is>
      </c>
      <c r="C49" s="72" t="inlineStr">
        <is>
          <t>ШТ</t>
        </is>
      </c>
      <c r="D49" s="73" t="n">
        <v>1001022556837</v>
      </c>
      <c r="E49" s="24" t="n">
        <v>80</v>
      </c>
      <c r="F49" s="23" t="n">
        <v>0.33</v>
      </c>
      <c r="G49" s="23">
        <f>E49*F49</f>
        <v/>
      </c>
      <c r="H49" s="14" t="n"/>
      <c r="I49" s="14" t="n"/>
      <c r="J49" s="29" t="n"/>
    </row>
    <row r="50" ht="16.5" customHeight="1">
      <c r="A50" s="59">
        <f>RIGHT(D50,4)</f>
        <v/>
      </c>
      <c r="B50" s="51" t="inlineStr">
        <is>
          <t>ДЛЯ ДЕТЕЙ сос п/о мгс 0.33кг 6шт.</t>
        </is>
      </c>
      <c r="C50" s="72" t="inlineStr">
        <is>
          <t>ШТ</t>
        </is>
      </c>
      <c r="D50" s="73" t="n">
        <v>1001025767284</v>
      </c>
      <c r="E50" s="24" t="n">
        <v>120</v>
      </c>
      <c r="F50" s="23" t="n">
        <v>0.33</v>
      </c>
      <c r="G50" s="23">
        <f>E50*F50</f>
        <v/>
      </c>
      <c r="H50" s="14" t="n"/>
      <c r="I50" s="14" t="n"/>
      <c r="J50" s="29" t="n"/>
    </row>
    <row r="51" ht="16.5" customHeight="1">
      <c r="A51" s="59">
        <f>RIGHT(D51,4)</f>
        <v/>
      </c>
      <c r="B51" s="51" t="inlineStr">
        <is>
          <t>ДЛЯ ДЕТЕЙ сос п/о мгс 0.33кг 8шт.</t>
        </is>
      </c>
      <c r="C51" s="72" t="inlineStr">
        <is>
          <t>ШТ</t>
        </is>
      </c>
      <c r="D51" s="73" t="n">
        <v>1001025766909</v>
      </c>
      <c r="E51" s="24" t="n"/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59">
        <f>RIGHT(D52,4)</f>
        <v/>
      </c>
      <c r="B52" s="51" t="inlineStr">
        <is>
          <t>СЛИВОЧНЫЕ сос ц/о мгс 1*4</t>
        </is>
      </c>
      <c r="C52" s="72" t="inlineStr">
        <is>
          <t>КГ</t>
        </is>
      </c>
      <c r="D52" s="73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59">
        <f>RIGHT(D53,4)</f>
        <v/>
      </c>
      <c r="B53" s="56" t="inlineStr">
        <is>
          <t>МОЛОЧНЫЕ КЛАССИЧЕСКИЕ сос п/о мгс 2*4</t>
        </is>
      </c>
      <c r="C53" s="53" t="inlineStr">
        <is>
          <t>КГ</t>
        </is>
      </c>
      <c r="D53" s="54" t="n">
        <v>1001024976829</v>
      </c>
      <c r="E53" s="24" t="n">
        <v>1100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59">
        <f>RIGHT(D54,4)</f>
        <v/>
      </c>
      <c r="B54" s="81" t="inlineStr">
        <is>
          <t>МОЛОЧ.ПРЕМИУМ ПМ сос п/о мгс 1.5*4_О_50с</t>
        </is>
      </c>
      <c r="C54" s="72" t="inlineStr">
        <is>
          <t>КГ</t>
        </is>
      </c>
      <c r="D54" s="73" t="n">
        <v>1001022657075</v>
      </c>
      <c r="E54" s="24" t="n"/>
      <c r="F54" s="23" t="n"/>
      <c r="G54" s="23">
        <f>E54</f>
        <v/>
      </c>
      <c r="H54" s="14" t="n"/>
      <c r="I54" s="14" t="n"/>
      <c r="J54" s="29" t="n"/>
    </row>
    <row r="55" ht="16.5" customHeight="1">
      <c r="A55" s="59">
        <f>RIGHT(D55,4)</f>
        <v/>
      </c>
      <c r="B55" s="81" t="inlineStr">
        <is>
          <t>МОЛОЧ.ПРЕМИУМ ПМ сос п/о в/у 1/350_50с</t>
        </is>
      </c>
      <c r="C55" s="72" t="inlineStr">
        <is>
          <t>ШТ</t>
        </is>
      </c>
      <c r="D55" s="73" t="n">
        <v>1001022657073</v>
      </c>
      <c r="E55" s="24" t="n"/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59">
        <f>RIGHT(D56,4)</f>
        <v/>
      </c>
      <c r="B56" s="51" t="inlineStr">
        <is>
          <t>МОЛОЧНЫЕ ГОСТ сос ц/о мгс 1*4</t>
        </is>
      </c>
      <c r="C56" s="72" t="inlineStr">
        <is>
          <t>КГ</t>
        </is>
      </c>
      <c r="D56" s="73" t="n">
        <v>1001020836761</v>
      </c>
      <c r="E56" s="24" t="n"/>
      <c r="F56" s="23" t="n">
        <v>1.063</v>
      </c>
      <c r="G56" s="23">
        <f>E56</f>
        <v/>
      </c>
      <c r="H56" s="14" t="n">
        <v>4.25</v>
      </c>
      <c r="I56" s="14" t="n">
        <v>30</v>
      </c>
      <c r="J56" s="29" t="n"/>
    </row>
    <row r="57" ht="16.5" customHeight="1">
      <c r="A57" s="59">
        <f>RIGHT(D57,4)</f>
        <v/>
      </c>
      <c r="B57" s="56" t="inlineStr">
        <is>
          <t>СЛИВОЧНЫЕ ПМ сос п/о мгс 0.41кг 10шт_50с</t>
        </is>
      </c>
      <c r="C57" s="53" t="inlineStr">
        <is>
          <t>ШТ</t>
        </is>
      </c>
      <c r="D57" s="54" t="n">
        <v>1001022467080</v>
      </c>
      <c r="E57" s="24" t="n"/>
      <c r="F57" s="23" t="n">
        <v>0.41</v>
      </c>
      <c r="G57" s="23">
        <f>E57*F57</f>
        <v/>
      </c>
      <c r="H57" s="14" t="n">
        <v>4.1</v>
      </c>
      <c r="I57" s="14" t="n">
        <v>45</v>
      </c>
      <c r="J57" s="29" t="n"/>
    </row>
    <row r="58" ht="16.5" customHeight="1" thickBot="1">
      <c r="A58" s="59">
        <f>RIGHT(D58,4)</f>
        <v/>
      </c>
      <c r="B58" s="56" t="inlineStr">
        <is>
          <t>СОЧНЫЕ ПМ сос п/о мгс 0.41кг 10шт_50с</t>
        </is>
      </c>
      <c r="C58" s="53" t="inlineStr">
        <is>
          <t>ШТ</t>
        </is>
      </c>
      <c r="D58" s="54" t="n">
        <v>1001022377066</v>
      </c>
      <c r="E58" s="24" t="n">
        <v>340.0000000000001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 thickBot="1" thickTop="1">
      <c r="A59" s="59">
        <f>RIGHT(D59,4)</f>
        <v/>
      </c>
      <c r="B59" s="46" t="inlineStr">
        <is>
          <t>Сардельки</t>
        </is>
      </c>
      <c r="C59" s="46" t="n"/>
      <c r="D59" s="46" t="n"/>
      <c r="E59" s="46" t="n"/>
      <c r="F59" s="46" t="n"/>
      <c r="G59" s="23" t="n"/>
      <c r="H59" s="46" t="n"/>
      <c r="I59" s="46" t="n"/>
      <c r="J59" s="47" t="n"/>
    </row>
    <row r="60" ht="16.5" customHeight="1" thickTop="1">
      <c r="A60" s="59">
        <f>RIGHT(D60,4)</f>
        <v/>
      </c>
      <c r="B60" s="80" t="inlineStr">
        <is>
          <t>КЛАССИЧЕСКИЕ Папа может сар б/о мгс 1*3</t>
        </is>
      </c>
      <c r="C60" s="53" t="inlineStr">
        <is>
          <t>кг</t>
        </is>
      </c>
      <c r="D60" s="54" t="n">
        <v>1001035937001</v>
      </c>
      <c r="E60" s="24" t="n"/>
      <c r="F60" s="74" t="n">
        <v>0.987</v>
      </c>
      <c r="G60" s="23">
        <f>E60</f>
        <v/>
      </c>
      <c r="H60" s="75" t="n">
        <v>2.96</v>
      </c>
      <c r="I60" s="75" t="n">
        <v>45</v>
      </c>
      <c r="J60" s="75" t="n"/>
    </row>
    <row r="61" ht="16.5" customHeight="1">
      <c r="A61" s="59">
        <f>RIGHT(D61,4)</f>
        <v/>
      </c>
      <c r="B61" s="81" t="inlineStr">
        <is>
          <t>ШПИКАЧКИ СОЧНЫЕ ПМ САР Б/О МГС 1*3 45с</t>
        </is>
      </c>
      <c r="C61" s="72" t="inlineStr">
        <is>
          <t>кг</t>
        </is>
      </c>
      <c r="D61" s="73" t="n">
        <v>1001031076527</v>
      </c>
      <c r="E61" s="24" t="n"/>
      <c r="F61" s="23" t="n">
        <v>1</v>
      </c>
      <c r="G61" s="23">
        <f>E61</f>
        <v/>
      </c>
      <c r="H61" s="14" t="n">
        <v>3</v>
      </c>
      <c r="I61" s="14" t="n">
        <v>45</v>
      </c>
      <c r="J61" s="29" t="n"/>
    </row>
    <row r="62" ht="16.5" customHeight="1">
      <c r="A62" s="59">
        <f>RIGHT(D62,4)</f>
        <v/>
      </c>
      <c r="B62" s="51" t="inlineStr">
        <is>
          <t>МЯСНЫЕ Папа может сар б/о мгс  1*3_О_45с</t>
        </is>
      </c>
      <c r="C62" s="72" t="inlineStr">
        <is>
          <t>КГ</t>
        </is>
      </c>
      <c r="D62" s="73" t="n">
        <v>1001032736550</v>
      </c>
      <c r="E62" s="24" t="n">
        <v>300</v>
      </c>
      <c r="F62" s="23" t="n">
        <v>1</v>
      </c>
      <c r="G62" s="23">
        <f>E62</f>
        <v/>
      </c>
      <c r="H62" s="14" t="n"/>
      <c r="I62" s="14" t="n"/>
      <c r="J62" s="29" t="n"/>
    </row>
    <row r="63" ht="16.5" customHeight="1" thickBot="1">
      <c r="A63" s="59">
        <f>RIGHT(D63,4)</f>
        <v/>
      </c>
      <c r="B63" s="51" t="inlineStr">
        <is>
          <t>С ГОВЯДИНОЙ ОРИГИН. сар б/о мгс 1*3_45с</t>
        </is>
      </c>
      <c r="C63" s="72" t="inlineStr">
        <is>
          <t>КГ</t>
        </is>
      </c>
      <c r="D63" s="73" t="n">
        <v>1001033856608</v>
      </c>
      <c r="E63" s="24" t="n">
        <v>160</v>
      </c>
      <c r="F63" s="23" t="n">
        <v>0.99</v>
      </c>
      <c r="G63" s="23">
        <f>E63</f>
        <v/>
      </c>
      <c r="H63" s="14" t="n">
        <v>2.97</v>
      </c>
      <c r="I63" s="14" t="n">
        <v>45</v>
      </c>
      <c r="J63" s="29" t="n"/>
    </row>
    <row r="64" ht="16.5" customHeight="1" thickBot="1" thickTop="1">
      <c r="A64" s="59">
        <f>RIGHT(D64,4)</f>
        <v/>
      </c>
      <c r="B64" s="46" t="inlineStr">
        <is>
          <t>Полукопченые колбасы и Варенокопченые колбасы</t>
        </is>
      </c>
      <c r="C64" s="46" t="n"/>
      <c r="D64" s="46" t="n"/>
      <c r="E64" s="46" t="n"/>
      <c r="F64" s="46" t="n"/>
      <c r="G64" s="46" t="n"/>
      <c r="H64" s="46" t="n"/>
      <c r="I64" s="46" t="n"/>
      <c r="J64" s="47" t="n"/>
    </row>
    <row r="65" ht="16.5" customHeight="1" thickTop="1">
      <c r="A65" s="59">
        <f>RIGHT(D65,4)</f>
        <v/>
      </c>
      <c r="B65" s="79" t="inlineStr">
        <is>
          <t>МРАМОРНАЯ И БАЛЫКОВАЯ в/к с/н мгс 1/90</t>
        </is>
      </c>
      <c r="C65" s="72" t="inlineStr">
        <is>
          <t>ШТ</t>
        </is>
      </c>
      <c r="D65" s="73" t="n">
        <v>1001215576586</v>
      </c>
      <c r="E65" s="24" t="n"/>
      <c r="F65" s="23" t="n">
        <v>0.09</v>
      </c>
      <c r="G65" s="23">
        <f>E65*F65</f>
        <v/>
      </c>
      <c r="H65" s="14" t="n"/>
      <c r="I65" s="14" t="n"/>
      <c r="J65" s="29" t="n"/>
    </row>
    <row r="66" ht="16.5" customHeight="1">
      <c r="A66" s="59">
        <f>RIGHT(D66,4)</f>
        <v/>
      </c>
      <c r="B66" s="79" t="inlineStr">
        <is>
          <t>МРАМОРНАЯ ПРЕМИУМ в/к в/у 0.33кг 8шт.</t>
        </is>
      </c>
      <c r="C66" s="72" t="inlineStr">
        <is>
          <t>ШТ</t>
        </is>
      </c>
      <c r="D66" s="73" t="n">
        <v>1001304527144</v>
      </c>
      <c r="E66" s="24" t="n"/>
      <c r="F66" s="23" t="n">
        <v>0.33</v>
      </c>
      <c r="G66" s="23">
        <f>F66*E66</f>
        <v/>
      </c>
      <c r="H66" s="14" t="n"/>
      <c r="I66" s="14" t="n"/>
      <c r="J66" s="29" t="n"/>
    </row>
    <row r="67" ht="16.5" customHeight="1">
      <c r="A67" s="59">
        <f>RIGHT(D67,4)</f>
        <v/>
      </c>
      <c r="B67" s="79" t="inlineStr">
        <is>
          <t>МРАМОРНАЯ ПРЕМИУМ в/к в/у</t>
        </is>
      </c>
      <c r="C67" s="72" t="inlineStr">
        <is>
          <t>КГ</t>
        </is>
      </c>
      <c r="D67" s="73" t="n">
        <v>1001304527146</v>
      </c>
      <c r="E67" s="24" t="n"/>
      <c r="F67" s="23" t="n"/>
      <c r="G67" s="23">
        <f>E67</f>
        <v/>
      </c>
      <c r="H67" s="14" t="n"/>
      <c r="I67" s="14" t="n"/>
      <c r="J67" s="29" t="n"/>
    </row>
    <row r="68" ht="16.5" customHeight="1">
      <c r="A68" s="59">
        <f>RIGHT(D68,4)</f>
        <v/>
      </c>
      <c r="B68" s="79" t="inlineStr">
        <is>
          <t>БАЛЫКОВАЯ Коровино п/к в/у 0.84кг_50с</t>
        </is>
      </c>
      <c r="C68" s="72" t="inlineStr">
        <is>
          <t>КГ</t>
        </is>
      </c>
      <c r="D68" s="73" t="n">
        <v>1001303637149</v>
      </c>
      <c r="E68" s="24" t="n"/>
      <c r="F68" s="23" t="n"/>
      <c r="G68" s="23">
        <f>E68</f>
        <v/>
      </c>
      <c r="H68" s="14" t="n"/>
      <c r="I68" s="14" t="n"/>
      <c r="J68" s="29" t="n"/>
    </row>
    <row r="69" ht="16.5" customHeight="1">
      <c r="A69" s="59">
        <f>RIGHT(D69,4)</f>
        <v/>
      </c>
      <c r="B69" s="79" t="inlineStr">
        <is>
          <t>БАЛЫКОВАЯ в/к в/у 0.84кг</t>
        </is>
      </c>
      <c r="C69" s="72" t="inlineStr">
        <is>
          <t>КГ</t>
        </is>
      </c>
      <c r="D69" s="73" t="n">
        <v>1001303637131</v>
      </c>
      <c r="E69" s="24" t="n">
        <v>100</v>
      </c>
      <c r="F69" s="23" t="n"/>
      <c r="G69" s="23">
        <f>E69</f>
        <v/>
      </c>
      <c r="H69" s="14" t="n"/>
      <c r="I69" s="14" t="n"/>
      <c r="J69" s="29" t="n"/>
    </row>
    <row r="70" ht="16.5" customHeight="1">
      <c r="A70" s="59">
        <f>RIGHT(D70,4)</f>
        <v/>
      </c>
      <c r="B70" s="79" t="inlineStr">
        <is>
          <t>БАЛЫКОВАЯ ПМ п/к в/у 0.31кг 8шт_209к</t>
        </is>
      </c>
      <c r="C70" s="72" t="inlineStr">
        <is>
          <t>ШТ</t>
        </is>
      </c>
      <c r="D70" s="73" t="n">
        <v>1001303637233</v>
      </c>
      <c r="E70" s="24" t="n">
        <v>120</v>
      </c>
      <c r="F70" s="23" t="n">
        <v>0.31</v>
      </c>
      <c r="G70" s="23">
        <f>F70*E70</f>
        <v/>
      </c>
      <c r="H70" s="14" t="n"/>
      <c r="I70" s="14" t="n"/>
      <c r="J70" s="29" t="n"/>
    </row>
    <row r="71" ht="16.5" customHeight="1">
      <c r="A71" s="59">
        <f>RIGHT(D71,4)</f>
        <v/>
      </c>
      <c r="B71" s="50" t="inlineStr">
        <is>
          <t>БОЯNСКАЯ Папа может п/к в/у 0.28кг 8шт.</t>
        </is>
      </c>
      <c r="C71" s="72" t="inlineStr">
        <is>
          <t>ШТ</t>
        </is>
      </c>
      <c r="D71" s="73" t="n">
        <v>1001302276666</v>
      </c>
      <c r="E71" s="24" t="n"/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59">
        <f>RIGHT(D72,4)</f>
        <v/>
      </c>
      <c r="B72" s="79" t="inlineStr">
        <is>
          <t>БОЯNСКАЯ ПМ п/к в/у 0.28кг 8шт_50с</t>
        </is>
      </c>
      <c r="C72" s="72" t="inlineStr">
        <is>
          <t>ШТ</t>
        </is>
      </c>
      <c r="D72" s="73" t="n">
        <v>1001302277173</v>
      </c>
      <c r="E72" s="24" t="n"/>
      <c r="F72" s="23" t="n">
        <v>0.28</v>
      </c>
      <c r="G72" s="23">
        <f>E72*F72</f>
        <v/>
      </c>
      <c r="H72" s="14" t="n"/>
      <c r="I72" s="14" t="n"/>
      <c r="J72" s="29" t="n"/>
    </row>
    <row r="73" ht="16.5" customHeight="1">
      <c r="A73" s="59">
        <f>RIGHT(D73,4)</f>
        <v/>
      </c>
      <c r="B73" s="79" t="inlineStr">
        <is>
          <t>БОЯNСКАЯ ПМ п/к в/у 0.28кг 8шт_209к</t>
        </is>
      </c>
      <c r="C73" s="72" t="inlineStr">
        <is>
          <t>ШТ</t>
        </is>
      </c>
      <c r="D73" s="73" t="n">
        <v>1001302277232</v>
      </c>
      <c r="E73" s="24" t="n">
        <v>340</v>
      </c>
      <c r="F73" s="23" t="n">
        <v>0.28</v>
      </c>
      <c r="G73" s="23">
        <f>E73*F73</f>
        <v/>
      </c>
      <c r="H73" s="14" t="n"/>
      <c r="I73" s="14" t="n"/>
      <c r="J73" s="29" t="n"/>
    </row>
    <row r="74" ht="16.5" customHeight="1">
      <c r="A74" s="59">
        <f>RIGHT(D74,4)</f>
        <v/>
      </c>
      <c r="B74" s="50" t="inlineStr">
        <is>
          <t>САЛЯМИ Папа может п/к в/у 0.28кг 8шт.</t>
        </is>
      </c>
      <c r="C74" s="72" t="inlineStr">
        <is>
          <t>ШТ</t>
        </is>
      </c>
      <c r="D74" s="73" t="n">
        <v>1001303106773</v>
      </c>
      <c r="E74" s="24" t="n"/>
      <c r="F74" s="23" t="n">
        <v>0.28</v>
      </c>
      <c r="G74" s="23">
        <f>E74*F74</f>
        <v/>
      </c>
      <c r="H74" s="14" t="n">
        <v>2.24</v>
      </c>
      <c r="I74" s="14" t="n">
        <v>45</v>
      </c>
      <c r="J74" s="29" t="n"/>
    </row>
    <row r="75" ht="16.5" customHeight="1">
      <c r="A75" s="59">
        <f>RIGHT(D75,4)</f>
        <v/>
      </c>
      <c r="B75" s="50" t="inlineStr">
        <is>
          <t>САЛЯМИ Папа может п/к в/у 0.28кг_209к</t>
        </is>
      </c>
      <c r="C75" s="72" t="inlineStr">
        <is>
          <t>ШТ</t>
        </is>
      </c>
      <c r="D75" s="73" t="n">
        <v>1001303107241</v>
      </c>
      <c r="E75" s="24" t="n">
        <v>370</v>
      </c>
      <c r="F75" s="23" t="n">
        <v>0.28</v>
      </c>
      <c r="G75" s="23">
        <f>E75*F75</f>
        <v/>
      </c>
      <c r="H75" s="14" t="n"/>
      <c r="I75" s="14" t="n"/>
      <c r="J75" s="29" t="n"/>
    </row>
    <row r="76" ht="16.5" customHeight="1">
      <c r="A76" s="59">
        <f>RIGHT(D76,4)</f>
        <v/>
      </c>
      <c r="B76" s="50" t="inlineStr">
        <is>
          <t>СЕРВЕЛАТ ЗЕРНИСТЫЙ ПМ в/к в/у срез 1/350</t>
        </is>
      </c>
      <c r="C76" s="72" t="inlineStr">
        <is>
          <t>ШТ</t>
        </is>
      </c>
      <c r="D76" s="73" t="n">
        <v>1001300386683</v>
      </c>
      <c r="E76" s="24" t="n"/>
      <c r="F76" s="23" t="n">
        <v>0.35</v>
      </c>
      <c r="G76" s="23">
        <f>E76*F76</f>
        <v/>
      </c>
      <c r="H76" s="14" t="n">
        <v>2.8</v>
      </c>
      <c r="I76" s="14" t="n">
        <v>45</v>
      </c>
      <c r="J76" s="29" t="n"/>
    </row>
    <row r="77" ht="15.75" customHeight="1">
      <c r="A77" s="59">
        <f>RIGHT(D77,4)</f>
        <v/>
      </c>
      <c r="B77" s="79" t="inlineStr">
        <is>
          <t>СЕРВЕЛАТ ЗЕРНИСТЫЙ Папа может в/к в/у</t>
        </is>
      </c>
      <c r="C77" s="72" t="inlineStr">
        <is>
          <t>КГ</t>
        </is>
      </c>
      <c r="D77" s="73" t="n">
        <v>1001050385489</v>
      </c>
      <c r="E77" s="24" t="n"/>
      <c r="F77" s="23" t="n"/>
      <c r="G77" s="23">
        <f>E77</f>
        <v/>
      </c>
      <c r="H77" s="14" t="n"/>
      <c r="I77" s="14" t="n"/>
      <c r="J77" s="29" t="n"/>
    </row>
    <row r="78" ht="16.5" customHeight="1">
      <c r="A78" s="59">
        <f>RIGHT(D78,4)</f>
        <v/>
      </c>
      <c r="B78" s="52" t="inlineStr">
        <is>
          <t>СЕРВЕЛАТ КРЕМЛЕВСКИЙ в/к в/у 0.33кг 8шт.</t>
        </is>
      </c>
      <c r="C78" s="53" t="inlineStr">
        <is>
          <t>ШТ</t>
        </is>
      </c>
      <c r="D78" s="54" t="n">
        <v>1001300456787</v>
      </c>
      <c r="E78" s="24" t="n"/>
      <c r="F78" s="74" t="n">
        <v>0.33</v>
      </c>
      <c r="G78" s="23">
        <f>E78*F78</f>
        <v/>
      </c>
      <c r="H78" s="75" t="n">
        <v>5.04</v>
      </c>
      <c r="I78" s="75" t="n">
        <v>45</v>
      </c>
      <c r="J78" s="75" t="n"/>
    </row>
    <row r="79" ht="16.5" customHeight="1">
      <c r="A79" s="59">
        <f>RIGHT(D79,4)</f>
        <v/>
      </c>
      <c r="B79" s="50" t="inlineStr">
        <is>
          <t>СЕРВЕЛАТ ФИНСКИЙ ПМ в/к в/у 0.35кг 8шт.</t>
        </is>
      </c>
      <c r="C79" s="72" t="inlineStr">
        <is>
          <t>ШТ</t>
        </is>
      </c>
      <c r="D79" s="73" t="n">
        <v>1001301876697</v>
      </c>
      <c r="E79" s="24" t="n">
        <v>360</v>
      </c>
      <c r="F79" s="23" t="n">
        <v>0.35</v>
      </c>
      <c r="G79" s="23">
        <f>E79*F79</f>
        <v/>
      </c>
      <c r="H79" s="14" t="n">
        <v>2.8</v>
      </c>
      <c r="I79" s="14" t="n">
        <v>45</v>
      </c>
      <c r="J79" s="29" t="n"/>
    </row>
    <row r="80" ht="16.5" customHeight="1">
      <c r="A80" s="59">
        <f>RIGHT(D80,4)</f>
        <v/>
      </c>
      <c r="B80" s="50" t="inlineStr">
        <is>
          <t>СЕРВЕЛАТ ШВАРЦЕР ПМ в/к в/у 0.28кг 8шт.</t>
        </is>
      </c>
      <c r="C80" s="72" t="inlineStr">
        <is>
          <t>ШТ</t>
        </is>
      </c>
      <c r="D80" s="73" t="n">
        <v>1001304496701</v>
      </c>
      <c r="E80" s="24" t="n"/>
      <c r="F80" s="23" t="n">
        <v>0.28</v>
      </c>
      <c r="G80" s="23">
        <f>E80*F80</f>
        <v/>
      </c>
      <c r="H80" s="14" t="n">
        <v>2.24</v>
      </c>
      <c r="I80" s="14" t="n">
        <v>45</v>
      </c>
      <c r="J80" s="29" t="n"/>
    </row>
    <row r="81" ht="16.5" customHeight="1">
      <c r="A81" s="59">
        <f>RIGHT(D81,4)</f>
        <v/>
      </c>
      <c r="B81" s="50" t="inlineStr">
        <is>
          <t>СЕРВЕЛАТ ШВАРЦЕР ПМ в/к в/у 0.28кг_209к</t>
        </is>
      </c>
      <c r="C81" s="72" t="inlineStr">
        <is>
          <t>ШТ</t>
        </is>
      </c>
      <c r="D81" s="73" t="n">
        <v>1001304497237</v>
      </c>
      <c r="E81" s="24" t="n">
        <v>140</v>
      </c>
      <c r="F81" s="23" t="n">
        <v>0.28</v>
      </c>
      <c r="G81" s="23">
        <f>E81*F81</f>
        <v/>
      </c>
      <c r="H81" s="14" t="n"/>
      <c r="I81" s="14" t="n"/>
      <c r="J81" s="29" t="n"/>
    </row>
    <row r="82" ht="16.5" customHeight="1">
      <c r="A82" s="59">
        <f>RIGHT(D82,4)</f>
        <v/>
      </c>
      <c r="B82" s="52" t="inlineStr">
        <is>
          <t>СЕРВЕЛАТ КАРЕЛЬСКИЙ ПМ в/к в/у 0.28кг</t>
        </is>
      </c>
      <c r="C82" s="53" t="inlineStr">
        <is>
          <t>ШТ</t>
        </is>
      </c>
      <c r="D82" s="54" t="n">
        <v>1001304506684</v>
      </c>
      <c r="E82" s="24" t="n"/>
      <c r="F82" s="23" t="n">
        <v>0.28</v>
      </c>
      <c r="G82" s="23">
        <f>E82*F82</f>
        <v/>
      </c>
      <c r="H82" s="14" t="n">
        <v>2.24</v>
      </c>
      <c r="I82" s="14" t="n">
        <v>45</v>
      </c>
      <c r="J82" s="29" t="n"/>
    </row>
    <row r="83" ht="16.5" customHeight="1">
      <c r="A83" s="59">
        <f>RIGHT(D83,4)</f>
        <v/>
      </c>
      <c r="B83" s="57" t="inlineStr">
        <is>
          <t>СЕРВЕЛАТ ОХОТНИЧИЙ в/к в/у срез 0.35кг</t>
        </is>
      </c>
      <c r="C83" s="53" t="inlineStr">
        <is>
          <t>шт</t>
        </is>
      </c>
      <c r="D83" s="54" t="n">
        <v>1001303986689</v>
      </c>
      <c r="E83" s="24" t="n"/>
      <c r="F83" s="23" t="n">
        <v>0.35</v>
      </c>
      <c r="G83" s="23">
        <f>E83*F83</f>
        <v/>
      </c>
      <c r="H83" s="14" t="n">
        <v>2.8</v>
      </c>
      <c r="I83" s="14" t="n">
        <v>45</v>
      </c>
      <c r="J83" s="29" t="n"/>
    </row>
    <row r="84" ht="16.5" customHeight="1">
      <c r="A84" s="59">
        <f>RIGHT(D84,4)</f>
        <v/>
      </c>
      <c r="B84" s="79" t="inlineStr">
        <is>
          <t>СЕРВЕЛАТ ЗЕРНИСТЫЙ ПМ в/к в/у_50с</t>
        </is>
      </c>
      <c r="C84" s="72" t="inlineStr">
        <is>
          <t>КГ</t>
        </is>
      </c>
      <c r="D84" s="73" t="n">
        <v>1001300387157</v>
      </c>
      <c r="E84" s="24" t="n">
        <v>500</v>
      </c>
      <c r="F84" s="23" t="n"/>
      <c r="G84" s="23">
        <f>E84</f>
        <v/>
      </c>
      <c r="H84" s="14" t="n"/>
      <c r="I84" s="14" t="n"/>
      <c r="J84" s="29" t="n"/>
    </row>
    <row r="85" ht="16.5" customHeight="1">
      <c r="A85" s="59">
        <f>RIGHT(D85,4)</f>
        <v/>
      </c>
      <c r="B85" s="79" t="inlineStr">
        <is>
          <t>СЕРВЕЛАТ ОХОТНИЧИЙ ПМ в/к в/у_50с</t>
        </is>
      </c>
      <c r="C85" s="72" t="inlineStr">
        <is>
          <t>КГ</t>
        </is>
      </c>
      <c r="D85" s="73" t="n">
        <v>1001303987166</v>
      </c>
      <c r="E85" s="24" t="n">
        <v>650</v>
      </c>
      <c r="F85" s="23" t="n"/>
      <c r="G85" s="23">
        <f>E85</f>
        <v/>
      </c>
      <c r="H85" s="14" t="n"/>
      <c r="I85" s="14" t="n"/>
      <c r="J85" s="29" t="n"/>
    </row>
    <row r="86" ht="16.5" customHeight="1">
      <c r="A86" s="59">
        <f>RIGHT(D86,4)</f>
        <v/>
      </c>
      <c r="B86" s="79" t="inlineStr">
        <is>
          <t>СЕРВЕЛАТ ЗЕРНИСТЫЙ ПМ в/к в/у 0.35кг_50с</t>
        </is>
      </c>
      <c r="C86" s="72" t="inlineStr">
        <is>
          <t>ШТ</t>
        </is>
      </c>
      <c r="D86" s="73" t="n">
        <v>1001300387154</v>
      </c>
      <c r="E86" s="24" t="n">
        <v>440</v>
      </c>
      <c r="F86" s="23" t="n">
        <v>0.35</v>
      </c>
      <c r="G86" s="23">
        <f>E86*F86</f>
        <v/>
      </c>
      <c r="H86" s="14" t="n"/>
      <c r="I86" s="14" t="n"/>
      <c r="J86" s="29" t="n"/>
    </row>
    <row r="87" ht="16.5" customHeight="1">
      <c r="A87" s="59">
        <f>RIGHT(D87,4)</f>
        <v/>
      </c>
      <c r="B87" s="79" t="inlineStr">
        <is>
          <t>СЕРВЕЛАТ ОХОТНИЧИЙ ПМ в/к в/у 0.35кг_50с</t>
        </is>
      </c>
      <c r="C87" s="72" t="inlineStr">
        <is>
          <t>ШТ</t>
        </is>
      </c>
      <c r="D87" s="73" t="n">
        <v>1001303987169</v>
      </c>
      <c r="E87" s="24" t="n"/>
      <c r="F87" s="23" t="n">
        <v>0.35</v>
      </c>
      <c r="G87" s="23">
        <f>E87*F87</f>
        <v/>
      </c>
      <c r="H87" s="14" t="n"/>
      <c r="I87" s="14" t="n"/>
      <c r="J87" s="29" t="n"/>
    </row>
    <row r="88" ht="16.5" customHeight="1">
      <c r="A88" s="59">
        <f>RIGHT(D88,4)</f>
        <v/>
      </c>
      <c r="B88" s="79" t="inlineStr">
        <is>
          <t>СЕРВЕЛАТ ОХОТНИЧИЙ в/к в/у</t>
        </is>
      </c>
      <c r="C88" s="72" t="inlineStr">
        <is>
          <t>КГ</t>
        </is>
      </c>
      <c r="D88" s="73" t="n">
        <v>1001053985341</v>
      </c>
      <c r="E88" s="24" t="n"/>
      <c r="F88" s="23" t="n">
        <v>0.695</v>
      </c>
      <c r="G88" s="23">
        <f>E88</f>
        <v/>
      </c>
      <c r="H88" s="14" t="n">
        <v>5.56</v>
      </c>
      <c r="I88" s="14" t="n">
        <v>45</v>
      </c>
      <c r="J88" s="29" t="n"/>
    </row>
    <row r="89" ht="15.75" customHeight="1">
      <c r="A89" s="59">
        <f>RIGHT(D89,4)</f>
        <v/>
      </c>
      <c r="B89" s="79" t="inlineStr">
        <is>
          <t>СЕРВЕЛАТ ФИНСКИЙ в/к в/у_45с</t>
        </is>
      </c>
      <c r="C89" s="72" t="inlineStr">
        <is>
          <t>КГ</t>
        </is>
      </c>
      <c r="D89" s="73" t="n">
        <v>1001051875544</v>
      </c>
      <c r="E89" s="24" t="n">
        <v>660</v>
      </c>
      <c r="F89" s="23" t="n">
        <v>0.834</v>
      </c>
      <c r="G89" s="23">
        <f>E89</f>
        <v/>
      </c>
      <c r="H89" s="14" t="n">
        <v>5</v>
      </c>
      <c r="I89" s="14" t="n">
        <v>45</v>
      </c>
      <c r="J89" s="29" t="n"/>
    </row>
    <row r="90" ht="15.75" customHeight="1">
      <c r="A90" s="59">
        <f>RIGHT(D90,4)</f>
        <v/>
      </c>
      <c r="B90" s="79" t="inlineStr">
        <is>
          <t>СЕРВЕЛАТ ЕВРОПЕЙСКИЙ в/к в/у</t>
        </is>
      </c>
      <c r="C90" s="72" t="inlineStr">
        <is>
          <t>КГ</t>
        </is>
      </c>
      <c r="D90" s="73" t="n">
        <v>1001300366790</v>
      </c>
      <c r="E90" s="24" t="n"/>
      <c r="F90" s="23" t="n">
        <v>1</v>
      </c>
      <c r="G90" s="23">
        <f>E90</f>
        <v/>
      </c>
      <c r="H90" s="14" t="n"/>
      <c r="I90" s="14" t="n">
        <v>45</v>
      </c>
      <c r="J90" s="71" t="n"/>
    </row>
    <row r="91" ht="15.75" customHeight="1">
      <c r="A91" s="59">
        <f>RIGHT(D91,4)</f>
        <v/>
      </c>
      <c r="B91" s="79" t="inlineStr">
        <is>
          <t>СЕРВЕЛАТ ЕВРОПЕЙСКИЙ в/к в/у 0.84кг</t>
        </is>
      </c>
      <c r="C91" s="72" t="inlineStr">
        <is>
          <t>КГ</t>
        </is>
      </c>
      <c r="D91" s="73" t="n">
        <v>1001300367133</v>
      </c>
      <c r="E91" s="24" t="n">
        <v>90</v>
      </c>
      <c r="F91" s="23" t="n"/>
      <c r="G91" s="23">
        <f>E91</f>
        <v/>
      </c>
      <c r="H91" s="14" t="n"/>
      <c r="I91" s="14" t="n"/>
      <c r="J91" s="71" t="n"/>
    </row>
    <row r="92" ht="15.75" customHeight="1">
      <c r="A92" s="59">
        <f>RIGHT(D92,4)</f>
        <v/>
      </c>
      <c r="B92" s="79" t="inlineStr">
        <is>
          <t>СЕРВЕЛАТ ПРЕМИУМ в/к в/у 0.33кг 8шт.</t>
        </is>
      </c>
      <c r="C92" s="72" t="inlineStr">
        <is>
          <t>ШТ</t>
        </is>
      </c>
      <c r="D92" s="73" t="n">
        <v>1001304096791</v>
      </c>
      <c r="E92" s="24" t="n"/>
      <c r="F92" s="23" t="n">
        <v>0.33</v>
      </c>
      <c r="G92" s="23">
        <f>E92*F92</f>
        <v/>
      </c>
      <c r="H92" s="14" t="n"/>
      <c r="I92" s="14" t="n">
        <v>45</v>
      </c>
      <c r="J92" s="71" t="n"/>
    </row>
    <row r="93" ht="15.75" customHeight="1">
      <c r="A93" s="59">
        <f>RIGHT(D93,4)</f>
        <v/>
      </c>
      <c r="B93" s="79" t="inlineStr">
        <is>
          <t>СЕРВЕЛАТ ПРЕМИУМ в/к в/у</t>
        </is>
      </c>
      <c r="C93" s="72" t="inlineStr">
        <is>
          <t>КГ</t>
        </is>
      </c>
      <c r="D93" s="73" t="n">
        <v>1001304096792</v>
      </c>
      <c r="E93" s="24" t="n"/>
      <c r="F93" s="23" t="n">
        <v>1</v>
      </c>
      <c r="G93" s="23">
        <f>E93</f>
        <v/>
      </c>
      <c r="H93" s="14" t="n"/>
      <c r="I93" s="14" t="n">
        <v>45</v>
      </c>
      <c r="J93" s="71" t="n"/>
    </row>
    <row r="94" ht="15.75" customHeight="1">
      <c r="A94" s="59">
        <f>RIGHT(D94,4)</f>
        <v/>
      </c>
      <c r="B94" s="79" t="inlineStr">
        <is>
          <t>СЕРВЕЛАТ ОРЕХОВЫЙ ПМ в/к в/у 0.31кг 8шт.</t>
        </is>
      </c>
      <c r="C94" s="72" t="inlineStr">
        <is>
          <t>ШТ</t>
        </is>
      </c>
      <c r="D94" s="73" t="n">
        <v>1001305196564</v>
      </c>
      <c r="E94" s="24" t="n"/>
      <c r="F94" s="23" t="n">
        <v>0.31</v>
      </c>
      <c r="G94" s="23">
        <f>F94*E94</f>
        <v/>
      </c>
      <c r="H94" s="14" t="n"/>
      <c r="I94" s="14" t="n"/>
      <c r="J94" s="71" t="n"/>
    </row>
    <row r="95" ht="15.75" customHeight="1">
      <c r="A95" s="59">
        <f>RIGHT(D95,4)</f>
        <v/>
      </c>
      <c r="B95" s="79" t="inlineStr">
        <is>
          <t>СЕРВЕЛАТ ОРЕХОВЫЙ в/к в/у 0.31кг_209к</t>
        </is>
      </c>
      <c r="C95" s="72" t="inlineStr">
        <is>
          <t>ШТ</t>
        </is>
      </c>
      <c r="D95" s="73" t="n">
        <v>1001305197238</v>
      </c>
      <c r="E95" s="24" t="n">
        <v>80</v>
      </c>
      <c r="F95" s="23" t="n">
        <v>0.31</v>
      </c>
      <c r="G95" s="23">
        <f>F95*E95</f>
        <v/>
      </c>
      <c r="H95" s="14" t="n"/>
      <c r="I95" s="14" t="n"/>
      <c r="J95" s="71" t="n"/>
    </row>
    <row r="96" ht="15.75" customHeight="1">
      <c r="A96" s="59">
        <f>RIGHT(D96,4)</f>
        <v/>
      </c>
      <c r="B96" s="79" t="inlineStr">
        <is>
          <t>СЕРВЕЛАТ С АРОМ.ТРАВАМИ в/к в/у 0.31кг</t>
        </is>
      </c>
      <c r="C96" s="72" t="inlineStr">
        <is>
          <t>ШТ</t>
        </is>
      </c>
      <c r="D96" s="73" t="n">
        <v>1001305316565</v>
      </c>
      <c r="E96" s="24" t="n"/>
      <c r="F96" s="23" t="n">
        <v>0.31</v>
      </c>
      <c r="G96" s="23">
        <f>F96*E96</f>
        <v/>
      </c>
      <c r="H96" s="14" t="n"/>
      <c r="I96" s="14" t="n"/>
      <c r="J96" s="71" t="n"/>
    </row>
    <row r="97" ht="15.75" customHeight="1">
      <c r="A97" s="59">
        <f>RIGHT(D97,4)</f>
        <v/>
      </c>
      <c r="B97" s="79" t="inlineStr">
        <is>
          <t>СЕРВЕЛАТ С АРОМ.ТРАВ. в/к в/у 0.31кг_209к</t>
        </is>
      </c>
      <c r="C97" s="72" t="inlineStr">
        <is>
          <t>ШТ</t>
        </is>
      </c>
      <c r="D97" s="73" t="n">
        <v>1001305317240</v>
      </c>
      <c r="E97" s="24" t="n"/>
      <c r="F97" s="23" t="n">
        <v>0.31</v>
      </c>
      <c r="G97" s="23">
        <f>F97*E97</f>
        <v/>
      </c>
      <c r="H97" s="14" t="n"/>
      <c r="I97" s="14" t="n"/>
      <c r="J97" s="71" t="n"/>
    </row>
    <row r="98" ht="15.75" customHeight="1">
      <c r="A98" s="59">
        <f>RIGHT(D98,4)</f>
        <v/>
      </c>
      <c r="B98" s="79" t="inlineStr">
        <is>
          <t>СЕРВЕЛАТ КАРЕЛЬСКИЙ в/к в/у 0.28кг_209к</t>
        </is>
      </c>
      <c r="C98" s="72" t="inlineStr">
        <is>
          <t>ШТ</t>
        </is>
      </c>
      <c r="D98" s="73" t="n">
        <v>1001304507236</v>
      </c>
      <c r="E98" s="24" t="n"/>
      <c r="F98" s="23" t="n">
        <v>0.28</v>
      </c>
      <c r="G98" s="23">
        <f>F98*E98</f>
        <v/>
      </c>
      <c r="H98" s="14" t="n"/>
      <c r="I98" s="14" t="n"/>
      <c r="J98" s="71" t="n"/>
    </row>
    <row r="99" ht="15.75" customHeight="1">
      <c r="A99" s="59">
        <f>RIGHT(D99,4)</f>
        <v/>
      </c>
      <c r="B99" s="79" t="inlineStr">
        <is>
          <t>ЧЕСНОЧНАЯ ПМ п/к в/у 0.35кг 8шт_50с</t>
        </is>
      </c>
      <c r="C99" s="72" t="inlineStr">
        <is>
          <t>ШТ</t>
        </is>
      </c>
      <c r="D99" s="73" t="n">
        <v>1001302347177</v>
      </c>
      <c r="E99" s="24" t="n">
        <v>40</v>
      </c>
      <c r="F99" s="23" t="n">
        <v>0.35</v>
      </c>
      <c r="G99" s="23">
        <f>F99*E99</f>
        <v/>
      </c>
      <c r="H99" s="14" t="n"/>
      <c r="I99" s="14" t="n"/>
      <c r="J99" s="71" t="n"/>
    </row>
    <row r="100" ht="15.75" customHeight="1">
      <c r="A100" s="59">
        <f>RIGHT(D100,4)</f>
        <v/>
      </c>
      <c r="B100" s="79" t="inlineStr">
        <is>
          <t>БАЛЫКОВАЯ в/к в/у 0.33кг 8шт.</t>
        </is>
      </c>
      <c r="C100" s="72" t="inlineStr">
        <is>
          <t>ШТ</t>
        </is>
      </c>
      <c r="D100" s="73" t="n">
        <v>1001303636793</v>
      </c>
      <c r="E100" s="24" t="n"/>
      <c r="F100" s="23" t="n">
        <v>0.33</v>
      </c>
      <c r="G100" s="23">
        <f>E100*F100</f>
        <v/>
      </c>
      <c r="H100" s="14" t="n"/>
      <c r="I100" s="14" t="n">
        <v>45</v>
      </c>
      <c r="J100" s="71" t="n"/>
    </row>
    <row r="101" ht="15.75" customHeight="1">
      <c r="A101" s="59">
        <f>RIGHT(D101,4)</f>
        <v/>
      </c>
      <c r="B101" s="79" t="inlineStr">
        <is>
          <t>БАЛЫКОВАЯ в/к в/у</t>
        </is>
      </c>
      <c r="C101" s="72" t="inlineStr">
        <is>
          <t>КГ</t>
        </is>
      </c>
      <c r="D101" s="73" t="n">
        <v>1001303636794</v>
      </c>
      <c r="E101" s="24" t="n"/>
      <c r="F101" s="23" t="n">
        <v>1</v>
      </c>
      <c r="G101" s="23">
        <f>E101</f>
        <v/>
      </c>
      <c r="H101" s="14" t="n"/>
      <c r="I101" s="14" t="n">
        <v>45</v>
      </c>
      <c r="J101" s="71" t="n"/>
    </row>
    <row r="102" ht="15.75" customHeight="1">
      <c r="A102" s="59">
        <f>RIGHT(D102,4)</f>
        <v/>
      </c>
      <c r="B102" s="79" t="inlineStr">
        <is>
          <t>БАЛЫКОВАЯ Папа Может п/к в/у 0.31кг 8шт.</t>
        </is>
      </c>
      <c r="C102" s="72" t="inlineStr">
        <is>
          <t>ШТ</t>
        </is>
      </c>
      <c r="D102" s="73" t="n">
        <v>1001303636665</v>
      </c>
      <c r="E102" s="24" t="n"/>
      <c r="F102" s="23" t="n">
        <v>0.31</v>
      </c>
      <c r="G102" s="23">
        <f>F102*E102</f>
        <v/>
      </c>
      <c r="H102" s="14" t="n"/>
      <c r="I102" s="14" t="n"/>
      <c r="J102" s="71" t="n"/>
    </row>
    <row r="103" ht="15.75" customHeight="1">
      <c r="A103" s="59">
        <f>RIGHT(D103,4)</f>
        <v/>
      </c>
      <c r="B103" s="79" t="inlineStr">
        <is>
          <t>ОСТАНКИНСКАЯ в/к в/у 0.33кг 8шт.</t>
        </is>
      </c>
      <c r="C103" s="72" t="inlineStr">
        <is>
          <t>ШТ</t>
        </is>
      </c>
      <c r="D103" s="73" t="n">
        <v>1001302596795</v>
      </c>
      <c r="E103" s="24" t="n"/>
      <c r="F103" s="23" t="n">
        <v>0.33</v>
      </c>
      <c r="G103" s="23">
        <f>E103*F103</f>
        <v/>
      </c>
      <c r="H103" s="14" t="n"/>
      <c r="I103" s="14" t="n">
        <v>45</v>
      </c>
      <c r="J103" s="71" t="n"/>
    </row>
    <row r="104" ht="15.75" customHeight="1">
      <c r="A104" s="59">
        <f>RIGHT(D104,4)</f>
        <v/>
      </c>
      <c r="B104" s="79" t="inlineStr">
        <is>
          <t>ОСТАНКИНСКАЯ в/к в/у</t>
        </is>
      </c>
      <c r="C104" s="72" t="inlineStr">
        <is>
          <t>КГ</t>
        </is>
      </c>
      <c r="D104" s="73" t="n">
        <v>1001302596796</v>
      </c>
      <c r="E104" s="24" t="n"/>
      <c r="F104" s="23" t="n">
        <v>1</v>
      </c>
      <c r="G104" s="23">
        <f>E104</f>
        <v/>
      </c>
      <c r="H104" s="14" t="n"/>
      <c r="I104" s="14" t="n">
        <v>45</v>
      </c>
      <c r="J104" s="71" t="n"/>
    </row>
    <row r="105" ht="15.75" customHeight="1">
      <c r="A105" s="59">
        <f>RIGHT(D105,4)</f>
        <v/>
      </c>
      <c r="B105" s="79" t="inlineStr">
        <is>
          <t>СЕРВЕЛАТ КРЕМЛЕВСКИЙ в/к в/у 0.66кг 8шт.</t>
        </is>
      </c>
      <c r="C105" s="72" t="inlineStr">
        <is>
          <t>ШТ</t>
        </is>
      </c>
      <c r="D105" s="73" t="n">
        <v>1001300456804</v>
      </c>
      <c r="E105" s="24" t="n"/>
      <c r="F105" s="23" t="n">
        <v>0.66</v>
      </c>
      <c r="G105" s="23">
        <f>E105*F105</f>
        <v/>
      </c>
      <c r="H105" s="14" t="n"/>
      <c r="I105" s="14" t="n">
        <v>45</v>
      </c>
      <c r="J105" s="71" t="n"/>
    </row>
    <row r="106" ht="16.5" customHeight="1">
      <c r="A106" s="59">
        <f>RIGHT(D106,4)</f>
        <v/>
      </c>
      <c r="B106" s="79" t="inlineStr">
        <is>
          <t>ВЕНСКАЯ САЛЯМИ п/к в/у 0.66кг 8шт.</t>
        </is>
      </c>
      <c r="C106" s="72" t="inlineStr">
        <is>
          <t>ШТ</t>
        </is>
      </c>
      <c r="D106" s="73" t="n">
        <v>1001300516803</v>
      </c>
      <c r="E106" s="24" t="n"/>
      <c r="F106" s="23" t="n">
        <v>0.66</v>
      </c>
      <c r="G106" s="23">
        <f>E106*F106</f>
        <v/>
      </c>
      <c r="H106" s="14" t="n"/>
      <c r="I106" s="14" t="n">
        <v>45</v>
      </c>
      <c r="J106" s="71" t="n"/>
    </row>
    <row r="107" ht="16.5" customFormat="1" customHeight="1" s="68" thickBot="1">
      <c r="A107" s="59">
        <f>RIGHT(D107,4)</f>
        <v/>
      </c>
      <c r="B107" s="79" t="inlineStr">
        <is>
          <t>СЕРВЕЛАТ ЕВРОПЕЙСКИЙ в/к в/у 0.33кг 8шт.</t>
        </is>
      </c>
      <c r="C107" s="72" t="inlineStr">
        <is>
          <t>ШТ</t>
        </is>
      </c>
      <c r="D107" s="73" t="n">
        <v>1001300366807</v>
      </c>
      <c r="E107" s="24" t="n">
        <v>100</v>
      </c>
      <c r="F107" s="23" t="n">
        <v>0.33</v>
      </c>
      <c r="G107" s="23">
        <f>E107*F107</f>
        <v/>
      </c>
      <c r="H107" s="14" t="n"/>
      <c r="I107" s="14" t="n">
        <v>45</v>
      </c>
      <c r="J107" s="71" t="n"/>
      <c r="K107" s="27" t="n"/>
    </row>
    <row r="108" ht="16.5" customFormat="1" customHeight="1" s="68" thickBot="1" thickTop="1">
      <c r="A108" s="59">
        <f>RIGHT(D108,4)</f>
        <v/>
      </c>
      <c r="B108" s="46" t="inlineStr">
        <is>
          <t>Сырокопченые колбасы</t>
        </is>
      </c>
      <c r="C108" s="46" t="n"/>
      <c r="D108" s="46" t="n"/>
      <c r="E108" s="46" t="n"/>
      <c r="F108" s="46" t="n"/>
      <c r="G108" s="46" t="n"/>
      <c r="H108" s="46" t="n"/>
      <c r="I108" s="46" t="n"/>
      <c r="J108" s="47" t="n"/>
      <c r="K108" s="27" t="n"/>
    </row>
    <row r="109" ht="16.5" customHeight="1" thickTop="1">
      <c r="A109" s="59">
        <f>RIGHT(D109,4)</f>
        <v/>
      </c>
      <c r="B109" s="63" t="inlineStr">
        <is>
          <t>ОХОТНИЧЬЯ Папа может с/к в/у 1/220 8шт.</t>
        </is>
      </c>
      <c r="C109" s="64" t="inlineStr">
        <is>
          <t>ШТ</t>
        </is>
      </c>
      <c r="D109" s="65" t="n">
        <v>1001060755931</v>
      </c>
      <c r="E109" s="24" t="n"/>
      <c r="F109" s="66" t="n">
        <v>0.22</v>
      </c>
      <c r="G109" s="23">
        <f>E109*F109</f>
        <v/>
      </c>
      <c r="H109" s="69" t="n">
        <v>1.76</v>
      </c>
      <c r="I109" s="67" t="n">
        <v>120</v>
      </c>
      <c r="J109" s="67" t="n"/>
    </row>
    <row r="110" ht="16.5" customHeight="1">
      <c r="A110" s="59">
        <f>RIGHT(D110,4)</f>
        <v/>
      </c>
      <c r="B110" s="52" t="inlineStr">
        <is>
          <t>ПОСОЛЬСКАЯ ПМ с/к с/н в/у 1/100 10шт</t>
        </is>
      </c>
      <c r="C110" s="53" t="inlineStr">
        <is>
          <t>ШТ</t>
        </is>
      </c>
      <c r="D110" s="54" t="n">
        <v>1001203146834</v>
      </c>
      <c r="E110" s="24" t="n"/>
      <c r="F110" s="74" t="n">
        <v>0.1</v>
      </c>
      <c r="G110" s="23">
        <f>E110*F110</f>
        <v/>
      </c>
      <c r="H110" s="77" t="n">
        <v>1</v>
      </c>
      <c r="I110" s="75" t="n">
        <v>60</v>
      </c>
      <c r="J110" s="75" t="n"/>
    </row>
    <row r="111" ht="16.5" customHeight="1">
      <c r="A111" s="59">
        <f>RIGHT(D111,4)</f>
        <v/>
      </c>
      <c r="B111" s="79" t="inlineStr">
        <is>
          <t>АРОМАТНАЯ с/к с/н в/у 1/100*8_60с</t>
        </is>
      </c>
      <c r="C111" s="72" t="inlineStr">
        <is>
          <t>шт</t>
        </is>
      </c>
      <c r="D111" s="73" t="n">
        <v>1001201976454</v>
      </c>
      <c r="E111" s="24" t="n">
        <v>100</v>
      </c>
      <c r="F111" s="23" t="n">
        <v>0.1</v>
      </c>
      <c r="G111" s="23">
        <f>E111*F111</f>
        <v/>
      </c>
      <c r="H111" s="14" t="n">
        <v>1</v>
      </c>
      <c r="I111" s="14" t="n">
        <v>60</v>
      </c>
      <c r="J111" s="29" t="n"/>
    </row>
    <row r="112" ht="16.5" customHeight="1">
      <c r="A112" s="59">
        <f>RIGHT(D112,4)</f>
        <v/>
      </c>
      <c r="B112" s="79" t="inlineStr">
        <is>
          <t>ПОСОЛЬСКАЯ Папа может с/к в/у</t>
        </is>
      </c>
      <c r="C112" s="72" t="inlineStr">
        <is>
          <t>КГ</t>
        </is>
      </c>
      <c r="D112" s="73" t="n">
        <v>1001063145708</v>
      </c>
      <c r="E112" s="24" t="n">
        <v>40</v>
      </c>
      <c r="F112" s="23" t="n">
        <v>0.525</v>
      </c>
      <c r="G112" s="23">
        <f>E112</f>
        <v/>
      </c>
      <c r="H112" s="14" t="n">
        <v>4.2</v>
      </c>
      <c r="I112" s="14" t="n">
        <v>120</v>
      </c>
      <c r="J112" s="29" t="n"/>
    </row>
    <row r="113" ht="16.5" customHeight="1">
      <c r="A113" s="59">
        <f>RIGHT(D113,4)</f>
        <v/>
      </c>
      <c r="B113" s="79" t="inlineStr">
        <is>
          <t>ПРАЗДНИЧНАЯ с/к в/с дек.спец.мгс</t>
        </is>
      </c>
      <c r="C113" s="72" t="inlineStr">
        <is>
          <t>КГ</t>
        </is>
      </c>
      <c r="D113" s="73" t="n">
        <v>1001060720614</v>
      </c>
      <c r="E113" s="24" t="n">
        <v>10</v>
      </c>
      <c r="F113" s="23" t="n"/>
      <c r="G113" s="23">
        <f>E113</f>
        <v/>
      </c>
      <c r="H113" s="14" t="n"/>
      <c r="I113" s="14" t="n"/>
      <c r="J113" s="29" t="n"/>
    </row>
    <row r="114" ht="16.5" customHeight="1">
      <c r="A114" s="59">
        <f>RIGHT(D114,4)</f>
        <v/>
      </c>
      <c r="B114" s="79" t="inlineStr">
        <is>
          <t>АРОМАТНАЯ с/к в/у</t>
        </is>
      </c>
      <c r="C114" s="72" t="inlineStr">
        <is>
          <t>КГ</t>
        </is>
      </c>
      <c r="D114" s="73" t="n">
        <v>1001061971146</v>
      </c>
      <c r="E114" s="24" t="n">
        <v>30</v>
      </c>
      <c r="F114" s="23" t="n"/>
      <c r="G114" s="23">
        <f>E114</f>
        <v/>
      </c>
      <c r="H114" s="14" t="n"/>
      <c r="I114" s="14" t="n"/>
      <c r="J114" s="29" t="n"/>
    </row>
    <row r="115" ht="16.5" customHeight="1">
      <c r="A115" s="59">
        <f>RIGHT(D115,4)</f>
        <v/>
      </c>
      <c r="B115" s="79" t="inlineStr">
        <is>
          <t>ЮБИЛЕЙНАЯ с/к в/у_Л</t>
        </is>
      </c>
      <c r="C115" s="72" t="inlineStr">
        <is>
          <t>КГ</t>
        </is>
      </c>
      <c r="D115" s="73" t="n">
        <v>1001062474154</v>
      </c>
      <c r="E115" s="24" t="n"/>
      <c r="F115" s="23" t="n"/>
      <c r="G115" s="23">
        <f>E115</f>
        <v/>
      </c>
      <c r="H115" s="14" t="n"/>
      <c r="I115" s="14" t="n"/>
      <c r="J115" s="29" t="n"/>
    </row>
    <row r="116" ht="16.5" customHeight="1">
      <c r="A116" s="59">
        <f>RIGHT(D116,4)</f>
        <v/>
      </c>
      <c r="B116" s="79" t="inlineStr">
        <is>
          <t>БУРГУНДИЯ Папа может с/к в/у 1/250 8шт.</t>
        </is>
      </c>
      <c r="C116" s="72" t="inlineStr">
        <is>
          <t>ШТ</t>
        </is>
      </c>
      <c r="D116" s="73" t="n">
        <v>1001063656967</v>
      </c>
      <c r="E116" s="24" t="n">
        <v>100</v>
      </c>
      <c r="F116" s="23" t="n">
        <v>0.25</v>
      </c>
      <c r="G116" s="23">
        <f>F116*E116</f>
        <v/>
      </c>
      <c r="H116" s="14" t="n"/>
      <c r="I116" s="14" t="n"/>
      <c r="J116" s="29" t="n"/>
    </row>
    <row r="117" ht="16.5" customHeight="1">
      <c r="A117" s="59">
        <f>RIGHT(D117,4)</f>
        <v/>
      </c>
      <c r="B117" s="79" t="inlineStr">
        <is>
          <t>САЛЯМИ ИТАЛЬЯНСКАЯ с/к в/у 1/250*8_120c</t>
        </is>
      </c>
      <c r="C117" s="72" t="inlineStr">
        <is>
          <t>шт</t>
        </is>
      </c>
      <c r="D117" s="73" t="n">
        <v>1001060764993</v>
      </c>
      <c r="E117" s="24" t="n">
        <v>250</v>
      </c>
      <c r="F117" s="23" t="n">
        <v>0.25</v>
      </c>
      <c r="G117" s="23">
        <f>E117*F117</f>
        <v/>
      </c>
      <c r="H117" s="14" t="n">
        <v>2</v>
      </c>
      <c r="I117" s="14" t="n">
        <v>120</v>
      </c>
      <c r="J117" s="29" t="n"/>
    </row>
    <row r="118" ht="16.5" customHeight="1">
      <c r="A118" s="59">
        <f>RIGHT(D118,4)</f>
        <v/>
      </c>
      <c r="B118" s="79" t="inlineStr">
        <is>
          <t>САЛЯМИ Папа может с/к в/у 1/250 8шт.</t>
        </is>
      </c>
      <c r="C118" s="72" t="inlineStr">
        <is>
          <t>шт</t>
        </is>
      </c>
      <c r="D118" s="73" t="n">
        <v>1001063106937</v>
      </c>
      <c r="E118" s="24" t="n">
        <v>180</v>
      </c>
      <c r="F118" s="23" t="n">
        <v>0.25</v>
      </c>
      <c r="G118" s="23">
        <f>E118*F118</f>
        <v/>
      </c>
      <c r="H118" s="14" t="n"/>
      <c r="I118" s="14" t="n"/>
      <c r="J118" s="29" t="n"/>
    </row>
    <row r="119" ht="16.5" customHeight="1">
      <c r="A119" s="59">
        <f>RIGHT(D119,4)</f>
        <v/>
      </c>
      <c r="B119" s="79" t="inlineStr">
        <is>
          <t>САЛЯМИ МЕЛКОЗЕРНЕНАЯ с/к в/у 1/120_60с</t>
        </is>
      </c>
      <c r="C119" s="72" t="inlineStr">
        <is>
          <t>ШТ</t>
        </is>
      </c>
      <c r="D119" s="73" t="n">
        <v>1001193115682</v>
      </c>
      <c r="E119" s="24" t="n">
        <v>200</v>
      </c>
      <c r="F119" s="23" t="n">
        <v>0.12</v>
      </c>
      <c r="G119" s="23">
        <f>E119*F119</f>
        <v/>
      </c>
      <c r="H119" s="14" t="n">
        <v>0.96</v>
      </c>
      <c r="I119" s="14" t="n">
        <v>60</v>
      </c>
      <c r="J119" s="29" t="n"/>
    </row>
    <row r="120" ht="16.5" customHeight="1">
      <c r="A120" s="59">
        <f>RIGHT(D120,4)</f>
        <v/>
      </c>
      <c r="B120" s="79" t="inlineStr">
        <is>
          <t>САЛЯМИ ИТАЛЬЯНСКАЯ с/к в/у 1/150_60с</t>
        </is>
      </c>
      <c r="C120" s="72" t="inlineStr">
        <is>
          <t>ШТ</t>
        </is>
      </c>
      <c r="D120" s="73" t="n">
        <v>1001190765679</v>
      </c>
      <c r="E120" s="24" t="n">
        <v>100</v>
      </c>
      <c r="F120" s="23" t="n">
        <v>0.15</v>
      </c>
      <c r="G120" s="23">
        <f>F120*E120</f>
        <v/>
      </c>
      <c r="H120" s="14" t="n"/>
      <c r="I120" s="14" t="n"/>
      <c r="J120" s="29" t="n"/>
    </row>
    <row r="121" ht="16.5" customHeight="1">
      <c r="A121" s="59">
        <f>RIGHT(D121,4)</f>
        <v/>
      </c>
      <c r="B121" s="79" t="inlineStr">
        <is>
          <t>ЭКСТРА Папа может с/к в/у_Л</t>
        </is>
      </c>
      <c r="C121" s="72" t="inlineStr">
        <is>
          <t>КГ</t>
        </is>
      </c>
      <c r="D121" s="73" t="n">
        <v>1001062504117</v>
      </c>
      <c r="E121" s="24" t="n">
        <v>40</v>
      </c>
      <c r="F121" s="23" t="n">
        <v>0.507</v>
      </c>
      <c r="G121" s="23">
        <f>E121</f>
        <v/>
      </c>
      <c r="H121" s="14" t="n">
        <v>4.05</v>
      </c>
      <c r="I121" s="14" t="n">
        <v>120</v>
      </c>
      <c r="J121" s="29" t="n"/>
    </row>
    <row r="122" ht="16.5" customHeight="1">
      <c r="A122" s="59">
        <f>RIGHT(D122,4)</f>
        <v/>
      </c>
      <c r="B122" s="79" t="inlineStr">
        <is>
          <t>ЭКСТРА Папа может с/к в/у 1/250 8шт.</t>
        </is>
      </c>
      <c r="C122" s="72" t="inlineStr">
        <is>
          <t>ШТ</t>
        </is>
      </c>
      <c r="D122" s="73" t="n">
        <v>1001062505483</v>
      </c>
      <c r="E122" s="24" t="n">
        <v>200</v>
      </c>
      <c r="F122" s="23" t="n">
        <v>0.25</v>
      </c>
      <c r="G122" s="23">
        <f>E122*F122</f>
        <v/>
      </c>
      <c r="H122" s="14" t="n">
        <v>2</v>
      </c>
      <c r="I122" s="14" t="n">
        <v>120</v>
      </c>
      <c r="J122" s="29" t="n"/>
    </row>
    <row r="123" ht="16.5" customHeight="1">
      <c r="A123" s="59">
        <f>RIGHT(D123,4)</f>
        <v/>
      </c>
      <c r="B123" s="79" t="inlineStr">
        <is>
          <t>ЭКСТРА Папа может с/к с/н в/у 1/100_60с</t>
        </is>
      </c>
      <c r="C123" s="72" t="inlineStr">
        <is>
          <t>шт</t>
        </is>
      </c>
      <c r="D123" s="73" t="n">
        <v>1001202506453</v>
      </c>
      <c r="E123" s="24" t="n"/>
      <c r="F123" s="23" t="n">
        <v>0.1</v>
      </c>
      <c r="G123" s="23">
        <f>E123*F123</f>
        <v/>
      </c>
      <c r="H123" s="14" t="n">
        <v>1.4</v>
      </c>
      <c r="I123" s="14" t="n">
        <v>60</v>
      </c>
      <c r="J123" s="29" t="n"/>
    </row>
    <row r="124" ht="16.5" customHeight="1">
      <c r="A124" s="59">
        <f>RIGHT(D124,4)</f>
        <v/>
      </c>
      <c r="B124" s="79" t="inlineStr">
        <is>
          <t>ОХОТНИЧЬЯ ПМ с/к с/н в/у 1/100 10шт.</t>
        </is>
      </c>
      <c r="C124" s="72" t="inlineStr">
        <is>
          <t>шт</t>
        </is>
      </c>
      <c r="D124" s="73" t="n">
        <v>1001200756557</v>
      </c>
      <c r="E124" s="24" t="n"/>
      <c r="F124" s="23" t="n">
        <v>0.1</v>
      </c>
      <c r="G124" s="23">
        <f>E124*F124</f>
        <v/>
      </c>
      <c r="H124" s="14" t="n"/>
      <c r="I124" s="14" t="n"/>
      <c r="J124" s="29" t="n"/>
    </row>
    <row r="125" ht="16.5" customHeight="1">
      <c r="A125" s="59">
        <f>RIGHT(D125,4)</f>
        <v/>
      </c>
      <c r="B125" s="79" t="inlineStr">
        <is>
          <t>МЯСНОЕ АССОРТИ к/з с/н мгс 1/90 10шт.</t>
        </is>
      </c>
      <c r="C125" s="72" t="inlineStr">
        <is>
          <t>шт</t>
        </is>
      </c>
      <c r="D125" s="73" t="n">
        <v>1001225416228</v>
      </c>
      <c r="E125" s="24" t="n"/>
      <c r="F125" s="23" t="n">
        <v>0.09</v>
      </c>
      <c r="G125" s="23">
        <f>E125*F125</f>
        <v/>
      </c>
      <c r="H125" s="14" t="n"/>
      <c r="I125" s="14" t="n"/>
      <c r="J125" s="29" t="n"/>
    </row>
    <row r="126" ht="16.5" customHeight="1">
      <c r="A126" s="59">
        <f>RIGHT(D126,4)</f>
        <v/>
      </c>
      <c r="B126" s="79" t="inlineStr">
        <is>
          <t>НЕАПОЛИТАНСКИЙ ДУЭТ с/к с/н мгс 1/90</t>
        </is>
      </c>
      <c r="C126" s="72" t="inlineStr">
        <is>
          <t>шт</t>
        </is>
      </c>
      <c r="D126" s="73" t="n">
        <v>1001205376221</v>
      </c>
      <c r="E126" s="24" t="n">
        <v>200</v>
      </c>
      <c r="F126" s="23" t="n">
        <v>0.09</v>
      </c>
      <c r="G126" s="23">
        <f>E126*F126</f>
        <v/>
      </c>
      <c r="H126" s="14" t="n"/>
      <c r="I126" s="14" t="n"/>
      <c r="J126" s="29" t="n"/>
    </row>
    <row r="127" ht="16.5" customHeight="1" thickBot="1">
      <c r="A127" s="59">
        <f>RIGHT(D127,4)</f>
        <v/>
      </c>
      <c r="B127" s="79" t="inlineStr">
        <is>
          <t>САЛЯМИ ИТАЛЬЯНСКАЯ с/к в/у</t>
        </is>
      </c>
      <c r="C127" s="72" t="inlineStr">
        <is>
          <t>КГ</t>
        </is>
      </c>
      <c r="D127" s="73" t="n">
        <v>1001060763287</v>
      </c>
      <c r="E127" s="24" t="n">
        <v>40</v>
      </c>
      <c r="F127" s="23" t="n">
        <v>0.513</v>
      </c>
      <c r="G127" s="23">
        <f>E127</f>
        <v/>
      </c>
      <c r="H127" s="14" t="n">
        <v>4.1</v>
      </c>
      <c r="I127" s="14" t="n">
        <v>120</v>
      </c>
      <c r="J127" s="29" t="n"/>
    </row>
    <row r="128" ht="16.5" customHeight="1" thickBot="1" thickTop="1">
      <c r="A128" s="59">
        <f>RIGHT(D128,4)</f>
        <v/>
      </c>
      <c r="B128" s="46" t="inlineStr">
        <is>
          <t>Ветчины</t>
        </is>
      </c>
      <c r="C128" s="46" t="n"/>
      <c r="D128" s="46" t="n"/>
      <c r="E128" s="46" t="n"/>
      <c r="F128" s="46" t="n"/>
      <c r="G128" s="23" t="n"/>
      <c r="H128" s="46" t="n"/>
      <c r="I128" s="46" t="n"/>
      <c r="J128" s="47" t="n"/>
    </row>
    <row r="129" ht="16.5" customHeight="1" thickTop="1">
      <c r="A129" s="59">
        <f>RIGHT(D129,4)</f>
        <v/>
      </c>
      <c r="B129" s="76" t="inlineStr">
        <is>
          <t>ВЕТЧ.НЕЖНАЯ Коровино п/о_Маяк</t>
        </is>
      </c>
      <c r="C129" s="72" t="inlineStr">
        <is>
          <t>кг</t>
        </is>
      </c>
      <c r="D129" s="78" t="n">
        <v>1001095716866</v>
      </c>
      <c r="E129" s="24" t="n"/>
      <c r="F129" s="23" t="n"/>
      <c r="G129" s="23">
        <f>E129</f>
        <v/>
      </c>
      <c r="H129" s="14" t="n"/>
      <c r="I129" s="14" t="n"/>
      <c r="J129" s="29" t="n"/>
    </row>
    <row r="130" ht="16.5" customHeight="1">
      <c r="A130" s="59">
        <f>RIGHT(D130,4)</f>
        <v/>
      </c>
      <c r="B130" s="79" t="inlineStr">
        <is>
          <t>ВЕТЧ.МЯСНАЯ Папа может п/о 0.4кг 8шт.</t>
        </is>
      </c>
      <c r="C130" s="72" t="inlineStr">
        <is>
          <t>шт</t>
        </is>
      </c>
      <c r="D130" s="42" t="n">
        <v>1001094053215</v>
      </c>
      <c r="E130" s="24" t="n">
        <v>70</v>
      </c>
      <c r="F130" s="23" t="n">
        <v>0.4</v>
      </c>
      <c r="G130" s="23">
        <f>E130*F130</f>
        <v/>
      </c>
      <c r="H130" s="14" t="n">
        <v>3.2</v>
      </c>
      <c r="I130" s="14" t="n">
        <v>60</v>
      </c>
      <c r="J130" s="29" t="n"/>
    </row>
    <row r="131" ht="16.5" customHeight="1">
      <c r="A131" s="59">
        <f>RIGHT(D131,4)</f>
        <v/>
      </c>
      <c r="B131" s="79" t="inlineStr">
        <is>
          <t>ВЕТЧ.ФИРМЕННАЯ С ИНДЕЙКОЙ п/о</t>
        </is>
      </c>
      <c r="C131" s="72" t="inlineStr">
        <is>
          <t>КГ</t>
        </is>
      </c>
      <c r="D131" s="42" t="n">
        <v>1001094966025</v>
      </c>
      <c r="E131" s="24" t="n"/>
      <c r="F131" s="23" t="n"/>
      <c r="G131" s="23">
        <f>E131</f>
        <v/>
      </c>
      <c r="H131" s="14" t="n"/>
      <c r="I131" s="14" t="n"/>
      <c r="J131" s="29" t="n"/>
    </row>
    <row r="132" ht="16.5" customHeight="1">
      <c r="A132" s="59">
        <f>RIGHT(D132,4)</f>
        <v/>
      </c>
      <c r="B132" s="79" t="inlineStr">
        <is>
          <t>ВЕТЧ.МРАМОРНАЯ в/у_45с</t>
        </is>
      </c>
      <c r="C132" s="72" t="inlineStr">
        <is>
          <t>КГ</t>
        </is>
      </c>
      <c r="D132" s="42" t="n">
        <v>1001092436470</v>
      </c>
      <c r="E132" s="24" t="n"/>
      <c r="F132" s="23" t="n"/>
      <c r="G132" s="23">
        <f>E132</f>
        <v/>
      </c>
      <c r="H132" s="14" t="n"/>
      <c r="I132" s="14" t="n"/>
      <c r="J132" s="29" t="n"/>
    </row>
    <row r="133" ht="16.5" customHeight="1">
      <c r="A133" s="59">
        <f>RIGHT(D133,4)</f>
        <v/>
      </c>
      <c r="B133" s="79" t="inlineStr">
        <is>
          <t>ВЕТЧ.ИЗ ЛОПАТКИ Папа может п/о_HRC</t>
        </is>
      </c>
      <c r="C133" s="72" t="inlineStr">
        <is>
          <t>КГ</t>
        </is>
      </c>
      <c r="D133" s="42" t="n">
        <v>1001092674584</v>
      </c>
      <c r="E133" s="24" t="n"/>
      <c r="F133" s="23" t="n"/>
      <c r="G133" s="23">
        <f>E133</f>
        <v/>
      </c>
      <c r="H133" s="14" t="n"/>
      <c r="I133" s="14" t="n"/>
      <c r="J133" s="29" t="n"/>
    </row>
    <row r="134" ht="16.5" customHeight="1">
      <c r="A134" s="59">
        <f>RIGHT(D134,4)</f>
        <v/>
      </c>
      <c r="B134" s="79" t="inlineStr">
        <is>
          <t>ВЕТЧ.МРАМОРНАЯ в/у_С_45с</t>
        </is>
      </c>
      <c r="C134" s="72" t="inlineStr">
        <is>
          <t>КГ</t>
        </is>
      </c>
      <c r="D134" s="42" t="n">
        <v>1001092436472</v>
      </c>
      <c r="E134" s="24" t="n"/>
      <c r="F134" s="23" t="n"/>
      <c r="G134" s="23">
        <f>E134</f>
        <v/>
      </c>
      <c r="H134" s="14" t="n"/>
      <c r="I134" s="14" t="n"/>
      <c r="J134" s="29" t="n"/>
    </row>
    <row r="135" ht="16.5" customHeight="1">
      <c r="A135" s="59">
        <f>RIGHT(D135,4)</f>
        <v/>
      </c>
      <c r="B135" s="50" t="inlineStr">
        <is>
          <t>ВЕТЧ.МЯСНАЯ Папа может п/о</t>
        </is>
      </c>
      <c r="C135" s="72" t="inlineStr">
        <is>
          <t>КГ</t>
        </is>
      </c>
      <c r="D135" s="42" t="n">
        <v>1001092485452</v>
      </c>
      <c r="E135" s="24" t="n">
        <v>80</v>
      </c>
      <c r="F135" s="23" t="n">
        <v>1.367</v>
      </c>
      <c r="G135" s="23">
        <f>E135</f>
        <v/>
      </c>
      <c r="H135" s="14" t="n">
        <v>4.1</v>
      </c>
      <c r="I135" s="14" t="n">
        <v>60</v>
      </c>
      <c r="J135" s="29" t="n"/>
    </row>
    <row r="136" ht="16.5" customHeight="1">
      <c r="A136" s="59">
        <f>RIGHT(D136,4)</f>
        <v/>
      </c>
      <c r="B136" s="50" t="inlineStr">
        <is>
          <t>ВЕТЧ.С ИНДЕЙКОЙ Папа может п/о 400*6</t>
        </is>
      </c>
      <c r="C136" s="72" t="inlineStr">
        <is>
          <t>ШТ</t>
        </is>
      </c>
      <c r="D136" s="42" t="n">
        <v>1001093345495</v>
      </c>
      <c r="E136" s="24" t="n"/>
      <c r="F136" s="23" t="n">
        <v>0.4</v>
      </c>
      <c r="G136" s="23">
        <f>E136*F136</f>
        <v/>
      </c>
      <c r="H136" s="14" t="n">
        <v>2.4</v>
      </c>
      <c r="I136" s="14" t="n">
        <v>60</v>
      </c>
      <c r="J136" s="29" t="n"/>
    </row>
    <row r="137" ht="15.75" customHeight="1" thickBot="1">
      <c r="A137" s="59">
        <f>RIGHT(D137,4)</f>
        <v/>
      </c>
      <c r="B137" s="50" t="inlineStr">
        <is>
          <t>ВЕТЧ.МРАМОРНАЯ в/у срез 0.3кг 6шт_45с</t>
        </is>
      </c>
      <c r="C137" s="72" t="inlineStr">
        <is>
          <t>ШТ</t>
        </is>
      </c>
      <c r="D137" s="42" t="n">
        <v>1001092436495</v>
      </c>
      <c r="E137" s="24" t="n"/>
      <c r="F137" s="23" t="n">
        <v>0.3</v>
      </c>
      <c r="G137" s="23">
        <f>E137*F137</f>
        <v/>
      </c>
      <c r="H137" s="14" t="n">
        <v>1.8</v>
      </c>
      <c r="I137" s="14" t="n">
        <v>45</v>
      </c>
      <c r="J137" s="29" t="n"/>
    </row>
    <row r="138" ht="16.5" customHeight="1" thickBot="1" thickTop="1">
      <c r="A138" s="59">
        <f>RIGHT(D138,4)</f>
        <v/>
      </c>
      <c r="B138" s="46" t="inlineStr">
        <is>
          <t>Копчености варенокопченые</t>
        </is>
      </c>
      <c r="C138" s="46" t="n"/>
      <c r="D138" s="46" t="n"/>
      <c r="E138" s="46" t="n"/>
      <c r="F138" s="46" t="n"/>
      <c r="G138" s="23" t="n"/>
      <c r="H138" s="46" t="n"/>
      <c r="I138" s="46" t="n"/>
      <c r="J138" s="47" t="n"/>
    </row>
    <row r="139" ht="16.5" customHeight="1" thickTop="1">
      <c r="A139" s="59">
        <f>RIGHT(D139,4)</f>
        <v/>
      </c>
      <c r="B139" s="37" t="inlineStr">
        <is>
          <t>СВИНИНА МАДЕРА с/к с/н в/у 1/100</t>
        </is>
      </c>
      <c r="C139" s="72" t="inlineStr">
        <is>
          <t>шт</t>
        </is>
      </c>
      <c r="D139" s="73" t="n">
        <v>1001234146448</v>
      </c>
      <c r="E139" s="24" t="n"/>
      <c r="F139" s="23" t="n">
        <v>0.1</v>
      </c>
      <c r="G139" s="23">
        <f>E139*F139</f>
        <v/>
      </c>
      <c r="H139" s="14" t="n">
        <v>1</v>
      </c>
      <c r="I139" s="14" t="n">
        <v>45</v>
      </c>
      <c r="J139" s="29" t="n"/>
    </row>
    <row r="140" ht="16.5" customHeight="1">
      <c r="A140" s="59">
        <f>RIGHT(D140,4)</f>
        <v/>
      </c>
      <c r="B140" s="37" t="inlineStr">
        <is>
          <t>СВИНИНА ПО-ДОМ. к/в мл/к в/у 0.3кг_50с</t>
        </is>
      </c>
      <c r="C140" s="72" t="inlineStr">
        <is>
          <t>шт</t>
        </is>
      </c>
      <c r="D140" s="73" t="n">
        <v>1001084217090</v>
      </c>
      <c r="E140" s="24" t="n"/>
      <c r="F140" s="23" t="n">
        <v>0.3</v>
      </c>
      <c r="G140" s="23">
        <f>E140*F140</f>
        <v/>
      </c>
      <c r="H140" s="14" t="n">
        <v>1.8</v>
      </c>
      <c r="I140" s="14" t="n">
        <v>45</v>
      </c>
      <c r="J140" s="29" t="n"/>
    </row>
    <row r="141" ht="16.5" customHeight="1">
      <c r="A141" s="59">
        <f>RIGHT(D141,4)</f>
        <v/>
      </c>
      <c r="B141" s="37" t="inlineStr">
        <is>
          <t>ДЫМОВИЦА ИЗ ЛОПАТКИ ПМ к/в с/н в/у 1/150</t>
        </is>
      </c>
      <c r="C141" s="72" t="inlineStr">
        <is>
          <t>ШТ</t>
        </is>
      </c>
      <c r="D141" s="73" t="n">
        <v>1001220226208</v>
      </c>
      <c r="E141" s="24" t="n"/>
      <c r="F141" s="23" t="n">
        <v>0.15</v>
      </c>
      <c r="G141" s="23">
        <f>F141*E141</f>
        <v/>
      </c>
      <c r="H141" s="14" t="n"/>
      <c r="I141" s="14" t="n"/>
      <c r="J141" s="29" t="n"/>
    </row>
    <row r="142" ht="16.5" customHeight="1">
      <c r="A142" s="59">
        <f>RIGHT(D142,4)</f>
        <v/>
      </c>
      <c r="B142" s="37" t="inlineStr">
        <is>
          <t>БЕКОН ДЛЯ КУЛИНАРИИ с/к с/н мгс 1*2_HRC</t>
        </is>
      </c>
      <c r="C142" s="72" t="inlineStr">
        <is>
          <t>КГ</t>
        </is>
      </c>
      <c r="D142" s="73" t="n">
        <v>1001223297053</v>
      </c>
      <c r="E142" s="24" t="n"/>
      <c r="F142" s="23" t="n"/>
      <c r="G142" s="23">
        <f>E142</f>
        <v/>
      </c>
      <c r="H142" s="14" t="n"/>
      <c r="I142" s="14" t="n"/>
      <c r="J142" s="29" t="n"/>
    </row>
    <row r="143" ht="16.5" customFormat="1" customHeight="1" s="70" thickBot="1">
      <c r="A143" s="59">
        <f>RIGHT(D143,4)</f>
        <v/>
      </c>
      <c r="B143" s="58" t="inlineStr">
        <is>
          <t>БЕКОН Останкино с/к с/н в/у 1/180_50с</t>
        </is>
      </c>
      <c r="C143" s="53" t="inlineStr">
        <is>
          <t>шт</t>
        </is>
      </c>
      <c r="D143" s="54" t="n">
        <v>1001223297103</v>
      </c>
      <c r="E143" s="24" t="n"/>
      <c r="F143" s="74" t="n">
        <v>0.18</v>
      </c>
      <c r="G143" s="23">
        <f>E143*F143</f>
        <v/>
      </c>
      <c r="H143" s="75" t="n">
        <v>1.8</v>
      </c>
      <c r="I143" s="75" t="n">
        <v>45</v>
      </c>
      <c r="J143" s="75" t="n"/>
      <c r="K143" s="27" t="n"/>
    </row>
    <row r="144" ht="16.5" customHeight="1" thickBot="1" thickTop="1">
      <c r="A144" s="62" t="n"/>
      <c r="B144" s="49" t="inlineStr">
        <is>
          <t>ВСЕГО:</t>
        </is>
      </c>
      <c r="C144" s="16" t="n"/>
      <c r="D144" s="38" t="n"/>
      <c r="E144" s="17">
        <f>SUM(E10:E143)</f>
        <v/>
      </c>
      <c r="F144" s="17" t="n"/>
      <c r="G144" s="17">
        <f>SUM(G11:G143)</f>
        <v/>
      </c>
      <c r="H144" s="17" t="n"/>
      <c r="I144" s="17" t="n"/>
      <c r="J144" s="17" t="n"/>
    </row>
    <row r="145" ht="15.75" customHeight="1" thickTop="1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  <row r="1657">
      <c r="B1657" s="39" t="n"/>
      <c r="C1657" s="18" t="n"/>
      <c r="D1657" s="43" t="n"/>
      <c r="F1657" s="19" t="n"/>
      <c r="G1657" s="19" t="n"/>
      <c r="H1657" s="20" t="n"/>
      <c r="I1657" s="20" t="n"/>
      <c r="J1657" s="21" t="n"/>
    </row>
    <row r="1658">
      <c r="B1658" s="39" t="n"/>
      <c r="C1658" s="18" t="n"/>
      <c r="D1658" s="43" t="n"/>
      <c r="F1658" s="19" t="n"/>
      <c r="G1658" s="19" t="n"/>
      <c r="H1658" s="20" t="n"/>
      <c r="I1658" s="20" t="n"/>
      <c r="J1658" s="21" t="n"/>
    </row>
    <row r="1659">
      <c r="B1659" s="39" t="n"/>
      <c r="C1659" s="18" t="n"/>
      <c r="D1659" s="43" t="n"/>
      <c r="F1659" s="19" t="n"/>
      <c r="G1659" s="19" t="n"/>
      <c r="H1659" s="20" t="n"/>
      <c r="I1659" s="20" t="n"/>
      <c r="J1659" s="21" t="n"/>
    </row>
    <row r="1660">
      <c r="B1660" s="39" t="n"/>
      <c r="C1660" s="18" t="n"/>
      <c r="D1660" s="43" t="n"/>
      <c r="F1660" s="19" t="n"/>
      <c r="G1660" s="19" t="n"/>
      <c r="H1660" s="20" t="n"/>
      <c r="I1660" s="20" t="n"/>
      <c r="J1660" s="21" t="n"/>
    </row>
    <row r="1661">
      <c r="B1661" s="39" t="n"/>
      <c r="C1661" s="18" t="n"/>
      <c r="D1661" s="43" t="n"/>
      <c r="F1661" s="19" t="n"/>
      <c r="G1661" s="19" t="n"/>
      <c r="H1661" s="20" t="n"/>
      <c r="I1661" s="20" t="n"/>
      <c r="J1661" s="21" t="n"/>
    </row>
    <row r="1662">
      <c r="B1662" s="39" t="n"/>
      <c r="C1662" s="18" t="n"/>
      <c r="D1662" s="43" t="n"/>
      <c r="F1662" s="19" t="n"/>
      <c r="G1662" s="19" t="n"/>
      <c r="H1662" s="20" t="n"/>
      <c r="I1662" s="20" t="n"/>
      <c r="J1662" s="21" t="n"/>
    </row>
    <row r="1663">
      <c r="B1663" s="39" t="n"/>
      <c r="C1663" s="18" t="n"/>
      <c r="D1663" s="43" t="n"/>
      <c r="F1663" s="19" t="n"/>
      <c r="G1663" s="19" t="n"/>
      <c r="H1663" s="20" t="n"/>
      <c r="I1663" s="20" t="n"/>
      <c r="J1663" s="21" t="n"/>
    </row>
    <row r="1664">
      <c r="B1664" s="39" t="n"/>
      <c r="C1664" s="18" t="n"/>
      <c r="D1664" s="43" t="n"/>
      <c r="F1664" s="19" t="n"/>
      <c r="G1664" s="19" t="n"/>
      <c r="H1664" s="20" t="n"/>
      <c r="I1664" s="20" t="n"/>
      <c r="J1664" s="21" t="n"/>
    </row>
    <row r="1665">
      <c r="B1665" s="39" t="n"/>
      <c r="C1665" s="18" t="n"/>
      <c r="D1665" s="43" t="n"/>
      <c r="F1665" s="19" t="n"/>
      <c r="G1665" s="19" t="n"/>
      <c r="H1665" s="20" t="n"/>
      <c r="I1665" s="20" t="n"/>
      <c r="J1665" s="21" t="n"/>
    </row>
    <row r="1666">
      <c r="B1666" s="39" t="n"/>
      <c r="C1666" s="18" t="n"/>
      <c r="D1666" s="43" t="n"/>
      <c r="F1666" s="19" t="n"/>
      <c r="G1666" s="19" t="n"/>
      <c r="H1666" s="20" t="n"/>
      <c r="I1666" s="20" t="n"/>
      <c r="J1666" s="21" t="n"/>
    </row>
    <row r="1667">
      <c r="B1667" s="39" t="n"/>
      <c r="C1667" s="18" t="n"/>
      <c r="D1667" s="43" t="n"/>
      <c r="F1667" s="19" t="n"/>
      <c r="G1667" s="19" t="n"/>
      <c r="H1667" s="20" t="n"/>
      <c r="I1667" s="20" t="n"/>
      <c r="J1667" s="21" t="n"/>
    </row>
    <row r="1668">
      <c r="B1668" s="39" t="n"/>
      <c r="C1668" s="18" t="n"/>
      <c r="D1668" s="43" t="n"/>
      <c r="F1668" s="19" t="n"/>
      <c r="G1668" s="19" t="n"/>
      <c r="H1668" s="20" t="n"/>
      <c r="I1668" s="20" t="n"/>
      <c r="J1668" s="21" t="n"/>
    </row>
  </sheetData>
  <autoFilter ref="A9:K14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2025-11-26T07:43:04Z</dcterms:modified>
  <cp:lastModifiedBy>Uaer4</cp:lastModifiedBy>
  <cp:lastPrinted>2015-01-13T07:32:10Z</cp:lastPrinted>
</cp:coreProperties>
</file>