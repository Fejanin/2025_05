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Бланк!$AC$3:$AC$591</definedName>
    <definedName name="номин.вес_нетто__кг">Бланк!$W$3:$W$591</definedName>
    <definedName name="_xlnm._FilterDatabase" localSheetId="0" hidden="1">'Бланк'!$A$9:$K$155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4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130438384</v>
      </c>
      <c r="E1" s="83" t="inlineStr">
        <is>
          <t>ООО "Логистический партнёр"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45983</v>
      </c>
      <c r="E3" s="7" t="inlineStr">
        <is>
          <t xml:space="preserve">Доставка: </t>
        </is>
      </c>
      <c r="F3" s="86">
        <f>D3+3</f>
        <v/>
      </c>
      <c r="G3" s="86" t="inlineStr">
        <is>
          <t xml:space="preserve">Республика Донецк Народная, г. Донецк, Чаадаева ул.,д. 1 </t>
        </is>
      </c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257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ДОКТОРСКАЯ ПРЕМИУМ вар п/о 0.4кг 8шт.</t>
        </is>
      </c>
      <c r="C17" s="73" t="inlineStr">
        <is>
          <t>ШТ</t>
        </is>
      </c>
      <c r="D17" s="74" t="n">
        <v>1001010106325</v>
      </c>
      <c r="E17" s="24" t="n">
        <v>398</v>
      </c>
      <c r="F17" s="23" t="n">
        <v>0.4</v>
      </c>
      <c r="G17" s="23">
        <f>F17*E17</f>
        <v/>
      </c>
      <c r="H17" s="14" t="n"/>
      <c r="I17" s="14" t="n"/>
      <c r="J17" s="29" t="n"/>
    </row>
    <row r="18" ht="16.5" customHeight="1">
      <c r="A18" s="59">
        <f>RIGHT(D18,4)</f>
        <v/>
      </c>
      <c r="B18" s="80" t="inlineStr">
        <is>
          <t>МЯСНАЯ СО ШПИКОМ Папа может вар п/о</t>
        </is>
      </c>
      <c r="C18" s="73" t="inlineStr">
        <is>
          <t>КГ</t>
        </is>
      </c>
      <c r="D18" s="74" t="n">
        <v>1001012634574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>
      <c r="A19" s="59">
        <f>RIGHT(D19,4)</f>
        <v/>
      </c>
      <c r="B19" s="80" t="inlineStr">
        <is>
          <t>МЯСНАЯ СО ШПИКОМ вар п/о 0.5кг 8шт.</t>
        </is>
      </c>
      <c r="C19" s="73" t="inlineStr">
        <is>
          <t>ШТ</t>
        </is>
      </c>
      <c r="D19" s="74" t="n">
        <v>1001012636337</v>
      </c>
      <c r="E19" s="24" t="n"/>
      <c r="F19" s="23" t="n">
        <v>0.5</v>
      </c>
      <c r="G19" s="23">
        <f>F19*E19</f>
        <v/>
      </c>
      <c r="H19" s="14" t="n"/>
      <c r="I19" s="14" t="n"/>
      <c r="J19" s="29" t="n"/>
    </row>
    <row r="20" ht="16.5" customHeight="1">
      <c r="A20" s="59">
        <f>RIGHT(D20,4)</f>
        <v/>
      </c>
      <c r="B20" s="80" t="inlineStr">
        <is>
          <t>МЯСНАЯ СО ШПИКОМ ПМ вар п/о 0.4кг 8шт.</t>
        </is>
      </c>
      <c r="C20" s="73" t="inlineStr">
        <is>
          <t>ШТ</t>
        </is>
      </c>
      <c r="D20" s="74" t="n">
        <v>1001012637334</v>
      </c>
      <c r="E20" s="24" t="n">
        <v>200</v>
      </c>
      <c r="F20" s="23" t="n">
        <v>0.4</v>
      </c>
      <c r="G20" s="23">
        <f>F20*E20</f>
        <v/>
      </c>
      <c r="H20" s="14" t="n"/>
      <c r="I20" s="14" t="n"/>
      <c r="J20" s="29" t="n"/>
    </row>
    <row r="21" ht="16.5" customHeight="1">
      <c r="A21" s="59">
        <f>RIGHT(D21,4)</f>
        <v/>
      </c>
      <c r="B21" s="80" t="inlineStr">
        <is>
          <t>СЕМЕЙНАЯ вар п/о</t>
        </is>
      </c>
      <c r="C21" s="73" t="inlineStr">
        <is>
          <t>КГ</t>
        </is>
      </c>
      <c r="D21" s="74" t="n">
        <v>1001015496769</v>
      </c>
      <c r="E21" s="24" t="n"/>
      <c r="F21" s="23" t="n"/>
      <c r="G21" s="23">
        <f>E21</f>
        <v/>
      </c>
      <c r="H21" s="14" t="n"/>
      <c r="I21" s="14" t="n"/>
      <c r="J21" s="29" t="n"/>
    </row>
    <row r="22" ht="16.5" customHeight="1">
      <c r="A22" s="59">
        <f>RIGHT(D22,4)</f>
        <v/>
      </c>
      <c r="B22" s="80" t="inlineStr">
        <is>
          <t>ДОМАШНИЙ РЕЦЕПТ Коровино вар п/о</t>
        </is>
      </c>
      <c r="C22" s="73" t="inlineStr">
        <is>
          <t>КГ</t>
        </is>
      </c>
      <c r="D22" s="74" t="n">
        <v>1001015646861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ДОМАШНИЙ РЕЦЕПТ Коровино 0.5кг 8шт.</t>
        </is>
      </c>
      <c r="C23" s="73" t="inlineStr">
        <is>
          <t>ШТ</t>
        </is>
      </c>
      <c r="D23" s="74" t="n">
        <v>1001012816340</v>
      </c>
      <c r="E23" s="24" t="n"/>
      <c r="F23" s="23" t="n">
        <v>0.5</v>
      </c>
      <c r="G23" s="23">
        <f>E23*F23</f>
        <v/>
      </c>
      <c r="H23" s="14" t="n"/>
      <c r="I23" s="14" t="n"/>
      <c r="J23" s="29" t="n"/>
    </row>
    <row r="24" ht="16.5" customHeight="1">
      <c r="A24" s="59">
        <f>RIGHT(D24,4)</f>
        <v/>
      </c>
      <c r="B24" s="52" t="inlineStr">
        <is>
          <t>ДОМАШНИЙ РЕЦЕПТ СО ШПИКОМ Коровино 0.5кг</t>
        </is>
      </c>
      <c r="C24" s="53" t="inlineStr">
        <is>
          <t>шт</t>
        </is>
      </c>
      <c r="D24" s="54" t="n">
        <v>1001012816341</v>
      </c>
      <c r="E24" s="24" t="n"/>
      <c r="F24" s="75" t="n">
        <v>0.5</v>
      </c>
      <c r="G24" s="23">
        <f>E24*F24</f>
        <v/>
      </c>
      <c r="H24" s="76" t="n"/>
      <c r="I24" s="76" t="n"/>
      <c r="J24" s="76" t="n"/>
    </row>
    <row r="25" ht="16.5" customHeight="1">
      <c r="A25" s="59">
        <f>RIGHT(D25,4)</f>
        <v/>
      </c>
      <c r="B25" s="80" t="inlineStr">
        <is>
          <t>ДОМАШНИЙ РЕЦЕПТ СО ШПИК.Коровино вар п/о</t>
        </is>
      </c>
      <c r="C25" s="73" t="inlineStr">
        <is>
          <t>КГ</t>
        </is>
      </c>
      <c r="D25" s="74" t="n">
        <v>1001015706862</v>
      </c>
      <c r="E25" s="24" t="n"/>
      <c r="F25" s="23" t="n">
        <v>2</v>
      </c>
      <c r="G25" s="23">
        <f>E25</f>
        <v/>
      </c>
      <c r="H25" s="14" t="n">
        <v>4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ФИЛЕЙНАЯ Папа может вар п/о</t>
        </is>
      </c>
      <c r="C26" s="73" t="inlineStr">
        <is>
          <t>КГ</t>
        </is>
      </c>
      <c r="D26" s="74" t="n">
        <v>1001012564813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>
      <c r="A27" s="59">
        <f>RIGHT(D27,4)</f>
        <v/>
      </c>
      <c r="B27" s="52" t="inlineStr">
        <is>
          <t>ФИЛЕЙНАЯ Папа может вар п/о 0.4кг 8шт.</t>
        </is>
      </c>
      <c r="C27" s="53" t="inlineStr">
        <is>
          <t>ШТ</t>
        </is>
      </c>
      <c r="D27" s="54" t="n">
        <v>1001012566392</v>
      </c>
      <c r="E27" s="24" t="n">
        <v>503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>
      <c r="A28" s="59">
        <f>RIGHT(D28,4)</f>
        <v/>
      </c>
      <c r="B28" s="80" t="inlineStr">
        <is>
          <t>ЭКСТРА Папа может вар п/о.</t>
        </is>
      </c>
      <c r="C28" s="73" t="inlineStr">
        <is>
          <t>кг</t>
        </is>
      </c>
      <c r="D28" s="74" t="n">
        <v>1001012505851</v>
      </c>
      <c r="E28" s="24" t="n"/>
      <c r="F28" s="23" t="n">
        <v>1.354</v>
      </c>
      <c r="G28" s="23">
        <f>E28</f>
        <v/>
      </c>
      <c r="H28" s="14" t="n">
        <v>4.06</v>
      </c>
      <c r="I28" s="14" t="n">
        <v>60</v>
      </c>
      <c r="J28" s="29" t="n"/>
    </row>
    <row r="29" ht="16.5" customHeight="1">
      <c r="A29" s="59">
        <f>RIGHT(D29,4)</f>
        <v/>
      </c>
      <c r="B29" s="80" t="inlineStr">
        <is>
          <t>ЭКСТРА Папа может вар п/о 0.4кг 8шт.</t>
        </is>
      </c>
      <c r="C29" s="73" t="inlineStr">
        <is>
          <t>ШТ</t>
        </is>
      </c>
      <c r="D29" s="74" t="n">
        <v>1001012506353</v>
      </c>
      <c r="E29" s="24" t="n">
        <v>233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59">
        <f>RIGHT(D30,4)</f>
        <v/>
      </c>
      <c r="B30" s="80" t="inlineStr">
        <is>
          <t>ГОВЯЖЬЯ Папа может вар п/о 0.4кг 8шт.</t>
        </is>
      </c>
      <c r="C30" s="73" t="inlineStr">
        <is>
          <t>ШТ</t>
        </is>
      </c>
      <c r="D30" s="74" t="n">
        <v>1001012426268</v>
      </c>
      <c r="E30" s="24" t="n"/>
      <c r="F30" s="23" t="n">
        <v>0.4</v>
      </c>
      <c r="G30" s="23">
        <f>E30*F30</f>
        <v/>
      </c>
      <c r="H30" s="14" t="n"/>
      <c r="I30" s="14" t="n"/>
      <c r="J30" s="29" t="n"/>
    </row>
    <row r="31" ht="16.5" customHeight="1">
      <c r="A31" s="59">
        <f>RIGHT(D31,4)</f>
        <v/>
      </c>
      <c r="B31" s="50" t="inlineStr">
        <is>
          <t>ДОКТОРСКАЯ ГОСТ вар п/о 0.4кг 8шт.</t>
        </is>
      </c>
      <c r="C31" s="73" t="inlineStr">
        <is>
          <t>ШТ</t>
        </is>
      </c>
      <c r="D31" s="74" t="n">
        <v>1001010016324</v>
      </c>
      <c r="E31" s="24" t="n"/>
      <c r="F31" s="23" t="n">
        <v>0.4</v>
      </c>
      <c r="G31" s="23">
        <f>E31*F31</f>
        <v/>
      </c>
      <c r="H31" s="14" t="n">
        <v>3.2</v>
      </c>
      <c r="I31" s="14" t="n">
        <v>60</v>
      </c>
      <c r="J31" s="29" t="n"/>
    </row>
    <row r="32" ht="16.5" customHeight="1">
      <c r="A32" s="59">
        <f>RIGHT(D32,4)</f>
        <v/>
      </c>
      <c r="B32" s="50" t="inlineStr">
        <is>
          <t>МОЛОЧНАЯ Останкино вар п/о 0.4кг 8шт.</t>
        </is>
      </c>
      <c r="C32" s="73" t="inlineStr">
        <is>
          <t>ШТ</t>
        </is>
      </c>
      <c r="D32" s="74" t="n">
        <v>1001010027126</v>
      </c>
      <c r="E32" s="24" t="n">
        <v>200</v>
      </c>
      <c r="F32" s="23" t="n">
        <v>0.4</v>
      </c>
      <c r="G32" s="23">
        <f>E32*F32</f>
        <v/>
      </c>
      <c r="H32" s="14" t="n"/>
      <c r="I32" s="14" t="n"/>
      <c r="J32" s="29" t="n"/>
    </row>
    <row r="33" ht="16.5" customHeight="1">
      <c r="A33" s="59">
        <f>RIGHT(D33,4)</f>
        <v/>
      </c>
      <c r="B33" s="50" t="inlineStr">
        <is>
          <t>МОЛОЧНАЯ Папа может вар п/о</t>
        </is>
      </c>
      <c r="C33" s="73" t="inlineStr">
        <is>
          <t>КГ</t>
        </is>
      </c>
      <c r="D33" s="74" t="n">
        <v>1001012456498</v>
      </c>
      <c r="E33" s="24" t="n"/>
      <c r="F33" s="23" t="n">
        <v>1</v>
      </c>
      <c r="G33" s="23">
        <f>E33</f>
        <v/>
      </c>
      <c r="H33" s="14" t="n">
        <v>4</v>
      </c>
      <c r="I33" s="14" t="n">
        <v>60</v>
      </c>
      <c r="J33" s="29" t="n"/>
    </row>
    <row r="34" ht="16.5" customHeight="1">
      <c r="A34" s="59">
        <f>RIGHT(D34,4)</f>
        <v/>
      </c>
      <c r="B34" s="50" t="inlineStr">
        <is>
          <t>МОЛОЧНАЯ Останкино вар п/о</t>
        </is>
      </c>
      <c r="C34" s="73" t="inlineStr">
        <is>
          <t>КГ</t>
        </is>
      </c>
      <c r="D34" s="74" t="n">
        <v>1001010027125</v>
      </c>
      <c r="E34" s="24" t="n"/>
      <c r="F34" s="23" t="n">
        <v>1</v>
      </c>
      <c r="G34" s="23">
        <f>E34</f>
        <v/>
      </c>
      <c r="H34" s="14" t="n"/>
      <c r="I34" s="14" t="n"/>
      <c r="J34" s="29" t="n"/>
    </row>
    <row r="35" ht="16.5" customHeight="1" thickBot="1">
      <c r="A35" s="59">
        <f>RIGHT(D35,4)</f>
        <v/>
      </c>
      <c r="B35" s="80" t="inlineStr">
        <is>
          <t>РУССКАЯ ГОСТ вар п/о</t>
        </is>
      </c>
      <c r="C35" s="73" t="inlineStr">
        <is>
          <t>КГ</t>
        </is>
      </c>
      <c r="D35" s="74" t="n">
        <v>1001010032675</v>
      </c>
      <c r="E35" s="24" t="n"/>
      <c r="F35" s="23" t="n"/>
      <c r="G35" s="23">
        <f>E35</f>
        <v/>
      </c>
      <c r="H35" s="14" t="n"/>
      <c r="I35" s="14" t="n"/>
      <c r="J35" s="29" t="n"/>
    </row>
    <row r="36" ht="16.5" customHeight="1" thickBot="1" thickTop="1">
      <c r="A36" s="59">
        <f>RIGHT(D36,4)</f>
        <v/>
      </c>
      <c r="B36" s="46" t="inlineStr">
        <is>
          <t>Сосиски</t>
        </is>
      </c>
      <c r="C36" s="46" t="n"/>
      <c r="D36" s="46" t="n"/>
      <c r="E36" s="46" t="n"/>
      <c r="F36" s="46" t="n"/>
      <c r="G36" s="23" t="n"/>
      <c r="H36" s="46" t="n"/>
      <c r="I36" s="46" t="n"/>
      <c r="J36" s="47" t="n"/>
    </row>
    <row r="37" ht="16.5" customFormat="1" customHeight="1" s="68" thickTop="1">
      <c r="A37" s="59">
        <f>RIGHT(D37,4)</f>
        <v/>
      </c>
      <c r="B37" s="63" t="inlineStr">
        <is>
          <t>МЯСНЫЕ С ГОВЯД.ПМ сос п/о мгс 0.4кг 6шт.</t>
        </is>
      </c>
      <c r="C37" s="64" t="inlineStr">
        <is>
          <t>шт</t>
        </is>
      </c>
      <c r="D37" s="65" t="n">
        <v>1001025507255</v>
      </c>
      <c r="E37" s="24" t="n"/>
      <c r="F37" s="66" t="n">
        <v>0.4</v>
      </c>
      <c r="G37" s="23">
        <f>E37*F37</f>
        <v/>
      </c>
      <c r="H37" s="67" t="n">
        <v>4</v>
      </c>
      <c r="I37" s="67" t="n">
        <v>45</v>
      </c>
      <c r="J37" s="67" t="n"/>
      <c r="K37" s="27" t="n"/>
    </row>
    <row r="38" ht="16.5" customFormat="1" customHeight="1" s="15">
      <c r="A38" s="59">
        <f>RIGHT(D38,4)</f>
        <v/>
      </c>
      <c r="B38" s="80" t="inlineStr">
        <is>
          <t xml:space="preserve"> БАВАРСКИЕ ПМ сос ц/о мгс 0.35кг 8шт.</t>
        </is>
      </c>
      <c r="C38" s="73" t="inlineStr">
        <is>
          <t>шт</t>
        </is>
      </c>
      <c r="D38" s="74" t="n">
        <v>1001021966602</v>
      </c>
      <c r="E38" s="24" t="n"/>
      <c r="F38" s="23" t="n">
        <v>0.35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80" t="inlineStr">
        <is>
          <t>ХОТ-ДОГ Папа может сос п/о мгс 0.35кг</t>
        </is>
      </c>
      <c r="C39" s="73" t="inlineStr">
        <is>
          <t>шт</t>
        </is>
      </c>
      <c r="D39" s="74" t="n">
        <v>1001025166776</v>
      </c>
      <c r="E39" s="24" t="n">
        <v>237</v>
      </c>
      <c r="F39" s="23" t="n">
        <v>0.35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55" t="inlineStr">
        <is>
          <t>МЯСНЫЕ Папа может сос п/о мгс  1.5*3</t>
        </is>
      </c>
      <c r="C40" s="53" t="inlineStr">
        <is>
          <t>КГ</t>
        </is>
      </c>
      <c r="D40" s="54" t="n">
        <v>1001022726303</v>
      </c>
      <c r="E40" s="24" t="n"/>
      <c r="F40" s="23" t="n">
        <v>1.05</v>
      </c>
      <c r="G40" s="23">
        <f>E40</f>
        <v/>
      </c>
      <c r="H40" s="14" t="n">
        <v>3.15</v>
      </c>
      <c r="I40" s="14" t="n">
        <v>45</v>
      </c>
      <c r="J40" s="29" t="n"/>
      <c r="K40" s="27" t="n"/>
    </row>
    <row r="41" ht="16.5" customFormat="1" customHeight="1" s="15">
      <c r="A41" s="59">
        <f>RIGHT(D41,4)</f>
        <v/>
      </c>
      <c r="B41" s="36" t="inlineStr">
        <is>
          <t>МЯСНЫЕ Папа может сос п/о в/у 0.4кг_45с</t>
        </is>
      </c>
      <c r="C41" s="73" t="inlineStr">
        <is>
          <t>ШТ</t>
        </is>
      </c>
      <c r="D41" s="74" t="n">
        <v>1001022725819</v>
      </c>
      <c r="E41" s="24" t="n"/>
      <c r="F41" s="23" t="n">
        <v>0.4</v>
      </c>
      <c r="G41" s="23">
        <f>E41*F41</f>
        <v/>
      </c>
      <c r="H41" s="14" t="n">
        <v>3.2</v>
      </c>
      <c r="I41" s="14" t="n">
        <v>45</v>
      </c>
      <c r="J41" s="29" t="n"/>
      <c r="K41" s="27" t="n"/>
    </row>
    <row r="42" ht="16.5" customFormat="1" customHeight="1" s="15">
      <c r="A42" s="59">
        <f>RIGHT(D42,4)</f>
        <v/>
      </c>
      <c r="B42" s="36" t="inlineStr">
        <is>
          <t>СЛИВОЧНЫЕ сос ц/о мгс 0.41кг 8шт.</t>
        </is>
      </c>
      <c r="C42" s="73" t="inlineStr">
        <is>
          <t>ШТ</t>
        </is>
      </c>
      <c r="D42" s="74" t="n">
        <v>1001020846762</v>
      </c>
      <c r="E42" s="24" t="n"/>
      <c r="F42" s="23" t="n">
        <v>0.41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59">
        <f>RIGHT(D43,4)</f>
        <v/>
      </c>
      <c r="B43" s="36" t="inlineStr">
        <is>
          <t>РУБЛЕНЫЕ сос ц/о мгс 0.36кг 6шт.</t>
        </is>
      </c>
      <c r="C43" s="73" t="inlineStr">
        <is>
          <t>ШТ</t>
        </is>
      </c>
      <c r="D43" s="74" t="n">
        <v>1001023696765</v>
      </c>
      <c r="E43" s="24" t="n"/>
      <c r="F43" s="23" t="n">
        <v>0.36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59">
        <f>RIGHT(D44,4)</f>
        <v/>
      </c>
      <c r="B44" s="36" t="inlineStr">
        <is>
          <t>МОЛОЧНЫЕ ГОСТ сос ц/о мгс 0.4кг 7шт.</t>
        </is>
      </c>
      <c r="C44" s="73" t="inlineStr">
        <is>
          <t>ШТ</t>
        </is>
      </c>
      <c r="D44" s="74" t="n">
        <v>1001020836759</v>
      </c>
      <c r="E44" s="24" t="n"/>
      <c r="F44" s="23" t="n">
        <v>0.4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59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59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59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59">
        <f>RIGHT(D48,4)</f>
        <v/>
      </c>
      <c r="B48" s="52" t="inlineStr">
        <is>
          <t>СОЧНЫЙ ГРИЛЬ ПМ сос п/о мгс 1.5*4_Маяк</t>
        </is>
      </c>
      <c r="C48" s="53" t="inlineStr">
        <is>
          <t>КГ</t>
        </is>
      </c>
      <c r="D48" s="54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59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268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59">
        <f>RIGHT(D50,4)</f>
        <v/>
      </c>
      <c r="B50" s="56" t="inlineStr">
        <is>
          <t>СОЧНЫЙ ГРИЛЬ ПМ сос п/о мгс 0.41кг 8шт.</t>
        </is>
      </c>
      <c r="C50" s="53" t="inlineStr">
        <is>
          <t>ШТ</t>
        </is>
      </c>
      <c r="D50" s="54" t="n">
        <v>1001022246713</v>
      </c>
      <c r="E50" s="24" t="n">
        <v>357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59">
        <f>RIGHT(D51,4)</f>
        <v/>
      </c>
      <c r="B51" s="51" t="inlineStr">
        <is>
          <t>ФИЛЕЙНЫЕ Папа может сос ц/о мгс 0.33кг</t>
        </is>
      </c>
      <c r="C51" s="73" t="inlineStr">
        <is>
          <t>ШТ</t>
        </is>
      </c>
      <c r="D51" s="74" t="n">
        <v>1001022556069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59">
        <f>RIGHT(D52,4)</f>
        <v/>
      </c>
      <c r="B52" s="51" t="inlineStr">
        <is>
          <t>ДЛЯ ДЕТЕЙ сос п/о мгс 0.33кг 6шт.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59">
        <f>RIGHT(D53,4)</f>
        <v/>
      </c>
      <c r="B53" s="51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59">
        <f>RIGHT(D54,4)</f>
        <v/>
      </c>
      <c r="B54" s="56" t="inlineStr">
        <is>
          <t>МОЛОЧНЫЕ КЛАССИЧЕСКИЕ сос п/о мгс 2*4</t>
        </is>
      </c>
      <c r="C54" s="53" t="inlineStr">
        <is>
          <t>КГ</t>
        </is>
      </c>
      <c r="D54" s="54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59">
        <f>RIGHT(D55,4)</f>
        <v/>
      </c>
      <c r="B55" s="7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59">
        <f>RIGHT(D56,4)</f>
        <v/>
      </c>
      <c r="B56" s="7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59">
        <f>RIGHT(D57,4)</f>
        <v/>
      </c>
      <c r="B57" s="72" t="inlineStr">
        <is>
          <t>МОЛОЧ.ПРЕМИУМ ПМ сос п/о мгс 0.6кг_50с</t>
        </is>
      </c>
      <c r="C57" s="73" t="inlineStr">
        <is>
          <t>ШТ</t>
        </is>
      </c>
      <c r="D57" s="74" t="n">
        <v>1001022657074</v>
      </c>
      <c r="E57" s="24" t="n">
        <v>363</v>
      </c>
      <c r="F57" s="23" t="n">
        <v>0.6</v>
      </c>
      <c r="G57" s="23">
        <f>E57*F57</f>
        <v/>
      </c>
      <c r="H57" s="14" t="n"/>
      <c r="I57" s="14" t="n"/>
      <c r="J57" s="29" t="n"/>
    </row>
    <row r="58" ht="16.5" customHeight="1">
      <c r="A58" s="59">
        <f>RIGHT(D58,4)</f>
        <v/>
      </c>
      <c r="B58" s="72" t="inlineStr">
        <is>
          <t>ДЛЯ ДЕТЕЙ сос п/о мгс 0.33кг 6шт.</t>
        </is>
      </c>
      <c r="C58" s="73" t="inlineStr">
        <is>
          <t>ШТ</t>
        </is>
      </c>
      <c r="D58" s="74" t="n">
        <v>1001025767284</v>
      </c>
      <c r="E58" s="24" t="n">
        <v>253</v>
      </c>
      <c r="F58" s="23" t="n">
        <v>0.33</v>
      </c>
      <c r="G58" s="23">
        <f>E58*F58</f>
        <v/>
      </c>
      <c r="H58" s="14" t="n"/>
      <c r="I58" s="14" t="n"/>
      <c r="J58" s="29" t="n"/>
    </row>
    <row r="59" ht="16.5" customHeight="1">
      <c r="A59" s="59">
        <f>RIGHT(D59,4)</f>
        <v/>
      </c>
      <c r="B59" s="72" t="inlineStr">
        <is>
          <t>СЛИВОЧНЫЕ ПМ сос п/о мгс 0.41кг 10шт_50с</t>
        </is>
      </c>
      <c r="C59" s="73" t="inlineStr">
        <is>
          <t>ШТ</t>
        </is>
      </c>
      <c r="D59" s="74" t="n">
        <v>1001022467080</v>
      </c>
      <c r="E59" s="24" t="n"/>
      <c r="F59" s="23" t="n">
        <v>0.41</v>
      </c>
      <c r="G59" s="23">
        <f>E59*F59</f>
        <v/>
      </c>
      <c r="H59" s="14" t="n"/>
      <c r="I59" s="14" t="n"/>
      <c r="J59" s="29" t="n"/>
    </row>
    <row r="60" ht="16.5" customHeight="1">
      <c r="A60" s="59">
        <f>RIGHT(D60,4)</f>
        <v/>
      </c>
      <c r="B60" s="72" t="inlineStr">
        <is>
          <t>МОЛОЧНЫЕ КЛАССИЧЕСКИЕ сос п/о в/у 0.3кг</t>
        </is>
      </c>
      <c r="C60" s="73" t="inlineStr">
        <is>
          <t>ШТ</t>
        </is>
      </c>
      <c r="D60" s="74" t="n">
        <v>1001024976616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>
      <c r="A61" s="59">
        <f>RIGHT(D61,4)</f>
        <v/>
      </c>
      <c r="B61" s="51" t="inlineStr">
        <is>
          <t>МОЛОЧНЫЕ ГОСТ сос ц/о мгс 1*4</t>
        </is>
      </c>
      <c r="C61" s="73" t="inlineStr">
        <is>
          <t>КГ</t>
        </is>
      </c>
      <c r="D61" s="74" t="n">
        <v>1001020836761</v>
      </c>
      <c r="E61" s="24" t="n"/>
      <c r="F61" s="23" t="n">
        <v>1.063</v>
      </c>
      <c r="G61" s="23">
        <f>E61</f>
        <v/>
      </c>
      <c r="H61" s="14" t="n">
        <v>4.25</v>
      </c>
      <c r="I61" s="14" t="n">
        <v>30</v>
      </c>
      <c r="J61" s="29" t="n"/>
    </row>
    <row r="62" ht="16.5" customHeight="1">
      <c r="A62" s="59">
        <f>RIGHT(D62,4)</f>
        <v/>
      </c>
      <c r="B62" s="56" t="inlineStr">
        <is>
          <t>СЛИВОЧНЫЕ ПМ сос п/о мгс 0.41кг 10шт_50с</t>
        </is>
      </c>
      <c r="C62" s="53" t="inlineStr">
        <is>
          <t>ШТ</t>
        </is>
      </c>
      <c r="D62" s="54" t="n">
        <v>1001022467080</v>
      </c>
      <c r="E62" s="24" t="n">
        <v>310</v>
      </c>
      <c r="F62" s="23" t="n">
        <v>0.41</v>
      </c>
      <c r="G62" s="23">
        <f>E62*F62</f>
        <v/>
      </c>
      <c r="H62" s="14" t="n">
        <v>4.1</v>
      </c>
      <c r="I62" s="14" t="n">
        <v>45</v>
      </c>
      <c r="J62" s="29" t="n"/>
    </row>
    <row r="63" ht="16.5" customHeight="1" thickBot="1">
      <c r="A63" s="59">
        <f>RIGHT(D63,4)</f>
        <v/>
      </c>
      <c r="B63" s="56" t="inlineStr">
        <is>
          <t>СОЧНЫЕ ПМ сос п/о мгс 0.41кг 10шт_50с</t>
        </is>
      </c>
      <c r="C63" s="53" t="inlineStr">
        <is>
          <t>ШТ</t>
        </is>
      </c>
      <c r="D63" s="54" t="n">
        <v>1001022377066</v>
      </c>
      <c r="E63" s="24" t="n">
        <v>358</v>
      </c>
      <c r="F63" s="23" t="n">
        <v>0.41</v>
      </c>
      <c r="G63" s="23">
        <f>E63*F63</f>
        <v/>
      </c>
      <c r="H63" s="14" t="n">
        <v>4.1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Сардельки</t>
        </is>
      </c>
      <c r="C64" s="46" t="n"/>
      <c r="D64" s="46" t="n"/>
      <c r="E64" s="46" t="n"/>
      <c r="F64" s="46" t="n"/>
      <c r="G64" s="23" t="n"/>
      <c r="H64" s="46" t="n"/>
      <c r="I64" s="46" t="n"/>
      <c r="J64" s="47" t="n"/>
    </row>
    <row r="65" ht="16.5" customHeight="1" thickTop="1">
      <c r="A65" s="59">
        <f>RIGHT(D65,4)</f>
        <v/>
      </c>
      <c r="B65" s="81" t="inlineStr">
        <is>
          <t>КЛАССИЧЕСКИЕ Папа может сар б/о мгс 1*3</t>
        </is>
      </c>
      <c r="C65" s="53" t="inlineStr">
        <is>
          <t>кг</t>
        </is>
      </c>
      <c r="D65" s="54" t="n">
        <v>1001035937001</v>
      </c>
      <c r="E65" s="24" t="n"/>
      <c r="F65" s="75" t="n">
        <v>0.987</v>
      </c>
      <c r="G65" s="23">
        <f>E65</f>
        <v/>
      </c>
      <c r="H65" s="76" t="n">
        <v>2.96</v>
      </c>
      <c r="I65" s="76" t="n">
        <v>45</v>
      </c>
      <c r="J65" s="76" t="n"/>
    </row>
    <row r="66" ht="16.5" customHeight="1">
      <c r="A66" s="59">
        <f>RIGHT(D66,4)</f>
        <v/>
      </c>
      <c r="B66" s="72" t="inlineStr">
        <is>
          <t>ШПИКАЧКИ СОЧНЫЕ ПМ САР Б/О МГС 1*3 45с</t>
        </is>
      </c>
      <c r="C66" s="73" t="inlineStr">
        <is>
          <t>кг</t>
        </is>
      </c>
      <c r="D66" s="74" t="n">
        <v>1001031076527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>
      <c r="A67" s="59">
        <f>RIGHT(D67,4)</f>
        <v/>
      </c>
      <c r="B67" s="51" t="inlineStr">
        <is>
          <t>МЯСНЫЕ Папа может сар б/о мгс  1*3_О_45с</t>
        </is>
      </c>
      <c r="C67" s="73" t="inlineStr">
        <is>
          <t>КГ</t>
        </is>
      </c>
      <c r="D67" s="74" t="n">
        <v>1001032736550</v>
      </c>
      <c r="E67" s="24" t="n"/>
      <c r="F67" s="23" t="n">
        <v>1</v>
      </c>
      <c r="G67" s="23">
        <f>E67</f>
        <v/>
      </c>
      <c r="H67" s="14" t="n"/>
      <c r="I67" s="14" t="n"/>
      <c r="J67" s="29" t="n"/>
    </row>
    <row r="68" ht="16.5" customHeight="1" thickBot="1">
      <c r="A68" s="59">
        <f>RIGHT(D68,4)</f>
        <v/>
      </c>
      <c r="B68" s="51" t="inlineStr">
        <is>
          <t>С ГОВЯДИНОЙ ОРИГИН. сар б/о мгс 1*3_45с</t>
        </is>
      </c>
      <c r="C68" s="73" t="inlineStr">
        <is>
          <t>КГ</t>
        </is>
      </c>
      <c r="D68" s="74" t="n">
        <v>1001033856608</v>
      </c>
      <c r="E68" s="24" t="n"/>
      <c r="F68" s="23" t="n">
        <v>0.99</v>
      </c>
      <c r="G68" s="23">
        <f>E68</f>
        <v/>
      </c>
      <c r="H68" s="14" t="n">
        <v>2.97</v>
      </c>
      <c r="I68" s="14" t="n">
        <v>45</v>
      </c>
      <c r="J68" s="29" t="n"/>
    </row>
    <row r="69" ht="16.5" customHeight="1" thickBot="1" thickTop="1">
      <c r="A69" s="59">
        <f>RIGHT(D69,4)</f>
        <v/>
      </c>
      <c r="B69" s="46" t="inlineStr">
        <is>
          <t>Полукопченые колбасы и Варенокопченые колбасы</t>
        </is>
      </c>
      <c r="C69" s="46" t="n"/>
      <c r="D69" s="46" t="n"/>
      <c r="E69" s="46" t="n"/>
      <c r="F69" s="46" t="n"/>
      <c r="G69" s="46" t="n"/>
      <c r="H69" s="46" t="n"/>
      <c r="I69" s="46" t="n"/>
      <c r="J69" s="47" t="n"/>
    </row>
    <row r="70" ht="16.5" customHeight="1" thickTop="1">
      <c r="A70" s="59">
        <f>RIGHT(D70,4)</f>
        <v/>
      </c>
      <c r="B70" s="80" t="inlineStr">
        <is>
          <t>МРАМОРНАЯ И БАЛЫКОВАЯ в/к с/н мгс 1/90</t>
        </is>
      </c>
      <c r="C70" s="73" t="inlineStr">
        <is>
          <t>ШТ</t>
        </is>
      </c>
      <c r="D70" s="74" t="n">
        <v>1001215576586</v>
      </c>
      <c r="E70" s="24" t="n"/>
      <c r="F70" s="23" t="n">
        <v>0.09</v>
      </c>
      <c r="G70" s="23">
        <f>E70*F70</f>
        <v/>
      </c>
      <c r="H70" s="14" t="n"/>
      <c r="I70" s="14" t="n"/>
      <c r="J70" s="29" t="n"/>
    </row>
    <row r="71" ht="16.5" customHeight="1">
      <c r="A71" s="59">
        <f>RIGHT(D71,4)</f>
        <v/>
      </c>
      <c r="B71" s="80" t="inlineStr">
        <is>
          <t>МРАМОРНАЯ ПРЕМИУМ в/к в/у 0.33кг 8шт.</t>
        </is>
      </c>
      <c r="C71" s="73" t="inlineStr">
        <is>
          <t>ШТ</t>
        </is>
      </c>
      <c r="D71" s="74" t="n">
        <v>1001304527144</v>
      </c>
      <c r="E71" s="24" t="n"/>
      <c r="F71" s="23" t="n">
        <v>0.33</v>
      </c>
      <c r="G71" s="23">
        <f>F71*E71</f>
        <v/>
      </c>
      <c r="H71" s="14" t="n"/>
      <c r="I71" s="14" t="n"/>
      <c r="J71" s="29" t="n"/>
    </row>
    <row r="72" ht="16.5" customHeight="1">
      <c r="A72" s="59">
        <f>RIGHT(D72,4)</f>
        <v/>
      </c>
      <c r="B72" s="80" t="inlineStr">
        <is>
          <t>МРАМОРНАЯ ПРЕМИУМ в/к в/у</t>
        </is>
      </c>
      <c r="C72" s="73" t="inlineStr">
        <is>
          <t>КГ</t>
        </is>
      </c>
      <c r="D72" s="74" t="n">
        <v>1001304527146</v>
      </c>
      <c r="E72" s="24" t="n"/>
      <c r="F72" s="23" t="n"/>
      <c r="G72" s="23">
        <f>E72</f>
        <v/>
      </c>
      <c r="H72" s="14" t="n"/>
      <c r="I72" s="14" t="n"/>
      <c r="J72" s="29" t="n"/>
    </row>
    <row r="73" ht="16.5" customHeight="1">
      <c r="A73" s="59">
        <f>RIGHT(D73,4)</f>
        <v/>
      </c>
      <c r="B73" s="80" t="inlineStr">
        <is>
          <t>БАЛЫКОВАЯ Коровино п/к в/у 0.84кг_50с</t>
        </is>
      </c>
      <c r="C73" s="73" t="inlineStr">
        <is>
          <t>КГ</t>
        </is>
      </c>
      <c r="D73" s="74" t="n">
        <v>1001303637149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80" t="inlineStr">
        <is>
          <t>БАЛЫКОВАЯ в/к в/у 0.84кг</t>
        </is>
      </c>
      <c r="C74" s="73" t="inlineStr">
        <is>
          <t>КГ</t>
        </is>
      </c>
      <c r="D74" s="74" t="n">
        <v>1001303637131</v>
      </c>
      <c r="E74" s="24" t="n"/>
      <c r="F74" s="23" t="n"/>
      <c r="G74" s="23">
        <f>E74</f>
        <v/>
      </c>
      <c r="H74" s="14" t="n"/>
      <c r="I74" s="14" t="n"/>
      <c r="J74" s="29" t="n"/>
    </row>
    <row r="75" ht="16.5" customHeight="1">
      <c r="A75" s="59">
        <f>RIGHT(D75,4)</f>
        <v/>
      </c>
      <c r="B75" s="80" t="inlineStr">
        <is>
          <t>БАЛЫКОВАЯ ПМ п/к в/у 0.31кг 8шт_209к</t>
        </is>
      </c>
      <c r="C75" s="73" t="inlineStr">
        <is>
          <t>ШТ</t>
        </is>
      </c>
      <c r="D75" s="74" t="n">
        <v>1001303637233</v>
      </c>
      <c r="E75" s="24" t="n">
        <v>210</v>
      </c>
      <c r="F75" s="23" t="n">
        <v>0.31</v>
      </c>
      <c r="G75" s="23">
        <f>F75*E75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БОЯNСКАЯ Папа может п/к в/у 0.28кг 8шт.</t>
        </is>
      </c>
      <c r="C76" s="73" t="inlineStr">
        <is>
          <t>ШТ</t>
        </is>
      </c>
      <c r="D76" s="74" t="n">
        <v>1001302276666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80" t="inlineStr">
        <is>
          <t>БОЯNСКАЯ ПМ п/к в/у 0.28кг 8шт_50с</t>
        </is>
      </c>
      <c r="C77" s="73" t="inlineStr">
        <is>
          <t>ШТ</t>
        </is>
      </c>
      <c r="D77" s="74" t="n">
        <v>1001302277173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80" t="inlineStr">
        <is>
          <t>БОЯNСКАЯ ПМ п/к в/у 0.28кг 8шт_209к</t>
        </is>
      </c>
      <c r="C78" s="73" t="inlineStr">
        <is>
          <t>ШТ</t>
        </is>
      </c>
      <c r="D78" s="74" t="n">
        <v>1001302277232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59">
        <f>RIGHT(D79,4)</f>
        <v/>
      </c>
      <c r="B79" s="50" t="inlineStr">
        <is>
          <t>САЛЯМИ Папа может п/к в/у 0.28кг 8шт.</t>
        </is>
      </c>
      <c r="C79" s="73" t="inlineStr">
        <is>
          <t>ШТ</t>
        </is>
      </c>
      <c r="D79" s="74" t="n">
        <v>1001303106773</v>
      </c>
      <c r="E79" s="24" t="n"/>
      <c r="F79" s="23" t="n">
        <v>0.28</v>
      </c>
      <c r="G79" s="23">
        <f>E79*F79</f>
        <v/>
      </c>
      <c r="H79" s="14" t="n">
        <v>2.24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САЛЯМИ Папа может п/к в/у 0.28кг_209к</t>
        </is>
      </c>
      <c r="C80" s="73" t="inlineStr">
        <is>
          <t>ШТ</t>
        </is>
      </c>
      <c r="D80" s="74" t="n">
        <v>1001303107241</v>
      </c>
      <c r="E80" s="24" t="n">
        <v>250</v>
      </c>
      <c r="F80" s="23" t="n">
        <v>0.28</v>
      </c>
      <c r="G80" s="23">
        <f>E80*F80</f>
        <v/>
      </c>
      <c r="H80" s="14" t="n"/>
      <c r="I80" s="14" t="n"/>
      <c r="J80" s="29" t="n"/>
    </row>
    <row r="81" ht="16.5" customHeight="1">
      <c r="A81" s="59">
        <f>RIGHT(D81,4)</f>
        <v/>
      </c>
      <c r="B81" s="50" t="inlineStr">
        <is>
          <t>СЕРВЕЛАТ ЗЕРНИСТЫЙ ПМ в/к в/у срез 1/350</t>
        </is>
      </c>
      <c r="C81" s="73" t="inlineStr">
        <is>
          <t>ШТ</t>
        </is>
      </c>
      <c r="D81" s="74" t="n">
        <v>1001300386683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29" t="n"/>
    </row>
    <row r="82" ht="15.75" customHeight="1">
      <c r="A82" s="59">
        <f>RIGHT(D82,4)</f>
        <v/>
      </c>
      <c r="B82" s="80" t="inlineStr">
        <is>
          <t>СЕРВЕЛАТ ЗЕРНИСТЫЙ Папа может в/к в/у</t>
        </is>
      </c>
      <c r="C82" s="73" t="inlineStr">
        <is>
          <t>КГ</t>
        </is>
      </c>
      <c r="D82" s="74" t="n">
        <v>1001050385489</v>
      </c>
      <c r="E82" s="24" t="n"/>
      <c r="F82" s="23" t="n"/>
      <c r="G82" s="23">
        <f>E82</f>
        <v/>
      </c>
      <c r="H82" s="14" t="n"/>
      <c r="I82" s="14" t="n"/>
      <c r="J82" s="29" t="n"/>
    </row>
    <row r="83" ht="16.5" customHeight="1">
      <c r="A83" s="59">
        <f>RIGHT(D83,4)</f>
        <v/>
      </c>
      <c r="B83" s="52" t="inlineStr">
        <is>
          <t>СЕРВЕЛАТ КРЕМЛЕВСКИЙ в/к в/у 0.33кг 8шт.</t>
        </is>
      </c>
      <c r="C83" s="53" t="inlineStr">
        <is>
          <t>ШТ</t>
        </is>
      </c>
      <c r="D83" s="54" t="n">
        <v>1001300456787</v>
      </c>
      <c r="E83" s="24" t="n"/>
      <c r="F83" s="75" t="n">
        <v>0.33</v>
      </c>
      <c r="G83" s="23">
        <f>E83*F83</f>
        <v/>
      </c>
      <c r="H83" s="76" t="n">
        <v>5.04</v>
      </c>
      <c r="I83" s="76" t="n">
        <v>45</v>
      </c>
      <c r="J83" s="76" t="n"/>
    </row>
    <row r="84" ht="16.5" customHeight="1">
      <c r="A84" s="59">
        <f>RIGHT(D84,4)</f>
        <v/>
      </c>
      <c r="B84" s="50" t="inlineStr">
        <is>
          <t>СЕРВЕЛАТ ФИНСКИЙ ПМ в/к в/у 0.35кг 8шт.</t>
        </is>
      </c>
      <c r="C84" s="73" t="inlineStr">
        <is>
          <t>ШТ</t>
        </is>
      </c>
      <c r="D84" s="74" t="n">
        <v>1001301876697</v>
      </c>
      <c r="E84" s="24" t="n"/>
      <c r="F84" s="23" t="n">
        <v>0.35</v>
      </c>
      <c r="G84" s="23">
        <f>E84*F84</f>
        <v/>
      </c>
      <c r="H84" s="14" t="n">
        <v>2.8</v>
      </c>
      <c r="I84" s="14" t="n">
        <v>45</v>
      </c>
      <c r="J84" s="29" t="n"/>
    </row>
    <row r="85" ht="16.5" customHeight="1">
      <c r="A85" s="59">
        <f>RIGHT(D85,4)</f>
        <v/>
      </c>
      <c r="B85" s="50" t="inlineStr">
        <is>
          <t>СЕРВЕЛАТ ШВАРЦЕР ПМ в/к в/у 0.28кг 8шт.</t>
        </is>
      </c>
      <c r="C85" s="73" t="inlineStr">
        <is>
          <t>ШТ</t>
        </is>
      </c>
      <c r="D85" s="74" t="n">
        <v>1001304496701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>
      <c r="A86" s="59">
        <f>RIGHT(D86,4)</f>
        <v/>
      </c>
      <c r="B86" s="50" t="inlineStr">
        <is>
          <t>СЕРВЕЛАТ ШВАРЦЕР ПМ в/к в/у 0.28кг_209к</t>
        </is>
      </c>
      <c r="C86" s="73" t="inlineStr">
        <is>
          <t>ШТ</t>
        </is>
      </c>
      <c r="D86" s="74" t="n">
        <v>1001304497237</v>
      </c>
      <c r="E86" s="24" t="n"/>
      <c r="F86" s="23" t="n">
        <v>0.28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52" t="inlineStr">
        <is>
          <t>СЕРВЕЛАТ КАРЕЛЬСКИЙ ПМ в/к в/у 0.28кг</t>
        </is>
      </c>
      <c r="C87" s="53" t="inlineStr">
        <is>
          <t>ШТ</t>
        </is>
      </c>
      <c r="D87" s="54" t="n">
        <v>1001304506684</v>
      </c>
      <c r="E87" s="24" t="n"/>
      <c r="F87" s="23" t="n">
        <v>0.28</v>
      </c>
      <c r="G87" s="23">
        <f>E87*F87</f>
        <v/>
      </c>
      <c r="H87" s="14" t="n">
        <v>2.24</v>
      </c>
      <c r="I87" s="14" t="n">
        <v>45</v>
      </c>
      <c r="J87" s="29" t="n"/>
    </row>
    <row r="88" ht="16.5" customHeight="1">
      <c r="A88" s="59">
        <f>RIGHT(D88,4)</f>
        <v/>
      </c>
      <c r="B88" s="57" t="inlineStr">
        <is>
          <t>СЕРВЕЛАТ ОХОТНИЧИЙ в/к в/у срез 0.35кг</t>
        </is>
      </c>
      <c r="C88" s="53" t="inlineStr">
        <is>
          <t>шт</t>
        </is>
      </c>
      <c r="D88" s="54" t="n">
        <v>1001303986689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45</v>
      </c>
      <c r="J88" s="29" t="n"/>
    </row>
    <row r="89" ht="16.5" customHeight="1">
      <c r="A89" s="59">
        <f>RIGHT(D89,4)</f>
        <v/>
      </c>
      <c r="B89" s="80" t="inlineStr">
        <is>
          <t>СЕРВЕЛАТ ЗЕРНИСТЫЙ ПМ в/к в/у_50с</t>
        </is>
      </c>
      <c r="C89" s="73" t="inlineStr">
        <is>
          <t>КГ</t>
        </is>
      </c>
      <c r="D89" s="74" t="n">
        <v>1001300387157</v>
      </c>
      <c r="E89" s="24" t="n"/>
      <c r="F89" s="23" t="n"/>
      <c r="G89" s="23">
        <f>E89</f>
        <v/>
      </c>
      <c r="H89" s="14" t="n"/>
      <c r="I89" s="14" t="n"/>
      <c r="J89" s="29" t="n"/>
    </row>
    <row r="90" ht="16.5" customHeight="1">
      <c r="A90" s="59">
        <f>RIGHT(D90,4)</f>
        <v/>
      </c>
      <c r="B90" s="80" t="inlineStr">
        <is>
          <t>СЕРВЕЛАТ ОХОТНИЧИЙ ПМ в/к в/у_50с</t>
        </is>
      </c>
      <c r="C90" s="73" t="inlineStr">
        <is>
          <t>КГ</t>
        </is>
      </c>
      <c r="D90" s="74" t="n">
        <v>1001303987166</v>
      </c>
      <c r="E90" s="24" t="n"/>
      <c r="F90" s="23" t="n"/>
      <c r="G90" s="23">
        <f>E90</f>
        <v/>
      </c>
      <c r="H90" s="14" t="n"/>
      <c r="I90" s="14" t="n"/>
      <c r="J90" s="29" t="n"/>
    </row>
    <row r="91" ht="16.5" customHeight="1">
      <c r="A91" s="59">
        <f>RIGHT(D91,4)</f>
        <v/>
      </c>
      <c r="B91" s="80" t="inlineStr">
        <is>
          <t>СЕРВЕЛАТ ЗЕРНИСТЫЙ ПМ в/к в/у 0.35кг_50с</t>
        </is>
      </c>
      <c r="C91" s="73" t="inlineStr">
        <is>
          <t>ШТ</t>
        </is>
      </c>
      <c r="D91" s="74" t="n">
        <v>1001300387154</v>
      </c>
      <c r="E91" s="24" t="n">
        <v>252</v>
      </c>
      <c r="F91" s="23" t="n">
        <v>0.35</v>
      </c>
      <c r="G91" s="23">
        <f>E91*F91</f>
        <v/>
      </c>
      <c r="H91" s="14" t="n"/>
      <c r="I91" s="14" t="n"/>
      <c r="J91" s="29" t="n"/>
    </row>
    <row r="92" ht="16.5" customHeight="1">
      <c r="A92" s="59">
        <f>RIGHT(D92,4)</f>
        <v/>
      </c>
      <c r="B92" s="80" t="inlineStr">
        <is>
          <t>СЕРВЕЛАТ ОХОТНИЧИЙ ПМ в/к в/у 0.35кг_50с</t>
        </is>
      </c>
      <c r="C92" s="73" t="inlineStr">
        <is>
          <t>ШТ</t>
        </is>
      </c>
      <c r="D92" s="74" t="n">
        <v>1001303987169</v>
      </c>
      <c r="E92" s="24" t="n"/>
      <c r="F92" s="23" t="n">
        <v>0.35</v>
      </c>
      <c r="G92" s="23">
        <f>E92*F92</f>
        <v/>
      </c>
      <c r="H92" s="14" t="n"/>
      <c r="I92" s="14" t="n"/>
      <c r="J92" s="29" t="n"/>
    </row>
    <row r="93" ht="16.5" customHeight="1">
      <c r="A93" s="59">
        <f>RIGHT(D93,4)</f>
        <v/>
      </c>
      <c r="B93" s="80" t="inlineStr">
        <is>
          <t>СЕРВЕЛАТ ОХОТНИЧИЙ в/к в/у</t>
        </is>
      </c>
      <c r="C93" s="73" t="inlineStr">
        <is>
          <t>КГ</t>
        </is>
      </c>
      <c r="D93" s="74" t="n">
        <v>1001053985341</v>
      </c>
      <c r="E93" s="24" t="n"/>
      <c r="F93" s="23" t="n">
        <v>0.695</v>
      </c>
      <c r="G93" s="23">
        <f>E93</f>
        <v/>
      </c>
      <c r="H93" s="14" t="n">
        <v>5.56</v>
      </c>
      <c r="I93" s="14" t="n">
        <v>45</v>
      </c>
      <c r="J93" s="29" t="n"/>
    </row>
    <row r="94" ht="15.75" customHeight="1">
      <c r="A94" s="59">
        <f>RIGHT(D94,4)</f>
        <v/>
      </c>
      <c r="B94" s="80" t="inlineStr">
        <is>
          <t>СЕРВЕЛАТ ФИНСКИЙ в/к в/у_45с</t>
        </is>
      </c>
      <c r="C94" s="73" t="inlineStr">
        <is>
          <t>КГ</t>
        </is>
      </c>
      <c r="D94" s="74" t="n">
        <v>1001051875544</v>
      </c>
      <c r="E94" s="24" t="n"/>
      <c r="F94" s="23" t="n">
        <v>0.834</v>
      </c>
      <c r="G94" s="23">
        <f>E94</f>
        <v/>
      </c>
      <c r="H94" s="14" t="n">
        <v>5</v>
      </c>
      <c r="I94" s="14" t="n">
        <v>45</v>
      </c>
      <c r="J94" s="29" t="n"/>
    </row>
    <row r="95" ht="15.75" customHeight="1">
      <c r="A95" s="59">
        <f>RIGHT(D95,4)</f>
        <v/>
      </c>
      <c r="B95" s="80" t="inlineStr">
        <is>
          <t>СЕРВЕЛАТ ЕВРОПЕЙСКИЙ в/к в/у</t>
        </is>
      </c>
      <c r="C95" s="73" t="inlineStr">
        <is>
          <t>КГ</t>
        </is>
      </c>
      <c r="D95" s="74" t="n">
        <v>1001300366790</v>
      </c>
      <c r="E95" s="24" t="n"/>
      <c r="F95" s="23" t="n">
        <v>1</v>
      </c>
      <c r="G95" s="23">
        <f>E95</f>
        <v/>
      </c>
      <c r="H95" s="14" t="n"/>
      <c r="I95" s="14" t="n">
        <v>45</v>
      </c>
      <c r="J95" s="71" t="n"/>
    </row>
    <row r="96" ht="15.75" customHeight="1">
      <c r="A96" s="59">
        <f>RIGHT(D96,4)</f>
        <v/>
      </c>
      <c r="B96" s="80" t="inlineStr">
        <is>
          <t>СЕРВЕЛАТ ЕВРОПЕЙСКИЙ в/к в/у 0.84кг</t>
        </is>
      </c>
      <c r="C96" s="73" t="inlineStr">
        <is>
          <t>КГ</t>
        </is>
      </c>
      <c r="D96" s="74" t="n">
        <v>1001300367133</v>
      </c>
      <c r="E96" s="24" t="n"/>
      <c r="F96" s="23" t="n"/>
      <c r="G96" s="23">
        <f>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80" t="inlineStr">
        <is>
          <t>СЕРВЕЛАТ ПРЕМИУМ в/к в/у 0.33кг 8шт.</t>
        </is>
      </c>
      <c r="C97" s="73" t="inlineStr">
        <is>
          <t>ШТ</t>
        </is>
      </c>
      <c r="D97" s="74" t="n">
        <v>1001304096791</v>
      </c>
      <c r="E97" s="24" t="n"/>
      <c r="F97" s="23" t="n">
        <v>0.33</v>
      </c>
      <c r="G97" s="23">
        <f>E97*F97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СЕРВЕЛАТ ПРЕМИУМ в/к в/у</t>
        </is>
      </c>
      <c r="C98" s="73" t="inlineStr">
        <is>
          <t>КГ</t>
        </is>
      </c>
      <c r="D98" s="74" t="n">
        <v>1001304096792</v>
      </c>
      <c r="E98" s="24" t="n"/>
      <c r="F98" s="23" t="n">
        <v>1</v>
      </c>
      <c r="G98" s="23">
        <f>E98</f>
        <v/>
      </c>
      <c r="H98" s="14" t="n"/>
      <c r="I98" s="14" t="n">
        <v>45</v>
      </c>
      <c r="J98" s="71" t="n"/>
    </row>
    <row r="99" ht="15.75" customHeight="1">
      <c r="A99" s="59">
        <f>RIGHT(D99,4)</f>
        <v/>
      </c>
      <c r="B99" s="80" t="inlineStr">
        <is>
          <t>СЕРВЕЛАТ ОРЕХОВЫЙ ПМ в/к в/у 0.31кг 8шт.</t>
        </is>
      </c>
      <c r="C99" s="73" t="inlineStr">
        <is>
          <t>ШТ</t>
        </is>
      </c>
      <c r="D99" s="74" t="n">
        <v>1001305196564</v>
      </c>
      <c r="E99" s="24" t="n"/>
      <c r="F99" s="23" t="n">
        <v>0.31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80" t="inlineStr">
        <is>
          <t>СЕРВЕЛАТ ОРЕХОВЫЙ в/к в/у 0.31кг_209к</t>
        </is>
      </c>
      <c r="C100" s="73" t="inlineStr">
        <is>
          <t>ШТ</t>
        </is>
      </c>
      <c r="D100" s="74" t="n">
        <v>1001305197238</v>
      </c>
      <c r="E100" s="24" t="n"/>
      <c r="F100" s="23" t="n">
        <v>0.31</v>
      </c>
      <c r="G100" s="23">
        <f>F100*E100</f>
        <v/>
      </c>
      <c r="H100" s="14" t="n"/>
      <c r="I100" s="14" t="n"/>
      <c r="J100" s="71" t="n"/>
    </row>
    <row r="101" ht="15.75" customHeight="1">
      <c r="A101" s="59">
        <f>RIGHT(D101,4)</f>
        <v/>
      </c>
      <c r="B101" s="80" t="inlineStr">
        <is>
          <t>СЕРВЕЛАТ С АРОМ.ТРАВАМИ в/к в/у 0.31кг</t>
        </is>
      </c>
      <c r="C101" s="73" t="inlineStr">
        <is>
          <t>ШТ</t>
        </is>
      </c>
      <c r="D101" s="74" t="n">
        <v>1001305316565</v>
      </c>
      <c r="E101" s="24" t="n"/>
      <c r="F101" s="23" t="n">
        <v>0.31</v>
      </c>
      <c r="G101" s="23">
        <f>F101*E101</f>
        <v/>
      </c>
      <c r="H101" s="14" t="n"/>
      <c r="I101" s="14" t="n"/>
      <c r="J101" s="71" t="n"/>
    </row>
    <row r="102" ht="15.75" customHeight="1">
      <c r="A102" s="59">
        <f>RIGHT(D102,4)</f>
        <v/>
      </c>
      <c r="B102" s="80" t="inlineStr">
        <is>
          <t>СЕРВЕЛАТ С АРОМ.ТРАВ. в/к в/у 0.31кг_209к</t>
        </is>
      </c>
      <c r="C102" s="73" t="inlineStr">
        <is>
          <t>ШТ</t>
        </is>
      </c>
      <c r="D102" s="74" t="n">
        <v>1001305317240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80" t="inlineStr">
        <is>
          <t>СЕРВЕЛАТ КАРЕЛЬСКИЙ в/к в/у 0.28кг_209к</t>
        </is>
      </c>
      <c r="C103" s="73" t="inlineStr">
        <is>
          <t>ШТ</t>
        </is>
      </c>
      <c r="D103" s="74" t="n">
        <v>1001304507236</v>
      </c>
      <c r="E103" s="24" t="n"/>
      <c r="F103" s="23" t="n">
        <v>0.28</v>
      </c>
      <c r="G103" s="23">
        <f>F103*E103</f>
        <v/>
      </c>
      <c r="H103" s="14" t="n"/>
      <c r="I103" s="14" t="n"/>
      <c r="J103" s="71" t="n"/>
    </row>
    <row r="104" ht="15.75" customHeight="1">
      <c r="A104" s="59">
        <f>RIGHT(D104,4)</f>
        <v/>
      </c>
      <c r="B104" s="80" t="inlineStr">
        <is>
          <t>ЧЕСНОЧНАЯ ПМ п/к в/у 0.35кг 8шт_50с</t>
        </is>
      </c>
      <c r="C104" s="73" t="inlineStr">
        <is>
          <t>ШТ</t>
        </is>
      </c>
      <c r="D104" s="74" t="n">
        <v>1001302347177</v>
      </c>
      <c r="E104" s="24" t="n">
        <v>212</v>
      </c>
      <c r="F104" s="23" t="n">
        <v>0.35</v>
      </c>
      <c r="G104" s="23">
        <f>F104*E104</f>
        <v/>
      </c>
      <c r="H104" s="14" t="n"/>
      <c r="I104" s="14" t="n"/>
      <c r="J104" s="71" t="n"/>
    </row>
    <row r="105" ht="15.75" customHeight="1">
      <c r="A105" s="59">
        <f>RIGHT(D105,4)</f>
        <v/>
      </c>
      <c r="B105" s="80" t="inlineStr">
        <is>
          <t>БАЛЫКОВАЯ в/к в/у 0.33кг 8шт.</t>
        </is>
      </c>
      <c r="C105" s="73" t="inlineStr">
        <is>
          <t>ШТ</t>
        </is>
      </c>
      <c r="D105" s="74" t="n">
        <v>1001303636793</v>
      </c>
      <c r="E105" s="24" t="n"/>
      <c r="F105" s="23" t="n">
        <v>0.33</v>
      </c>
      <c r="G105" s="23">
        <f>E105*F105</f>
        <v/>
      </c>
      <c r="H105" s="14" t="n"/>
      <c r="I105" s="14" t="n">
        <v>45</v>
      </c>
      <c r="J105" s="71" t="n"/>
    </row>
    <row r="106" ht="15.75" customHeight="1">
      <c r="A106" s="59">
        <f>RIGHT(D106,4)</f>
        <v/>
      </c>
      <c r="B106" s="80" t="inlineStr">
        <is>
          <t>БАЛЫКОВАЯ в/к в/у</t>
        </is>
      </c>
      <c r="C106" s="73" t="inlineStr">
        <is>
          <t>КГ</t>
        </is>
      </c>
      <c r="D106" s="74" t="n">
        <v>1001303636794</v>
      </c>
      <c r="E106" s="24" t="n"/>
      <c r="F106" s="23" t="n">
        <v>1</v>
      </c>
      <c r="G106" s="23">
        <f>E106</f>
        <v/>
      </c>
      <c r="H106" s="14" t="n"/>
      <c r="I106" s="14" t="n">
        <v>45</v>
      </c>
      <c r="J106" s="71" t="n"/>
    </row>
    <row r="107" ht="15.75" customHeight="1">
      <c r="A107" s="59">
        <f>RIGHT(D107,4)</f>
        <v/>
      </c>
      <c r="B107" s="80" t="inlineStr">
        <is>
          <t>БАЛЫКОВАЯ Папа Может п/к в/у 0.31кг 8шт.</t>
        </is>
      </c>
      <c r="C107" s="73" t="inlineStr">
        <is>
          <t>ШТ</t>
        </is>
      </c>
      <c r="D107" s="74" t="n">
        <v>1001303636665</v>
      </c>
      <c r="E107" s="24" t="n"/>
      <c r="F107" s="23" t="n">
        <v>0.31</v>
      </c>
      <c r="G107" s="23">
        <f>F107*E107</f>
        <v/>
      </c>
      <c r="H107" s="14" t="n"/>
      <c r="I107" s="14" t="n"/>
      <c r="J107" s="71" t="n"/>
    </row>
    <row r="108" ht="15.75" customHeight="1">
      <c r="A108" s="59">
        <f>RIGHT(D108,4)</f>
        <v/>
      </c>
      <c r="B108" s="80" t="inlineStr">
        <is>
          <t>ОСТАНКИНСКАЯ в/к в/у 0.33кг 8шт.</t>
        </is>
      </c>
      <c r="C108" s="73" t="inlineStr">
        <is>
          <t>ШТ</t>
        </is>
      </c>
      <c r="D108" s="74" t="n">
        <v>1001302596795</v>
      </c>
      <c r="E108" s="24" t="n"/>
      <c r="F108" s="23" t="n">
        <v>0.33</v>
      </c>
      <c r="G108" s="23">
        <f>E108*F108</f>
        <v/>
      </c>
      <c r="H108" s="14" t="n"/>
      <c r="I108" s="14" t="n">
        <v>45</v>
      </c>
      <c r="J108" s="71" t="n"/>
    </row>
    <row r="109" ht="15.75" customHeight="1">
      <c r="A109" s="59">
        <f>RIGHT(D109,4)</f>
        <v/>
      </c>
      <c r="B109" s="80" t="inlineStr">
        <is>
          <t>ОСТАНКИНСКАЯ в/к в/у</t>
        </is>
      </c>
      <c r="C109" s="73" t="inlineStr">
        <is>
          <t>КГ</t>
        </is>
      </c>
      <c r="D109" s="74" t="n">
        <v>1001302596796</v>
      </c>
      <c r="E109" s="24" t="n"/>
      <c r="F109" s="23" t="n">
        <v>1</v>
      </c>
      <c r="G109" s="23">
        <f>E109</f>
        <v/>
      </c>
      <c r="H109" s="14" t="n"/>
      <c r="I109" s="14" t="n">
        <v>45</v>
      </c>
      <c r="J109" s="71" t="n"/>
    </row>
    <row r="110" ht="15.75" customHeight="1">
      <c r="A110" s="59">
        <f>RIGHT(D110,4)</f>
        <v/>
      </c>
      <c r="B110" s="80" t="inlineStr">
        <is>
          <t>СЕРВЕЛАТ КРЕМЛЕВСКИЙ в/к в/у 0.66кг 8шт.</t>
        </is>
      </c>
      <c r="C110" s="73" t="inlineStr">
        <is>
          <t>ШТ</t>
        </is>
      </c>
      <c r="D110" s="74" t="n">
        <v>1001300456804</v>
      </c>
      <c r="E110" s="24" t="n"/>
      <c r="F110" s="23" t="n">
        <v>0.66</v>
      </c>
      <c r="G110" s="23">
        <f>E110*F110</f>
        <v/>
      </c>
      <c r="H110" s="14" t="n"/>
      <c r="I110" s="14" t="n">
        <v>45</v>
      </c>
      <c r="J110" s="71" t="n"/>
    </row>
    <row r="111" ht="16.5" customHeight="1">
      <c r="A111" s="59">
        <f>RIGHT(D111,4)</f>
        <v/>
      </c>
      <c r="B111" s="80" t="inlineStr">
        <is>
          <t>ВЕНСКАЯ САЛЯМИ п/к в/у 0.66кг 8шт.</t>
        </is>
      </c>
      <c r="C111" s="73" t="inlineStr">
        <is>
          <t>ШТ</t>
        </is>
      </c>
      <c r="D111" s="74" t="n">
        <v>1001300516803</v>
      </c>
      <c r="E111" s="24" t="n"/>
      <c r="F111" s="23" t="n">
        <v>0.66</v>
      </c>
      <c r="G111" s="23">
        <f>E111*F111</f>
        <v/>
      </c>
      <c r="H111" s="14" t="n"/>
      <c r="I111" s="14" t="n">
        <v>45</v>
      </c>
      <c r="J111" s="71" t="n"/>
    </row>
    <row r="112" ht="16.5" customFormat="1" customHeight="1" s="68" thickBot="1">
      <c r="A112" s="59">
        <f>RIGHT(D112,4)</f>
        <v/>
      </c>
      <c r="B112" s="80" t="inlineStr">
        <is>
          <t>СЕРВЕЛАТ ЕВРОПЕЙСКИЙ в/к в/у 0.33кг 8шт.</t>
        </is>
      </c>
      <c r="C112" s="73" t="inlineStr">
        <is>
          <t>ШТ</t>
        </is>
      </c>
      <c r="D112" s="74" t="n">
        <v>1001300366807</v>
      </c>
      <c r="E112" s="24" t="n"/>
      <c r="F112" s="23" t="n">
        <v>0.33</v>
      </c>
      <c r="G112" s="23">
        <f>E112*F112</f>
        <v/>
      </c>
      <c r="H112" s="14" t="n"/>
      <c r="I112" s="14" t="n">
        <v>45</v>
      </c>
      <c r="J112" s="71" t="n"/>
      <c r="K112" s="27" t="n"/>
    </row>
    <row r="113" ht="16.5" customFormat="1" customHeight="1" s="68" thickBot="1" thickTop="1">
      <c r="A113" s="59">
        <f>RIGHT(D113,4)</f>
        <v/>
      </c>
      <c r="B113" s="46" t="inlineStr">
        <is>
          <t>Сырокопченые колбасы</t>
        </is>
      </c>
      <c r="C113" s="46" t="n"/>
      <c r="D113" s="46" t="n"/>
      <c r="E113" s="46" t="n"/>
      <c r="F113" s="46" t="n"/>
      <c r="G113" s="46" t="n"/>
      <c r="H113" s="46" t="n"/>
      <c r="I113" s="46" t="n"/>
      <c r="J113" s="47" t="n"/>
      <c r="K113" s="27" t="n"/>
    </row>
    <row r="114" ht="16.5" customHeight="1" thickTop="1">
      <c r="A114" s="59">
        <f>RIGHT(D114,4)</f>
        <v/>
      </c>
      <c r="B114" s="63" t="inlineStr">
        <is>
          <t>ОХОТНИЧЬЯ Папа может с/к в/у 1/220 8шт.</t>
        </is>
      </c>
      <c r="C114" s="64" t="inlineStr">
        <is>
          <t>ШТ</t>
        </is>
      </c>
      <c r="D114" s="65" t="n">
        <v>1001060755931</v>
      </c>
      <c r="E114" s="24" t="n"/>
      <c r="F114" s="66" t="n">
        <v>0.22</v>
      </c>
      <c r="G114" s="23">
        <f>E114*F114</f>
        <v/>
      </c>
      <c r="H114" s="69" t="n">
        <v>1.76</v>
      </c>
      <c r="I114" s="67" t="n">
        <v>120</v>
      </c>
      <c r="J114" s="67" t="n"/>
    </row>
    <row r="115" ht="16.5" customHeight="1">
      <c r="A115" s="59">
        <f>RIGHT(D115,4)</f>
        <v/>
      </c>
      <c r="B115" s="52" t="inlineStr">
        <is>
          <t>ПОСОЛЬСКАЯ ПМ с/к с/н в/у 1/100 10шт</t>
        </is>
      </c>
      <c r="C115" s="53" t="inlineStr">
        <is>
          <t>ШТ</t>
        </is>
      </c>
      <c r="D115" s="54" t="n">
        <v>1001203146834</v>
      </c>
      <c r="E115" s="24" t="n">
        <v>133</v>
      </c>
      <c r="F115" s="75" t="n">
        <v>0.1</v>
      </c>
      <c r="G115" s="23">
        <f>E115*F115</f>
        <v/>
      </c>
      <c r="H115" s="78" t="n">
        <v>1</v>
      </c>
      <c r="I115" s="76" t="n">
        <v>60</v>
      </c>
      <c r="J115" s="76" t="n"/>
    </row>
    <row r="116" ht="16.5" customHeight="1">
      <c r="A116" s="59">
        <f>RIGHT(D116,4)</f>
        <v/>
      </c>
      <c r="B116" s="80" t="inlineStr">
        <is>
          <t>АРОМАТНАЯ с/к с/н в/у 1/100*8_60с</t>
        </is>
      </c>
      <c r="C116" s="73" t="inlineStr">
        <is>
          <t>шт</t>
        </is>
      </c>
      <c r="D116" s="74" t="n">
        <v>1001201976454</v>
      </c>
      <c r="E116" s="24" t="n"/>
      <c r="F116" s="23" t="n">
        <v>0.1</v>
      </c>
      <c r="G116" s="23">
        <f>E116*F116</f>
        <v/>
      </c>
      <c r="H116" s="14" t="n">
        <v>1</v>
      </c>
      <c r="I116" s="14" t="n">
        <v>60</v>
      </c>
      <c r="J116" s="29" t="n"/>
    </row>
    <row r="117" ht="16.5" customHeight="1">
      <c r="A117" s="59">
        <f>RIGHT(D117,4)</f>
        <v/>
      </c>
      <c r="B117" s="80" t="inlineStr">
        <is>
          <t>ПОСОЛЬСКАЯ Папа может с/к в/у</t>
        </is>
      </c>
      <c r="C117" s="73" t="inlineStr">
        <is>
          <t>КГ</t>
        </is>
      </c>
      <c r="D117" s="74" t="n">
        <v>1001063145708</v>
      </c>
      <c r="E117" s="24" t="n"/>
      <c r="F117" s="23" t="n">
        <v>0.525</v>
      </c>
      <c r="G117" s="23">
        <f>E117</f>
        <v/>
      </c>
      <c r="H117" s="14" t="n">
        <v>4.2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ПРАЗДНИЧНАЯ с/к в/с дек.спец.мгс</t>
        </is>
      </c>
      <c r="C118" s="73" t="inlineStr">
        <is>
          <t>КГ</t>
        </is>
      </c>
      <c r="D118" s="74" t="n">
        <v>1001060720614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80" t="inlineStr">
        <is>
          <t>АРОМАТНАЯ с/к в/у</t>
        </is>
      </c>
      <c r="C119" s="73" t="inlineStr">
        <is>
          <t>КГ</t>
        </is>
      </c>
      <c r="D119" s="74" t="n">
        <v>1001061971146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80" t="inlineStr">
        <is>
          <t>ЮБИЛЕЙНАЯ с/к в/у_Л</t>
        </is>
      </c>
      <c r="C120" s="73" t="inlineStr">
        <is>
          <t>КГ</t>
        </is>
      </c>
      <c r="D120" s="74" t="n">
        <v>1001062474154</v>
      </c>
      <c r="E120" s="24" t="n"/>
      <c r="F120" s="23" t="n"/>
      <c r="G120" s="23">
        <f>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БУРГУНДИЯ Папа может с/к в/у 1/250 8шт.</t>
        </is>
      </c>
      <c r="C121" s="73" t="inlineStr">
        <is>
          <t>ШТ</t>
        </is>
      </c>
      <c r="D121" s="74" t="n">
        <v>1001063656967</v>
      </c>
      <c r="E121" s="24" t="n"/>
      <c r="F121" s="23" t="n">
        <v>0.25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САЛЯМИ ИТАЛЬЯНСКАЯ с/к в/у 1/250*8_120c</t>
        </is>
      </c>
      <c r="C122" s="73" t="inlineStr">
        <is>
          <t>шт</t>
        </is>
      </c>
      <c r="D122" s="74" t="n">
        <v>1001060764993</v>
      </c>
      <c r="E122" s="24" t="n"/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80" t="inlineStr">
        <is>
          <t>САЛЯМИ Папа может с/к в/у 1/250 8шт.</t>
        </is>
      </c>
      <c r="C123" s="73" t="inlineStr">
        <is>
          <t>шт</t>
        </is>
      </c>
      <c r="D123" s="74" t="n">
        <v>1001063106937</v>
      </c>
      <c r="E123" s="24" t="n">
        <v>166</v>
      </c>
      <c r="F123" s="23" t="n">
        <v>0.25</v>
      </c>
      <c r="G123" s="23">
        <f>E123*F123</f>
        <v/>
      </c>
      <c r="H123" s="14" t="n"/>
      <c r="I123" s="14" t="n"/>
      <c r="J123" s="29" t="n"/>
    </row>
    <row r="124" ht="16.5" customHeight="1">
      <c r="A124" s="59">
        <f>RIGHT(D124,4)</f>
        <v/>
      </c>
      <c r="B124" s="80" t="inlineStr">
        <is>
          <t>САЛЯМИ МЕЛКОЗЕРНЕНАЯ с/к в/у 1/120 8шт.</t>
        </is>
      </c>
      <c r="C124" s="73" t="inlineStr">
        <is>
          <t>ШТ</t>
        </is>
      </c>
      <c r="D124" s="74" t="n">
        <v>1001203117382</v>
      </c>
      <c r="E124" s="24" t="n">
        <v>366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>
      <c r="A125" s="59">
        <f>RIGHT(D125,4)</f>
        <v/>
      </c>
      <c r="B125" s="80" t="inlineStr">
        <is>
          <t>САЛЯМИ МЕЛКОЗЕРНЕНАЯ с/к в/у 1/120_60с</t>
        </is>
      </c>
      <c r="C125" s="73" t="inlineStr">
        <is>
          <t>ШТ</t>
        </is>
      </c>
      <c r="D125" s="74" t="n">
        <v>1001193115682</v>
      </c>
      <c r="E125" s="24" t="n"/>
      <c r="F125" s="23" t="n">
        <v>0.12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САЛЯМИ ИТАЛЬЯНСКАЯ с/к в/у 1/150_60с</t>
        </is>
      </c>
      <c r="C126" s="73" t="inlineStr">
        <is>
          <t>ШТ</t>
        </is>
      </c>
      <c r="D126" s="74" t="n">
        <v>1001190765679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80" t="inlineStr">
        <is>
          <t>ЭКСТРА Папа может с/к в/у_Л</t>
        </is>
      </c>
      <c r="C127" s="73" t="inlineStr">
        <is>
          <t>КГ</t>
        </is>
      </c>
      <c r="D127" s="74" t="n">
        <v>1001062504117</v>
      </c>
      <c r="E127" s="24" t="n"/>
      <c r="F127" s="23" t="n">
        <v>0.507</v>
      </c>
      <c r="G127" s="23">
        <f>E127</f>
        <v/>
      </c>
      <c r="H127" s="14" t="n">
        <v>4.05</v>
      </c>
      <c r="I127" s="14" t="n">
        <v>120</v>
      </c>
      <c r="J127" s="29" t="n"/>
    </row>
    <row r="128" ht="16.5" customHeight="1">
      <c r="A128" s="59">
        <f>RIGHT(D128,4)</f>
        <v/>
      </c>
      <c r="B128" s="80" t="inlineStr">
        <is>
          <t>ЭКСТРА Папа может с/к в/у 1/250 8шт.</t>
        </is>
      </c>
      <c r="C128" s="73" t="inlineStr">
        <is>
          <t>ШТ</t>
        </is>
      </c>
      <c r="D128" s="74" t="n">
        <v>1001062505483</v>
      </c>
      <c r="E128" s="24" t="n">
        <v>187</v>
      </c>
      <c r="F128" s="23" t="n">
        <v>0.25</v>
      </c>
      <c r="G128" s="23">
        <f>E128*F128</f>
        <v/>
      </c>
      <c r="H128" s="14" t="n">
        <v>2</v>
      </c>
      <c r="I128" s="14" t="n">
        <v>120</v>
      </c>
      <c r="J128" s="29" t="n"/>
    </row>
    <row r="129" ht="16.5" customHeight="1">
      <c r="A129" s="59">
        <f>RIGHT(D129,4)</f>
        <v/>
      </c>
      <c r="B129" s="80" t="inlineStr">
        <is>
          <t>ЭКСТРА Папа может с/к с/н в/у 1/100_60с</t>
        </is>
      </c>
      <c r="C129" s="73" t="inlineStr">
        <is>
          <t>шт</t>
        </is>
      </c>
      <c r="D129" s="74" t="n">
        <v>1001202506453</v>
      </c>
      <c r="E129" s="24" t="n"/>
      <c r="F129" s="23" t="n">
        <v>0.1</v>
      </c>
      <c r="G129" s="23">
        <f>E129*F129</f>
        <v/>
      </c>
      <c r="H129" s="14" t="n">
        <v>1.4</v>
      </c>
      <c r="I129" s="14" t="n">
        <v>60</v>
      </c>
      <c r="J129" s="29" t="n"/>
    </row>
    <row r="130" ht="16.5" customHeight="1">
      <c r="A130" s="59">
        <f>RIGHT(D130,4)</f>
        <v/>
      </c>
      <c r="B130" s="80" t="inlineStr">
        <is>
          <t>ОХОТНИЧЬЯ ПМ с/к с/н в/у 1/100 10шт.</t>
        </is>
      </c>
      <c r="C130" s="73" t="inlineStr">
        <is>
          <t>шт</t>
        </is>
      </c>
      <c r="D130" s="74" t="n">
        <v>1001200756557</v>
      </c>
      <c r="E130" s="24" t="n"/>
      <c r="F130" s="23" t="n">
        <v>0.1</v>
      </c>
      <c r="G130" s="23">
        <f>E130*F130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80" t="inlineStr">
        <is>
          <t>ОХОТНИЧЬЯ Папа может с/к в/у 1/220 8шт.</t>
        </is>
      </c>
      <c r="C131" s="73" t="inlineStr">
        <is>
          <t>шт</t>
        </is>
      </c>
      <c r="D131" s="74" t="n">
        <v>1001060755931</v>
      </c>
      <c r="E131" s="24" t="n">
        <v>344</v>
      </c>
      <c r="F131" s="23" t="n">
        <v>0.22</v>
      </c>
      <c r="G131" s="23">
        <f>E131*F131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80" t="inlineStr">
        <is>
          <t>МЯСНОЕ АССОРТИ к/з с/н мгс 1/90 10шт.</t>
        </is>
      </c>
      <c r="C132" s="73" t="inlineStr">
        <is>
          <t>шт</t>
        </is>
      </c>
      <c r="D132" s="74" t="n">
        <v>1001225416228</v>
      </c>
      <c r="E132" s="24" t="n"/>
      <c r="F132" s="23" t="n">
        <v>0.09</v>
      </c>
      <c r="G132" s="23">
        <f>E132*F132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80" t="inlineStr">
        <is>
          <t>НЕАПОЛИТАНСКИЙ ДУЭТ с/к с/н мгс 1/90</t>
        </is>
      </c>
      <c r="C133" s="73" t="inlineStr">
        <is>
          <t>шт</t>
        </is>
      </c>
      <c r="D133" s="74" t="n">
        <v>1001205376221</v>
      </c>
      <c r="E133" s="24" t="n">
        <v>211</v>
      </c>
      <c r="F133" s="23" t="n">
        <v>0.09</v>
      </c>
      <c r="G133" s="23">
        <f>E133*F133</f>
        <v/>
      </c>
      <c r="H133" s="14" t="n"/>
      <c r="I133" s="14" t="n"/>
      <c r="J133" s="29" t="n"/>
    </row>
    <row r="134" ht="16.5" customHeight="1" thickBot="1">
      <c r="A134" s="59">
        <f>RIGHT(D134,4)</f>
        <v/>
      </c>
      <c r="B134" s="80" t="inlineStr">
        <is>
          <t>САЛЯМИ ИТАЛЬЯНСКАЯ с/к в/у</t>
        </is>
      </c>
      <c r="C134" s="73" t="inlineStr">
        <is>
          <t>КГ</t>
        </is>
      </c>
      <c r="D134" s="74" t="n">
        <v>1001060763287</v>
      </c>
      <c r="E134" s="24" t="n"/>
      <c r="F134" s="23" t="n">
        <v>0.513</v>
      </c>
      <c r="G134" s="23">
        <f>E134</f>
        <v/>
      </c>
      <c r="H134" s="14" t="n">
        <v>4.1</v>
      </c>
      <c r="I134" s="14" t="n">
        <v>120</v>
      </c>
      <c r="J134" s="29" t="n"/>
    </row>
    <row r="135" ht="16.5" customHeight="1" thickBot="1" thickTop="1">
      <c r="A135" s="59">
        <f>RIGHT(D135,4)</f>
        <v/>
      </c>
      <c r="B135" s="46" t="inlineStr">
        <is>
          <t>Ветчины</t>
        </is>
      </c>
      <c r="C135" s="46" t="n"/>
      <c r="D135" s="46" t="n"/>
      <c r="E135" s="46" t="n"/>
      <c r="F135" s="46" t="n"/>
      <c r="G135" s="23" t="n"/>
      <c r="H135" s="46" t="n"/>
      <c r="I135" s="46" t="n"/>
      <c r="J135" s="47" t="n"/>
    </row>
    <row r="136" ht="16.5" customHeight="1" thickTop="1">
      <c r="A136" s="59">
        <f>RIGHT(D136,4)</f>
        <v/>
      </c>
      <c r="B136" s="77" t="inlineStr">
        <is>
          <t>ВЕТЧ.НЕЖНАЯ Коровино п/о_Маяк</t>
        </is>
      </c>
      <c r="C136" s="73" t="inlineStr">
        <is>
          <t>кг</t>
        </is>
      </c>
      <c r="D136" s="79" t="n">
        <v>1001095716866</v>
      </c>
      <c r="E136" s="24" t="n"/>
      <c r="F136" s="23" t="n"/>
      <c r="G136" s="23">
        <f>E136</f>
        <v/>
      </c>
      <c r="H136" s="14" t="n"/>
      <c r="I136" s="14" t="n"/>
      <c r="J136" s="29" t="n"/>
    </row>
    <row r="137" ht="16.5" customHeight="1">
      <c r="A137" s="59">
        <f>RIGHT(D137,4)</f>
        <v/>
      </c>
      <c r="B137" s="80" t="inlineStr">
        <is>
          <t>ВЕТЧ.МЯСНАЯ Папа может п/о 0.4кг 8шт.</t>
        </is>
      </c>
      <c r="C137" s="73" t="inlineStr">
        <is>
          <t>шт</t>
        </is>
      </c>
      <c r="D137" s="42" t="n">
        <v>1001094053215</v>
      </c>
      <c r="E137" s="24" t="n">
        <v>144</v>
      </c>
      <c r="F137" s="23" t="n">
        <v>0.4</v>
      </c>
      <c r="G137" s="23">
        <f>E137*F137</f>
        <v/>
      </c>
      <c r="H137" s="14" t="n">
        <v>3.2</v>
      </c>
      <c r="I137" s="14" t="n">
        <v>60</v>
      </c>
      <c r="J137" s="29" t="n"/>
    </row>
    <row r="138" ht="16.5" customHeight="1">
      <c r="A138" s="59">
        <f>RIGHT(D138,4)</f>
        <v/>
      </c>
      <c r="B138" s="80" t="inlineStr">
        <is>
          <t>ВЕТЧ.ФИРМЕННАЯ С ИНДЕЙКОЙ п/о</t>
        </is>
      </c>
      <c r="C138" s="73" t="inlineStr">
        <is>
          <t>КГ</t>
        </is>
      </c>
      <c r="D138" s="42" t="n">
        <v>1001094966025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Height="1">
      <c r="A139" s="59">
        <f>RIGHT(D139,4)</f>
        <v/>
      </c>
      <c r="B139" s="80" t="inlineStr">
        <is>
          <t>ВЕТЧ.МРАМОРНАЯ в/у_45с</t>
        </is>
      </c>
      <c r="C139" s="73" t="inlineStr">
        <is>
          <t>КГ</t>
        </is>
      </c>
      <c r="D139" s="42" t="n">
        <v>1001092436470</v>
      </c>
      <c r="E139" s="24" t="n"/>
      <c r="F139" s="23" t="n"/>
      <c r="G139" s="23">
        <f>E139</f>
        <v/>
      </c>
      <c r="H139" s="14" t="n"/>
      <c r="I139" s="14" t="n"/>
      <c r="J139" s="29" t="n"/>
    </row>
    <row r="140" ht="16.5" customHeight="1">
      <c r="A140" s="59">
        <f>RIGHT(D140,4)</f>
        <v/>
      </c>
      <c r="B140" s="80" t="inlineStr">
        <is>
          <t>ВЕТЧ.ИЗ ЛОПАТКИ Папа может п/о_HRC</t>
        </is>
      </c>
      <c r="C140" s="73" t="inlineStr">
        <is>
          <t>КГ</t>
        </is>
      </c>
      <c r="D140" s="42" t="n">
        <v>1001092674584</v>
      </c>
      <c r="E140" s="24" t="n"/>
      <c r="F140" s="23" t="n"/>
      <c r="G140" s="23">
        <f>E140</f>
        <v/>
      </c>
      <c r="H140" s="14" t="n"/>
      <c r="I140" s="14" t="n"/>
      <c r="J140" s="29" t="n"/>
    </row>
    <row r="141" ht="16.5" customHeight="1">
      <c r="A141" s="59">
        <f>RIGHT(D141,4)</f>
        <v/>
      </c>
      <c r="B141" s="80" t="inlineStr">
        <is>
          <t>ВЕТЧ.МРАМОРНАЯ в/у_С_45с</t>
        </is>
      </c>
      <c r="C141" s="73" t="inlineStr">
        <is>
          <t>КГ</t>
        </is>
      </c>
      <c r="D141" s="42" t="n">
        <v>1001092436472</v>
      </c>
      <c r="E141" s="24" t="n"/>
      <c r="F141" s="23" t="n"/>
      <c r="G141" s="23">
        <f>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50" t="inlineStr">
        <is>
          <t>ВЕТЧ.МЯСНАЯ Папа может п/о</t>
        </is>
      </c>
      <c r="C142" s="73" t="inlineStr">
        <is>
          <t>КГ</t>
        </is>
      </c>
      <c r="D142" s="42" t="n">
        <v>1001092485452</v>
      </c>
      <c r="E142" s="24" t="n"/>
      <c r="F142" s="23" t="n">
        <v>1.367</v>
      </c>
      <c r="G142" s="23">
        <f>E142</f>
        <v/>
      </c>
      <c r="H142" s="14" t="n">
        <v>4.1</v>
      </c>
      <c r="I142" s="14" t="n">
        <v>60</v>
      </c>
      <c r="J142" s="29" t="n"/>
    </row>
    <row r="143" ht="16.5" customHeight="1">
      <c r="A143" s="59">
        <f>RIGHT(D143,4)</f>
        <v/>
      </c>
      <c r="B143" s="50" t="inlineStr">
        <is>
          <t>ВЕТЧ.С ИНДЕЙКОЙ Папа может п/о 400*6</t>
        </is>
      </c>
      <c r="C143" s="73" t="inlineStr">
        <is>
          <t>ШТ</t>
        </is>
      </c>
      <c r="D143" s="42" t="n">
        <v>1001093345495</v>
      </c>
      <c r="E143" s="24" t="n"/>
      <c r="F143" s="23" t="n">
        <v>0.4</v>
      </c>
      <c r="G143" s="23">
        <f>E143*F143</f>
        <v/>
      </c>
      <c r="H143" s="14" t="n">
        <v>2.4</v>
      </c>
      <c r="I143" s="14" t="n">
        <v>60</v>
      </c>
      <c r="J143" s="29" t="n"/>
    </row>
    <row r="144" ht="15.75" customHeight="1" thickBot="1">
      <c r="A144" s="59">
        <f>RIGHT(D144,4)</f>
        <v/>
      </c>
      <c r="B144" s="50" t="inlineStr">
        <is>
          <t>ВЕТЧ.МРАМОРНАЯ в/у срез 0.3кг 6шт_45с</t>
        </is>
      </c>
      <c r="C144" s="73" t="inlineStr">
        <is>
          <t>ШТ</t>
        </is>
      </c>
      <c r="D144" s="42" t="n">
        <v>1001092436495</v>
      </c>
      <c r="E144" s="24" t="n"/>
      <c r="F144" s="23" t="n">
        <v>0.3</v>
      </c>
      <c r="G144" s="23">
        <f>E144*F144</f>
        <v/>
      </c>
      <c r="H144" s="14" t="n">
        <v>1.8</v>
      </c>
      <c r="I144" s="14" t="n">
        <v>45</v>
      </c>
      <c r="J144" s="29" t="n"/>
    </row>
    <row r="145" ht="16.5" customHeight="1" thickBot="1" thickTop="1">
      <c r="A145" s="59">
        <f>RIGHT(D145,4)</f>
        <v/>
      </c>
      <c r="B145" s="46" t="inlineStr">
        <is>
          <t>Копчености варенокопченые</t>
        </is>
      </c>
      <c r="C145" s="46" t="n"/>
      <c r="D145" s="46" t="n"/>
      <c r="E145" s="46" t="n"/>
      <c r="F145" s="46" t="n"/>
      <c r="G145" s="23" t="n"/>
      <c r="H145" s="46" t="n"/>
      <c r="I145" s="46" t="n"/>
      <c r="J145" s="47" t="n"/>
    </row>
    <row r="146" ht="16.5" customHeight="1" thickTop="1">
      <c r="A146" s="59">
        <f>RIGHT(D146,4)</f>
        <v/>
      </c>
      <c r="B146" s="37" t="inlineStr">
        <is>
          <t>СВИНИНА МАДЕРА с/к с/н в/у 1/100</t>
        </is>
      </c>
      <c r="C146" s="73" t="inlineStr">
        <is>
          <t>шт</t>
        </is>
      </c>
      <c r="D146" s="74" t="n">
        <v>1001234146448</v>
      </c>
      <c r="E146" s="24" t="n"/>
      <c r="F146" s="23" t="n">
        <v>0.1</v>
      </c>
      <c r="G146" s="23">
        <f>E146*F146</f>
        <v/>
      </c>
      <c r="H146" s="14" t="n">
        <v>1</v>
      </c>
      <c r="I146" s="14" t="n">
        <v>45</v>
      </c>
      <c r="J146" s="29" t="n"/>
    </row>
    <row r="147" ht="16.5" customHeight="1">
      <c r="A147" s="59">
        <f>RIGHT(D147,4)</f>
        <v/>
      </c>
      <c r="B147" s="37" t="inlineStr">
        <is>
          <t>МРАМОРНАЯ И БАЛЫКОВАЯ в/к с/н мгс 1/90</t>
        </is>
      </c>
      <c r="C147" s="73" t="inlineStr">
        <is>
          <t>шт</t>
        </is>
      </c>
      <c r="D147" s="74" t="n">
        <v>1001215576586</v>
      </c>
      <c r="E147" s="24" t="n">
        <v>181</v>
      </c>
      <c r="F147" s="23" t="n">
        <v>0.09</v>
      </c>
      <c r="G147" s="23">
        <f>E147*F147</f>
        <v/>
      </c>
      <c r="H147" s="14" t="n"/>
      <c r="I147" s="14" t="n"/>
      <c r="J147" s="29" t="n"/>
    </row>
    <row r="148" ht="16.5" customHeight="1">
      <c r="A148" s="59">
        <f>RIGHT(D148,4)</f>
        <v/>
      </c>
      <c r="B148" s="37" t="inlineStr">
        <is>
          <t>МЯСНОЕ АССОРТИ к/з с/н мгс 1/90 10шт.</t>
        </is>
      </c>
      <c r="C148" s="73" t="inlineStr">
        <is>
          <t>шт</t>
        </is>
      </c>
      <c r="D148" s="74" t="n">
        <v>1001225416228</v>
      </c>
      <c r="E148" s="24" t="n">
        <v>373</v>
      </c>
      <c r="F148" s="23" t="n">
        <v>0.09</v>
      </c>
      <c r="G148" s="23">
        <f>E148*F148</f>
        <v/>
      </c>
      <c r="H148" s="14" t="n"/>
      <c r="I148" s="14" t="n"/>
      <c r="J148" s="29" t="n"/>
    </row>
    <row r="149" ht="16.5" customHeight="1">
      <c r="A149" s="59">
        <f>RIGHT(D149,4)</f>
        <v/>
      </c>
      <c r="B149" s="37" t="inlineStr">
        <is>
          <t>ИТАЛЬЯНСКОЕ АССОРТИ с/в с/н мгс 1/90</t>
        </is>
      </c>
      <c r="C149" s="73" t="inlineStr">
        <is>
          <t>шт</t>
        </is>
      </c>
      <c r="D149" s="74" t="n">
        <v>1001205386222</v>
      </c>
      <c r="E149" s="24" t="n">
        <v>289</v>
      </c>
      <c r="F149" s="23" t="n">
        <v>0.09</v>
      </c>
      <c r="G149" s="23">
        <f>E149*F149</f>
        <v/>
      </c>
      <c r="H149" s="14" t="n"/>
      <c r="I149" s="14" t="n"/>
      <c r="J149" s="29" t="n"/>
    </row>
    <row r="150" ht="16.5" customHeight="1">
      <c r="A150" s="59">
        <f>RIGHT(D150,4)</f>
        <v/>
      </c>
      <c r="B150" s="37" t="inlineStr">
        <is>
          <t>БАЛЫК И ШЕЙКА с/в с/н мгс 1/90 8шт.</t>
        </is>
      </c>
      <c r="C150" s="73" t="inlineStr">
        <is>
          <t>шт</t>
        </is>
      </c>
      <c r="D150" s="74" t="n">
        <v>1001225406754</v>
      </c>
      <c r="E150" s="24" t="n">
        <v>286</v>
      </c>
      <c r="F150" s="23" t="n">
        <v>0.09</v>
      </c>
      <c r="G150" s="23">
        <f>E150*F150</f>
        <v/>
      </c>
      <c r="H150" s="14" t="n"/>
      <c r="I150" s="14" t="n"/>
      <c r="J150" s="29" t="n"/>
    </row>
    <row r="151" ht="16.5" customHeight="1">
      <c r="A151" s="59">
        <f>RIGHT(D151,4)</f>
        <v/>
      </c>
      <c r="B151" s="37" t="inlineStr">
        <is>
          <t>СВИНИНА ПО-ДОМ. к/в мл/к в/у 0.3кг_50с</t>
        </is>
      </c>
      <c r="C151" s="73" t="inlineStr">
        <is>
          <t>шт</t>
        </is>
      </c>
      <c r="D151" s="74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45</v>
      </c>
      <c r="J151" s="29" t="n"/>
    </row>
    <row r="152" ht="16.5" customHeight="1">
      <c r="A152" s="59">
        <f>RIGHT(D152,4)</f>
        <v/>
      </c>
      <c r="B152" s="37" t="inlineStr">
        <is>
          <t>ДЫМОВИЦА ИЗ ЛОПАТКИ ПМ к/в с/н в/у 1/150</t>
        </is>
      </c>
      <c r="C152" s="73" t="inlineStr">
        <is>
          <t>ШТ</t>
        </is>
      </c>
      <c r="D152" s="74" t="n">
        <v>1001220226208</v>
      </c>
      <c r="E152" s="24" t="n">
        <v>209</v>
      </c>
      <c r="F152" s="23" t="n">
        <v>0.15</v>
      </c>
      <c r="G152" s="23">
        <f>F152*E152</f>
        <v/>
      </c>
      <c r="H152" s="14" t="n"/>
      <c r="I152" s="14" t="n"/>
      <c r="J152" s="29" t="n"/>
    </row>
    <row r="153" ht="16.5" customHeight="1">
      <c r="A153" s="59">
        <f>RIGHT(D153,4)</f>
        <v/>
      </c>
      <c r="B153" s="37" t="inlineStr">
        <is>
          <t>БЕКОН ДЛЯ КУЛИНАРИИ с/к с/н мгс 1*2_HRC</t>
        </is>
      </c>
      <c r="C153" s="73" t="inlineStr">
        <is>
          <t>КГ</t>
        </is>
      </c>
      <c r="D153" s="74" t="n">
        <v>1001223297053</v>
      </c>
      <c r="E153" s="24" t="n"/>
      <c r="F153" s="23" t="n"/>
      <c r="G153" s="23">
        <f>E153</f>
        <v/>
      </c>
      <c r="H153" s="14" t="n"/>
      <c r="I153" s="14" t="n"/>
      <c r="J153" s="29" t="n"/>
    </row>
    <row r="154" ht="16.5" customFormat="1" customHeight="1" s="70" thickBot="1">
      <c r="A154" s="59">
        <f>RIGHT(D154,4)</f>
        <v/>
      </c>
      <c r="B154" s="58" t="inlineStr">
        <is>
          <t>БЕКОН Останкино с/к с/н в/у 1/180_50с</t>
        </is>
      </c>
      <c r="C154" s="53" t="inlineStr">
        <is>
          <t>шт</t>
        </is>
      </c>
      <c r="D154" s="54" t="n">
        <v>1001223297103</v>
      </c>
      <c r="E154" s="24" t="n">
        <v>459</v>
      </c>
      <c r="F154" s="75" t="n">
        <v>0.18</v>
      </c>
      <c r="G154" s="23">
        <f>E154*F154</f>
        <v/>
      </c>
      <c r="H154" s="76" t="n">
        <v>1.8</v>
      </c>
      <c r="I154" s="76" t="n">
        <v>45</v>
      </c>
      <c r="J154" s="76" t="n"/>
      <c r="K154" s="27" t="n"/>
    </row>
    <row r="155" ht="16.5" customHeight="1" thickBot="1" thickTop="1">
      <c r="A155" s="62" t="n"/>
      <c r="B155" s="49" t="inlineStr">
        <is>
          <t>ВСЕГО:</t>
        </is>
      </c>
      <c r="C155" s="16" t="n"/>
      <c r="D155" s="38" t="n"/>
      <c r="E155" s="17">
        <f>SUM(E10:E154)</f>
        <v/>
      </c>
      <c r="F155" s="17" t="n"/>
      <c r="G155" s="17">
        <f>SUM(G11:G154)</f>
        <v/>
      </c>
      <c r="H155" s="17" t="n"/>
      <c r="I155" s="17" t="n"/>
      <c r="J155" s="17" t="n"/>
    </row>
    <row r="156" ht="15.75" customHeight="1" thickTop="1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  <row r="1670">
      <c r="B1670" s="39" t="n"/>
      <c r="C1670" s="18" t="n"/>
      <c r="D1670" s="43" t="n"/>
      <c r="F1670" s="19" t="n"/>
      <c r="G1670" s="19" t="n"/>
      <c r="H1670" s="20" t="n"/>
      <c r="I1670" s="20" t="n"/>
      <c r="J1670" s="21" t="n"/>
    </row>
    <row r="1671">
      <c r="B1671" s="39" t="n"/>
      <c r="C1671" s="18" t="n"/>
      <c r="D1671" s="43" t="n"/>
      <c r="F1671" s="19" t="n"/>
      <c r="G1671" s="19" t="n"/>
      <c r="H1671" s="20" t="n"/>
      <c r="I1671" s="20" t="n"/>
      <c r="J1671" s="21" t="n"/>
    </row>
    <row r="1672">
      <c r="B1672" s="39" t="n"/>
      <c r="C1672" s="18" t="n"/>
      <c r="D1672" s="43" t="n"/>
      <c r="F1672" s="19" t="n"/>
      <c r="G1672" s="19" t="n"/>
      <c r="H1672" s="20" t="n"/>
      <c r="I1672" s="20" t="n"/>
      <c r="J1672" s="21" t="n"/>
    </row>
    <row r="1673">
      <c r="B1673" s="39" t="n"/>
      <c r="C1673" s="18" t="n"/>
      <c r="D1673" s="43" t="n"/>
      <c r="F1673" s="19" t="n"/>
      <c r="G1673" s="19" t="n"/>
      <c r="H1673" s="20" t="n"/>
      <c r="I1673" s="20" t="n"/>
      <c r="J1673" s="21" t="n"/>
    </row>
    <row r="1674">
      <c r="B1674" s="39" t="n"/>
      <c r="C1674" s="18" t="n"/>
      <c r="D1674" s="43" t="n"/>
      <c r="F1674" s="19" t="n"/>
      <c r="G1674" s="19" t="n"/>
      <c r="H1674" s="20" t="n"/>
      <c r="I1674" s="20" t="n"/>
      <c r="J1674" s="21" t="n"/>
    </row>
    <row r="1675">
      <c r="B1675" s="39" t="n"/>
      <c r="C1675" s="18" t="n"/>
      <c r="D1675" s="43" t="n"/>
      <c r="F1675" s="19" t="n"/>
      <c r="G1675" s="19" t="n"/>
      <c r="H1675" s="20" t="n"/>
      <c r="I1675" s="20" t="n"/>
      <c r="J1675" s="21" t="n"/>
    </row>
    <row r="1676">
      <c r="B1676" s="39" t="n"/>
      <c r="C1676" s="18" t="n"/>
      <c r="D1676" s="43" t="n"/>
      <c r="F1676" s="19" t="n"/>
      <c r="G1676" s="19" t="n"/>
      <c r="H1676" s="20" t="n"/>
      <c r="I1676" s="20" t="n"/>
      <c r="J1676" s="21" t="n"/>
    </row>
    <row r="1677">
      <c r="B1677" s="39" t="n"/>
      <c r="C1677" s="18" t="n"/>
      <c r="D1677" s="43" t="n"/>
      <c r="F1677" s="19" t="n"/>
      <c r="G1677" s="19" t="n"/>
      <c r="H1677" s="20" t="n"/>
      <c r="I1677" s="20" t="n"/>
      <c r="J1677" s="21" t="n"/>
    </row>
    <row r="1678">
      <c r="B1678" s="39" t="n"/>
      <c r="C1678" s="18" t="n"/>
      <c r="D1678" s="43" t="n"/>
      <c r="F1678" s="19" t="n"/>
      <c r="G1678" s="19" t="n"/>
      <c r="H1678" s="20" t="n"/>
      <c r="I1678" s="20" t="n"/>
      <c r="J1678" s="21" t="n"/>
    </row>
    <row r="1679">
      <c r="B1679" s="39" t="n"/>
      <c r="C1679" s="18" t="n"/>
      <c r="D1679" s="43" t="n"/>
      <c r="F1679" s="19" t="n"/>
      <c r="G1679" s="19" t="n"/>
      <c r="H1679" s="20" t="n"/>
      <c r="I1679" s="20" t="n"/>
      <c r="J1679" s="21" t="n"/>
    </row>
  </sheetData>
  <autoFilter ref="A9:K15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2025-11-19T08:35:26Z</dcterms:modified>
  <cp:lastModifiedBy>Uaer4</cp:lastModifiedBy>
  <cp:lastPrinted>2015-01-13T07:32:10Z</cp:lastPrinted>
</cp:coreProperties>
</file>