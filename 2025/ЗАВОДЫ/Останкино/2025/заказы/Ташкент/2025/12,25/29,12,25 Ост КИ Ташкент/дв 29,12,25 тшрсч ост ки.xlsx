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Ташкент\"/>
    </mc:Choice>
  </mc:AlternateContent>
  <xr:revisionPtr revIDLastSave="0" documentId="13_ncr:1_{7FF132D8-70F1-4528-8328-9614DC1768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2" i="1" l="1"/>
  <c r="P7" i="1" l="1"/>
  <c r="Q7" i="1" s="1"/>
  <c r="AE7" i="1" s="1"/>
  <c r="P8" i="1"/>
  <c r="Q8" i="1" s="1"/>
  <c r="AE8" i="1" s="1"/>
  <c r="P9" i="1"/>
  <c r="P10" i="1"/>
  <c r="P11" i="1"/>
  <c r="P12" i="1"/>
  <c r="P13" i="1"/>
  <c r="P14" i="1"/>
  <c r="P15" i="1"/>
  <c r="P16" i="1"/>
  <c r="P17" i="1"/>
  <c r="P18" i="1"/>
  <c r="P19" i="1"/>
  <c r="Q19" i="1" s="1"/>
  <c r="AE19" i="1" s="1"/>
  <c r="P20" i="1"/>
  <c r="P21" i="1"/>
  <c r="P22" i="1"/>
  <c r="P23" i="1"/>
  <c r="P24" i="1"/>
  <c r="P25" i="1"/>
  <c r="Q25" i="1" s="1"/>
  <c r="AE25" i="1" s="1"/>
  <c r="P26" i="1"/>
  <c r="P27" i="1"/>
  <c r="Q27" i="1" s="1"/>
  <c r="AE27" i="1" s="1"/>
  <c r="P28" i="1"/>
  <c r="AE28" i="1" s="1"/>
  <c r="P29" i="1"/>
  <c r="P30" i="1"/>
  <c r="Q30" i="1" s="1"/>
  <c r="AE30" i="1" s="1"/>
  <c r="P31" i="1"/>
  <c r="P32" i="1"/>
  <c r="P33" i="1"/>
  <c r="P34" i="1"/>
  <c r="Q34" i="1" s="1"/>
  <c r="AE34" i="1" s="1"/>
  <c r="P35" i="1"/>
  <c r="P36" i="1"/>
  <c r="Q36" i="1" s="1"/>
  <c r="AE36" i="1" s="1"/>
  <c r="P37" i="1"/>
  <c r="P38" i="1"/>
  <c r="P39" i="1"/>
  <c r="P40" i="1"/>
  <c r="P41" i="1"/>
  <c r="P42" i="1"/>
  <c r="P43" i="1"/>
  <c r="P44" i="1"/>
  <c r="P45" i="1"/>
  <c r="P46" i="1"/>
  <c r="P47" i="1"/>
  <c r="P48" i="1"/>
  <c r="P6" i="1"/>
  <c r="AE48" i="1"/>
  <c r="L48" i="1"/>
  <c r="AE47" i="1"/>
  <c r="L47" i="1"/>
  <c r="AE46" i="1"/>
  <c r="L46" i="1"/>
  <c r="AE45" i="1"/>
  <c r="L45" i="1"/>
  <c r="AE44" i="1"/>
  <c r="L44" i="1"/>
  <c r="AE43" i="1"/>
  <c r="L43" i="1"/>
  <c r="AE42" i="1"/>
  <c r="L42" i="1"/>
  <c r="AE41" i="1"/>
  <c r="L41" i="1"/>
  <c r="AE40" i="1"/>
  <c r="L40" i="1"/>
  <c r="AE39" i="1"/>
  <c r="L39" i="1"/>
  <c r="AE38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31" i="1" l="1"/>
  <c r="AE31" i="1" s="1"/>
  <c r="Q23" i="1"/>
  <c r="AE23" i="1" s="1"/>
  <c r="Q29" i="1"/>
  <c r="AE29" i="1" s="1"/>
  <c r="Q33" i="1"/>
  <c r="AE33" i="1" s="1"/>
  <c r="Q15" i="1"/>
  <c r="AE15" i="1" s="1"/>
  <c r="Q22" i="1"/>
  <c r="AE22" i="1" s="1"/>
  <c r="Q12" i="1"/>
  <c r="AE12" i="1" s="1"/>
  <c r="Q35" i="1"/>
  <c r="AE35" i="1" s="1"/>
  <c r="Q17" i="1"/>
  <c r="AE17" i="1" s="1"/>
  <c r="Q20" i="1"/>
  <c r="AE20" i="1" s="1"/>
  <c r="Q13" i="1"/>
  <c r="AE13" i="1" s="1"/>
  <c r="Q37" i="1"/>
  <c r="AE37" i="1" s="1"/>
  <c r="Q21" i="1"/>
  <c r="AE21" i="1" s="1"/>
  <c r="Q18" i="1"/>
  <c r="AE18" i="1" s="1"/>
  <c r="Q14" i="1"/>
  <c r="AE14" i="1" s="1"/>
  <c r="Q6" i="1"/>
  <c r="AE6" i="1" s="1"/>
  <c r="Q10" i="1"/>
  <c r="AE10" i="1" s="1"/>
  <c r="U6" i="1"/>
  <c r="T47" i="1"/>
  <c r="U47" i="1"/>
  <c r="T45" i="1"/>
  <c r="U45" i="1"/>
  <c r="T43" i="1"/>
  <c r="U43" i="1"/>
  <c r="T41" i="1"/>
  <c r="U41" i="1"/>
  <c r="T39" i="1"/>
  <c r="U39" i="1"/>
  <c r="U37" i="1"/>
  <c r="U35" i="1"/>
  <c r="U33" i="1"/>
  <c r="U31" i="1"/>
  <c r="U29" i="1"/>
  <c r="T27" i="1"/>
  <c r="U27" i="1"/>
  <c r="T25" i="1"/>
  <c r="U25" i="1"/>
  <c r="U23" i="1"/>
  <c r="T21" i="1"/>
  <c r="U21" i="1"/>
  <c r="T19" i="1"/>
  <c r="U19" i="1"/>
  <c r="T17" i="1"/>
  <c r="U17" i="1"/>
  <c r="T15" i="1"/>
  <c r="U15" i="1"/>
  <c r="T13" i="1"/>
  <c r="U13" i="1"/>
  <c r="T11" i="1"/>
  <c r="U11" i="1"/>
  <c r="T9" i="1"/>
  <c r="U9" i="1"/>
  <c r="T7" i="1"/>
  <c r="U7" i="1"/>
  <c r="L5" i="1"/>
  <c r="T48" i="1"/>
  <c r="U48" i="1"/>
  <c r="T46" i="1"/>
  <c r="U46" i="1"/>
  <c r="T44" i="1"/>
  <c r="U44" i="1"/>
  <c r="T42" i="1"/>
  <c r="U42" i="1"/>
  <c r="T40" i="1"/>
  <c r="U40" i="1"/>
  <c r="T38" i="1"/>
  <c r="U38" i="1"/>
  <c r="T36" i="1"/>
  <c r="U36" i="1"/>
  <c r="T34" i="1"/>
  <c r="U34" i="1"/>
  <c r="T32" i="1"/>
  <c r="U32" i="1"/>
  <c r="T30" i="1"/>
  <c r="U30" i="1"/>
  <c r="T28" i="1"/>
  <c r="U28" i="1"/>
  <c r="T26" i="1"/>
  <c r="U26" i="1"/>
  <c r="T24" i="1"/>
  <c r="U24" i="1"/>
  <c r="U22" i="1"/>
  <c r="U20" i="1"/>
  <c r="U18" i="1"/>
  <c r="T16" i="1"/>
  <c r="U16" i="1"/>
  <c r="U14" i="1"/>
  <c r="U12" i="1"/>
  <c r="U10" i="1"/>
  <c r="T8" i="1"/>
  <c r="U8" i="1"/>
  <c r="P5" i="1"/>
  <c r="T29" i="1" l="1"/>
  <c r="T31" i="1"/>
  <c r="T23" i="1"/>
  <c r="T33" i="1"/>
  <c r="T35" i="1"/>
  <c r="T37" i="1"/>
  <c r="T12" i="1"/>
  <c r="T22" i="1"/>
  <c r="T10" i="1"/>
  <c r="T14" i="1"/>
  <c r="T18" i="1"/>
  <c r="T20" i="1"/>
  <c r="T6" i="1"/>
  <c r="Q5" i="1"/>
  <c r="AE5" i="1"/>
</calcChain>
</file>

<file path=xl/sharedStrings.xml><?xml version="1.0" encoding="utf-8"?>
<sst xmlns="http://schemas.openxmlformats.org/spreadsheetml/2006/main" count="164" uniqueCount="86">
  <si>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</si>
  <si>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</si>
  <si>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</si>
  <si>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</si>
  <si>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</si>
  <si>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</si>
  <si>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</si>
  <si>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</si>
  <si>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</si>
  <si>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</si>
  <si>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</si>
  <si>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</si>
  <si>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</si>
  <si>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</si>
  <si>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</si>
  <si>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</si>
  <si>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</si>
  <si>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</si>
  <si>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</si>
  <si>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</si>
  <si>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</si>
  <si>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</si>
  <si>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</si>
  <si>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</si>
  <si>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26,12,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</si>
  <si>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</si>
  <si>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</si>
  <si>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</si>
  <si>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</si>
  <si>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</si>
  <si>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</si>
  <si>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</si>
  <si>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</si>
  <si>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27,10,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</si>
  <si>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</si>
  <si>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</si>
  <si>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</si>
  <si>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</si>
  <si>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</si>
  <si>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</si>
  <si>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</si>
  <si>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</si>
  <si>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</si>
  <si>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</si>
  <si>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</si>
  <si>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</si>
  <si>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</si>
  <si>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</si>
  <si>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</si>
  <si>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</si>
  <si>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</si>
  <si>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</si>
  <si>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</si>
  <si>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</si>
  <si>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</si>
  <si>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</si>
  <si>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</si>
  <si>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</si>
  <si>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</si>
  <si>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</si>
  <si>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</si>
  <si>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</si>
  <si>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</si>
  <si>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</si>
  <si>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</si>
  <si>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</si>
  <si>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ротация</t>
  </si>
  <si>
    <t>ротация на 7070 ???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</si>
  <si>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</si>
  <si>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</si>
  <si>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</si>
  <si>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</si>
  <si>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</si>
  <si>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АРОМАТНАЯ с/к с/н в/у 1/100_СНГ</t>
  </si>
  <si>
    <t>БОЯРСКАЯ ПМ п/к в/у 0.28кг_СНГ</t>
  </si>
  <si>
    <t>КЛАССИЧЕСКАЯ ПМ вар п/о 0.3кг 8шт_209к</t>
  </si>
  <si>
    <t>МОЛОЧНЫЕ КЛАССИЧЕСКИЕ сос п/о в/у 0.3кг</t>
  </si>
  <si>
    <t>МЯСНЫЕ Папа может сар б/о мгс 1*3_Х5_45с</t>
  </si>
  <si>
    <t>ОКОРОК КОПЧЕНЫЙ к/в мл/к в/у 0.3кг_СНГ</t>
  </si>
  <si>
    <t>САЛЯМИ ИТАЛЬЯНСКАЯ с/к в/у 1/150_СНГ_60с</t>
  </si>
  <si>
    <t>САЛЯМИ Папа может п/к в/у 0.28кг_209к</t>
  </si>
  <si>
    <t>СЕРВЕЛАТ КАРЕЛЬС.вк в/у 0.28кг_СНГ_209к</t>
  </si>
  <si>
    <t>СОЧНЫЕ ПМ сос п/о мгс 1*6_СНГ</t>
  </si>
  <si>
    <t>ШПИКАЧКИ СОЧНЫЕ сар б/о мгс 1*3_Ашан_45с</t>
  </si>
  <si>
    <t>новинка</t>
  </si>
  <si>
    <t>новинка / 7070 на 7070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</si>
</sst>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0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2" fontId="1" fillId="5" borderId="1" xfId="1" applyNumberFormat="1" applyFill="1"/>
    <xf numFmtId="164" fontId="1" fillId="5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4.7109375" customWidth="1"/>
    <col min="10" max="10" width="1" customWidth="1"/>
    <col min="11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61.1406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SUM(E6:E495)</f>
        <v>13347.369000000001</v>
      </c>
      <c r="F5" s="4">
        <f>SUM(F6:F495)</f>
        <v>6582.7580000000007</v>
      </c>
      <c r="G5" s="8"/>
      <c r="H5" s="1"/>
      <c r="I5" s="1"/>
      <c r="J5" s="1"/>
      <c r="K5" s="4">
        <f t="shared" ref="K5:R5" si="0">SUM(K6:K495)</f>
        <v>0</v>
      </c>
      <c r="L5" s="4">
        <f t="shared" si="0"/>
        <v>13347.369000000001</v>
      </c>
      <c r="M5" s="4">
        <f t="shared" si="0"/>
        <v>0</v>
      </c>
      <c r="N5" s="4">
        <f t="shared" si="0"/>
        <v>0</v>
      </c>
      <c r="O5" s="4">
        <f t="shared" si="0"/>
        <v>5950</v>
      </c>
      <c r="P5" s="4">
        <f t="shared" si="0"/>
        <v>2669.4738000000002</v>
      </c>
      <c r="Q5" s="4">
        <f t="shared" si="0"/>
        <v>14815.180799999998</v>
      </c>
      <c r="R5" s="4">
        <f t="shared" si="0"/>
        <v>0</v>
      </c>
      <c r="S5" s="1"/>
      <c r="T5" s="1"/>
      <c r="U5" s="1"/>
      <c r="V5" s="4">
        <f t="shared" ref="V5:AC5" si="1">SUM(V6:V495)</f>
        <v>1402.623</v>
      </c>
      <c r="W5" s="4">
        <f t="shared" si="1"/>
        <v>896.62240000000008</v>
      </c>
      <c r="X5" s="4">
        <f t="shared" si="1"/>
        <v>1462.8229999999999</v>
      </c>
      <c r="Y5" s="4">
        <f t="shared" si="1"/>
        <v>1237.3054000000002</v>
      </c>
      <c r="Z5" s="4">
        <f t="shared" si="1"/>
        <v>1450.5596</v>
      </c>
      <c r="AA5" s="4">
        <f t="shared" si="1"/>
        <v>1498.3048000000001</v>
      </c>
      <c r="AB5" s="4">
        <f t="shared" si="1"/>
        <v>1367.0848000000001</v>
      </c>
      <c r="AC5" s="4">
        <f t="shared" si="1"/>
        <v>990.78960000000006</v>
      </c>
      <c r="AD5" s="1"/>
      <c r="AE5" s="4">
        <f>SUM(AE6:AE495)</f>
        <v>5715.9339500000015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84.828999999999994</v>
      </c>
      <c r="D6" s="1">
        <v>152.12100000000001</v>
      </c>
      <c r="E6" s="1">
        <v>236.52099999999999</v>
      </c>
      <c r="F6" s="1">
        <v>-2.3809999999999998</v>
      </c>
      <c r="G6" s="8">
        <v>1</v>
      </c>
      <c r="H6" s="1">
        <v>45</v>
      </c>
      <c r="I6" s="1" t="s">
        <v>36</v>
      </c>
      <c r="J6" s="1"/>
      <c r="K6" s="1"/>
      <c r="L6" s="1">
        <f t="shared" ref="L6:L48" si="2">E6-K6</f>
        <v>236.52099999999999</v>
      </c>
      <c r="M6" s="1"/>
      <c r="N6" s="1"/>
      <c r="O6" s="1">
        <v>150</v>
      </c>
      <c r="P6" s="1">
        <f t="shared" ref="P6:P48" si="3">E6/5</f>
        <v>47.304199999999994</v>
      </c>
      <c r="Q6" s="5">
        <f>9*P6-O6-F6</f>
        <v>278.11879999999991</v>
      </c>
      <c r="R6" s="5"/>
      <c r="S6" s="1"/>
      <c r="T6" s="1">
        <f>(F6+O6+Q6)/P6</f>
        <v>8.9999999999999982</v>
      </c>
      <c r="U6" s="1">
        <f>(F6+O6)/P6</f>
        <v>3.1206319946220424</v>
      </c>
      <c r="V6" s="1">
        <v>22.1328</v>
      </c>
      <c r="W6" s="1">
        <v>11.405799999999999</v>
      </c>
      <c r="X6" s="1">
        <v>22.1328</v>
      </c>
      <c r="Y6" s="1">
        <v>23.523</v>
      </c>
      <c r="Z6" s="1">
        <v>24.957999999999998</v>
      </c>
      <c r="AA6" s="1">
        <v>37.103200000000001</v>
      </c>
      <c r="AB6" s="1">
        <v>16.863600000000002</v>
      </c>
      <c r="AC6" s="1">
        <v>22.165800000000001</v>
      </c>
      <c r="AD6" s="1"/>
      <c r="AE6" s="1">
        <f>G6*Q6</f>
        <v>278.11879999999991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642.81100000000004</v>
      </c>
      <c r="D7" s="1">
        <v>520</v>
      </c>
      <c r="E7" s="1">
        <v>1121</v>
      </c>
      <c r="F7" s="1">
        <v>26.811</v>
      </c>
      <c r="G7" s="8">
        <v>0.35</v>
      </c>
      <c r="H7" s="1">
        <v>45</v>
      </c>
      <c r="I7" s="1" t="s">
        <v>36</v>
      </c>
      <c r="J7" s="1"/>
      <c r="K7" s="1"/>
      <c r="L7" s="1">
        <f t="shared" si="2"/>
        <v>1121</v>
      </c>
      <c r="M7" s="1"/>
      <c r="N7" s="1"/>
      <c r="O7" s="1">
        <v>500</v>
      </c>
      <c r="P7" s="1">
        <f t="shared" si="3"/>
        <v>224.2</v>
      </c>
      <c r="Q7" s="5">
        <f>8*P7-O7-F7</f>
        <v>1266.789</v>
      </c>
      <c r="R7" s="5"/>
      <c r="S7" s="1"/>
      <c r="T7" s="1">
        <f t="shared" ref="T7:T48" si="4">(F7+O7+Q7)/P7</f>
        <v>8</v>
      </c>
      <c r="U7" s="1">
        <f t="shared" ref="U7:U48" si="5">(F7+O7)/P7</f>
        <v>2.3497368421052633</v>
      </c>
      <c r="V7" s="1">
        <v>103.2</v>
      </c>
      <c r="W7" s="1">
        <v>58.6</v>
      </c>
      <c r="X7" s="1">
        <v>103.2</v>
      </c>
      <c r="Y7" s="1">
        <v>82</v>
      </c>
      <c r="Z7" s="1">
        <v>113</v>
      </c>
      <c r="AA7" s="1">
        <v>115.2</v>
      </c>
      <c r="AB7" s="1">
        <v>83.2</v>
      </c>
      <c r="AC7" s="1">
        <v>64.2</v>
      </c>
      <c r="AD7" s="1"/>
      <c r="AE7" s="1">
        <f>G7*Q7</f>
        <v>443.37615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39</v>
      </c>
      <c r="B8" s="1" t="s">
        <v>35</v>
      </c>
      <c r="C8" s="1">
        <v>33.113999999999997</v>
      </c>
      <c r="D8" s="1">
        <v>102.15300000000001</v>
      </c>
      <c r="E8" s="1">
        <v>127.41800000000001</v>
      </c>
      <c r="F8" s="1">
        <v>7.8490000000000002</v>
      </c>
      <c r="G8" s="8">
        <v>1</v>
      </c>
      <c r="H8" s="1">
        <v>45</v>
      </c>
      <c r="I8" s="1" t="s">
        <v>36</v>
      </c>
      <c r="J8" s="1"/>
      <c r="K8" s="1"/>
      <c r="L8" s="1">
        <f t="shared" si="2"/>
        <v>127.41800000000001</v>
      </c>
      <c r="M8" s="1"/>
      <c r="N8" s="1"/>
      <c r="O8" s="1">
        <v>100</v>
      </c>
      <c r="P8" s="1">
        <f t="shared" si="3"/>
        <v>25.483600000000003</v>
      </c>
      <c r="Q8" s="5">
        <f>10*P8-O8-F8</f>
        <v>146.98700000000002</v>
      </c>
      <c r="R8" s="5"/>
      <c r="S8" s="1"/>
      <c r="T8" s="1">
        <f t="shared" si="4"/>
        <v>10</v>
      </c>
      <c r="U8" s="1">
        <f t="shared" si="5"/>
        <v>4.2320943665730111</v>
      </c>
      <c r="V8" s="1">
        <v>14.5526</v>
      </c>
      <c r="W8" s="1">
        <v>1.5815999999999999</v>
      </c>
      <c r="X8" s="1">
        <v>14.5526</v>
      </c>
      <c r="Y8" s="1">
        <v>18.255800000000001</v>
      </c>
      <c r="Z8" s="1">
        <v>18.2606</v>
      </c>
      <c r="AA8" s="1">
        <v>18.8154</v>
      </c>
      <c r="AB8" s="1">
        <v>14.9602</v>
      </c>
      <c r="AC8" s="1">
        <v>14.5648</v>
      </c>
      <c r="AD8" s="1"/>
      <c r="AE8" s="1">
        <f>G8*Q8</f>
        <v>146.98700000000002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40</v>
      </c>
      <c r="B9" s="13" t="s">
        <v>38</v>
      </c>
      <c r="C9" s="13">
        <v>-2</v>
      </c>
      <c r="D9" s="13"/>
      <c r="E9" s="13"/>
      <c r="F9" s="13">
        <v>-2</v>
      </c>
      <c r="G9" s="14">
        <v>0</v>
      </c>
      <c r="H9" s="13"/>
      <c r="I9" s="13" t="s">
        <v>41</v>
      </c>
      <c r="J9" s="13" t="s">
        <v>42</v>
      </c>
      <c r="K9" s="13"/>
      <c r="L9" s="13">
        <f t="shared" si="2"/>
        <v>0</v>
      </c>
      <c r="M9" s="13"/>
      <c r="N9" s="13"/>
      <c r="O9" s="13">
        <v>0</v>
      </c>
      <c r="P9" s="13">
        <f t="shared" si="3"/>
        <v>0</v>
      </c>
      <c r="Q9" s="15"/>
      <c r="R9" s="15"/>
      <c r="S9" s="13"/>
      <c r="T9" s="13" t="e">
        <f t="shared" si="4"/>
        <v>#DIV/0!</v>
      </c>
      <c r="U9" s="13" t="e">
        <f t="shared" si="5"/>
        <v>#DIV/0!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/>
      <c r="AE9" s="13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38</v>
      </c>
      <c r="C10" s="1">
        <v>678</v>
      </c>
      <c r="D10" s="1">
        <v>480</v>
      </c>
      <c r="E10" s="1">
        <v>938</v>
      </c>
      <c r="F10" s="1">
        <v>196</v>
      </c>
      <c r="G10" s="8">
        <v>0.35</v>
      </c>
      <c r="H10" s="1">
        <v>45</v>
      </c>
      <c r="I10" s="1" t="s">
        <v>36</v>
      </c>
      <c r="J10" s="1"/>
      <c r="K10" s="1"/>
      <c r="L10" s="1">
        <f t="shared" si="2"/>
        <v>938</v>
      </c>
      <c r="M10" s="1"/>
      <c r="N10" s="1"/>
      <c r="O10" s="1">
        <v>300</v>
      </c>
      <c r="P10" s="1">
        <f t="shared" si="3"/>
        <v>187.6</v>
      </c>
      <c r="Q10" s="5">
        <f>9*P10-O10-F10</f>
        <v>1192.3999999999999</v>
      </c>
      <c r="R10" s="5"/>
      <c r="S10" s="1"/>
      <c r="T10" s="1">
        <f t="shared" si="4"/>
        <v>9</v>
      </c>
      <c r="U10" s="1">
        <f t="shared" si="5"/>
        <v>2.6439232409381663</v>
      </c>
      <c r="V10" s="1">
        <v>81.2</v>
      </c>
      <c r="W10" s="1">
        <v>32.200000000000003</v>
      </c>
      <c r="X10" s="1">
        <v>81.2</v>
      </c>
      <c r="Y10" s="1">
        <v>47.6</v>
      </c>
      <c r="Z10" s="1">
        <v>66.8</v>
      </c>
      <c r="AA10" s="1">
        <v>76</v>
      </c>
      <c r="AB10" s="1">
        <v>51.8</v>
      </c>
      <c r="AC10" s="1">
        <v>47.4</v>
      </c>
      <c r="AD10" s="1"/>
      <c r="AE10" s="1">
        <f>G10*Q10</f>
        <v>417.33999999999992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3" t="s">
        <v>44</v>
      </c>
      <c r="B11" s="13" t="s">
        <v>35</v>
      </c>
      <c r="C11" s="13">
        <v>0.32100000000000001</v>
      </c>
      <c r="D11" s="13"/>
      <c r="E11" s="13"/>
      <c r="F11" s="13">
        <v>0.32100000000000001</v>
      </c>
      <c r="G11" s="14">
        <v>0</v>
      </c>
      <c r="H11" s="13">
        <v>60</v>
      </c>
      <c r="I11" s="13" t="s">
        <v>45</v>
      </c>
      <c r="J11" s="13"/>
      <c r="K11" s="13"/>
      <c r="L11" s="13">
        <f t="shared" si="2"/>
        <v>0</v>
      </c>
      <c r="M11" s="13"/>
      <c r="N11" s="13"/>
      <c r="O11" s="13">
        <v>0</v>
      </c>
      <c r="P11" s="13">
        <f t="shared" si="3"/>
        <v>0</v>
      </c>
      <c r="Q11" s="15"/>
      <c r="R11" s="15"/>
      <c r="S11" s="13"/>
      <c r="T11" s="13" t="e">
        <f t="shared" si="4"/>
        <v>#DIV/0!</v>
      </c>
      <c r="U11" s="13" t="e">
        <f t="shared" si="5"/>
        <v>#DIV/0!</v>
      </c>
      <c r="V11" s="13">
        <v>3.0992000000000002</v>
      </c>
      <c r="W11" s="13">
        <v>1.4414</v>
      </c>
      <c r="X11" s="13">
        <v>3.0992000000000002</v>
      </c>
      <c r="Y11" s="13">
        <v>1.8802000000000001</v>
      </c>
      <c r="Z11" s="13">
        <v>1.3458000000000001</v>
      </c>
      <c r="AA11" s="13">
        <v>0</v>
      </c>
      <c r="AB11" s="13">
        <v>1.3475999999999999</v>
      </c>
      <c r="AC11" s="13">
        <v>1.0840000000000001</v>
      </c>
      <c r="AD11" s="13"/>
      <c r="AE11" s="13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38</v>
      </c>
      <c r="C12" s="1">
        <v>1300</v>
      </c>
      <c r="D12" s="1">
        <v>312</v>
      </c>
      <c r="E12" s="1">
        <v>615</v>
      </c>
      <c r="F12" s="1">
        <v>975</v>
      </c>
      <c r="G12" s="8">
        <v>0.4</v>
      </c>
      <c r="H12" s="1">
        <v>60</v>
      </c>
      <c r="I12" s="1" t="s">
        <v>36</v>
      </c>
      <c r="J12" s="1"/>
      <c r="K12" s="1"/>
      <c r="L12" s="1">
        <f t="shared" si="2"/>
        <v>615</v>
      </c>
      <c r="M12" s="1"/>
      <c r="N12" s="1"/>
      <c r="O12" s="1">
        <v>0</v>
      </c>
      <c r="P12" s="1">
        <f t="shared" si="3"/>
        <v>123</v>
      </c>
      <c r="Q12" s="5">
        <f>13*P12-O12-F12</f>
        <v>624</v>
      </c>
      <c r="R12" s="5"/>
      <c r="S12" s="1"/>
      <c r="T12" s="1">
        <f t="shared" si="4"/>
        <v>13</v>
      </c>
      <c r="U12" s="1">
        <f t="shared" si="5"/>
        <v>7.9268292682926829</v>
      </c>
      <c r="V12" s="1">
        <v>80</v>
      </c>
      <c r="W12" s="1">
        <v>72.8</v>
      </c>
      <c r="X12" s="1">
        <v>140.19999999999999</v>
      </c>
      <c r="Y12" s="1">
        <v>55.2</v>
      </c>
      <c r="Z12" s="1">
        <v>68.400000000000006</v>
      </c>
      <c r="AA12" s="1">
        <v>154.19999999999999</v>
      </c>
      <c r="AB12" s="1">
        <v>117.4</v>
      </c>
      <c r="AC12" s="1">
        <v>80.599999999999994</v>
      </c>
      <c r="AD12" s="1"/>
      <c r="AE12" s="1">
        <f>G12*Q12</f>
        <v>249.60000000000002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47</v>
      </c>
      <c r="B13" s="1" t="s">
        <v>35</v>
      </c>
      <c r="C13" s="1">
        <v>79.644999999999996</v>
      </c>
      <c r="D13" s="1">
        <v>48.439</v>
      </c>
      <c r="E13" s="1">
        <v>79.819000000000003</v>
      </c>
      <c r="F13" s="1">
        <v>46.914999999999999</v>
      </c>
      <c r="G13" s="8">
        <v>1</v>
      </c>
      <c r="H13" s="1">
        <v>60</v>
      </c>
      <c r="I13" s="1" t="s">
        <v>36</v>
      </c>
      <c r="J13" s="1"/>
      <c r="K13" s="1"/>
      <c r="L13" s="1">
        <f t="shared" si="2"/>
        <v>79.819000000000003</v>
      </c>
      <c r="M13" s="1"/>
      <c r="N13" s="1"/>
      <c r="O13" s="1">
        <v>30</v>
      </c>
      <c r="P13" s="1">
        <f t="shared" si="3"/>
        <v>15.963800000000001</v>
      </c>
      <c r="Q13" s="5">
        <f>11*P13-O13-F13</f>
        <v>98.686800000000005</v>
      </c>
      <c r="R13" s="5"/>
      <c r="S13" s="1"/>
      <c r="T13" s="1">
        <f t="shared" si="4"/>
        <v>11</v>
      </c>
      <c r="U13" s="1">
        <f t="shared" si="5"/>
        <v>4.8180884250617018</v>
      </c>
      <c r="V13" s="1">
        <v>7.7178000000000004</v>
      </c>
      <c r="W13" s="1">
        <v>4.7084000000000001</v>
      </c>
      <c r="X13" s="1">
        <v>7.7178000000000004</v>
      </c>
      <c r="Y13" s="1">
        <v>7.7827999999999999</v>
      </c>
      <c r="Z13" s="1">
        <v>5.1351999999999993</v>
      </c>
      <c r="AA13" s="1">
        <v>8.2263999999999999</v>
      </c>
      <c r="AB13" s="1">
        <v>7.3245999999999993</v>
      </c>
      <c r="AC13" s="1">
        <v>3.8149999999999999</v>
      </c>
      <c r="AD13" s="1"/>
      <c r="AE13" s="1">
        <f>G13*Q13</f>
        <v>98.686800000000005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48</v>
      </c>
      <c r="B14" s="1" t="s">
        <v>38</v>
      </c>
      <c r="C14" s="1">
        <v>579</v>
      </c>
      <c r="D14" s="1">
        <v>392</v>
      </c>
      <c r="E14" s="1">
        <v>671</v>
      </c>
      <c r="F14" s="1">
        <v>296</v>
      </c>
      <c r="G14" s="8">
        <v>0.4</v>
      </c>
      <c r="H14" s="1">
        <v>60</v>
      </c>
      <c r="I14" s="1" t="s">
        <v>36</v>
      </c>
      <c r="J14" s="1"/>
      <c r="K14" s="1"/>
      <c r="L14" s="1">
        <f t="shared" si="2"/>
        <v>671</v>
      </c>
      <c r="M14" s="1"/>
      <c r="N14" s="1"/>
      <c r="O14" s="1">
        <v>200</v>
      </c>
      <c r="P14" s="1">
        <f t="shared" si="3"/>
        <v>134.19999999999999</v>
      </c>
      <c r="Q14" s="5">
        <f>10*P14-O14-F14</f>
        <v>846</v>
      </c>
      <c r="R14" s="5"/>
      <c r="S14" s="1"/>
      <c r="T14" s="1">
        <f t="shared" si="4"/>
        <v>10</v>
      </c>
      <c r="U14" s="1">
        <f t="shared" si="5"/>
        <v>3.6959761549925489</v>
      </c>
      <c r="V14" s="1">
        <v>57</v>
      </c>
      <c r="W14" s="1">
        <v>51.2</v>
      </c>
      <c r="X14" s="1">
        <v>57</v>
      </c>
      <c r="Y14" s="1">
        <v>57.2</v>
      </c>
      <c r="Z14" s="1">
        <v>64.400000000000006</v>
      </c>
      <c r="AA14" s="1">
        <v>60</v>
      </c>
      <c r="AB14" s="1">
        <v>64.8</v>
      </c>
      <c r="AC14" s="1">
        <v>50.2</v>
      </c>
      <c r="AD14" s="1"/>
      <c r="AE14" s="1">
        <f>G14*Q14</f>
        <v>338.40000000000003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49</v>
      </c>
      <c r="B15" s="1" t="s">
        <v>35</v>
      </c>
      <c r="C15" s="1">
        <v>77.114000000000004</v>
      </c>
      <c r="D15" s="1">
        <v>49.502000000000002</v>
      </c>
      <c r="E15" s="1">
        <v>69.11</v>
      </c>
      <c r="F15" s="1">
        <v>56.396000000000001</v>
      </c>
      <c r="G15" s="8">
        <v>1</v>
      </c>
      <c r="H15" s="1">
        <v>60</v>
      </c>
      <c r="I15" s="1" t="s">
        <v>36</v>
      </c>
      <c r="J15" s="1"/>
      <c r="K15" s="1"/>
      <c r="L15" s="1">
        <f t="shared" si="2"/>
        <v>69.11</v>
      </c>
      <c r="M15" s="1"/>
      <c r="N15" s="1"/>
      <c r="O15" s="1">
        <v>50</v>
      </c>
      <c r="P15" s="1">
        <f t="shared" si="3"/>
        <v>13.821999999999999</v>
      </c>
      <c r="Q15" s="5">
        <f>13*P15-O15-F15</f>
        <v>73.289999999999978</v>
      </c>
      <c r="R15" s="5"/>
      <c r="S15" s="1"/>
      <c r="T15" s="1">
        <f t="shared" si="4"/>
        <v>13</v>
      </c>
      <c r="U15" s="1">
        <f t="shared" si="5"/>
        <v>7.6975835624366953</v>
      </c>
      <c r="V15" s="1">
        <v>10.1762</v>
      </c>
      <c r="W15" s="1">
        <v>-0.82479999999999998</v>
      </c>
      <c r="X15" s="1">
        <v>10.1762</v>
      </c>
      <c r="Y15" s="1">
        <v>11.0776</v>
      </c>
      <c r="Z15" s="1">
        <v>6.9219999999999997</v>
      </c>
      <c r="AA15" s="1">
        <v>2.5983999999999998</v>
      </c>
      <c r="AB15" s="1">
        <v>3.9805999999999999</v>
      </c>
      <c r="AC15" s="1">
        <v>4.4265999999999996</v>
      </c>
      <c r="AD15" s="1"/>
      <c r="AE15" s="1">
        <f>G15*Q15</f>
        <v>73.289999999999978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3" t="s">
        <v>50</v>
      </c>
      <c r="B16" s="13" t="s">
        <v>38</v>
      </c>
      <c r="C16" s="13">
        <v>-3</v>
      </c>
      <c r="D16" s="13"/>
      <c r="E16" s="13"/>
      <c r="F16" s="13">
        <v>-3</v>
      </c>
      <c r="G16" s="14">
        <v>0</v>
      </c>
      <c r="H16" s="13"/>
      <c r="I16" s="13" t="s">
        <v>41</v>
      </c>
      <c r="J16" s="13" t="s">
        <v>51</v>
      </c>
      <c r="K16" s="13"/>
      <c r="L16" s="13">
        <f t="shared" si="2"/>
        <v>0</v>
      </c>
      <c r="M16" s="13"/>
      <c r="N16" s="13"/>
      <c r="O16" s="13">
        <v>0</v>
      </c>
      <c r="P16" s="13">
        <f t="shared" si="3"/>
        <v>0</v>
      </c>
      <c r="Q16" s="15"/>
      <c r="R16" s="15"/>
      <c r="S16" s="13"/>
      <c r="T16" s="13" t="e">
        <f t="shared" si="4"/>
        <v>#DIV/0!</v>
      </c>
      <c r="U16" s="13" t="e">
        <f t="shared" si="5"/>
        <v>#DIV/0!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/>
      <c r="AE16" s="13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35</v>
      </c>
      <c r="C17" s="1">
        <v>6.2770000000000001</v>
      </c>
      <c r="D17" s="1">
        <v>59.953000000000003</v>
      </c>
      <c r="E17" s="1">
        <v>54.901000000000003</v>
      </c>
      <c r="F17" s="1">
        <v>11.329000000000001</v>
      </c>
      <c r="G17" s="8">
        <v>1</v>
      </c>
      <c r="H17" s="1">
        <v>120</v>
      </c>
      <c r="I17" s="1" t="s">
        <v>36</v>
      </c>
      <c r="J17" s="1"/>
      <c r="K17" s="1"/>
      <c r="L17" s="1">
        <f t="shared" si="2"/>
        <v>54.901000000000003</v>
      </c>
      <c r="M17" s="1"/>
      <c r="N17" s="1"/>
      <c r="O17" s="1">
        <v>50</v>
      </c>
      <c r="P17" s="1">
        <f t="shared" si="3"/>
        <v>10.9802</v>
      </c>
      <c r="Q17" s="5">
        <f>12*P17-O17-F17</f>
        <v>70.433400000000006</v>
      </c>
      <c r="R17" s="5"/>
      <c r="S17" s="1"/>
      <c r="T17" s="1">
        <f t="shared" si="4"/>
        <v>12.000000000000002</v>
      </c>
      <c r="U17" s="1">
        <f t="shared" si="5"/>
        <v>5.585417387661427</v>
      </c>
      <c r="V17" s="1">
        <v>11.061</v>
      </c>
      <c r="W17" s="1">
        <v>3.4205999999999999</v>
      </c>
      <c r="X17" s="1">
        <v>11.061</v>
      </c>
      <c r="Y17" s="1">
        <v>5.2569999999999997</v>
      </c>
      <c r="Z17" s="1">
        <v>10.797800000000001</v>
      </c>
      <c r="AA17" s="1">
        <v>7.4238</v>
      </c>
      <c r="AB17" s="1">
        <v>2.2747999999999999</v>
      </c>
      <c r="AC17" s="1">
        <v>3.871</v>
      </c>
      <c r="AD17" s="1"/>
      <c r="AE17" s="1">
        <f t="shared" ref="AE17:AE23" si="6">G17*Q17</f>
        <v>70.433400000000006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38</v>
      </c>
      <c r="C18" s="1">
        <v>733</v>
      </c>
      <c r="D18" s="1">
        <v>240</v>
      </c>
      <c r="E18" s="1">
        <v>574</v>
      </c>
      <c r="F18" s="1">
        <v>399</v>
      </c>
      <c r="G18" s="8">
        <v>0.25</v>
      </c>
      <c r="H18" s="1">
        <v>120</v>
      </c>
      <c r="I18" s="1" t="s">
        <v>36</v>
      </c>
      <c r="J18" s="1"/>
      <c r="K18" s="1"/>
      <c r="L18" s="1">
        <f t="shared" si="2"/>
        <v>574</v>
      </c>
      <c r="M18" s="1"/>
      <c r="N18" s="1"/>
      <c r="O18" s="1">
        <v>100</v>
      </c>
      <c r="P18" s="1">
        <f t="shared" si="3"/>
        <v>114.8</v>
      </c>
      <c r="Q18" s="5">
        <f t="shared" ref="Q18:Q19" si="7">10*P18-O18-F18</f>
        <v>649</v>
      </c>
      <c r="R18" s="5"/>
      <c r="S18" s="1"/>
      <c r="T18" s="1">
        <f t="shared" si="4"/>
        <v>10</v>
      </c>
      <c r="U18" s="1">
        <f t="shared" si="5"/>
        <v>4.3466898954703836</v>
      </c>
      <c r="V18" s="1">
        <v>37.4</v>
      </c>
      <c r="W18" s="1">
        <v>25.4</v>
      </c>
      <c r="X18" s="1">
        <v>37.4</v>
      </c>
      <c r="Y18" s="1">
        <v>27.2</v>
      </c>
      <c r="Z18" s="1">
        <v>40</v>
      </c>
      <c r="AA18" s="1">
        <v>34</v>
      </c>
      <c r="AB18" s="1">
        <v>41.4</v>
      </c>
      <c r="AC18" s="1">
        <v>30.6</v>
      </c>
      <c r="AD18" s="1"/>
      <c r="AE18" s="1">
        <f t="shared" si="6"/>
        <v>162.25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38</v>
      </c>
      <c r="C19" s="1">
        <v>807</v>
      </c>
      <c r="D19" s="1">
        <v>400</v>
      </c>
      <c r="E19" s="1">
        <v>772</v>
      </c>
      <c r="F19" s="1">
        <v>426</v>
      </c>
      <c r="G19" s="8">
        <v>0.25</v>
      </c>
      <c r="H19" s="1">
        <v>120</v>
      </c>
      <c r="I19" s="1" t="s">
        <v>36</v>
      </c>
      <c r="J19" s="1"/>
      <c r="K19" s="1"/>
      <c r="L19" s="1">
        <f t="shared" si="2"/>
        <v>772</v>
      </c>
      <c r="M19" s="1"/>
      <c r="N19" s="1"/>
      <c r="O19" s="1">
        <v>200</v>
      </c>
      <c r="P19" s="1">
        <f t="shared" si="3"/>
        <v>154.4</v>
      </c>
      <c r="Q19" s="5">
        <f t="shared" si="7"/>
        <v>918</v>
      </c>
      <c r="R19" s="5"/>
      <c r="S19" s="1"/>
      <c r="T19" s="1">
        <f t="shared" si="4"/>
        <v>10</v>
      </c>
      <c r="U19" s="1">
        <f t="shared" si="5"/>
        <v>4.0544041450777204</v>
      </c>
      <c r="V19" s="1">
        <v>68.8</v>
      </c>
      <c r="W19" s="1">
        <v>42.4</v>
      </c>
      <c r="X19" s="1">
        <v>68.8</v>
      </c>
      <c r="Y19" s="1">
        <v>56.2</v>
      </c>
      <c r="Z19" s="1">
        <v>65.8</v>
      </c>
      <c r="AA19" s="1">
        <v>52.4</v>
      </c>
      <c r="AB19" s="1">
        <v>68.599999999999994</v>
      </c>
      <c r="AC19" s="1">
        <v>48</v>
      </c>
      <c r="AD19" s="1"/>
      <c r="AE19" s="1">
        <f t="shared" si="6"/>
        <v>229.5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35</v>
      </c>
      <c r="C20" s="1">
        <v>-5.08</v>
      </c>
      <c r="D20" s="1">
        <v>48.381</v>
      </c>
      <c r="E20" s="1">
        <v>42.887</v>
      </c>
      <c r="F20" s="1">
        <v>-1.0649999999999999</v>
      </c>
      <c r="G20" s="8">
        <v>1</v>
      </c>
      <c r="H20" s="1">
        <v>120</v>
      </c>
      <c r="I20" s="1" t="s">
        <v>36</v>
      </c>
      <c r="J20" s="1"/>
      <c r="K20" s="1"/>
      <c r="L20" s="1">
        <f t="shared" si="2"/>
        <v>42.887</v>
      </c>
      <c r="M20" s="1"/>
      <c r="N20" s="1"/>
      <c r="O20" s="1">
        <v>50</v>
      </c>
      <c r="P20" s="1">
        <f t="shared" si="3"/>
        <v>8.5774000000000008</v>
      </c>
      <c r="Q20" s="5">
        <f>12*P20-O20-F20</f>
        <v>53.993800000000007</v>
      </c>
      <c r="R20" s="5"/>
      <c r="S20" s="1"/>
      <c r="T20" s="1">
        <f t="shared" si="4"/>
        <v>12</v>
      </c>
      <c r="U20" s="1">
        <f t="shared" si="5"/>
        <v>5.7051087742206263</v>
      </c>
      <c r="V20" s="1">
        <v>9.9432000000000009</v>
      </c>
      <c r="W20" s="1">
        <v>5.8616000000000001</v>
      </c>
      <c r="X20" s="1">
        <v>9.9432000000000009</v>
      </c>
      <c r="Y20" s="1">
        <v>6.5418000000000003</v>
      </c>
      <c r="Z20" s="1">
        <v>5.2915999999999999</v>
      </c>
      <c r="AA20" s="1">
        <v>13.229799999999999</v>
      </c>
      <c r="AB20" s="1">
        <v>4.0868000000000002</v>
      </c>
      <c r="AC20" s="1">
        <v>6.3287999999999993</v>
      </c>
      <c r="AD20" s="1"/>
      <c r="AE20" s="1">
        <f t="shared" si="6"/>
        <v>53.993800000000007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38</v>
      </c>
      <c r="C21" s="1">
        <v>865</v>
      </c>
      <c r="D21" s="1">
        <v>240</v>
      </c>
      <c r="E21" s="1">
        <v>632</v>
      </c>
      <c r="F21" s="1">
        <v>457</v>
      </c>
      <c r="G21" s="8">
        <v>0.25</v>
      </c>
      <c r="H21" s="1">
        <v>120</v>
      </c>
      <c r="I21" s="1" t="s">
        <v>36</v>
      </c>
      <c r="J21" s="1"/>
      <c r="K21" s="1"/>
      <c r="L21" s="1">
        <f t="shared" si="2"/>
        <v>632</v>
      </c>
      <c r="M21" s="1"/>
      <c r="N21" s="1"/>
      <c r="O21" s="1">
        <v>100</v>
      </c>
      <c r="P21" s="1">
        <f t="shared" si="3"/>
        <v>126.4</v>
      </c>
      <c r="Q21" s="5">
        <f>10*P21-O21-F21</f>
        <v>707</v>
      </c>
      <c r="R21" s="5"/>
      <c r="S21" s="1"/>
      <c r="T21" s="1">
        <f t="shared" si="4"/>
        <v>10</v>
      </c>
      <c r="U21" s="1">
        <f t="shared" si="5"/>
        <v>4.4066455696202533</v>
      </c>
      <c r="V21" s="1">
        <v>44.2</v>
      </c>
      <c r="W21" s="1">
        <v>23.4</v>
      </c>
      <c r="X21" s="1">
        <v>44.2</v>
      </c>
      <c r="Y21" s="1">
        <v>27.2</v>
      </c>
      <c r="Z21" s="1">
        <v>47.4</v>
      </c>
      <c r="AA21" s="1">
        <v>44.4</v>
      </c>
      <c r="AB21" s="1">
        <v>38.200000000000003</v>
      </c>
      <c r="AC21" s="1">
        <v>31.6</v>
      </c>
      <c r="AD21" s="1"/>
      <c r="AE21" s="1">
        <f t="shared" si="6"/>
        <v>176.75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35</v>
      </c>
      <c r="C22" s="1">
        <v>81.828999999999994</v>
      </c>
      <c r="D22" s="1">
        <v>98.25</v>
      </c>
      <c r="E22" s="1">
        <v>87.073999999999998</v>
      </c>
      <c r="F22" s="1">
        <v>93.004999999999995</v>
      </c>
      <c r="G22" s="8">
        <v>1</v>
      </c>
      <c r="H22" s="1">
        <v>60</v>
      </c>
      <c r="I22" s="1" t="s">
        <v>36</v>
      </c>
      <c r="J22" s="1"/>
      <c r="K22" s="1"/>
      <c r="L22" s="1">
        <f t="shared" si="2"/>
        <v>87.073999999999998</v>
      </c>
      <c r="M22" s="1"/>
      <c r="N22" s="1"/>
      <c r="O22" s="1">
        <v>50</v>
      </c>
      <c r="P22" s="1">
        <f t="shared" si="3"/>
        <v>17.4148</v>
      </c>
      <c r="Q22" s="5">
        <f>13*P22-O22-F22</f>
        <v>83.387400000000014</v>
      </c>
      <c r="R22" s="5"/>
      <c r="S22" s="1"/>
      <c r="T22" s="1">
        <f t="shared" si="4"/>
        <v>13</v>
      </c>
      <c r="U22" s="1">
        <f t="shared" si="5"/>
        <v>8.2116935020786919</v>
      </c>
      <c r="V22" s="1">
        <v>8.007200000000001</v>
      </c>
      <c r="W22" s="1">
        <v>6.4287999999999998</v>
      </c>
      <c r="X22" s="1">
        <v>8.007200000000001</v>
      </c>
      <c r="Y22" s="1">
        <v>3.8077999999999999</v>
      </c>
      <c r="Z22" s="1">
        <v>4.3731999999999998</v>
      </c>
      <c r="AA22" s="1">
        <v>11.28</v>
      </c>
      <c r="AB22" s="1">
        <v>8.0076000000000001</v>
      </c>
      <c r="AC22" s="1">
        <v>1.0691999999999999</v>
      </c>
      <c r="AD22" s="1"/>
      <c r="AE22" s="1">
        <f t="shared" si="6"/>
        <v>83.387400000000014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38</v>
      </c>
      <c r="C23" s="1">
        <v>1649</v>
      </c>
      <c r="D23" s="1"/>
      <c r="E23" s="1">
        <v>509</v>
      </c>
      <c r="F23" s="1">
        <v>1137</v>
      </c>
      <c r="G23" s="8">
        <v>0.4</v>
      </c>
      <c r="H23" s="1">
        <v>60</v>
      </c>
      <c r="I23" s="1" t="s">
        <v>36</v>
      </c>
      <c r="J23" s="1"/>
      <c r="K23" s="1"/>
      <c r="L23" s="1">
        <f t="shared" si="2"/>
        <v>509</v>
      </c>
      <c r="M23" s="1"/>
      <c r="N23" s="1"/>
      <c r="O23" s="1">
        <v>0</v>
      </c>
      <c r="P23" s="1">
        <f t="shared" si="3"/>
        <v>101.8</v>
      </c>
      <c r="Q23" s="5">
        <f>16*P23-O23-F23</f>
        <v>491.79999999999995</v>
      </c>
      <c r="R23" s="5"/>
      <c r="S23" s="1"/>
      <c r="T23" s="1">
        <f t="shared" si="4"/>
        <v>16</v>
      </c>
      <c r="U23" s="1">
        <f t="shared" si="5"/>
        <v>11.168958742632613</v>
      </c>
      <c r="V23" s="1">
        <v>41.8</v>
      </c>
      <c r="W23" s="1">
        <v>27.8</v>
      </c>
      <c r="X23" s="1">
        <v>41.8</v>
      </c>
      <c r="Y23" s="1">
        <v>26.4</v>
      </c>
      <c r="Z23" s="1">
        <v>17.2</v>
      </c>
      <c r="AA23" s="1">
        <v>45.4</v>
      </c>
      <c r="AB23" s="1">
        <v>58.8</v>
      </c>
      <c r="AC23" s="1">
        <v>6</v>
      </c>
      <c r="AD23" s="1"/>
      <c r="AE23" s="1">
        <f t="shared" si="6"/>
        <v>196.72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3" t="s">
        <v>59</v>
      </c>
      <c r="B24" s="13" t="s">
        <v>38</v>
      </c>
      <c r="C24" s="13">
        <v>-3</v>
      </c>
      <c r="D24" s="13"/>
      <c r="E24" s="13"/>
      <c r="F24" s="13">
        <v>-3</v>
      </c>
      <c r="G24" s="14">
        <v>0</v>
      </c>
      <c r="H24" s="13"/>
      <c r="I24" s="13" t="s">
        <v>41</v>
      </c>
      <c r="J24" s="13" t="s">
        <v>60</v>
      </c>
      <c r="K24" s="13"/>
      <c r="L24" s="13">
        <f t="shared" si="2"/>
        <v>0</v>
      </c>
      <c r="M24" s="13"/>
      <c r="N24" s="13"/>
      <c r="O24" s="13">
        <v>0</v>
      </c>
      <c r="P24" s="13">
        <f t="shared" si="3"/>
        <v>0</v>
      </c>
      <c r="Q24" s="15"/>
      <c r="R24" s="15"/>
      <c r="S24" s="13"/>
      <c r="T24" s="13" t="e">
        <f t="shared" si="4"/>
        <v>#DIV/0!</v>
      </c>
      <c r="U24" s="13" t="e">
        <f t="shared" si="5"/>
        <v>#DIV/0!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/>
      <c r="AE24" s="13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60</v>
      </c>
      <c r="B25" s="1" t="s">
        <v>38</v>
      </c>
      <c r="C25" s="1">
        <v>400</v>
      </c>
      <c r="D25" s="1">
        <v>400</v>
      </c>
      <c r="E25" s="1">
        <v>667</v>
      </c>
      <c r="F25" s="1">
        <v>109</v>
      </c>
      <c r="G25" s="8">
        <v>0.5</v>
      </c>
      <c r="H25" s="1">
        <v>60</v>
      </c>
      <c r="I25" s="1" t="s">
        <v>36</v>
      </c>
      <c r="J25" s="1"/>
      <c r="K25" s="1"/>
      <c r="L25" s="1">
        <f t="shared" si="2"/>
        <v>667</v>
      </c>
      <c r="M25" s="1"/>
      <c r="N25" s="1"/>
      <c r="O25" s="1">
        <v>200</v>
      </c>
      <c r="P25" s="1">
        <f t="shared" si="3"/>
        <v>133.4</v>
      </c>
      <c r="Q25" s="5">
        <f>9*P25-O25-F25</f>
        <v>891.60000000000014</v>
      </c>
      <c r="R25" s="5"/>
      <c r="S25" s="1"/>
      <c r="T25" s="1">
        <f t="shared" si="4"/>
        <v>9</v>
      </c>
      <c r="U25" s="1">
        <f t="shared" si="5"/>
        <v>2.3163418290854572</v>
      </c>
      <c r="V25" s="1">
        <v>128.80000000000001</v>
      </c>
      <c r="W25" s="1">
        <v>29.4</v>
      </c>
      <c r="X25" s="1">
        <v>128.80000000000001</v>
      </c>
      <c r="Y25" s="1">
        <v>64.8</v>
      </c>
      <c r="Z25" s="1">
        <v>88.2</v>
      </c>
      <c r="AA25" s="1">
        <v>83</v>
      </c>
      <c r="AB25" s="1">
        <v>82.6</v>
      </c>
      <c r="AC25" s="1">
        <v>68.2</v>
      </c>
      <c r="AD25" s="1"/>
      <c r="AE25" s="1">
        <f>G25*Q25</f>
        <v>445.80000000000007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3" t="s">
        <v>61</v>
      </c>
      <c r="B26" s="13" t="s">
        <v>38</v>
      </c>
      <c r="C26" s="13">
        <v>111</v>
      </c>
      <c r="D26" s="13">
        <v>210</v>
      </c>
      <c r="E26" s="13">
        <v>119</v>
      </c>
      <c r="F26" s="13">
        <v>190</v>
      </c>
      <c r="G26" s="14">
        <v>0</v>
      </c>
      <c r="H26" s="13">
        <v>45</v>
      </c>
      <c r="I26" s="13" t="s">
        <v>45</v>
      </c>
      <c r="J26" s="13"/>
      <c r="K26" s="13"/>
      <c r="L26" s="13">
        <f t="shared" si="2"/>
        <v>119</v>
      </c>
      <c r="M26" s="13"/>
      <c r="N26" s="13"/>
      <c r="O26" s="13">
        <v>0</v>
      </c>
      <c r="P26" s="13">
        <f t="shared" si="3"/>
        <v>23.8</v>
      </c>
      <c r="Q26" s="15"/>
      <c r="R26" s="15"/>
      <c r="S26" s="13"/>
      <c r="T26" s="13">
        <f t="shared" si="4"/>
        <v>7.9831932773109244</v>
      </c>
      <c r="U26" s="13">
        <f t="shared" si="5"/>
        <v>7.9831932773109244</v>
      </c>
      <c r="V26" s="13">
        <v>22</v>
      </c>
      <c r="W26" s="13">
        <v>21.2</v>
      </c>
      <c r="X26" s="13">
        <v>22</v>
      </c>
      <c r="Y26" s="13">
        <v>20.6</v>
      </c>
      <c r="Z26" s="13">
        <v>32.6</v>
      </c>
      <c r="AA26" s="13">
        <v>31.2</v>
      </c>
      <c r="AB26" s="13">
        <v>33.799999999999997</v>
      </c>
      <c r="AC26" s="13">
        <v>7.8</v>
      </c>
      <c r="AD26" s="13" t="s">
        <v>45</v>
      </c>
      <c r="AE26" s="13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42</v>
      </c>
      <c r="B27" s="1" t="s">
        <v>38</v>
      </c>
      <c r="C27" s="1">
        <v>520</v>
      </c>
      <c r="D27" s="1">
        <v>320</v>
      </c>
      <c r="E27" s="1">
        <v>763</v>
      </c>
      <c r="F27" s="1">
        <v>67</v>
      </c>
      <c r="G27" s="8">
        <v>0.33</v>
      </c>
      <c r="H27" s="1">
        <v>45</v>
      </c>
      <c r="I27" s="1" t="s">
        <v>36</v>
      </c>
      <c r="J27" s="1"/>
      <c r="K27" s="1"/>
      <c r="L27" s="1">
        <f t="shared" si="2"/>
        <v>763</v>
      </c>
      <c r="M27" s="1"/>
      <c r="N27" s="1"/>
      <c r="O27" s="1">
        <v>200</v>
      </c>
      <c r="P27" s="1">
        <f t="shared" si="3"/>
        <v>152.6</v>
      </c>
      <c r="Q27" s="5">
        <f>8*P27-O27-F27</f>
        <v>953.8</v>
      </c>
      <c r="R27" s="5"/>
      <c r="S27" s="1"/>
      <c r="T27" s="1">
        <f t="shared" si="4"/>
        <v>8</v>
      </c>
      <c r="U27" s="1">
        <f t="shared" si="5"/>
        <v>1.7496723460026213</v>
      </c>
      <c r="V27" s="1">
        <v>59.4</v>
      </c>
      <c r="W27" s="1">
        <v>42.2</v>
      </c>
      <c r="X27" s="1">
        <v>59.4</v>
      </c>
      <c r="Y27" s="1">
        <v>44.2</v>
      </c>
      <c r="Z27" s="1">
        <v>61.4</v>
      </c>
      <c r="AA27" s="1">
        <v>71.2</v>
      </c>
      <c r="AB27" s="1">
        <v>51.6</v>
      </c>
      <c r="AC27" s="1">
        <v>29.2</v>
      </c>
      <c r="AD27" s="1"/>
      <c r="AE27" s="1">
        <f t="shared" ref="AE27:AE48" si="8">G27*Q27</f>
        <v>314.75400000000002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62</v>
      </c>
      <c r="B28" s="1" t="s">
        <v>38</v>
      </c>
      <c r="C28" s="1">
        <v>131</v>
      </c>
      <c r="D28" s="1">
        <v>156</v>
      </c>
      <c r="E28" s="1">
        <v>76</v>
      </c>
      <c r="F28" s="1">
        <v>190</v>
      </c>
      <c r="G28" s="8">
        <v>0.4</v>
      </c>
      <c r="H28" s="1">
        <v>45</v>
      </c>
      <c r="I28" s="1" t="s">
        <v>36</v>
      </c>
      <c r="J28" s="1"/>
      <c r="K28" s="1"/>
      <c r="L28" s="1">
        <f t="shared" si="2"/>
        <v>76</v>
      </c>
      <c r="M28" s="1"/>
      <c r="N28" s="1"/>
      <c r="O28" s="1">
        <v>120</v>
      </c>
      <c r="P28" s="1">
        <f t="shared" si="3"/>
        <v>15.2</v>
      </c>
      <c r="Q28" s="5"/>
      <c r="R28" s="5"/>
      <c r="S28" s="1"/>
      <c r="T28" s="1">
        <f t="shared" si="4"/>
        <v>20.394736842105264</v>
      </c>
      <c r="U28" s="1">
        <f t="shared" si="5"/>
        <v>20.394736842105264</v>
      </c>
      <c r="V28" s="1">
        <v>18.2</v>
      </c>
      <c r="W28" s="1">
        <v>12.6</v>
      </c>
      <c r="X28" s="1">
        <v>18.2</v>
      </c>
      <c r="Y28" s="1">
        <v>20</v>
      </c>
      <c r="Z28" s="1">
        <v>31</v>
      </c>
      <c r="AA28" s="1">
        <v>24.2</v>
      </c>
      <c r="AB28" s="1">
        <v>32.4</v>
      </c>
      <c r="AC28" s="1">
        <v>19.8</v>
      </c>
      <c r="AD28" s="1"/>
      <c r="AE28" s="1">
        <f t="shared" si="8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63</v>
      </c>
      <c r="B29" s="1" t="s">
        <v>35</v>
      </c>
      <c r="C29" s="1">
        <v>301.221</v>
      </c>
      <c r="D29" s="1">
        <v>201.244</v>
      </c>
      <c r="E29" s="1">
        <v>237.27</v>
      </c>
      <c r="F29" s="1">
        <v>261.79000000000002</v>
      </c>
      <c r="G29" s="8">
        <v>1</v>
      </c>
      <c r="H29" s="1">
        <v>60</v>
      </c>
      <c r="I29" s="1" t="s">
        <v>36</v>
      </c>
      <c r="J29" s="1"/>
      <c r="K29" s="1"/>
      <c r="L29" s="1">
        <f t="shared" si="2"/>
        <v>237.27</v>
      </c>
      <c r="M29" s="1"/>
      <c r="N29" s="1"/>
      <c r="O29" s="1">
        <v>200</v>
      </c>
      <c r="P29" s="1">
        <f t="shared" si="3"/>
        <v>47.454000000000001</v>
      </c>
      <c r="Q29" s="5">
        <f>15*P29-O29-F29</f>
        <v>250.02000000000004</v>
      </c>
      <c r="R29" s="5"/>
      <c r="S29" s="1"/>
      <c r="T29" s="1">
        <f t="shared" si="4"/>
        <v>15.000000000000002</v>
      </c>
      <c r="U29" s="1">
        <f t="shared" si="5"/>
        <v>9.7313187507902388</v>
      </c>
      <c r="V29" s="1">
        <v>36.903599999999997</v>
      </c>
      <c r="W29" s="1">
        <v>31.8858</v>
      </c>
      <c r="X29" s="1">
        <v>36.903599999999997</v>
      </c>
      <c r="Y29" s="1">
        <v>42.125799999999998</v>
      </c>
      <c r="Z29" s="1">
        <v>45.726999999999997</v>
      </c>
      <c r="AA29" s="1">
        <v>51.441999999999993</v>
      </c>
      <c r="AB29" s="1">
        <v>32.028399999999998</v>
      </c>
      <c r="AC29" s="1">
        <v>39.184199999999997</v>
      </c>
      <c r="AD29" s="1"/>
      <c r="AE29" s="1">
        <f t="shared" si="8"/>
        <v>250.02000000000004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64</v>
      </c>
      <c r="B30" s="1" t="s">
        <v>38</v>
      </c>
      <c r="C30" s="1">
        <v>239</v>
      </c>
      <c r="D30" s="1">
        <v>160</v>
      </c>
      <c r="E30" s="1">
        <v>114</v>
      </c>
      <c r="F30" s="1">
        <v>281</v>
      </c>
      <c r="G30" s="8">
        <v>0.3</v>
      </c>
      <c r="H30" s="1">
        <v>60</v>
      </c>
      <c r="I30" s="1" t="s">
        <v>36</v>
      </c>
      <c r="J30" s="1"/>
      <c r="K30" s="1"/>
      <c r="L30" s="1">
        <f t="shared" si="2"/>
        <v>114</v>
      </c>
      <c r="M30" s="1"/>
      <c r="N30" s="1"/>
      <c r="O30" s="1">
        <v>100</v>
      </c>
      <c r="P30" s="1">
        <f t="shared" si="3"/>
        <v>22.8</v>
      </c>
      <c r="Q30" s="5">
        <f t="shared" ref="Q30" si="9">20*P30-O30-F30</f>
        <v>75</v>
      </c>
      <c r="R30" s="5"/>
      <c r="S30" s="1"/>
      <c r="T30" s="1">
        <f t="shared" si="4"/>
        <v>20</v>
      </c>
      <c r="U30" s="1">
        <f t="shared" si="5"/>
        <v>16.710526315789473</v>
      </c>
      <c r="V30" s="1">
        <v>29</v>
      </c>
      <c r="W30" s="1">
        <v>-0.4</v>
      </c>
      <c r="X30" s="1">
        <v>29</v>
      </c>
      <c r="Y30" s="1">
        <v>27.6</v>
      </c>
      <c r="Z30" s="1">
        <v>21.2</v>
      </c>
      <c r="AA30" s="1">
        <v>28.4</v>
      </c>
      <c r="AB30" s="1">
        <v>19.600000000000001</v>
      </c>
      <c r="AC30" s="1">
        <v>16</v>
      </c>
      <c r="AD30" s="1"/>
      <c r="AE30" s="1">
        <f t="shared" si="8"/>
        <v>22.5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51</v>
      </c>
      <c r="B31" s="1" t="s">
        <v>38</v>
      </c>
      <c r="C31" s="1">
        <v>313</v>
      </c>
      <c r="D31" s="1">
        <v>200</v>
      </c>
      <c r="E31" s="1">
        <v>197</v>
      </c>
      <c r="F31" s="1">
        <v>309</v>
      </c>
      <c r="G31" s="8">
        <v>0.41</v>
      </c>
      <c r="H31" s="1">
        <v>50</v>
      </c>
      <c r="I31" s="1" t="s">
        <v>36</v>
      </c>
      <c r="J31" s="1"/>
      <c r="K31" s="1"/>
      <c r="L31" s="1">
        <f t="shared" si="2"/>
        <v>197</v>
      </c>
      <c r="M31" s="1"/>
      <c r="N31" s="1"/>
      <c r="O31" s="1">
        <v>160</v>
      </c>
      <c r="P31" s="1">
        <f t="shared" si="3"/>
        <v>39.4</v>
      </c>
      <c r="Q31" s="5">
        <f>17*P31-O31-F31</f>
        <v>200.79999999999995</v>
      </c>
      <c r="R31" s="5"/>
      <c r="S31" s="1"/>
      <c r="T31" s="1">
        <f t="shared" si="4"/>
        <v>17</v>
      </c>
      <c r="U31" s="1">
        <f t="shared" si="5"/>
        <v>11.903553299492387</v>
      </c>
      <c r="V31" s="1">
        <v>36.200000000000003</v>
      </c>
      <c r="W31" s="1">
        <v>20</v>
      </c>
      <c r="X31" s="1">
        <v>36.200000000000003</v>
      </c>
      <c r="Y31" s="1">
        <v>26.6</v>
      </c>
      <c r="Z31" s="1">
        <v>43</v>
      </c>
      <c r="AA31" s="1">
        <v>26.8</v>
      </c>
      <c r="AB31" s="1">
        <v>33.6</v>
      </c>
      <c r="AC31" s="1">
        <v>20.8</v>
      </c>
      <c r="AD31" s="1"/>
      <c r="AE31" s="1">
        <f t="shared" si="8"/>
        <v>82.327999999999975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2" t="s">
        <v>65</v>
      </c>
      <c r="B32" s="12" t="s">
        <v>35</v>
      </c>
      <c r="C32" s="12">
        <v>266.29399999999998</v>
      </c>
      <c r="D32" s="12">
        <v>311.30799999999999</v>
      </c>
      <c r="E32" s="12">
        <v>458.08300000000003</v>
      </c>
      <c r="F32" s="12">
        <v>119.51900000000001</v>
      </c>
      <c r="G32" s="16">
        <v>0</v>
      </c>
      <c r="H32" s="12">
        <v>50</v>
      </c>
      <c r="I32" s="12" t="s">
        <v>66</v>
      </c>
      <c r="J32" s="12"/>
      <c r="K32" s="12"/>
      <c r="L32" s="12">
        <f t="shared" si="2"/>
        <v>458.08300000000003</v>
      </c>
      <c r="M32" s="12"/>
      <c r="N32" s="12"/>
      <c r="O32" s="12">
        <v>0</v>
      </c>
      <c r="P32" s="12">
        <f t="shared" si="3"/>
        <v>91.616600000000005</v>
      </c>
      <c r="Q32" s="17"/>
      <c r="R32" s="17"/>
      <c r="S32" s="12"/>
      <c r="T32" s="12">
        <f t="shared" si="4"/>
        <v>1.3045561612196916</v>
      </c>
      <c r="U32" s="12">
        <f t="shared" si="5"/>
        <v>1.3045561612196916</v>
      </c>
      <c r="V32" s="12">
        <v>65.309400000000011</v>
      </c>
      <c r="W32" s="12">
        <v>78.678399999999996</v>
      </c>
      <c r="X32" s="12">
        <v>65.309400000000011</v>
      </c>
      <c r="Y32" s="12">
        <v>62.679200000000002</v>
      </c>
      <c r="Z32" s="12">
        <v>68.656800000000004</v>
      </c>
      <c r="AA32" s="12">
        <v>94.631600000000006</v>
      </c>
      <c r="AB32" s="12">
        <v>60.880999999999993</v>
      </c>
      <c r="AC32" s="12">
        <v>81.591200000000001</v>
      </c>
      <c r="AD32" s="12" t="s">
        <v>67</v>
      </c>
      <c r="AE32" s="12">
        <f t="shared" si="8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68</v>
      </c>
      <c r="B33" s="1" t="s">
        <v>35</v>
      </c>
      <c r="C33" s="1">
        <v>210.26499999999999</v>
      </c>
      <c r="D33" s="1">
        <v>157.29</v>
      </c>
      <c r="E33" s="1">
        <v>192.286</v>
      </c>
      <c r="F33" s="1">
        <v>175.26900000000001</v>
      </c>
      <c r="G33" s="8">
        <v>1</v>
      </c>
      <c r="H33" s="1">
        <v>50</v>
      </c>
      <c r="I33" s="1" t="s">
        <v>36</v>
      </c>
      <c r="J33" s="1"/>
      <c r="K33" s="1"/>
      <c r="L33" s="1">
        <f t="shared" si="2"/>
        <v>192.286</v>
      </c>
      <c r="M33" s="1"/>
      <c r="N33" s="1"/>
      <c r="O33" s="1">
        <v>150</v>
      </c>
      <c r="P33" s="1">
        <f t="shared" si="3"/>
        <v>38.4572</v>
      </c>
      <c r="Q33" s="5">
        <f>13*P33-O33-F33</f>
        <v>174.6746</v>
      </c>
      <c r="R33" s="5"/>
      <c r="S33" s="1"/>
      <c r="T33" s="1">
        <f t="shared" si="4"/>
        <v>13</v>
      </c>
      <c r="U33" s="1">
        <f t="shared" si="5"/>
        <v>8.4579480565407774</v>
      </c>
      <c r="V33" s="1">
        <v>25.52</v>
      </c>
      <c r="W33" s="1">
        <v>21.434799999999999</v>
      </c>
      <c r="X33" s="1">
        <v>25.52</v>
      </c>
      <c r="Y33" s="1">
        <v>27.374400000000001</v>
      </c>
      <c r="Z33" s="1">
        <v>26.291599999999999</v>
      </c>
      <c r="AA33" s="1">
        <v>25.154199999999999</v>
      </c>
      <c r="AB33" s="1">
        <v>26.1296</v>
      </c>
      <c r="AC33" s="1">
        <v>25.888999999999999</v>
      </c>
      <c r="AD33" s="1"/>
      <c r="AE33" s="1">
        <f t="shared" si="8"/>
        <v>174.6746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69</v>
      </c>
      <c r="B34" s="1" t="s">
        <v>38</v>
      </c>
      <c r="C34" s="1">
        <v>153</v>
      </c>
      <c r="D34" s="1">
        <v>240</v>
      </c>
      <c r="E34" s="1">
        <v>208</v>
      </c>
      <c r="F34" s="1">
        <v>176</v>
      </c>
      <c r="G34" s="8">
        <v>0.4</v>
      </c>
      <c r="H34" s="1">
        <v>50</v>
      </c>
      <c r="I34" s="1" t="s">
        <v>36</v>
      </c>
      <c r="J34" s="1"/>
      <c r="K34" s="1"/>
      <c r="L34" s="1">
        <f t="shared" si="2"/>
        <v>208</v>
      </c>
      <c r="M34" s="1"/>
      <c r="N34" s="1"/>
      <c r="O34" s="1">
        <v>200</v>
      </c>
      <c r="P34" s="1">
        <f t="shared" si="3"/>
        <v>41.6</v>
      </c>
      <c r="Q34" s="5">
        <f>14*P34-O34-F34</f>
        <v>206.39999999999998</v>
      </c>
      <c r="R34" s="5"/>
      <c r="S34" s="1"/>
      <c r="T34" s="1">
        <f t="shared" si="4"/>
        <v>13.999999999999998</v>
      </c>
      <c r="U34" s="1">
        <f t="shared" si="5"/>
        <v>9.0384615384615383</v>
      </c>
      <c r="V34" s="1">
        <v>49.6</v>
      </c>
      <c r="W34" s="1">
        <v>24.2</v>
      </c>
      <c r="X34" s="1">
        <v>49.6</v>
      </c>
      <c r="Y34" s="1">
        <v>38</v>
      </c>
      <c r="Z34" s="1">
        <v>53</v>
      </c>
      <c r="AA34" s="1">
        <v>40.4</v>
      </c>
      <c r="AB34" s="1">
        <v>51</v>
      </c>
      <c r="AC34" s="1">
        <v>7.2</v>
      </c>
      <c r="AD34" s="1"/>
      <c r="AE34" s="1">
        <f t="shared" si="8"/>
        <v>82.56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70</v>
      </c>
      <c r="B35" s="1" t="s">
        <v>38</v>
      </c>
      <c r="C35" s="1">
        <v>12</v>
      </c>
      <c r="D35" s="1">
        <v>200</v>
      </c>
      <c r="E35" s="1">
        <v>192</v>
      </c>
      <c r="F35" s="1">
        <v>19</v>
      </c>
      <c r="G35" s="8">
        <v>0.18</v>
      </c>
      <c r="H35" s="1">
        <v>50</v>
      </c>
      <c r="I35" s="1" t="s">
        <v>36</v>
      </c>
      <c r="J35" s="1"/>
      <c r="K35" s="1"/>
      <c r="L35" s="1">
        <f t="shared" si="2"/>
        <v>192</v>
      </c>
      <c r="M35" s="1"/>
      <c r="N35" s="1"/>
      <c r="O35" s="1">
        <v>200</v>
      </c>
      <c r="P35" s="1">
        <f t="shared" si="3"/>
        <v>38.4</v>
      </c>
      <c r="Q35" s="5">
        <f>12*P35-O35-F35</f>
        <v>241.79999999999995</v>
      </c>
      <c r="R35" s="5"/>
      <c r="S35" s="1"/>
      <c r="T35" s="1">
        <f t="shared" si="4"/>
        <v>12</v>
      </c>
      <c r="U35" s="1">
        <f t="shared" si="5"/>
        <v>5.703125</v>
      </c>
      <c r="V35" s="1">
        <v>10.8</v>
      </c>
      <c r="W35" s="1">
        <v>-6.8</v>
      </c>
      <c r="X35" s="1">
        <v>10.8</v>
      </c>
      <c r="Y35" s="1">
        <v>56.2</v>
      </c>
      <c r="Z35" s="1">
        <v>39</v>
      </c>
      <c r="AA35" s="1">
        <v>33.799999999999997</v>
      </c>
      <c r="AB35" s="1">
        <v>35.4</v>
      </c>
      <c r="AC35" s="1">
        <v>15.4</v>
      </c>
      <c r="AD35" s="1"/>
      <c r="AE35" s="1">
        <f t="shared" si="8"/>
        <v>43.523999999999987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71</v>
      </c>
      <c r="B36" s="1" t="s">
        <v>38</v>
      </c>
      <c r="C36" s="1">
        <v>1526</v>
      </c>
      <c r="D36" s="1">
        <v>1596</v>
      </c>
      <c r="E36" s="1">
        <v>2947</v>
      </c>
      <c r="F36" s="1">
        <v>165</v>
      </c>
      <c r="G36" s="8">
        <v>0.3</v>
      </c>
      <c r="H36" s="1">
        <v>50</v>
      </c>
      <c r="I36" s="1" t="s">
        <v>36</v>
      </c>
      <c r="J36" s="1"/>
      <c r="K36" s="1"/>
      <c r="L36" s="1">
        <f t="shared" si="2"/>
        <v>2947</v>
      </c>
      <c r="M36" s="1"/>
      <c r="N36" s="1"/>
      <c r="O36" s="1">
        <v>1000</v>
      </c>
      <c r="P36" s="1">
        <f t="shared" si="3"/>
        <v>589.4</v>
      </c>
      <c r="Q36" s="5">
        <f>8*P36-O36-F36</f>
        <v>3550.2</v>
      </c>
      <c r="R36" s="5"/>
      <c r="S36" s="1"/>
      <c r="T36" s="1">
        <f t="shared" si="4"/>
        <v>8</v>
      </c>
      <c r="U36" s="1">
        <f t="shared" si="5"/>
        <v>1.9765863590091619</v>
      </c>
      <c r="V36" s="1">
        <v>287.60000000000002</v>
      </c>
      <c r="W36" s="1">
        <v>234</v>
      </c>
      <c r="X36" s="1">
        <v>287.60000000000002</v>
      </c>
      <c r="Y36" s="1">
        <v>311</v>
      </c>
      <c r="Z36" s="1">
        <v>335.8</v>
      </c>
      <c r="AA36" s="1">
        <v>282.60000000000002</v>
      </c>
      <c r="AB36" s="1">
        <v>283.39999999999998</v>
      </c>
      <c r="AC36" s="1">
        <v>202.8</v>
      </c>
      <c r="AD36" s="1"/>
      <c r="AE36" s="1">
        <f t="shared" si="8"/>
        <v>1065.06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72</v>
      </c>
      <c r="B37" s="1" t="s">
        <v>38</v>
      </c>
      <c r="C37" s="1">
        <v>773</v>
      </c>
      <c r="D37" s="1">
        <v>280</v>
      </c>
      <c r="E37" s="1">
        <v>647</v>
      </c>
      <c r="F37" s="1">
        <v>403</v>
      </c>
      <c r="G37" s="8">
        <v>0.28000000000000003</v>
      </c>
      <c r="H37" s="1">
        <v>50</v>
      </c>
      <c r="I37" s="1" t="s">
        <v>36</v>
      </c>
      <c r="J37" s="1"/>
      <c r="K37" s="1"/>
      <c r="L37" s="1">
        <f t="shared" si="2"/>
        <v>647</v>
      </c>
      <c r="M37" s="1"/>
      <c r="N37" s="1"/>
      <c r="O37" s="1">
        <v>120</v>
      </c>
      <c r="P37" s="1">
        <f t="shared" si="3"/>
        <v>129.4</v>
      </c>
      <c r="Q37" s="5">
        <f>10*P37-O37-F37</f>
        <v>771</v>
      </c>
      <c r="R37" s="5"/>
      <c r="S37" s="1"/>
      <c r="T37" s="1">
        <f t="shared" si="4"/>
        <v>10</v>
      </c>
      <c r="U37" s="1">
        <f t="shared" si="5"/>
        <v>4.0417310664605868</v>
      </c>
      <c r="V37" s="1">
        <v>33</v>
      </c>
      <c r="W37" s="1">
        <v>20.399999999999999</v>
      </c>
      <c r="X37" s="1">
        <v>33</v>
      </c>
      <c r="Y37" s="1">
        <v>39</v>
      </c>
      <c r="Z37" s="1">
        <v>44.6</v>
      </c>
      <c r="AA37" s="1">
        <v>25.2</v>
      </c>
      <c r="AB37" s="1">
        <v>41.6</v>
      </c>
      <c r="AC37" s="1">
        <v>41</v>
      </c>
      <c r="AD37" s="1"/>
      <c r="AE37" s="1">
        <f t="shared" si="8"/>
        <v>215.88000000000002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1" t="s">
        <v>73</v>
      </c>
      <c r="B38" s="1"/>
      <c r="C38" s="1"/>
      <c r="D38" s="1"/>
      <c r="E38" s="1"/>
      <c r="F38" s="1"/>
      <c r="G38" s="8">
        <v>0.1</v>
      </c>
      <c r="H38" s="1"/>
      <c r="I38" s="1">
        <v>1001191975179</v>
      </c>
      <c r="J38" s="1"/>
      <c r="K38" s="1"/>
      <c r="L38" s="1">
        <f t="shared" si="2"/>
        <v>0</v>
      </c>
      <c r="M38" s="1"/>
      <c r="N38" s="1"/>
      <c r="O38" s="1">
        <v>50</v>
      </c>
      <c r="P38" s="1">
        <f t="shared" si="3"/>
        <v>0</v>
      </c>
      <c r="Q38" s="5"/>
      <c r="R38" s="5"/>
      <c r="S38" s="1"/>
      <c r="T38" s="1" t="e">
        <f t="shared" si="4"/>
        <v>#DIV/0!</v>
      </c>
      <c r="U38" s="1" t="e">
        <f t="shared" si="5"/>
        <v>#DIV/0!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0" t="s">
        <v>84</v>
      </c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1" t="s">
        <v>74</v>
      </c>
      <c r="B39" s="1"/>
      <c r="C39" s="1"/>
      <c r="D39" s="1"/>
      <c r="E39" s="1"/>
      <c r="F39" s="1"/>
      <c r="G39" s="8">
        <v>0.28000000000000003</v>
      </c>
      <c r="H39" s="1"/>
      <c r="I39" s="1">
        <v>1001301777332</v>
      </c>
      <c r="J39" s="1"/>
      <c r="K39" s="1"/>
      <c r="L39" s="1">
        <f t="shared" si="2"/>
        <v>0</v>
      </c>
      <c r="M39" s="1"/>
      <c r="N39" s="1"/>
      <c r="O39" s="1">
        <v>120</v>
      </c>
      <c r="P39" s="1">
        <f t="shared" si="3"/>
        <v>0</v>
      </c>
      <c r="Q39" s="5"/>
      <c r="R39" s="5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0" t="s">
        <v>84</v>
      </c>
      <c r="AE39" s="1">
        <f t="shared" si="8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1" t="s">
        <v>75</v>
      </c>
      <c r="B40" s="1"/>
      <c r="C40" s="1"/>
      <c r="D40" s="1"/>
      <c r="E40" s="1"/>
      <c r="F40" s="1"/>
      <c r="G40" s="8">
        <v>0.3</v>
      </c>
      <c r="H40" s="1"/>
      <c r="I40" s="1">
        <v>1001013957231</v>
      </c>
      <c r="J40" s="1"/>
      <c r="K40" s="1"/>
      <c r="L40" s="1">
        <f t="shared" si="2"/>
        <v>0</v>
      </c>
      <c r="M40" s="1"/>
      <c r="N40" s="1"/>
      <c r="O40" s="1">
        <v>200</v>
      </c>
      <c r="P40" s="1">
        <f t="shared" si="3"/>
        <v>0</v>
      </c>
      <c r="Q40" s="5"/>
      <c r="R40" s="5"/>
      <c r="S40" s="1"/>
      <c r="T40" s="1" t="e">
        <f t="shared" si="4"/>
        <v>#DIV/0!</v>
      </c>
      <c r="U40" s="1" t="e">
        <f t="shared" si="5"/>
        <v>#DIV/0!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0" t="s">
        <v>84</v>
      </c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1" t="s">
        <v>76</v>
      </c>
      <c r="B41" s="1"/>
      <c r="C41" s="1"/>
      <c r="D41" s="1"/>
      <c r="E41" s="1"/>
      <c r="F41" s="1"/>
      <c r="G41" s="8">
        <v>0.3</v>
      </c>
      <c r="H41" s="1"/>
      <c r="I41" s="1">
        <v>1001024976616</v>
      </c>
      <c r="J41" s="1"/>
      <c r="K41" s="1"/>
      <c r="L41" s="1">
        <f t="shared" si="2"/>
        <v>0</v>
      </c>
      <c r="M41" s="1"/>
      <c r="N41" s="1"/>
      <c r="O41" s="1">
        <v>60</v>
      </c>
      <c r="P41" s="1">
        <f t="shared" si="3"/>
        <v>0</v>
      </c>
      <c r="Q41" s="5"/>
      <c r="R41" s="5"/>
      <c r="S41" s="1"/>
      <c r="T41" s="1" t="e">
        <f t="shared" si="4"/>
        <v>#DIV/0!</v>
      </c>
      <c r="U41" s="1" t="e">
        <f t="shared" si="5"/>
        <v>#DIV/0!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0" t="s">
        <v>84</v>
      </c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1" t="s">
        <v>77</v>
      </c>
      <c r="B42" s="1"/>
      <c r="C42" s="1"/>
      <c r="D42" s="1"/>
      <c r="E42" s="1"/>
      <c r="F42" s="1"/>
      <c r="G42" s="8">
        <v>1</v>
      </c>
      <c r="H42" s="1"/>
      <c r="I42" s="1">
        <v>1001032736549</v>
      </c>
      <c r="J42" s="1"/>
      <c r="K42" s="1"/>
      <c r="L42" s="1">
        <f t="shared" si="2"/>
        <v>0</v>
      </c>
      <c r="M42" s="1"/>
      <c r="N42" s="1"/>
      <c r="O42" s="1">
        <v>100</v>
      </c>
      <c r="P42" s="1">
        <f t="shared" si="3"/>
        <v>0</v>
      </c>
      <c r="Q42" s="5"/>
      <c r="R42" s="5"/>
      <c r="S42" s="1"/>
      <c r="T42" s="1" t="e">
        <f t="shared" si="4"/>
        <v>#DIV/0!</v>
      </c>
      <c r="U42" s="1" t="e">
        <f t="shared" si="5"/>
        <v>#DIV/0!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0" t="s">
        <v>84</v>
      </c>
      <c r="AE42" s="1">
        <f t="shared" si="8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1" t="s">
        <v>78</v>
      </c>
      <c r="B43" s="1"/>
      <c r="C43" s="1"/>
      <c r="D43" s="1"/>
      <c r="E43" s="1"/>
      <c r="F43" s="1"/>
      <c r="G43" s="8">
        <v>0.3</v>
      </c>
      <c r="H43" s="1"/>
      <c r="I43" s="1">
        <v>1001083446207</v>
      </c>
      <c r="J43" s="1"/>
      <c r="K43" s="1"/>
      <c r="L43" s="1">
        <f t="shared" si="2"/>
        <v>0</v>
      </c>
      <c r="M43" s="1"/>
      <c r="N43" s="1"/>
      <c r="O43" s="1">
        <v>100</v>
      </c>
      <c r="P43" s="1">
        <f t="shared" si="3"/>
        <v>0</v>
      </c>
      <c r="Q43" s="5"/>
      <c r="R43" s="5"/>
      <c r="S43" s="1"/>
      <c r="T43" s="1" t="e">
        <f t="shared" si="4"/>
        <v>#DIV/0!</v>
      </c>
      <c r="U43" s="1" t="e">
        <f t="shared" si="5"/>
        <v>#DIV/0!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0" t="s">
        <v>84</v>
      </c>
      <c r="AE43" s="1">
        <f t="shared" si="8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1" t="s">
        <v>79</v>
      </c>
      <c r="B44" s="1"/>
      <c r="C44" s="1"/>
      <c r="D44" s="1"/>
      <c r="E44" s="1"/>
      <c r="F44" s="1"/>
      <c r="G44" s="8">
        <v>0.15</v>
      </c>
      <c r="H44" s="1"/>
      <c r="I44" s="1">
        <v>1001190765681</v>
      </c>
      <c r="J44" s="1"/>
      <c r="K44" s="1"/>
      <c r="L44" s="1">
        <f t="shared" si="2"/>
        <v>0</v>
      </c>
      <c r="M44" s="1"/>
      <c r="N44" s="1"/>
      <c r="O44" s="1">
        <v>50</v>
      </c>
      <c r="P44" s="1">
        <f t="shared" si="3"/>
        <v>0</v>
      </c>
      <c r="Q44" s="5"/>
      <c r="R44" s="5"/>
      <c r="S44" s="1"/>
      <c r="T44" s="1" t="e">
        <f t="shared" si="4"/>
        <v>#DIV/0!</v>
      </c>
      <c r="U44" s="1" t="e">
        <f t="shared" si="5"/>
        <v>#DIV/0!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0" t="s">
        <v>84</v>
      </c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1" t="s">
        <v>80</v>
      </c>
      <c r="B45" s="1"/>
      <c r="C45" s="1"/>
      <c r="D45" s="1"/>
      <c r="E45" s="1"/>
      <c r="F45" s="1"/>
      <c r="G45" s="8">
        <v>0.28000000000000003</v>
      </c>
      <c r="H45" s="1"/>
      <c r="I45" s="1">
        <v>1001303107241</v>
      </c>
      <c r="J45" s="1"/>
      <c r="K45" s="1"/>
      <c r="L45" s="1">
        <f t="shared" si="2"/>
        <v>0</v>
      </c>
      <c r="M45" s="1"/>
      <c r="N45" s="1"/>
      <c r="O45" s="1">
        <v>120</v>
      </c>
      <c r="P45" s="1">
        <f t="shared" si="3"/>
        <v>0</v>
      </c>
      <c r="Q45" s="5"/>
      <c r="R45" s="5"/>
      <c r="S45" s="1"/>
      <c r="T45" s="1" t="e">
        <f t="shared" si="4"/>
        <v>#DIV/0!</v>
      </c>
      <c r="U45" s="1" t="e">
        <f t="shared" si="5"/>
        <v>#DIV/0!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0" t="s">
        <v>84</v>
      </c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1" t="s">
        <v>81</v>
      </c>
      <c r="B46" s="1"/>
      <c r="C46" s="1"/>
      <c r="D46" s="1"/>
      <c r="E46" s="1"/>
      <c r="F46" s="1"/>
      <c r="G46" s="8">
        <v>0.28000000000000003</v>
      </c>
      <c r="H46" s="1"/>
      <c r="I46" s="1">
        <v>1001304507230</v>
      </c>
      <c r="J46" s="1"/>
      <c r="K46" s="1"/>
      <c r="L46" s="1">
        <f t="shared" si="2"/>
        <v>0</v>
      </c>
      <c r="M46" s="1"/>
      <c r="N46" s="1"/>
      <c r="O46" s="1">
        <v>120</v>
      </c>
      <c r="P46" s="1">
        <f t="shared" si="3"/>
        <v>0</v>
      </c>
      <c r="Q46" s="5"/>
      <c r="R46" s="5"/>
      <c r="S46" s="1"/>
      <c r="T46" s="1" t="e">
        <f t="shared" si="4"/>
        <v>#DIV/0!</v>
      </c>
      <c r="U46" s="1" t="e">
        <f t="shared" si="5"/>
        <v>#DIV/0!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0" t="s">
        <v>84</v>
      </c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8" t="s">
        <v>82</v>
      </c>
      <c r="B47" s="18"/>
      <c r="C47" s="18"/>
      <c r="D47" s="18"/>
      <c r="E47" s="18"/>
      <c r="F47" s="18"/>
      <c r="G47" s="19">
        <v>1</v>
      </c>
      <c r="H47" s="18"/>
      <c r="I47" s="18">
        <v>1001022377070</v>
      </c>
      <c r="J47" s="18"/>
      <c r="K47" s="18"/>
      <c r="L47" s="18">
        <f t="shared" si="2"/>
        <v>0</v>
      </c>
      <c r="M47" s="18"/>
      <c r="N47" s="18"/>
      <c r="O47" s="18">
        <v>400</v>
      </c>
      <c r="P47" s="18">
        <f t="shared" si="3"/>
        <v>0</v>
      </c>
      <c r="Q47" s="20"/>
      <c r="R47" s="20"/>
      <c r="S47" s="18"/>
      <c r="T47" s="18" t="e">
        <f t="shared" si="4"/>
        <v>#DIV/0!</v>
      </c>
      <c r="U47" s="18" t="e">
        <f t="shared" si="5"/>
        <v>#DIV/0!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21" t="s">
        <v>85</v>
      </c>
      <c r="AE47" s="18">
        <f t="shared" si="8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1" t="s">
        <v>83</v>
      </c>
      <c r="B48" s="1"/>
      <c r="C48" s="1"/>
      <c r="D48" s="1"/>
      <c r="E48" s="1"/>
      <c r="F48" s="1"/>
      <c r="G48" s="8">
        <v>1</v>
      </c>
      <c r="H48" s="1"/>
      <c r="I48" s="1">
        <v>1001031076548</v>
      </c>
      <c r="J48" s="1"/>
      <c r="K48" s="1"/>
      <c r="L48" s="1">
        <f t="shared" si="2"/>
        <v>0</v>
      </c>
      <c r="M48" s="1"/>
      <c r="N48" s="1"/>
      <c r="O48" s="1">
        <v>100</v>
      </c>
      <c r="P48" s="1">
        <f t="shared" si="3"/>
        <v>0</v>
      </c>
      <c r="Q48" s="5"/>
      <c r="R48" s="5"/>
      <c r="S48" s="1"/>
      <c r="T48" s="1" t="e">
        <f t="shared" si="4"/>
        <v>#DIV/0!</v>
      </c>
      <c r="U48" s="1" t="e">
        <f t="shared" si="5"/>
        <v>#DIV/0!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0" t="s">
        <v>84</v>
      </c>
      <c r="AE48" s="1">
        <f t="shared" si="8"/>
        <v>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</sheetData>
  <autoFilter ref="A3:AE48" xr:uid="{E2173630-326F-4380-B779-47BF42E0F75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2025-12-29T11:02:28Z</dcterms:created>
  <dcterms:modified xsi:type="dcterms:W3CDTF">2025-12-29T11:16:51Z</dcterms:modified>
</cp:coreProperties>
</file>