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Ташкент\2025\12,25\15,12,25 Ост КИ Ташкент\"/>
    </mc:Choice>
  </mc:AlternateContent>
  <xr:revisionPtr revIDLastSave="0" documentId="13_ncr:1_{529CEE01-968B-44DD-BE06-F439550C8D0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Лист1" sheetId="2" r:id="rId2"/>
  </sheets>
  <definedNames>
    <definedName name="_xlnm._FilterDatabase" localSheetId="0" hidden="1">Sheet!$A$3:$AG$40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6" i="1"/>
  <c r="S5" i="1" s="1"/>
  <c r="AJ7" i="1" l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6" i="1"/>
  <c r="Q7" i="1"/>
  <c r="Q8" i="1"/>
  <c r="Q9" i="1"/>
  <c r="Q10" i="1"/>
  <c r="Q11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6" i="1"/>
  <c r="AH41" i="1" l="1"/>
  <c r="AH42" i="1"/>
  <c r="AH43" i="1"/>
  <c r="AH44" i="1"/>
  <c r="AH45" i="1"/>
  <c r="AH46" i="1"/>
  <c r="AH47" i="1"/>
  <c r="AH48" i="1"/>
  <c r="AH49" i="1"/>
  <c r="AH50" i="1"/>
  <c r="AH51" i="1"/>
  <c r="R25" i="1"/>
  <c r="R31" i="1"/>
  <c r="R33" i="1"/>
  <c r="R37" i="1"/>
  <c r="AI7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6" i="1"/>
  <c r="L40" i="1"/>
  <c r="L39" i="1"/>
  <c r="R38" i="1"/>
  <c r="L38" i="1"/>
  <c r="W37" i="1"/>
  <c r="L37" i="1"/>
  <c r="R36" i="1"/>
  <c r="L36" i="1"/>
  <c r="R35" i="1"/>
  <c r="L35" i="1"/>
  <c r="L34" i="1"/>
  <c r="L33" i="1"/>
  <c r="L32" i="1"/>
  <c r="W31" i="1"/>
  <c r="L31" i="1"/>
  <c r="R30" i="1"/>
  <c r="L30" i="1"/>
  <c r="L29" i="1"/>
  <c r="R28" i="1"/>
  <c r="L28" i="1"/>
  <c r="E27" i="1"/>
  <c r="R27" i="1" s="1"/>
  <c r="R26" i="1"/>
  <c r="L26" i="1"/>
  <c r="L25" i="1"/>
  <c r="L24" i="1"/>
  <c r="L23" i="1"/>
  <c r="R22" i="1"/>
  <c r="L22" i="1"/>
  <c r="L21" i="1"/>
  <c r="R20" i="1"/>
  <c r="L20" i="1"/>
  <c r="L19" i="1"/>
  <c r="R18" i="1"/>
  <c r="L18" i="1"/>
  <c r="L17" i="1"/>
  <c r="L16" i="1"/>
  <c r="L15" i="1"/>
  <c r="R14" i="1"/>
  <c r="L14" i="1"/>
  <c r="R13" i="1"/>
  <c r="L13" i="1"/>
  <c r="L12" i="1"/>
  <c r="R11" i="1"/>
  <c r="L11" i="1"/>
  <c r="L10" i="1"/>
  <c r="L9" i="1"/>
  <c r="R8" i="1"/>
  <c r="L8" i="1"/>
  <c r="L7" i="1"/>
  <c r="R6" i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AH5" i="1" l="1"/>
  <c r="W9" i="1"/>
  <c r="R9" i="1"/>
  <c r="W17" i="1"/>
  <c r="R17" i="1"/>
  <c r="W21" i="1"/>
  <c r="R21" i="1"/>
  <c r="AI5" i="1"/>
  <c r="W12" i="1"/>
  <c r="R12" i="1"/>
  <c r="W16" i="1"/>
  <c r="R16" i="1"/>
  <c r="R24" i="1"/>
  <c r="V24" i="1" s="1"/>
  <c r="W29" i="1"/>
  <c r="R29" i="1"/>
  <c r="W34" i="1"/>
  <c r="R34" i="1"/>
  <c r="W10" i="1"/>
  <c r="R10" i="1"/>
  <c r="W7" i="1"/>
  <c r="R7" i="1"/>
  <c r="R15" i="1"/>
  <c r="W19" i="1"/>
  <c r="R19" i="1"/>
  <c r="W23" i="1"/>
  <c r="R23" i="1"/>
  <c r="V23" i="1" s="1"/>
  <c r="R32" i="1"/>
  <c r="W40" i="1"/>
  <c r="W14" i="1"/>
  <c r="W39" i="1"/>
  <c r="W32" i="1"/>
  <c r="W25" i="1"/>
  <c r="V33" i="1"/>
  <c r="V11" i="1"/>
  <c r="V22" i="1"/>
  <c r="F5" i="1"/>
  <c r="V8" i="1"/>
  <c r="V25" i="1"/>
  <c r="V13" i="1"/>
  <c r="V31" i="1"/>
  <c r="V39" i="1"/>
  <c r="V9" i="1"/>
  <c r="V16" i="1"/>
  <c r="V32" i="1"/>
  <c r="V40" i="1"/>
  <c r="W27" i="1"/>
  <c r="W6" i="1"/>
  <c r="W8" i="1"/>
  <c r="W11" i="1"/>
  <c r="W13" i="1"/>
  <c r="W15" i="1"/>
  <c r="W18" i="1"/>
  <c r="W20" i="1"/>
  <c r="W22" i="1"/>
  <c r="W24" i="1"/>
  <c r="W26" i="1"/>
  <c r="L27" i="1"/>
  <c r="L5" i="1" s="1"/>
  <c r="W28" i="1"/>
  <c r="W30" i="1"/>
  <c r="W33" i="1"/>
  <c r="W35" i="1"/>
  <c r="W36" i="1"/>
  <c r="W38" i="1"/>
  <c r="E5" i="1"/>
  <c r="Q5" i="1"/>
  <c r="V15" i="1" l="1"/>
  <c r="V19" i="1"/>
  <c r="V29" i="1"/>
  <c r="V37" i="1"/>
  <c r="V35" i="1"/>
  <c r="V20" i="1"/>
  <c r="V14" i="1"/>
  <c r="V6" i="1"/>
  <c r="V36" i="1"/>
  <c r="R5" i="1"/>
  <c r="V28" i="1"/>
  <c r="V17" i="1"/>
  <c r="V30" i="1"/>
  <c r="V38" i="1"/>
  <c r="V27" i="1"/>
  <c r="V12" i="1"/>
  <c r="V21" i="1"/>
  <c r="V7" i="1"/>
  <c r="V34" i="1"/>
  <c r="V10" i="1"/>
  <c r="V26" i="1"/>
  <c r="V18" i="1"/>
  <c r="AG5" i="1" l="1"/>
</calcChain>
</file>

<file path=xl/sharedStrings.xml><?xml version="1.0" encoding="utf-8"?>
<sst xmlns="http://schemas.openxmlformats.org/spreadsheetml/2006/main" count="185" uniqueCount="98">
  <si>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</si>
  <si>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</si>
  <si>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</si>
  <si>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</si>
  <si>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</si>
  <si>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</si>
  <si>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</si>
  <si>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</si>
  <si>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</si>
  <si>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</si>
  <si>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</si>
  <si>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</si>
  <si>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</si>
  <si>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</si>
  <si>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</si>
  <si>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</si>
  <si>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</si>
  <si>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</si>
  <si>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</si>
  <si>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</si>
  <si>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</si>
  <si>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</si>
  <si>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</si>
  <si>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</si>
  <si>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16,12,</t>
  </si>
  <si>
    <t>15,12,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</si>
  <si>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</si>
  <si>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</si>
  <si>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</si>
  <si>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</si>
  <si>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</si>
  <si>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</si>
  <si>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</si>
  <si>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</si>
  <si>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</si>
  <si>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</si>
  <si>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</si>
  <si>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</si>
  <si>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</si>
  <si>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</si>
  <si>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</si>
  <si>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</si>
  <si>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</si>
  <si>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</si>
  <si>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</si>
  <si>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</si>
  <si>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нужно увеличить продажи!!!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</si>
  <si>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</si>
  <si>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</si>
  <si>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</si>
  <si>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</si>
  <si>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</si>
  <si>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</si>
  <si>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</si>
  <si>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</si>
  <si>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</si>
  <si>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</si>
  <si>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</si>
  <si>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</si>
  <si>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</si>
  <si>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</si>
  <si>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</si>
  <si>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</si>
  <si>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</si>
  <si>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нужно увеличить продажи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</si>
  <si>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</si>
  <si>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</si>
  <si>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</si>
  <si>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</si>
  <si>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</si>
  <si>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</si>
  <si>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</si>
  <si>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</si>
  <si>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</si>
  <si>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</si>
  <si>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</si>
  <si>
    <t>заказ</t>
  </si>
  <si>
    <t>в пути</t>
  </si>
  <si>
    <t>продали</t>
  </si>
  <si>
    <t>вывод</t>
  </si>
  <si>
    <t>СОЧНЫЕ ПМ сос п/о мгс 1*6_СНГ</t>
  </si>
  <si>
    <t>САЛЯМИ Папа может п/к в/у 0.28кг_209к</t>
  </si>
  <si>
    <t>МЯСНЫЕ Папа может сар б/о мгс 1*3_Х5_45с</t>
  </si>
  <si>
    <t>ОКОРОК КОПЧЕНЫЙ к/в мл/к в/у 0.3кг_СНГ</t>
  </si>
  <si>
    <t>ШПИКАЧКИ СОЧНЫЕ сар б/о мгс 1*3_Ашан_45с</t>
  </si>
  <si>
    <t>САЛЯМИ ИТАЛЬЯНСКАЯ с/к в/у 1/150_СНГ_60с</t>
  </si>
  <si>
    <t>КЛАССИЧЕСКАЯ ПМ вар п/о 0.3кг 8шт_209к</t>
  </si>
  <si>
    <t>СЕРВЕЛАТ КАРЕЛЬС.вк в/у 0.28кг_СНГ_209к</t>
  </si>
  <si>
    <t>БОЯРСКАЯ ПМ п/к в/у 0.28кг_СНГ</t>
  </si>
  <si>
    <t>АРОМАТНАЯ с/к с/н в/у 1/100_СНГ</t>
  </si>
  <si>
    <t>МОЛОЧНЫЕ КЛАССИЧЕСКИЕ сос п/о в/у 0.3кг</t>
  </si>
  <si>
    <t>ротация на 1 кг</t>
  </si>
  <si>
    <t>ротация 1,5</t>
  </si>
  <si>
    <t>остаток</t>
  </si>
  <si>
    <t>ротация</t>
  </si>
  <si>
    <t>ротация на 7070 ???</t>
  </si>
  <si>
    <t>7070 на 7070 ???</t>
  </si>
  <si>
    <t>26,12,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</si>
</sst>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1" fillId="0" borderId="1" xfId="1" applyNumberFormat="1" applyAlignment="1">
      <alignment horizontal="center"/>
    </xf>
    <xf numFmtId="14" fontId="1" fillId="0" borderId="1" xfId="1" applyNumberFormat="1" applyAlignment="1">
      <alignment horizontal="center"/>
    </xf>
    <xf numFmtId="164" fontId="2" fillId="2" borderId="1" xfId="1" applyNumberFormat="1" applyFont="1" applyFill="1" applyAlignment="1">
      <alignment horizontal="center"/>
    </xf>
    <xf numFmtId="164" fontId="1" fillId="3" borderId="1" xfId="1" applyNumberFormat="1" applyFill="1" applyAlignment="1">
      <alignment horizontal="center"/>
    </xf>
    <xf numFmtId="0" fontId="0" fillId="0" borderId="0" xfId="0" applyBorder="1" applyAlignment="1">
      <alignment horizontal="center"/>
    </xf>
    <xf numFmtId="164" fontId="1" fillId="9" borderId="1" xfId="1" applyNumberFormat="1" applyFill="1"/>
    <xf numFmtId="164" fontId="1" fillId="9" borderId="1" xfId="1" applyNumberFormat="1" applyFill="1" applyAlignment="1">
      <alignment horizontal="center"/>
    </xf>
    <xf numFmtId="2" fontId="1" fillId="9" borderId="1" xfId="1" applyNumberFormat="1" applyFill="1"/>
    <xf numFmtId="164" fontId="1" fillId="9" borderId="2" xfId="1" applyNumberFormat="1" applyFill="1" applyBorder="1"/>
    <xf numFmtId="0" fontId="0" fillId="9" borderId="0" xfId="0" applyFill="1" applyBorder="1"/>
    <xf numFmtId="14" fontId="0" fillId="0" borderId="0" xfId="0" applyNumberFormat="1" applyBorder="1"/>
    <xf numFmtId="3" fontId="0" fillId="0" borderId="0" xfId="0" applyNumberFormat="1" applyBorder="1"/>
    <xf numFmtId="0" fontId="0" fillId="0" borderId="1" xfId="0" applyBorder="1" applyAlignment="1">
      <alignment horizontal="center"/>
    </xf>
    <xf numFmtId="164" fontId="6" fillId="0" borderId="1" xfId="1" applyNumberFormat="1" applyFont="1" applyAlignment="1">
      <alignment horizontal="center"/>
    </xf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6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5" width="7" customWidth="1"/>
    <col min="6" max="6" width="10.85546875" style="23" customWidth="1"/>
    <col min="7" max="7" width="5" style="6" customWidth="1"/>
    <col min="8" max="8" width="5" customWidth="1"/>
    <col min="9" max="9" width="16.42578125" customWidth="1"/>
    <col min="10" max="15" width="0.42578125" customWidth="1"/>
    <col min="16" max="18" width="7" customWidth="1"/>
    <col min="19" max="19" width="7" style="33" customWidth="1"/>
    <col min="20" max="20" width="11" customWidth="1"/>
    <col min="21" max="21" width="21" customWidth="1"/>
    <col min="22" max="23" width="5" customWidth="1"/>
    <col min="24" max="31" width="6" customWidth="1"/>
    <col min="32" max="32" width="38" customWidth="1"/>
    <col min="33" max="33" width="7" customWidth="1"/>
    <col min="34" max="34" width="15.140625" style="23" customWidth="1"/>
    <col min="35" max="35" width="14.7109375" style="23" customWidth="1"/>
    <col min="36" max="36" width="14.7109375" style="31" customWidth="1"/>
    <col min="37" max="37" width="15.7109375" customWidth="1"/>
    <col min="38" max="51" width="3" customWidth="1"/>
  </cols>
  <sheetData>
    <row r="1" spans="1:51" x14ac:dyDescent="0.25">
      <c r="A1" s="1"/>
      <c r="B1" s="1"/>
      <c r="C1" s="1"/>
      <c r="D1" s="1"/>
      <c r="E1" s="1"/>
      <c r="F1" s="19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9"/>
      <c r="AI1" s="19"/>
      <c r="AJ1" s="19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20">
        <v>46010</v>
      </c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0">
        <v>46017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9"/>
      <c r="AI2" s="19"/>
      <c r="AJ2" s="19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1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76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9" t="s">
        <v>76</v>
      </c>
      <c r="AI3" s="19" t="s">
        <v>77</v>
      </c>
      <c r="AJ3" s="32" t="s">
        <v>93</v>
      </c>
      <c r="AK3" s="1" t="s">
        <v>78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9"/>
      <c r="G4" s="8"/>
      <c r="H4" s="1"/>
      <c r="I4" s="1"/>
      <c r="J4" s="1"/>
      <c r="K4" s="1"/>
      <c r="L4" s="1"/>
      <c r="M4" s="1"/>
      <c r="N4" s="1"/>
      <c r="O4" s="1"/>
      <c r="P4" s="1" t="s">
        <v>24</v>
      </c>
      <c r="Q4" s="1" t="s">
        <v>25</v>
      </c>
      <c r="R4" s="1"/>
      <c r="S4" s="1" t="s">
        <v>97</v>
      </c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9" t="s">
        <v>35</v>
      </c>
      <c r="AI4" s="19" t="s">
        <v>35</v>
      </c>
      <c r="AJ4" s="32" t="s">
        <v>35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SUM(E6:E468)</f>
        <v>9081.9170000000013</v>
      </c>
      <c r="F5" s="22">
        <f>SUM(F6:F468)</f>
        <v>16234.424000000001</v>
      </c>
      <c r="G5" s="8"/>
      <c r="H5" s="1"/>
      <c r="I5" s="1"/>
      <c r="J5" s="1"/>
      <c r="K5" s="4">
        <f>SUM(K6:K468)</f>
        <v>0</v>
      </c>
      <c r="L5" s="4">
        <f>SUM(L6:L468)</f>
        <v>9081.9170000000013</v>
      </c>
      <c r="M5" s="4">
        <f>SUM(M6:M468)</f>
        <v>0</v>
      </c>
      <c r="N5" s="4">
        <f>SUM(N6:N468)</f>
        <v>0</v>
      </c>
      <c r="O5" s="4">
        <f>SUM(O6:O468)</f>
        <v>0</v>
      </c>
      <c r="P5" s="4">
        <f>SUM(P6:P468)</f>
        <v>7580</v>
      </c>
      <c r="Q5" s="4">
        <f>SUM(Q6:Q468)</f>
        <v>1445.0229999999999</v>
      </c>
      <c r="R5" s="4">
        <f>SUM(R6:R468)</f>
        <v>6169.8590000000013</v>
      </c>
      <c r="S5" s="4">
        <f>SUM(S6:S468)</f>
        <v>5950</v>
      </c>
      <c r="T5" s="4">
        <f>SUM(T6:T468)</f>
        <v>5950</v>
      </c>
      <c r="U5" s="1"/>
      <c r="V5" s="1"/>
      <c r="W5" s="1"/>
      <c r="X5" s="4">
        <f>SUM(X6:X468)</f>
        <v>920.02240000000006</v>
      </c>
      <c r="Y5" s="4">
        <f>SUM(Y6:Y468)</f>
        <v>1505.2230000000002</v>
      </c>
      <c r="Z5" s="4">
        <f>SUM(Z6:Z468)</f>
        <v>1281.7054000000003</v>
      </c>
      <c r="AA5" s="4">
        <f>SUM(AA6:AA468)</f>
        <v>1492.5595999999998</v>
      </c>
      <c r="AB5" s="4">
        <f>SUM(AB6:AB468)</f>
        <v>1533.9048</v>
      </c>
      <c r="AC5" s="4">
        <f>SUM(AC6:AC468)</f>
        <v>1414.6848</v>
      </c>
      <c r="AD5" s="4">
        <f>SUM(AD6:AD468)</f>
        <v>992.18959999999993</v>
      </c>
      <c r="AE5" s="4">
        <f>SUM(AE6:AE468)</f>
        <v>1452.8553999999999</v>
      </c>
      <c r="AF5" s="1"/>
      <c r="AG5" s="4">
        <f>SUM(AG6:AG468)</f>
        <v>2870.4999999999995</v>
      </c>
      <c r="AH5" s="22">
        <f>SUM(AH6:AH468)</f>
        <v>2870.4999999999995</v>
      </c>
      <c r="AI5" s="22">
        <f>SUM(AI6:AI468)</f>
        <v>2958</v>
      </c>
      <c r="AJ5" s="22"/>
      <c r="AK5" s="1">
        <v>8737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-8.7249999999999996</v>
      </c>
      <c r="D6" s="1">
        <v>357.19900000000001</v>
      </c>
      <c r="E6" s="1">
        <v>234.82599999999999</v>
      </c>
      <c r="F6" s="19">
        <v>187.107</v>
      </c>
      <c r="G6" s="8">
        <v>1</v>
      </c>
      <c r="H6" s="1">
        <v>45</v>
      </c>
      <c r="I6" s="1" t="s">
        <v>36</v>
      </c>
      <c r="J6" s="1"/>
      <c r="K6" s="1"/>
      <c r="L6" s="1">
        <f t="shared" ref="L6:L40" si="0">E6-K6</f>
        <v>234.82599999999999</v>
      </c>
      <c r="M6" s="1"/>
      <c r="N6" s="1"/>
      <c r="O6" s="1"/>
      <c r="P6" s="1">
        <v>150</v>
      </c>
      <c r="Q6" s="1">
        <f>Y6</f>
        <v>22.1328</v>
      </c>
      <c r="R6" s="5">
        <f t="shared" ref="R6:R38" si="1">21*Q6-P6-O6-F6</f>
        <v>127.68179999999998</v>
      </c>
      <c r="S6" s="5">
        <f>T6</f>
        <v>150</v>
      </c>
      <c r="T6" s="5">
        <v>150</v>
      </c>
      <c r="U6" s="1"/>
      <c r="V6" s="1">
        <f t="shared" ref="V6:V40" si="2">(F6+O6+P6+R6)/Q6</f>
        <v>20.999999999999996</v>
      </c>
      <c r="W6" s="1">
        <f t="shared" ref="W6:W40" si="3">(F6+O6+P6)/Q6</f>
        <v>15.231104966384731</v>
      </c>
      <c r="X6" s="1">
        <v>11.405799999999999</v>
      </c>
      <c r="Y6" s="1">
        <v>22.1328</v>
      </c>
      <c r="Z6" s="1">
        <v>23.523</v>
      </c>
      <c r="AA6" s="1">
        <v>24.957999999999998</v>
      </c>
      <c r="AB6" s="1">
        <v>37.103200000000001</v>
      </c>
      <c r="AC6" s="1">
        <v>16.863600000000002</v>
      </c>
      <c r="AD6" s="1">
        <v>22.165800000000001</v>
      </c>
      <c r="AE6" s="1">
        <v>22.668399999999998</v>
      </c>
      <c r="AF6" s="1"/>
      <c r="AG6" s="1">
        <f>S6*G6</f>
        <v>150</v>
      </c>
      <c r="AH6" s="19">
        <f>T6*G6</f>
        <v>150</v>
      </c>
      <c r="AI6" s="19">
        <f>P6*G6</f>
        <v>150</v>
      </c>
      <c r="AJ6" s="19">
        <f>F6*G6</f>
        <v>187.107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38</v>
      </c>
      <c r="C7" s="1">
        <v>8.8109999999999999</v>
      </c>
      <c r="D7" s="1">
        <v>1400</v>
      </c>
      <c r="E7" s="1">
        <v>771</v>
      </c>
      <c r="F7" s="19">
        <v>867.81100000000004</v>
      </c>
      <c r="G7" s="8">
        <v>0.35</v>
      </c>
      <c r="H7" s="1">
        <v>45</v>
      </c>
      <c r="I7" s="1" t="s">
        <v>36</v>
      </c>
      <c r="J7" s="1"/>
      <c r="K7" s="1"/>
      <c r="L7" s="1">
        <f t="shared" si="0"/>
        <v>771</v>
      </c>
      <c r="M7" s="1"/>
      <c r="N7" s="1"/>
      <c r="O7" s="1"/>
      <c r="P7" s="1">
        <v>520</v>
      </c>
      <c r="Q7" s="1">
        <f t="shared" ref="Q7:Q40" si="4">Y7</f>
        <v>103.2</v>
      </c>
      <c r="R7" s="5">
        <f t="shared" si="1"/>
        <v>779.38900000000024</v>
      </c>
      <c r="S7" s="5">
        <f t="shared" ref="S7:S51" si="5">T7</f>
        <v>500</v>
      </c>
      <c r="T7" s="5">
        <v>500</v>
      </c>
      <c r="U7" s="1"/>
      <c r="V7" s="1">
        <f t="shared" si="2"/>
        <v>21.000000000000004</v>
      </c>
      <c r="W7" s="1">
        <f t="shared" si="3"/>
        <v>13.447781007751939</v>
      </c>
      <c r="X7" s="1">
        <v>58.6</v>
      </c>
      <c r="Y7" s="1">
        <v>103.2</v>
      </c>
      <c r="Z7" s="1">
        <v>82</v>
      </c>
      <c r="AA7" s="1">
        <v>113</v>
      </c>
      <c r="AB7" s="1">
        <v>115.2</v>
      </c>
      <c r="AC7" s="1">
        <v>83.2</v>
      </c>
      <c r="AD7" s="1">
        <v>64.2</v>
      </c>
      <c r="AE7" s="1">
        <v>100.4</v>
      </c>
      <c r="AF7" s="1"/>
      <c r="AG7" s="1">
        <f t="shared" ref="AG7:AG51" si="6">S7*G7</f>
        <v>175</v>
      </c>
      <c r="AH7" s="19">
        <f>T7*G7</f>
        <v>175</v>
      </c>
      <c r="AI7" s="19">
        <f t="shared" ref="AI7:AI40" si="7">P7*G7</f>
        <v>182</v>
      </c>
      <c r="AJ7" s="19">
        <f>F7*G7</f>
        <v>303.73385000000002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-2.68</v>
      </c>
      <c r="D8" s="1">
        <v>299.065</v>
      </c>
      <c r="E8" s="1">
        <v>206.09299999999999</v>
      </c>
      <c r="F8" s="19">
        <v>137.10300000000001</v>
      </c>
      <c r="G8" s="8">
        <v>1</v>
      </c>
      <c r="H8" s="1">
        <v>45</v>
      </c>
      <c r="I8" s="1" t="s">
        <v>36</v>
      </c>
      <c r="J8" s="1"/>
      <c r="K8" s="1"/>
      <c r="L8" s="1">
        <f t="shared" si="0"/>
        <v>206.09299999999999</v>
      </c>
      <c r="M8" s="1"/>
      <c r="N8" s="1"/>
      <c r="O8" s="1"/>
      <c r="P8" s="1">
        <v>100</v>
      </c>
      <c r="Q8" s="1">
        <f t="shared" si="4"/>
        <v>14.5526</v>
      </c>
      <c r="R8" s="5">
        <f t="shared" si="1"/>
        <v>68.501599999999996</v>
      </c>
      <c r="S8" s="5">
        <f t="shared" si="5"/>
        <v>100</v>
      </c>
      <c r="T8" s="5">
        <v>100</v>
      </c>
      <c r="U8" s="1"/>
      <c r="V8" s="1">
        <f t="shared" si="2"/>
        <v>21</v>
      </c>
      <c r="W8" s="1">
        <f t="shared" si="3"/>
        <v>16.292827398540467</v>
      </c>
      <c r="X8" s="1">
        <v>1.5815999999999999</v>
      </c>
      <c r="Y8" s="1">
        <v>14.5526</v>
      </c>
      <c r="Z8" s="1">
        <v>18.255800000000001</v>
      </c>
      <c r="AA8" s="1">
        <v>18.2606</v>
      </c>
      <c r="AB8" s="1">
        <v>18.8154</v>
      </c>
      <c r="AC8" s="1">
        <v>14.9602</v>
      </c>
      <c r="AD8" s="1">
        <v>14.5648</v>
      </c>
      <c r="AE8" s="1">
        <v>15.2286</v>
      </c>
      <c r="AF8" s="1"/>
      <c r="AG8" s="1">
        <f t="shared" si="6"/>
        <v>100</v>
      </c>
      <c r="AH8" s="19">
        <f>T8*G8</f>
        <v>100</v>
      </c>
      <c r="AI8" s="19">
        <f t="shared" si="7"/>
        <v>100</v>
      </c>
      <c r="AJ8" s="19">
        <f>F8*G8</f>
        <v>137.10300000000001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40</v>
      </c>
      <c r="B9" s="10" t="s">
        <v>38</v>
      </c>
      <c r="C9" s="10"/>
      <c r="D9" s="10"/>
      <c r="E9" s="16">
        <v>2</v>
      </c>
      <c r="F9" s="19">
        <v>-2</v>
      </c>
      <c r="G9" s="11">
        <v>0</v>
      </c>
      <c r="H9" s="10"/>
      <c r="I9" s="10" t="s">
        <v>41</v>
      </c>
      <c r="J9" s="10" t="s">
        <v>42</v>
      </c>
      <c r="K9" s="10"/>
      <c r="L9" s="10">
        <f t="shared" si="0"/>
        <v>2</v>
      </c>
      <c r="M9" s="10"/>
      <c r="N9" s="10"/>
      <c r="O9" s="10"/>
      <c r="P9" s="10"/>
      <c r="Q9" s="1">
        <f t="shared" si="4"/>
        <v>0</v>
      </c>
      <c r="R9" s="5">
        <f t="shared" si="1"/>
        <v>2</v>
      </c>
      <c r="S9" s="5">
        <f t="shared" si="5"/>
        <v>0</v>
      </c>
      <c r="T9" s="12"/>
      <c r="U9" s="10"/>
      <c r="V9" s="10" t="e">
        <f t="shared" si="2"/>
        <v>#DIV/0!</v>
      </c>
      <c r="W9" s="10" t="e">
        <f t="shared" si="3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/>
      <c r="AG9" s="1">
        <f t="shared" si="6"/>
        <v>0</v>
      </c>
      <c r="AH9" s="19">
        <f>T9*G9</f>
        <v>0</v>
      </c>
      <c r="AI9" s="19">
        <f t="shared" si="7"/>
        <v>0</v>
      </c>
      <c r="AJ9" s="19">
        <f>F9*G9</f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38</v>
      </c>
      <c r="C10" s="1">
        <v>17</v>
      </c>
      <c r="D10" s="1">
        <v>960</v>
      </c>
      <c r="E10" s="1">
        <v>533</v>
      </c>
      <c r="F10" s="19">
        <v>906</v>
      </c>
      <c r="G10" s="8">
        <v>0.35</v>
      </c>
      <c r="H10" s="1">
        <v>45</v>
      </c>
      <c r="I10" s="1" t="s">
        <v>36</v>
      </c>
      <c r="J10" s="1"/>
      <c r="K10" s="1"/>
      <c r="L10" s="1">
        <f t="shared" si="0"/>
        <v>533</v>
      </c>
      <c r="M10" s="1"/>
      <c r="N10" s="1"/>
      <c r="O10" s="1"/>
      <c r="P10" s="1">
        <v>480</v>
      </c>
      <c r="Q10" s="1">
        <f t="shared" si="4"/>
        <v>81.2</v>
      </c>
      <c r="R10" s="5">
        <f t="shared" si="1"/>
        <v>319.20000000000005</v>
      </c>
      <c r="S10" s="5">
        <f t="shared" si="5"/>
        <v>300</v>
      </c>
      <c r="T10" s="5">
        <v>300</v>
      </c>
      <c r="U10" s="1"/>
      <c r="V10" s="1">
        <f t="shared" si="2"/>
        <v>21</v>
      </c>
      <c r="W10" s="1">
        <f t="shared" si="3"/>
        <v>17.068965517241377</v>
      </c>
      <c r="X10" s="1">
        <v>32.200000000000003</v>
      </c>
      <c r="Y10" s="1">
        <v>81.2</v>
      </c>
      <c r="Z10" s="1">
        <v>47.6</v>
      </c>
      <c r="AA10" s="1">
        <v>66.8</v>
      </c>
      <c r="AB10" s="1">
        <v>76</v>
      </c>
      <c r="AC10" s="1">
        <v>51.8</v>
      </c>
      <c r="AD10" s="1">
        <v>47.4</v>
      </c>
      <c r="AE10" s="1">
        <v>86.6</v>
      </c>
      <c r="AF10" s="1"/>
      <c r="AG10" s="1">
        <f t="shared" si="6"/>
        <v>105</v>
      </c>
      <c r="AH10" s="19">
        <f>T10*G10</f>
        <v>105</v>
      </c>
      <c r="AI10" s="19">
        <f t="shared" si="7"/>
        <v>168</v>
      </c>
      <c r="AJ10" s="19">
        <f>F10*G10</f>
        <v>317.09999999999997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35</v>
      </c>
      <c r="C11" s="1">
        <v>11.148999999999999</v>
      </c>
      <c r="D11" s="1"/>
      <c r="E11" s="1">
        <v>10.827999999999999</v>
      </c>
      <c r="F11" s="19">
        <v>0.32100000000000001</v>
      </c>
      <c r="G11" s="8">
        <v>0</v>
      </c>
      <c r="H11" s="1">
        <v>60</v>
      </c>
      <c r="I11" s="1" t="s">
        <v>79</v>
      </c>
      <c r="J11" s="1"/>
      <c r="K11" s="1"/>
      <c r="L11" s="1">
        <f t="shared" si="0"/>
        <v>10.827999999999999</v>
      </c>
      <c r="M11" s="1"/>
      <c r="N11" s="1"/>
      <c r="O11" s="1"/>
      <c r="P11" s="1"/>
      <c r="Q11" s="1">
        <f t="shared" si="4"/>
        <v>3.0992000000000002</v>
      </c>
      <c r="R11" s="5">
        <f t="shared" si="1"/>
        <v>64.762200000000007</v>
      </c>
      <c r="S11" s="5">
        <f t="shared" si="5"/>
        <v>0</v>
      </c>
      <c r="T11" s="5"/>
      <c r="U11" s="1" t="s">
        <v>79</v>
      </c>
      <c r="V11" s="1">
        <f t="shared" si="2"/>
        <v>21</v>
      </c>
      <c r="W11" s="1">
        <f t="shared" si="3"/>
        <v>0.10357511615900877</v>
      </c>
      <c r="X11" s="1">
        <v>1.4414</v>
      </c>
      <c r="Y11" s="1">
        <v>3.0992000000000002</v>
      </c>
      <c r="Z11" s="1">
        <v>1.8802000000000001</v>
      </c>
      <c r="AA11" s="1">
        <v>1.3458000000000001</v>
      </c>
      <c r="AB11" s="1">
        <v>0</v>
      </c>
      <c r="AC11" s="1">
        <v>1.3475999999999999</v>
      </c>
      <c r="AD11" s="1">
        <v>1.0840000000000001</v>
      </c>
      <c r="AE11" s="1">
        <v>2.9575999999999998</v>
      </c>
      <c r="AF11" s="1"/>
      <c r="AG11" s="1">
        <f t="shared" si="6"/>
        <v>0</v>
      </c>
      <c r="AH11" s="19">
        <f>T11*G11</f>
        <v>0</v>
      </c>
      <c r="AI11" s="19">
        <f t="shared" si="7"/>
        <v>0</v>
      </c>
      <c r="AJ11" s="19">
        <f>F11*G11</f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38</v>
      </c>
      <c r="C12" s="1">
        <v>649</v>
      </c>
      <c r="D12" s="1">
        <v>800</v>
      </c>
      <c r="E12" s="1">
        <v>452</v>
      </c>
      <c r="F12" s="19">
        <v>1441</v>
      </c>
      <c r="G12" s="8">
        <v>0.4</v>
      </c>
      <c r="H12" s="1">
        <v>60</v>
      </c>
      <c r="I12" s="1" t="s">
        <v>36</v>
      </c>
      <c r="J12" s="1"/>
      <c r="K12" s="1"/>
      <c r="L12" s="1">
        <f t="shared" si="0"/>
        <v>452</v>
      </c>
      <c r="M12" s="1"/>
      <c r="N12" s="1"/>
      <c r="O12" s="1"/>
      <c r="P12" s="1">
        <v>320</v>
      </c>
      <c r="Q12" s="1">
        <v>80</v>
      </c>
      <c r="R12" s="5">
        <f t="shared" si="1"/>
        <v>-81</v>
      </c>
      <c r="S12" s="5">
        <f t="shared" si="5"/>
        <v>0</v>
      </c>
      <c r="T12" s="5"/>
      <c r="U12" s="1"/>
      <c r="V12" s="1">
        <f t="shared" si="2"/>
        <v>21</v>
      </c>
      <c r="W12" s="1">
        <f t="shared" si="3"/>
        <v>22.012499999999999</v>
      </c>
      <c r="X12" s="1">
        <v>72.8</v>
      </c>
      <c r="Y12" s="1">
        <v>140.19999999999999</v>
      </c>
      <c r="Z12" s="1">
        <v>55.2</v>
      </c>
      <c r="AA12" s="1">
        <v>68.400000000000006</v>
      </c>
      <c r="AB12" s="1">
        <v>154.19999999999999</v>
      </c>
      <c r="AC12" s="1">
        <v>117.4</v>
      </c>
      <c r="AD12" s="1">
        <v>80.599999999999994</v>
      </c>
      <c r="AE12" s="1">
        <v>123.2</v>
      </c>
      <c r="AF12" s="17" t="s">
        <v>64</v>
      </c>
      <c r="AG12" s="1">
        <f t="shared" si="6"/>
        <v>0</v>
      </c>
      <c r="AH12" s="19">
        <f>T12*G12</f>
        <v>0</v>
      </c>
      <c r="AI12" s="19">
        <f t="shared" si="7"/>
        <v>128</v>
      </c>
      <c r="AJ12" s="19">
        <f>F12*G12</f>
        <v>576.4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35</v>
      </c>
      <c r="C13" s="1">
        <v>7.9029999999999996</v>
      </c>
      <c r="D13" s="1">
        <v>100.66800000000001</v>
      </c>
      <c r="E13" s="1">
        <v>36.225999999999999</v>
      </c>
      <c r="F13" s="19">
        <v>126.86499999999999</v>
      </c>
      <c r="G13" s="8">
        <v>1</v>
      </c>
      <c r="H13" s="1">
        <v>60</v>
      </c>
      <c r="I13" s="1" t="s">
        <v>36</v>
      </c>
      <c r="J13" s="1"/>
      <c r="K13" s="1"/>
      <c r="L13" s="1">
        <f t="shared" si="0"/>
        <v>36.225999999999999</v>
      </c>
      <c r="M13" s="1"/>
      <c r="N13" s="1"/>
      <c r="O13" s="1"/>
      <c r="P13" s="1">
        <v>50</v>
      </c>
      <c r="Q13" s="1">
        <f t="shared" si="4"/>
        <v>7.7178000000000004</v>
      </c>
      <c r="R13" s="5">
        <f t="shared" si="1"/>
        <v>-14.791199999999989</v>
      </c>
      <c r="S13" s="5">
        <f t="shared" si="5"/>
        <v>30</v>
      </c>
      <c r="T13" s="5">
        <v>30</v>
      </c>
      <c r="U13" s="1"/>
      <c r="V13" s="1">
        <f t="shared" si="2"/>
        <v>21</v>
      </c>
      <c r="W13" s="1">
        <f t="shared" si="3"/>
        <v>22.91650470341289</v>
      </c>
      <c r="X13" s="1">
        <v>4.7084000000000001</v>
      </c>
      <c r="Y13" s="1">
        <v>7.7178000000000004</v>
      </c>
      <c r="Z13" s="1">
        <v>7.7827999999999999</v>
      </c>
      <c r="AA13" s="1">
        <v>5.1351999999999993</v>
      </c>
      <c r="AB13" s="1">
        <v>8.2263999999999999</v>
      </c>
      <c r="AC13" s="1">
        <v>7.3245999999999993</v>
      </c>
      <c r="AD13" s="1">
        <v>3.8149999999999999</v>
      </c>
      <c r="AE13" s="1">
        <v>11.121600000000001</v>
      </c>
      <c r="AF13" s="1"/>
      <c r="AG13" s="1">
        <f t="shared" si="6"/>
        <v>30</v>
      </c>
      <c r="AH13" s="19">
        <f>T13*G13</f>
        <v>30</v>
      </c>
      <c r="AI13" s="19">
        <f t="shared" si="7"/>
        <v>50</v>
      </c>
      <c r="AJ13" s="19">
        <f>F13*G13</f>
        <v>126.86499999999999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38</v>
      </c>
      <c r="C14" s="1">
        <v>67</v>
      </c>
      <c r="D14" s="1">
        <v>984</v>
      </c>
      <c r="E14" s="1">
        <v>383</v>
      </c>
      <c r="F14" s="19">
        <v>799</v>
      </c>
      <c r="G14" s="8">
        <v>0.4</v>
      </c>
      <c r="H14" s="1">
        <v>60</v>
      </c>
      <c r="I14" s="1" t="s">
        <v>36</v>
      </c>
      <c r="J14" s="1"/>
      <c r="K14" s="1"/>
      <c r="L14" s="1">
        <f t="shared" si="0"/>
        <v>383</v>
      </c>
      <c r="M14" s="1"/>
      <c r="N14" s="1"/>
      <c r="O14" s="1"/>
      <c r="P14" s="1">
        <v>400</v>
      </c>
      <c r="Q14" s="1">
        <f t="shared" si="4"/>
        <v>57</v>
      </c>
      <c r="R14" s="5">
        <f t="shared" si="1"/>
        <v>-2</v>
      </c>
      <c r="S14" s="5">
        <f t="shared" si="5"/>
        <v>200</v>
      </c>
      <c r="T14" s="5">
        <v>200</v>
      </c>
      <c r="U14" s="1"/>
      <c r="V14" s="1">
        <f t="shared" si="2"/>
        <v>21</v>
      </c>
      <c r="W14" s="1">
        <f t="shared" si="3"/>
        <v>21.035087719298247</v>
      </c>
      <c r="X14" s="1">
        <v>51.2</v>
      </c>
      <c r="Y14" s="1">
        <v>57</v>
      </c>
      <c r="Z14" s="1">
        <v>57.2</v>
      </c>
      <c r="AA14" s="1">
        <v>64.400000000000006</v>
      </c>
      <c r="AB14" s="1">
        <v>60</v>
      </c>
      <c r="AC14" s="1">
        <v>64.8</v>
      </c>
      <c r="AD14" s="1">
        <v>50.2</v>
      </c>
      <c r="AE14" s="1">
        <v>77.400000000000006</v>
      </c>
      <c r="AF14" s="1"/>
      <c r="AG14" s="1">
        <f t="shared" si="6"/>
        <v>80</v>
      </c>
      <c r="AH14" s="19">
        <f>T14*G14</f>
        <v>80</v>
      </c>
      <c r="AI14" s="19">
        <f t="shared" si="7"/>
        <v>160</v>
      </c>
      <c r="AJ14" s="19">
        <f>F14*G14</f>
        <v>319.60000000000002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35</v>
      </c>
      <c r="C15" s="1">
        <v>5.7060000000000004</v>
      </c>
      <c r="D15" s="1">
        <v>145.494</v>
      </c>
      <c r="E15" s="1">
        <v>58.244</v>
      </c>
      <c r="F15" s="19">
        <v>107.996</v>
      </c>
      <c r="G15" s="8">
        <v>1</v>
      </c>
      <c r="H15" s="1">
        <v>60</v>
      </c>
      <c r="I15" s="1" t="s">
        <v>36</v>
      </c>
      <c r="J15" s="1"/>
      <c r="K15" s="1"/>
      <c r="L15" s="1">
        <f t="shared" si="0"/>
        <v>58.244</v>
      </c>
      <c r="M15" s="1"/>
      <c r="N15" s="1"/>
      <c r="O15" s="1"/>
      <c r="P15" s="1">
        <v>50</v>
      </c>
      <c r="Q15" s="1">
        <f t="shared" si="4"/>
        <v>10.1762</v>
      </c>
      <c r="R15" s="5">
        <f t="shared" si="1"/>
        <v>55.7042</v>
      </c>
      <c r="S15" s="5">
        <f t="shared" si="5"/>
        <v>50</v>
      </c>
      <c r="T15" s="5">
        <v>50</v>
      </c>
      <c r="U15" s="1"/>
      <c r="V15" s="1">
        <f t="shared" si="2"/>
        <v>21</v>
      </c>
      <c r="W15" s="1">
        <f t="shared" si="3"/>
        <v>15.526031328000627</v>
      </c>
      <c r="X15" s="1">
        <v>-0.82479999999999998</v>
      </c>
      <c r="Y15" s="1">
        <v>10.1762</v>
      </c>
      <c r="Z15" s="1">
        <v>11.0776</v>
      </c>
      <c r="AA15" s="1">
        <v>6.9219999999999997</v>
      </c>
      <c r="AB15" s="1">
        <v>2.5983999999999998</v>
      </c>
      <c r="AC15" s="1">
        <v>3.9805999999999999</v>
      </c>
      <c r="AD15" s="1">
        <v>4.4265999999999996</v>
      </c>
      <c r="AE15" s="1">
        <v>14.9488</v>
      </c>
      <c r="AF15" s="1"/>
      <c r="AG15" s="1">
        <f t="shared" si="6"/>
        <v>50</v>
      </c>
      <c r="AH15" s="19">
        <f>T15*G15</f>
        <v>50</v>
      </c>
      <c r="AI15" s="19">
        <f t="shared" si="7"/>
        <v>50</v>
      </c>
      <c r="AJ15" s="19">
        <f>F15*G15</f>
        <v>107.996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0" t="s">
        <v>50</v>
      </c>
      <c r="B16" s="10" t="s">
        <v>38</v>
      </c>
      <c r="C16" s="10">
        <v>-3</v>
      </c>
      <c r="D16" s="10"/>
      <c r="E16" s="10"/>
      <c r="F16" s="19">
        <v>-3</v>
      </c>
      <c r="G16" s="11">
        <v>0</v>
      </c>
      <c r="H16" s="10"/>
      <c r="I16" s="10" t="s">
        <v>41</v>
      </c>
      <c r="J16" s="10" t="s">
        <v>51</v>
      </c>
      <c r="K16" s="10"/>
      <c r="L16" s="10">
        <f t="shared" si="0"/>
        <v>0</v>
      </c>
      <c r="M16" s="10"/>
      <c r="N16" s="10"/>
      <c r="O16" s="10"/>
      <c r="P16" s="10"/>
      <c r="Q16" s="1">
        <f t="shared" si="4"/>
        <v>0</v>
      </c>
      <c r="R16" s="5">
        <f t="shared" si="1"/>
        <v>3</v>
      </c>
      <c r="S16" s="5">
        <f t="shared" si="5"/>
        <v>0</v>
      </c>
      <c r="T16" s="12"/>
      <c r="U16" s="10"/>
      <c r="V16" s="10" t="e">
        <f t="shared" si="2"/>
        <v>#DIV/0!</v>
      </c>
      <c r="W16" s="10" t="e">
        <f t="shared" si="3"/>
        <v>#DIV/0!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/>
      <c r="AG16" s="1">
        <f t="shared" si="6"/>
        <v>0</v>
      </c>
      <c r="AH16" s="19">
        <f>T16*G16</f>
        <v>0</v>
      </c>
      <c r="AI16" s="19">
        <f t="shared" si="7"/>
        <v>0</v>
      </c>
      <c r="AJ16" s="19">
        <f>F16*G16</f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35</v>
      </c>
      <c r="C17" s="1">
        <v>66.117999999999995</v>
      </c>
      <c r="D17" s="1">
        <v>47.521999999999998</v>
      </c>
      <c r="E17" s="1">
        <v>54.116999999999997</v>
      </c>
      <c r="F17" s="19">
        <v>45.295999999999999</v>
      </c>
      <c r="G17" s="8">
        <v>1</v>
      </c>
      <c r="H17" s="1">
        <v>120</v>
      </c>
      <c r="I17" s="1" t="s">
        <v>36</v>
      </c>
      <c r="J17" s="1"/>
      <c r="K17" s="1"/>
      <c r="L17" s="1">
        <f t="shared" si="0"/>
        <v>54.116999999999997</v>
      </c>
      <c r="M17" s="1"/>
      <c r="N17" s="1"/>
      <c r="O17" s="1"/>
      <c r="P17" s="1">
        <v>60</v>
      </c>
      <c r="Q17" s="1">
        <f t="shared" si="4"/>
        <v>11.061</v>
      </c>
      <c r="R17" s="5">
        <f t="shared" si="1"/>
        <v>126.98500000000001</v>
      </c>
      <c r="S17" s="5">
        <f t="shared" si="5"/>
        <v>50</v>
      </c>
      <c r="T17" s="5">
        <v>50</v>
      </c>
      <c r="U17" s="1"/>
      <c r="V17" s="1">
        <f t="shared" si="2"/>
        <v>21</v>
      </c>
      <c r="W17" s="1">
        <f t="shared" si="3"/>
        <v>9.5195732754723803</v>
      </c>
      <c r="X17" s="1">
        <v>3.4205999999999999</v>
      </c>
      <c r="Y17" s="1">
        <v>11.061</v>
      </c>
      <c r="Z17" s="1">
        <v>5.2569999999999997</v>
      </c>
      <c r="AA17" s="1">
        <v>10.797800000000001</v>
      </c>
      <c r="AB17" s="1">
        <v>7.4238</v>
      </c>
      <c r="AC17" s="1">
        <v>2.2747999999999999</v>
      </c>
      <c r="AD17" s="1">
        <v>3.871</v>
      </c>
      <c r="AE17" s="1">
        <v>4.7553999999999998</v>
      </c>
      <c r="AF17" s="1"/>
      <c r="AG17" s="1">
        <f t="shared" si="6"/>
        <v>50</v>
      </c>
      <c r="AH17" s="19">
        <f>T17*G17</f>
        <v>50</v>
      </c>
      <c r="AI17" s="19">
        <f t="shared" si="7"/>
        <v>60</v>
      </c>
      <c r="AJ17" s="19">
        <f>F17*G17</f>
        <v>45.295999999999999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38</v>
      </c>
      <c r="C18" s="1">
        <v>144</v>
      </c>
      <c r="D18" s="1">
        <v>640</v>
      </c>
      <c r="E18" s="1">
        <v>249</v>
      </c>
      <c r="F18" s="19">
        <v>835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0"/>
        <v>249</v>
      </c>
      <c r="M18" s="1"/>
      <c r="N18" s="1"/>
      <c r="O18" s="1"/>
      <c r="P18" s="1">
        <v>240</v>
      </c>
      <c r="Q18" s="1">
        <f t="shared" si="4"/>
        <v>37.4</v>
      </c>
      <c r="R18" s="5">
        <f t="shared" si="1"/>
        <v>-289.60000000000002</v>
      </c>
      <c r="S18" s="5">
        <f t="shared" si="5"/>
        <v>100</v>
      </c>
      <c r="T18" s="5">
        <v>100</v>
      </c>
      <c r="U18" s="1"/>
      <c r="V18" s="1">
        <f t="shared" si="2"/>
        <v>21</v>
      </c>
      <c r="W18" s="1">
        <f t="shared" si="3"/>
        <v>28.743315508021393</v>
      </c>
      <c r="X18" s="1">
        <v>25.4</v>
      </c>
      <c r="Y18" s="1">
        <v>37.4</v>
      </c>
      <c r="Z18" s="1">
        <v>27.2</v>
      </c>
      <c r="AA18" s="1">
        <v>40</v>
      </c>
      <c r="AB18" s="1">
        <v>34</v>
      </c>
      <c r="AC18" s="1">
        <v>41.4</v>
      </c>
      <c r="AD18" s="1">
        <v>30.6</v>
      </c>
      <c r="AE18" s="1">
        <v>22.6</v>
      </c>
      <c r="AF18" s="17" t="s">
        <v>64</v>
      </c>
      <c r="AG18" s="1">
        <f t="shared" si="6"/>
        <v>25</v>
      </c>
      <c r="AH18" s="19">
        <f>T18*G18</f>
        <v>25</v>
      </c>
      <c r="AI18" s="19">
        <f t="shared" si="7"/>
        <v>60</v>
      </c>
      <c r="AJ18" s="19">
        <f>F18*G18</f>
        <v>208.75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38</v>
      </c>
      <c r="C19" s="1">
        <v>16</v>
      </c>
      <c r="D19" s="1">
        <v>1120</v>
      </c>
      <c r="E19" s="1">
        <v>465</v>
      </c>
      <c r="F19" s="19">
        <v>996</v>
      </c>
      <c r="G19" s="8">
        <v>0.25</v>
      </c>
      <c r="H19" s="1">
        <v>120</v>
      </c>
      <c r="I19" s="1" t="s">
        <v>36</v>
      </c>
      <c r="J19" s="1"/>
      <c r="K19" s="1"/>
      <c r="L19" s="1">
        <f t="shared" si="0"/>
        <v>465</v>
      </c>
      <c r="M19" s="1"/>
      <c r="N19" s="1"/>
      <c r="O19" s="1"/>
      <c r="P19" s="1">
        <v>400</v>
      </c>
      <c r="Q19" s="1">
        <f t="shared" si="4"/>
        <v>68.8</v>
      </c>
      <c r="R19" s="5">
        <f t="shared" si="1"/>
        <v>48.799999999999955</v>
      </c>
      <c r="S19" s="5">
        <f t="shared" si="5"/>
        <v>200</v>
      </c>
      <c r="T19" s="5">
        <v>200</v>
      </c>
      <c r="U19" s="1"/>
      <c r="V19" s="1">
        <f t="shared" si="2"/>
        <v>21</v>
      </c>
      <c r="W19" s="1">
        <f t="shared" si="3"/>
        <v>20.290697674418606</v>
      </c>
      <c r="X19" s="1">
        <v>42.4</v>
      </c>
      <c r="Y19" s="1">
        <v>68.8</v>
      </c>
      <c r="Z19" s="1">
        <v>56.2</v>
      </c>
      <c r="AA19" s="1">
        <v>65.8</v>
      </c>
      <c r="AB19" s="1">
        <v>52.4</v>
      </c>
      <c r="AC19" s="1">
        <v>68.599999999999994</v>
      </c>
      <c r="AD19" s="1">
        <v>48</v>
      </c>
      <c r="AE19" s="1">
        <v>47.2</v>
      </c>
      <c r="AF19" s="1"/>
      <c r="AG19" s="1">
        <f t="shared" si="6"/>
        <v>50</v>
      </c>
      <c r="AH19" s="19">
        <f>T19*G19</f>
        <v>50</v>
      </c>
      <c r="AI19" s="19">
        <f t="shared" si="7"/>
        <v>100</v>
      </c>
      <c r="AJ19" s="19">
        <f>F19*G19</f>
        <v>249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35</v>
      </c>
      <c r="C20" s="1">
        <v>46.505000000000003</v>
      </c>
      <c r="D20" s="1">
        <v>47.71</v>
      </c>
      <c r="E20" s="1">
        <v>77.349000000000004</v>
      </c>
      <c r="F20" s="19">
        <v>12.891</v>
      </c>
      <c r="G20" s="8">
        <v>1</v>
      </c>
      <c r="H20" s="1">
        <v>120</v>
      </c>
      <c r="I20" s="1" t="s">
        <v>36</v>
      </c>
      <c r="J20" s="1"/>
      <c r="K20" s="1"/>
      <c r="L20" s="1">
        <f t="shared" si="0"/>
        <v>77.349000000000004</v>
      </c>
      <c r="M20" s="1"/>
      <c r="N20" s="1"/>
      <c r="O20" s="1"/>
      <c r="P20" s="1">
        <v>50</v>
      </c>
      <c r="Q20" s="1">
        <f t="shared" si="4"/>
        <v>9.9432000000000009</v>
      </c>
      <c r="R20" s="5">
        <f t="shared" si="1"/>
        <v>145.91620000000003</v>
      </c>
      <c r="S20" s="5">
        <f t="shared" si="5"/>
        <v>50</v>
      </c>
      <c r="T20" s="5">
        <v>50</v>
      </c>
      <c r="U20" s="1"/>
      <c r="V20" s="1">
        <f t="shared" si="2"/>
        <v>21</v>
      </c>
      <c r="W20" s="1">
        <f t="shared" si="3"/>
        <v>6.3250261485236132</v>
      </c>
      <c r="X20" s="1">
        <v>5.8616000000000001</v>
      </c>
      <c r="Y20" s="1">
        <v>9.9432000000000009</v>
      </c>
      <c r="Z20" s="1">
        <v>6.5418000000000003</v>
      </c>
      <c r="AA20" s="1">
        <v>5.2915999999999999</v>
      </c>
      <c r="AB20" s="1">
        <v>13.229799999999999</v>
      </c>
      <c r="AC20" s="1">
        <v>4.0868000000000002</v>
      </c>
      <c r="AD20" s="1">
        <v>6.3287999999999993</v>
      </c>
      <c r="AE20" s="1">
        <v>5.9488000000000003</v>
      </c>
      <c r="AF20" s="1"/>
      <c r="AG20" s="1">
        <f t="shared" si="6"/>
        <v>50</v>
      </c>
      <c r="AH20" s="19">
        <f>T20*G20</f>
        <v>50</v>
      </c>
      <c r="AI20" s="19">
        <f t="shared" si="7"/>
        <v>50</v>
      </c>
      <c r="AJ20" s="19">
        <f>F20*G20</f>
        <v>12.891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56</v>
      </c>
      <c r="B21" s="1" t="s">
        <v>38</v>
      </c>
      <c r="C21" s="1">
        <v>114</v>
      </c>
      <c r="D21" s="1">
        <v>720</v>
      </c>
      <c r="E21" s="1">
        <v>265</v>
      </c>
      <c r="F21" s="19">
        <v>990</v>
      </c>
      <c r="G21" s="8">
        <v>0.25</v>
      </c>
      <c r="H21" s="1">
        <v>120</v>
      </c>
      <c r="I21" s="1" t="s">
        <v>36</v>
      </c>
      <c r="J21" s="1"/>
      <c r="K21" s="1"/>
      <c r="L21" s="1">
        <f t="shared" si="0"/>
        <v>265</v>
      </c>
      <c r="M21" s="1"/>
      <c r="N21" s="1"/>
      <c r="O21" s="1"/>
      <c r="P21" s="1">
        <v>240</v>
      </c>
      <c r="Q21" s="1">
        <f t="shared" si="4"/>
        <v>44.2</v>
      </c>
      <c r="R21" s="5">
        <f t="shared" si="1"/>
        <v>-301.79999999999995</v>
      </c>
      <c r="S21" s="5">
        <f t="shared" si="5"/>
        <v>100</v>
      </c>
      <c r="T21" s="5">
        <v>100</v>
      </c>
      <c r="U21" s="1"/>
      <c r="V21" s="1">
        <f t="shared" si="2"/>
        <v>21</v>
      </c>
      <c r="W21" s="1">
        <f t="shared" si="3"/>
        <v>27.828054298642531</v>
      </c>
      <c r="X21" s="1">
        <v>23.4</v>
      </c>
      <c r="Y21" s="1">
        <v>44.2</v>
      </c>
      <c r="Z21" s="1">
        <v>27.2</v>
      </c>
      <c r="AA21" s="1">
        <v>47.4</v>
      </c>
      <c r="AB21" s="1">
        <v>44.4</v>
      </c>
      <c r="AC21" s="1">
        <v>38.200000000000003</v>
      </c>
      <c r="AD21" s="1">
        <v>31.6</v>
      </c>
      <c r="AE21" s="1">
        <v>24.2</v>
      </c>
      <c r="AF21" s="17" t="s">
        <v>64</v>
      </c>
      <c r="AG21" s="1">
        <f t="shared" si="6"/>
        <v>25</v>
      </c>
      <c r="AH21" s="19">
        <f>T21*G21</f>
        <v>25</v>
      </c>
      <c r="AI21" s="19">
        <f t="shared" si="7"/>
        <v>60</v>
      </c>
      <c r="AJ21" s="19">
        <f>F21*G21</f>
        <v>247.5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57</v>
      </c>
      <c r="B22" s="1" t="s">
        <v>35</v>
      </c>
      <c r="C22" s="1">
        <v>31.373999999999999</v>
      </c>
      <c r="D22" s="1">
        <v>48.884</v>
      </c>
      <c r="E22" s="1">
        <v>33.896999999999998</v>
      </c>
      <c r="F22" s="19">
        <v>133.565</v>
      </c>
      <c r="G22" s="8">
        <v>1</v>
      </c>
      <c r="H22" s="1">
        <v>60</v>
      </c>
      <c r="I22" s="1" t="s">
        <v>36</v>
      </c>
      <c r="J22" s="1"/>
      <c r="K22" s="1"/>
      <c r="L22" s="1">
        <f t="shared" si="0"/>
        <v>33.896999999999998</v>
      </c>
      <c r="M22" s="1"/>
      <c r="N22" s="1"/>
      <c r="O22" s="1"/>
      <c r="P22" s="1">
        <v>100</v>
      </c>
      <c r="Q22" s="1">
        <f t="shared" si="4"/>
        <v>8.007200000000001</v>
      </c>
      <c r="R22" s="5">
        <f t="shared" si="1"/>
        <v>-65.413799999999981</v>
      </c>
      <c r="S22" s="5">
        <f t="shared" si="5"/>
        <v>50</v>
      </c>
      <c r="T22" s="5">
        <v>50</v>
      </c>
      <c r="U22" s="1"/>
      <c r="V22" s="1">
        <f t="shared" si="2"/>
        <v>21</v>
      </c>
      <c r="W22" s="1">
        <f t="shared" si="3"/>
        <v>29.169372564691773</v>
      </c>
      <c r="X22" s="1">
        <v>6.4287999999999998</v>
      </c>
      <c r="Y22" s="1">
        <v>8.007200000000001</v>
      </c>
      <c r="Z22" s="1">
        <v>3.8077999999999999</v>
      </c>
      <c r="AA22" s="1">
        <v>4.3731999999999998</v>
      </c>
      <c r="AB22" s="1">
        <v>11.28</v>
      </c>
      <c r="AC22" s="1">
        <v>8.0076000000000001</v>
      </c>
      <c r="AD22" s="1">
        <v>1.0691999999999999</v>
      </c>
      <c r="AE22" s="1">
        <v>0.79239999999999999</v>
      </c>
      <c r="AF22" s="1"/>
      <c r="AG22" s="1">
        <f t="shared" si="6"/>
        <v>50</v>
      </c>
      <c r="AH22" s="19">
        <f>T22*G22</f>
        <v>50</v>
      </c>
      <c r="AI22" s="19">
        <f t="shared" si="7"/>
        <v>100</v>
      </c>
      <c r="AJ22" s="19">
        <f>F22*G22</f>
        <v>133.565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58</v>
      </c>
      <c r="B23" s="1" t="s">
        <v>38</v>
      </c>
      <c r="C23" s="1">
        <v>399</v>
      </c>
      <c r="D23" s="1">
        <v>1200</v>
      </c>
      <c r="E23" s="1">
        <v>339</v>
      </c>
      <c r="F23" s="19">
        <v>1818</v>
      </c>
      <c r="G23" s="8">
        <v>0.4</v>
      </c>
      <c r="H23" s="1">
        <v>60</v>
      </c>
      <c r="I23" s="1" t="s">
        <v>36</v>
      </c>
      <c r="J23" s="1"/>
      <c r="K23" s="1"/>
      <c r="L23" s="1">
        <f t="shared" si="0"/>
        <v>339</v>
      </c>
      <c r="M23" s="1"/>
      <c r="N23" s="1"/>
      <c r="O23" s="1"/>
      <c r="P23" s="1"/>
      <c r="Q23" s="1">
        <f t="shared" si="4"/>
        <v>41.8</v>
      </c>
      <c r="R23" s="5">
        <f t="shared" si="1"/>
        <v>-940.2</v>
      </c>
      <c r="S23" s="5">
        <f t="shared" si="5"/>
        <v>0</v>
      </c>
      <c r="T23" s="5"/>
      <c r="U23" s="1"/>
      <c r="V23" s="1">
        <f t="shared" si="2"/>
        <v>21</v>
      </c>
      <c r="W23" s="1">
        <f t="shared" si="3"/>
        <v>43.492822966507177</v>
      </c>
      <c r="X23" s="1">
        <v>27.8</v>
      </c>
      <c r="Y23" s="1">
        <v>41.8</v>
      </c>
      <c r="Z23" s="1">
        <v>26.4</v>
      </c>
      <c r="AA23" s="1">
        <v>17.2</v>
      </c>
      <c r="AB23" s="1">
        <v>45.4</v>
      </c>
      <c r="AC23" s="1">
        <v>58.8</v>
      </c>
      <c r="AD23" s="1">
        <v>6</v>
      </c>
      <c r="AE23" s="1">
        <v>0</v>
      </c>
      <c r="AF23" s="18" t="s">
        <v>46</v>
      </c>
      <c r="AG23" s="1">
        <f t="shared" si="6"/>
        <v>0</v>
      </c>
      <c r="AH23" s="19">
        <f>T23*G23</f>
        <v>0</v>
      </c>
      <c r="AI23" s="19">
        <f t="shared" si="7"/>
        <v>0</v>
      </c>
      <c r="AJ23" s="19">
        <f>F23*G23</f>
        <v>727.2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0" t="s">
        <v>59</v>
      </c>
      <c r="B24" s="10" t="s">
        <v>38</v>
      </c>
      <c r="C24" s="10">
        <v>-3</v>
      </c>
      <c r="D24" s="10"/>
      <c r="E24" s="10"/>
      <c r="F24" s="19">
        <v>1</v>
      </c>
      <c r="G24" s="11">
        <v>0</v>
      </c>
      <c r="H24" s="10"/>
      <c r="I24" s="10" t="s">
        <v>41</v>
      </c>
      <c r="J24" s="10" t="s">
        <v>60</v>
      </c>
      <c r="K24" s="10"/>
      <c r="L24" s="10">
        <f t="shared" si="0"/>
        <v>0</v>
      </c>
      <c r="M24" s="10"/>
      <c r="N24" s="10"/>
      <c r="O24" s="10"/>
      <c r="P24" s="10"/>
      <c r="Q24" s="1">
        <f t="shared" si="4"/>
        <v>0</v>
      </c>
      <c r="R24" s="5">
        <f t="shared" si="1"/>
        <v>-1</v>
      </c>
      <c r="S24" s="5">
        <f t="shared" si="5"/>
        <v>0</v>
      </c>
      <c r="T24" s="12"/>
      <c r="U24" s="10"/>
      <c r="V24" s="10" t="e">
        <f t="shared" si="2"/>
        <v>#DIV/0!</v>
      </c>
      <c r="W24" s="10" t="e">
        <f t="shared" si="3"/>
        <v>#DIV/0!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/>
      <c r="AG24" s="1">
        <f t="shared" si="6"/>
        <v>0</v>
      </c>
      <c r="AH24" s="19">
        <f>T24*G24</f>
        <v>0</v>
      </c>
      <c r="AI24" s="19">
        <f t="shared" si="7"/>
        <v>0</v>
      </c>
      <c r="AJ24" s="19">
        <f>F24*G24</f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60</v>
      </c>
      <c r="B25" s="1" t="s">
        <v>38</v>
      </c>
      <c r="C25" s="1">
        <v>167</v>
      </c>
      <c r="D25" s="1">
        <v>200</v>
      </c>
      <c r="E25" s="1">
        <v>-5</v>
      </c>
      <c r="F25" s="19">
        <v>626</v>
      </c>
      <c r="G25" s="8">
        <v>0.5</v>
      </c>
      <c r="H25" s="1">
        <v>60</v>
      </c>
      <c r="I25" s="1" t="s">
        <v>36</v>
      </c>
      <c r="J25" s="1"/>
      <c r="K25" s="1"/>
      <c r="L25" s="1">
        <f t="shared" si="0"/>
        <v>-5</v>
      </c>
      <c r="M25" s="1"/>
      <c r="N25" s="1"/>
      <c r="O25" s="1"/>
      <c r="P25" s="1">
        <v>400</v>
      </c>
      <c r="Q25" s="1">
        <f t="shared" si="4"/>
        <v>128.80000000000001</v>
      </c>
      <c r="R25" s="5">
        <f t="shared" si="1"/>
        <v>1678.8000000000002</v>
      </c>
      <c r="S25" s="5">
        <f t="shared" si="5"/>
        <v>200</v>
      </c>
      <c r="T25" s="5">
        <v>200</v>
      </c>
      <c r="U25" s="1"/>
      <c r="V25" s="1">
        <f t="shared" si="2"/>
        <v>21</v>
      </c>
      <c r="W25" s="1">
        <f t="shared" si="3"/>
        <v>7.9658385093167698</v>
      </c>
      <c r="X25" s="1">
        <v>29.4</v>
      </c>
      <c r="Y25" s="1">
        <v>128.80000000000001</v>
      </c>
      <c r="Z25" s="1">
        <v>64.8</v>
      </c>
      <c r="AA25" s="1">
        <v>88.2</v>
      </c>
      <c r="AB25" s="1">
        <v>83</v>
      </c>
      <c r="AC25" s="1">
        <v>82.6</v>
      </c>
      <c r="AD25" s="1">
        <v>68.2</v>
      </c>
      <c r="AE25" s="1">
        <v>110.6</v>
      </c>
      <c r="AF25" s="1"/>
      <c r="AG25" s="1">
        <f t="shared" si="6"/>
        <v>100</v>
      </c>
      <c r="AH25" s="19">
        <f>T25*G25</f>
        <v>100</v>
      </c>
      <c r="AI25" s="19">
        <f t="shared" si="7"/>
        <v>200</v>
      </c>
      <c r="AJ25" s="19">
        <f>F25*G25</f>
        <v>313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61</v>
      </c>
      <c r="B26" s="1" t="s">
        <v>38</v>
      </c>
      <c r="C26" s="1"/>
      <c r="D26" s="1">
        <v>270</v>
      </c>
      <c r="E26" s="1">
        <v>111</v>
      </c>
      <c r="F26" s="19">
        <v>181</v>
      </c>
      <c r="G26" s="8">
        <v>0</v>
      </c>
      <c r="H26" s="1">
        <v>45</v>
      </c>
      <c r="I26" s="1" t="s">
        <v>79</v>
      </c>
      <c r="J26" s="1"/>
      <c r="K26" s="1"/>
      <c r="L26" s="1">
        <f t="shared" si="0"/>
        <v>111</v>
      </c>
      <c r="M26" s="1"/>
      <c r="N26" s="1"/>
      <c r="O26" s="1"/>
      <c r="P26" s="1">
        <v>210</v>
      </c>
      <c r="Q26" s="1">
        <f t="shared" si="4"/>
        <v>22</v>
      </c>
      <c r="R26" s="5">
        <f t="shared" si="1"/>
        <v>71</v>
      </c>
      <c r="S26" s="5">
        <f t="shared" si="5"/>
        <v>0</v>
      </c>
      <c r="T26" s="5"/>
      <c r="U26" s="1" t="s">
        <v>79</v>
      </c>
      <c r="V26" s="1">
        <f t="shared" si="2"/>
        <v>21</v>
      </c>
      <c r="W26" s="1">
        <f t="shared" si="3"/>
        <v>17.772727272727273</v>
      </c>
      <c r="X26" s="1">
        <v>21.2</v>
      </c>
      <c r="Y26" s="1">
        <v>22</v>
      </c>
      <c r="Z26" s="1">
        <v>20.6</v>
      </c>
      <c r="AA26" s="1">
        <v>32.6</v>
      </c>
      <c r="AB26" s="1">
        <v>31.2</v>
      </c>
      <c r="AC26" s="1">
        <v>33.799999999999997</v>
      </c>
      <c r="AD26" s="1">
        <v>7.8</v>
      </c>
      <c r="AE26" s="1">
        <v>34.200000000000003</v>
      </c>
      <c r="AF26" s="1" t="s">
        <v>79</v>
      </c>
      <c r="AG26" s="1">
        <f t="shared" si="6"/>
        <v>0</v>
      </c>
      <c r="AH26" s="19">
        <f>T26*G26</f>
        <v>0</v>
      </c>
      <c r="AI26" s="19">
        <f t="shared" si="7"/>
        <v>0</v>
      </c>
      <c r="AJ26" s="19">
        <f>F26*G26</f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42</v>
      </c>
      <c r="B27" s="1" t="s">
        <v>38</v>
      </c>
      <c r="C27" s="1">
        <v>-5</v>
      </c>
      <c r="D27" s="1">
        <v>560</v>
      </c>
      <c r="E27" s="16">
        <f>314+E9</f>
        <v>316</v>
      </c>
      <c r="F27" s="19">
        <v>706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0"/>
        <v>316</v>
      </c>
      <c r="M27" s="1"/>
      <c r="N27" s="1"/>
      <c r="O27" s="1"/>
      <c r="P27" s="1">
        <v>320</v>
      </c>
      <c r="Q27" s="1">
        <f t="shared" si="4"/>
        <v>59.4</v>
      </c>
      <c r="R27" s="5">
        <f t="shared" si="1"/>
        <v>221.39999999999986</v>
      </c>
      <c r="S27" s="5">
        <f t="shared" si="5"/>
        <v>200</v>
      </c>
      <c r="T27" s="5">
        <v>200</v>
      </c>
      <c r="U27" s="1"/>
      <c r="V27" s="1">
        <f t="shared" si="2"/>
        <v>20.999999999999996</v>
      </c>
      <c r="W27" s="1">
        <f t="shared" si="3"/>
        <v>17.272727272727273</v>
      </c>
      <c r="X27" s="1">
        <v>42.2</v>
      </c>
      <c r="Y27" s="1">
        <v>59.4</v>
      </c>
      <c r="Z27" s="1">
        <v>44.2</v>
      </c>
      <c r="AA27" s="1">
        <v>61.4</v>
      </c>
      <c r="AB27" s="1">
        <v>71.2</v>
      </c>
      <c r="AC27" s="1">
        <v>51.6</v>
      </c>
      <c r="AD27" s="1">
        <v>29.2</v>
      </c>
      <c r="AE27" s="1">
        <v>57.6</v>
      </c>
      <c r="AF27" s="1"/>
      <c r="AG27" s="1">
        <f t="shared" si="6"/>
        <v>66</v>
      </c>
      <c r="AH27" s="19">
        <f>T27*G27</f>
        <v>66</v>
      </c>
      <c r="AI27" s="19">
        <f t="shared" si="7"/>
        <v>105.60000000000001</v>
      </c>
      <c r="AJ27" s="19">
        <f>F27*G27</f>
        <v>232.98000000000002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62</v>
      </c>
      <c r="B28" s="1" t="s">
        <v>38</v>
      </c>
      <c r="C28" s="1">
        <v>187</v>
      </c>
      <c r="D28" s="1">
        <v>80</v>
      </c>
      <c r="E28" s="1">
        <v>212</v>
      </c>
      <c r="F28" s="19">
        <v>-8</v>
      </c>
      <c r="G28" s="8">
        <v>0</v>
      </c>
      <c r="H28" s="1">
        <v>45</v>
      </c>
      <c r="I28" s="1" t="s">
        <v>79</v>
      </c>
      <c r="J28" s="1"/>
      <c r="K28" s="1"/>
      <c r="L28" s="1">
        <f t="shared" si="0"/>
        <v>212</v>
      </c>
      <c r="M28" s="1"/>
      <c r="N28" s="1"/>
      <c r="O28" s="1"/>
      <c r="P28" s="1"/>
      <c r="Q28" s="1">
        <f t="shared" si="4"/>
        <v>25.2</v>
      </c>
      <c r="R28" s="5">
        <f t="shared" si="1"/>
        <v>537.19999999999993</v>
      </c>
      <c r="S28" s="5">
        <f t="shared" si="5"/>
        <v>0</v>
      </c>
      <c r="T28" s="5"/>
      <c r="U28" s="1" t="s">
        <v>79</v>
      </c>
      <c r="V28" s="1">
        <f t="shared" si="2"/>
        <v>20.999999999999996</v>
      </c>
      <c r="W28" s="1">
        <f t="shared" si="3"/>
        <v>-0.31746031746031744</v>
      </c>
      <c r="X28" s="1">
        <v>23.4</v>
      </c>
      <c r="Y28" s="1">
        <v>25.2</v>
      </c>
      <c r="Z28" s="1">
        <v>23.4</v>
      </c>
      <c r="AA28" s="1">
        <v>31.8</v>
      </c>
      <c r="AB28" s="1">
        <v>35.6</v>
      </c>
      <c r="AC28" s="1">
        <v>47.6</v>
      </c>
      <c r="AD28" s="1">
        <v>1.4</v>
      </c>
      <c r="AE28" s="1">
        <v>0</v>
      </c>
      <c r="AF28" s="1" t="s">
        <v>79</v>
      </c>
      <c r="AG28" s="1">
        <f t="shared" si="6"/>
        <v>0</v>
      </c>
      <c r="AH28" s="19">
        <f>T28*G28</f>
        <v>0</v>
      </c>
      <c r="AI28" s="19">
        <f t="shared" si="7"/>
        <v>0</v>
      </c>
      <c r="AJ28" s="19">
        <f>F28*G28</f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63</v>
      </c>
      <c r="B29" s="1" t="s">
        <v>38</v>
      </c>
      <c r="C29" s="1">
        <v>87</v>
      </c>
      <c r="D29" s="1">
        <v>120</v>
      </c>
      <c r="E29" s="1">
        <v>94</v>
      </c>
      <c r="F29" s="19">
        <v>218</v>
      </c>
      <c r="G29" s="8">
        <v>0.4</v>
      </c>
      <c r="H29" s="1">
        <v>45</v>
      </c>
      <c r="I29" s="1" t="s">
        <v>36</v>
      </c>
      <c r="J29" s="1"/>
      <c r="K29" s="1"/>
      <c r="L29" s="1">
        <f t="shared" si="0"/>
        <v>94</v>
      </c>
      <c r="M29" s="1"/>
      <c r="N29" s="1"/>
      <c r="O29" s="1"/>
      <c r="P29" s="1">
        <v>160</v>
      </c>
      <c r="Q29" s="1">
        <f t="shared" si="4"/>
        <v>18.2</v>
      </c>
      <c r="R29" s="5">
        <f t="shared" si="1"/>
        <v>4.1999999999999886</v>
      </c>
      <c r="S29" s="5">
        <f t="shared" si="5"/>
        <v>120</v>
      </c>
      <c r="T29" s="5">
        <v>120</v>
      </c>
      <c r="U29" s="1"/>
      <c r="V29" s="1">
        <f t="shared" si="2"/>
        <v>21</v>
      </c>
      <c r="W29" s="1">
        <f t="shared" si="3"/>
        <v>20.76923076923077</v>
      </c>
      <c r="X29" s="1">
        <v>12.6</v>
      </c>
      <c r="Y29" s="1">
        <v>18.2</v>
      </c>
      <c r="Z29" s="1">
        <v>20</v>
      </c>
      <c r="AA29" s="1">
        <v>31</v>
      </c>
      <c r="AB29" s="1">
        <v>24.2</v>
      </c>
      <c r="AC29" s="1">
        <v>32.4</v>
      </c>
      <c r="AD29" s="1">
        <v>19.8</v>
      </c>
      <c r="AE29" s="1">
        <v>36.799999999999997</v>
      </c>
      <c r="AF29" s="1"/>
      <c r="AG29" s="1">
        <f t="shared" si="6"/>
        <v>48</v>
      </c>
      <c r="AH29" s="19">
        <f>T29*G29</f>
        <v>48</v>
      </c>
      <c r="AI29" s="19">
        <f t="shared" si="7"/>
        <v>64</v>
      </c>
      <c r="AJ29" s="19">
        <f>F29*G29</f>
        <v>87.2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35</v>
      </c>
      <c r="C30" s="1">
        <v>10.795999999999999</v>
      </c>
      <c r="D30" s="1">
        <v>711.58699999999999</v>
      </c>
      <c r="E30" s="1">
        <v>286.36599999999999</v>
      </c>
      <c r="F30" s="19">
        <v>373.54700000000003</v>
      </c>
      <c r="G30" s="8">
        <v>1</v>
      </c>
      <c r="H30" s="1">
        <v>60</v>
      </c>
      <c r="I30" s="1" t="s">
        <v>36</v>
      </c>
      <c r="J30" s="1"/>
      <c r="K30" s="1"/>
      <c r="L30" s="1">
        <f t="shared" si="0"/>
        <v>286.36599999999999</v>
      </c>
      <c r="M30" s="1"/>
      <c r="N30" s="1"/>
      <c r="O30" s="1"/>
      <c r="P30" s="1">
        <v>200</v>
      </c>
      <c r="Q30" s="1">
        <f t="shared" si="4"/>
        <v>36.903599999999997</v>
      </c>
      <c r="R30" s="5">
        <f t="shared" si="1"/>
        <v>201.42859999999996</v>
      </c>
      <c r="S30" s="5">
        <f t="shared" si="5"/>
        <v>200</v>
      </c>
      <c r="T30" s="5">
        <v>200</v>
      </c>
      <c r="U30" s="1"/>
      <c r="V30" s="1">
        <f t="shared" si="2"/>
        <v>21</v>
      </c>
      <c r="W30" s="1">
        <f t="shared" si="3"/>
        <v>15.541762863243695</v>
      </c>
      <c r="X30" s="1">
        <v>31.8858</v>
      </c>
      <c r="Y30" s="1">
        <v>36.903599999999997</v>
      </c>
      <c r="Z30" s="1">
        <v>42.125799999999998</v>
      </c>
      <c r="AA30" s="1">
        <v>45.726999999999997</v>
      </c>
      <c r="AB30" s="1">
        <v>51.441999999999993</v>
      </c>
      <c r="AC30" s="1">
        <v>32.028399999999998</v>
      </c>
      <c r="AD30" s="1">
        <v>39.184199999999997</v>
      </c>
      <c r="AE30" s="1">
        <v>48.998199999999997</v>
      </c>
      <c r="AF30" s="1"/>
      <c r="AG30" s="1">
        <f t="shared" si="6"/>
        <v>200</v>
      </c>
      <c r="AH30" s="19">
        <f>T30*G30</f>
        <v>200</v>
      </c>
      <c r="AI30" s="19">
        <f t="shared" si="7"/>
        <v>200</v>
      </c>
      <c r="AJ30" s="19">
        <f>F30*G30</f>
        <v>373.54700000000003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66</v>
      </c>
      <c r="B31" s="1" t="s">
        <v>38</v>
      </c>
      <c r="C31" s="1"/>
      <c r="D31" s="1">
        <v>240</v>
      </c>
      <c r="E31" s="1">
        <v>106</v>
      </c>
      <c r="F31" s="19">
        <v>289</v>
      </c>
      <c r="G31" s="8">
        <v>0.3</v>
      </c>
      <c r="H31" s="1">
        <v>60</v>
      </c>
      <c r="I31" s="1" t="s">
        <v>36</v>
      </c>
      <c r="J31" s="1"/>
      <c r="K31" s="1"/>
      <c r="L31" s="1">
        <f t="shared" si="0"/>
        <v>106</v>
      </c>
      <c r="M31" s="1"/>
      <c r="N31" s="1"/>
      <c r="O31" s="1"/>
      <c r="P31" s="1">
        <v>160</v>
      </c>
      <c r="Q31" s="1">
        <f t="shared" si="4"/>
        <v>29</v>
      </c>
      <c r="R31" s="5">
        <f t="shared" si="1"/>
        <v>160</v>
      </c>
      <c r="S31" s="5">
        <f t="shared" si="5"/>
        <v>100</v>
      </c>
      <c r="T31" s="5">
        <v>100</v>
      </c>
      <c r="U31" s="1"/>
      <c r="V31" s="1">
        <f t="shared" si="2"/>
        <v>21</v>
      </c>
      <c r="W31" s="1">
        <f t="shared" si="3"/>
        <v>15.482758620689655</v>
      </c>
      <c r="X31" s="1">
        <v>-0.4</v>
      </c>
      <c r="Y31" s="1">
        <v>29</v>
      </c>
      <c r="Z31" s="1">
        <v>27.6</v>
      </c>
      <c r="AA31" s="1">
        <v>21.2</v>
      </c>
      <c r="AB31" s="1">
        <v>28.4</v>
      </c>
      <c r="AC31" s="1">
        <v>19.600000000000001</v>
      </c>
      <c r="AD31" s="1">
        <v>16</v>
      </c>
      <c r="AE31" s="1">
        <v>17.8</v>
      </c>
      <c r="AF31" s="1"/>
      <c r="AG31" s="1">
        <f t="shared" si="6"/>
        <v>30</v>
      </c>
      <c r="AH31" s="19">
        <f>T31*G31</f>
        <v>30</v>
      </c>
      <c r="AI31" s="19">
        <f t="shared" si="7"/>
        <v>48</v>
      </c>
      <c r="AJ31" s="19">
        <f>F31*G31</f>
        <v>86.7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51</v>
      </c>
      <c r="B32" s="1" t="s">
        <v>38</v>
      </c>
      <c r="C32" s="1">
        <v>6</v>
      </c>
      <c r="D32" s="1">
        <v>400</v>
      </c>
      <c r="E32" s="1">
        <v>173</v>
      </c>
      <c r="F32" s="19">
        <v>406</v>
      </c>
      <c r="G32" s="8">
        <v>0.41</v>
      </c>
      <c r="H32" s="1">
        <v>50</v>
      </c>
      <c r="I32" s="1" t="s">
        <v>36</v>
      </c>
      <c r="J32" s="1"/>
      <c r="K32" s="1"/>
      <c r="L32" s="1">
        <f t="shared" si="0"/>
        <v>173</v>
      </c>
      <c r="M32" s="1"/>
      <c r="N32" s="1"/>
      <c r="O32" s="1"/>
      <c r="P32" s="1">
        <v>200</v>
      </c>
      <c r="Q32" s="1">
        <f t="shared" si="4"/>
        <v>36.200000000000003</v>
      </c>
      <c r="R32" s="5">
        <f t="shared" si="1"/>
        <v>154.20000000000005</v>
      </c>
      <c r="S32" s="5">
        <f t="shared" si="5"/>
        <v>160</v>
      </c>
      <c r="T32" s="5">
        <v>160</v>
      </c>
      <c r="U32" s="1"/>
      <c r="V32" s="1">
        <f t="shared" si="2"/>
        <v>21</v>
      </c>
      <c r="W32" s="1">
        <f t="shared" si="3"/>
        <v>16.740331491712706</v>
      </c>
      <c r="X32" s="1">
        <v>20</v>
      </c>
      <c r="Y32" s="1">
        <v>36.200000000000003</v>
      </c>
      <c r="Z32" s="1">
        <v>26.6</v>
      </c>
      <c r="AA32" s="1">
        <v>43</v>
      </c>
      <c r="AB32" s="1">
        <v>26.8</v>
      </c>
      <c r="AC32" s="1">
        <v>33.6</v>
      </c>
      <c r="AD32" s="1">
        <v>20.8</v>
      </c>
      <c r="AE32" s="1">
        <v>40.200000000000003</v>
      </c>
      <c r="AF32" s="1"/>
      <c r="AG32" s="1">
        <f t="shared" si="6"/>
        <v>65.599999999999994</v>
      </c>
      <c r="AH32" s="19">
        <f>T32*G32</f>
        <v>65.599999999999994</v>
      </c>
      <c r="AI32" s="19">
        <f t="shared" si="7"/>
        <v>82</v>
      </c>
      <c r="AJ32" s="19">
        <f>F32*G32</f>
        <v>166.45999999999998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s="28" customFormat="1" x14ac:dyDescent="0.25">
      <c r="A33" s="24" t="s">
        <v>67</v>
      </c>
      <c r="B33" s="24" t="s">
        <v>35</v>
      </c>
      <c r="C33" s="24">
        <v>312.83100000000002</v>
      </c>
      <c r="D33" s="24">
        <v>669.23</v>
      </c>
      <c r="E33" s="24">
        <v>478.14800000000002</v>
      </c>
      <c r="F33" s="25">
        <v>370.084</v>
      </c>
      <c r="G33" s="26">
        <v>0</v>
      </c>
      <c r="H33" s="24">
        <v>50</v>
      </c>
      <c r="I33" s="24" t="s">
        <v>94</v>
      </c>
      <c r="J33" s="24"/>
      <c r="K33" s="24"/>
      <c r="L33" s="24">
        <f t="shared" si="0"/>
        <v>478.14800000000002</v>
      </c>
      <c r="M33" s="24"/>
      <c r="N33" s="24"/>
      <c r="O33" s="24"/>
      <c r="P33" s="24">
        <v>300</v>
      </c>
      <c r="Q33" s="1">
        <f t="shared" si="4"/>
        <v>65.309400000000011</v>
      </c>
      <c r="R33" s="27">
        <f t="shared" si="1"/>
        <v>701.41340000000014</v>
      </c>
      <c r="S33" s="5">
        <f t="shared" si="5"/>
        <v>0</v>
      </c>
      <c r="T33" s="27"/>
      <c r="U33" s="24" t="s">
        <v>91</v>
      </c>
      <c r="V33" s="24">
        <f t="shared" si="2"/>
        <v>21</v>
      </c>
      <c r="W33" s="24">
        <f t="shared" si="3"/>
        <v>10.260146318906619</v>
      </c>
      <c r="X33" s="24">
        <v>78.678399999999996</v>
      </c>
      <c r="Y33" s="24">
        <v>65.309400000000011</v>
      </c>
      <c r="Z33" s="24">
        <v>62.679200000000002</v>
      </c>
      <c r="AA33" s="24">
        <v>68.656800000000004</v>
      </c>
      <c r="AB33" s="24">
        <v>94.631600000000006</v>
      </c>
      <c r="AC33" s="24">
        <v>60.880999999999993</v>
      </c>
      <c r="AD33" s="24">
        <v>81.591200000000001</v>
      </c>
      <c r="AE33" s="24">
        <v>92.709400000000002</v>
      </c>
      <c r="AF33" s="24" t="s">
        <v>95</v>
      </c>
      <c r="AG33" s="1">
        <f t="shared" si="6"/>
        <v>0</v>
      </c>
      <c r="AH33" s="25">
        <f>T33*G33</f>
        <v>0</v>
      </c>
      <c r="AI33" s="25">
        <f t="shared" si="7"/>
        <v>0</v>
      </c>
      <c r="AJ33" s="19">
        <f>F33*G33</f>
        <v>0</v>
      </c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</row>
    <row r="34" spans="1:51" x14ac:dyDescent="0.25">
      <c r="A34" s="1" t="s">
        <v>68</v>
      </c>
      <c r="B34" s="1" t="s">
        <v>35</v>
      </c>
      <c r="C34" s="1">
        <v>5.5659999999999998</v>
      </c>
      <c r="D34" s="1">
        <v>309.339</v>
      </c>
      <c r="E34" s="1">
        <v>168.82300000000001</v>
      </c>
      <c r="F34" s="19">
        <v>239.83799999999999</v>
      </c>
      <c r="G34" s="8">
        <v>1</v>
      </c>
      <c r="H34" s="1">
        <v>50</v>
      </c>
      <c r="I34" s="1" t="s">
        <v>36</v>
      </c>
      <c r="J34" s="1"/>
      <c r="K34" s="1"/>
      <c r="L34" s="1">
        <f t="shared" si="0"/>
        <v>168.82300000000001</v>
      </c>
      <c r="M34" s="1"/>
      <c r="N34" s="1"/>
      <c r="O34" s="1"/>
      <c r="P34" s="1">
        <v>150</v>
      </c>
      <c r="Q34" s="1">
        <f t="shared" si="4"/>
        <v>25.52</v>
      </c>
      <c r="R34" s="5">
        <f t="shared" si="1"/>
        <v>146.08199999999997</v>
      </c>
      <c r="S34" s="5">
        <f t="shared" si="5"/>
        <v>150</v>
      </c>
      <c r="T34" s="5">
        <v>150</v>
      </c>
      <c r="U34" s="1"/>
      <c r="V34" s="1">
        <f t="shared" si="2"/>
        <v>21</v>
      </c>
      <c r="W34" s="1">
        <f t="shared" si="3"/>
        <v>15.275783699059559</v>
      </c>
      <c r="X34" s="1">
        <v>21.434799999999999</v>
      </c>
      <c r="Y34" s="1">
        <v>25.52</v>
      </c>
      <c r="Z34" s="1">
        <v>27.374400000000001</v>
      </c>
      <c r="AA34" s="1">
        <v>26.291599999999999</v>
      </c>
      <c r="AB34" s="1">
        <v>25.154199999999999</v>
      </c>
      <c r="AC34" s="1">
        <v>26.1296</v>
      </c>
      <c r="AD34" s="1">
        <v>25.888999999999999</v>
      </c>
      <c r="AE34" s="1">
        <v>25.126200000000001</v>
      </c>
      <c r="AF34" s="1"/>
      <c r="AG34" s="1">
        <f t="shared" si="6"/>
        <v>150</v>
      </c>
      <c r="AH34" s="19">
        <f>T34*G34</f>
        <v>150</v>
      </c>
      <c r="AI34" s="19">
        <f t="shared" si="7"/>
        <v>150</v>
      </c>
      <c r="AJ34" s="19">
        <f>F34*G34</f>
        <v>239.83799999999999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69</v>
      </c>
      <c r="B35" s="1" t="s">
        <v>38</v>
      </c>
      <c r="C35" s="1">
        <v>9</v>
      </c>
      <c r="D35" s="1">
        <v>440</v>
      </c>
      <c r="E35" s="1">
        <v>303</v>
      </c>
      <c r="F35" s="19">
        <v>258</v>
      </c>
      <c r="G35" s="8">
        <v>0.4</v>
      </c>
      <c r="H35" s="1">
        <v>50</v>
      </c>
      <c r="I35" s="1" t="s">
        <v>36</v>
      </c>
      <c r="J35" s="1"/>
      <c r="K35" s="1"/>
      <c r="L35" s="1">
        <f t="shared" si="0"/>
        <v>303</v>
      </c>
      <c r="M35" s="1"/>
      <c r="N35" s="1"/>
      <c r="O35" s="1"/>
      <c r="P35" s="1">
        <v>240</v>
      </c>
      <c r="Q35" s="1">
        <f t="shared" si="4"/>
        <v>49.6</v>
      </c>
      <c r="R35" s="5">
        <f t="shared" si="1"/>
        <v>543.60000000000014</v>
      </c>
      <c r="S35" s="5">
        <f t="shared" si="5"/>
        <v>200</v>
      </c>
      <c r="T35" s="5">
        <v>200</v>
      </c>
      <c r="U35" s="1"/>
      <c r="V35" s="1">
        <f t="shared" si="2"/>
        <v>21.000000000000004</v>
      </c>
      <c r="W35" s="1">
        <f t="shared" si="3"/>
        <v>10.04032258064516</v>
      </c>
      <c r="X35" s="1">
        <v>24.2</v>
      </c>
      <c r="Y35" s="1">
        <v>49.6</v>
      </c>
      <c r="Z35" s="1">
        <v>38</v>
      </c>
      <c r="AA35" s="1">
        <v>53</v>
      </c>
      <c r="AB35" s="1">
        <v>40.4</v>
      </c>
      <c r="AC35" s="1">
        <v>51</v>
      </c>
      <c r="AD35" s="1">
        <v>7.2</v>
      </c>
      <c r="AE35" s="1">
        <v>49.8</v>
      </c>
      <c r="AF35" s="1"/>
      <c r="AG35" s="1">
        <f t="shared" si="6"/>
        <v>80</v>
      </c>
      <c r="AH35" s="19">
        <f>T35*G35</f>
        <v>80</v>
      </c>
      <c r="AI35" s="19">
        <f t="shared" si="7"/>
        <v>96</v>
      </c>
      <c r="AJ35" s="19">
        <f>F35*G35</f>
        <v>103.2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70</v>
      </c>
      <c r="B36" s="1" t="s">
        <v>38</v>
      </c>
      <c r="C36" s="1">
        <v>116</v>
      </c>
      <c r="D36" s="1">
        <v>250</v>
      </c>
      <c r="E36" s="1">
        <v>128</v>
      </c>
      <c r="F36" s="19">
        <v>12</v>
      </c>
      <c r="G36" s="8">
        <v>0.18</v>
      </c>
      <c r="H36" s="1">
        <v>50</v>
      </c>
      <c r="I36" s="1" t="s">
        <v>36</v>
      </c>
      <c r="J36" s="1"/>
      <c r="K36" s="1"/>
      <c r="L36" s="1">
        <f t="shared" si="0"/>
        <v>128</v>
      </c>
      <c r="M36" s="1"/>
      <c r="N36" s="1"/>
      <c r="O36" s="1"/>
      <c r="P36" s="1">
        <v>200</v>
      </c>
      <c r="Q36" s="1">
        <f t="shared" si="4"/>
        <v>10.8</v>
      </c>
      <c r="R36" s="5">
        <f t="shared" si="1"/>
        <v>14.800000000000011</v>
      </c>
      <c r="S36" s="5">
        <f t="shared" si="5"/>
        <v>200</v>
      </c>
      <c r="T36" s="5">
        <v>200</v>
      </c>
      <c r="U36" s="1"/>
      <c r="V36" s="1">
        <f t="shared" si="2"/>
        <v>21</v>
      </c>
      <c r="W36" s="1">
        <f t="shared" si="3"/>
        <v>19.62962962962963</v>
      </c>
      <c r="X36" s="1">
        <v>-6.8</v>
      </c>
      <c r="Y36" s="1">
        <v>10.8</v>
      </c>
      <c r="Z36" s="1">
        <v>56.2</v>
      </c>
      <c r="AA36" s="1">
        <v>39</v>
      </c>
      <c r="AB36" s="1">
        <v>33.799999999999997</v>
      </c>
      <c r="AC36" s="1">
        <v>35.4</v>
      </c>
      <c r="AD36" s="1">
        <v>15.4</v>
      </c>
      <c r="AE36" s="1">
        <v>37.6</v>
      </c>
      <c r="AF36" s="1"/>
      <c r="AG36" s="1">
        <f t="shared" si="6"/>
        <v>36</v>
      </c>
      <c r="AH36" s="19">
        <f>T36*G36</f>
        <v>36</v>
      </c>
      <c r="AI36" s="19">
        <f t="shared" si="7"/>
        <v>36</v>
      </c>
      <c r="AJ36" s="19">
        <f>F36*G36</f>
        <v>2.16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71</v>
      </c>
      <c r="B37" s="1" t="s">
        <v>38</v>
      </c>
      <c r="C37" s="1">
        <v>49</v>
      </c>
      <c r="D37" s="1">
        <v>3900</v>
      </c>
      <c r="E37" s="1">
        <v>2254</v>
      </c>
      <c r="F37" s="19">
        <v>2252</v>
      </c>
      <c r="G37" s="8">
        <v>0.3</v>
      </c>
      <c r="H37" s="1">
        <v>50</v>
      </c>
      <c r="I37" s="1" t="s">
        <v>36</v>
      </c>
      <c r="J37" s="1"/>
      <c r="K37" s="1"/>
      <c r="L37" s="1">
        <f t="shared" si="0"/>
        <v>2254</v>
      </c>
      <c r="M37" s="1"/>
      <c r="N37" s="1"/>
      <c r="O37" s="1"/>
      <c r="P37" s="1">
        <v>1600</v>
      </c>
      <c r="Q37" s="1">
        <f t="shared" si="4"/>
        <v>287.60000000000002</v>
      </c>
      <c r="R37" s="5">
        <f t="shared" si="1"/>
        <v>2187.6000000000004</v>
      </c>
      <c r="S37" s="5">
        <f t="shared" si="5"/>
        <v>1000</v>
      </c>
      <c r="T37" s="5">
        <v>1000</v>
      </c>
      <c r="U37" s="1"/>
      <c r="V37" s="1">
        <f t="shared" si="2"/>
        <v>21</v>
      </c>
      <c r="W37" s="1">
        <f t="shared" si="3"/>
        <v>13.393602225312934</v>
      </c>
      <c r="X37" s="1">
        <v>234</v>
      </c>
      <c r="Y37" s="1">
        <v>287.60000000000002</v>
      </c>
      <c r="Z37" s="1">
        <v>311</v>
      </c>
      <c r="AA37" s="1">
        <v>335.8</v>
      </c>
      <c r="AB37" s="1">
        <v>282.60000000000002</v>
      </c>
      <c r="AC37" s="1">
        <v>283.39999999999998</v>
      </c>
      <c r="AD37" s="1">
        <v>202.8</v>
      </c>
      <c r="AE37" s="1">
        <v>293.39999999999998</v>
      </c>
      <c r="AF37" s="1"/>
      <c r="AG37" s="1">
        <f t="shared" si="6"/>
        <v>300</v>
      </c>
      <c r="AH37" s="19">
        <f>T37*G37</f>
        <v>300</v>
      </c>
      <c r="AI37" s="19">
        <f t="shared" si="7"/>
        <v>480</v>
      </c>
      <c r="AJ37" s="19">
        <f>F37*G37</f>
        <v>675.6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72</v>
      </c>
      <c r="B38" s="1" t="s">
        <v>38</v>
      </c>
      <c r="C38" s="1">
        <v>4</v>
      </c>
      <c r="D38" s="1">
        <v>680</v>
      </c>
      <c r="E38" s="1">
        <v>286</v>
      </c>
      <c r="F38" s="19">
        <v>911</v>
      </c>
      <c r="G38" s="8">
        <v>0.28000000000000003</v>
      </c>
      <c r="H38" s="1">
        <v>50</v>
      </c>
      <c r="I38" s="1" t="s">
        <v>36</v>
      </c>
      <c r="J38" s="1"/>
      <c r="K38" s="1"/>
      <c r="L38" s="1">
        <f t="shared" si="0"/>
        <v>286</v>
      </c>
      <c r="M38" s="1"/>
      <c r="N38" s="1"/>
      <c r="O38" s="1"/>
      <c r="P38" s="1">
        <v>280</v>
      </c>
      <c r="Q38" s="1">
        <f t="shared" si="4"/>
        <v>33</v>
      </c>
      <c r="R38" s="5">
        <f t="shared" si="1"/>
        <v>-498</v>
      </c>
      <c r="S38" s="5">
        <f t="shared" si="5"/>
        <v>120</v>
      </c>
      <c r="T38" s="5">
        <v>120</v>
      </c>
      <c r="U38" s="1"/>
      <c r="V38" s="1">
        <f t="shared" si="2"/>
        <v>21</v>
      </c>
      <c r="W38" s="1">
        <f t="shared" si="3"/>
        <v>36.090909090909093</v>
      </c>
      <c r="X38" s="1">
        <v>20.399999999999999</v>
      </c>
      <c r="Y38" s="1">
        <v>33</v>
      </c>
      <c r="Z38" s="1">
        <v>39</v>
      </c>
      <c r="AA38" s="1">
        <v>44.6</v>
      </c>
      <c r="AB38" s="1">
        <v>25.2</v>
      </c>
      <c r="AC38" s="1">
        <v>41.6</v>
      </c>
      <c r="AD38" s="1">
        <v>41</v>
      </c>
      <c r="AE38" s="1">
        <v>48</v>
      </c>
      <c r="AF38" s="1"/>
      <c r="AG38" s="1">
        <f t="shared" si="6"/>
        <v>33.6</v>
      </c>
      <c r="AH38" s="19">
        <f>T38*G38</f>
        <v>33.6</v>
      </c>
      <c r="AI38" s="19">
        <f t="shared" si="7"/>
        <v>78.400000000000006</v>
      </c>
      <c r="AJ38" s="19">
        <f>F38*G38</f>
        <v>255.08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3" t="s">
        <v>73</v>
      </c>
      <c r="B39" s="13" t="s">
        <v>38</v>
      </c>
      <c r="C39" s="13">
        <v>-126</v>
      </c>
      <c r="D39" s="13"/>
      <c r="E39" s="13"/>
      <c r="F39" s="19"/>
      <c r="G39" s="14">
        <v>0</v>
      </c>
      <c r="H39" s="13"/>
      <c r="I39" s="13" t="s">
        <v>74</v>
      </c>
      <c r="J39" s="13" t="s">
        <v>60</v>
      </c>
      <c r="K39" s="13"/>
      <c r="L39" s="13">
        <f t="shared" si="0"/>
        <v>0</v>
      </c>
      <c r="M39" s="13"/>
      <c r="N39" s="13"/>
      <c r="O39" s="13"/>
      <c r="P39" s="13"/>
      <c r="Q39" s="1">
        <f t="shared" si="4"/>
        <v>17.2</v>
      </c>
      <c r="R39" s="15"/>
      <c r="S39" s="5">
        <f t="shared" si="5"/>
        <v>0</v>
      </c>
      <c r="T39" s="15"/>
      <c r="U39" s="13"/>
      <c r="V39" s="13">
        <f t="shared" si="2"/>
        <v>0</v>
      </c>
      <c r="W39" s="13">
        <f t="shared" si="3"/>
        <v>0</v>
      </c>
      <c r="X39" s="13">
        <v>0</v>
      </c>
      <c r="Y39" s="13">
        <v>17.2</v>
      </c>
      <c r="Z39" s="13">
        <v>5.4</v>
      </c>
      <c r="AA39" s="13">
        <v>2.6</v>
      </c>
      <c r="AB39" s="13">
        <v>0</v>
      </c>
      <c r="AC39" s="13">
        <v>0</v>
      </c>
      <c r="AD39" s="13">
        <v>0</v>
      </c>
      <c r="AE39" s="13">
        <v>0</v>
      </c>
      <c r="AF39" s="13"/>
      <c r="AG39" s="1">
        <f t="shared" si="6"/>
        <v>0</v>
      </c>
      <c r="AH39" s="19">
        <f>T39*G39</f>
        <v>0</v>
      </c>
      <c r="AI39" s="19">
        <f t="shared" si="7"/>
        <v>0</v>
      </c>
      <c r="AJ39" s="19">
        <f>F39*G39</f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3" t="s">
        <v>75</v>
      </c>
      <c r="B40" s="13" t="s">
        <v>38</v>
      </c>
      <c r="C40" s="13">
        <v>-104</v>
      </c>
      <c r="D40" s="13"/>
      <c r="E40" s="13"/>
      <c r="F40" s="19"/>
      <c r="G40" s="14">
        <v>0</v>
      </c>
      <c r="H40" s="13"/>
      <c r="I40" s="13" t="s">
        <v>74</v>
      </c>
      <c r="J40" s="13" t="s">
        <v>70</v>
      </c>
      <c r="K40" s="13"/>
      <c r="L40" s="13">
        <f t="shared" si="0"/>
        <v>0</v>
      </c>
      <c r="M40" s="13"/>
      <c r="N40" s="13"/>
      <c r="O40" s="13"/>
      <c r="P40" s="13"/>
      <c r="Q40" s="1">
        <f t="shared" si="4"/>
        <v>0</v>
      </c>
      <c r="R40" s="15"/>
      <c r="S40" s="5">
        <f t="shared" si="5"/>
        <v>0</v>
      </c>
      <c r="T40" s="15"/>
      <c r="U40" s="13"/>
      <c r="V40" s="13" t="e">
        <f t="shared" si="2"/>
        <v>#DIV/0!</v>
      </c>
      <c r="W40" s="13" t="e">
        <f t="shared" si="3"/>
        <v>#DIV/0!</v>
      </c>
      <c r="X40" s="13">
        <v>0</v>
      </c>
      <c r="Y40" s="13">
        <v>0</v>
      </c>
      <c r="Z40" s="13">
        <v>15.6</v>
      </c>
      <c r="AA40" s="13">
        <v>7.6</v>
      </c>
      <c r="AB40" s="13">
        <v>0</v>
      </c>
      <c r="AC40" s="13">
        <v>0</v>
      </c>
      <c r="AD40" s="13">
        <v>0</v>
      </c>
      <c r="AE40" s="13">
        <v>0</v>
      </c>
      <c r="AF40" s="13"/>
      <c r="AG40" s="1">
        <f t="shared" si="6"/>
        <v>0</v>
      </c>
      <c r="AH40" s="19">
        <f>T40*G40</f>
        <v>0</v>
      </c>
      <c r="AI40" s="19">
        <f t="shared" si="7"/>
        <v>0</v>
      </c>
      <c r="AJ40" s="19">
        <f>F40*G40</f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/>
      <c r="C41" s="1"/>
      <c r="D41" s="1"/>
      <c r="E41" s="1"/>
      <c r="F41" s="19"/>
      <c r="G41" s="8">
        <v>1</v>
      </c>
      <c r="H41" s="1"/>
      <c r="I41" s="1">
        <v>1001022377070</v>
      </c>
      <c r="J41" s="1"/>
      <c r="K41" s="1"/>
      <c r="L41" s="1"/>
      <c r="M41" s="1"/>
      <c r="N41" s="1"/>
      <c r="O41" s="1"/>
      <c r="P41" s="1"/>
      <c r="Q41" s="1"/>
      <c r="R41" s="1"/>
      <c r="S41" s="5">
        <f t="shared" si="5"/>
        <v>400</v>
      </c>
      <c r="T41" s="5">
        <v>400</v>
      </c>
      <c r="U41" s="1" t="s">
        <v>92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s">
        <v>96</v>
      </c>
      <c r="AG41" s="1">
        <f t="shared" si="6"/>
        <v>400</v>
      </c>
      <c r="AH41" s="19">
        <f>T41*G41</f>
        <v>400</v>
      </c>
      <c r="AI41" s="19"/>
      <c r="AJ41" s="19">
        <f>F41*G41</f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/>
      <c r="C42" s="1"/>
      <c r="D42" s="1"/>
      <c r="E42" s="1"/>
      <c r="F42" s="19"/>
      <c r="G42" s="8">
        <v>0.28000000000000003</v>
      </c>
      <c r="H42" s="1"/>
      <c r="I42" s="1">
        <v>1001303107241</v>
      </c>
      <c r="J42" s="1"/>
      <c r="K42" s="1"/>
      <c r="L42" s="1"/>
      <c r="M42" s="1"/>
      <c r="N42" s="1"/>
      <c r="O42" s="1"/>
      <c r="P42" s="1"/>
      <c r="Q42" s="1"/>
      <c r="R42" s="1"/>
      <c r="S42" s="5">
        <f t="shared" si="5"/>
        <v>120</v>
      </c>
      <c r="T42" s="5">
        <v>120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>
        <f t="shared" si="6"/>
        <v>33.6</v>
      </c>
      <c r="AH42" s="19">
        <f>T42*G42</f>
        <v>33.6</v>
      </c>
      <c r="AI42" s="19"/>
      <c r="AJ42" s="19">
        <f>F42*G42</f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82</v>
      </c>
      <c r="B43" s="1"/>
      <c r="C43" s="1"/>
      <c r="D43" s="1"/>
      <c r="E43" s="1"/>
      <c r="F43" s="19"/>
      <c r="G43" s="8">
        <v>1</v>
      </c>
      <c r="H43" s="1"/>
      <c r="I43" s="1">
        <v>1001032736549</v>
      </c>
      <c r="J43" s="1"/>
      <c r="K43" s="1"/>
      <c r="L43" s="1"/>
      <c r="M43" s="1"/>
      <c r="N43" s="1"/>
      <c r="O43" s="1"/>
      <c r="P43" s="1"/>
      <c r="Q43" s="1"/>
      <c r="R43" s="1"/>
      <c r="S43" s="5">
        <f t="shared" si="5"/>
        <v>100</v>
      </c>
      <c r="T43" s="5">
        <v>100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>
        <f t="shared" si="6"/>
        <v>100</v>
      </c>
      <c r="AH43" s="19">
        <f>T43*G43</f>
        <v>100</v>
      </c>
      <c r="AI43" s="19"/>
      <c r="AJ43" s="19">
        <f>F43*G43</f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/>
      <c r="C44" s="1"/>
      <c r="D44" s="1"/>
      <c r="E44" s="1"/>
      <c r="F44" s="19"/>
      <c r="G44" s="8">
        <v>0.3</v>
      </c>
      <c r="H44" s="1"/>
      <c r="I44" s="1">
        <v>1001083446207</v>
      </c>
      <c r="J44" s="1"/>
      <c r="K44" s="1"/>
      <c r="L44" s="1"/>
      <c r="M44" s="1"/>
      <c r="N44" s="1"/>
      <c r="O44" s="1"/>
      <c r="P44" s="1"/>
      <c r="Q44" s="1"/>
      <c r="R44" s="1"/>
      <c r="S44" s="5">
        <f t="shared" si="5"/>
        <v>100</v>
      </c>
      <c r="T44" s="5">
        <v>100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>
        <f t="shared" si="6"/>
        <v>30</v>
      </c>
      <c r="AH44" s="19">
        <f>T44*G44</f>
        <v>30</v>
      </c>
      <c r="AI44" s="19"/>
      <c r="AJ44" s="19">
        <f>F44*G44</f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/>
      <c r="C45" s="1"/>
      <c r="D45" s="1"/>
      <c r="E45" s="1"/>
      <c r="F45" s="19"/>
      <c r="G45" s="8">
        <v>1</v>
      </c>
      <c r="H45" s="1"/>
      <c r="I45" s="1">
        <v>1001031076548</v>
      </c>
      <c r="J45" s="1"/>
      <c r="K45" s="1"/>
      <c r="L45" s="1"/>
      <c r="M45" s="1"/>
      <c r="N45" s="1"/>
      <c r="O45" s="1"/>
      <c r="P45" s="1"/>
      <c r="Q45" s="1"/>
      <c r="R45" s="1"/>
      <c r="S45" s="5">
        <f t="shared" si="5"/>
        <v>100</v>
      </c>
      <c r="T45" s="5">
        <v>100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>
        <f t="shared" si="6"/>
        <v>100</v>
      </c>
      <c r="AH45" s="19">
        <f>T45*G45</f>
        <v>100</v>
      </c>
      <c r="AI45" s="19"/>
      <c r="AJ45" s="19">
        <f>F45*G45</f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/>
      <c r="C46" s="1"/>
      <c r="D46" s="1"/>
      <c r="E46" s="1"/>
      <c r="F46" s="19"/>
      <c r="G46" s="8">
        <v>0.15</v>
      </c>
      <c r="H46" s="1"/>
      <c r="I46" s="1">
        <v>1001190765681</v>
      </c>
      <c r="J46" s="1"/>
      <c r="K46" s="1"/>
      <c r="L46" s="1"/>
      <c r="M46" s="1"/>
      <c r="N46" s="1"/>
      <c r="O46" s="1"/>
      <c r="P46" s="1"/>
      <c r="Q46" s="1"/>
      <c r="R46" s="1"/>
      <c r="S46" s="5">
        <f t="shared" si="5"/>
        <v>50</v>
      </c>
      <c r="T46" s="5">
        <v>50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>
        <f t="shared" si="6"/>
        <v>7.5</v>
      </c>
      <c r="AH46" s="19">
        <f>T46*G46</f>
        <v>7.5</v>
      </c>
      <c r="AI46" s="19"/>
      <c r="AJ46" s="19">
        <f>F46*G46</f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/>
      <c r="C47" s="1"/>
      <c r="D47" s="1"/>
      <c r="E47" s="1"/>
      <c r="F47" s="19"/>
      <c r="G47" s="8">
        <v>0.3</v>
      </c>
      <c r="H47" s="1"/>
      <c r="I47" s="1">
        <v>1001013957231</v>
      </c>
      <c r="J47" s="1"/>
      <c r="K47" s="1"/>
      <c r="L47" s="1"/>
      <c r="M47" s="1"/>
      <c r="N47" s="1"/>
      <c r="O47" s="1"/>
      <c r="P47" s="1"/>
      <c r="Q47" s="1"/>
      <c r="R47" s="1"/>
      <c r="S47" s="5">
        <f t="shared" si="5"/>
        <v>200</v>
      </c>
      <c r="T47" s="5">
        <v>200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>
        <f t="shared" si="6"/>
        <v>60</v>
      </c>
      <c r="AH47" s="19">
        <f>T47*G47</f>
        <v>60</v>
      </c>
      <c r="AI47" s="19"/>
      <c r="AJ47" s="19">
        <f>F47*G47</f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87</v>
      </c>
      <c r="B48" s="1"/>
      <c r="C48" s="1"/>
      <c r="D48" s="1"/>
      <c r="E48" s="1"/>
      <c r="F48" s="19"/>
      <c r="G48" s="8">
        <v>0.28000000000000003</v>
      </c>
      <c r="H48" s="1"/>
      <c r="I48" s="1">
        <v>1001304507230</v>
      </c>
      <c r="J48" s="1"/>
      <c r="K48" s="1"/>
      <c r="L48" s="1"/>
      <c r="M48" s="1"/>
      <c r="N48" s="1"/>
      <c r="O48" s="1"/>
      <c r="P48" s="1"/>
      <c r="Q48" s="1"/>
      <c r="R48" s="1"/>
      <c r="S48" s="5">
        <f t="shared" si="5"/>
        <v>120</v>
      </c>
      <c r="T48" s="5">
        <v>120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>
        <f t="shared" si="6"/>
        <v>33.6</v>
      </c>
      <c r="AH48" s="19">
        <f>T48*G48</f>
        <v>33.6</v>
      </c>
      <c r="AI48" s="19"/>
      <c r="AJ48" s="19">
        <f>F48*G48</f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88</v>
      </c>
      <c r="B49" s="1"/>
      <c r="C49" s="1"/>
      <c r="D49" s="1"/>
      <c r="E49" s="1"/>
      <c r="F49" s="19"/>
      <c r="G49" s="8">
        <v>0.28000000000000003</v>
      </c>
      <c r="H49" s="1"/>
      <c r="I49" s="1">
        <v>1001301777332</v>
      </c>
      <c r="J49" s="1"/>
      <c r="K49" s="1"/>
      <c r="L49" s="1"/>
      <c r="M49" s="1"/>
      <c r="N49" s="1"/>
      <c r="O49" s="1"/>
      <c r="P49" s="1"/>
      <c r="Q49" s="1"/>
      <c r="R49" s="1"/>
      <c r="S49" s="5">
        <f t="shared" si="5"/>
        <v>120</v>
      </c>
      <c r="T49" s="5">
        <v>120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>
        <f t="shared" si="6"/>
        <v>33.6</v>
      </c>
      <c r="AH49" s="19">
        <f>T49*G49</f>
        <v>33.6</v>
      </c>
      <c r="AI49" s="19"/>
      <c r="AJ49" s="19">
        <f>F49*G49</f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/>
      <c r="C50" s="1"/>
      <c r="D50" s="1"/>
      <c r="E50" s="1"/>
      <c r="F50" s="19"/>
      <c r="G50" s="8">
        <v>0.1</v>
      </c>
      <c r="H50" s="1"/>
      <c r="I50" s="1">
        <v>1001191975179</v>
      </c>
      <c r="J50" s="1"/>
      <c r="K50" s="1"/>
      <c r="L50" s="1"/>
      <c r="M50" s="1"/>
      <c r="N50" s="1"/>
      <c r="O50" s="1"/>
      <c r="P50" s="1"/>
      <c r="Q50" s="1"/>
      <c r="R50" s="1"/>
      <c r="S50" s="5">
        <f t="shared" si="5"/>
        <v>50</v>
      </c>
      <c r="T50" s="5">
        <v>50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>
        <f t="shared" si="6"/>
        <v>5</v>
      </c>
      <c r="AH50" s="19">
        <f>T50*G50</f>
        <v>5</v>
      </c>
      <c r="AI50" s="19"/>
      <c r="AJ50" s="19">
        <f>F50*G50</f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/>
      <c r="C51" s="1"/>
      <c r="D51" s="1"/>
      <c r="E51" s="1"/>
      <c r="F51" s="19"/>
      <c r="G51" s="8">
        <v>0.3</v>
      </c>
      <c r="H51" s="1"/>
      <c r="I51" s="1">
        <v>1001024976616</v>
      </c>
      <c r="J51" s="1"/>
      <c r="K51" s="1"/>
      <c r="L51" s="1"/>
      <c r="M51" s="1"/>
      <c r="N51" s="1"/>
      <c r="O51" s="1"/>
      <c r="P51" s="1"/>
      <c r="Q51" s="1"/>
      <c r="R51" s="1"/>
      <c r="S51" s="5">
        <f t="shared" si="5"/>
        <v>60</v>
      </c>
      <c r="T51" s="5">
        <v>60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>
        <f t="shared" si="6"/>
        <v>18</v>
      </c>
      <c r="AH51" s="19">
        <f>T51*G51</f>
        <v>18</v>
      </c>
      <c r="AI51" s="19"/>
      <c r="AJ51" s="19">
        <f>F51*G51</f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9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9"/>
      <c r="AI52" s="19"/>
      <c r="AJ52" s="19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9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9"/>
      <c r="AI53" s="19"/>
      <c r="AJ53" s="19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9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9"/>
      <c r="AI54" s="19"/>
      <c r="AJ54" s="19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9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9"/>
      <c r="AI55" s="19"/>
      <c r="AJ55" s="19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9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9"/>
      <c r="AI56" s="19"/>
      <c r="AJ56" s="19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9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9"/>
      <c r="AI57" s="19"/>
      <c r="AJ57" s="19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9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9"/>
      <c r="AI58" s="19"/>
      <c r="AJ58" s="19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9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9"/>
      <c r="AI59" s="19"/>
      <c r="AJ59" s="19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9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9"/>
      <c r="AI60" s="19"/>
      <c r="AJ60" s="19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9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9"/>
      <c r="AI61" s="19"/>
      <c r="AJ61" s="19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9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9"/>
      <c r="AI62" s="19"/>
      <c r="AJ62" s="19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9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9"/>
      <c r="AI63" s="19"/>
      <c r="AJ63" s="19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9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9"/>
      <c r="AI64" s="19"/>
      <c r="AJ64" s="19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9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9"/>
      <c r="AI65" s="19"/>
      <c r="AJ65" s="19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9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9"/>
      <c r="AI66" s="19"/>
      <c r="AJ66" s="19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9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9"/>
      <c r="AI67" s="19"/>
      <c r="AJ67" s="19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9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9"/>
      <c r="AI68" s="19"/>
      <c r="AJ68" s="19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9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9"/>
      <c r="AI69" s="19"/>
      <c r="AJ69" s="19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9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9"/>
      <c r="AI70" s="19"/>
      <c r="AJ70" s="19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9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9"/>
      <c r="AI71" s="19"/>
      <c r="AJ71" s="19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9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9"/>
      <c r="AI72" s="19"/>
      <c r="AJ72" s="19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9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9"/>
      <c r="AI73" s="19"/>
      <c r="AJ73" s="19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9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9"/>
      <c r="AI74" s="19"/>
      <c r="AJ74" s="19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9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9"/>
      <c r="AI75" s="19"/>
      <c r="AJ75" s="19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9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9"/>
      <c r="AI76" s="19"/>
      <c r="AJ76" s="19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9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9"/>
      <c r="AI77" s="19"/>
      <c r="AJ77" s="19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9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9"/>
      <c r="AI78" s="19"/>
      <c r="AJ78" s="19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9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9"/>
      <c r="AI79" s="19"/>
      <c r="AJ79" s="19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9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9"/>
      <c r="AI80" s="19"/>
      <c r="AJ80" s="19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9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9"/>
      <c r="AI81" s="19"/>
      <c r="AJ81" s="19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9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9"/>
      <c r="AI82" s="19"/>
      <c r="AJ82" s="19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9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9"/>
      <c r="AI83" s="19"/>
      <c r="AJ83" s="19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9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9"/>
      <c r="AI84" s="19"/>
      <c r="AJ84" s="19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9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9"/>
      <c r="AI85" s="19"/>
      <c r="AJ85" s="19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9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9"/>
      <c r="AI86" s="19"/>
      <c r="AJ86" s="19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9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9"/>
      <c r="AI87" s="19"/>
      <c r="AJ87" s="19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9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9"/>
      <c r="AI88" s="19"/>
      <c r="AJ88" s="19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9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9"/>
      <c r="AI89" s="19"/>
      <c r="AJ89" s="19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9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9"/>
      <c r="AI90" s="19"/>
      <c r="AJ90" s="19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9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9"/>
      <c r="AI91" s="19"/>
      <c r="AJ91" s="19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9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9"/>
      <c r="AI92" s="19"/>
      <c r="AJ92" s="19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9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9"/>
      <c r="AI93" s="19"/>
      <c r="AJ93" s="19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9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9"/>
      <c r="AI94" s="19"/>
      <c r="AJ94" s="19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9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9"/>
      <c r="AI95" s="19"/>
      <c r="AJ95" s="19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9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9"/>
      <c r="AI96" s="19"/>
      <c r="AJ96" s="19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9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9"/>
      <c r="AI97" s="19"/>
      <c r="AJ97" s="19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9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9"/>
      <c r="AI98" s="19"/>
      <c r="AJ98" s="19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9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9"/>
      <c r="AI99" s="19"/>
      <c r="AJ99" s="19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9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9"/>
      <c r="AI100" s="19"/>
      <c r="AJ100" s="19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9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9"/>
      <c r="AI101" s="19"/>
      <c r="AJ101" s="19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9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9"/>
      <c r="AI102" s="19"/>
      <c r="AJ102" s="19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9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9"/>
      <c r="AI103" s="19"/>
      <c r="AJ103" s="19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9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9"/>
      <c r="AI104" s="19"/>
      <c r="AJ104" s="19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9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9"/>
      <c r="AI105" s="19"/>
      <c r="AJ105" s="19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9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9"/>
      <c r="AI106" s="19"/>
      <c r="AJ106" s="19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9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9"/>
      <c r="AI107" s="19"/>
      <c r="AJ107" s="19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9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9"/>
      <c r="AI108" s="19"/>
      <c r="AJ108" s="19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9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9"/>
      <c r="AI109" s="19"/>
      <c r="AJ109" s="19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9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9"/>
      <c r="AI110" s="19"/>
      <c r="AJ110" s="19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9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9"/>
      <c r="AI111" s="19"/>
      <c r="AJ111" s="19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9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9"/>
      <c r="AI112" s="19"/>
      <c r="AJ112" s="19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9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9"/>
      <c r="AI113" s="19"/>
      <c r="AJ113" s="19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9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9"/>
      <c r="AI114" s="19"/>
      <c r="AJ114" s="19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9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9"/>
      <c r="AI115" s="19"/>
      <c r="AJ115" s="19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9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9"/>
      <c r="AI116" s="19"/>
      <c r="AJ116" s="19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9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9"/>
      <c r="AI117" s="19"/>
      <c r="AJ117" s="19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9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9"/>
      <c r="AI118" s="19"/>
      <c r="AJ118" s="19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9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9"/>
      <c r="AI119" s="19"/>
      <c r="AJ119" s="19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9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9"/>
      <c r="AI120" s="19"/>
      <c r="AJ120" s="19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9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9"/>
      <c r="AI121" s="19"/>
      <c r="AJ121" s="19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9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9"/>
      <c r="AI122" s="19"/>
      <c r="AJ122" s="19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9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9"/>
      <c r="AI123" s="19"/>
      <c r="AJ123" s="19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9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9"/>
      <c r="AI124" s="19"/>
      <c r="AJ124" s="19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9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9"/>
      <c r="AI125" s="19"/>
      <c r="AJ125" s="19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9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9"/>
      <c r="AI126" s="19"/>
      <c r="AJ126" s="19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9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9"/>
      <c r="AI127" s="19"/>
      <c r="AJ127" s="19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9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9"/>
      <c r="AI128" s="19"/>
      <c r="AJ128" s="19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9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9"/>
      <c r="AI129" s="19"/>
      <c r="AJ129" s="19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9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9"/>
      <c r="AI130" s="19"/>
      <c r="AJ130" s="19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9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9"/>
      <c r="AI131" s="19"/>
      <c r="AJ131" s="19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9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9"/>
      <c r="AI132" s="19"/>
      <c r="AJ132" s="19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9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9"/>
      <c r="AI133" s="19"/>
      <c r="AJ133" s="19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9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9"/>
      <c r="AI134" s="19"/>
      <c r="AJ134" s="19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9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9"/>
      <c r="AI135" s="19"/>
      <c r="AJ135" s="19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9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9"/>
      <c r="AI136" s="19"/>
      <c r="AJ136" s="19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9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9"/>
      <c r="AI137" s="19"/>
      <c r="AJ137" s="19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9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9"/>
      <c r="AI138" s="19"/>
      <c r="AJ138" s="19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9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9"/>
      <c r="AI139" s="19"/>
      <c r="AJ139" s="19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9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9"/>
      <c r="AI140" s="19"/>
      <c r="AJ140" s="19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9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9"/>
      <c r="AI141" s="19"/>
      <c r="AJ141" s="19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9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9"/>
      <c r="AI142" s="19"/>
      <c r="AJ142" s="19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9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9"/>
      <c r="AI143" s="19"/>
      <c r="AJ143" s="19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9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9"/>
      <c r="AI144" s="19"/>
      <c r="AJ144" s="19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9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9"/>
      <c r="AI145" s="19"/>
      <c r="AJ145" s="19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9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9"/>
      <c r="AI146" s="19"/>
      <c r="AJ146" s="19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9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9"/>
      <c r="AI147" s="19"/>
      <c r="AJ147" s="19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9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9"/>
      <c r="AI148" s="19"/>
      <c r="AJ148" s="19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9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9"/>
      <c r="AI149" s="19"/>
      <c r="AJ149" s="19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9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9"/>
      <c r="AI150" s="19"/>
      <c r="AJ150" s="19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9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9"/>
      <c r="AI151" s="19"/>
      <c r="AJ151" s="19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9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9"/>
      <c r="AI152" s="19"/>
      <c r="AJ152" s="19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9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9"/>
      <c r="AI153" s="19"/>
      <c r="AJ153" s="19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9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9"/>
      <c r="AI154" s="19"/>
      <c r="AJ154" s="19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9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9"/>
      <c r="AI155" s="19"/>
      <c r="AJ155" s="19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9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9"/>
      <c r="AI156" s="19"/>
      <c r="AJ156" s="19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9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9"/>
      <c r="AI157" s="19"/>
      <c r="AJ157" s="19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9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9"/>
      <c r="AI158" s="19"/>
      <c r="AJ158" s="19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9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9"/>
      <c r="AI159" s="19"/>
      <c r="AJ159" s="19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9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9"/>
      <c r="AI160" s="19"/>
      <c r="AJ160" s="19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9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9"/>
      <c r="AI161" s="19"/>
      <c r="AJ161" s="19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9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9"/>
      <c r="AI162" s="19"/>
      <c r="AJ162" s="19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9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9"/>
      <c r="AI163" s="19"/>
      <c r="AJ163" s="19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9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9"/>
      <c r="AI164" s="19"/>
      <c r="AJ164" s="19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9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9"/>
      <c r="AI165" s="19"/>
      <c r="AJ165" s="19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9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9"/>
      <c r="AI166" s="19"/>
      <c r="AJ166" s="19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9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9"/>
      <c r="AI167" s="19"/>
      <c r="AJ167" s="19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9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9"/>
      <c r="AI168" s="19"/>
      <c r="AJ168" s="19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9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9"/>
      <c r="AI169" s="19"/>
      <c r="AJ169" s="19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9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9"/>
      <c r="AI170" s="19"/>
      <c r="AJ170" s="19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9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9"/>
      <c r="AI171" s="19"/>
      <c r="AJ171" s="19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9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9"/>
      <c r="AI172" s="19"/>
      <c r="AJ172" s="19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9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9"/>
      <c r="AI173" s="19"/>
      <c r="AJ173" s="19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9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9"/>
      <c r="AI174" s="19"/>
      <c r="AJ174" s="19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9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9"/>
      <c r="AI175" s="19"/>
      <c r="AJ175" s="19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9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9"/>
      <c r="AI176" s="19"/>
      <c r="AJ176" s="19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9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9"/>
      <c r="AI177" s="19"/>
      <c r="AJ177" s="19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9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9"/>
      <c r="AI178" s="19"/>
      <c r="AJ178" s="19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9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9"/>
      <c r="AI179" s="19"/>
      <c r="AJ179" s="19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9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9"/>
      <c r="AI180" s="19"/>
      <c r="AJ180" s="19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9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9"/>
      <c r="AI181" s="19"/>
      <c r="AJ181" s="19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9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9"/>
      <c r="AI182" s="19"/>
      <c r="AJ182" s="19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9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9"/>
      <c r="AI183" s="19"/>
      <c r="AJ183" s="19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9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9"/>
      <c r="AI184" s="19"/>
      <c r="AJ184" s="19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9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9"/>
      <c r="AI185" s="19"/>
      <c r="AJ185" s="19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9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9"/>
      <c r="AI186" s="19"/>
      <c r="AJ186" s="19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9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9"/>
      <c r="AI187" s="19"/>
      <c r="AJ187" s="19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9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9"/>
      <c r="AI188" s="19"/>
      <c r="AJ188" s="19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9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9"/>
      <c r="AI189" s="19"/>
      <c r="AJ189" s="19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9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9"/>
      <c r="AI190" s="19"/>
      <c r="AJ190" s="19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9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9"/>
      <c r="AI191" s="19"/>
      <c r="AJ191" s="19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9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9"/>
      <c r="AI192" s="19"/>
      <c r="AJ192" s="19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9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9"/>
      <c r="AI193" s="19"/>
      <c r="AJ193" s="19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9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9"/>
      <c r="AI194" s="19"/>
      <c r="AJ194" s="19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9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9"/>
      <c r="AI195" s="19"/>
      <c r="AJ195" s="19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9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9"/>
      <c r="AI196" s="19"/>
      <c r="AJ196" s="19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9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9"/>
      <c r="AI197" s="19"/>
      <c r="AJ197" s="19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9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9"/>
      <c r="AI198" s="19"/>
      <c r="AJ198" s="19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9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9"/>
      <c r="AI199" s="19"/>
      <c r="AJ199" s="19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9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9"/>
      <c r="AI200" s="19"/>
      <c r="AJ200" s="19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9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9"/>
      <c r="AI201" s="19"/>
      <c r="AJ201" s="19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9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9"/>
      <c r="AI202" s="19"/>
      <c r="AJ202" s="19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9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9"/>
      <c r="AI203" s="19"/>
      <c r="AJ203" s="19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9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9"/>
      <c r="AI204" s="19"/>
      <c r="AJ204" s="19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9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9"/>
      <c r="AI205" s="19"/>
      <c r="AJ205" s="19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9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9"/>
      <c r="AI206" s="19"/>
      <c r="AJ206" s="19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9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9"/>
      <c r="AI207" s="19"/>
      <c r="AJ207" s="19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9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9"/>
      <c r="AI208" s="19"/>
      <c r="AJ208" s="19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9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9"/>
      <c r="AI209" s="19"/>
      <c r="AJ209" s="19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9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9"/>
      <c r="AI210" s="19"/>
      <c r="AJ210" s="19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9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9"/>
      <c r="AI211" s="19"/>
      <c r="AJ211" s="19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9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9"/>
      <c r="AI212" s="19"/>
      <c r="AJ212" s="19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9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9"/>
      <c r="AI213" s="19"/>
      <c r="AJ213" s="19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9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9"/>
      <c r="AI214" s="19"/>
      <c r="AJ214" s="19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9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9"/>
      <c r="AI215" s="19"/>
      <c r="AJ215" s="19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9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9"/>
      <c r="AI216" s="19"/>
      <c r="AJ216" s="19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9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9"/>
      <c r="AI217" s="19"/>
      <c r="AJ217" s="19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9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9"/>
      <c r="AI218" s="19"/>
      <c r="AJ218" s="19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9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9"/>
      <c r="AI219" s="19"/>
      <c r="AJ219" s="19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9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9"/>
      <c r="AI220" s="19"/>
      <c r="AJ220" s="19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9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9"/>
      <c r="AI221" s="19"/>
      <c r="AJ221" s="19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9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9"/>
      <c r="AI222" s="19"/>
      <c r="AJ222" s="19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9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9"/>
      <c r="AI223" s="19"/>
      <c r="AJ223" s="19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9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9"/>
      <c r="AI224" s="19"/>
      <c r="AJ224" s="19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9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9"/>
      <c r="AI225" s="19"/>
      <c r="AJ225" s="19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9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9"/>
      <c r="AI226" s="19"/>
      <c r="AJ226" s="19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9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9"/>
      <c r="AI227" s="19"/>
      <c r="AJ227" s="19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9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9"/>
      <c r="AI228" s="19"/>
      <c r="AJ228" s="19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9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9"/>
      <c r="AI229" s="19"/>
      <c r="AJ229" s="19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9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9"/>
      <c r="AI230" s="19"/>
      <c r="AJ230" s="19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9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9"/>
      <c r="AI231" s="19"/>
      <c r="AJ231" s="19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9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9"/>
      <c r="AI232" s="19"/>
      <c r="AJ232" s="19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9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9"/>
      <c r="AI233" s="19"/>
      <c r="AJ233" s="19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9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9"/>
      <c r="AI234" s="19"/>
      <c r="AJ234" s="19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9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9"/>
      <c r="AI235" s="19"/>
      <c r="AJ235" s="19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9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9"/>
      <c r="AI236" s="19"/>
      <c r="AJ236" s="19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9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9"/>
      <c r="AI237" s="19"/>
      <c r="AJ237" s="19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9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9"/>
      <c r="AI238" s="19"/>
      <c r="AJ238" s="19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9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9"/>
      <c r="AI239" s="19"/>
      <c r="AJ239" s="19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9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9"/>
      <c r="AI240" s="19"/>
      <c r="AJ240" s="19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9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9"/>
      <c r="AI241" s="19"/>
      <c r="AJ241" s="19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9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9"/>
      <c r="AI242" s="19"/>
      <c r="AJ242" s="19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9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9"/>
      <c r="AI243" s="19"/>
      <c r="AJ243" s="19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9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9"/>
      <c r="AI244" s="19"/>
      <c r="AJ244" s="19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9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9"/>
      <c r="AI245" s="19"/>
      <c r="AJ245" s="19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9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9"/>
      <c r="AI246" s="19"/>
      <c r="AJ246" s="19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9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9"/>
      <c r="AI247" s="19"/>
      <c r="AJ247" s="19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9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9"/>
      <c r="AI248" s="19"/>
      <c r="AJ248" s="19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9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9"/>
      <c r="AI249" s="19"/>
      <c r="AJ249" s="19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9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9"/>
      <c r="AI250" s="19"/>
      <c r="AJ250" s="19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9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9"/>
      <c r="AI251" s="19"/>
      <c r="AJ251" s="19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9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9"/>
      <c r="AI252" s="19"/>
      <c r="AJ252" s="19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9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9"/>
      <c r="AI253" s="19"/>
      <c r="AJ253" s="19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9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9"/>
      <c r="AI254" s="19"/>
      <c r="AJ254" s="19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9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9"/>
      <c r="AI255" s="19"/>
      <c r="AJ255" s="19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9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9"/>
      <c r="AI256" s="19"/>
      <c r="AJ256" s="19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9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9"/>
      <c r="AI257" s="19"/>
      <c r="AJ257" s="19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9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9"/>
      <c r="AI258" s="19"/>
      <c r="AJ258" s="19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9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9"/>
      <c r="AI259" s="19"/>
      <c r="AJ259" s="19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9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9"/>
      <c r="AI260" s="19"/>
      <c r="AJ260" s="19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9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9"/>
      <c r="AI261" s="19"/>
      <c r="AJ261" s="19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9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9"/>
      <c r="AI262" s="19"/>
      <c r="AJ262" s="19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9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9"/>
      <c r="AI263" s="19"/>
      <c r="AJ263" s="19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9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9"/>
      <c r="AI264" s="19"/>
      <c r="AJ264" s="19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9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9"/>
      <c r="AI265" s="19"/>
      <c r="AJ265" s="19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9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9"/>
      <c r="AI266" s="19"/>
      <c r="AJ266" s="19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9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9"/>
      <c r="AI267" s="19"/>
      <c r="AJ267" s="19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9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9"/>
      <c r="AI268" s="19"/>
      <c r="AJ268" s="19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9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9"/>
      <c r="AI269" s="19"/>
      <c r="AJ269" s="19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9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9"/>
      <c r="AI270" s="19"/>
      <c r="AJ270" s="19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9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9"/>
      <c r="AI271" s="19"/>
      <c r="AJ271" s="19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9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9"/>
      <c r="AI272" s="19"/>
      <c r="AJ272" s="19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9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9"/>
      <c r="AI273" s="19"/>
      <c r="AJ273" s="19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9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9"/>
      <c r="AI274" s="19"/>
      <c r="AJ274" s="19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9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9"/>
      <c r="AI275" s="19"/>
      <c r="AJ275" s="19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9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9"/>
      <c r="AI276" s="19"/>
      <c r="AJ276" s="19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9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9"/>
      <c r="AI277" s="19"/>
      <c r="AJ277" s="19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9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9"/>
      <c r="AI278" s="19"/>
      <c r="AJ278" s="19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9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9"/>
      <c r="AI279" s="19"/>
      <c r="AJ279" s="19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9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9"/>
      <c r="AI280" s="19"/>
      <c r="AJ280" s="19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9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9"/>
      <c r="AI281" s="19"/>
      <c r="AJ281" s="19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9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9"/>
      <c r="AI282" s="19"/>
      <c r="AJ282" s="19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9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9"/>
      <c r="AI283" s="19"/>
      <c r="AJ283" s="19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9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9"/>
      <c r="AI284" s="19"/>
      <c r="AJ284" s="19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9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9"/>
      <c r="AI285" s="19"/>
      <c r="AJ285" s="19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9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9"/>
      <c r="AI286" s="19"/>
      <c r="AJ286" s="19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9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9"/>
      <c r="AI287" s="19"/>
      <c r="AJ287" s="19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9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9"/>
      <c r="AI288" s="19"/>
      <c r="AJ288" s="19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9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9"/>
      <c r="AI289" s="19"/>
      <c r="AJ289" s="19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9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9"/>
      <c r="AI290" s="19"/>
      <c r="AJ290" s="19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9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9"/>
      <c r="AI291" s="19"/>
      <c r="AJ291" s="19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9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9"/>
      <c r="AI292" s="19"/>
      <c r="AJ292" s="19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9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9"/>
      <c r="AI293" s="19"/>
      <c r="AJ293" s="19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9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9"/>
      <c r="AI294" s="19"/>
      <c r="AJ294" s="19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9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9"/>
      <c r="AI295" s="19"/>
      <c r="AJ295" s="19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9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9"/>
      <c r="AI296" s="19"/>
      <c r="AJ296" s="19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9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9"/>
      <c r="AI297" s="19"/>
      <c r="AJ297" s="19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9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9"/>
      <c r="AI298" s="19"/>
      <c r="AJ298" s="19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9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9"/>
      <c r="AI299" s="19"/>
      <c r="AJ299" s="19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9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9"/>
      <c r="AI300" s="19"/>
      <c r="AJ300" s="19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9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9"/>
      <c r="AI301" s="19"/>
      <c r="AJ301" s="19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9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9"/>
      <c r="AI302" s="19"/>
      <c r="AJ302" s="19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9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9"/>
      <c r="AI303" s="19"/>
      <c r="AJ303" s="19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9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9"/>
      <c r="AI304" s="19"/>
      <c r="AJ304" s="19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9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9"/>
      <c r="AI305" s="19"/>
      <c r="AJ305" s="19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9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9"/>
      <c r="AI306" s="19"/>
      <c r="AJ306" s="19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9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9"/>
      <c r="AI307" s="19"/>
      <c r="AJ307" s="19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9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9"/>
      <c r="AI308" s="19"/>
      <c r="AJ308" s="19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9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9"/>
      <c r="AI309" s="19"/>
      <c r="AJ309" s="19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9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9"/>
      <c r="AI310" s="19"/>
      <c r="AJ310" s="19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9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9"/>
      <c r="AI311" s="19"/>
      <c r="AJ311" s="19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9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9"/>
      <c r="AI312" s="19"/>
      <c r="AJ312" s="19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9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9"/>
      <c r="AI313" s="19"/>
      <c r="AJ313" s="19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9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9"/>
      <c r="AI314" s="19"/>
      <c r="AJ314" s="19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9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9"/>
      <c r="AI315" s="19"/>
      <c r="AJ315" s="19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9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9"/>
      <c r="AI316" s="19"/>
      <c r="AJ316" s="19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9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9"/>
      <c r="AI317" s="19"/>
      <c r="AJ317" s="19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9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9"/>
      <c r="AI318" s="19"/>
      <c r="AJ318" s="19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9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9"/>
      <c r="AI319" s="19"/>
      <c r="AJ319" s="19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9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9"/>
      <c r="AI320" s="19"/>
      <c r="AJ320" s="19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9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9"/>
      <c r="AI321" s="19"/>
      <c r="AJ321" s="19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9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9"/>
      <c r="AI322" s="19"/>
      <c r="AJ322" s="19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9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9"/>
      <c r="AI323" s="19"/>
      <c r="AJ323" s="19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9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9"/>
      <c r="AI324" s="19"/>
      <c r="AJ324" s="19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9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9"/>
      <c r="AI325" s="19"/>
      <c r="AJ325" s="19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9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9"/>
      <c r="AI326" s="19"/>
      <c r="AJ326" s="19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9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9"/>
      <c r="AI327" s="19"/>
      <c r="AJ327" s="19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9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9"/>
      <c r="AI328" s="19"/>
      <c r="AJ328" s="19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9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9"/>
      <c r="AI329" s="19"/>
      <c r="AJ329" s="19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9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9"/>
      <c r="AI330" s="19"/>
      <c r="AJ330" s="19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9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9"/>
      <c r="AI331" s="19"/>
      <c r="AJ331" s="19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9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9"/>
      <c r="AI332" s="19"/>
      <c r="AJ332" s="19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9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9"/>
      <c r="AI333" s="19"/>
      <c r="AJ333" s="19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9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9"/>
      <c r="AI334" s="19"/>
      <c r="AJ334" s="19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9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9"/>
      <c r="AI335" s="19"/>
      <c r="AJ335" s="19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9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9"/>
      <c r="AI336" s="19"/>
      <c r="AJ336" s="19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9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9"/>
      <c r="AI337" s="19"/>
      <c r="AJ337" s="19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9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9"/>
      <c r="AI338" s="19"/>
      <c r="AJ338" s="19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9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9"/>
      <c r="AI339" s="19"/>
      <c r="AJ339" s="19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9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9"/>
      <c r="AI340" s="19"/>
      <c r="AJ340" s="19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9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9"/>
      <c r="AI341" s="19"/>
      <c r="AJ341" s="19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9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9"/>
      <c r="AI342" s="19"/>
      <c r="AJ342" s="19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9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9"/>
      <c r="AI343" s="19"/>
      <c r="AJ343" s="19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9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9"/>
      <c r="AI344" s="19"/>
      <c r="AJ344" s="19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9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9"/>
      <c r="AI345" s="19"/>
      <c r="AJ345" s="19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9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9"/>
      <c r="AI346" s="19"/>
      <c r="AJ346" s="19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9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9"/>
      <c r="AI347" s="19"/>
      <c r="AJ347" s="19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9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9"/>
      <c r="AI348" s="19"/>
      <c r="AJ348" s="19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9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9"/>
      <c r="AI349" s="19"/>
      <c r="AJ349" s="19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9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9"/>
      <c r="AI350" s="19"/>
      <c r="AJ350" s="19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9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9"/>
      <c r="AI351" s="19"/>
      <c r="AJ351" s="19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9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9"/>
      <c r="AI352" s="19"/>
      <c r="AJ352" s="19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9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9"/>
      <c r="AI353" s="19"/>
      <c r="AJ353" s="19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9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9"/>
      <c r="AI354" s="19"/>
      <c r="AJ354" s="19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9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9"/>
      <c r="AI355" s="19"/>
      <c r="AJ355" s="19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9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9"/>
      <c r="AI356" s="19"/>
      <c r="AJ356" s="19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9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9"/>
      <c r="AI357" s="19"/>
      <c r="AJ357" s="19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9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9"/>
      <c r="AI358" s="19"/>
      <c r="AJ358" s="19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9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9"/>
      <c r="AI359" s="19"/>
      <c r="AJ359" s="19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9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9"/>
      <c r="AI360" s="19"/>
      <c r="AJ360" s="19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9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9"/>
      <c r="AI361" s="19"/>
      <c r="AJ361" s="19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9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9"/>
      <c r="AI362" s="19"/>
      <c r="AJ362" s="19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9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9"/>
      <c r="AI363" s="19"/>
      <c r="AJ363" s="19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9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9"/>
      <c r="AI364" s="19"/>
      <c r="AJ364" s="19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9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9"/>
      <c r="AI365" s="19"/>
      <c r="AJ365" s="19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9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9"/>
      <c r="AI366" s="19"/>
      <c r="AJ366" s="19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9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9"/>
      <c r="AI367" s="19"/>
      <c r="AJ367" s="19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9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9"/>
      <c r="AI368" s="19"/>
      <c r="AJ368" s="19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9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9"/>
      <c r="AI369" s="19"/>
      <c r="AJ369" s="19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9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9"/>
      <c r="AI370" s="19"/>
      <c r="AJ370" s="19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9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9"/>
      <c r="AI371" s="19"/>
      <c r="AJ371" s="19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9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9"/>
      <c r="AI372" s="19"/>
      <c r="AJ372" s="19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9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9"/>
      <c r="AI373" s="19"/>
      <c r="AJ373" s="19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9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9"/>
      <c r="AI374" s="19"/>
      <c r="AJ374" s="19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9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9"/>
      <c r="AI375" s="19"/>
      <c r="AJ375" s="19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9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9"/>
      <c r="AI376" s="19"/>
      <c r="AJ376" s="19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9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9"/>
      <c r="AI377" s="19"/>
      <c r="AJ377" s="19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9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9"/>
      <c r="AI378" s="19"/>
      <c r="AJ378" s="19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9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9"/>
      <c r="AI379" s="19"/>
      <c r="AJ379" s="19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9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9"/>
      <c r="AI380" s="19"/>
      <c r="AJ380" s="19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9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9"/>
      <c r="AI381" s="19"/>
      <c r="AJ381" s="19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9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9"/>
      <c r="AI382" s="19"/>
      <c r="AJ382" s="19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9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9"/>
      <c r="AI383" s="19"/>
      <c r="AJ383" s="19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9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9"/>
      <c r="AI384" s="19"/>
      <c r="AJ384" s="19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9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9"/>
      <c r="AI385" s="19"/>
      <c r="AJ385" s="19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9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9"/>
      <c r="AI386" s="19"/>
      <c r="AJ386" s="19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9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9"/>
      <c r="AI387" s="19"/>
      <c r="AJ387" s="19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9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9"/>
      <c r="AI388" s="19"/>
      <c r="AJ388" s="19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9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9"/>
      <c r="AI389" s="19"/>
      <c r="AJ389" s="19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9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9"/>
      <c r="AI390" s="19"/>
      <c r="AJ390" s="19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9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9"/>
      <c r="AI391" s="19"/>
      <c r="AJ391" s="19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9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9"/>
      <c r="AI392" s="19"/>
      <c r="AJ392" s="19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9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9"/>
      <c r="AI393" s="19"/>
      <c r="AJ393" s="19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9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9"/>
      <c r="AI394" s="19"/>
      <c r="AJ394" s="19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9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9"/>
      <c r="AI395" s="19"/>
      <c r="AJ395" s="19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9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9"/>
      <c r="AI396" s="19"/>
      <c r="AJ396" s="19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9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9"/>
      <c r="AI397" s="19"/>
      <c r="AJ397" s="19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9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9"/>
      <c r="AI398" s="19"/>
      <c r="AJ398" s="19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9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9"/>
      <c r="AI399" s="19"/>
      <c r="AJ399" s="19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9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9"/>
      <c r="AI400" s="19"/>
      <c r="AJ400" s="19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9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9"/>
      <c r="AI401" s="19"/>
      <c r="AJ401" s="19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9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9"/>
      <c r="AI402" s="19"/>
      <c r="AJ402" s="19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9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9"/>
      <c r="AI403" s="19"/>
      <c r="AJ403" s="19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9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9"/>
      <c r="AI404" s="19"/>
      <c r="AJ404" s="19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9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9"/>
      <c r="AI405" s="19"/>
      <c r="AJ405" s="19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9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9"/>
      <c r="AI406" s="19"/>
      <c r="AJ406" s="19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9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9"/>
      <c r="AI407" s="19"/>
      <c r="AJ407" s="19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9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9"/>
      <c r="AI408" s="19"/>
      <c r="AJ408" s="19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9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9"/>
      <c r="AI409" s="19"/>
      <c r="AJ409" s="19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9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9"/>
      <c r="AI410" s="19"/>
      <c r="AJ410" s="19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9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9"/>
      <c r="AI411" s="19"/>
      <c r="AJ411" s="19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9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9"/>
      <c r="AI412" s="19"/>
      <c r="AJ412" s="19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9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9"/>
      <c r="AI413" s="19"/>
      <c r="AJ413" s="19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9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9"/>
      <c r="AI414" s="19"/>
      <c r="AJ414" s="19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9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9"/>
      <c r="AI415" s="19"/>
      <c r="AJ415" s="19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9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9"/>
      <c r="AI416" s="19"/>
      <c r="AJ416" s="19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9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9"/>
      <c r="AI417" s="19"/>
      <c r="AJ417" s="19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9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9"/>
      <c r="AI418" s="19"/>
      <c r="AJ418" s="19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9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9"/>
      <c r="AI419" s="19"/>
      <c r="AJ419" s="19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9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9"/>
      <c r="AI420" s="19"/>
      <c r="AJ420" s="19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9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9"/>
      <c r="AI421" s="19"/>
      <c r="AJ421" s="19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9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9"/>
      <c r="AI422" s="19"/>
      <c r="AJ422" s="19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9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9"/>
      <c r="AI423" s="19"/>
      <c r="AJ423" s="19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9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9"/>
      <c r="AI424" s="19"/>
      <c r="AJ424" s="19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9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9"/>
      <c r="AI425" s="19"/>
      <c r="AJ425" s="19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9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9"/>
      <c r="AI426" s="19"/>
      <c r="AJ426" s="19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9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9"/>
      <c r="AI427" s="19"/>
      <c r="AJ427" s="19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9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9"/>
      <c r="AI428" s="19"/>
      <c r="AJ428" s="19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9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9"/>
      <c r="AI429" s="19"/>
      <c r="AJ429" s="19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9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9"/>
      <c r="AI430" s="19"/>
      <c r="AJ430" s="19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9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9"/>
      <c r="AI431" s="19"/>
      <c r="AJ431" s="19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9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9"/>
      <c r="AI432" s="19"/>
      <c r="AJ432" s="19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9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9"/>
      <c r="AI433" s="19"/>
      <c r="AJ433" s="19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9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9"/>
      <c r="AI434" s="19"/>
      <c r="AJ434" s="19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9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9"/>
      <c r="AI435" s="19"/>
      <c r="AJ435" s="19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9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9"/>
      <c r="AI436" s="19"/>
      <c r="AJ436" s="19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9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9"/>
      <c r="AI437" s="19"/>
      <c r="AJ437" s="19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9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9"/>
      <c r="AI438" s="19"/>
      <c r="AJ438" s="19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9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9"/>
      <c r="AI439" s="19"/>
      <c r="AJ439" s="19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9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9"/>
      <c r="AI440" s="19"/>
      <c r="AJ440" s="19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9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9"/>
      <c r="AI441" s="19"/>
      <c r="AJ441" s="19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9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9"/>
      <c r="AI442" s="19"/>
      <c r="AJ442" s="19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9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9"/>
      <c r="AI443" s="19"/>
      <c r="AJ443" s="19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9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9"/>
      <c r="AI444" s="19"/>
      <c r="AJ444" s="19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9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9"/>
      <c r="AI445" s="19"/>
      <c r="AJ445" s="19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9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9"/>
      <c r="AI446" s="19"/>
      <c r="AJ446" s="19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9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9"/>
      <c r="AI447" s="19"/>
      <c r="AJ447" s="19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9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9"/>
      <c r="AI448" s="19"/>
      <c r="AJ448" s="19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9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9"/>
      <c r="AI449" s="19"/>
      <c r="AJ449" s="19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9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9"/>
      <c r="AI450" s="19"/>
      <c r="AJ450" s="19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9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9"/>
      <c r="AI451" s="19"/>
      <c r="AJ451" s="19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9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9"/>
      <c r="AI452" s="19"/>
      <c r="AJ452" s="19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9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9"/>
      <c r="AI453" s="19"/>
      <c r="AJ453" s="19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9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9"/>
      <c r="AI454" s="19"/>
      <c r="AJ454" s="19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9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9"/>
      <c r="AI455" s="19"/>
      <c r="AJ455" s="19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9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9"/>
      <c r="AI456" s="19"/>
      <c r="AJ456" s="19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9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9"/>
      <c r="AI457" s="19"/>
      <c r="AJ457" s="19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9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9"/>
      <c r="AI458" s="19"/>
      <c r="AJ458" s="19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9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9"/>
      <c r="AI459" s="19"/>
      <c r="AJ459" s="19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9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9"/>
      <c r="AI460" s="19"/>
      <c r="AJ460" s="19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9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9"/>
      <c r="AI461" s="19"/>
      <c r="AJ461" s="19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9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9"/>
      <c r="AI462" s="19"/>
      <c r="AJ462" s="19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9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9"/>
      <c r="AI463" s="19"/>
      <c r="AJ463" s="19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9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9"/>
      <c r="AI464" s="19"/>
      <c r="AJ464" s="19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9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9"/>
      <c r="AI465" s="19"/>
      <c r="AJ465" s="19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9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9"/>
      <c r="AI466" s="19"/>
      <c r="AJ466" s="19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9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9"/>
      <c r="AI467" s="19"/>
      <c r="AJ467" s="19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9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9"/>
      <c r="AI468" s="19"/>
      <c r="AJ468" s="19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</sheetData>
  <autoFilter ref="A3:AG40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187B-5D8F-428E-894B-9E4A3A8B1986}">
  <dimension ref="D3:F11"/>
  <sheetViews>
    <sheetView workbookViewId="0">
      <selection activeCell="H19" sqref="H19"/>
    </sheetView>
  </sheetViews>
  <sheetFormatPr defaultRowHeight="15" x14ac:dyDescent="0.25"/>
  <cols>
    <col min="4" max="5" width="10.28515625" bestFit="1" customWidth="1"/>
    <col min="6" max="6" width="9.85546875" bestFit="1" customWidth="1"/>
  </cols>
  <sheetData>
    <row r="3" spans="4:6" x14ac:dyDescent="0.25">
      <c r="D3" s="29"/>
      <c r="E3" s="29"/>
    </row>
    <row r="4" spans="4:6" x14ac:dyDescent="0.25">
      <c r="D4" s="30"/>
      <c r="E4" s="30"/>
      <c r="F4" s="30"/>
    </row>
    <row r="5" spans="4:6" x14ac:dyDescent="0.25">
      <c r="D5" s="30"/>
      <c r="E5" s="30"/>
      <c r="F5" s="30"/>
    </row>
    <row r="6" spans="4:6" x14ac:dyDescent="0.25">
      <c r="D6" s="30"/>
      <c r="E6" s="30"/>
      <c r="F6" s="30"/>
    </row>
    <row r="7" spans="4:6" x14ac:dyDescent="0.25">
      <c r="D7" s="30"/>
      <c r="E7" s="30"/>
      <c r="F7" s="30"/>
    </row>
    <row r="8" spans="4:6" x14ac:dyDescent="0.25">
      <c r="D8" s="30"/>
      <c r="E8" s="30"/>
      <c r="F8" s="30"/>
    </row>
    <row r="9" spans="4:6" x14ac:dyDescent="0.25">
      <c r="D9" s="30"/>
      <c r="E9" s="30"/>
      <c r="F9" s="30"/>
    </row>
    <row r="10" spans="4:6" x14ac:dyDescent="0.25">
      <c r="D10" s="30"/>
      <c r="E10" s="30"/>
      <c r="F10" s="30"/>
    </row>
    <row r="11" spans="4:6" x14ac:dyDescent="0.25">
      <c r="D11" s="30"/>
      <c r="E11" s="30"/>
      <c r="F11" s="30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2025-12-15T13:14:30Z</dcterms:created>
  <dcterms:modified xsi:type="dcterms:W3CDTF">2025-12-19T13:09:47Z</dcterms:modified>
</cp:coreProperties>
</file>