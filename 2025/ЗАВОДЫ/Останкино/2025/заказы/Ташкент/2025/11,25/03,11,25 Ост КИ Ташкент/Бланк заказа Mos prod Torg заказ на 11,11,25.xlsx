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06B35F99-A61F-4DF3-AD9C-ABCAACE6EA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0" i="1" l="1"/>
  <c r="F99" i="1"/>
  <c r="A99" i="1"/>
  <c r="F98" i="1"/>
  <c r="A98" i="1"/>
  <c r="F97" i="1"/>
  <c r="A97" i="1"/>
  <c r="F96" i="1"/>
  <c r="A96" i="1"/>
  <c r="F95" i="1"/>
  <c r="A95" i="1"/>
  <c r="A94" i="1"/>
  <c r="F93" i="1"/>
  <c r="A93" i="1"/>
  <c r="F92" i="1"/>
  <c r="A92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79" i="1"/>
  <c r="A79" i="1"/>
  <c r="F78" i="1"/>
  <c r="A78" i="1"/>
  <c r="F77" i="1"/>
  <c r="F76" i="1"/>
  <c r="A76" i="1"/>
  <c r="F75" i="1"/>
  <c r="A75" i="1"/>
  <c r="F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0" i="1" s="1"/>
  <c r="A11" i="1"/>
</calcChain>
</file>

<file path=xl/sharedStrings.xml><?xml version="1.0" encoding="utf-8"?>
<sst xmlns="http://schemas.openxmlformats.org/spreadsheetml/2006/main" count="193" uniqueCount="112">
  <si>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</si>
  <si>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</si>
  <si>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</si>
  <si>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</si>
  <si>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</si>
  <si>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</si>
  <si>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</si>
  <si>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</si>
  <si>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</si>
  <si>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</si>
  <si>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</si>
  <si>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</si>
  <si>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</si>
  <si>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</si>
  <si>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</si>
  <si>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</si>
  <si>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</si>
  <si>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</si>
  <si>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</si>
  <si>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</si>
  <si>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</si>
  <si>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</si>
  <si>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</si>
  <si>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</si>
  <si>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</si>
  <si>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</si>
  <si>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</si>
  <si>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</si>
  <si>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</si>
  <si>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</si>
  <si>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</si>
  <si>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</si>
  <si>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</si>
  <si>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</si>
  <si>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</si>
  <si>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</si>
  <si>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</si>
  <si>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</si>
  <si>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</si>
  <si>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ГОВЯЖЬЯ Папа может вар п/о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</si>
  <si>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</si>
  <si>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</si>
  <si>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</si>
  <si>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</si>
  <si>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</si>
  <si>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</si>
  <si>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</si>
  <si>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</si>
  <si>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</si>
  <si>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</si>
  <si>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</si>
  <si>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</si>
  <si>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</si>
  <si>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</si>
  <si>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</si>
  <si>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</si>
  <si>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</si>
  <si>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</si>
  <si>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</si>
  <si>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</si>
  <si>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</si>
  <si>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</si>
  <si>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</si>
  <si>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</si>
  <si>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</si>
  <si>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</si>
  <si>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</si>
  <si>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</si>
  <si>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</si>
  <si>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</si>
  <si>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</si>
  <si>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</si>
  <si>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</si>
  <si>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</si>
  <si>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</si>
  <si>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</si>
  <si>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</si>
  <si>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</si>
  <si>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</si>
  <si>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</si>
  <si>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</si>
  <si>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</si>
  <si>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</si>
  <si>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</si>
  <si>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</si>
  <si>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ОХОТНИЧИЙ ПМ в/к в/у 0.28кг_СНГ</t>
  </si>
  <si>
    <t>СЕРВЕЛАТ ФИНСКИЙ ПМ в/к в/у 0.35кг_СНГ</t>
  </si>
  <si>
    <t>СЕРВЕЛАТ ФИНСКИЙ в/к в/у_СНГ</t>
  </si>
  <si>
    <t>СЕРВЕЛАТ ЕВРОПЕЙСКИЙ в/к в/у 0.33кг 8шт.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</si>
  <si>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</si>
  <si>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</si>
  <si>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</si>
  <si>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</si>
  <si>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</si>
  <si>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</si>
  <si>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</si>
  <si>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</si>
  <si>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</si>
  <si>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</si>
  <si>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</t>
  </si>
  <si>
    <t>ЮБИЛЕЙНАЯ с/к в/у_Л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</si>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</sst>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 wrapText="1"/>
    </xf>
    <xf numFmtId="2" fontId="10" fillId="9" borderId="5" xfId="0" applyNumberFormat="1" applyFont="1" applyFill="1" applyBorder="1" applyAlignment="1">
      <alignment horizontal="right"/>
    </xf>
    <xf numFmtId="0" fontId="10" fillId="9" borderId="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7" name="Picture 7406">
          <a:extLst>
            <a:ext uri="{FF2B5EF4-FFF2-40B4-BE49-F238E27FC236}">
              <a16:creationId xmlns:a16="http://schemas.microsoft.com/office/drawing/2014/main" id="{00000000-0008-0000-0000-000003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8" name="Picture 7406">
          <a:extLst>
            <a:ext uri="{FF2B5EF4-FFF2-40B4-BE49-F238E27FC236}">
              <a16:creationId xmlns:a16="http://schemas.microsoft.com/office/drawing/2014/main" id="{00000000-0008-0000-0000-00000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9" name="Picture 7406">
          <a:extLst>
            <a:ext uri="{FF2B5EF4-FFF2-40B4-BE49-F238E27FC236}">
              <a16:creationId xmlns:a16="http://schemas.microsoft.com/office/drawing/2014/main" id="{00000000-0008-0000-0000-000005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I104" sqref="I10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7" t="s">
        <v>1</v>
      </c>
      <c r="F1" s="78"/>
      <c r="G1" s="78"/>
      <c r="H1" s="78"/>
      <c r="I1" s="79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45972</v>
      </c>
      <c r="E3" s="50" t="s">
        <v>3</v>
      </c>
      <c r="F3" s="80" t="s">
        <v>4</v>
      </c>
      <c r="G3" s="78"/>
      <c r="H3" s="78"/>
      <c r="I3" s="79"/>
    </row>
    <row r="4" spans="1:18" ht="17.25" customHeight="1" thickTop="1" thickBot="1" x14ac:dyDescent="0.3">
      <c r="E4" s="41" t="s">
        <v>5</v>
      </c>
      <c r="F4" s="80"/>
      <c r="G4" s="78"/>
      <c r="H4" s="78"/>
      <c r="I4" s="79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6" si="0">RIGHT(D16,4)</f>
        <v>6334</v>
      </c>
      <c r="B16" s="63" t="s">
        <v>28</v>
      </c>
      <c r="C16" s="4" t="s">
        <v>22</v>
      </c>
      <c r="D16" s="64">
        <v>1001012486334</v>
      </c>
      <c r="E16" s="55">
        <v>320</v>
      </c>
      <c r="F16" s="14">
        <f>E16*0.4</f>
        <v>128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/>
      <c r="F17" s="14">
        <f>E17</f>
        <v>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71" t="str">
        <f t="shared" si="0"/>
        <v>6345</v>
      </c>
      <c r="B19" s="71" t="s">
        <v>31</v>
      </c>
      <c r="C19" s="73" t="s">
        <v>22</v>
      </c>
      <c r="D19" s="72">
        <v>1001012566345</v>
      </c>
      <c r="E19" s="74"/>
      <c r="F19" s="75">
        <f>E19*0.5</f>
        <v>0</v>
      </c>
      <c r="G19" s="75"/>
      <c r="H19" s="76"/>
      <c r="I19" s="7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30</v>
      </c>
      <c r="F20" s="14">
        <f>E20</f>
        <v>30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600</v>
      </c>
      <c r="F21" s="14">
        <f>E21*0.4</f>
        <v>240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6268</v>
      </c>
      <c r="B26" s="63" t="s">
        <v>38</v>
      </c>
      <c r="C26" s="4" t="s">
        <v>22</v>
      </c>
      <c r="D26" s="64">
        <v>1001012426268</v>
      </c>
      <c r="E26" s="55">
        <v>400</v>
      </c>
      <c r="F26" s="70">
        <f>E26*0.4</f>
        <v>160</v>
      </c>
      <c r="G26" s="14"/>
      <c r="H26" s="15"/>
      <c r="I26" s="16"/>
    </row>
    <row r="27" spans="1:18" x14ac:dyDescent="0.2">
      <c r="A27" s="65">
        <v>6220</v>
      </c>
      <c r="B27" s="63" t="s">
        <v>39</v>
      </c>
      <c r="C27" s="4" t="s">
        <v>24</v>
      </c>
      <c r="D27" s="64">
        <v>1001012426220</v>
      </c>
      <c r="E27" s="55">
        <v>30</v>
      </c>
      <c r="F27" s="14">
        <f>E27</f>
        <v>30</v>
      </c>
      <c r="G27" s="14"/>
      <c r="H27" s="15"/>
      <c r="I27" s="16"/>
    </row>
    <row r="28" spans="1:18" x14ac:dyDescent="0.2">
      <c r="A28" s="63" t="str">
        <f>RIGHT(D28,4)</f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>RIGHT(D29,4)</f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>
        <v>160</v>
      </c>
      <c r="F31" s="19">
        <f>E31*0.36</f>
        <v>57.599999999999994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71" t="s">
        <v>53</v>
      </c>
      <c r="C41" s="61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71" t="s">
        <v>54</v>
      </c>
      <c r="C42" s="61" t="s">
        <v>24</v>
      </c>
      <c r="D42" s="72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6759</v>
      </c>
      <c r="B44" s="66" t="s">
        <v>56</v>
      </c>
      <c r="C44" s="61" t="s">
        <v>22</v>
      </c>
      <c r="D44" s="69">
        <v>1001020836759</v>
      </c>
      <c r="E44" s="55"/>
      <c r="F44" s="14">
        <f>E44*0.4</f>
        <v>0</v>
      </c>
      <c r="G44" s="14"/>
      <c r="H44" s="16"/>
      <c r="I44" s="16"/>
    </row>
    <row r="45" spans="1:9" x14ac:dyDescent="0.2">
      <c r="A45" s="65">
        <v>7077</v>
      </c>
      <c r="B45" s="66" t="s">
        <v>53</v>
      </c>
      <c r="C45" s="61" t="s">
        <v>22</v>
      </c>
      <c r="D45" s="69">
        <v>1001025507077</v>
      </c>
      <c r="E45" s="55">
        <v>160</v>
      </c>
      <c r="F45" s="14">
        <f>E45*0.4</f>
        <v>64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350</v>
      </c>
      <c r="F48" s="14">
        <f>E48</f>
        <v>350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>
        <v>100</v>
      </c>
      <c r="F52" s="14">
        <f>E52*0.4</f>
        <v>40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22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24</v>
      </c>
      <c r="D57" s="69">
        <v>1001035277058</v>
      </c>
      <c r="E57" s="55">
        <v>100</v>
      </c>
      <c r="F57" s="14">
        <f>E57</f>
        <v>100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3" si="4">RIGHT(D65,4)</f>
        <v>7158</v>
      </c>
      <c r="B65" s="66" t="s">
        <v>76</v>
      </c>
      <c r="C65" s="61" t="s">
        <v>22</v>
      </c>
      <c r="D65" s="69">
        <v>1001304237158</v>
      </c>
      <c r="E65" s="55">
        <v>440</v>
      </c>
      <c r="F65" s="14">
        <f>E65*0.35</f>
        <v>154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50</v>
      </c>
      <c r="F66" s="14">
        <f>E66</f>
        <v>50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6790</v>
      </c>
      <c r="B68" s="66" t="s">
        <v>79</v>
      </c>
      <c r="C68" s="61" t="s">
        <v>24</v>
      </c>
      <c r="D68" s="69">
        <v>1001300366790</v>
      </c>
      <c r="E68" s="55"/>
      <c r="F68" s="14">
        <f>E68</f>
        <v>0</v>
      </c>
      <c r="G68" s="19"/>
      <c r="H68" s="16"/>
      <c r="I68" s="16"/>
    </row>
    <row r="69" spans="1:9" x14ac:dyDescent="0.2">
      <c r="A69" s="63" t="str">
        <f t="shared" si="4"/>
        <v>6566</v>
      </c>
      <c r="B69" s="66" t="s">
        <v>80</v>
      </c>
      <c r="C69" s="61" t="s">
        <v>22</v>
      </c>
      <c r="D69" s="69">
        <v>1001305306566</v>
      </c>
      <c r="E69" s="55"/>
      <c r="F69" s="14">
        <f>E69*0.31</f>
        <v>0</v>
      </c>
      <c r="G69" s="19"/>
      <c r="H69" s="16"/>
      <c r="I69" s="16"/>
    </row>
    <row r="70" spans="1:9" x14ac:dyDescent="0.2">
      <c r="A70" s="63" t="str">
        <f t="shared" si="4"/>
        <v>7238</v>
      </c>
      <c r="B70" s="66" t="s">
        <v>81</v>
      </c>
      <c r="C70" s="61" t="s">
        <v>22</v>
      </c>
      <c r="D70" s="69">
        <v>1001305197238</v>
      </c>
      <c r="E70" s="55"/>
      <c r="F70" s="14">
        <f>E70*0.31</f>
        <v>0</v>
      </c>
      <c r="G70" s="14"/>
      <c r="H70" s="15"/>
      <c r="I70" s="16"/>
    </row>
    <row r="71" spans="1:9" x14ac:dyDescent="0.2">
      <c r="A71" s="63" t="str">
        <f t="shared" si="4"/>
        <v>6565</v>
      </c>
      <c r="B71" s="66" t="s">
        <v>82</v>
      </c>
      <c r="C71" s="61" t="s">
        <v>22</v>
      </c>
      <c r="D71" s="69">
        <v>1001305316565</v>
      </c>
      <c r="E71" s="55"/>
      <c r="F71" s="14">
        <f>E71*0.31</f>
        <v>0</v>
      </c>
      <c r="G71" s="14"/>
      <c r="H71" s="16"/>
      <c r="I71" s="16"/>
    </row>
    <row r="72" spans="1:9" x14ac:dyDescent="0.2">
      <c r="A72" s="63" t="str">
        <f t="shared" si="4"/>
        <v>7162</v>
      </c>
      <c r="B72" s="66" t="s">
        <v>83</v>
      </c>
      <c r="C72" s="61" t="s">
        <v>22</v>
      </c>
      <c r="D72" s="69">
        <v>1001303987162</v>
      </c>
      <c r="E72" s="55"/>
      <c r="F72" s="14">
        <f>E72*0.35</f>
        <v>0</v>
      </c>
      <c r="G72" s="14"/>
      <c r="H72" s="15"/>
      <c r="I72" s="16"/>
    </row>
    <row r="73" spans="1:9" x14ac:dyDescent="0.2">
      <c r="A73" s="63" t="str">
        <f t="shared" si="4"/>
        <v>7165</v>
      </c>
      <c r="B73" s="66" t="s">
        <v>84</v>
      </c>
      <c r="C73" s="61" t="s">
        <v>24</v>
      </c>
      <c r="D73" s="69">
        <v>1001303987165</v>
      </c>
      <c r="E73" s="55"/>
      <c r="F73" s="14">
        <f>E73</f>
        <v>0</v>
      </c>
      <c r="G73" s="14"/>
      <c r="H73" s="22"/>
      <c r="I73" s="16"/>
    </row>
    <row r="74" spans="1:9" x14ac:dyDescent="0.2">
      <c r="A74" s="65">
        <v>7333</v>
      </c>
      <c r="B74" s="66" t="s">
        <v>85</v>
      </c>
      <c r="C74" s="61" t="s">
        <v>22</v>
      </c>
      <c r="D74" s="69">
        <v>1001303987333</v>
      </c>
      <c r="E74" s="55">
        <v>240</v>
      </c>
      <c r="F74" s="14">
        <f>E74*0.28</f>
        <v>67.2</v>
      </c>
      <c r="G74" s="14"/>
      <c r="H74" s="22"/>
      <c r="I74" s="16"/>
    </row>
    <row r="75" spans="1:9" x14ac:dyDescent="0.2">
      <c r="A75" s="63" t="str">
        <f>RIGHT(D75,4)</f>
        <v>6698</v>
      </c>
      <c r="B75" s="66" t="s">
        <v>86</v>
      </c>
      <c r="C75" s="61" t="s">
        <v>22</v>
      </c>
      <c r="D75" s="69">
        <v>1001301876698</v>
      </c>
      <c r="E75" s="55">
        <v>160</v>
      </c>
      <c r="F75" s="14">
        <f>E75*0.35</f>
        <v>56</v>
      </c>
      <c r="G75" s="14"/>
      <c r="H75" s="15"/>
      <c r="I75" s="16"/>
    </row>
    <row r="76" spans="1:9" ht="15.75" customHeight="1" x14ac:dyDescent="0.2">
      <c r="A76" s="63" t="str">
        <f>RIGHT(D76,4)</f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</f>
        <v>0</v>
      </c>
      <c r="G76" s="14"/>
      <c r="H76" s="15"/>
      <c r="I76" s="16"/>
    </row>
    <row r="77" spans="1:9" ht="15.75" customHeight="1" x14ac:dyDescent="0.2">
      <c r="A77" s="65">
        <v>6807</v>
      </c>
      <c r="B77" s="66" t="s">
        <v>88</v>
      </c>
      <c r="C77" s="61" t="s">
        <v>22</v>
      </c>
      <c r="D77" s="69">
        <v>1001300366807</v>
      </c>
      <c r="E77" s="55">
        <v>240</v>
      </c>
      <c r="F77" s="14">
        <f>E77*0.33</f>
        <v>79.2</v>
      </c>
      <c r="G77" s="26"/>
      <c r="H77" s="62"/>
      <c r="I77" s="24"/>
    </row>
    <row r="78" spans="1:9" ht="15.75" customHeight="1" x14ac:dyDescent="0.2">
      <c r="A78" s="63" t="str">
        <f>RIGHT(D78,4)</f>
        <v>6787</v>
      </c>
      <c r="B78" s="66" t="s">
        <v>89</v>
      </c>
      <c r="C78" s="61" t="s">
        <v>22</v>
      </c>
      <c r="D78" s="69">
        <v>1001300456787</v>
      </c>
      <c r="E78" s="55">
        <v>240</v>
      </c>
      <c r="F78" s="14">
        <f>E78*0.33</f>
        <v>79.2</v>
      </c>
      <c r="G78" s="26"/>
      <c r="H78" s="62"/>
      <c r="I78" s="24"/>
    </row>
    <row r="79" spans="1:9" ht="15.75" customHeight="1" thickBot="1" x14ac:dyDescent="0.25">
      <c r="A79" s="63" t="str">
        <f>RIGHT(D79,4)</f>
        <v>6946</v>
      </c>
      <c r="B79" s="66" t="s">
        <v>90</v>
      </c>
      <c r="C79" s="61" t="s">
        <v>24</v>
      </c>
      <c r="D79" s="69">
        <v>1001300456946</v>
      </c>
      <c r="E79" s="55">
        <v>30</v>
      </c>
      <c r="F79" s="14">
        <f>E79</f>
        <v>30</v>
      </c>
      <c r="G79" s="26"/>
      <c r="H79" s="62"/>
      <c r="I79" s="24"/>
    </row>
    <row r="80" spans="1:9" ht="15.75" customHeight="1" thickTop="1" thickBot="1" x14ac:dyDescent="0.25">
      <c r="A80" s="35"/>
      <c r="B80" s="3" t="s">
        <v>91</v>
      </c>
      <c r="C80" s="2"/>
      <c r="D80" s="2"/>
      <c r="E80" s="56"/>
      <c r="F80" s="21"/>
      <c r="G80" s="21"/>
      <c r="H80" s="13"/>
      <c r="I80" s="13"/>
    </row>
    <row r="81" spans="1:9" ht="15" customHeight="1" thickTop="1" x14ac:dyDescent="0.2">
      <c r="A81" s="63" t="str">
        <f t="shared" ref="A81:A90" si="5">RIGHT(D81,4)</f>
        <v>5738</v>
      </c>
      <c r="B81" s="63" t="s">
        <v>92</v>
      </c>
      <c r="C81" s="61" t="s">
        <v>22</v>
      </c>
      <c r="D81" s="64">
        <v>1001061975738</v>
      </c>
      <c r="E81" s="55">
        <v>240</v>
      </c>
      <c r="F81" s="14">
        <f>E81*0.25</f>
        <v>60</v>
      </c>
      <c r="G81" s="14"/>
      <c r="H81" s="20"/>
      <c r="I81" s="20"/>
    </row>
    <row r="82" spans="1:9" x14ac:dyDescent="0.2">
      <c r="A82" s="63" t="str">
        <f t="shared" si="5"/>
        <v>5708</v>
      </c>
      <c r="B82" s="66" t="s">
        <v>93</v>
      </c>
      <c r="C82" s="61" t="s">
        <v>24</v>
      </c>
      <c r="D82" s="69">
        <v>1001063145708</v>
      </c>
      <c r="E82" s="55"/>
      <c r="F82" s="14">
        <f>E82</f>
        <v>0</v>
      </c>
      <c r="G82" s="14"/>
      <c r="H82" s="20"/>
      <c r="I82" s="20"/>
    </row>
    <row r="83" spans="1:9" x14ac:dyDescent="0.2">
      <c r="A83" s="63" t="str">
        <f t="shared" si="5"/>
        <v>4993</v>
      </c>
      <c r="B83" s="66" t="s">
        <v>94</v>
      </c>
      <c r="C83" s="61" t="s">
        <v>22</v>
      </c>
      <c r="D83" s="69">
        <v>1001060764993</v>
      </c>
      <c r="E83" s="55">
        <v>440</v>
      </c>
      <c r="F83" s="14">
        <f>E83*0.25</f>
        <v>110</v>
      </c>
      <c r="G83" s="14"/>
      <c r="H83" s="20"/>
      <c r="I83" s="20"/>
    </row>
    <row r="84" spans="1:9" x14ac:dyDescent="0.2">
      <c r="A84" s="63" t="str">
        <f t="shared" si="5"/>
        <v>6453</v>
      </c>
      <c r="B84" s="66" t="s">
        <v>95</v>
      </c>
      <c r="C84" s="61" t="s">
        <v>22</v>
      </c>
      <c r="D84" s="69">
        <v>1001202506453</v>
      </c>
      <c r="E84" s="55"/>
      <c r="F84" s="14">
        <f>E84*0.1</f>
        <v>0</v>
      </c>
      <c r="G84" s="14"/>
      <c r="H84" s="20"/>
      <c r="I84" s="20"/>
    </row>
    <row r="85" spans="1:9" x14ac:dyDescent="0.2">
      <c r="A85" s="63" t="str">
        <f t="shared" si="5"/>
        <v>4117</v>
      </c>
      <c r="B85" s="66" t="s">
        <v>96</v>
      </c>
      <c r="C85" s="61" t="s">
        <v>24</v>
      </c>
      <c r="D85" s="69">
        <v>1001062504117</v>
      </c>
      <c r="E85" s="55"/>
      <c r="F85" s="14">
        <f>E85</f>
        <v>0</v>
      </c>
      <c r="G85" s="14"/>
      <c r="H85" s="15"/>
      <c r="I85" s="20"/>
    </row>
    <row r="86" spans="1:9" x14ac:dyDescent="0.2">
      <c r="A86" s="63" t="str">
        <f t="shared" si="5"/>
        <v>5681</v>
      </c>
      <c r="B86" s="66" t="s">
        <v>97</v>
      </c>
      <c r="C86" s="61" t="s">
        <v>22</v>
      </c>
      <c r="D86" s="69">
        <v>1001190765681</v>
      </c>
      <c r="E86" s="55"/>
      <c r="F86" s="14">
        <f>E86*0.15</f>
        <v>0</v>
      </c>
      <c r="G86" s="14"/>
      <c r="H86" s="16"/>
      <c r="I86" s="16"/>
    </row>
    <row r="87" spans="1:9" x14ac:dyDescent="0.2">
      <c r="A87" s="63" t="str">
        <f t="shared" si="5"/>
        <v>5739</v>
      </c>
      <c r="B87" s="66" t="s">
        <v>98</v>
      </c>
      <c r="C87" s="61" t="s">
        <v>22</v>
      </c>
      <c r="D87" s="69">
        <v>1001062475739</v>
      </c>
      <c r="E87" s="55">
        <v>240</v>
      </c>
      <c r="F87" s="14">
        <f>E87*0.25</f>
        <v>60</v>
      </c>
      <c r="G87" s="14"/>
      <c r="H87" s="15"/>
      <c r="I87" s="24"/>
    </row>
    <row r="88" spans="1:9" x14ac:dyDescent="0.2">
      <c r="A88" s="63" t="str">
        <f t="shared" si="5"/>
        <v>1146</v>
      </c>
      <c r="B88" s="66" t="s">
        <v>99</v>
      </c>
      <c r="C88" s="61" t="s">
        <v>24</v>
      </c>
      <c r="D88" s="69">
        <v>1001061971146</v>
      </c>
      <c r="E88" s="55"/>
      <c r="F88" s="14">
        <f>E88</f>
        <v>0</v>
      </c>
      <c r="G88" s="26"/>
      <c r="H88" s="62"/>
      <c r="I88" s="24"/>
    </row>
    <row r="89" spans="1:9" x14ac:dyDescent="0.2">
      <c r="A89" s="63" t="str">
        <f t="shared" si="5"/>
        <v>4154</v>
      </c>
      <c r="B89" s="66" t="s">
        <v>100</v>
      </c>
      <c r="C89" s="61" t="s">
        <v>24</v>
      </c>
      <c r="D89" s="69">
        <v>1001062474154</v>
      </c>
      <c r="E89" s="55">
        <v>30</v>
      </c>
      <c r="F89" s="14">
        <f>E89</f>
        <v>30</v>
      </c>
      <c r="G89" s="26"/>
      <c r="H89" s="62"/>
      <c r="I89" s="24"/>
    </row>
    <row r="90" spans="1:9" ht="15" customHeight="1" thickBot="1" x14ac:dyDescent="0.25">
      <c r="A90" s="63" t="str">
        <f t="shared" si="5"/>
        <v>6835</v>
      </c>
      <c r="B90" s="63" t="s">
        <v>101</v>
      </c>
      <c r="C90" s="61" t="s">
        <v>22</v>
      </c>
      <c r="D90" s="64">
        <v>1001203146835</v>
      </c>
      <c r="E90" s="55"/>
      <c r="F90" s="14">
        <f>E90*0.1</f>
        <v>0</v>
      </c>
      <c r="G90" s="26"/>
      <c r="H90" s="62"/>
      <c r="I90" s="24"/>
    </row>
    <row r="91" spans="1:9" ht="15.75" customHeight="1" thickTop="1" thickBot="1" x14ac:dyDescent="0.25">
      <c r="A91" s="35"/>
      <c r="B91" s="3" t="s">
        <v>102</v>
      </c>
      <c r="C91" s="25"/>
      <c r="D91" s="25"/>
      <c r="E91" s="56"/>
      <c r="F91" s="21"/>
      <c r="G91" s="21"/>
      <c r="H91" s="13"/>
      <c r="I91" s="13"/>
    </row>
    <row r="92" spans="1:9" ht="15.75" customHeight="1" thickTop="1" x14ac:dyDescent="0.2">
      <c r="A92" s="63" t="str">
        <f t="shared" ref="A92:A99" si="6">RIGHT(D92,4)</f>
        <v>3215</v>
      </c>
      <c r="B92" s="63" t="s">
        <v>103</v>
      </c>
      <c r="C92" s="61" t="s">
        <v>22</v>
      </c>
      <c r="D92" s="64">
        <v>1001094053215</v>
      </c>
      <c r="E92" s="55"/>
      <c r="F92" s="14">
        <f>E92*0.4</f>
        <v>0</v>
      </c>
      <c r="G92" s="14"/>
      <c r="H92" s="15"/>
      <c r="I92" s="24"/>
    </row>
    <row r="93" spans="1:9" ht="15.75" customHeight="1" thickBot="1" x14ac:dyDescent="0.25">
      <c r="A93" s="63" t="str">
        <f t="shared" si="6"/>
        <v>5452</v>
      </c>
      <c r="B93" s="63" t="s">
        <v>104</v>
      </c>
      <c r="C93" s="61" t="s">
        <v>24</v>
      </c>
      <c r="D93" s="64">
        <v>1001092485452</v>
      </c>
      <c r="E93" s="55"/>
      <c r="F93" s="14">
        <f>E93</f>
        <v>0</v>
      </c>
      <c r="G93" s="14"/>
      <c r="H93" s="15"/>
      <c r="I93" s="24"/>
    </row>
    <row r="94" spans="1:9" ht="15.75" customHeight="1" thickTop="1" thickBot="1" x14ac:dyDescent="0.25">
      <c r="A94" s="35" t="str">
        <f t="shared" si="6"/>
        <v/>
      </c>
      <c r="B94" s="3" t="s">
        <v>105</v>
      </c>
      <c r="C94" s="2"/>
      <c r="D94" s="25"/>
      <c r="E94" s="56"/>
      <c r="F94" s="21"/>
      <c r="G94" s="21"/>
      <c r="H94" s="13"/>
      <c r="I94" s="13"/>
    </row>
    <row r="95" spans="1:9" ht="15" customHeight="1" thickTop="1" x14ac:dyDescent="0.2">
      <c r="A95" s="63" t="str">
        <f t="shared" si="6"/>
        <v>5074</v>
      </c>
      <c r="B95" s="66" t="s">
        <v>106</v>
      </c>
      <c r="C95" s="61" t="s">
        <v>24</v>
      </c>
      <c r="D95" s="69">
        <v>1001080345074</v>
      </c>
      <c r="E95" s="55"/>
      <c r="F95" s="14">
        <f>E95</f>
        <v>0</v>
      </c>
      <c r="G95" s="14"/>
      <c r="H95" s="15"/>
      <c r="I95" s="16"/>
    </row>
    <row r="96" spans="1:9" x14ac:dyDescent="0.2">
      <c r="A96" s="63" t="str">
        <f t="shared" si="6"/>
        <v>6207</v>
      </c>
      <c r="B96" s="66" t="s">
        <v>107</v>
      </c>
      <c r="C96" s="61" t="s">
        <v>22</v>
      </c>
      <c r="D96" s="69">
        <v>1001083446207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7089</v>
      </c>
      <c r="B97" s="66" t="s">
        <v>108</v>
      </c>
      <c r="C97" s="61" t="s">
        <v>22</v>
      </c>
      <c r="D97" s="69">
        <v>1001084217089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7187</v>
      </c>
      <c r="B98" s="66" t="s">
        <v>109</v>
      </c>
      <c r="C98" s="61" t="s">
        <v>22</v>
      </c>
      <c r="D98" s="69">
        <v>1001085637187</v>
      </c>
      <c r="E98" s="55">
        <v>1600</v>
      </c>
      <c r="F98" s="14">
        <f>E98*0.3</f>
        <v>480</v>
      </c>
      <c r="G98" s="14"/>
      <c r="H98" s="15"/>
      <c r="I98" s="16"/>
    </row>
    <row r="99" spans="1:9" ht="15" customHeight="1" thickBot="1" x14ac:dyDescent="0.25">
      <c r="A99" s="63" t="str">
        <f t="shared" si="6"/>
        <v>7104</v>
      </c>
      <c r="B99" s="66" t="s">
        <v>110</v>
      </c>
      <c r="C99" s="61" t="s">
        <v>22</v>
      </c>
      <c r="D99" s="69">
        <v>1001223297104</v>
      </c>
      <c r="E99" s="55">
        <v>160</v>
      </c>
      <c r="F99" s="14">
        <f>E99*0.18</f>
        <v>28.799999999999997</v>
      </c>
      <c r="G99" s="14"/>
      <c r="H99" s="15"/>
      <c r="I99" s="16"/>
    </row>
    <row r="100" spans="1:9" ht="15.75" customHeight="1" thickTop="1" thickBot="1" x14ac:dyDescent="0.25">
      <c r="A100" s="27"/>
      <c r="B100" s="27" t="s">
        <v>111</v>
      </c>
      <c r="C100" s="27"/>
      <c r="D100" s="27"/>
      <c r="E100" s="57">
        <f>SUM(E10:E99)</f>
        <v>6610</v>
      </c>
      <c r="F100" s="28">
        <f>SUM(F10:F99)</f>
        <v>2664</v>
      </c>
      <c r="G100" s="37"/>
      <c r="H100" s="28"/>
      <c r="I100" s="29"/>
    </row>
    <row r="101" spans="1:9" ht="15" customHeight="1" thickTop="1" x14ac:dyDescent="0.2">
      <c r="B101" s="30"/>
      <c r="C101" s="31"/>
      <c r="D101" s="31"/>
      <c r="F101" s="60"/>
      <c r="G101" s="33"/>
      <c r="H101" s="33"/>
      <c r="I101" s="59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60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</sheetData>
  <autoFilter ref="A9:I102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2025-11-05T13:10:37Z</dcterms:modified>
</cp:coreProperties>
</file>