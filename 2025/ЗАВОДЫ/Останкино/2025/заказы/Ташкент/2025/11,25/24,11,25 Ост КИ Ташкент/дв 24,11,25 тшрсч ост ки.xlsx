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"/>
    </mc:Choice>
  </mc:AlternateContent>
  <xr:revisionPtr revIDLastSave="0" documentId="13_ncr:1_{EACB9722-E9E6-422D-BCDE-1A24A59B1E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Q39" i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L30" i="1"/>
  <c r="Q29" i="1"/>
  <c r="V29" i="1" s="1"/>
  <c r="L29" i="1"/>
  <c r="Q28" i="1"/>
  <c r="AF28" i="1" s="1"/>
  <c r="L28" i="1"/>
  <c r="Q27" i="1"/>
  <c r="V27" i="1" s="1"/>
  <c r="L27" i="1"/>
  <c r="Q26" i="1"/>
  <c r="R26" i="1" s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V15" i="1" s="1"/>
  <c r="L15" i="1"/>
  <c r="Q14" i="1"/>
  <c r="R14" i="1" s="1"/>
  <c r="L14" i="1"/>
  <c r="Q13" i="1"/>
  <c r="V13" i="1" s="1"/>
  <c r="L13" i="1"/>
  <c r="Q12" i="1"/>
  <c r="L12" i="1"/>
  <c r="Q11" i="1"/>
  <c r="V11" i="1" s="1"/>
  <c r="L11" i="1"/>
  <c r="AF10" i="1"/>
  <c r="Q10" i="1"/>
  <c r="L10" i="1"/>
  <c r="Q9" i="1"/>
  <c r="V9" i="1" s="1"/>
  <c r="L9" i="1"/>
  <c r="Q8" i="1"/>
  <c r="R8" i="1" s="1"/>
  <c r="AF8" i="1" s="1"/>
  <c r="L8" i="1"/>
  <c r="Q7" i="1"/>
  <c r="V7" i="1" s="1"/>
  <c r="L7" i="1"/>
  <c r="Q6" i="1"/>
  <c r="R6" i="1" s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12" i="1" l="1"/>
  <c r="AF12" i="1" s="1"/>
  <c r="R30" i="1"/>
  <c r="AF30" i="1" s="1"/>
  <c r="R34" i="1"/>
  <c r="AF34" i="1" s="1"/>
  <c r="R31" i="1"/>
  <c r="AF31" i="1" s="1"/>
  <c r="E5" i="1"/>
  <c r="R32" i="1"/>
  <c r="R36" i="1"/>
  <c r="AF36" i="1" s="1"/>
  <c r="AF14" i="1"/>
  <c r="AF19" i="1"/>
  <c r="U17" i="1"/>
  <c r="R7" i="1"/>
  <c r="AF9" i="1"/>
  <c r="AF11" i="1"/>
  <c r="R13" i="1"/>
  <c r="AF16" i="1"/>
  <c r="R18" i="1"/>
  <c r="AF18" i="1" s="1"/>
  <c r="AF22" i="1"/>
  <c r="R25" i="1"/>
  <c r="AF25" i="1" s="1"/>
  <c r="AF27" i="1"/>
  <c r="R29" i="1"/>
  <c r="AF29" i="1" s="1"/>
  <c r="R33" i="1"/>
  <c r="AF33" i="1" s="1"/>
  <c r="R37" i="1"/>
  <c r="AF37" i="1" s="1"/>
  <c r="U8" i="1"/>
  <c r="U10" i="1"/>
  <c r="U12" i="1"/>
  <c r="U21" i="1"/>
  <c r="U26" i="1"/>
  <c r="U28" i="1"/>
  <c r="U6" i="1"/>
  <c r="U9" i="1"/>
  <c r="U27" i="1"/>
  <c r="U38" i="1"/>
  <c r="F5" i="1"/>
  <c r="U11" i="1"/>
  <c r="U15" i="1"/>
  <c r="U22" i="1"/>
  <c r="L5" i="1"/>
  <c r="Q24" i="1"/>
  <c r="V24" i="1" s="1"/>
  <c r="Q35" i="1"/>
  <c r="R35" i="1" s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U30" i="1" l="1"/>
  <c r="V35" i="1"/>
  <c r="U36" i="1"/>
  <c r="U34" i="1"/>
  <c r="U14" i="1"/>
  <c r="U32" i="1"/>
  <c r="AF32" i="1"/>
  <c r="Q5" i="1"/>
  <c r="U25" i="1"/>
  <c r="U18" i="1"/>
  <c r="U31" i="1"/>
  <c r="U20" i="1"/>
  <c r="AF20" i="1"/>
  <c r="AF7" i="1"/>
  <c r="U37" i="1"/>
  <c r="AF35" i="1"/>
  <c r="U29" i="1"/>
  <c r="R24" i="1"/>
  <c r="AF24" i="1" s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<sst xmlns="http://schemas.openxmlformats.org/spreadsheetml/2006/main" count="156" uniqueCount="77">
  <si>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</si>
  <si>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</si>
  <si>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</si>
  <si>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</si>
  <si>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</si>
  <si>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</si>
  <si>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</si>
  <si>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</si>
  <si>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</si>
  <si>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</si>
  <si>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</si>
  <si>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</si>
  <si>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</si>
  <si>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</si>
  <si>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</si>
  <si>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</si>
  <si>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</si>
  <si>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</si>
  <si>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</si>
  <si>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</si>
  <si>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</si>
  <si>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</si>
  <si>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</si>
  <si>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</si>
  <si>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18,11,</t>
  </si>
  <si>
    <t>25,11,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</si>
  <si>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</si>
  <si>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</si>
  <si>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</si>
  <si>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</si>
  <si>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</si>
  <si>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</si>
  <si>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</si>
  <si>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</si>
  <si>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</si>
  <si>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</si>
  <si>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</si>
  <si>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</si>
  <si>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</si>
  <si>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</si>
  <si>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</si>
  <si>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</si>
  <si>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</si>
  <si>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</si>
  <si>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</si>
  <si>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</si>
  <si>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нужно увеличить продажи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</si>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</sst>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3.71093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6408.527</v>
      </c>
      <c r="F5" s="4">
        <f>SUM(F6:F497)</f>
        <v>8299.2429999999986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6408.527</v>
      </c>
      <c r="M5" s="4">
        <f t="shared" si="0"/>
        <v>0</v>
      </c>
      <c r="N5" s="4">
        <f t="shared" si="0"/>
        <v>0</v>
      </c>
      <c r="O5" s="4">
        <f t="shared" si="0"/>
        <v>6590</v>
      </c>
      <c r="P5" s="4">
        <f t="shared" si="0"/>
        <v>7780</v>
      </c>
      <c r="Q5" s="4">
        <f t="shared" si="0"/>
        <v>1281.7054000000003</v>
      </c>
      <c r="R5" s="4">
        <f t="shared" si="0"/>
        <v>4287.8580000000002</v>
      </c>
      <c r="S5" s="4">
        <f t="shared" si="0"/>
        <v>0</v>
      </c>
      <c r="T5" s="1"/>
      <c r="U5" s="1"/>
      <c r="V5" s="1"/>
      <c r="W5" s="4">
        <f t="shared" ref="W5:AD5" si="1">SUM(W6:W497)</f>
        <v>1492.5595999999998</v>
      </c>
      <c r="X5" s="4">
        <f t="shared" si="1"/>
        <v>1533.9048</v>
      </c>
      <c r="Y5" s="4">
        <f t="shared" si="1"/>
        <v>1414.6848</v>
      </c>
      <c r="Z5" s="4">
        <f t="shared" si="1"/>
        <v>992.18959999999993</v>
      </c>
      <c r="AA5" s="4">
        <f t="shared" si="1"/>
        <v>1452.8553999999999</v>
      </c>
      <c r="AB5" s="4">
        <f t="shared" si="1"/>
        <v>1416.2003999999999</v>
      </c>
      <c r="AC5" s="4">
        <f t="shared" si="1"/>
        <v>1287.1432</v>
      </c>
      <c r="AD5" s="4">
        <f t="shared" si="1"/>
        <v>1088.5380000000002</v>
      </c>
      <c r="AE5" s="1"/>
      <c r="AF5" s="4">
        <f>SUM(AF6:AF497)</f>
        <v>1851.08115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100.76300000000001</v>
      </c>
      <c r="D6" s="1">
        <v>49.542999999999999</v>
      </c>
      <c r="E6" s="1">
        <v>117.61499999999999</v>
      </c>
      <c r="F6" s="1">
        <v>29.870999999999999</v>
      </c>
      <c r="G6" s="8">
        <v>1</v>
      </c>
      <c r="H6" s="1">
        <v>45</v>
      </c>
      <c r="I6" s="1" t="s">
        <v>37</v>
      </c>
      <c r="J6" s="1"/>
      <c r="K6" s="1"/>
      <c r="L6" s="1">
        <f t="shared" ref="L6:L39" si="2">E6-K6</f>
        <v>117.61499999999999</v>
      </c>
      <c r="M6" s="1"/>
      <c r="N6" s="1"/>
      <c r="O6" s="1">
        <v>150</v>
      </c>
      <c r="P6" s="1">
        <v>160</v>
      </c>
      <c r="Q6" s="1">
        <f t="shared" ref="Q6:Q39" si="3">E6/5</f>
        <v>23.523</v>
      </c>
      <c r="R6" s="5">
        <f>20*Q6-P6-O6-F6</f>
        <v>130.58899999999997</v>
      </c>
      <c r="S6" s="5"/>
      <c r="T6" s="1"/>
      <c r="U6" s="1">
        <f t="shared" ref="U6:U39" si="4">(F6+O6+P6+R6)/Q6</f>
        <v>19.999999999999996</v>
      </c>
      <c r="V6" s="1">
        <f t="shared" ref="V6:V39" si="5">(F6+O6+P6)/Q6</f>
        <v>14.448454703906814</v>
      </c>
      <c r="W6" s="1">
        <v>24.957999999999998</v>
      </c>
      <c r="X6" s="1">
        <v>37.103200000000001</v>
      </c>
      <c r="Y6" s="1">
        <v>16.863600000000002</v>
      </c>
      <c r="Z6" s="1">
        <v>22.165800000000001</v>
      </c>
      <c r="AA6" s="1">
        <v>22.668399999999998</v>
      </c>
      <c r="AB6" s="1">
        <v>28.996400000000001</v>
      </c>
      <c r="AC6" s="1">
        <v>30.9406</v>
      </c>
      <c r="AD6" s="1">
        <v>26.750599999999999</v>
      </c>
      <c r="AE6" s="1"/>
      <c r="AF6" s="1">
        <f t="shared" ref="AF6:AF14" si="6">G6*R6</f>
        <v>130.58899999999997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39</v>
      </c>
      <c r="C7" s="1">
        <v>225.81100000000001</v>
      </c>
      <c r="D7" s="1">
        <v>440</v>
      </c>
      <c r="E7" s="1">
        <v>410</v>
      </c>
      <c r="F7" s="1">
        <v>248.81100000000001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410</v>
      </c>
      <c r="M7" s="1"/>
      <c r="N7" s="1"/>
      <c r="O7" s="1">
        <v>600</v>
      </c>
      <c r="P7" s="1">
        <v>720</v>
      </c>
      <c r="Q7" s="1">
        <f t="shared" si="3"/>
        <v>82</v>
      </c>
      <c r="R7" s="5">
        <f t="shared" ref="R7:R14" si="7">20*Q7-P7-O7-F7</f>
        <v>71.188999999999993</v>
      </c>
      <c r="S7" s="5"/>
      <c r="T7" s="1"/>
      <c r="U7" s="1">
        <f t="shared" si="4"/>
        <v>20.000000000000004</v>
      </c>
      <c r="V7" s="1">
        <f t="shared" si="5"/>
        <v>19.131841463414634</v>
      </c>
      <c r="W7" s="1">
        <v>113</v>
      </c>
      <c r="X7" s="1">
        <v>115.2</v>
      </c>
      <c r="Y7" s="1">
        <v>83.2</v>
      </c>
      <c r="Z7" s="1">
        <v>64.2</v>
      </c>
      <c r="AA7" s="1">
        <v>100.4</v>
      </c>
      <c r="AB7" s="1">
        <v>123.8</v>
      </c>
      <c r="AC7" s="1">
        <v>113.4378</v>
      </c>
      <c r="AD7" s="1">
        <v>114.4</v>
      </c>
      <c r="AE7" s="1"/>
      <c r="AF7" s="1">
        <f t="shared" si="6"/>
        <v>24.916149999999995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104.437</v>
      </c>
      <c r="D8" s="1">
        <v>30.832999999999998</v>
      </c>
      <c r="E8" s="1">
        <v>91.278999999999996</v>
      </c>
      <c r="F8" s="1">
        <v>42.271000000000001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91.278999999999996</v>
      </c>
      <c r="M8" s="1"/>
      <c r="N8" s="1"/>
      <c r="O8" s="1">
        <v>50</v>
      </c>
      <c r="P8" s="1">
        <v>150</v>
      </c>
      <c r="Q8" s="1">
        <f t="shared" si="3"/>
        <v>18.255800000000001</v>
      </c>
      <c r="R8" s="5">
        <f t="shared" si="7"/>
        <v>122.84499999999998</v>
      </c>
      <c r="S8" s="5"/>
      <c r="T8" s="1"/>
      <c r="U8" s="1">
        <f t="shared" si="4"/>
        <v>20</v>
      </c>
      <c r="V8" s="1">
        <f t="shared" si="5"/>
        <v>13.270905684768676</v>
      </c>
      <c r="W8" s="1">
        <v>18.2606</v>
      </c>
      <c r="X8" s="1">
        <v>18.8154</v>
      </c>
      <c r="Y8" s="1">
        <v>14.9602</v>
      </c>
      <c r="Z8" s="1">
        <v>14.5648</v>
      </c>
      <c r="AA8" s="1">
        <v>15.2286</v>
      </c>
      <c r="AB8" s="1">
        <v>14.629799999999999</v>
      </c>
      <c r="AC8" s="1">
        <v>28.49</v>
      </c>
      <c r="AD8" s="1">
        <v>18.126200000000001</v>
      </c>
      <c r="AE8" s="1"/>
      <c r="AF8" s="1">
        <f t="shared" si="6"/>
        <v>122.84499999999998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39</v>
      </c>
      <c r="C9" s="1">
        <v>319</v>
      </c>
      <c r="D9" s="1">
        <v>160</v>
      </c>
      <c r="E9" s="1">
        <v>238</v>
      </c>
      <c r="F9" s="1">
        <v>228</v>
      </c>
      <c r="G9" s="8">
        <v>0.35</v>
      </c>
      <c r="H9" s="1">
        <v>45</v>
      </c>
      <c r="I9" s="1" t="s">
        <v>37</v>
      </c>
      <c r="J9" s="1"/>
      <c r="K9" s="1"/>
      <c r="L9" s="1">
        <f t="shared" si="2"/>
        <v>238</v>
      </c>
      <c r="M9" s="1"/>
      <c r="N9" s="1"/>
      <c r="O9" s="1">
        <v>400</v>
      </c>
      <c r="P9" s="1">
        <v>480</v>
      </c>
      <c r="Q9" s="1">
        <f t="shared" si="3"/>
        <v>47.6</v>
      </c>
      <c r="R9" s="5"/>
      <c r="S9" s="5"/>
      <c r="T9" s="1"/>
      <c r="U9" s="1">
        <f t="shared" si="4"/>
        <v>23.277310924369747</v>
      </c>
      <c r="V9" s="1">
        <f t="shared" si="5"/>
        <v>23.277310924369747</v>
      </c>
      <c r="W9" s="1">
        <v>66.8</v>
      </c>
      <c r="X9" s="1">
        <v>76</v>
      </c>
      <c r="Y9" s="1">
        <v>51.8</v>
      </c>
      <c r="Z9" s="1">
        <v>47.4</v>
      </c>
      <c r="AA9" s="1">
        <v>86.6</v>
      </c>
      <c r="AB9" s="1">
        <v>98.8</v>
      </c>
      <c r="AC9" s="1">
        <v>85.8</v>
      </c>
      <c r="AD9" s="1">
        <v>79.400000000000006</v>
      </c>
      <c r="AE9" s="1"/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36</v>
      </c>
      <c r="C10" s="1">
        <v>46.244</v>
      </c>
      <c r="D10" s="1"/>
      <c r="E10" s="1">
        <v>9.4009999999999998</v>
      </c>
      <c r="F10" s="1">
        <v>36.843000000000004</v>
      </c>
      <c r="G10" s="8">
        <v>1</v>
      </c>
      <c r="H10" s="1">
        <v>60</v>
      </c>
      <c r="I10" s="1" t="s">
        <v>37</v>
      </c>
      <c r="J10" s="1"/>
      <c r="K10" s="1"/>
      <c r="L10" s="1">
        <f t="shared" si="2"/>
        <v>9.4009999999999998</v>
      </c>
      <c r="M10" s="1"/>
      <c r="N10" s="1"/>
      <c r="O10" s="1"/>
      <c r="P10" s="1"/>
      <c r="Q10" s="1">
        <f t="shared" si="3"/>
        <v>1.8801999999999999</v>
      </c>
      <c r="R10" s="5"/>
      <c r="S10" s="5"/>
      <c r="T10" s="1"/>
      <c r="U10" s="1">
        <f t="shared" si="4"/>
        <v>19.595255823848529</v>
      </c>
      <c r="V10" s="1">
        <f t="shared" si="5"/>
        <v>19.595255823848529</v>
      </c>
      <c r="W10" s="1">
        <v>1.3458000000000001</v>
      </c>
      <c r="X10" s="1">
        <v>0</v>
      </c>
      <c r="Y10" s="1">
        <v>1.3475999999999999</v>
      </c>
      <c r="Z10" s="1">
        <v>1.0840000000000001</v>
      </c>
      <c r="AA10" s="1">
        <v>2.9575999999999998</v>
      </c>
      <c r="AB10" s="1">
        <v>0</v>
      </c>
      <c r="AC10" s="1">
        <v>0</v>
      </c>
      <c r="AD10" s="1">
        <v>0</v>
      </c>
      <c r="AE10" s="18" t="s">
        <v>43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39</v>
      </c>
      <c r="C11" s="1">
        <v>882</v>
      </c>
      <c r="D11" s="1">
        <v>600</v>
      </c>
      <c r="E11" s="1">
        <v>276</v>
      </c>
      <c r="F11" s="1">
        <v>1199</v>
      </c>
      <c r="G11" s="8">
        <v>0.4</v>
      </c>
      <c r="H11" s="1">
        <v>60</v>
      </c>
      <c r="I11" s="1" t="s">
        <v>37</v>
      </c>
      <c r="J11" s="1"/>
      <c r="K11" s="1"/>
      <c r="L11" s="1">
        <f t="shared" si="2"/>
        <v>276</v>
      </c>
      <c r="M11" s="1"/>
      <c r="N11" s="1"/>
      <c r="O11" s="1">
        <v>600</v>
      </c>
      <c r="P11" s="1">
        <v>200</v>
      </c>
      <c r="Q11" s="1">
        <f t="shared" si="3"/>
        <v>55.2</v>
      </c>
      <c r="R11" s="5"/>
      <c r="S11" s="5"/>
      <c r="T11" s="1"/>
      <c r="U11" s="1">
        <f t="shared" si="4"/>
        <v>36.213768115942024</v>
      </c>
      <c r="V11" s="1">
        <f t="shared" si="5"/>
        <v>36.213768115942024</v>
      </c>
      <c r="W11" s="1">
        <v>68.400000000000006</v>
      </c>
      <c r="X11" s="1">
        <v>154.19999999999999</v>
      </c>
      <c r="Y11" s="1">
        <v>117.4</v>
      </c>
      <c r="Z11" s="1">
        <v>80.599999999999994</v>
      </c>
      <c r="AA11" s="1">
        <v>123.2</v>
      </c>
      <c r="AB11" s="1">
        <v>95.2</v>
      </c>
      <c r="AC11" s="1">
        <v>106</v>
      </c>
      <c r="AD11" s="1">
        <v>57.8</v>
      </c>
      <c r="AE11" s="18" t="s">
        <v>43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36</v>
      </c>
      <c r="C12" s="1">
        <v>78.218999999999994</v>
      </c>
      <c r="D12" s="1"/>
      <c r="E12" s="1">
        <v>38.914000000000001</v>
      </c>
      <c r="F12" s="1">
        <v>35.290999999999997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38.914000000000001</v>
      </c>
      <c r="M12" s="1"/>
      <c r="N12" s="1"/>
      <c r="O12" s="1">
        <v>50</v>
      </c>
      <c r="P12" s="1"/>
      <c r="Q12" s="1">
        <f t="shared" si="3"/>
        <v>7.7827999999999999</v>
      </c>
      <c r="R12" s="5">
        <f>19*Q12-P12-O12-F12</f>
        <v>62.5822</v>
      </c>
      <c r="S12" s="5"/>
      <c r="T12" s="1"/>
      <c r="U12" s="1">
        <f t="shared" si="4"/>
        <v>19</v>
      </c>
      <c r="V12" s="1">
        <f t="shared" si="5"/>
        <v>10.958909389936784</v>
      </c>
      <c r="W12" s="1">
        <v>5.1351999999999993</v>
      </c>
      <c r="X12" s="1">
        <v>8.2263999999999999</v>
      </c>
      <c r="Y12" s="1">
        <v>7.3245999999999993</v>
      </c>
      <c r="Z12" s="1">
        <v>3.8149999999999999</v>
      </c>
      <c r="AA12" s="1">
        <v>11.121600000000001</v>
      </c>
      <c r="AB12" s="1">
        <v>10.275399999999999</v>
      </c>
      <c r="AC12" s="1">
        <v>15.8506</v>
      </c>
      <c r="AD12" s="1">
        <v>6.383</v>
      </c>
      <c r="AE12" s="1"/>
      <c r="AF12" s="1">
        <f t="shared" si="6"/>
        <v>62.5822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39</v>
      </c>
      <c r="C13" s="1">
        <v>271</v>
      </c>
      <c r="D13" s="1">
        <v>320</v>
      </c>
      <c r="E13" s="1">
        <v>286</v>
      </c>
      <c r="F13" s="1">
        <v>298</v>
      </c>
      <c r="G13" s="8">
        <v>0.4</v>
      </c>
      <c r="H13" s="1">
        <v>60</v>
      </c>
      <c r="I13" s="1" t="s">
        <v>37</v>
      </c>
      <c r="J13" s="1"/>
      <c r="K13" s="1"/>
      <c r="L13" s="1">
        <f t="shared" si="2"/>
        <v>286</v>
      </c>
      <c r="M13" s="1"/>
      <c r="N13" s="1"/>
      <c r="O13" s="1">
        <v>320</v>
      </c>
      <c r="P13" s="1">
        <v>400</v>
      </c>
      <c r="Q13" s="1">
        <f t="shared" si="3"/>
        <v>57.2</v>
      </c>
      <c r="R13" s="5">
        <f t="shared" si="7"/>
        <v>126</v>
      </c>
      <c r="S13" s="5"/>
      <c r="T13" s="1"/>
      <c r="U13" s="1">
        <f t="shared" si="4"/>
        <v>20</v>
      </c>
      <c r="V13" s="1">
        <f t="shared" si="5"/>
        <v>17.797202797202797</v>
      </c>
      <c r="W13" s="1">
        <v>64.400000000000006</v>
      </c>
      <c r="X13" s="1">
        <v>60</v>
      </c>
      <c r="Y13" s="1">
        <v>64.8</v>
      </c>
      <c r="Z13" s="1">
        <v>50.2</v>
      </c>
      <c r="AA13" s="1">
        <v>77.400000000000006</v>
      </c>
      <c r="AB13" s="1">
        <v>82</v>
      </c>
      <c r="AC13" s="1">
        <v>66.8</v>
      </c>
      <c r="AD13" s="1">
        <v>63.2</v>
      </c>
      <c r="AE13" s="1"/>
      <c r="AF13" s="1">
        <f t="shared" si="6"/>
        <v>50.400000000000006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88.063999999999993</v>
      </c>
      <c r="D14" s="1">
        <v>28</v>
      </c>
      <c r="E14" s="1">
        <v>55.387999999999998</v>
      </c>
      <c r="F14" s="1">
        <v>57.951000000000001</v>
      </c>
      <c r="G14" s="8">
        <v>1</v>
      </c>
      <c r="H14" s="1">
        <v>60</v>
      </c>
      <c r="I14" s="1" t="s">
        <v>37</v>
      </c>
      <c r="J14" s="1"/>
      <c r="K14" s="1"/>
      <c r="L14" s="1">
        <f t="shared" si="2"/>
        <v>55.387999999999998</v>
      </c>
      <c r="M14" s="1"/>
      <c r="N14" s="1"/>
      <c r="O14" s="1"/>
      <c r="P14" s="1">
        <v>50</v>
      </c>
      <c r="Q14" s="1">
        <f t="shared" si="3"/>
        <v>11.0776</v>
      </c>
      <c r="R14" s="5">
        <f>18*Q14-P14-O14-F14</f>
        <v>91.44580000000002</v>
      </c>
      <c r="S14" s="5"/>
      <c r="T14" s="1"/>
      <c r="U14" s="1">
        <f t="shared" si="4"/>
        <v>18</v>
      </c>
      <c r="V14" s="1">
        <f t="shared" si="5"/>
        <v>9.744980862280638</v>
      </c>
      <c r="W14" s="1">
        <v>6.9219999999999997</v>
      </c>
      <c r="X14" s="1">
        <v>2.5983999999999998</v>
      </c>
      <c r="Y14" s="1">
        <v>3.9805999999999999</v>
      </c>
      <c r="Z14" s="1">
        <v>4.4265999999999996</v>
      </c>
      <c r="AA14" s="1">
        <v>14.9488</v>
      </c>
      <c r="AB14" s="1">
        <v>15.698600000000001</v>
      </c>
      <c r="AC14" s="1">
        <v>13.7072</v>
      </c>
      <c r="AD14" s="1">
        <v>4.3572000000000006</v>
      </c>
      <c r="AE14" s="1"/>
      <c r="AF14" s="1">
        <f t="shared" si="6"/>
        <v>91.44580000000002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49</v>
      </c>
      <c r="B15" s="10" t="s">
        <v>39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50</v>
      </c>
      <c r="J15" s="10" t="s">
        <v>51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12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0.6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164.81100000000001</v>
      </c>
      <c r="D16" s="1"/>
      <c r="E16" s="1">
        <v>26.285</v>
      </c>
      <c r="F16" s="1">
        <v>138.52600000000001</v>
      </c>
      <c r="G16" s="8">
        <v>1</v>
      </c>
      <c r="H16" s="1">
        <v>120</v>
      </c>
      <c r="I16" s="1" t="s">
        <v>37</v>
      </c>
      <c r="J16" s="1"/>
      <c r="K16" s="1"/>
      <c r="L16" s="1">
        <f t="shared" si="2"/>
        <v>26.285</v>
      </c>
      <c r="M16" s="1"/>
      <c r="N16" s="1"/>
      <c r="O16" s="1"/>
      <c r="P16" s="1">
        <v>50</v>
      </c>
      <c r="Q16" s="1">
        <f t="shared" si="3"/>
        <v>5.2569999999999997</v>
      </c>
      <c r="R16" s="5"/>
      <c r="S16" s="5"/>
      <c r="T16" s="1"/>
      <c r="U16" s="1">
        <f t="shared" si="4"/>
        <v>35.861898421152752</v>
      </c>
      <c r="V16" s="1">
        <f t="shared" si="5"/>
        <v>35.861898421152752</v>
      </c>
      <c r="W16" s="1">
        <v>10.797800000000001</v>
      </c>
      <c r="X16" s="1">
        <v>7.4238</v>
      </c>
      <c r="Y16" s="1">
        <v>2.2747999999999999</v>
      </c>
      <c r="Z16" s="1">
        <v>3.871</v>
      </c>
      <c r="AA16" s="1">
        <v>4.7553999999999998</v>
      </c>
      <c r="AB16" s="1">
        <v>3.657</v>
      </c>
      <c r="AC16" s="1">
        <v>7.6374000000000004</v>
      </c>
      <c r="AD16" s="1">
        <v>1.4505999999999999</v>
      </c>
      <c r="AE16" s="18" t="s">
        <v>43</v>
      </c>
      <c r="AF16" s="1">
        <f t="shared" ref="AF16:AF22" si="8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39</v>
      </c>
      <c r="C17" s="1">
        <v>254</v>
      </c>
      <c r="D17" s="1">
        <v>240</v>
      </c>
      <c r="E17" s="1">
        <v>136</v>
      </c>
      <c r="F17" s="1">
        <v>350</v>
      </c>
      <c r="G17" s="8">
        <v>0.25</v>
      </c>
      <c r="H17" s="1">
        <v>120</v>
      </c>
      <c r="I17" s="1" t="s">
        <v>37</v>
      </c>
      <c r="J17" s="1"/>
      <c r="K17" s="1"/>
      <c r="L17" s="1">
        <f t="shared" si="2"/>
        <v>136</v>
      </c>
      <c r="M17" s="1"/>
      <c r="N17" s="1"/>
      <c r="O17" s="1">
        <v>120</v>
      </c>
      <c r="P17" s="1">
        <v>320</v>
      </c>
      <c r="Q17" s="1">
        <f t="shared" si="3"/>
        <v>27.2</v>
      </c>
      <c r="R17" s="5"/>
      <c r="S17" s="5"/>
      <c r="T17" s="1"/>
      <c r="U17" s="1">
        <f t="shared" si="4"/>
        <v>29.044117647058826</v>
      </c>
      <c r="V17" s="1">
        <f t="shared" si="5"/>
        <v>29.044117647058826</v>
      </c>
      <c r="W17" s="1">
        <v>40</v>
      </c>
      <c r="X17" s="1">
        <v>34</v>
      </c>
      <c r="Y17" s="1">
        <v>41.4</v>
      </c>
      <c r="Z17" s="1">
        <v>30.6</v>
      </c>
      <c r="AA17" s="1">
        <v>22.6</v>
      </c>
      <c r="AB17" s="1">
        <v>27</v>
      </c>
      <c r="AC17" s="1">
        <v>36</v>
      </c>
      <c r="AD17" s="1">
        <v>18.2</v>
      </c>
      <c r="AE17" s="17" t="s">
        <v>46</v>
      </c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39</v>
      </c>
      <c r="C18" s="1">
        <v>96</v>
      </c>
      <c r="D18" s="1">
        <v>440</v>
      </c>
      <c r="E18" s="1">
        <v>281</v>
      </c>
      <c r="F18" s="1">
        <v>253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281</v>
      </c>
      <c r="M18" s="1"/>
      <c r="N18" s="1"/>
      <c r="O18" s="1">
        <v>320</v>
      </c>
      <c r="P18" s="1">
        <v>520</v>
      </c>
      <c r="Q18" s="1">
        <f t="shared" si="3"/>
        <v>56.2</v>
      </c>
      <c r="R18" s="5">
        <f t="shared" ref="R16:R22" si="9">20*Q18-P18-O18-F18</f>
        <v>31</v>
      </c>
      <c r="S18" s="5"/>
      <c r="T18" s="1"/>
      <c r="U18" s="1">
        <f t="shared" si="4"/>
        <v>20</v>
      </c>
      <c r="V18" s="1">
        <f t="shared" si="5"/>
        <v>19.448398576512453</v>
      </c>
      <c r="W18" s="1">
        <v>65.8</v>
      </c>
      <c r="X18" s="1">
        <v>52.4</v>
      </c>
      <c r="Y18" s="1">
        <v>68.599999999999994</v>
      </c>
      <c r="Z18" s="1">
        <v>48</v>
      </c>
      <c r="AA18" s="1">
        <v>47.2</v>
      </c>
      <c r="AB18" s="1">
        <v>58.4</v>
      </c>
      <c r="AC18" s="1">
        <v>75.599999999999994</v>
      </c>
      <c r="AD18" s="1">
        <v>47.4</v>
      </c>
      <c r="AE18" s="1"/>
      <c r="AF18" s="1">
        <f t="shared" si="8"/>
        <v>7.75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55.896000000000001</v>
      </c>
      <c r="D19" s="1">
        <v>23.82</v>
      </c>
      <c r="E19" s="1">
        <v>32.709000000000003</v>
      </c>
      <c r="F19" s="1">
        <v>47.006999999999998</v>
      </c>
      <c r="G19" s="8">
        <v>1</v>
      </c>
      <c r="H19" s="1">
        <v>120</v>
      </c>
      <c r="I19" s="1" t="s">
        <v>37</v>
      </c>
      <c r="J19" s="1"/>
      <c r="K19" s="1"/>
      <c r="L19" s="1">
        <f t="shared" si="2"/>
        <v>32.709000000000003</v>
      </c>
      <c r="M19" s="1"/>
      <c r="N19" s="1"/>
      <c r="O19" s="1">
        <v>80</v>
      </c>
      <c r="P19" s="1">
        <v>50</v>
      </c>
      <c r="Q19" s="1">
        <f t="shared" si="3"/>
        <v>6.5418000000000003</v>
      </c>
      <c r="R19" s="5"/>
      <c r="S19" s="5"/>
      <c r="T19" s="1"/>
      <c r="U19" s="1">
        <f t="shared" si="4"/>
        <v>27.057843407013358</v>
      </c>
      <c r="V19" s="1">
        <f t="shared" si="5"/>
        <v>27.057843407013358</v>
      </c>
      <c r="W19" s="1">
        <v>5.2915999999999999</v>
      </c>
      <c r="X19" s="1">
        <v>13.229799999999999</v>
      </c>
      <c r="Y19" s="1">
        <v>4.0868000000000002</v>
      </c>
      <c r="Z19" s="1">
        <v>6.3287999999999993</v>
      </c>
      <c r="AA19" s="1">
        <v>5.9488000000000003</v>
      </c>
      <c r="AB19" s="1">
        <v>7.6367999999999991</v>
      </c>
      <c r="AC19" s="1">
        <v>10.076000000000001</v>
      </c>
      <c r="AD19" s="1">
        <v>4.7776000000000014</v>
      </c>
      <c r="AE19" s="17" t="s">
        <v>46</v>
      </c>
      <c r="AF19" s="1">
        <f t="shared" si="8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39</v>
      </c>
      <c r="C20" s="1">
        <v>37</v>
      </c>
      <c r="D20" s="1">
        <v>240</v>
      </c>
      <c r="E20" s="1">
        <v>136</v>
      </c>
      <c r="F20" s="1">
        <v>138</v>
      </c>
      <c r="G20" s="8">
        <v>0.25</v>
      </c>
      <c r="H20" s="1">
        <v>120</v>
      </c>
      <c r="I20" s="1" t="s">
        <v>37</v>
      </c>
      <c r="J20" s="1"/>
      <c r="K20" s="1"/>
      <c r="L20" s="1">
        <f t="shared" si="2"/>
        <v>136</v>
      </c>
      <c r="M20" s="1"/>
      <c r="N20" s="1"/>
      <c r="O20" s="1">
        <v>320</v>
      </c>
      <c r="P20" s="1">
        <v>400</v>
      </c>
      <c r="Q20" s="1">
        <f t="shared" si="3"/>
        <v>27.2</v>
      </c>
      <c r="R20" s="5"/>
      <c r="S20" s="5"/>
      <c r="T20" s="1"/>
      <c r="U20" s="1">
        <f t="shared" si="4"/>
        <v>31.544117647058826</v>
      </c>
      <c r="V20" s="1">
        <f t="shared" si="5"/>
        <v>31.544117647058826</v>
      </c>
      <c r="W20" s="1">
        <v>47.4</v>
      </c>
      <c r="X20" s="1">
        <v>44.4</v>
      </c>
      <c r="Y20" s="1">
        <v>38.200000000000003</v>
      </c>
      <c r="Z20" s="1">
        <v>31.6</v>
      </c>
      <c r="AA20" s="1">
        <v>24.2</v>
      </c>
      <c r="AB20" s="1">
        <v>36</v>
      </c>
      <c r="AC20" s="1">
        <v>51.2</v>
      </c>
      <c r="AD20" s="1">
        <v>26.8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36</v>
      </c>
      <c r="C21" s="1">
        <v>70.917000000000002</v>
      </c>
      <c r="D21" s="1">
        <v>28.413</v>
      </c>
      <c r="E21" s="1">
        <v>19.039000000000001</v>
      </c>
      <c r="F21" s="1">
        <v>80.290999999999997</v>
      </c>
      <c r="G21" s="8">
        <v>1</v>
      </c>
      <c r="H21" s="1">
        <v>60</v>
      </c>
      <c r="I21" s="1" t="s">
        <v>37</v>
      </c>
      <c r="J21" s="1"/>
      <c r="K21" s="1"/>
      <c r="L21" s="1">
        <f t="shared" si="2"/>
        <v>19.039000000000001</v>
      </c>
      <c r="M21" s="1"/>
      <c r="N21" s="1"/>
      <c r="O21" s="1">
        <v>30</v>
      </c>
      <c r="P21" s="1"/>
      <c r="Q21" s="1">
        <f t="shared" si="3"/>
        <v>3.8078000000000003</v>
      </c>
      <c r="R21" s="5"/>
      <c r="S21" s="5"/>
      <c r="T21" s="1"/>
      <c r="U21" s="1">
        <f t="shared" si="4"/>
        <v>28.964493933504908</v>
      </c>
      <c r="V21" s="1">
        <f t="shared" si="5"/>
        <v>28.964493933504908</v>
      </c>
      <c r="W21" s="1">
        <v>4.3731999999999998</v>
      </c>
      <c r="X21" s="1">
        <v>11.28</v>
      </c>
      <c r="Y21" s="1">
        <v>8.0076000000000001</v>
      </c>
      <c r="Z21" s="1">
        <v>1.0691999999999999</v>
      </c>
      <c r="AA21" s="1">
        <v>0.79239999999999999</v>
      </c>
      <c r="AB21" s="1">
        <v>0.53120000000000001</v>
      </c>
      <c r="AC21" s="1">
        <v>0</v>
      </c>
      <c r="AD21" s="1">
        <v>0</v>
      </c>
      <c r="AE21" s="18" t="s">
        <v>43</v>
      </c>
      <c r="AF21" s="1">
        <f t="shared" si="8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39</v>
      </c>
      <c r="C22" s="1"/>
      <c r="D22" s="1">
        <v>400</v>
      </c>
      <c r="E22" s="1">
        <v>132</v>
      </c>
      <c r="F22" s="1">
        <v>268</v>
      </c>
      <c r="G22" s="8">
        <v>0.4</v>
      </c>
      <c r="H22" s="1">
        <v>60</v>
      </c>
      <c r="I22" s="1" t="s">
        <v>37</v>
      </c>
      <c r="J22" s="1"/>
      <c r="K22" s="1"/>
      <c r="L22" s="1">
        <f t="shared" si="2"/>
        <v>132</v>
      </c>
      <c r="M22" s="1"/>
      <c r="N22" s="1"/>
      <c r="O22" s="1">
        <v>480</v>
      </c>
      <c r="P22" s="1">
        <v>400</v>
      </c>
      <c r="Q22" s="1">
        <f t="shared" si="3"/>
        <v>26.4</v>
      </c>
      <c r="R22" s="5"/>
      <c r="S22" s="5"/>
      <c r="T22" s="1"/>
      <c r="U22" s="1">
        <f t="shared" si="4"/>
        <v>43.484848484848484</v>
      </c>
      <c r="V22" s="1">
        <f t="shared" si="5"/>
        <v>43.484848484848484</v>
      </c>
      <c r="W22" s="1">
        <v>17.2</v>
      </c>
      <c r="X22" s="1">
        <v>45.4</v>
      </c>
      <c r="Y22" s="1">
        <v>58.8</v>
      </c>
      <c r="Z22" s="1">
        <v>6</v>
      </c>
      <c r="AA22" s="1">
        <v>0</v>
      </c>
      <c r="AB22" s="1">
        <v>1</v>
      </c>
      <c r="AC22" s="1">
        <v>0</v>
      </c>
      <c r="AD22" s="1">
        <v>0</v>
      </c>
      <c r="AE22" s="1"/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59</v>
      </c>
      <c r="B23" s="10" t="s">
        <v>39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50</v>
      </c>
      <c r="J23" s="10" t="s">
        <v>60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12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0.6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39</v>
      </c>
      <c r="C24" s="1">
        <v>1262</v>
      </c>
      <c r="D24" s="1"/>
      <c r="E24" s="16">
        <f>297+E38</f>
        <v>324</v>
      </c>
      <c r="F24" s="16">
        <f>959+F23+F38</f>
        <v>916</v>
      </c>
      <c r="G24" s="8">
        <v>0.5</v>
      </c>
      <c r="H24" s="1">
        <v>60</v>
      </c>
      <c r="I24" s="1" t="s">
        <v>37</v>
      </c>
      <c r="J24" s="1"/>
      <c r="K24" s="1"/>
      <c r="L24" s="1">
        <f t="shared" si="2"/>
        <v>324</v>
      </c>
      <c r="M24" s="1"/>
      <c r="N24" s="1"/>
      <c r="O24" s="1"/>
      <c r="P24" s="1"/>
      <c r="Q24" s="1">
        <f t="shared" si="3"/>
        <v>64.8</v>
      </c>
      <c r="R24" s="5">
        <f t="shared" ref="R24:R37" si="10">20*Q24-P24-O24-F24</f>
        <v>380</v>
      </c>
      <c r="S24" s="5"/>
      <c r="T24" s="1"/>
      <c r="U24" s="1">
        <f t="shared" si="4"/>
        <v>20</v>
      </c>
      <c r="V24" s="1">
        <f t="shared" si="5"/>
        <v>14.135802469135804</v>
      </c>
      <c r="W24" s="1">
        <v>88.2</v>
      </c>
      <c r="X24" s="1">
        <v>83</v>
      </c>
      <c r="Y24" s="1">
        <v>82.6</v>
      </c>
      <c r="Z24" s="1">
        <v>68.2</v>
      </c>
      <c r="AA24" s="1">
        <v>110.6</v>
      </c>
      <c r="AB24" s="1">
        <v>76.400000000000006</v>
      </c>
      <c r="AC24" s="1">
        <v>108</v>
      </c>
      <c r="AD24" s="1">
        <v>68.8</v>
      </c>
      <c r="AE24" s="1" t="s">
        <v>61</v>
      </c>
      <c r="AF24" s="1">
        <f t="shared" ref="AF24:AF37" si="11">G24*R24</f>
        <v>190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62</v>
      </c>
      <c r="B25" s="1" t="s">
        <v>39</v>
      </c>
      <c r="C25" s="1">
        <v>195</v>
      </c>
      <c r="D25" s="1">
        <v>156</v>
      </c>
      <c r="E25" s="1">
        <v>103</v>
      </c>
      <c r="F25" s="1">
        <v>239</v>
      </c>
      <c r="G25" s="8">
        <v>0.36</v>
      </c>
      <c r="H25" s="1">
        <v>45</v>
      </c>
      <c r="I25" s="1" t="s">
        <v>37</v>
      </c>
      <c r="J25" s="1"/>
      <c r="K25" s="1"/>
      <c r="L25" s="1">
        <f t="shared" si="2"/>
        <v>103</v>
      </c>
      <c r="M25" s="1"/>
      <c r="N25" s="1"/>
      <c r="O25" s="1"/>
      <c r="P25" s="1">
        <v>120</v>
      </c>
      <c r="Q25" s="1">
        <f t="shared" si="3"/>
        <v>20.6</v>
      </c>
      <c r="R25" s="5">
        <f t="shared" si="10"/>
        <v>53</v>
      </c>
      <c r="S25" s="5"/>
      <c r="T25" s="1"/>
      <c r="U25" s="1">
        <f t="shared" si="4"/>
        <v>20</v>
      </c>
      <c r="V25" s="1">
        <f t="shared" si="5"/>
        <v>17.427184466019416</v>
      </c>
      <c r="W25" s="1">
        <v>32.6</v>
      </c>
      <c r="X25" s="1">
        <v>31.2</v>
      </c>
      <c r="Y25" s="1">
        <v>33.799999999999997</v>
      </c>
      <c r="Z25" s="1">
        <v>7.8</v>
      </c>
      <c r="AA25" s="1">
        <v>34.200000000000003</v>
      </c>
      <c r="AB25" s="1">
        <v>39.6</v>
      </c>
      <c r="AC25" s="1">
        <v>0</v>
      </c>
      <c r="AD25" s="1">
        <v>15</v>
      </c>
      <c r="AE25" s="1"/>
      <c r="AF25" s="1">
        <f t="shared" si="11"/>
        <v>19.079999999999998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63</v>
      </c>
      <c r="B26" s="1" t="s">
        <v>39</v>
      </c>
      <c r="C26" s="1">
        <v>179</v>
      </c>
      <c r="D26" s="1">
        <v>240</v>
      </c>
      <c r="E26" s="1">
        <v>221</v>
      </c>
      <c r="F26" s="1">
        <v>198</v>
      </c>
      <c r="G26" s="8">
        <v>0.33</v>
      </c>
      <c r="H26" s="1">
        <v>45</v>
      </c>
      <c r="I26" s="1" t="s">
        <v>37</v>
      </c>
      <c r="J26" s="1"/>
      <c r="K26" s="1"/>
      <c r="L26" s="1">
        <f t="shared" si="2"/>
        <v>221</v>
      </c>
      <c r="M26" s="1"/>
      <c r="N26" s="1"/>
      <c r="O26" s="1">
        <v>320</v>
      </c>
      <c r="P26" s="1">
        <v>200</v>
      </c>
      <c r="Q26" s="1">
        <f t="shared" si="3"/>
        <v>44.2</v>
      </c>
      <c r="R26" s="5">
        <f t="shared" si="10"/>
        <v>166</v>
      </c>
      <c r="S26" s="5"/>
      <c r="T26" s="1"/>
      <c r="U26" s="1">
        <f t="shared" si="4"/>
        <v>20</v>
      </c>
      <c r="V26" s="1">
        <f t="shared" si="5"/>
        <v>16.244343891402714</v>
      </c>
      <c r="W26" s="1">
        <v>61.4</v>
      </c>
      <c r="X26" s="1">
        <v>71.2</v>
      </c>
      <c r="Y26" s="1">
        <v>51.6</v>
      </c>
      <c r="Z26" s="1">
        <v>29.2</v>
      </c>
      <c r="AA26" s="1">
        <v>57.6</v>
      </c>
      <c r="AB26" s="1">
        <v>0</v>
      </c>
      <c r="AC26" s="1">
        <v>-0.2</v>
      </c>
      <c r="AD26" s="1">
        <v>31.4</v>
      </c>
      <c r="AE26" s="1"/>
      <c r="AF26" s="1">
        <f t="shared" si="11"/>
        <v>54.78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64</v>
      </c>
      <c r="B27" s="1" t="s">
        <v>39</v>
      </c>
      <c r="C27" s="1">
        <v>348</v>
      </c>
      <c r="D27" s="1">
        <v>240</v>
      </c>
      <c r="E27" s="1">
        <v>117</v>
      </c>
      <c r="F27" s="1">
        <v>467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117</v>
      </c>
      <c r="M27" s="1"/>
      <c r="N27" s="1"/>
      <c r="O27" s="1"/>
      <c r="P27" s="1">
        <v>80</v>
      </c>
      <c r="Q27" s="1">
        <f t="shared" si="3"/>
        <v>23.4</v>
      </c>
      <c r="R27" s="5"/>
      <c r="S27" s="5"/>
      <c r="T27" s="1"/>
      <c r="U27" s="1">
        <f t="shared" si="4"/>
        <v>23.376068376068378</v>
      </c>
      <c r="V27" s="1">
        <f t="shared" si="5"/>
        <v>23.376068376068378</v>
      </c>
      <c r="W27" s="1">
        <v>31.8</v>
      </c>
      <c r="X27" s="1">
        <v>35.6</v>
      </c>
      <c r="Y27" s="1">
        <v>47.6</v>
      </c>
      <c r="Z27" s="1">
        <v>1.4</v>
      </c>
      <c r="AA27" s="1">
        <v>0</v>
      </c>
      <c r="AB27" s="1">
        <v>30.8</v>
      </c>
      <c r="AC27" s="1">
        <v>0</v>
      </c>
      <c r="AD27" s="1">
        <v>0.6</v>
      </c>
      <c r="AE27" s="1"/>
      <c r="AF27" s="1">
        <f t="shared" si="11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39</v>
      </c>
      <c r="C28" s="1">
        <v>302</v>
      </c>
      <c r="D28" s="1">
        <v>96</v>
      </c>
      <c r="E28" s="1">
        <v>100</v>
      </c>
      <c r="F28" s="1">
        <v>291</v>
      </c>
      <c r="G28" s="8">
        <v>0.4</v>
      </c>
      <c r="H28" s="1">
        <v>45</v>
      </c>
      <c r="I28" s="1" t="s">
        <v>37</v>
      </c>
      <c r="J28" s="1"/>
      <c r="K28" s="1"/>
      <c r="L28" s="1">
        <f t="shared" si="2"/>
        <v>100</v>
      </c>
      <c r="M28" s="1"/>
      <c r="N28" s="1"/>
      <c r="O28" s="1"/>
      <c r="P28" s="1">
        <v>120</v>
      </c>
      <c r="Q28" s="1">
        <f t="shared" si="3"/>
        <v>20</v>
      </c>
      <c r="R28" s="5"/>
      <c r="S28" s="5"/>
      <c r="T28" s="1"/>
      <c r="U28" s="1">
        <f t="shared" si="4"/>
        <v>20.55</v>
      </c>
      <c r="V28" s="1">
        <f t="shared" si="5"/>
        <v>20.55</v>
      </c>
      <c r="W28" s="1">
        <v>31</v>
      </c>
      <c r="X28" s="1">
        <v>24.2</v>
      </c>
      <c r="Y28" s="1">
        <v>32.4</v>
      </c>
      <c r="Z28" s="1">
        <v>19.8</v>
      </c>
      <c r="AA28" s="1">
        <v>36.799999999999997</v>
      </c>
      <c r="AB28" s="1">
        <v>30.2</v>
      </c>
      <c r="AC28" s="1">
        <v>0</v>
      </c>
      <c r="AD28" s="1">
        <v>14.8</v>
      </c>
      <c r="AE28" s="1"/>
      <c r="AF28" s="1">
        <f t="shared" si="11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36</v>
      </c>
      <c r="C29" s="1">
        <v>272.40800000000002</v>
      </c>
      <c r="D29" s="1">
        <v>100.38500000000001</v>
      </c>
      <c r="E29" s="1">
        <v>210.62899999999999</v>
      </c>
      <c r="F29" s="1">
        <v>161.714</v>
      </c>
      <c r="G29" s="8">
        <v>1</v>
      </c>
      <c r="H29" s="1">
        <v>60</v>
      </c>
      <c r="I29" s="1" t="s">
        <v>37</v>
      </c>
      <c r="J29" s="1"/>
      <c r="K29" s="1"/>
      <c r="L29" s="1">
        <f t="shared" si="2"/>
        <v>210.62899999999999</v>
      </c>
      <c r="M29" s="1"/>
      <c r="N29" s="1"/>
      <c r="O29" s="1">
        <v>200</v>
      </c>
      <c r="P29" s="1">
        <v>300</v>
      </c>
      <c r="Q29" s="1">
        <f t="shared" si="3"/>
        <v>42.125799999999998</v>
      </c>
      <c r="R29" s="5">
        <f t="shared" si="10"/>
        <v>180.80199999999996</v>
      </c>
      <c r="S29" s="5"/>
      <c r="T29" s="1"/>
      <c r="U29" s="1">
        <f t="shared" si="4"/>
        <v>19.999999999999996</v>
      </c>
      <c r="V29" s="1">
        <f t="shared" si="5"/>
        <v>15.708045900611976</v>
      </c>
      <c r="W29" s="1">
        <v>45.726999999999997</v>
      </c>
      <c r="X29" s="1">
        <v>51.441999999999993</v>
      </c>
      <c r="Y29" s="1">
        <v>32.028399999999998</v>
      </c>
      <c r="Z29" s="1">
        <v>39.184199999999997</v>
      </c>
      <c r="AA29" s="1">
        <v>48.998199999999997</v>
      </c>
      <c r="AB29" s="1">
        <v>46.230200000000004</v>
      </c>
      <c r="AC29" s="1">
        <v>54.262999999999998</v>
      </c>
      <c r="AD29" s="1">
        <v>45.597799999999999</v>
      </c>
      <c r="AE29" s="1"/>
      <c r="AF29" s="1">
        <f t="shared" si="11"/>
        <v>180.80199999999996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39</v>
      </c>
      <c r="C30" s="1">
        <v>118</v>
      </c>
      <c r="D30" s="1">
        <v>96</v>
      </c>
      <c r="E30" s="1">
        <v>138</v>
      </c>
      <c r="F30" s="1">
        <v>71</v>
      </c>
      <c r="G30" s="8">
        <v>0.3</v>
      </c>
      <c r="H30" s="1">
        <v>60</v>
      </c>
      <c r="I30" s="1" t="s">
        <v>37</v>
      </c>
      <c r="J30" s="1"/>
      <c r="K30" s="1"/>
      <c r="L30" s="1">
        <f t="shared" si="2"/>
        <v>138</v>
      </c>
      <c r="M30" s="1"/>
      <c r="N30" s="1"/>
      <c r="O30" s="1">
        <v>100</v>
      </c>
      <c r="P30" s="1">
        <v>100</v>
      </c>
      <c r="Q30" s="1">
        <f t="shared" si="3"/>
        <v>27.6</v>
      </c>
      <c r="R30" s="5">
        <f>18*Q30-P30-O30-F30</f>
        <v>225.8</v>
      </c>
      <c r="S30" s="5"/>
      <c r="T30" s="1"/>
      <c r="U30" s="1">
        <f t="shared" si="4"/>
        <v>18</v>
      </c>
      <c r="V30" s="1">
        <f t="shared" si="5"/>
        <v>9.8188405797101446</v>
      </c>
      <c r="W30" s="1">
        <v>21.2</v>
      </c>
      <c r="X30" s="1">
        <v>28.4</v>
      </c>
      <c r="Y30" s="1">
        <v>19.600000000000001</v>
      </c>
      <c r="Z30" s="1">
        <v>16</v>
      </c>
      <c r="AA30" s="1">
        <v>17.8</v>
      </c>
      <c r="AB30" s="1">
        <v>46.6</v>
      </c>
      <c r="AC30" s="1">
        <v>6.4</v>
      </c>
      <c r="AD30" s="1">
        <v>21.6</v>
      </c>
      <c r="AE30" s="1"/>
      <c r="AF30" s="1">
        <f t="shared" si="11"/>
        <v>67.739999999999995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51</v>
      </c>
      <c r="B31" s="1" t="s">
        <v>39</v>
      </c>
      <c r="C31" s="1">
        <v>466</v>
      </c>
      <c r="D31" s="1"/>
      <c r="E31" s="1">
        <v>133</v>
      </c>
      <c r="F31" s="16">
        <f>322+F15</f>
        <v>319</v>
      </c>
      <c r="G31" s="8">
        <v>0.41</v>
      </c>
      <c r="H31" s="1">
        <v>50</v>
      </c>
      <c r="I31" s="1" t="s">
        <v>37</v>
      </c>
      <c r="J31" s="1"/>
      <c r="K31" s="1"/>
      <c r="L31" s="1">
        <f t="shared" si="2"/>
        <v>133</v>
      </c>
      <c r="M31" s="1"/>
      <c r="N31" s="1"/>
      <c r="O31" s="1"/>
      <c r="P31" s="1">
        <v>200</v>
      </c>
      <c r="Q31" s="1">
        <f t="shared" si="3"/>
        <v>26.6</v>
      </c>
      <c r="R31" s="5">
        <f t="shared" si="10"/>
        <v>13</v>
      </c>
      <c r="S31" s="5"/>
      <c r="T31" s="1"/>
      <c r="U31" s="1">
        <f t="shared" si="4"/>
        <v>20</v>
      </c>
      <c r="V31" s="1">
        <f t="shared" si="5"/>
        <v>19.511278195488721</v>
      </c>
      <c r="W31" s="1">
        <v>43</v>
      </c>
      <c r="X31" s="1">
        <v>26.8</v>
      </c>
      <c r="Y31" s="1">
        <v>33.6</v>
      </c>
      <c r="Z31" s="1">
        <v>20.8</v>
      </c>
      <c r="AA31" s="1">
        <v>40.200000000000003</v>
      </c>
      <c r="AB31" s="1">
        <v>52.8</v>
      </c>
      <c r="AC31" s="1">
        <v>2</v>
      </c>
      <c r="AD31" s="1">
        <v>24.2</v>
      </c>
      <c r="AE31" s="1"/>
      <c r="AF31" s="1">
        <f t="shared" si="11"/>
        <v>5.33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36</v>
      </c>
      <c r="C32" s="1">
        <v>603.46900000000005</v>
      </c>
      <c r="D32" s="1">
        <v>357.51</v>
      </c>
      <c r="E32" s="1">
        <v>313.39600000000002</v>
      </c>
      <c r="F32" s="1">
        <v>643.86300000000006</v>
      </c>
      <c r="G32" s="8">
        <v>1</v>
      </c>
      <c r="H32" s="1">
        <v>50</v>
      </c>
      <c r="I32" s="1" t="s">
        <v>37</v>
      </c>
      <c r="J32" s="1"/>
      <c r="K32" s="1"/>
      <c r="L32" s="1">
        <f t="shared" si="2"/>
        <v>313.39600000000002</v>
      </c>
      <c r="M32" s="1"/>
      <c r="N32" s="1"/>
      <c r="O32" s="1">
        <v>400</v>
      </c>
      <c r="P32" s="1">
        <v>200</v>
      </c>
      <c r="Q32" s="1">
        <f t="shared" si="3"/>
        <v>62.679200000000002</v>
      </c>
      <c r="R32" s="5">
        <f t="shared" si="10"/>
        <v>9.7210000000000036</v>
      </c>
      <c r="S32" s="5"/>
      <c r="T32" s="1"/>
      <c r="U32" s="1">
        <f t="shared" si="4"/>
        <v>20</v>
      </c>
      <c r="V32" s="1">
        <f t="shared" si="5"/>
        <v>19.844908677838902</v>
      </c>
      <c r="W32" s="1">
        <v>68.656800000000004</v>
      </c>
      <c r="X32" s="1">
        <v>94.631600000000006</v>
      </c>
      <c r="Y32" s="1">
        <v>60.880999999999993</v>
      </c>
      <c r="Z32" s="1">
        <v>81.591200000000001</v>
      </c>
      <c r="AA32" s="1">
        <v>92.709400000000002</v>
      </c>
      <c r="AB32" s="1">
        <v>93.669000000000011</v>
      </c>
      <c r="AC32" s="1">
        <v>106.9704</v>
      </c>
      <c r="AD32" s="1">
        <v>72.168399999999991</v>
      </c>
      <c r="AE32" s="1"/>
      <c r="AF32" s="1">
        <f t="shared" si="11"/>
        <v>9.7210000000000036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36</v>
      </c>
      <c r="C33" s="1">
        <v>99.561999999999998</v>
      </c>
      <c r="D33" s="1">
        <v>153.892</v>
      </c>
      <c r="E33" s="1">
        <v>136.87200000000001</v>
      </c>
      <c r="F33" s="1">
        <v>115.804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136.87200000000001</v>
      </c>
      <c r="M33" s="1"/>
      <c r="N33" s="1"/>
      <c r="O33" s="1">
        <v>150</v>
      </c>
      <c r="P33" s="1">
        <v>150</v>
      </c>
      <c r="Q33" s="1">
        <f t="shared" si="3"/>
        <v>27.374400000000001</v>
      </c>
      <c r="R33" s="5">
        <f t="shared" si="10"/>
        <v>131.68400000000005</v>
      </c>
      <c r="S33" s="5"/>
      <c r="T33" s="1"/>
      <c r="U33" s="1">
        <f t="shared" si="4"/>
        <v>20</v>
      </c>
      <c r="V33" s="1">
        <f t="shared" si="5"/>
        <v>15.189520135601144</v>
      </c>
      <c r="W33" s="1">
        <v>26.291599999999999</v>
      </c>
      <c r="X33" s="1">
        <v>25.154199999999999</v>
      </c>
      <c r="Y33" s="1">
        <v>26.1296</v>
      </c>
      <c r="Z33" s="1">
        <v>25.888999999999999</v>
      </c>
      <c r="AA33" s="1">
        <v>25.126200000000001</v>
      </c>
      <c r="AB33" s="1">
        <v>36.475999999999999</v>
      </c>
      <c r="AC33" s="1">
        <v>27.370200000000001</v>
      </c>
      <c r="AD33" s="1">
        <v>24.926600000000001</v>
      </c>
      <c r="AE33" s="1"/>
      <c r="AF33" s="1">
        <f t="shared" si="11"/>
        <v>131.68400000000005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39</v>
      </c>
      <c r="C34" s="1">
        <v>427</v>
      </c>
      <c r="D34" s="1">
        <v>160</v>
      </c>
      <c r="E34" s="1">
        <v>190</v>
      </c>
      <c r="F34" s="1">
        <v>391</v>
      </c>
      <c r="G34" s="8">
        <v>0.4</v>
      </c>
      <c r="H34" s="1">
        <v>50</v>
      </c>
      <c r="I34" s="1" t="s">
        <v>37</v>
      </c>
      <c r="J34" s="1"/>
      <c r="K34" s="1"/>
      <c r="L34" s="1">
        <f t="shared" si="2"/>
        <v>190</v>
      </c>
      <c r="M34" s="1"/>
      <c r="N34" s="1"/>
      <c r="O34" s="1"/>
      <c r="P34" s="1">
        <v>240</v>
      </c>
      <c r="Q34" s="1">
        <f t="shared" si="3"/>
        <v>38</v>
      </c>
      <c r="R34" s="5">
        <f t="shared" si="10"/>
        <v>129</v>
      </c>
      <c r="S34" s="5"/>
      <c r="T34" s="1"/>
      <c r="U34" s="1">
        <f t="shared" si="4"/>
        <v>20</v>
      </c>
      <c r="V34" s="1">
        <f t="shared" si="5"/>
        <v>16.605263157894736</v>
      </c>
      <c r="W34" s="1">
        <v>53</v>
      </c>
      <c r="X34" s="1">
        <v>40.4</v>
      </c>
      <c r="Y34" s="1">
        <v>51</v>
      </c>
      <c r="Z34" s="1">
        <v>7.2</v>
      </c>
      <c r="AA34" s="1">
        <v>49.8</v>
      </c>
      <c r="AB34" s="1">
        <v>41</v>
      </c>
      <c r="AC34" s="1">
        <v>0.2</v>
      </c>
      <c r="AD34" s="1">
        <v>22.2</v>
      </c>
      <c r="AE34" s="1"/>
      <c r="AF34" s="1">
        <f t="shared" si="11"/>
        <v>51.6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39</v>
      </c>
      <c r="C35" s="1">
        <v>255</v>
      </c>
      <c r="D35" s="1">
        <v>160</v>
      </c>
      <c r="E35" s="16">
        <f>203+E39</f>
        <v>281</v>
      </c>
      <c r="F35" s="16">
        <f>205+F39</f>
        <v>101</v>
      </c>
      <c r="G35" s="8">
        <v>0.18</v>
      </c>
      <c r="H35" s="1">
        <v>50</v>
      </c>
      <c r="I35" s="1" t="s">
        <v>37</v>
      </c>
      <c r="J35" s="1"/>
      <c r="K35" s="1"/>
      <c r="L35" s="1">
        <f t="shared" si="2"/>
        <v>281</v>
      </c>
      <c r="M35" s="1"/>
      <c r="N35" s="1"/>
      <c r="O35" s="1"/>
      <c r="P35" s="1">
        <v>50</v>
      </c>
      <c r="Q35" s="1">
        <f t="shared" si="3"/>
        <v>56.2</v>
      </c>
      <c r="R35" s="5">
        <f>11*Q35-P35-O35-F35</f>
        <v>467.20000000000005</v>
      </c>
      <c r="S35" s="5"/>
      <c r="T35" s="1"/>
      <c r="U35" s="1">
        <f t="shared" si="4"/>
        <v>11</v>
      </c>
      <c r="V35" s="1">
        <f t="shared" si="5"/>
        <v>2.6868327402135228</v>
      </c>
      <c r="W35" s="1">
        <v>39</v>
      </c>
      <c r="X35" s="1">
        <v>33.799999999999997</v>
      </c>
      <c r="Y35" s="1">
        <v>35.4</v>
      </c>
      <c r="Z35" s="1">
        <v>15.4</v>
      </c>
      <c r="AA35" s="1">
        <v>37.6</v>
      </c>
      <c r="AB35" s="1">
        <v>38.200000000000003</v>
      </c>
      <c r="AC35" s="1">
        <v>9.8000000000000007</v>
      </c>
      <c r="AD35" s="1">
        <v>27.2</v>
      </c>
      <c r="AE35" s="1"/>
      <c r="AF35" s="1">
        <f t="shared" si="11"/>
        <v>84.096000000000004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72</v>
      </c>
      <c r="B36" s="1" t="s">
        <v>39</v>
      </c>
      <c r="C36" s="1">
        <v>946</v>
      </c>
      <c r="D36" s="1">
        <v>1596</v>
      </c>
      <c r="E36" s="1">
        <v>1555</v>
      </c>
      <c r="F36" s="1">
        <v>978</v>
      </c>
      <c r="G36" s="8">
        <v>0.3</v>
      </c>
      <c r="H36" s="1">
        <v>50</v>
      </c>
      <c r="I36" s="1" t="s">
        <v>37</v>
      </c>
      <c r="J36" s="1"/>
      <c r="K36" s="1"/>
      <c r="L36" s="1">
        <f t="shared" si="2"/>
        <v>1555</v>
      </c>
      <c r="M36" s="1"/>
      <c r="N36" s="1"/>
      <c r="O36" s="1">
        <v>1700</v>
      </c>
      <c r="P36" s="1">
        <v>1800</v>
      </c>
      <c r="Q36" s="1">
        <f t="shared" si="3"/>
        <v>311</v>
      </c>
      <c r="R36" s="5">
        <f t="shared" si="10"/>
        <v>1742</v>
      </c>
      <c r="S36" s="5"/>
      <c r="T36" s="1"/>
      <c r="U36" s="1">
        <f t="shared" si="4"/>
        <v>20</v>
      </c>
      <c r="V36" s="1">
        <f t="shared" si="5"/>
        <v>14.39871382636656</v>
      </c>
      <c r="W36" s="1">
        <v>335.8</v>
      </c>
      <c r="X36" s="1">
        <v>282.60000000000002</v>
      </c>
      <c r="Y36" s="1">
        <v>283.39999999999998</v>
      </c>
      <c r="Z36" s="1">
        <v>202.8</v>
      </c>
      <c r="AA36" s="1">
        <v>293.39999999999998</v>
      </c>
      <c r="AB36" s="1">
        <v>239</v>
      </c>
      <c r="AC36" s="1">
        <v>330.8</v>
      </c>
      <c r="AD36" s="1">
        <v>219.8</v>
      </c>
      <c r="AE36" s="1"/>
      <c r="AF36" s="1">
        <f t="shared" si="11"/>
        <v>522.6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39</v>
      </c>
      <c r="C37" s="1">
        <v>126</v>
      </c>
      <c r="D37" s="1">
        <v>192</v>
      </c>
      <c r="E37" s="1">
        <v>195</v>
      </c>
      <c r="F37" s="1">
        <v>106</v>
      </c>
      <c r="G37" s="8">
        <v>0.28000000000000003</v>
      </c>
      <c r="H37" s="1">
        <v>50</v>
      </c>
      <c r="I37" s="1" t="s">
        <v>37</v>
      </c>
      <c r="J37" s="1"/>
      <c r="K37" s="1"/>
      <c r="L37" s="1">
        <f t="shared" si="2"/>
        <v>195</v>
      </c>
      <c r="M37" s="1"/>
      <c r="N37" s="1"/>
      <c r="O37" s="1">
        <v>200</v>
      </c>
      <c r="P37" s="1">
        <v>320</v>
      </c>
      <c r="Q37" s="1">
        <f t="shared" si="3"/>
        <v>39</v>
      </c>
      <c r="R37" s="5">
        <f t="shared" si="10"/>
        <v>154</v>
      </c>
      <c r="S37" s="5"/>
      <c r="T37" s="1"/>
      <c r="U37" s="1">
        <f t="shared" si="4"/>
        <v>20</v>
      </c>
      <c r="V37" s="1">
        <f t="shared" si="5"/>
        <v>16.051282051282051</v>
      </c>
      <c r="W37" s="1">
        <v>44.6</v>
      </c>
      <c r="X37" s="1">
        <v>25.2</v>
      </c>
      <c r="Y37" s="1">
        <v>41.6</v>
      </c>
      <c r="Z37" s="1">
        <v>41</v>
      </c>
      <c r="AA37" s="1">
        <v>48</v>
      </c>
      <c r="AB37" s="1">
        <v>40.4</v>
      </c>
      <c r="AC37" s="1">
        <v>0</v>
      </c>
      <c r="AD37" s="1">
        <v>31.2</v>
      </c>
      <c r="AE37" s="1"/>
      <c r="AF37" s="1">
        <f t="shared" si="11"/>
        <v>43.120000000000005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74</v>
      </c>
      <c r="B38" s="13" t="s">
        <v>39</v>
      </c>
      <c r="C38" s="13">
        <v>-13</v>
      </c>
      <c r="D38" s="13"/>
      <c r="E38" s="16">
        <v>27</v>
      </c>
      <c r="F38" s="16">
        <v>-40</v>
      </c>
      <c r="G38" s="14">
        <v>0</v>
      </c>
      <c r="H38" s="13"/>
      <c r="I38" s="13" t="s">
        <v>75</v>
      </c>
      <c r="J38" s="13" t="s">
        <v>60</v>
      </c>
      <c r="K38" s="13"/>
      <c r="L38" s="13">
        <f t="shared" si="2"/>
        <v>27</v>
      </c>
      <c r="M38" s="13"/>
      <c r="N38" s="13"/>
      <c r="O38" s="13"/>
      <c r="P38" s="13"/>
      <c r="Q38" s="13">
        <f t="shared" si="3"/>
        <v>5.4</v>
      </c>
      <c r="R38" s="15"/>
      <c r="S38" s="15"/>
      <c r="T38" s="13"/>
      <c r="U38" s="13">
        <f t="shared" si="4"/>
        <v>-7.4074074074074066</v>
      </c>
      <c r="V38" s="13">
        <f t="shared" si="5"/>
        <v>-7.4074074074074066</v>
      </c>
      <c r="W38" s="13">
        <v>2.6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76</v>
      </c>
      <c r="B39" s="13" t="s">
        <v>39</v>
      </c>
      <c r="C39" s="13">
        <v>-26</v>
      </c>
      <c r="D39" s="13"/>
      <c r="E39" s="16">
        <v>78</v>
      </c>
      <c r="F39" s="16">
        <v>-104</v>
      </c>
      <c r="G39" s="14">
        <v>0</v>
      </c>
      <c r="H39" s="13"/>
      <c r="I39" s="13" t="s">
        <v>75</v>
      </c>
      <c r="J39" s="13" t="s">
        <v>71</v>
      </c>
      <c r="K39" s="13"/>
      <c r="L39" s="13">
        <f t="shared" si="2"/>
        <v>78</v>
      </c>
      <c r="M39" s="13"/>
      <c r="N39" s="13"/>
      <c r="O39" s="13"/>
      <c r="P39" s="13"/>
      <c r="Q39" s="13">
        <f t="shared" si="3"/>
        <v>15.6</v>
      </c>
      <c r="R39" s="15"/>
      <c r="S39" s="15"/>
      <c r="T39" s="13"/>
      <c r="U39" s="13">
        <f t="shared" si="4"/>
        <v>-6.666666666666667</v>
      </c>
      <c r="V39" s="13">
        <f t="shared" si="5"/>
        <v>-6.666666666666667</v>
      </c>
      <c r="W39" s="13">
        <v>7.6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2025-11-24T12:48:17Z</dcterms:created>
  <dcterms:modified xsi:type="dcterms:W3CDTF">2025-11-24T12:55:30Z</dcterms:modified>
</cp:coreProperties>
</file>